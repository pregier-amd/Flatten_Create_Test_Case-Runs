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13_ncr:1_{A749BE91-53E2-48DD-A2EB-A59B8778E0F4}" xr6:coauthVersionLast="47" xr6:coauthVersionMax="47" xr10:uidLastSave="{00000000-0000-0000-0000-000000000000}"/>
  <bookViews>
    <workbookView xWindow="-28170" yWindow="615" windowWidth="22800" windowHeight="13740" firstSheet="3"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Feature Raw Data" sheetId="52" r:id="rId7"/>
    <sheet name="Sub-IP Block Summary" sheetId="59" r:id="rId8"/>
    <sheet name="Feature Summary" sheetId="55" r:id="rId9"/>
    <sheet name="Progress (WIP)" sheetId="26" state="hidden" r:id="rId10"/>
    <sheet name="Progress" sheetId="51" r:id="rId11"/>
    <sheet name="Coverage Plan" sheetId="57" state="hidden" r:id="rId12"/>
  </sheets>
  <externalReferences>
    <externalReference r:id="rId13"/>
  </externalReferences>
  <definedNames>
    <definedName name="_xlnm._FilterDatabase" localSheetId="5" hidden="1">'Diags Raw Data'!$A$5:$AH$68</definedName>
    <definedName name="_xlnm._FilterDatabase" localSheetId="6" hidden="1">'Feature Raw Data'!$A$2:$E$46</definedName>
    <definedName name="_xlnm._FilterDatabase" localSheetId="8" hidden="1">'Feature Summary'!$A$6:$U$67</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251" r:id="rId1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2" i="55" l="1"/>
  <c r="C62" i="55"/>
  <c r="D62" i="55" a="1"/>
  <c r="D62" i="55" s="1"/>
  <c r="E62" i="55"/>
  <c r="F62" i="55"/>
  <c r="I62" i="55"/>
  <c r="J62" i="55"/>
  <c r="L68" i="53"/>
  <c r="K68" i="53"/>
  <c r="N68" i="53"/>
  <c r="R68" i="53"/>
  <c r="M62" i="55" a="1"/>
  <c r="M62" i="55" s="1"/>
  <c r="O62" i="55" s="1"/>
  <c r="T68" i="53"/>
  <c r="U68" i="53"/>
  <c r="N62" i="55" a="1"/>
  <c r="N62" i="55" s="1"/>
  <c r="P62" i="55"/>
  <c r="S62" i="55" s="1"/>
  <c r="Q62" i="55"/>
  <c r="B26" i="59"/>
  <c r="C26" i="59"/>
  <c r="N26" i="59" s="1"/>
  <c r="D26" i="59"/>
  <c r="E26" i="59"/>
  <c r="G26" i="59"/>
  <c r="M26" i="59" s="1"/>
  <c r="H26" i="59"/>
  <c r="I26" i="59"/>
  <c r="J26" i="59"/>
  <c r="K26" i="59"/>
  <c r="O26" i="59"/>
  <c r="U26" i="59" s="1"/>
  <c r="P26" i="59"/>
  <c r="Q26" i="59"/>
  <c r="R26" i="59"/>
  <c r="S26" i="59"/>
  <c r="B12" i="59"/>
  <c r="C12" i="59"/>
  <c r="L12" i="59" s="1"/>
  <c r="D12" i="59"/>
  <c r="E12" i="59"/>
  <c r="H12" i="59"/>
  <c r="I12" i="59"/>
  <c r="J12" i="59"/>
  <c r="K12" i="59"/>
  <c r="O12" i="59"/>
  <c r="U12" i="59" s="1"/>
  <c r="P12" i="59"/>
  <c r="Q12" i="59"/>
  <c r="R12" i="59"/>
  <c r="S12" i="59"/>
  <c r="B40" i="59"/>
  <c r="F40" i="59" s="1"/>
  <c r="C40" i="59"/>
  <c r="L40" i="59" s="1"/>
  <c r="D40" i="59"/>
  <c r="E40" i="59"/>
  <c r="G40" i="59"/>
  <c r="M40" i="59" s="1"/>
  <c r="H40" i="59"/>
  <c r="I40" i="59"/>
  <c r="J40" i="59"/>
  <c r="K40" i="59"/>
  <c r="O40" i="59"/>
  <c r="U40" i="59" s="1"/>
  <c r="P40" i="59"/>
  <c r="Q40" i="59"/>
  <c r="R40" i="59"/>
  <c r="S40" i="59"/>
  <c r="B57" i="55"/>
  <c r="C57" i="55"/>
  <c r="D57" i="55" a="1"/>
  <c r="D57" i="55" s="1"/>
  <c r="E57" i="55"/>
  <c r="F57" i="55"/>
  <c r="I57" i="55"/>
  <c r="J57" i="55"/>
  <c r="M57" i="55" a="1"/>
  <c r="M57" i="55" s="1"/>
  <c r="O57" i="55" s="1"/>
  <c r="N57" i="55" a="1"/>
  <c r="N57" i="55" s="1"/>
  <c r="P57" i="55"/>
  <c r="S57" i="55" s="1"/>
  <c r="Q57" i="55"/>
  <c r="B58" i="55"/>
  <c r="C58" i="55"/>
  <c r="D58" i="55" a="1"/>
  <c r="D58" i="55" s="1"/>
  <c r="E58" i="55"/>
  <c r="F58" i="55"/>
  <c r="I58" i="55"/>
  <c r="J58" i="55"/>
  <c r="P58" i="55"/>
  <c r="S58" i="55" s="1"/>
  <c r="M58" i="55" a="1"/>
  <c r="M58" i="55" s="1"/>
  <c r="O58" i="55" s="1"/>
  <c r="N58" i="55" a="1"/>
  <c r="N58" i="55" s="1"/>
  <c r="Q58" i="55"/>
  <c r="B59" i="55"/>
  <c r="C59" i="55"/>
  <c r="D59" i="55" a="1"/>
  <c r="D59" i="55" s="1"/>
  <c r="E59" i="55"/>
  <c r="F59" i="55"/>
  <c r="I59" i="55"/>
  <c r="J59" i="55"/>
  <c r="M59" i="55" a="1"/>
  <c r="M59" i="55" s="1"/>
  <c r="O59" i="55" s="1"/>
  <c r="N59" i="55" a="1"/>
  <c r="N59" i="55" s="1"/>
  <c r="P59" i="55"/>
  <c r="S59" i="55" s="1"/>
  <c r="Q59" i="55"/>
  <c r="B60" i="55"/>
  <c r="C60" i="55"/>
  <c r="D60" i="55" a="1"/>
  <c r="D60" i="55" s="1"/>
  <c r="E60" i="55"/>
  <c r="F60" i="55"/>
  <c r="I60" i="55"/>
  <c r="J60" i="55"/>
  <c r="P60" i="55"/>
  <c r="S60" i="55" s="1"/>
  <c r="M60" i="55" a="1"/>
  <c r="M60" i="55" s="1"/>
  <c r="O60" i="55" s="1"/>
  <c r="N60" i="55" a="1"/>
  <c r="N60" i="55" s="1"/>
  <c r="Q60" i="55"/>
  <c r="B61" i="55"/>
  <c r="C61" i="55"/>
  <c r="D61" i="55" a="1"/>
  <c r="D61" i="55" s="1"/>
  <c r="E61" i="55"/>
  <c r="F61" i="55"/>
  <c r="I61" i="55"/>
  <c r="J61" i="55"/>
  <c r="P61" i="55"/>
  <c r="S61" i="55" s="1"/>
  <c r="M61" i="55" a="1"/>
  <c r="M61" i="55" s="1"/>
  <c r="O61" i="55" s="1"/>
  <c r="N61" i="55" a="1"/>
  <c r="N61" i="55" s="1"/>
  <c r="Q61" i="55"/>
  <c r="Q56" i="55"/>
  <c r="P56" i="55"/>
  <c r="S56" i="55" s="1"/>
  <c r="J56" i="55"/>
  <c r="I56" i="55"/>
  <c r="F56" i="55"/>
  <c r="E56" i="55"/>
  <c r="D56" i="55" a="1"/>
  <c r="D56" i="55" s="1"/>
  <c r="G56" i="55" s="1"/>
  <c r="C56" i="55"/>
  <c r="B56" i="55"/>
  <c r="Q55" i="55"/>
  <c r="J55" i="55"/>
  <c r="I55" i="55"/>
  <c r="F55" i="55"/>
  <c r="E55" i="55"/>
  <c r="D55" i="55" a="1"/>
  <c r="D55" i="55" s="1"/>
  <c r="G55" i="55" s="1"/>
  <c r="C55" i="55"/>
  <c r="B55" i="55"/>
  <c r="Q54" i="55"/>
  <c r="J54" i="55"/>
  <c r="I54" i="55"/>
  <c r="F54" i="55"/>
  <c r="E54" i="55"/>
  <c r="D54" i="55" a="1"/>
  <c r="D54" i="55" s="1"/>
  <c r="C54" i="55"/>
  <c r="B54" i="55"/>
  <c r="Q53" i="55"/>
  <c r="J53" i="55"/>
  <c r="I53" i="55"/>
  <c r="F53" i="55"/>
  <c r="E53" i="55"/>
  <c r="D53" i="55" a="1"/>
  <c r="D53" i="55" s="1"/>
  <c r="C53" i="55"/>
  <c r="B53" i="55"/>
  <c r="Q52" i="55"/>
  <c r="J52" i="55"/>
  <c r="I52" i="55"/>
  <c r="F52" i="55"/>
  <c r="E52" i="55"/>
  <c r="D52" i="55" a="1"/>
  <c r="D52" i="55" s="1"/>
  <c r="C52" i="55"/>
  <c r="B52" i="55"/>
  <c r="Q51" i="55"/>
  <c r="J51" i="55"/>
  <c r="I51" i="55"/>
  <c r="F51" i="55"/>
  <c r="E51" i="55"/>
  <c r="D51" i="55" a="1"/>
  <c r="D51" i="55" s="1"/>
  <c r="C51" i="55"/>
  <c r="B51" i="55"/>
  <c r="P51" i="55"/>
  <c r="S51" i="55" s="1"/>
  <c r="Q50" i="55"/>
  <c r="J50" i="55"/>
  <c r="I50" i="55"/>
  <c r="F50" i="55"/>
  <c r="E50" i="55"/>
  <c r="D50" i="55" a="1"/>
  <c r="D50" i="55" s="1"/>
  <c r="C50" i="55"/>
  <c r="B50" i="55"/>
  <c r="Q49" i="55"/>
  <c r="J49" i="55"/>
  <c r="I49" i="55"/>
  <c r="F49" i="55"/>
  <c r="E49" i="55"/>
  <c r="D49" i="55" a="1"/>
  <c r="D49" i="55" s="1"/>
  <c r="G49" i="55" s="1"/>
  <c r="C49" i="55"/>
  <c r="B49" i="55"/>
  <c r="B48" i="55"/>
  <c r="B46" i="52"/>
  <c r="B47" i="55" s="1"/>
  <c r="B45" i="52"/>
  <c r="B46" i="55" s="1"/>
  <c r="B44" i="52"/>
  <c r="B45" i="55"/>
  <c r="B43" i="52"/>
  <c r="B44" i="55"/>
  <c r="B42" i="52"/>
  <c r="B43" i="55"/>
  <c r="B41" i="52"/>
  <c r="B42" i="55"/>
  <c r="B40" i="52"/>
  <c r="B41" i="55" s="1"/>
  <c r="B39" i="52"/>
  <c r="B40" i="55"/>
  <c r="B38" i="52"/>
  <c r="B39" i="55" s="1"/>
  <c r="B37" i="52"/>
  <c r="B38" i="55" s="1"/>
  <c r="B36" i="52"/>
  <c r="B37" i="55"/>
  <c r="B35" i="52"/>
  <c r="B36" i="55"/>
  <c r="B34" i="52"/>
  <c r="B35" i="55"/>
  <c r="B33" i="52"/>
  <c r="B34" i="55"/>
  <c r="B32" i="52"/>
  <c r="B33" i="55" s="1"/>
  <c r="B31" i="52"/>
  <c r="B32" i="55"/>
  <c r="B30" i="52"/>
  <c r="B31" i="55" s="1"/>
  <c r="B29" i="52"/>
  <c r="B30" i="55" s="1"/>
  <c r="B28" i="52"/>
  <c r="B29" i="55"/>
  <c r="B27" i="52"/>
  <c r="B28" i="55"/>
  <c r="B26" i="52"/>
  <c r="B27" i="55"/>
  <c r="B25" i="52"/>
  <c r="B26" i="55"/>
  <c r="B24" i="52"/>
  <c r="B25" i="55" s="1"/>
  <c r="B23" i="52"/>
  <c r="B24" i="55"/>
  <c r="B22" i="52"/>
  <c r="B23" i="55" s="1"/>
  <c r="B21" i="52"/>
  <c r="B22" i="55" s="1"/>
  <c r="B20" i="52"/>
  <c r="B21" i="55"/>
  <c r="B19" i="52"/>
  <c r="B20" i="55"/>
  <c r="B18" i="52"/>
  <c r="B19" i="55"/>
  <c r="B17" i="52"/>
  <c r="B18" i="55"/>
  <c r="B16" i="52"/>
  <c r="B17" i="55" s="1"/>
  <c r="B15" i="52"/>
  <c r="B16" i="55"/>
  <c r="B14" i="52"/>
  <c r="B15" i="55" s="1"/>
  <c r="B13" i="52"/>
  <c r="B14" i="55" s="1"/>
  <c r="B12" i="52"/>
  <c r="B13" i="55"/>
  <c r="B11" i="52"/>
  <c r="B12" i="55"/>
  <c r="B10" i="52"/>
  <c r="B11" i="55"/>
  <c r="B9" i="52"/>
  <c r="B10" i="55"/>
  <c r="B8" i="52"/>
  <c r="B7" i="52"/>
  <c r="B6" i="52"/>
  <c r="B5" i="52"/>
  <c r="B9" i="55" s="1"/>
  <c r="B4" i="52"/>
  <c r="B8" i="55"/>
  <c r="B3" i="52"/>
  <c r="B7" i="55"/>
  <c r="B11" i="59"/>
  <c r="E11" i="59"/>
  <c r="C11" i="59"/>
  <c r="N11" i="59" s="1"/>
  <c r="D11" i="59"/>
  <c r="H11" i="59"/>
  <c r="I11" i="59"/>
  <c r="J11" i="59"/>
  <c r="K11" i="59"/>
  <c r="O11" i="59"/>
  <c r="U11" i="59" s="1"/>
  <c r="P11" i="59"/>
  <c r="Q11" i="59"/>
  <c r="R11" i="59"/>
  <c r="S11" i="59"/>
  <c r="B13" i="59"/>
  <c r="T13" i="59" s="1"/>
  <c r="C13" i="59"/>
  <c r="L13" i="59" s="1"/>
  <c r="D13" i="59"/>
  <c r="E13" i="59"/>
  <c r="G13" i="59"/>
  <c r="M13" i="59" s="1"/>
  <c r="H13" i="59"/>
  <c r="I13" i="59"/>
  <c r="J13" i="59"/>
  <c r="K13" i="59"/>
  <c r="O13" i="59"/>
  <c r="U13" i="59" s="1"/>
  <c r="P13" i="59"/>
  <c r="Q13" i="59"/>
  <c r="R13" i="59"/>
  <c r="S13" i="59"/>
  <c r="B4" i="59"/>
  <c r="T2" i="53"/>
  <c r="M52" i="55" a="1"/>
  <c r="M52" i="55" s="1"/>
  <c r="O68" i="53"/>
  <c r="K2" i="53"/>
  <c r="K34" i="59"/>
  <c r="C18" i="59"/>
  <c r="L18" i="59" s="1"/>
  <c r="I7" i="55"/>
  <c r="D41" i="59"/>
  <c r="D34" i="59"/>
  <c r="D35" i="59"/>
  <c r="D36" i="59"/>
  <c r="D37" i="59"/>
  <c r="D38" i="59"/>
  <c r="D39" i="59"/>
  <c r="D33" i="59"/>
  <c r="D32" i="59"/>
  <c r="D27" i="59"/>
  <c r="D20" i="59"/>
  <c r="D21" i="59"/>
  <c r="D22" i="59"/>
  <c r="D23" i="59"/>
  <c r="D24" i="59"/>
  <c r="D25" i="59"/>
  <c r="D19" i="59"/>
  <c r="D18" i="59"/>
  <c r="D6" i="59"/>
  <c r="D7" i="59"/>
  <c r="D8" i="59"/>
  <c r="D9" i="59"/>
  <c r="D10" i="59"/>
  <c r="D5" i="59"/>
  <c r="D4" i="59"/>
  <c r="E8" i="59"/>
  <c r="I8" i="55"/>
  <c r="AD2" i="53"/>
  <c r="AC2" i="53"/>
  <c r="AB2" i="53"/>
  <c r="AA2" i="53"/>
  <c r="W2" i="53"/>
  <c r="V2" i="53"/>
  <c r="U2" i="53"/>
  <c r="R2" i="53"/>
  <c r="O2" i="53"/>
  <c r="L2" i="53"/>
  <c r="S10" i="59"/>
  <c r="R10" i="59"/>
  <c r="Q10" i="59"/>
  <c r="P10" i="59"/>
  <c r="K10" i="59"/>
  <c r="J10" i="59"/>
  <c r="I10" i="59"/>
  <c r="H10" i="59"/>
  <c r="E10" i="59"/>
  <c r="C10" i="59"/>
  <c r="B10" i="59"/>
  <c r="S9" i="59"/>
  <c r="R9" i="59"/>
  <c r="Q9" i="59"/>
  <c r="P9" i="59"/>
  <c r="K9" i="59"/>
  <c r="J9" i="59"/>
  <c r="I9" i="59"/>
  <c r="H9" i="59"/>
  <c r="E9" i="59"/>
  <c r="C9" i="59"/>
  <c r="B9" i="59"/>
  <c r="S8" i="59"/>
  <c r="R8" i="59"/>
  <c r="Q8" i="59"/>
  <c r="P8" i="59"/>
  <c r="K8" i="59"/>
  <c r="J8" i="59"/>
  <c r="I8" i="59"/>
  <c r="H8" i="59"/>
  <c r="C8" i="59"/>
  <c r="B8" i="59"/>
  <c r="S7" i="59"/>
  <c r="R7" i="59"/>
  <c r="Q7" i="59"/>
  <c r="P7" i="59"/>
  <c r="K7" i="59"/>
  <c r="J7" i="59"/>
  <c r="I7" i="59"/>
  <c r="H7" i="59"/>
  <c r="E7" i="59"/>
  <c r="C7" i="59"/>
  <c r="B7" i="59"/>
  <c r="S6" i="59"/>
  <c r="R6" i="59"/>
  <c r="Q6" i="59"/>
  <c r="Q14" i="59" s="1"/>
  <c r="P6" i="59"/>
  <c r="K6" i="59"/>
  <c r="J6" i="59"/>
  <c r="I6" i="59"/>
  <c r="H6" i="59"/>
  <c r="E6" i="59"/>
  <c r="C6" i="59"/>
  <c r="B6" i="59"/>
  <c r="F6" i="59" s="1"/>
  <c r="S5" i="59"/>
  <c r="R5" i="59"/>
  <c r="Q5" i="59"/>
  <c r="P5" i="59"/>
  <c r="K5" i="59"/>
  <c r="J5" i="59"/>
  <c r="I5" i="59"/>
  <c r="H5" i="59"/>
  <c r="E5" i="59"/>
  <c r="B5" i="59"/>
  <c r="C5" i="59"/>
  <c r="S4" i="59"/>
  <c r="R4" i="59"/>
  <c r="Q4" i="59"/>
  <c r="P4" i="59"/>
  <c r="K4" i="59"/>
  <c r="J4" i="59"/>
  <c r="I4" i="59"/>
  <c r="H4" i="59"/>
  <c r="E4" i="59"/>
  <c r="C4" i="59"/>
  <c r="I46" i="55"/>
  <c r="J16" i="55"/>
  <c r="J17" i="55"/>
  <c r="D16" i="55" a="1"/>
  <c r="D16" i="55" s="1"/>
  <c r="D17" i="55" a="1"/>
  <c r="D17" i="55" s="1"/>
  <c r="D9" i="55" a="1"/>
  <c r="D9" i="55" s="1"/>
  <c r="D10" i="55" a="1"/>
  <c r="D10" i="55" s="1"/>
  <c r="H10" i="55" s="1"/>
  <c r="D11" i="55" a="1"/>
  <c r="D11" i="55" s="1"/>
  <c r="D12" i="55" a="1"/>
  <c r="D12" i="55" s="1"/>
  <c r="D13" i="55" a="1"/>
  <c r="D13" i="55" s="1"/>
  <c r="D14" i="55" a="1"/>
  <c r="D14" i="55" s="1"/>
  <c r="H14" i="55" s="1"/>
  <c r="D15" i="55" a="1"/>
  <c r="D15" i="55" s="1"/>
  <c r="D18" i="55" a="1"/>
  <c r="D18" i="55" s="1"/>
  <c r="D19" i="55" a="1"/>
  <c r="D19" i="55" s="1"/>
  <c r="G19" i="55" s="1"/>
  <c r="D20" i="55" a="1"/>
  <c r="D20" i="55" s="1"/>
  <c r="D21" i="55" a="1"/>
  <c r="D21" i="55" s="1"/>
  <c r="G21" i="55" s="1"/>
  <c r="D22" i="55" a="1"/>
  <c r="D22" i="55" s="1"/>
  <c r="D23" i="55" a="1"/>
  <c r="D23" i="55" s="1"/>
  <c r="D24" i="55" a="1"/>
  <c r="D24" i="55" s="1"/>
  <c r="H24" i="55" s="1"/>
  <c r="D25" i="55" a="1"/>
  <c r="D25" i="55" s="1"/>
  <c r="D26" i="55" a="1"/>
  <c r="D26" i="55" s="1"/>
  <c r="G26" i="55" s="1"/>
  <c r="D27" i="55" a="1"/>
  <c r="D27" i="55" s="1"/>
  <c r="G27" i="55" s="1"/>
  <c r="D28" i="55" a="1"/>
  <c r="D28" i="55" s="1"/>
  <c r="H28" i="55" s="1"/>
  <c r="D29" i="55" a="1"/>
  <c r="D29" i="55" s="1"/>
  <c r="H29" i="55" s="1"/>
  <c r="D30" i="55" a="1"/>
  <c r="D30" i="55" s="1"/>
  <c r="G30" i="55" s="1"/>
  <c r="D31" i="55" a="1"/>
  <c r="D31" i="55" s="1"/>
  <c r="H31" i="55" s="1"/>
  <c r="D32" i="55" a="1"/>
  <c r="D32" i="55" s="1"/>
  <c r="H32" i="55" s="1"/>
  <c r="D33" i="55" a="1"/>
  <c r="D33" i="55" s="1"/>
  <c r="D34" i="55" a="1"/>
  <c r="D34" i="55" s="1"/>
  <c r="G34" i="55" s="1"/>
  <c r="D35" i="55" a="1"/>
  <c r="D35" i="55" s="1"/>
  <c r="D36" i="55" a="1"/>
  <c r="D36" i="55" s="1"/>
  <c r="H36" i="55" s="1"/>
  <c r="D37" i="55" a="1"/>
  <c r="D37" i="55" s="1"/>
  <c r="G37" i="55" s="1"/>
  <c r="D38" i="55" a="1"/>
  <c r="D38" i="55" s="1"/>
  <c r="D39" i="55" a="1"/>
  <c r="D39" i="55" s="1"/>
  <c r="H39" i="55" s="1"/>
  <c r="D40" i="55" a="1"/>
  <c r="D40" i="55" s="1"/>
  <c r="G40" i="55" s="1"/>
  <c r="D41" i="55" a="1"/>
  <c r="D41" i="55" s="1"/>
  <c r="G41" i="55" s="1"/>
  <c r="D42" i="55" a="1"/>
  <c r="D42" i="55" s="1"/>
  <c r="G42" i="55" s="1"/>
  <c r="D43" i="55" a="1"/>
  <c r="D43" i="55" s="1"/>
  <c r="G43" i="55" s="1"/>
  <c r="D44" i="55" a="1"/>
  <c r="D44" i="55" s="1"/>
  <c r="H44" i="55" s="1"/>
  <c r="D45" i="55" a="1"/>
  <c r="D45" i="55" s="1"/>
  <c r="D46" i="55" a="1"/>
  <c r="D46" i="55" s="1"/>
  <c r="H46" i="55" s="1"/>
  <c r="D47" i="55" a="1"/>
  <c r="D47" i="55" s="1"/>
  <c r="H47" i="55" s="1"/>
  <c r="D48" i="55" a="1"/>
  <c r="D4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J9" i="55"/>
  <c r="J10" i="55"/>
  <c r="J11" i="55"/>
  <c r="J12" i="55"/>
  <c r="J13" i="55"/>
  <c r="J14" i="55"/>
  <c r="J15" i="55"/>
  <c r="J18" i="55"/>
  <c r="J19" i="55"/>
  <c r="J20" i="55"/>
  <c r="J21" i="55"/>
  <c r="R21" i="55" s="1"/>
  <c r="J22" i="55"/>
  <c r="J23" i="55"/>
  <c r="K23" i="55" s="1" a="1"/>
  <c r="K23" i="55" s="1"/>
  <c r="J24" i="55"/>
  <c r="J25" i="55"/>
  <c r="J26" i="55"/>
  <c r="J27" i="55"/>
  <c r="J28" i="55"/>
  <c r="J29" i="55"/>
  <c r="J30" i="55"/>
  <c r="J31" i="55"/>
  <c r="J32" i="55"/>
  <c r="J33" i="55"/>
  <c r="J34" i="55"/>
  <c r="J35" i="55"/>
  <c r="R35" i="55" s="1"/>
  <c r="J36" i="55"/>
  <c r="J37" i="55"/>
  <c r="J38" i="55"/>
  <c r="J39" i="55"/>
  <c r="J40" i="55"/>
  <c r="J41" i="55"/>
  <c r="J42" i="55"/>
  <c r="J43" i="55"/>
  <c r="J44" i="55"/>
  <c r="J45" i="55"/>
  <c r="J46" i="55"/>
  <c r="J47" i="55"/>
  <c r="J48" i="55"/>
  <c r="J8" i="55"/>
  <c r="J7" i="55"/>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s="1"/>
  <c r="G8" i="55" s="1"/>
  <c r="D7" i="55" a="1"/>
  <c r="D7" i="55" s="1"/>
  <c r="N18" i="55" a="1"/>
  <c r="N18" i="55" s="1"/>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9" i="55"/>
  <c r="C10" i="55"/>
  <c r="C11" i="55"/>
  <c r="C12" i="55"/>
  <c r="C13" i="55"/>
  <c r="C14" i="55"/>
  <c r="C8" i="55"/>
  <c r="I13" i="52"/>
  <c r="I12" i="52"/>
  <c r="I11" i="52"/>
  <c r="I10" i="52"/>
  <c r="I9" i="52"/>
  <c r="I8" i="52"/>
  <c r="I7" i="52"/>
  <c r="I6" i="52"/>
  <c r="I5" i="52"/>
  <c r="I4" i="52"/>
  <c r="K21" i="59"/>
  <c r="I22" i="59"/>
  <c r="C21" i="59"/>
  <c r="L21" i="59" s="1"/>
  <c r="C41" i="59"/>
  <c r="N41" i="59" s="1"/>
  <c r="B33" i="59"/>
  <c r="I19" i="59"/>
  <c r="K41" i="59"/>
  <c r="J41" i="59"/>
  <c r="K39" i="59"/>
  <c r="J39" i="59"/>
  <c r="K38" i="59"/>
  <c r="J38" i="59"/>
  <c r="K37" i="59"/>
  <c r="J37" i="59"/>
  <c r="K36" i="59"/>
  <c r="J36" i="59"/>
  <c r="K35" i="59"/>
  <c r="J35" i="59"/>
  <c r="J34" i="59"/>
  <c r="K33" i="59"/>
  <c r="J33" i="59"/>
  <c r="K32" i="59"/>
  <c r="J32" i="59"/>
  <c r="K27" i="59"/>
  <c r="J27" i="59"/>
  <c r="K25" i="59"/>
  <c r="J25" i="59"/>
  <c r="K24" i="59"/>
  <c r="J24" i="59"/>
  <c r="K23" i="59"/>
  <c r="J23" i="59"/>
  <c r="K22" i="59"/>
  <c r="J22" i="59"/>
  <c r="J21" i="59"/>
  <c r="K20" i="59"/>
  <c r="J20" i="59"/>
  <c r="K19" i="59"/>
  <c r="J19" i="59"/>
  <c r="K18" i="59"/>
  <c r="J18" i="59"/>
  <c r="S18" i="59"/>
  <c r="S41" i="59"/>
  <c r="R41" i="59"/>
  <c r="S39" i="59"/>
  <c r="R39" i="59"/>
  <c r="S38" i="59"/>
  <c r="R38" i="59"/>
  <c r="S37" i="59"/>
  <c r="R37" i="59"/>
  <c r="S36" i="59"/>
  <c r="R36" i="59"/>
  <c r="S35" i="59"/>
  <c r="R35" i="59"/>
  <c r="S34" i="59"/>
  <c r="R34" i="59"/>
  <c r="S33" i="59"/>
  <c r="R33" i="59"/>
  <c r="S32" i="59"/>
  <c r="R32" i="59"/>
  <c r="S27" i="59"/>
  <c r="R27" i="59"/>
  <c r="S25" i="59"/>
  <c r="R25" i="59"/>
  <c r="S24" i="59"/>
  <c r="R24" i="59"/>
  <c r="S23" i="59"/>
  <c r="R23" i="59"/>
  <c r="S22" i="59"/>
  <c r="R22" i="59"/>
  <c r="S21" i="59"/>
  <c r="R21" i="59"/>
  <c r="S20" i="59"/>
  <c r="R20" i="59"/>
  <c r="S19" i="59"/>
  <c r="R19" i="59"/>
  <c r="R18" i="59"/>
  <c r="AD68" i="53"/>
  <c r="AC68" i="53"/>
  <c r="AB68" i="53"/>
  <c r="AA68" i="53"/>
  <c r="W68" i="53"/>
  <c r="V68" i="53"/>
  <c r="M43" i="55" a="1"/>
  <c r="M43" i="55" s="1"/>
  <c r="P27" i="59"/>
  <c r="H32" i="59"/>
  <c r="C33" i="59"/>
  <c r="C34" i="59"/>
  <c r="C35" i="59"/>
  <c r="C36" i="59"/>
  <c r="C37" i="59"/>
  <c r="C38" i="59"/>
  <c r="C39" i="59"/>
  <c r="N39" i="59" s="1"/>
  <c r="C32" i="59"/>
  <c r="C19" i="59"/>
  <c r="C20" i="59"/>
  <c r="C22" i="59"/>
  <c r="L22" i="59" s="1"/>
  <c r="C23" i="59"/>
  <c r="C24" i="59"/>
  <c r="C25" i="59"/>
  <c r="N25" i="59" s="1"/>
  <c r="C27" i="59"/>
  <c r="L27" i="59" s="1"/>
  <c r="B32" i="59"/>
  <c r="B18" i="59"/>
  <c r="F18" i="59" s="1"/>
  <c r="Q19" i="59"/>
  <c r="Q20" i="59"/>
  <c r="Q21" i="59"/>
  <c r="Q22" i="59"/>
  <c r="Q23" i="59"/>
  <c r="Q24" i="59"/>
  <c r="Q25" i="59"/>
  <c r="Q27" i="59"/>
  <c r="Q18" i="59"/>
  <c r="P19" i="59"/>
  <c r="P20" i="59"/>
  <c r="P21" i="59"/>
  <c r="P22" i="59"/>
  <c r="P23" i="59"/>
  <c r="P24" i="59"/>
  <c r="P25" i="59"/>
  <c r="P18" i="59"/>
  <c r="I20" i="59"/>
  <c r="I21" i="59"/>
  <c r="I23" i="59"/>
  <c r="N23" i="59" s="1"/>
  <c r="I24" i="59"/>
  <c r="I25" i="59"/>
  <c r="I27" i="59"/>
  <c r="I18" i="59"/>
  <c r="H19" i="59"/>
  <c r="H20" i="59"/>
  <c r="H21" i="59"/>
  <c r="H22" i="59"/>
  <c r="H23" i="59"/>
  <c r="H24" i="59"/>
  <c r="H25" i="59"/>
  <c r="H27" i="59"/>
  <c r="H18" i="59"/>
  <c r="E19" i="59"/>
  <c r="E20" i="59"/>
  <c r="E21" i="59"/>
  <c r="E22" i="59"/>
  <c r="E23" i="59"/>
  <c r="E24" i="59"/>
  <c r="E25" i="59"/>
  <c r="E27" i="59"/>
  <c r="E18" i="59"/>
  <c r="B19" i="59"/>
  <c r="B22" i="59"/>
  <c r="V22" i="59" s="1"/>
  <c r="B20" i="59"/>
  <c r="B21" i="59"/>
  <c r="B23" i="59"/>
  <c r="B24" i="59"/>
  <c r="B25" i="59"/>
  <c r="B27" i="59"/>
  <c r="V27" i="59" s="1"/>
  <c r="E33" i="59"/>
  <c r="E34" i="59"/>
  <c r="E35" i="59"/>
  <c r="E36" i="59"/>
  <c r="E37" i="59"/>
  <c r="E38" i="59"/>
  <c r="E39" i="59"/>
  <c r="E41" i="59"/>
  <c r="Q33" i="59"/>
  <c r="Q34" i="59"/>
  <c r="Q35" i="59"/>
  <c r="Q36" i="59"/>
  <c r="Q37" i="59"/>
  <c r="Q38" i="59"/>
  <c r="Q39" i="59"/>
  <c r="Q41" i="59"/>
  <c r="Q32" i="59"/>
  <c r="P33" i="59"/>
  <c r="P34" i="59"/>
  <c r="P35" i="59"/>
  <c r="P36" i="59"/>
  <c r="P37" i="59"/>
  <c r="P39" i="59"/>
  <c r="P41" i="59"/>
  <c r="P32" i="59"/>
  <c r="I33" i="59"/>
  <c r="I34" i="59"/>
  <c r="I35" i="59"/>
  <c r="I36" i="59"/>
  <c r="I37" i="59"/>
  <c r="I39" i="59"/>
  <c r="I41" i="59"/>
  <c r="I32" i="59"/>
  <c r="H33" i="59"/>
  <c r="N33" i="59" s="1"/>
  <c r="H34" i="59"/>
  <c r="H35" i="59"/>
  <c r="H36" i="59"/>
  <c r="H37" i="59"/>
  <c r="H38" i="59"/>
  <c r="H39" i="59"/>
  <c r="H41" i="59"/>
  <c r="E32" i="59"/>
  <c r="B34" i="59"/>
  <c r="B35" i="59"/>
  <c r="B36" i="59"/>
  <c r="B37" i="59"/>
  <c r="B38" i="59"/>
  <c r="B39" i="59"/>
  <c r="F39" i="59" s="1"/>
  <c r="B41" i="59"/>
  <c r="F41" i="59" s="1"/>
  <c r="G41" i="59"/>
  <c r="M41" i="59" s="1"/>
  <c r="P41" i="55"/>
  <c r="S41" i="55" s="1"/>
  <c r="P39" i="55"/>
  <c r="S39" i="55" s="1"/>
  <c r="P36" i="55"/>
  <c r="S36" i="55" s="1"/>
  <c r="P35" i="55"/>
  <c r="S35" i="55" s="1"/>
  <c r="P34" i="55"/>
  <c r="S34" i="55" s="1"/>
  <c r="P28" i="55"/>
  <c r="S28" i="55" s="1"/>
  <c r="P27" i="55"/>
  <c r="S27" i="55" s="1"/>
  <c r="P26" i="55"/>
  <c r="S26" i="55" s="1"/>
  <c r="P25" i="55"/>
  <c r="P21" i="55"/>
  <c r="S21" i="55" s="1"/>
  <c r="P18" i="55"/>
  <c r="S18" i="55" s="1"/>
  <c r="P17" i="55"/>
  <c r="P16" i="55"/>
  <c r="P15" i="55"/>
  <c r="S15" i="55" s="1"/>
  <c r="P14" i="55"/>
  <c r="S14" i="55" s="1"/>
  <c r="P10" i="55"/>
  <c r="S10" i="55" s="1"/>
  <c r="P7" i="55"/>
  <c r="S7" i="55" s="1"/>
  <c r="C7" i="26"/>
  <c r="D7" i="26"/>
  <c r="C9" i="26"/>
  <c r="D9" i="26" s="1"/>
  <c r="E9" i="26"/>
  <c r="F9" i="26" s="1"/>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O22" i="59"/>
  <c r="U22" i="59" s="1"/>
  <c r="O41" i="59"/>
  <c r="U41" i="59" s="1"/>
  <c r="F7" i="55"/>
  <c r="G27" i="59"/>
  <c r="M27" i="59" s="1"/>
  <c r="G21" i="59"/>
  <c r="M21" i="59" s="1"/>
  <c r="O25" i="59"/>
  <c r="U25" i="59" s="1"/>
  <c r="G22" i="59"/>
  <c r="M22" i="59" s="1"/>
  <c r="O21" i="59"/>
  <c r="U21" i="59" s="1"/>
  <c r="G23" i="59"/>
  <c r="O18" i="59"/>
  <c r="U18" i="59" s="1"/>
  <c r="O19" i="59"/>
  <c r="U19" i="59" s="1"/>
  <c r="G18" i="59"/>
  <c r="M18" i="59" s="1"/>
  <c r="O24" i="59"/>
  <c r="U24" i="59" s="1"/>
  <c r="O20" i="59"/>
  <c r="U20" i="59" s="1"/>
  <c r="G39" i="59"/>
  <c r="M39" i="59" s="1"/>
  <c r="O39" i="59"/>
  <c r="U39" i="59" s="1"/>
  <c r="O23" i="59"/>
  <c r="U23" i="59" s="1"/>
  <c r="O27" i="59"/>
  <c r="U27" i="59" s="1"/>
  <c r="M46" i="55" a="1"/>
  <c r="M46" i="55" s="1"/>
  <c r="M45" i="55" a="1"/>
  <c r="M45" i="55" s="1"/>
  <c r="M38" i="55" a="1"/>
  <c r="M38" i="55" s="1"/>
  <c r="M31" i="55" a="1"/>
  <c r="M31" i="55" s="1"/>
  <c r="P33" i="55"/>
  <c r="S33" i="55" s="1"/>
  <c r="P40" i="55"/>
  <c r="O8" i="59"/>
  <c r="U8" i="59" s="1"/>
  <c r="P48" i="55"/>
  <c r="S48" i="55" s="1"/>
  <c r="S14" i="26"/>
  <c r="P37" i="55"/>
  <c r="S37" i="55" s="1"/>
  <c r="P29" i="55"/>
  <c r="S29" i="55" s="1"/>
  <c r="P43" i="55"/>
  <c r="S43" i="55" s="1"/>
  <c r="P44" i="55"/>
  <c r="S44" i="55" s="1"/>
  <c r="O36" i="59"/>
  <c r="U36" i="59" s="1"/>
  <c r="P11" i="55"/>
  <c r="S11" i="55" s="1"/>
  <c r="P54" i="55"/>
  <c r="S54" i="55" s="1"/>
  <c r="P12" i="55"/>
  <c r="S12" i="55" s="1"/>
  <c r="P55" i="55"/>
  <c r="S55" i="55" s="1"/>
  <c r="P19" i="55"/>
  <c r="O4" i="59"/>
  <c r="U4" i="59" s="1"/>
  <c r="P53" i="55"/>
  <c r="S53" i="55" s="1"/>
  <c r="N8" i="55" a="1"/>
  <c r="N8" i="55" s="1"/>
  <c r="N20" i="55" a="1"/>
  <c r="N20" i="55" s="1"/>
  <c r="P52" i="55"/>
  <c r="S52" i="55" s="1"/>
  <c r="P24" i="55"/>
  <c r="S24" i="55" s="1"/>
  <c r="P22" i="55"/>
  <c r="S22" i="55" s="1"/>
  <c r="N11" i="55" a="1"/>
  <c r="N11" i="55" s="1"/>
  <c r="P46" i="55"/>
  <c r="S46" i="55" s="1"/>
  <c r="P50" i="55"/>
  <c r="S50" i="55" s="1"/>
  <c r="O7" i="59"/>
  <c r="U7" i="59" s="1"/>
  <c r="O33" i="59"/>
  <c r="U33" i="59" s="1"/>
  <c r="P49" i="55"/>
  <c r="P23" i="55"/>
  <c r="S23" i="55" s="1"/>
  <c r="Z68" i="53"/>
  <c r="AE68" i="53" s="1"/>
  <c r="P30" i="55"/>
  <c r="S30" i="55" s="1"/>
  <c r="O5" i="59"/>
  <c r="T5" i="59" s="1"/>
  <c r="P9" i="55"/>
  <c r="S9" i="55" s="1"/>
  <c r="P13" i="55"/>
  <c r="S13" i="55" s="1"/>
  <c r="P8" i="55"/>
  <c r="S8" i="55" s="1"/>
  <c r="O10" i="59"/>
  <c r="U10" i="59" s="1"/>
  <c r="P32" i="55"/>
  <c r="S32" i="55" s="1"/>
  <c r="N22" i="55" a="1"/>
  <c r="N22" i="55" s="1"/>
  <c r="Z2" i="53"/>
  <c r="P20" i="55"/>
  <c r="S20" i="55" s="1"/>
  <c r="P38" i="55"/>
  <c r="S38" i="55" s="1"/>
  <c r="O34" i="59"/>
  <c r="P42" i="55"/>
  <c r="S42" i="55" s="1"/>
  <c r="Q12" i="26"/>
  <c r="J12" i="26"/>
  <c r="K12" i="26"/>
  <c r="Y12" i="26"/>
  <c r="H14" i="26"/>
  <c r="Y14" i="26"/>
  <c r="AE14" i="26"/>
  <c r="O14" i="26"/>
  <c r="Q14" i="26"/>
  <c r="AL14" i="26"/>
  <c r="F12" i="26"/>
  <c r="G12" i="26"/>
  <c r="N14" i="26"/>
  <c r="AC12" i="26"/>
  <c r="P14" i="26"/>
  <c r="AL12" i="26"/>
  <c r="T12" i="26"/>
  <c r="AE12" i="26"/>
  <c r="X14" i="26"/>
  <c r="AK12" i="26"/>
  <c r="L14" i="26"/>
  <c r="P45" i="55"/>
  <c r="S45" i="55" s="1"/>
  <c r="AK14" i="26"/>
  <c r="K14" i="26"/>
  <c r="P12" i="26"/>
  <c r="AA14" i="26"/>
  <c r="AJ12" i="26"/>
  <c r="V12" i="26"/>
  <c r="G14" i="26"/>
  <c r="Z12" i="26"/>
  <c r="S12" i="26"/>
  <c r="U12" i="26"/>
  <c r="AG12" i="26"/>
  <c r="G20" i="59"/>
  <c r="M36" i="55" a="1"/>
  <c r="M36" i="55" s="1"/>
  <c r="M7" i="55" a="1"/>
  <c r="M7" i="55" s="1"/>
  <c r="M20" i="55" a="1"/>
  <c r="M20" i="55" s="1"/>
  <c r="M42" i="55" a="1"/>
  <c r="M42" i="55" s="1"/>
  <c r="M56" i="55" a="1"/>
  <c r="M56" i="55" s="1"/>
  <c r="N44" i="55" a="1"/>
  <c r="N44" i="55" s="1"/>
  <c r="N46" i="55" a="1"/>
  <c r="N46" i="55" s="1"/>
  <c r="N35" i="55" a="1"/>
  <c r="N35" i="55" s="1"/>
  <c r="N28" i="55" a="1"/>
  <c r="N28" i="55" s="1"/>
  <c r="N54" i="55" a="1"/>
  <c r="N54" i="55" s="1"/>
  <c r="O9" i="59"/>
  <c r="U9" i="59" s="1"/>
  <c r="P47" i="55"/>
  <c r="S47" i="55" s="1"/>
  <c r="O37" i="59"/>
  <c r="U37" i="59" s="1"/>
  <c r="N30" i="55" a="1"/>
  <c r="N30" i="55" s="1"/>
  <c r="O35" i="59"/>
  <c r="P31" i="55"/>
  <c r="S31" i="55" s="1"/>
  <c r="AF12" i="26"/>
  <c r="O12" i="26"/>
  <c r="R12" i="26"/>
  <c r="B6" i="26"/>
  <c r="V14" i="26"/>
  <c r="L12" i="26"/>
  <c r="AH14" i="26"/>
  <c r="D6" i="26"/>
  <c r="E7" i="26"/>
  <c r="E6" i="26"/>
  <c r="O6" i="59"/>
  <c r="O38" i="59"/>
  <c r="U38" i="59" s="1"/>
  <c r="H56" i="55"/>
  <c r="O32" i="59"/>
  <c r="U32" i="59" s="1"/>
  <c r="AH12" i="26"/>
  <c r="N27" i="55" a="1"/>
  <c r="N27" i="55" s="1"/>
  <c r="N39" i="55" a="1"/>
  <c r="N39" i="55" s="1"/>
  <c r="N2" i="55"/>
  <c r="F7" i="26"/>
  <c r="F6" i="26"/>
  <c r="N40" i="59"/>
  <c r="V40" i="59"/>
  <c r="N18" i="59"/>
  <c r="G60" i="55"/>
  <c r="G61" i="55"/>
  <c r="H61" i="55"/>
  <c r="L11" i="59"/>
  <c r="N26" i="55" a="1"/>
  <c r="N26" i="55" s="1"/>
  <c r="N33" i="55" a="1"/>
  <c r="N33" i="55" s="1"/>
  <c r="N17" i="55" a="1"/>
  <c r="N17" i="55" s="1"/>
  <c r="N56" i="55" a="1"/>
  <c r="N56" i="55" s="1"/>
  <c r="N15" i="55" a="1"/>
  <c r="N15" i="55" s="1"/>
  <c r="N36" i="55" a="1"/>
  <c r="N36" i="55" s="1"/>
  <c r="N47" i="55" a="1"/>
  <c r="N47" i="55" s="1"/>
  <c r="N53" i="55" a="1"/>
  <c r="N53" i="55" s="1"/>
  <c r="N42" i="55" a="1"/>
  <c r="N42" i="55" s="1"/>
  <c r="N7" i="55" a="1"/>
  <c r="N7" i="55" s="1"/>
  <c r="N12" i="55" a="1"/>
  <c r="N12" i="55" s="1"/>
  <c r="N16" i="55" a="1"/>
  <c r="N16" i="55" s="1"/>
  <c r="N25" i="55" a="1"/>
  <c r="N25" i="55" s="1"/>
  <c r="N24" i="55" a="1"/>
  <c r="N24" i="55" s="1"/>
  <c r="N45" i="55" a="1"/>
  <c r="N45" i="55" s="1"/>
  <c r="N4" i="59"/>
  <c r="N66" i="55"/>
  <c r="N13" i="55" a="1"/>
  <c r="N13" i="55" s="1"/>
  <c r="N21" i="55" a="1"/>
  <c r="N21" i="55" s="1"/>
  <c r="F22" i="59"/>
  <c r="N31" i="55" a="1"/>
  <c r="N31" i="55" s="1"/>
  <c r="N32" i="55" a="1"/>
  <c r="N32" i="55" s="1"/>
  <c r="N29" i="55" a="1"/>
  <c r="N29" i="55" s="1"/>
  <c r="N37" i="55" a="1"/>
  <c r="N37" i="55" s="1"/>
  <c r="N49" i="55" a="1"/>
  <c r="N49" i="55" s="1"/>
  <c r="R41" i="55"/>
  <c r="T41" i="55" s="1"/>
  <c r="N41" i="55" a="1"/>
  <c r="N41" i="55" s="1"/>
  <c r="N43" i="55" a="1"/>
  <c r="N43" i="55" s="1"/>
  <c r="R36" i="55"/>
  <c r="M21" i="55" a="1"/>
  <c r="M21" i="55" s="1"/>
  <c r="M8" i="55" a="1"/>
  <c r="M8" i="55" s="1"/>
  <c r="M30" i="55" a="1"/>
  <c r="M30" i="55" s="1"/>
  <c r="M41" i="55" a="1"/>
  <c r="M41" i="55" s="1"/>
  <c r="M35" i="55" a="1"/>
  <c r="M35" i="55" s="1"/>
  <c r="M22" i="55" a="1"/>
  <c r="M22" i="55" s="1"/>
  <c r="M18" i="55" a="1"/>
  <c r="M18" i="55" s="1"/>
  <c r="M26" i="55" a="1"/>
  <c r="M26" i="55" s="1"/>
  <c r="M40" i="55" a="1"/>
  <c r="M40" i="55" s="1"/>
  <c r="M28" i="55" a="1"/>
  <c r="M28" i="55" s="1"/>
  <c r="I66" i="55"/>
  <c r="M37" i="55" a="1"/>
  <c r="M37" i="55" s="1"/>
  <c r="M13" i="55" a="1"/>
  <c r="M13" i="55" s="1"/>
  <c r="M48" i="55" a="1"/>
  <c r="M48" i="55" s="1"/>
  <c r="F7" i="59"/>
  <c r="V13" i="59"/>
  <c r="M12" i="55" a="1"/>
  <c r="M12" i="55" s="1"/>
  <c r="M14" i="55" a="1"/>
  <c r="M14" i="55" s="1"/>
  <c r="F13" i="59"/>
  <c r="M17" i="55" a="1"/>
  <c r="M17" i="55" s="1"/>
  <c r="M19" i="55" a="1"/>
  <c r="M19" i="55" s="1"/>
  <c r="M11" i="55" a="1"/>
  <c r="M11" i="55" s="1"/>
  <c r="M50" i="55" a="1"/>
  <c r="M50" i="55" s="1"/>
  <c r="M34" i="55" a="1"/>
  <c r="M34" i="55" s="1"/>
  <c r="M44" i="55" a="1"/>
  <c r="M44" i="55" s="1"/>
  <c r="M24" i="55" a="1"/>
  <c r="M24" i="55" s="1"/>
  <c r="M10" i="55" a="1"/>
  <c r="M10" i="55" s="1"/>
  <c r="M25" i="55" a="1"/>
  <c r="M25" i="55" s="1"/>
  <c r="M32" i="55" a="1"/>
  <c r="M32" i="55" s="1"/>
  <c r="M2" i="55"/>
  <c r="M39" i="55" a="1"/>
  <c r="M39" i="55" s="1"/>
  <c r="M9" i="55" a="1"/>
  <c r="M9" i="55" s="1"/>
  <c r="M33" i="55" a="1"/>
  <c r="M33" i="55" s="1"/>
  <c r="M23" i="55" a="1"/>
  <c r="M23" i="55" s="1"/>
  <c r="M29" i="55" a="1"/>
  <c r="M29" i="55" s="1"/>
  <c r="M15" i="55" a="1"/>
  <c r="M15" i="55" s="1"/>
  <c r="M49" i="55" a="1"/>
  <c r="M49" i="55" s="1"/>
  <c r="M51" i="55" a="1"/>
  <c r="M51" i="55" s="1"/>
  <c r="M66" i="55"/>
  <c r="M16" i="55" a="1"/>
  <c r="M16" i="55" s="1"/>
  <c r="M47" i="55" a="1"/>
  <c r="M47" i="55" s="1"/>
  <c r="R32" i="55"/>
  <c r="S25" i="55"/>
  <c r="N2" i="53"/>
  <c r="R44" i="55"/>
  <c r="T44" i="55" s="1"/>
  <c r="T8" i="59"/>
  <c r="R18" i="55"/>
  <c r="T18" i="55" s="1"/>
  <c r="F37" i="59"/>
  <c r="G8" i="59"/>
  <c r="L8" i="59" s="1"/>
  <c r="G9" i="59"/>
  <c r="L9" i="59" s="1"/>
  <c r="T18" i="59"/>
  <c r="V18" i="59"/>
  <c r="L25" i="59"/>
  <c r="N10" i="55" a="1"/>
  <c r="N10" i="55" s="1"/>
  <c r="R53" i="55"/>
  <c r="T53" i="55" s="1"/>
  <c r="T19" i="59"/>
  <c r="G52" i="55"/>
  <c r="H52" i="55"/>
  <c r="H55" i="55"/>
  <c r="S49" i="55"/>
  <c r="N38" i="55" a="1"/>
  <c r="N38" i="55" s="1"/>
  <c r="R22" i="55"/>
  <c r="N40" i="55" a="1"/>
  <c r="N40" i="55" s="1"/>
  <c r="N50" i="55" a="1"/>
  <c r="N50" i="55" s="1"/>
  <c r="M27" i="55" a="1"/>
  <c r="M27" i="55" s="1"/>
  <c r="N19" i="59"/>
  <c r="M55" i="55" a="1"/>
  <c r="M55" i="55" s="1"/>
  <c r="N9" i="55" a="1"/>
  <c r="N9" i="55" s="1"/>
  <c r="N48" i="55" a="1"/>
  <c r="N48" i="55" s="1"/>
  <c r="N34" i="55" a="1"/>
  <c r="N34" i="55" s="1"/>
  <c r="R51" i="55"/>
  <c r="P2" i="55"/>
  <c r="N55" i="55" a="1"/>
  <c r="N55" i="55" s="1"/>
  <c r="M54" i="55" a="1"/>
  <c r="M54" i="55" s="1"/>
  <c r="N19" i="55" a="1"/>
  <c r="N19" i="55" s="1"/>
  <c r="I2" i="55"/>
  <c r="N52" i="55" a="1"/>
  <c r="N52" i="55" s="1"/>
  <c r="N23" i="55" a="1"/>
  <c r="N23" i="55" s="1"/>
  <c r="N5" i="59"/>
  <c r="F8" i="59"/>
  <c r="M53" i="55" a="1"/>
  <c r="M53" i="55" s="1"/>
  <c r="N14" i="55" a="1"/>
  <c r="N14" i="55" s="1"/>
  <c r="N8" i="59"/>
  <c r="S40" i="55"/>
  <c r="H34" i="55"/>
  <c r="G16" i="55"/>
  <c r="H16" i="55"/>
  <c r="H21" i="55"/>
  <c r="K51" i="55" a="1"/>
  <c r="K51" i="55" s="1"/>
  <c r="S16" i="55"/>
  <c r="R16" i="55"/>
  <c r="G7" i="26"/>
  <c r="H7" i="26" s="1"/>
  <c r="S19" i="55"/>
  <c r="R19" i="55"/>
  <c r="G22" i="55"/>
  <c r="G4" i="59"/>
  <c r="L4" i="59" s="1"/>
  <c r="V41" i="59"/>
  <c r="K26" i="55" a="1"/>
  <c r="K26" i="55" s="1"/>
  <c r="J2" i="55"/>
  <c r="J66" i="55"/>
  <c r="N51" i="55" a="1"/>
  <c r="N51" i="55" s="1"/>
  <c r="G6" i="26"/>
  <c r="D10" i="57"/>
  <c r="D5" i="57"/>
  <c r="D8" i="57"/>
  <c r="D9" i="57"/>
  <c r="D7" i="57"/>
  <c r="D12" i="57"/>
  <c r="D11" i="57"/>
  <c r="D6" i="57"/>
  <c r="R10" i="55" l="1"/>
  <c r="T10" i="55" s="1"/>
  <c r="T39" i="59"/>
  <c r="AE2" i="53"/>
  <c r="M20" i="59"/>
  <c r="T25" i="59"/>
  <c r="R56" i="55"/>
  <c r="T56" i="55" s="1"/>
  <c r="H30" i="55"/>
  <c r="T27" i="59"/>
  <c r="F34" i="59"/>
  <c r="R9" i="55"/>
  <c r="T9" i="55" s="1"/>
  <c r="O54" i="55"/>
  <c r="V34" i="59"/>
  <c r="R42" i="59"/>
  <c r="K42" i="59"/>
  <c r="G10" i="55"/>
  <c r="K10" i="55" a="1"/>
  <c r="K10" i="55" s="1"/>
  <c r="H49" i="55"/>
  <c r="O11" i="55"/>
  <c r="O38" i="55"/>
  <c r="T51" i="55"/>
  <c r="N34" i="59"/>
  <c r="N37" i="59"/>
  <c r="F35" i="59"/>
  <c r="R30" i="55"/>
  <c r="F20" i="59"/>
  <c r="R49" i="55"/>
  <c r="R20" i="55"/>
  <c r="V9" i="59"/>
  <c r="R50" i="55"/>
  <c r="T50" i="55" s="1"/>
  <c r="T10" i="59"/>
  <c r="R54" i="55"/>
  <c r="R42" i="55"/>
  <c r="T42" i="55" s="1"/>
  <c r="K56" i="55" a="1"/>
  <c r="K56" i="55" s="1"/>
  <c r="O32" i="55"/>
  <c r="K37" i="55" a="1"/>
  <c r="K37" i="55" s="1"/>
  <c r="K16" i="55" a="1"/>
  <c r="K16" i="55" s="1"/>
  <c r="K14" i="59"/>
  <c r="K49" i="55" a="1"/>
  <c r="K49" i="55" s="1"/>
  <c r="K53" i="55" a="1"/>
  <c r="K53" i="55" s="1"/>
  <c r="K30" i="55" a="1"/>
  <c r="K30" i="55" s="1"/>
  <c r="T41" i="59"/>
  <c r="G7" i="59"/>
  <c r="M7" i="59" s="1"/>
  <c r="K52" i="55" a="1"/>
  <c r="K52" i="55" s="1"/>
  <c r="K21" i="55" a="1"/>
  <c r="K21" i="55" s="1"/>
  <c r="N13" i="59"/>
  <c r="K58" i="55" a="1"/>
  <c r="K58" i="55" s="1"/>
  <c r="T20" i="59"/>
  <c r="K2" i="55"/>
  <c r="R12" i="55"/>
  <c r="T12" i="55" s="1"/>
  <c r="K11" i="55" a="1"/>
  <c r="K11" i="55" s="1"/>
  <c r="K55" i="55" a="1"/>
  <c r="K55" i="55" s="1"/>
  <c r="T22" i="59"/>
  <c r="K66" i="55"/>
  <c r="G36" i="59"/>
  <c r="M36" i="59" s="1"/>
  <c r="G35" i="59"/>
  <c r="L35" i="59" s="1"/>
  <c r="T4" i="59"/>
  <c r="O34" i="55"/>
  <c r="T36" i="59"/>
  <c r="V37" i="59"/>
  <c r="V23" i="59"/>
  <c r="V33" i="59"/>
  <c r="R31" i="55"/>
  <c r="T31" i="55" s="1"/>
  <c r="R13" i="55"/>
  <c r="T13" i="55" s="1"/>
  <c r="E14" i="59"/>
  <c r="P14" i="59"/>
  <c r="V14" i="59" s="1"/>
  <c r="N7" i="59"/>
  <c r="V8" i="59"/>
  <c r="N10" i="59"/>
  <c r="I14" i="59"/>
  <c r="G25" i="59"/>
  <c r="M25" i="59" s="1"/>
  <c r="V26" i="59"/>
  <c r="T37" i="59"/>
  <c r="F24" i="59"/>
  <c r="T20" i="55"/>
  <c r="O23" i="55"/>
  <c r="G37" i="59"/>
  <c r="L37" i="59" s="1"/>
  <c r="K61" i="55" a="1"/>
  <c r="K61" i="55" s="1"/>
  <c r="K57" i="55" a="1"/>
  <c r="K57" i="55" s="1"/>
  <c r="R15" i="55"/>
  <c r="V19" i="59"/>
  <c r="Q2" i="55"/>
  <c r="R17" i="55"/>
  <c r="M8" i="59"/>
  <c r="O13" i="55"/>
  <c r="V6" i="59"/>
  <c r="T7" i="59"/>
  <c r="G6" i="59"/>
  <c r="L6" i="59" s="1"/>
  <c r="O66" i="55"/>
  <c r="C14" i="59"/>
  <c r="F33" i="59"/>
  <c r="O15" i="55"/>
  <c r="I42" i="59"/>
  <c r="V20" i="59"/>
  <c r="J28" i="59"/>
  <c r="F9" i="59"/>
  <c r="H57" i="55"/>
  <c r="T23" i="59"/>
  <c r="P28" i="59"/>
  <c r="T32" i="59"/>
  <c r="N32" i="59"/>
  <c r="G57" i="55"/>
  <c r="H53" i="55"/>
  <c r="R46" i="55"/>
  <c r="T46" i="55" s="1"/>
  <c r="R11" i="55"/>
  <c r="T11" i="55" s="1"/>
  <c r="B28" i="59"/>
  <c r="G28" i="55"/>
  <c r="T35" i="59"/>
  <c r="O35" i="55"/>
  <c r="T21" i="55"/>
  <c r="L23" i="59"/>
  <c r="F27" i="59"/>
  <c r="T6" i="59"/>
  <c r="G53" i="55"/>
  <c r="R34" i="55"/>
  <c r="T34" i="55" s="1"/>
  <c r="O47" i="55"/>
  <c r="K24" i="55" a="1"/>
  <c r="K24" i="55" s="1"/>
  <c r="R62" i="55"/>
  <c r="T62" i="55" s="1"/>
  <c r="T9" i="59"/>
  <c r="K36" i="55" a="1"/>
  <c r="K36" i="55" s="1"/>
  <c r="R52" i="55"/>
  <c r="T52" i="55" s="1"/>
  <c r="O27" i="55"/>
  <c r="P2" i="53"/>
  <c r="F19" i="59"/>
  <c r="R61" i="55"/>
  <c r="T61" i="55" s="1"/>
  <c r="T12" i="59"/>
  <c r="V36" i="59"/>
  <c r="F32" i="59"/>
  <c r="R58" i="55"/>
  <c r="T58" i="55" s="1"/>
  <c r="P66" i="55"/>
  <c r="O9" i="55"/>
  <c r="T34" i="59"/>
  <c r="R14" i="59"/>
  <c r="N6" i="59"/>
  <c r="V7" i="59"/>
  <c r="V10" i="59"/>
  <c r="D14" i="59"/>
  <c r="S14" i="59"/>
  <c r="N35" i="59"/>
  <c r="P42" i="59"/>
  <c r="F36" i="59"/>
  <c r="F23" i="59"/>
  <c r="V24" i="59"/>
  <c r="R28" i="59"/>
  <c r="K28" i="59"/>
  <c r="J42" i="59"/>
  <c r="O51" i="55"/>
  <c r="T33" i="59"/>
  <c r="R28" i="55"/>
  <c r="T28" i="55" s="1"/>
  <c r="O42" i="59"/>
  <c r="U42" i="59" s="1"/>
  <c r="R7" i="55"/>
  <c r="T7" i="55" s="1"/>
  <c r="T35" i="55"/>
  <c r="R24" i="55"/>
  <c r="T24" i="55" s="1"/>
  <c r="O39" i="55"/>
  <c r="B14" i="59"/>
  <c r="H14" i="59"/>
  <c r="N14" i="59" s="1"/>
  <c r="R38" i="55"/>
  <c r="T38" i="55" s="1"/>
  <c r="J14" i="59"/>
  <c r="D42" i="59"/>
  <c r="U34" i="59"/>
  <c r="T24" i="59"/>
  <c r="O12" i="55"/>
  <c r="N36" i="59"/>
  <c r="R37" i="55"/>
  <c r="T37" i="55" s="1"/>
  <c r="L39" i="59"/>
  <c r="O20" i="55"/>
  <c r="M23" i="59"/>
  <c r="S17" i="55"/>
  <c r="S28" i="59"/>
  <c r="S42" i="59"/>
  <c r="K45" i="55" a="1"/>
  <c r="K45" i="55" s="1"/>
  <c r="F5" i="59"/>
  <c r="V38" i="59"/>
  <c r="H28" i="59"/>
  <c r="Q28" i="59"/>
  <c r="E42" i="59"/>
  <c r="U35" i="59"/>
  <c r="O22" i="55"/>
  <c r="T40" i="59"/>
  <c r="S2" i="53"/>
  <c r="R48" i="55"/>
  <c r="T48" i="55" s="1"/>
  <c r="R14" i="55"/>
  <c r="T14" i="55" s="1"/>
  <c r="F10" i="59"/>
  <c r="R59" i="55"/>
  <c r="V35" i="59"/>
  <c r="O28" i="59"/>
  <c r="U28" i="59" s="1"/>
  <c r="L41" i="59"/>
  <c r="V5" i="59"/>
  <c r="G24" i="59"/>
  <c r="G11" i="59"/>
  <c r="M11" i="59" s="1"/>
  <c r="R43" i="55"/>
  <c r="T43" i="55" s="1"/>
  <c r="O8" i="55"/>
  <c r="H42" i="59"/>
  <c r="V32" i="59"/>
  <c r="Q42" i="59"/>
  <c r="R29" i="55"/>
  <c r="T29" i="55" s="1"/>
  <c r="M9" i="59"/>
  <c r="O50" i="55"/>
  <c r="E28" i="59"/>
  <c r="G38" i="59"/>
  <c r="L38" i="59" s="1"/>
  <c r="G10" i="59"/>
  <c r="L10" i="59" s="1"/>
  <c r="O19" i="55"/>
  <c r="O28" i="55"/>
  <c r="R40" i="55"/>
  <c r="T40" i="55" s="1"/>
  <c r="R25" i="55"/>
  <c r="T25" i="55" s="1"/>
  <c r="C28" i="59"/>
  <c r="F11" i="59"/>
  <c r="G34" i="59"/>
  <c r="M34" i="59" s="1"/>
  <c r="T30" i="55"/>
  <c r="O42" i="55"/>
  <c r="O36" i="55"/>
  <c r="T19" i="55"/>
  <c r="V25" i="59"/>
  <c r="T38" i="59"/>
  <c r="V11" i="59"/>
  <c r="R33" i="55"/>
  <c r="T33" i="55" s="1"/>
  <c r="O16" i="55"/>
  <c r="U6" i="59"/>
  <c r="T26" i="59"/>
  <c r="V12" i="59"/>
  <c r="T32" i="55"/>
  <c r="T15" i="55"/>
  <c r="T54" i="55"/>
  <c r="R60" i="55"/>
  <c r="T60" i="55" s="1"/>
  <c r="O52" i="55"/>
  <c r="S68" i="53"/>
  <c r="O14" i="59"/>
  <c r="U14" i="59" s="1"/>
  <c r="T16" i="55"/>
  <c r="O25" i="55"/>
  <c r="O17" i="55"/>
  <c r="G19" i="59"/>
  <c r="N27" i="59"/>
  <c r="N21" i="59"/>
  <c r="P68" i="53"/>
  <c r="L23" i="55" s="1" a="1"/>
  <c r="L23" i="55" s="1"/>
  <c r="O55" i="55"/>
  <c r="O2" i="55"/>
  <c r="O31" i="55"/>
  <c r="O43" i="55"/>
  <c r="K17" i="55" a="1"/>
  <c r="K17" i="55" s="1"/>
  <c r="D28" i="59"/>
  <c r="O37" i="55"/>
  <c r="O14" i="55"/>
  <c r="O7" i="55"/>
  <c r="L26" i="59"/>
  <c r="O26" i="55"/>
  <c r="F4" i="59"/>
  <c r="N20" i="59"/>
  <c r="Q66" i="55"/>
  <c r="R57" i="55"/>
  <c r="T57" i="55" s="1"/>
  <c r="T36" i="55"/>
  <c r="F25" i="59"/>
  <c r="K38" i="55" a="1"/>
  <c r="K38" i="55" s="1"/>
  <c r="K22" i="55" a="1"/>
  <c r="K22" i="55" s="1"/>
  <c r="O10" i="55"/>
  <c r="O21" i="55"/>
  <c r="U5" i="59"/>
  <c r="V4" i="59"/>
  <c r="O44" i="55"/>
  <c r="M4" i="59"/>
  <c r="B42" i="59"/>
  <c r="F38" i="59"/>
  <c r="O48" i="55"/>
  <c r="O18" i="55"/>
  <c r="R27" i="55"/>
  <c r="T27" i="55" s="1"/>
  <c r="O29" i="55"/>
  <c r="T11" i="59"/>
  <c r="G33" i="59"/>
  <c r="M33" i="59" s="1"/>
  <c r="R26" i="55"/>
  <c r="T26" i="55" s="1"/>
  <c r="O46" i="55"/>
  <c r="G5" i="59"/>
  <c r="L5" i="59" s="1"/>
  <c r="N24" i="59"/>
  <c r="G12" i="59"/>
  <c r="M12" i="59" s="1"/>
  <c r="O53" i="55"/>
  <c r="O40" i="55"/>
  <c r="R55" i="55"/>
  <c r="T55" i="55" s="1"/>
  <c r="R47" i="55"/>
  <c r="T47" i="55" s="1"/>
  <c r="V39" i="59"/>
  <c r="N38" i="59"/>
  <c r="F12" i="59"/>
  <c r="T22" i="55"/>
  <c r="O33" i="55"/>
  <c r="O56" i="55"/>
  <c r="K33" i="55" a="1"/>
  <c r="K33" i="55" s="1"/>
  <c r="O24" i="55"/>
  <c r="K48" i="55" a="1"/>
  <c r="K48" i="55" s="1"/>
  <c r="H40" i="55"/>
  <c r="K40" i="55" a="1"/>
  <c r="K40" i="55" s="1"/>
  <c r="K19" i="55" a="1"/>
  <c r="K19" i="55" s="1"/>
  <c r="K14" i="55" a="1"/>
  <c r="K14" i="55" s="1"/>
  <c r="G14" i="55"/>
  <c r="H37" i="55"/>
  <c r="K34" i="55" a="1"/>
  <c r="K34" i="55" s="1"/>
  <c r="G32" i="55"/>
  <c r="K32" i="55" a="1"/>
  <c r="K32" i="55" s="1"/>
  <c r="G47" i="55"/>
  <c r="K28" i="55" a="1"/>
  <c r="K28" i="55" s="1"/>
  <c r="L32" i="55" a="1"/>
  <c r="L32" i="55" s="1"/>
  <c r="H19" i="55"/>
  <c r="H58" i="55"/>
  <c r="L41" i="55" a="1"/>
  <c r="L41" i="55" s="1"/>
  <c r="G29" i="55"/>
  <c r="L19" i="55" a="1"/>
  <c r="L19" i="55" s="1"/>
  <c r="G58" i="55"/>
  <c r="G13" i="55"/>
  <c r="H13" i="55"/>
  <c r="K13" i="55" a="1"/>
  <c r="K13" i="55" s="1"/>
  <c r="G20" i="55"/>
  <c r="H20" i="55"/>
  <c r="G54" i="55"/>
  <c r="K54" i="55" a="1"/>
  <c r="K54" i="55" s="1"/>
  <c r="H54" i="55"/>
  <c r="H43" i="55"/>
  <c r="G39" i="55"/>
  <c r="K41" i="55" a="1"/>
  <c r="K41" i="55" s="1"/>
  <c r="L39" i="55" a="1"/>
  <c r="L39" i="55" s="1"/>
  <c r="L45" i="55" a="1"/>
  <c r="L45" i="55" s="1"/>
  <c r="L44" i="55" a="1"/>
  <c r="L44" i="55" s="1"/>
  <c r="K29" i="55" a="1"/>
  <c r="K29" i="55" s="1"/>
  <c r="H22" i="55"/>
  <c r="K42" i="55" a="1"/>
  <c r="K42" i="55" s="1"/>
  <c r="G23" i="55"/>
  <c r="G45" i="55"/>
  <c r="L27" i="55" a="1"/>
  <c r="L27" i="55" s="1"/>
  <c r="H41" i="55"/>
  <c r="L29" i="55" a="1"/>
  <c r="L29" i="55" s="1"/>
  <c r="H23" i="55"/>
  <c r="H45" i="55"/>
  <c r="H11" i="55"/>
  <c r="L33" i="55" a="1"/>
  <c r="L33" i="55" s="1"/>
  <c r="L43" i="55" a="1"/>
  <c r="L43" i="55" s="1"/>
  <c r="L21" i="55" a="1"/>
  <c r="L21" i="55" s="1"/>
  <c r="G33" i="55"/>
  <c r="K43" i="55" a="1"/>
  <c r="K43" i="55" s="1"/>
  <c r="H27" i="55"/>
  <c r="K27" i="55" a="1"/>
  <c r="K27" i="55" s="1"/>
  <c r="K47" i="55" a="1"/>
  <c r="K47" i="55" s="1"/>
  <c r="G59" i="55"/>
  <c r="H59" i="55"/>
  <c r="L59" i="55" a="1"/>
  <c r="L59" i="55" s="1"/>
  <c r="K59" i="55" a="1"/>
  <c r="K59" i="55" s="1"/>
  <c r="G9" i="55"/>
  <c r="K9" i="55" a="1"/>
  <c r="K9" i="55" s="1"/>
  <c r="H9" i="55"/>
  <c r="L35" i="55" a="1"/>
  <c r="L35" i="55" s="1"/>
  <c r="H35" i="55"/>
  <c r="K35" i="55" a="1"/>
  <c r="K35" i="55" s="1"/>
  <c r="G35" i="55"/>
  <c r="L7" i="55" a="1"/>
  <c r="L7" i="55" s="1"/>
  <c r="G7" i="55"/>
  <c r="K7" i="55" a="1"/>
  <c r="K7" i="55" s="1"/>
  <c r="H7" i="55"/>
  <c r="H18" i="55"/>
  <c r="K18" i="55" a="1"/>
  <c r="K18" i="55" s="1"/>
  <c r="G18" i="55"/>
  <c r="H15" i="55"/>
  <c r="G15" i="55"/>
  <c r="K15" i="55" a="1"/>
  <c r="K15" i="55" s="1"/>
  <c r="K50" i="55" a="1"/>
  <c r="K50" i="55" s="1"/>
  <c r="G50" i="55"/>
  <c r="H50" i="55"/>
  <c r="L50" i="55" a="1"/>
  <c r="L50" i="55" s="1"/>
  <c r="H25" i="55"/>
  <c r="L25" i="55" a="1"/>
  <c r="L25" i="55" s="1"/>
  <c r="G25" i="55"/>
  <c r="K25" i="55" a="1"/>
  <c r="K25" i="55" s="1"/>
  <c r="G12" i="55"/>
  <c r="L12" i="55" a="1"/>
  <c r="L12" i="55" s="1"/>
  <c r="H12" i="55"/>
  <c r="K12" i="55" a="1"/>
  <c r="K12" i="55" s="1"/>
  <c r="K31" i="55" a="1"/>
  <c r="K31" i="55" s="1"/>
  <c r="L38" i="55" a="1"/>
  <c r="L38" i="55" s="1"/>
  <c r="L46" i="55" a="1"/>
  <c r="L46" i="55" s="1"/>
  <c r="G38" i="55"/>
  <c r="L24" i="55" a="1"/>
  <c r="L24" i="55" s="1"/>
  <c r="L42" i="55" a="1"/>
  <c r="L42" i="55" s="1"/>
  <c r="K20" i="55" a="1"/>
  <c r="K20" i="55" s="1"/>
  <c r="G17" i="55"/>
  <c r="G11" i="55"/>
  <c r="H38" i="55"/>
  <c r="H42" i="55"/>
  <c r="H17" i="55"/>
  <c r="L48" i="55" a="1"/>
  <c r="L48" i="55" s="1"/>
  <c r="L20" i="55" a="1"/>
  <c r="L20" i="55" s="1"/>
  <c r="K46" i="55" a="1"/>
  <c r="K46" i="55" s="1"/>
  <c r="G24" i="55"/>
  <c r="L18" i="55" a="1"/>
  <c r="L18" i="55" s="1"/>
  <c r="L31" i="55" a="1"/>
  <c r="L31" i="55" s="1"/>
  <c r="G36" i="55"/>
  <c r="L8" i="55" a="1"/>
  <c r="L8" i="55" s="1"/>
  <c r="G31" i="55"/>
  <c r="L37" i="55" a="1"/>
  <c r="L37" i="55" s="1"/>
  <c r="G46" i="55"/>
  <c r="K39" i="55" a="1"/>
  <c r="K39" i="55" s="1"/>
  <c r="G44" i="55"/>
  <c r="L17" i="55" a="1"/>
  <c r="L17" i="55" s="1"/>
  <c r="H33" i="55"/>
  <c r="K44" i="55" a="1"/>
  <c r="K44" i="55" s="1"/>
  <c r="H48" i="55"/>
  <c r="H8" i="55"/>
  <c r="K8" i="55" a="1"/>
  <c r="K8" i="55" s="1"/>
  <c r="D13" i="57"/>
  <c r="E5" i="57"/>
  <c r="E6" i="57" s="1"/>
  <c r="E7" i="57" s="1"/>
  <c r="E8" i="57" s="1"/>
  <c r="E9" i="57" s="1"/>
  <c r="E10" i="57" s="1"/>
  <c r="E11" i="57" s="1"/>
  <c r="E12" i="57" s="1"/>
  <c r="O45" i="55"/>
  <c r="O41" i="55"/>
  <c r="O49" i="55"/>
  <c r="O30" i="55"/>
  <c r="I7" i="26"/>
  <c r="H6" i="26"/>
  <c r="N22" i="59"/>
  <c r="R39" i="55"/>
  <c r="T39" i="55" s="1"/>
  <c r="R23" i="55"/>
  <c r="T23" i="55" s="1"/>
  <c r="G48" i="55"/>
  <c r="I28" i="59"/>
  <c r="G32" i="59"/>
  <c r="R8" i="55"/>
  <c r="T8" i="55" s="1"/>
  <c r="H60" i="55"/>
  <c r="K60" i="55" a="1"/>
  <c r="K60" i="55" s="1"/>
  <c r="N9" i="59"/>
  <c r="G51" i="55"/>
  <c r="H51" i="55"/>
  <c r="B12" i="26"/>
  <c r="I12" i="26"/>
  <c r="AF14" i="26"/>
  <c r="H12" i="26"/>
  <c r="AI12" i="26"/>
  <c r="G2" i="26"/>
  <c r="AD14" i="26"/>
  <c r="AI14" i="26"/>
  <c r="C6" i="26"/>
  <c r="W14" i="26"/>
  <c r="AB14" i="26"/>
  <c r="D12" i="26"/>
  <c r="I14" i="26"/>
  <c r="T14" i="26"/>
  <c r="AG14" i="26"/>
  <c r="N12" i="26"/>
  <c r="Z14" i="26"/>
  <c r="R14" i="26"/>
  <c r="AJ14" i="26"/>
  <c r="C12" i="26"/>
  <c r="AA12" i="26"/>
  <c r="J14" i="26"/>
  <c r="AC14" i="26"/>
  <c r="AD12" i="26"/>
  <c r="E12" i="26"/>
  <c r="AB12" i="26"/>
  <c r="F14" i="26"/>
  <c r="M12" i="26"/>
  <c r="X12" i="26"/>
  <c r="H26" i="55"/>
  <c r="L26" i="55" a="1"/>
  <c r="L26" i="55" s="1"/>
  <c r="T49" i="55"/>
  <c r="R45" i="55"/>
  <c r="T45" i="55" s="1"/>
  <c r="L20" i="59"/>
  <c r="C42" i="59"/>
  <c r="V21" i="59"/>
  <c r="T21" i="59"/>
  <c r="F21" i="59"/>
  <c r="G62" i="55"/>
  <c r="H62" i="55"/>
  <c r="L62" i="55" a="1"/>
  <c r="L62" i="55" s="1"/>
  <c r="K62" i="55" a="1"/>
  <c r="K62" i="55" s="1"/>
  <c r="M14" i="26"/>
  <c r="W12" i="26"/>
  <c r="U14" i="26"/>
  <c r="T59" i="55"/>
  <c r="F26" i="59"/>
  <c r="N12" i="59"/>
  <c r="L28" i="55" l="1" a="1"/>
  <c r="L28" i="55" s="1"/>
  <c r="L7" i="59"/>
  <c r="G14" i="59"/>
  <c r="M14" i="59" s="1"/>
  <c r="M5" i="59"/>
  <c r="M35" i="59"/>
  <c r="L36" i="59"/>
  <c r="T17" i="55"/>
  <c r="N28" i="59"/>
  <c r="M6" i="59"/>
  <c r="M38" i="59"/>
  <c r="M37" i="59"/>
  <c r="T28" i="59"/>
  <c r="L34" i="55" a="1"/>
  <c r="L34" i="55" s="1"/>
  <c r="L9" i="55" a="1"/>
  <c r="L9" i="55" s="1"/>
  <c r="L54" i="55" a="1"/>
  <c r="L54" i="55" s="1"/>
  <c r="V28" i="59"/>
  <c r="L13" i="55" a="1"/>
  <c r="L13" i="55" s="1"/>
  <c r="T42" i="59"/>
  <c r="L11" i="55" a="1"/>
  <c r="L11" i="55" s="1"/>
  <c r="L14" i="55" a="1"/>
  <c r="L14" i="55" s="1"/>
  <c r="L30" i="55" a="1"/>
  <c r="L30" i="55" s="1"/>
  <c r="L15" i="55" a="1"/>
  <c r="L15" i="55" s="1"/>
  <c r="L61" i="55" a="1"/>
  <c r="L61" i="55" s="1"/>
  <c r="S2" i="55"/>
  <c r="R2" i="55"/>
  <c r="S66" i="55"/>
  <c r="L47" i="55" a="1"/>
  <c r="L47" i="55" s="1"/>
  <c r="L58" i="55" a="1"/>
  <c r="L58" i="55" s="1"/>
  <c r="R66" i="55"/>
  <c r="M10" i="59"/>
  <c r="M24" i="59"/>
  <c r="L24" i="59"/>
  <c r="L34" i="59"/>
  <c r="X68" i="53"/>
  <c r="X2" i="53"/>
  <c r="V42" i="59"/>
  <c r="L22" i="55" a="1"/>
  <c r="L22" i="55" s="1"/>
  <c r="L60" i="55" a="1"/>
  <c r="L60" i="55" s="1"/>
  <c r="L2" i="55"/>
  <c r="L56" i="55" a="1"/>
  <c r="L56" i="55" s="1"/>
  <c r="L10" i="55" a="1"/>
  <c r="L10" i="55" s="1"/>
  <c r="L16" i="55" a="1"/>
  <c r="L16" i="55" s="1"/>
  <c r="L49" i="55" a="1"/>
  <c r="L49" i="55" s="1"/>
  <c r="F42" i="59" a="1"/>
  <c r="F42" i="59" s="1"/>
  <c r="L40" i="55" a="1"/>
  <c r="L40" i="55" s="1"/>
  <c r="L53" i="55" a="1"/>
  <c r="L53" i="55" s="1"/>
  <c r="L52" i="55" a="1"/>
  <c r="L52" i="55" s="1"/>
  <c r="L57" i="55" a="1"/>
  <c r="L57" i="55" s="1"/>
  <c r="F28" i="59" a="1"/>
  <c r="F28" i="59" s="1"/>
  <c r="L36" i="55" a="1"/>
  <c r="L36" i="55" s="1"/>
  <c r="L51" i="55" a="1"/>
  <c r="L51" i="55" s="1"/>
  <c r="L66" i="55"/>
  <c r="F14" i="59" a="1"/>
  <c r="F14" i="59" s="1"/>
  <c r="L55" i="55" a="1"/>
  <c r="L55" i="55" s="1"/>
  <c r="L33" i="59"/>
  <c r="L19" i="59"/>
  <c r="G28" i="59"/>
  <c r="M19" i="59"/>
  <c r="T14" i="59"/>
  <c r="G2" i="55"/>
  <c r="H66" i="55"/>
  <c r="G66" i="55"/>
  <c r="H67" i="55" s="1"/>
  <c r="L32" i="59"/>
  <c r="M32" i="59"/>
  <c r="G42" i="59"/>
  <c r="M42" i="59" s="1"/>
  <c r="G67" i="55"/>
  <c r="G3" i="55"/>
  <c r="J7" i="26"/>
  <c r="I6" i="26"/>
  <c r="L14" i="59"/>
  <c r="H2" i="55"/>
  <c r="N42" i="59"/>
  <c r="T2" i="55" l="1"/>
  <c r="T66" i="55"/>
  <c r="L28" i="59"/>
  <c r="M28" i="59"/>
  <c r="L42" i="59"/>
  <c r="H3" i="55"/>
  <c r="J6" i="26"/>
  <c r="K7" i="26"/>
  <c r="K6" i="26" l="1"/>
  <c r="L7" i="26"/>
  <c r="L6" i="26" l="1"/>
  <c r="M7" i="26"/>
  <c r="N7" i="26" l="1"/>
  <c r="M6" i="26"/>
  <c r="N6" i="26" l="1"/>
  <c r="O7" i="26"/>
  <c r="O6" i="26" l="1"/>
  <c r="P7" i="26"/>
  <c r="P6" i="26" l="1"/>
  <c r="Q7" i="26"/>
  <c r="R7" i="26" l="1"/>
  <c r="Q6" i="26"/>
  <c r="S7" i="26" l="1"/>
  <c r="R6" i="26"/>
  <c r="S6" i="26" l="1"/>
  <c r="T7" i="26"/>
  <c r="U7" i="26" l="1"/>
  <c r="T6" i="26"/>
  <c r="U6" i="26" l="1"/>
  <c r="V7" i="26"/>
  <c r="W7" i="26" l="1"/>
  <c r="V6" i="26"/>
  <c r="W6" i="26" l="1"/>
  <c r="X7" i="26"/>
  <c r="X6" i="26" l="1"/>
  <c r="Y7" i="26"/>
  <c r="Z7" i="26" l="1"/>
  <c r="Y6" i="26"/>
  <c r="Z6" i="26" l="1"/>
  <c r="AA7" i="26"/>
  <c r="AB7" i="26" l="1"/>
  <c r="AA6" i="26"/>
  <c r="AB6" i="26" l="1"/>
  <c r="AC7" i="26"/>
  <c r="AC6" i="26" l="1"/>
  <c r="AD7" i="26"/>
  <c r="AD6" i="26" l="1"/>
  <c r="AE7" i="26"/>
  <c r="AE6" i="26" l="1"/>
  <c r="AF7" i="26"/>
  <c r="AF6" i="26" l="1"/>
  <c r="AG7" i="26"/>
  <c r="AH7" i="26" l="1"/>
  <c r="AG6" i="26"/>
  <c r="AI7" i="26" l="1"/>
  <c r="AH6" i="26"/>
  <c r="AJ7" i="26" l="1"/>
  <c r="AI6" i="26"/>
  <c r="AJ6" i="26" l="1"/>
  <c r="AK7" i="26"/>
  <c r="AL7" i="26" l="1"/>
  <c r="AK6"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<sst xmlns="http://schemas.openxmlformats.org/spreadsheetml/2006/main" count="2790" uniqueCount="690">
  <si>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</si>
  <si>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</si>
  <si>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</si>
  <si>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</si>
  <si>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</si>
  <si>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</si>
  <si>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</si>
  <si>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</si>
  <si>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</si>
  <si>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</si>
  <si>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</si>
  <si>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</si>
  <si>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</si>
  <si>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</si>
  <si>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</si>
  <si>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</si>
  <si>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</si>
  <si>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</si>
  <si>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</si>
  <si>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</si>
  <si>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</si>
  <si>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</si>
  <si>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</si>
  <si>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</si>
  <si>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</si>
  <si>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</si>
  <si>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</si>
  <si>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</si>
  <si>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</si>
  <si>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</si>
  <si>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</si>
  <si>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</si>
  <si>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</si>
  <si>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</si>
  <si>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</si>
  <si>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</si>
  <si>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</si>
  <si>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</si>
  <si>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</si>
  <si>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</si>
  <si>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</si>
  <si>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</si>
  <si>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</si>
  <si>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</si>
  <si>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</si>
  <si>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</si>
  <si>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</si>
  <si>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</si>
  <si>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</si>
  <si>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</si>
  <si>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</si>
  <si>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</si>
  <si>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</si>
  <si>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</si>
  <si>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</si>
  <si>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</si>
  <si>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</si>
  <si>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</si>
  <si>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</si>
  <si>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</si>
  <si>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</si>
  <si>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</si>
  <si>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</si>
  <si>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</si>
  <si>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</si>
  <si>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</si>
  <si>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</si>
  <si>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</si>
  <si>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</si>
  <si>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</si>
  <si>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</si>
  <si>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</si>
  <si>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</si>
  <si>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</si>
  <si>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</si>
  <si>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</si>
  <si>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</si>
  <si>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</si>
  <si>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</si>
  <si>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</si>
  <si>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</si>
  <si>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</si>
  <si>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</si>
  <si>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</si>
  <si>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</si>
  <si>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</si>
  <si>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</si>
  <si>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</si>
  <si>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</si>
  <si>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</si>
  <si>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</si>
  <si>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</si>
  <si>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</si>
  <si>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</si>
  <si>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</si>
  <si>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</si>
  <si>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</si>
  <si>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</si>
  <si>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</si>
  <si>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</si>
  <si>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</si>
  <si>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</si>
  <si>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</si>
  <si>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</si>
  <si>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</si>
  <si>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</si>
  <si>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</si>
  <si>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</si>
  <si>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</si>
  <si>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</si>
  <si>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</si>
  <si>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</si>
  <si>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</si>
  <si>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</si>
  <si>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</si>
  <si>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</si>
  <si>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</si>
  <si>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</si>
  <si>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</si>
  <si>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</si>
  <si>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</si>
  <si>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</si>
  <si>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</si>
  <si>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</si>
  <si>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</si>
  <si>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</si>
  <si>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</si>
  <si>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</si>
  <si>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</si>
  <si>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</si>
  <si>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</si>
  <si>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</si>
  <si>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</si>
  <si>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</si>
  <si>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</si>
  <si>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</si>
  <si>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</si>
  <si>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</si>
  <si>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</si>
  <si>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</si>
  <si>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</si>
  <si>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</si>
  <si>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</si>
  <si>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</si>
  <si>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</si>
  <si>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</si>
  <si>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</si>
  <si>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</si>
  <si>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</si>
  <si>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</si>
  <si>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</si>
  <si>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</si>
  <si>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</si>
  <si>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</si>
  <si>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</si>
  <si>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</si>
  <si>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</si>
  <si>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</si>
  <si>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</si>
  <si>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</si>
  <si>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</si>
  <si>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</si>
  <si>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</si>
  <si>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</si>
  <si>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</si>
  <si>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</si>
  <si>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</si>
  <si>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</si>
  <si>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</si>
  <si>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</si>
  <si>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</si>
  <si>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</si>
  <si>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</si>
  <si>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</si>
  <si>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</si>
  <si>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</si>
  <si>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</si>
  <si>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</si>
  <si>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</si>
  <si>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</si>
  <si>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</si>
  <si>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</si>
  <si>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</si>
  <si>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</si>
  <si>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</si>
  <si>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</si>
  <si>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</si>
  <si>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</si>
  <si>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</si>
  <si>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</si>
  <si>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</si>
  <si>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</si>
  <si>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</si>
  <si>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</si>
  <si>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</si>
  <si>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</si>
  <si>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</si>
  <si>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</si>
  <si>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</si>
  <si>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</si>
  <si>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</si>
  <si>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</si>
  <si>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</si>
  <si>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</si>
  <si>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</si>
  <si>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</si>
  <si>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</si>
  <si>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</si>
  <si>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</si>
  <si>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</si>
  <si>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</si>
  <si>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</si>
  <si>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</si>
  <si>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</si>
  <si>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</si>
  <si>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</si>
  <si>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</si>
  <si>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</si>
  <si>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</si>
  <si>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</si>
  <si>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</si>
  <si>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</si>
  <si>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</si>
  <si>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</si>
  <si>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</si>
  <si>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</si>
  <si>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</si>
  <si>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</si>
  <si>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</si>
  <si>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</si>
  <si>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</si>
  <si>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</si>
  <si>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</si>
  <si>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</si>
  <si>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</si>
  <si>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</si>
  <si>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</si>
  <si>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</si>
  <si>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</si>
  <si>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</si>
  <si>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</si>
  <si>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</si>
  <si>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</si>
  <si>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</si>
  <si>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</si>
  <si>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</si>
  <si>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</si>
  <si>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</si>
  <si>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</si>
  <si>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</si>
  <si>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</si>
  <si>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</si>
  <si>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</si>
  <si>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</si>
  <si>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</si>
  <si>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</si>
  <si>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</si>
  <si>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</si>
  <si>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</si>
  <si>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</si>
  <si>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</si>
  <si>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</si>
  <si>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</si>
  <si>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</si>
  <si>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</si>
  <si>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</si>
  <si>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</si>
  <si>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</si>
  <si>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</si>
  <si>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</si>
  <si>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</si>
  <si>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</si>
  <si>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</si>
  <si>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</si>
  <si>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</si>
  <si>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</si>
  <si>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</si>
  <si>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</si>
  <si>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</si>
  <si>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</si>
  <si>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</si>
  <si>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</si>
  <si>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</si>
  <si>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</si>
  <si>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</si>
  <si>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</si>
  <si>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</si>
  <si>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</si>
  <si>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</si>
  <si>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</si>
  <si>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</si>
  <si>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</si>
  <si>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</si>
  <si>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</si>
  <si>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</si>
  <si>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</si>
  <si>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</si>
  <si>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</si>
  <si>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</si>
  <si>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</si>
  <si>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</si>
  <si>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</si>
  <si>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</si>
  <si>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</si>
  <si>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</si>
  <si>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</si>
  <si>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</si>
  <si>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</si>
  <si>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DF-001</t>
  </si>
  <si>
    <t>APIC Timers</t>
  </si>
  <si>
    <t>Sudharshana</t>
  </si>
  <si>
    <t>PIE</t>
  </si>
  <si>
    <t>APIC_Timer_Reload</t>
  </si>
  <si>
    <t>./APIC_Timer_Reload --cpu all -t 1h -v</t>
  </si>
  <si>
    <t>DF-002</t>
  </si>
  <si>
    <t>Arbitrated Interrupt Delivery Enhancements</t>
  </si>
  <si>
    <t>Lowest_Priority_Interrupts</t>
  </si>
  <si>
    <t>./Lowest_Priority_Interrupts --cpu all -t 1h -v</t>
  </si>
  <si>
    <t>DF-003</t>
  </si>
  <si>
    <t>Bus Locks</t>
  </si>
  <si>
    <t>DF</t>
  </si>
  <si>
    <t>Bus Locks - uc</t>
  </si>
  <si>
    <t>DF_Bus_Locks</t>
  </si>
  <si>
    <t>/CPU/linux/Data_Fabric_Suite/DF_Bus_Locks --cpu 0 -t 1m</t>
  </si>
  <si>
    <t>Bus Locks - wb</t>
  </si>
  <si>
    <t>/CPU/linux/Data_Fabric_Suite/DF_Bus_Locks --cpu 0 --cache-lock -t 1m</t>
  </si>
  <si>
    <t>Bus Locks - apic region</t>
  </si>
  <si>
    <t>/CPU/linux/Data_Fabric_Suite/DF_Bus_Locks --cpu 0 --apic-region -t 1m</t>
  </si>
  <si>
    <t>Bus Locks - mmio region</t>
  </si>
  <si>
    <t xml:space="preserve"> ./DF_Bus_Locks --mmio-region -v --mmio-address 0xfec00004 -t 1m</t>
  </si>
  <si>
    <t>DF-004</t>
  </si>
  <si>
    <t xml:space="preserve">Byte Enable Writes </t>
  </si>
  <si>
    <t>Streaming_Store_Instructions</t>
  </si>
  <si>
    <t>./Streaming_Stores_With_Clflush --cpu all -v</t>
  </si>
  <si>
    <t>DF-005</t>
  </si>
  <si>
    <t>CCM Ordering</t>
  </si>
  <si>
    <t>CCM</t>
  </si>
  <si>
    <t>Producer_Consumer</t>
  </si>
  <si>
    <t>./Producer_Consumer –cpu all -v</t>
  </si>
  <si>
    <t>DF-006</t>
  </si>
  <si>
    <t xml:space="preserve">CCM Bypasses </t>
  </si>
  <si>
    <t>Mix of traffic</t>
  </si>
  <si>
    <t>DF-007</t>
  </si>
  <si>
    <t>CF8/CFC</t>
  </si>
  <si>
    <t>IO_Port_Accesses</t>
  </si>
  <si>
    <t>./IO_Port_Accesses --cpu 0 -v --write; ./IO_Port_Accesses --cpu 0 -v;
./CSR_Write_Tool --iocfc --cpu 0 --bus 0 --device 0 --address F0x068 --value 0xAAAAAAAA --compare -t 1m</t>
  </si>
  <si>
    <t>DF-008</t>
  </si>
  <si>
    <t>CPU Downcoring</t>
  </si>
  <si>
    <t>CPU_Downcoring</t>
  </si>
  <si>
    <t xml:space="preserve">Use BIOS settings to downcore the system to down core the system. System may hang._x000D_
Warm reboot the system then run GME._x000D_
./General_Memory_Exerciser -v --cpu all; GME should work.
</t>
  </si>
  <si>
    <t>DF-009</t>
  </si>
  <si>
    <t xml:space="preserve">CPU Lone Potato/Lightly Loaded </t>
  </si>
  <si>
    <t>Will be tested during normal functionality of core; Mix of traffic from different cores.</t>
  </si>
  <si>
    <t>DF-010</t>
  </si>
  <si>
    <t>CS Read-to-Read Forwarding</t>
  </si>
  <si>
    <t>CS</t>
  </si>
  <si>
    <t>GME along with PMC check</t>
  </si>
  <si>
    <t>DF-011</t>
  </si>
  <si>
    <t>CS Write Combining</t>
  </si>
  <si>
    <t>./CS_Write_Combining --cpu 0 -v</t>
  </si>
  <si>
    <t>DF-012</t>
  </si>
  <si>
    <t>CS Write-to-Read Forwarding</t>
  </si>
  <si>
    <t>DF-013</t>
  </si>
  <si>
    <t xml:space="preserve">CS-UMC Cancels </t>
  </si>
  <si>
    <t>DF-014</t>
  </si>
  <si>
    <t>Coherent Slave Bypasses</t>
  </si>
  <si>
    <t>DF-015</t>
  </si>
  <si>
    <t>Coherency</t>
  </si>
  <si>
    <t>Cache_Coherency</t>
  </si>
  <si>
    <t>./Cache_Coherency --cpu all -v -t 30m</t>
  </si>
  <si>
    <t>DF-016</t>
  </si>
  <si>
    <t>DF P-states</t>
  </si>
  <si>
    <t>DF_P_State</t>
  </si>
  <si>
    <t>./tserverlite -d=1  -log -disable_libdce -v=error -test=pm15.1</t>
  </si>
  <si>
    <t>DF-017</t>
  </si>
  <si>
    <t>I/O and Graphic Atomics</t>
  </si>
  <si>
    <t>df104.0, df104.1</t>
  </si>
  <si>
    <t>./tserverlite -d=1 -load_ucode=tcore -test=df104.0 -nobios -no_toollib -disable_libdce -norlc;
./tserverlite -d=1 -load_ucode=tcore -test=df104.1 -nobios -no_toollib -disable_libdce -norlc</t>
  </si>
  <si>
    <t>DF-018</t>
  </si>
  <si>
    <t>IOM Ordering</t>
  </si>
  <si>
    <t>IOM</t>
  </si>
  <si>
    <t>./Producer_Consumer --producer 2 --consumer 4 --mmio-flag -v;
./Producer_Consumer --producer 2 --consumer 4 --mmio-flag --mmio-address 0xfed00000 -v;
./Producer_Consumer --producer 2 --consumer 4 --mmio-data --mmio-address 0xfed00000 -v;
./Producer_Consumer --producer 2 --consumer 4 --mmio-data  -v</t>
  </si>
  <si>
    <t>DF-019</t>
  </si>
  <si>
    <t xml:space="preserve">Interrupt Delivery Through SMN </t>
  </si>
  <si>
    <t>Fixed_Interrupts</t>
  </si>
  <si>
    <t>Set DisApcIcrAsyncFixed to Zero then run "./Fixed_Interrupts --cpu 0 -v      ./SMI_Check --cpu all -t 1h -v    ./NMI_Check --cpu all -t 1h -v</t>
  </si>
  <si>
    <t>DF-020</t>
  </si>
  <si>
    <t>Large Reads</t>
  </si>
  <si>
    <t>umc321.101, umc302.7</t>
  </si>
  <si>
    <t>DF-021</t>
  </si>
  <si>
    <t xml:space="preserve">MemCancels </t>
  </si>
  <si>
    <t>DF-022</t>
  </si>
  <si>
    <t xml:space="preserve">Multiple TCDX Pickers </t>
  </si>
  <si>
    <t>DF-023</t>
  </si>
  <si>
    <t>PCI IO/Configuration Splitting</t>
  </si>
  <si>
    <t>CSR_Write_Tool</t>
  </si>
  <si>
    <t xml:space="preserve">CSR_Write_Tool --cpu 0 --device 0 --address F0x069 --value 0xAAAAAAAA --compare -t 1s -v --bus 0;  </t>
  </si>
  <si>
    <t>DF-024</t>
  </si>
  <si>
    <t>Performance Monitors</t>
  </si>
  <si>
    <t>Verified by other diags which are using PMCs</t>
  </si>
  <si>
    <t>DF-025</t>
  </si>
  <si>
    <t>Power Gate During DF C-states</t>
  </si>
  <si>
    <t>DF-026</t>
  </si>
  <si>
    <t xml:space="preserve">Priority Pickers </t>
  </si>
  <si>
    <t>DF_QOS</t>
  </si>
  <si>
    <t>DF-027</t>
  </si>
  <si>
    <t>Request Limiters</t>
  </si>
  <si>
    <t>GME with MasterRequestControl.MstDramActReqLmt config</t>
  </si>
  <si>
    <t xml:space="preserve">./Request_Limiters --cpu 0 -v --graded-regime=unthrottle_x000D_
./Request_Limiters --cpu 0 -v --graded-regime=light_x000D_
./Request_Limiters --cpu 0 -v --graded-regime=heavy_x000D_
./Request_Limiters --cpu 0 -v --graded-regime=stop_x000D_
</t>
  </si>
  <si>
    <t>DF-028</t>
  </si>
  <si>
    <t xml:space="preserve">TCDX Bypass </t>
  </si>
  <si>
    <t>DF-029</t>
  </si>
  <si>
    <t>Trusted Memory Regions</t>
  </si>
  <si>
    <t>DF_SECURITY</t>
  </si>
  <si>
    <t>TMR_Test</t>
  </si>
  <si>
    <t>./TMR_Test_CCM --cpu 0 -v</t>
  </si>
  <si>
    <t>DF-030</t>
  </si>
  <si>
    <t xml:space="preserve">Virtual Channels </t>
  </si>
  <si>
    <t>DF-031</t>
  </si>
  <si>
    <t>Zero Data Compression</t>
  </si>
  <si>
    <t>Zero_Data_Compression</t>
  </si>
  <si>
    <t>./Zero_Data_Compression --cpu 0 -v</t>
  </si>
  <si>
    <t>DF-032</t>
  </si>
  <si>
    <t>Save/Restore scoreboard</t>
  </si>
  <si>
    <t>Validated as part of DF C-state verification by IPSE</t>
  </si>
  <si>
    <t>DF-033</t>
  </si>
  <si>
    <t>DF_C_State</t>
  </si>
  <si>
    <t>./DF_C_State_4_X --cpu 0 -v --test=df_c_state_residency</t>
  </si>
  <si>
    <t>DF-034</t>
  </si>
  <si>
    <t>TMR FMR Common region</t>
  </si>
  <si>
    <t>DF-035</t>
  </si>
  <si>
    <t>Master Abort</t>
  </si>
  <si>
    <t>DF-036</t>
  </si>
  <si>
    <t>Extended Save restore APIC</t>
  </si>
  <si>
    <t>DF_ExtendedSave_Restore_APIC</t>
  </si>
  <si>
    <t>DF-037</t>
  </si>
  <si>
    <t>DF_SpecialSysFunctionFabricID_Check</t>
  </si>
  <si>
    <t>DF-038</t>
  </si>
  <si>
    <t>DF Stress test</t>
  </si>
  <si>
    <t xml:space="preserve">./DF_Stress_CPU_Focused_SLT.yaml   </t>
  </si>
  <si>
    <t>DF-039</t>
  </si>
  <si>
    <t>Light DF C-State</t>
  </si>
  <si>
    <t>./DF_C_State_4_X --cpu 0 -v --test=df_light_c_state</t>
  </si>
  <si>
    <t>DF-040</t>
  </si>
  <si>
    <t>IO atomics with Bus locks</t>
  </si>
  <si>
    <t>DF-041</t>
  </si>
  <si>
    <t>Force DF C-state exit on MCA bank access</t>
  </si>
  <si>
    <t>It’s a debug feature not a POR feature, Validated by Validation team during PHX</t>
  </si>
  <si>
    <t>DF-042</t>
  </si>
  <si>
    <t xml:space="preserve">DF exerciser </t>
  </si>
  <si>
    <t>DF-043</t>
  </si>
  <si>
    <t>Support for DF Segment Clock Gating</t>
  </si>
  <si>
    <t>DF-044</t>
  </si>
  <si>
    <t>IOM Cancel/Replay</t>
  </si>
  <si>
    <t>DF_IOM_Cancel_Replay</t>
  </si>
  <si>
    <t>./DF_IOM_Cancel_Replay --cpu 0 -v</t>
  </si>
  <si>
    <t>DF-045</t>
  </si>
  <si>
    <t xml:space="preserve">TgtReqGo command </t>
  </si>
  <si>
    <t>DF_Tgt_Req_Go_Check</t>
  </si>
  <si>
    <t>./DF_TgtReqGo_Command --cpu 0 -v</t>
  </si>
  <si>
    <t>DF-046</t>
  </si>
  <si>
    <t>Add Early Clock Enable for Early FTI fields</t>
  </si>
  <si>
    <t>DF-047</t>
  </si>
  <si>
    <t>Drive FCI Bus Clock Enable efficiently</t>
  </si>
  <si>
    <t>DF-048</t>
  </si>
  <si>
    <t>Filter Internal Registers before generating FCI accesses</t>
  </si>
  <si>
    <t>DF-049</t>
  </si>
  <si>
    <t>Support for LPA Interrupt steering to performance and efficient clusters</t>
  </si>
  <si>
    <t>DF-050</t>
  </si>
  <si>
    <t>Support Dual Owner in Strix SPF</t>
  </si>
  <si>
    <t>DF-051</t>
  </si>
  <si>
    <t>QOS Throttle changes for large and compressed requests</t>
  </si>
  <si>
    <t>GCM</t>
  </si>
  <si>
    <t>DF-052</t>
  </si>
  <si>
    <t>DF Cac Manager Events</t>
  </si>
  <si>
    <t>DF-053</t>
  </si>
  <si>
    <t>Reset group assignment</t>
  </si>
  <si>
    <t>DF-054</t>
  </si>
  <si>
    <t>Strix2/new Krackan1 UPF</t>
  </si>
  <si>
    <t>DF-055</t>
  </si>
  <si>
    <t>Finalize Strix2 feature define list for existing features by LSB</t>
  </si>
  <si>
    <t>DF-056</t>
  </si>
  <si>
    <t xml:space="preserve">4.5.67	IPU BW increase from 256b to 512b to support 4x8 array	</t>
  </si>
  <si>
    <t>NCM</t>
  </si>
  <si>
    <t>wk-6</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</si>
  <si>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</si>
  <si>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</si>
  <si>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</si>
  <si>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Total # of Features</t>
  </si>
  <si>
    <t>Total # of P1</t>
  </si>
  <si>
    <t>Total # of P2</t>
  </si>
  <si>
    <t>Total # of P3</t>
  </si>
  <si>
    <t>Total # of Diagnostics</t>
  </si>
  <si>
    <t>Total # of Driver</t>
  </si>
  <si>
    <t>Total # of IPSE</t>
  </si>
  <si>
    <t>Total # of N/A</t>
  </si>
  <si>
    <t>Total # of Legacy</t>
  </si>
  <si>
    <t>Total # of Delta</t>
  </si>
  <si>
    <t>Total # of New</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</si>
  <si>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</si>
  <si>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</si>
  <si>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</si>
  <si>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</si>
  <si>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</si>
  <si>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</si>
  <si>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t>PLEASE CAREFULLY READ 'Usage' tab’s descriptions and instructions of all columns and tabs</t>
  </si>
  <si>
    <t>Test plan signed-off except QoS Throttle feature. IPSE is following up with designer on the same.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</si>
  <si>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</si>
  <si>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wk-1</t>
  </si>
  <si>
    <t>wk-2</t>
  </si>
  <si>
    <t>wk-3</t>
  </si>
  <si>
    <t>wk-4</t>
  </si>
  <si>
    <t>wk-8</t>
  </si>
  <si>
    <t>wk-5</t>
  </si>
  <si>
    <t>wk-7</t>
  </si>
  <si>
    <t>wk-10</t>
  </si>
  <si>
    <t>wk-9</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</si>
  <si>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</si>
  <si>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</si>
  <si>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</si>
  <si>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</si>
  <si>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</si>
  <si>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</si>
  <si>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</si>
  <si>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</si>
  <si>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</si>
  <si>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</si>
  <si>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</si>
  <si>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</si>
  <si>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</si>
  <si>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</si>
  <si>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</si>
  <si>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</si>
  <si>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</si>
  <si>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</si>
  <si>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</si>
  <si>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</si>
  <si>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</si>
  <si>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</si>
  <si>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</si>
  <si>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</si>
  <si>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</si>
  <si>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</si>
  <si>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</si>
  <si>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</si>
  <si>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</si>
  <si>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</si>
  <si>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</si>
  <si>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</si>
  <si>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</si>
  <si>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</si>
  <si>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</si>
  <si>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</si>
  <si>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</si>
  <si>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</si>
  <si>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</si>
  <si>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</si>
  <si>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</si>
  <si>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</si>
  <si>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</si>
  <si>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</si>
  <si>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</si>
  <si>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</si>
  <si>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</si>
  <si>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</si>
  <si>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</si>
  <si>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</si>
  <si>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</si>
  <si>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</si>
  <si>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</si>
  <si>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</si>
  <si>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</si>
  <si>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</si>
  <si>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</si>
  <si>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</si>
  <si>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</si>
  <si>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</si>
  <si>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</si>
  <si>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</si>
  <si>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</si>
  <si>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</si>
  <si>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</si>
  <si>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</si>
  <si>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</si>
  <si>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</si>
  <si>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</si>
  <si>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</si>
  <si>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</si>
  <si>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</si>
  <si>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</si>
  <si>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</si>
  <si>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</si>
  <si>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</si>
  <si>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</si>
  <si>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</si>
  <si>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</si>
  <si>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</si>
  <si>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</si>
  <si>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</si>
  <si>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</si>
  <si>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</si>
  <si>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</si>
  <si>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</si>
  <si>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</si>
  <si>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</si>
  <si>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</si>
  <si>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</si>
  <si>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</si>
  <si>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</si>
  <si>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</si>
  <si>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</si>
  <si>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</si>
  <si>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</si>
  <si>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</si>
  <si>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</si>
  <si>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</si>
  <si>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</si>
  <si>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</si>
  <si>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</si>
  <si>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</si>
  <si>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</si>
  <si>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</si>
  <si>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</si>
  <si>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</si>
  <si>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</si>
  <si>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</si>
  <si>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</si>
  <si>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FEAT_1</t>
  </si>
  <si>
    <t>FEAT_2</t>
  </si>
  <si>
    <t>FEAT_3</t>
  </si>
  <si>
    <t>FEAT_4</t>
  </si>
  <si>
    <t>FEAT_5</t>
  </si>
  <si>
    <t>FEAT_6</t>
  </si>
  <si>
    <t>FEAT_8</t>
  </si>
  <si>
    <t>FEAT_9</t>
  </si>
  <si>
    <t>FEAT_10</t>
  </si>
  <si>
    <t>FEAT_11</t>
  </si>
  <si>
    <t>FEAT_12</t>
  </si>
  <si>
    <t>FEAT_13</t>
  </si>
  <si>
    <t>FEAT_14</t>
  </si>
  <si>
    <t>FEAT_15</t>
  </si>
  <si>
    <t>FEAT_16</t>
  </si>
  <si>
    <t>FEAT_20</t>
  </si>
  <si>
    <t>FEAT_21</t>
  </si>
  <si>
    <t>FEAT_22</t>
  </si>
  <si>
    <t>FEAT_23</t>
  </si>
  <si>
    <t>FEAT_24</t>
  </si>
  <si>
    <t>FEAT_25</t>
  </si>
  <si>
    <t>FEAT_26</t>
  </si>
  <si>
    <t>FEAT_28</t>
  </si>
  <si>
    <t>FEAT_30</t>
  </si>
  <si>
    <t>FEAT_31</t>
  </si>
  <si>
    <t>FEAT_32</t>
  </si>
  <si>
    <t>FEAT_33</t>
  </si>
  <si>
    <t>FEAT_34</t>
  </si>
  <si>
    <t>FEAT_35</t>
  </si>
  <si>
    <t>FEAT_36</t>
  </si>
  <si>
    <t>FEAT_37</t>
  </si>
  <si>
    <t>FEAT_38</t>
  </si>
  <si>
    <t>FEAT_39</t>
  </si>
  <si>
    <t>FEAT_40</t>
  </si>
  <si>
    <t>FEAT_41</t>
  </si>
  <si>
    <t>FEAT_44</t>
  </si>
  <si>
    <t>FEAT_45</t>
  </si>
  <si>
    <t>FEAT_46</t>
  </si>
  <si>
    <t>FEAT_47</t>
  </si>
  <si>
    <t>FEAT_48</t>
  </si>
  <si>
    <t>FEAT_49</t>
  </si>
  <si>
    <t>FEAT_50</t>
  </si>
  <si>
    <t>FEAT_51</t>
  </si>
  <si>
    <t>FEAT_52</t>
  </si>
  <si>
    <t>FEAT_53</t>
  </si>
  <si>
    <t>FEAT_54</t>
  </si>
  <si>
    <t>FEAT_55</t>
  </si>
  <si>
    <t>FEAT_56</t>
  </si>
  <si>
    <t>FEAT_7.1-3</t>
  </si>
  <si>
    <t>FEAT_17.1-2</t>
  </si>
  <si>
    <t>FEAT_18.1-4</t>
  </si>
  <si>
    <t>FEAT_19.1-3</t>
  </si>
  <si>
    <t>FEAT_27.1-4</t>
  </si>
  <si>
    <t>FEAT_29.1-10</t>
  </si>
  <si>
    <t>FEAT_42.1-4</t>
  </si>
  <si>
    <t>FEAT_43.1-4</t>
  </si>
  <si>
    <t>Total Run.1</t>
  </si>
  <si>
    <t>Pass.1</t>
  </si>
  <si>
    <t>Waived.1</t>
  </si>
  <si>
    <t>Fail.1</t>
  </si>
  <si>
    <t>Skip.1</t>
  </si>
  <si>
    <t>% Pass Rate.1</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</si>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</sst>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668">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0"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0" fillId="40" borderId="24" xfId="0" applyFill="1" applyBorder="1" applyAlignment="1" applyProtection="1">
      <alignment horizontal="left"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6" xfId="0" applyFont="1" applyFill="1" applyBorder="1" applyAlignment="1" applyProtection="1">
      <alignment vertical="center"/>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6" xfId="0" applyFill="1" applyBorder="1" applyAlignment="1">
      <alignment vertical="center"/>
    </xf>
    <xf numFmtId="0" fontId="18" fillId="52" borderId="17" xfId="0" applyFont="1" applyFill="1" applyBorder="1" applyAlignment="1">
      <alignment horizontal="left" vertical="center"/>
    </xf>
    <xf numFmtId="0" fontId="18" fillId="52" borderId="17" xfId="0" applyFont="1" applyFill="1" applyBorder="1" applyAlignment="1">
      <alignment horizontal="center" vertical="center"/>
    </xf>
    <xf numFmtId="0" fontId="18" fillId="52" borderId="10" xfId="0" applyFont="1" applyFill="1" applyBorder="1" applyAlignment="1">
      <alignment horizontal="center" vertical="center"/>
    </xf>
    <xf numFmtId="0" fontId="0" fillId="52" borderId="14" xfId="0" applyFill="1" applyBorder="1" applyAlignment="1">
      <alignment vertical="center" wrapText="1"/>
    </xf>
    <xf numFmtId="0" fontId="0" fillId="52" borderId="10" xfId="0" applyFill="1" applyBorder="1" applyAlignment="1">
      <alignment vertical="center"/>
    </xf>
    <xf numFmtId="0" fontId="0" fillId="52" borderId="0" xfId="0" applyFill="1" applyProtection="1">
      <protection locked="0"/>
    </xf>
    <xf numFmtId="0" fontId="0" fillId="52" borderId="0" xfId="0" applyFill="1" applyAlignment="1" applyProtection="1">
      <alignment horizontal="center"/>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1" fillId="0" borderId="51" xfId="0" applyFont="1" applyBorder="1" applyAlignment="1" applyProtection="1">
      <alignment horizontal="left" vertical="center" wrapText="1"/>
      <protection locked="0"/>
    </xf>
    <xf numFmtId="0" fontId="31" fillId="0" borderId="53" xfId="0" applyFont="1" applyBorder="1" applyAlignment="1" applyProtection="1">
      <alignment horizontal="left"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48" fillId="0" borderId="10" xfId="0" applyFont="1" applyBorder="1" applyAlignment="1">
      <alignment horizontal="center" vertical="top"/>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myworktor.amd.com/Users/seshwara/Downloads/Phoenix_DF_Diagnostics_Status_Tracker%202.0%20(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List Options"/>
      <sheetName val="Usage"/>
      <sheetName val="Revision History"/>
      <sheetName val="Diags Raw Data"/>
      <sheetName val="Sub-IP Block Summary"/>
      <sheetName val="Feature Raw Data"/>
      <sheetName val="Feature Summary"/>
      <sheetName val="Progress (WIP)"/>
      <sheetName val="Progress"/>
      <sheetName val="NewDelta"/>
      <sheetName val="Coverage Plan"/>
    </sheetNames>
    <sheetDataSet>
      <sheetData sheetId="0"/>
      <sheetData sheetId="1"/>
      <sheetData sheetId="2"/>
      <sheetData sheetId="3"/>
      <sheetData sheetId="4">
        <row r="6">
          <cell r="B6" t="str">
            <v>APIC Timers</v>
          </cell>
        </row>
        <row r="7">
          <cell r="B7" t="str">
            <v>Arbitrated Interrupt Delivery Enhancements</v>
          </cell>
        </row>
        <row r="8">
          <cell r="B8" t="str">
            <v>Bus Locks</v>
          </cell>
        </row>
        <row r="9">
          <cell r="B9" t="str">
            <v>Bus Locks</v>
          </cell>
        </row>
        <row r="10">
          <cell r="B10" t="str">
            <v>Bus Locks</v>
          </cell>
        </row>
        <row r="11">
          <cell r="B11" t="str">
            <v>Bus Locks</v>
          </cell>
        </row>
        <row r="12">
          <cell r="B12" t="str">
            <v xml:space="preserve">Byte Enable Writes </v>
          </cell>
        </row>
        <row r="13">
          <cell r="B13" t="str">
            <v>CCM Ordering</v>
          </cell>
        </row>
        <row r="14">
          <cell r="B14" t="str">
            <v xml:space="preserve">CCM Bypasses </v>
          </cell>
        </row>
        <row r="15">
          <cell r="B15" t="str">
            <v>CF8/CFC</v>
          </cell>
        </row>
        <row r="16">
          <cell r="B16" t="str">
            <v>CPU Downcoring</v>
          </cell>
        </row>
        <row r="17">
          <cell r="B17" t="str">
            <v xml:space="preserve">CPU Lone Potato/Lightly Loaded </v>
          </cell>
        </row>
        <row r="18">
          <cell r="B18" t="str">
            <v>CS Read-to-Read Forwarding</v>
          </cell>
        </row>
        <row r="19">
          <cell r="B19" t="str">
            <v>CS Write Combining</v>
          </cell>
        </row>
        <row r="20">
          <cell r="B20" t="str">
            <v>CS Write-to-Read Forwarding</v>
          </cell>
        </row>
        <row r="21">
          <cell r="B21" t="str">
            <v xml:space="preserve">CS-UMC Cancels </v>
          </cell>
        </row>
        <row r="22">
          <cell r="B22" t="str">
            <v>Coherent Slave Bypasses</v>
          </cell>
        </row>
        <row r="23">
          <cell r="B23" t="str">
            <v>Coherency</v>
          </cell>
        </row>
        <row r="24">
          <cell r="B24" t="str">
            <v>DF P-states</v>
          </cell>
        </row>
        <row r="25">
          <cell r="B25" t="str">
            <v>I/O and Graphic Atomics</v>
          </cell>
        </row>
        <row r="26">
          <cell r="B26" t="str">
            <v>IOM Ordering</v>
          </cell>
        </row>
        <row r="27">
          <cell r="B27" t="str">
            <v xml:space="preserve">Interrupt Delivery Through SMN </v>
          </cell>
        </row>
        <row r="28">
          <cell r="B28" t="str">
            <v>Large Reads</v>
          </cell>
        </row>
        <row r="29">
          <cell r="B29" t="str">
            <v xml:space="preserve">MemCancels </v>
          </cell>
        </row>
        <row r="30">
          <cell r="B30" t="str">
            <v xml:space="preserve">Multiple TCDX Pickers </v>
          </cell>
        </row>
        <row r="31">
          <cell r="B31" t="str">
            <v>PCI IO/Configuration Splitting</v>
          </cell>
        </row>
        <row r="32">
          <cell r="B32" t="str">
            <v>Performance Monitors</v>
          </cell>
        </row>
        <row r="33">
          <cell r="B33" t="str">
            <v>Power Gate During DF C-states</v>
          </cell>
        </row>
        <row r="34">
          <cell r="B34" t="str">
            <v xml:space="preserve">Priority Pickers </v>
          </cell>
        </row>
        <row r="35">
          <cell r="B35" t="str">
            <v>Request Limiters</v>
          </cell>
        </row>
        <row r="36">
          <cell r="B36" t="str">
            <v xml:space="preserve">TCDX Bypass </v>
          </cell>
        </row>
        <row r="37">
          <cell r="B37" t="str">
            <v>Trusted Memory Regions</v>
          </cell>
        </row>
        <row r="38">
          <cell r="B38" t="str">
            <v xml:space="preserve">Virtual Channels </v>
          </cell>
        </row>
        <row r="39">
          <cell r="B39" t="str">
            <v>Zero Data Compression</v>
          </cell>
        </row>
        <row r="40">
          <cell r="B40" t="str">
            <v>Save/Restore scoreboard</v>
          </cell>
        </row>
        <row r="41">
          <cell r="B41" t="str">
            <v>DF_C_State</v>
          </cell>
        </row>
        <row r="42">
          <cell r="B42" t="str">
            <v>TMR FMR Common region</v>
          </cell>
        </row>
        <row r="43">
          <cell r="B43" t="str">
            <v>Master Abort</v>
          </cell>
        </row>
        <row r="44">
          <cell r="B44" t="str">
            <v>Extended Save restore APIC</v>
          </cell>
        </row>
        <row r="45">
          <cell r="B45" t="str">
            <v>DF_SpecialSysFunctionFabricID_Check</v>
          </cell>
        </row>
        <row r="46">
          <cell r="B46" t="str">
            <v>DF Stress test</v>
          </cell>
        </row>
        <row r="47">
          <cell r="B47" t="str">
            <v>Light DF C-State</v>
          </cell>
        </row>
        <row r="48">
          <cell r="B48" t="str">
            <v>IO atomics with Bus locks</v>
          </cell>
        </row>
        <row r="49">
          <cell r="B49" t="str">
            <v>Force DF C-state exit on MCA bank access</v>
          </cell>
        </row>
      </sheetData>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25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42"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30" t="s">
        <v>54</v>
      </c>
      <c r="C1" s="531"/>
      <c r="D1" s="531"/>
      <c r="E1" s="167" t="s">
        <v>55</v>
      </c>
      <c r="F1" s="167" t="s">
        <v>56</v>
      </c>
      <c r="G1" s="110" t="s">
        <v>57</v>
      </c>
    </row>
    <row r="2" spans="1:7" x14ac:dyDescent="0.25">
      <c r="A2" s="116" t="s">
        <v>58</v>
      </c>
      <c r="B2" s="532" t="s">
        <v>59</v>
      </c>
      <c r="C2" s="533"/>
      <c r="D2" s="533"/>
      <c r="E2" s="294" t="s">
        <v>60</v>
      </c>
      <c r="F2" s="294" t="s">
        <v>61</v>
      </c>
      <c r="G2" s="322" t="s">
        <v>62</v>
      </c>
    </row>
    <row r="3" spans="1:7" s="81" customFormat="1" x14ac:dyDescent="0.25">
      <c r="A3" s="202" t="s">
        <v>63</v>
      </c>
      <c r="B3" s="539" t="s">
        <v>64</v>
      </c>
      <c r="C3" s="540"/>
      <c r="D3" s="541"/>
      <c r="E3" s="80" t="s">
        <v>60</v>
      </c>
      <c r="F3" s="80" t="s">
        <v>61</v>
      </c>
      <c r="G3" s="323" t="s">
        <v>62</v>
      </c>
    </row>
    <row r="4" spans="1:7" x14ac:dyDescent="0.25">
      <c r="A4" s="202" t="s">
        <v>65</v>
      </c>
      <c r="B4" s="536" t="s">
        <v>66</v>
      </c>
      <c r="C4" s="537"/>
      <c r="D4" s="538"/>
      <c r="E4" s="80" t="s">
        <v>67</v>
      </c>
      <c r="F4" s="80" t="s">
        <v>61</v>
      </c>
      <c r="G4" s="323" t="s">
        <v>62</v>
      </c>
    </row>
    <row r="5" spans="1:7" x14ac:dyDescent="0.25">
      <c r="A5" s="117" t="s">
        <v>68</v>
      </c>
      <c r="B5" s="536" t="s">
        <v>69</v>
      </c>
      <c r="C5" s="537"/>
      <c r="D5" s="538"/>
      <c r="E5" s="80" t="s">
        <v>67</v>
      </c>
      <c r="F5" s="80" t="s">
        <v>61</v>
      </c>
      <c r="G5" s="323" t="s">
        <v>62</v>
      </c>
    </row>
    <row r="6" spans="1:7" x14ac:dyDescent="0.25">
      <c r="A6" s="117" t="s">
        <v>70</v>
      </c>
      <c r="B6" s="536" t="s">
        <v>71</v>
      </c>
      <c r="C6" s="537"/>
      <c r="D6" s="538"/>
      <c r="E6" s="80" t="s">
        <v>72</v>
      </c>
      <c r="F6" s="80" t="s">
        <v>61</v>
      </c>
      <c r="G6" s="85"/>
    </row>
    <row r="7" spans="1:7" ht="15.75" thickBot="1" x14ac:dyDescent="0.3">
      <c r="A7" s="118" t="s">
        <v>73</v>
      </c>
      <c r="B7" s="534" t="s">
        <v>74</v>
      </c>
      <c r="C7" s="535"/>
      <c r="D7" s="535"/>
      <c r="E7" s="86" t="s">
        <v>72</v>
      </c>
      <c r="F7" s="86"/>
      <c r="G7" s="87"/>
    </row>
    <row r="8" spans="1:7" s="84" customFormat="1" ht="15.75" thickBot="1" x14ac:dyDescent="0.3">
      <c r="A8" s="115" t="s">
        <v>53</v>
      </c>
      <c r="B8" s="390" t="s">
        <v>1</v>
      </c>
      <c r="C8" s="167" t="s">
        <v>75</v>
      </c>
      <c r="D8" s="167" t="s">
        <v>54</v>
      </c>
      <c r="E8" s="167" t="s">
        <v>55</v>
      </c>
      <c r="F8" s="167" t="s">
        <v>56</v>
      </c>
      <c r="G8" s="110" t="s">
        <v>57</v>
      </c>
    </row>
    <row r="9" spans="1:7" ht="105" x14ac:dyDescent="0.25">
      <c r="A9" s="507" t="s">
        <v>58</v>
      </c>
      <c r="B9" s="504" t="s">
        <v>76</v>
      </c>
      <c r="C9" s="329" t="s">
        <v>77</v>
      </c>
      <c r="D9" s="94" t="s">
        <v>78</v>
      </c>
      <c r="E9" s="94" t="s">
        <v>60</v>
      </c>
      <c r="F9" s="94" t="s">
        <v>79</v>
      </c>
      <c r="G9" s="391" t="s">
        <v>80</v>
      </c>
    </row>
    <row r="10" spans="1:7" ht="75" x14ac:dyDescent="0.25">
      <c r="A10" s="508"/>
      <c r="B10" s="505"/>
      <c r="C10" s="325" t="s">
        <v>81</v>
      </c>
      <c r="D10" s="82" t="s">
        <v>82</v>
      </c>
      <c r="E10" s="82" t="s">
        <v>60</v>
      </c>
      <c r="F10" s="82" t="s">
        <v>79</v>
      </c>
      <c r="G10" s="321" t="s">
        <v>83</v>
      </c>
    </row>
    <row r="11" spans="1:7" ht="45" x14ac:dyDescent="0.25">
      <c r="A11" s="508"/>
      <c r="B11" s="505"/>
      <c r="C11" s="325" t="s">
        <v>84</v>
      </c>
      <c r="D11" s="82" t="s">
        <v>85</v>
      </c>
      <c r="E11" s="82" t="s">
        <v>86</v>
      </c>
      <c r="F11" s="82" t="s">
        <v>79</v>
      </c>
      <c r="G11" s="95" t="s">
        <v>87</v>
      </c>
    </row>
    <row r="12" spans="1:7" ht="120" x14ac:dyDescent="0.25">
      <c r="A12" s="508"/>
      <c r="B12" s="505"/>
      <c r="C12" s="325" t="s">
        <v>88</v>
      </c>
      <c r="D12" s="342" t="s">
        <v>89</v>
      </c>
      <c r="E12" s="82" t="s">
        <v>86</v>
      </c>
      <c r="F12" s="82" t="s">
        <v>79</v>
      </c>
      <c r="G12" s="321" t="s">
        <v>90</v>
      </c>
    </row>
    <row r="13" spans="1:7" ht="30" x14ac:dyDescent="0.25">
      <c r="A13" s="508"/>
      <c r="B13" s="505"/>
      <c r="C13" s="325" t="s">
        <v>91</v>
      </c>
      <c r="D13" s="82" t="s">
        <v>92</v>
      </c>
      <c r="E13" s="82" t="s">
        <v>86</v>
      </c>
      <c r="F13" s="82" t="s">
        <v>79</v>
      </c>
      <c r="G13" s="95" t="s">
        <v>93</v>
      </c>
    </row>
    <row r="14" spans="1:7" ht="30" x14ac:dyDescent="0.25">
      <c r="A14" s="508"/>
      <c r="B14" s="505"/>
      <c r="C14" s="325" t="s">
        <v>94</v>
      </c>
      <c r="D14" s="82" t="s">
        <v>95</v>
      </c>
      <c r="E14" s="82" t="s">
        <v>86</v>
      </c>
      <c r="F14" s="82" t="s">
        <v>79</v>
      </c>
      <c r="G14" s="95" t="s">
        <v>93</v>
      </c>
    </row>
    <row r="15" spans="1:7" ht="30" x14ac:dyDescent="0.25">
      <c r="A15" s="508"/>
      <c r="B15" s="505"/>
      <c r="C15" s="121" t="s">
        <v>96</v>
      </c>
      <c r="D15" s="82" t="s">
        <v>97</v>
      </c>
      <c r="E15" s="82" t="s">
        <v>60</v>
      </c>
      <c r="F15" s="82" t="s">
        <v>79</v>
      </c>
      <c r="G15" s="95" t="s">
        <v>98</v>
      </c>
    </row>
    <row r="16" spans="1:7" ht="60" x14ac:dyDescent="0.25">
      <c r="A16" s="508"/>
      <c r="B16" s="505"/>
      <c r="C16" s="325" t="s">
        <v>99</v>
      </c>
      <c r="D16" s="342" t="s">
        <v>100</v>
      </c>
      <c r="E16" s="82" t="s">
        <v>86</v>
      </c>
      <c r="F16" s="82" t="s">
        <v>79</v>
      </c>
      <c r="G16" s="321" t="s">
        <v>101</v>
      </c>
    </row>
    <row r="17" spans="1:7" ht="30" x14ac:dyDescent="0.25">
      <c r="A17" s="508"/>
      <c r="B17" s="505"/>
      <c r="C17" s="325" t="s">
        <v>102</v>
      </c>
      <c r="D17" s="82" t="s">
        <v>103</v>
      </c>
      <c r="E17" s="82" t="s">
        <v>86</v>
      </c>
      <c r="F17" s="82" t="s">
        <v>79</v>
      </c>
      <c r="G17" s="95" t="s">
        <v>104</v>
      </c>
    </row>
    <row r="18" spans="1:7" ht="45" x14ac:dyDescent="0.25">
      <c r="A18" s="508"/>
      <c r="B18" s="505"/>
      <c r="C18" s="325" t="s">
        <v>105</v>
      </c>
      <c r="D18" s="82" t="s">
        <v>106</v>
      </c>
      <c r="E18" s="82" t="s">
        <v>86</v>
      </c>
      <c r="F18" s="82" t="s">
        <v>79</v>
      </c>
      <c r="G18" s="95" t="s">
        <v>107</v>
      </c>
    </row>
    <row r="19" spans="1:7" x14ac:dyDescent="0.25">
      <c r="A19" s="508"/>
      <c r="B19" s="505"/>
      <c r="C19" s="325" t="s">
        <v>108</v>
      </c>
      <c r="D19" s="82" t="s">
        <v>109</v>
      </c>
      <c r="E19" s="82" t="s">
        <v>86</v>
      </c>
      <c r="F19" s="82" t="s">
        <v>79</v>
      </c>
      <c r="G19" s="95" t="s">
        <v>110</v>
      </c>
    </row>
    <row r="20" spans="1:7" ht="105.75" thickBot="1" x14ac:dyDescent="0.3">
      <c r="A20" s="508"/>
      <c r="B20" s="506"/>
      <c r="C20" s="392" t="s">
        <v>1</v>
      </c>
      <c r="D20" s="470" t="s">
        <v>111</v>
      </c>
      <c r="E20" s="364" t="s">
        <v>86</v>
      </c>
      <c r="F20" s="364" t="s">
        <v>79</v>
      </c>
      <c r="G20" s="393" t="s">
        <v>112</v>
      </c>
    </row>
    <row r="21" spans="1:7" ht="45" x14ac:dyDescent="0.25">
      <c r="A21" s="508"/>
      <c r="B21" s="521" t="s">
        <v>113</v>
      </c>
      <c r="C21" s="326" t="s">
        <v>114</v>
      </c>
      <c r="D21" s="105" t="s">
        <v>115</v>
      </c>
      <c r="E21" s="105" t="s">
        <v>86</v>
      </c>
      <c r="F21" s="105" t="s">
        <v>116</v>
      </c>
      <c r="G21" s="168" t="s">
        <v>117</v>
      </c>
    </row>
    <row r="22" spans="1:7" ht="30" x14ac:dyDescent="0.25">
      <c r="A22" s="508"/>
      <c r="B22" s="522"/>
      <c r="C22" s="327" t="s">
        <v>118</v>
      </c>
      <c r="D22" s="397" t="s">
        <v>119</v>
      </c>
      <c r="E22" s="397" t="s">
        <v>86</v>
      </c>
      <c r="F22" s="397" t="s">
        <v>116</v>
      </c>
      <c r="G22" s="398" t="s">
        <v>120</v>
      </c>
    </row>
    <row r="23" spans="1:7" ht="15.75" thickBot="1" x14ac:dyDescent="0.3">
      <c r="A23" s="508"/>
      <c r="B23" s="523"/>
      <c r="C23" s="399" t="s">
        <v>121</v>
      </c>
      <c r="D23" s="107" t="s">
        <v>122</v>
      </c>
      <c r="E23" s="107" t="s">
        <v>86</v>
      </c>
      <c r="F23" s="107" t="s">
        <v>116</v>
      </c>
      <c r="G23" s="108" t="s">
        <v>123</v>
      </c>
    </row>
    <row r="24" spans="1:7" ht="30" customHeight="1" x14ac:dyDescent="0.25">
      <c r="A24" s="508"/>
      <c r="B24" s="524" t="s">
        <v>124</v>
      </c>
      <c r="C24" s="394" t="s">
        <v>125</v>
      </c>
      <c r="D24" s="395" t="s">
        <v>126</v>
      </c>
      <c r="E24" s="395" t="s">
        <v>86</v>
      </c>
      <c r="F24" s="395" t="s">
        <v>79</v>
      </c>
      <c r="G24" s="396" t="s">
        <v>127</v>
      </c>
    </row>
    <row r="25" spans="1:7" ht="30" customHeight="1" x14ac:dyDescent="0.25">
      <c r="A25" s="508"/>
      <c r="B25" s="525"/>
      <c r="C25" s="327" t="s">
        <v>128</v>
      </c>
      <c r="D25" s="109" t="s">
        <v>129</v>
      </c>
      <c r="E25" s="109" t="s">
        <v>86</v>
      </c>
      <c r="F25" s="109" t="s">
        <v>130</v>
      </c>
      <c r="G25" s="542" t="s">
        <v>131</v>
      </c>
    </row>
    <row r="26" spans="1:7" ht="30" x14ac:dyDescent="0.25">
      <c r="A26" s="508"/>
      <c r="B26" s="525"/>
      <c r="C26" s="275" t="s">
        <v>132</v>
      </c>
      <c r="D26" s="109" t="s">
        <v>133</v>
      </c>
      <c r="E26" s="109" t="s">
        <v>86</v>
      </c>
      <c r="F26" s="109" t="s">
        <v>130</v>
      </c>
      <c r="G26" s="543"/>
    </row>
    <row r="27" spans="1:7" x14ac:dyDescent="0.25">
      <c r="A27" s="508"/>
      <c r="B27" s="525"/>
      <c r="C27" s="327" t="s">
        <v>30</v>
      </c>
      <c r="D27" s="109" t="s">
        <v>134</v>
      </c>
      <c r="E27" s="109" t="s">
        <v>86</v>
      </c>
      <c r="F27" s="109" t="s">
        <v>130</v>
      </c>
      <c r="G27" s="543"/>
    </row>
    <row r="28" spans="1:7" x14ac:dyDescent="0.25">
      <c r="A28" s="508"/>
      <c r="B28" s="525"/>
      <c r="C28" s="327" t="s">
        <v>135</v>
      </c>
      <c r="D28" s="109" t="s">
        <v>136</v>
      </c>
      <c r="E28" s="109" t="s">
        <v>86</v>
      </c>
      <c r="F28" s="109" t="s">
        <v>130</v>
      </c>
      <c r="G28" s="543"/>
    </row>
    <row r="29" spans="1:7" x14ac:dyDescent="0.25">
      <c r="A29" s="508"/>
      <c r="B29" s="525"/>
      <c r="C29" s="327" t="s">
        <v>36</v>
      </c>
      <c r="D29" s="109" t="s">
        <v>137</v>
      </c>
      <c r="E29" s="109" t="s">
        <v>86</v>
      </c>
      <c r="F29" s="109" t="s">
        <v>130</v>
      </c>
      <c r="G29" s="543"/>
    </row>
    <row r="30" spans="1:7" x14ac:dyDescent="0.25">
      <c r="A30" s="508"/>
      <c r="B30" s="525"/>
      <c r="C30" s="327" t="s">
        <v>138</v>
      </c>
      <c r="D30" s="109" t="s">
        <v>139</v>
      </c>
      <c r="E30" s="109" t="s">
        <v>86</v>
      </c>
      <c r="F30" s="109" t="s">
        <v>130</v>
      </c>
      <c r="G30" s="543"/>
    </row>
    <row r="31" spans="1:7" x14ac:dyDescent="0.25">
      <c r="A31" s="508"/>
      <c r="B31" s="525"/>
      <c r="C31" s="275" t="s">
        <v>140</v>
      </c>
      <c r="D31" s="109" t="s">
        <v>141</v>
      </c>
      <c r="E31" s="109" t="s">
        <v>86</v>
      </c>
      <c r="F31" s="109" t="s">
        <v>130</v>
      </c>
      <c r="G31" s="543"/>
    </row>
    <row r="32" spans="1:7" ht="30.75" thickBot="1" x14ac:dyDescent="0.3">
      <c r="A32" s="508"/>
      <c r="B32" s="526"/>
      <c r="C32" s="328" t="s">
        <v>142</v>
      </c>
      <c r="D32" s="104" t="s">
        <v>143</v>
      </c>
      <c r="E32" s="104" t="s">
        <v>86</v>
      </c>
      <c r="F32" s="104" t="s">
        <v>130</v>
      </c>
      <c r="G32" s="544"/>
    </row>
    <row r="33" spans="1:7" ht="30" x14ac:dyDescent="0.25">
      <c r="A33" s="508"/>
      <c r="B33" s="527" t="s">
        <v>144</v>
      </c>
      <c r="C33" s="310" t="s">
        <v>132</v>
      </c>
      <c r="D33" s="273" t="s">
        <v>145</v>
      </c>
      <c r="E33" s="273" t="s">
        <v>86</v>
      </c>
      <c r="F33" s="273" t="s">
        <v>146</v>
      </c>
      <c r="G33" s="274" t="s">
        <v>147</v>
      </c>
    </row>
    <row r="34" spans="1:7" x14ac:dyDescent="0.25">
      <c r="A34" s="508"/>
      <c r="B34" s="528"/>
      <c r="C34" s="325" t="s">
        <v>30</v>
      </c>
      <c r="D34" s="83" t="s">
        <v>148</v>
      </c>
      <c r="E34" s="83" t="s">
        <v>86</v>
      </c>
      <c r="F34" s="83" t="s">
        <v>146</v>
      </c>
      <c r="G34" s="99"/>
    </row>
    <row r="35" spans="1:7" x14ac:dyDescent="0.25">
      <c r="A35" s="508"/>
      <c r="B35" s="528"/>
      <c r="C35" s="325" t="s">
        <v>135</v>
      </c>
      <c r="D35" s="83" t="s">
        <v>149</v>
      </c>
      <c r="E35" s="83" t="s">
        <v>86</v>
      </c>
      <c r="F35" s="83" t="s">
        <v>146</v>
      </c>
      <c r="G35" s="99" t="s">
        <v>150</v>
      </c>
    </row>
    <row r="36" spans="1:7" x14ac:dyDescent="0.25">
      <c r="A36" s="508"/>
      <c r="B36" s="528"/>
      <c r="C36" s="325" t="s">
        <v>36</v>
      </c>
      <c r="D36" s="83" t="s">
        <v>151</v>
      </c>
      <c r="E36" s="83" t="s">
        <v>86</v>
      </c>
      <c r="F36" s="83" t="s">
        <v>146</v>
      </c>
      <c r="G36" s="113"/>
    </row>
    <row r="37" spans="1:7" x14ac:dyDescent="0.25">
      <c r="A37" s="508"/>
      <c r="B37" s="528"/>
      <c r="C37" s="325" t="s">
        <v>138</v>
      </c>
      <c r="D37" s="83" t="s">
        <v>152</v>
      </c>
      <c r="E37" s="83" t="s">
        <v>86</v>
      </c>
      <c r="F37" s="83" t="s">
        <v>146</v>
      </c>
      <c r="G37" s="99" t="s">
        <v>153</v>
      </c>
    </row>
    <row r="38" spans="1:7" x14ac:dyDescent="0.25">
      <c r="A38" s="508"/>
      <c r="B38" s="528"/>
      <c r="C38" s="276" t="s">
        <v>140</v>
      </c>
      <c r="D38" s="83" t="s">
        <v>154</v>
      </c>
      <c r="E38" s="83" t="s">
        <v>86</v>
      </c>
      <c r="F38" s="83" t="s">
        <v>146</v>
      </c>
      <c r="G38" s="99"/>
    </row>
    <row r="39" spans="1:7" ht="30" x14ac:dyDescent="0.25">
      <c r="A39" s="508"/>
      <c r="B39" s="528"/>
      <c r="C39" s="327" t="s">
        <v>155</v>
      </c>
      <c r="D39" s="83" t="s">
        <v>156</v>
      </c>
      <c r="E39" s="83" t="s">
        <v>86</v>
      </c>
      <c r="F39" s="83" t="s">
        <v>146</v>
      </c>
      <c r="G39" s="99"/>
    </row>
    <row r="40" spans="1:7" ht="30" x14ac:dyDescent="0.25">
      <c r="A40" s="508"/>
      <c r="B40" s="528"/>
      <c r="C40" s="276" t="s">
        <v>157</v>
      </c>
      <c r="D40" s="83" t="s">
        <v>158</v>
      </c>
      <c r="E40" s="83" t="s">
        <v>60</v>
      </c>
      <c r="F40" s="83" t="s">
        <v>146</v>
      </c>
      <c r="G40" s="99" t="s">
        <v>159</v>
      </c>
    </row>
    <row r="41" spans="1:7" ht="45.75" thickBot="1" x14ac:dyDescent="0.3">
      <c r="A41" s="508"/>
      <c r="B41" s="529"/>
      <c r="C41" s="324" t="s">
        <v>160</v>
      </c>
      <c r="D41" s="100" t="s">
        <v>161</v>
      </c>
      <c r="E41" s="100" t="s">
        <v>86</v>
      </c>
      <c r="F41" s="100" t="s">
        <v>146</v>
      </c>
      <c r="G41" s="101" t="s">
        <v>162</v>
      </c>
    </row>
    <row r="42" spans="1:7" ht="135.75" thickBot="1" x14ac:dyDescent="0.3">
      <c r="A42" s="507" t="s">
        <v>63</v>
      </c>
      <c r="B42" s="400" t="s">
        <v>163</v>
      </c>
      <c r="C42" s="329" t="s">
        <v>88</v>
      </c>
      <c r="D42" s="401" t="s">
        <v>164</v>
      </c>
      <c r="E42" s="401" t="s">
        <v>86</v>
      </c>
      <c r="F42" s="401" t="s">
        <v>79</v>
      </c>
      <c r="G42" s="402" t="s">
        <v>165</v>
      </c>
    </row>
    <row r="43" spans="1:7" ht="15" customHeight="1" x14ac:dyDescent="0.25">
      <c r="A43" s="508"/>
      <c r="B43" s="512" t="s">
        <v>166</v>
      </c>
      <c r="C43" s="307" t="s">
        <v>167</v>
      </c>
      <c r="D43" s="295" t="s">
        <v>168</v>
      </c>
      <c r="E43" s="295" t="s">
        <v>67</v>
      </c>
      <c r="F43" s="295" t="s">
        <v>79</v>
      </c>
      <c r="G43" s="278" t="s">
        <v>169</v>
      </c>
    </row>
    <row r="44" spans="1:7" ht="30" x14ac:dyDescent="0.25">
      <c r="A44" s="508"/>
      <c r="B44" s="513"/>
      <c r="C44" s="308" t="s">
        <v>128</v>
      </c>
      <c r="D44" s="296" t="s">
        <v>170</v>
      </c>
      <c r="E44" s="296" t="s">
        <v>67</v>
      </c>
      <c r="F44" s="296" t="s">
        <v>79</v>
      </c>
      <c r="G44" s="279" t="s">
        <v>169</v>
      </c>
    </row>
    <row r="45" spans="1:7" ht="30" x14ac:dyDescent="0.25">
      <c r="A45" s="508"/>
      <c r="B45" s="513"/>
      <c r="C45" s="308" t="s">
        <v>105</v>
      </c>
      <c r="D45" s="296" t="s">
        <v>171</v>
      </c>
      <c r="E45" s="296" t="s">
        <v>67</v>
      </c>
      <c r="F45" s="296" t="s">
        <v>79</v>
      </c>
      <c r="G45" s="279" t="s">
        <v>172</v>
      </c>
    </row>
    <row r="46" spans="1:7" x14ac:dyDescent="0.25">
      <c r="A46" s="508"/>
      <c r="B46" s="513"/>
      <c r="C46" s="308" t="s">
        <v>173</v>
      </c>
      <c r="D46" s="296" t="s">
        <v>174</v>
      </c>
      <c r="E46" s="296" t="s">
        <v>67</v>
      </c>
      <c r="F46" s="296" t="s">
        <v>79</v>
      </c>
      <c r="G46" s="279" t="s">
        <v>169</v>
      </c>
    </row>
    <row r="47" spans="1:7" ht="15.75" thickBot="1" x14ac:dyDescent="0.3">
      <c r="A47" s="508"/>
      <c r="B47" s="514"/>
      <c r="C47" s="309" t="s">
        <v>175</v>
      </c>
      <c r="D47" s="297" t="s">
        <v>176</v>
      </c>
      <c r="E47" s="296" t="s">
        <v>67</v>
      </c>
      <c r="F47" s="297" t="s">
        <v>79</v>
      </c>
      <c r="G47" s="280" t="s">
        <v>169</v>
      </c>
    </row>
    <row r="48" spans="1:7" ht="30" x14ac:dyDescent="0.25">
      <c r="A48" s="508"/>
      <c r="B48" s="515" t="s">
        <v>177</v>
      </c>
      <c r="C48" s="304" t="s">
        <v>132</v>
      </c>
      <c r="D48" s="298" t="s">
        <v>178</v>
      </c>
      <c r="E48" s="298" t="s">
        <v>67</v>
      </c>
      <c r="F48" s="298" t="s">
        <v>130</v>
      </c>
      <c r="G48" s="545" t="s">
        <v>179</v>
      </c>
    </row>
    <row r="49" spans="1:7" ht="30" x14ac:dyDescent="0.25">
      <c r="A49" s="508"/>
      <c r="B49" s="515"/>
      <c r="C49" s="305" t="s">
        <v>30</v>
      </c>
      <c r="D49" s="281" t="s">
        <v>180</v>
      </c>
      <c r="E49" s="281" t="s">
        <v>67</v>
      </c>
      <c r="F49" s="281" t="s">
        <v>130</v>
      </c>
      <c r="G49" s="546"/>
    </row>
    <row r="50" spans="1:7" ht="30" x14ac:dyDescent="0.25">
      <c r="A50" s="508"/>
      <c r="B50" s="515"/>
      <c r="C50" s="305" t="s">
        <v>135</v>
      </c>
      <c r="D50" s="281" t="s">
        <v>181</v>
      </c>
      <c r="E50" s="281" t="s">
        <v>67</v>
      </c>
      <c r="F50" s="281" t="s">
        <v>130</v>
      </c>
      <c r="G50" s="546"/>
    </row>
    <row r="51" spans="1:7" ht="30" x14ac:dyDescent="0.25">
      <c r="A51" s="508"/>
      <c r="B51" s="515"/>
      <c r="C51" s="305" t="s">
        <v>36</v>
      </c>
      <c r="D51" s="281" t="s">
        <v>182</v>
      </c>
      <c r="E51" s="281" t="s">
        <v>67</v>
      </c>
      <c r="F51" s="281" t="s">
        <v>130</v>
      </c>
      <c r="G51" s="546"/>
    </row>
    <row r="52" spans="1:7" ht="30" x14ac:dyDescent="0.25">
      <c r="A52" s="508"/>
      <c r="B52" s="515"/>
      <c r="C52" s="305" t="s">
        <v>138</v>
      </c>
      <c r="D52" s="281" t="s">
        <v>183</v>
      </c>
      <c r="E52" s="281" t="s">
        <v>67</v>
      </c>
      <c r="F52" s="281" t="s">
        <v>130</v>
      </c>
      <c r="G52" s="546"/>
    </row>
    <row r="53" spans="1:7" ht="30" x14ac:dyDescent="0.25">
      <c r="A53" s="508"/>
      <c r="B53" s="515"/>
      <c r="C53" s="305" t="s">
        <v>184</v>
      </c>
      <c r="D53" s="281" t="s">
        <v>185</v>
      </c>
      <c r="E53" s="281" t="s">
        <v>67</v>
      </c>
      <c r="F53" s="281" t="s">
        <v>130</v>
      </c>
      <c r="G53" s="546"/>
    </row>
    <row r="54" spans="1:7" x14ac:dyDescent="0.25">
      <c r="A54" s="508"/>
      <c r="B54" s="515"/>
      <c r="C54" s="305" t="s">
        <v>140</v>
      </c>
      <c r="D54" s="281" t="s">
        <v>186</v>
      </c>
      <c r="E54" s="281" t="s">
        <v>67</v>
      </c>
      <c r="F54" s="281" t="s">
        <v>130</v>
      </c>
      <c r="G54" s="546"/>
    </row>
    <row r="55" spans="1:7" ht="30.75" thickBot="1" x14ac:dyDescent="0.3">
      <c r="A55" s="508"/>
      <c r="B55" s="516"/>
      <c r="C55" s="306" t="s">
        <v>187</v>
      </c>
      <c r="D55" s="299" t="s">
        <v>188</v>
      </c>
      <c r="E55" s="299" t="s">
        <v>67</v>
      </c>
      <c r="F55" s="299" t="s">
        <v>130</v>
      </c>
      <c r="G55" s="547"/>
    </row>
    <row r="56" spans="1:7" ht="30" x14ac:dyDescent="0.25">
      <c r="A56" s="508"/>
      <c r="B56" s="517" t="s">
        <v>144</v>
      </c>
      <c r="C56" s="387" t="s">
        <v>132</v>
      </c>
      <c r="D56" s="388" t="s">
        <v>189</v>
      </c>
      <c r="E56" s="388" t="s">
        <v>67</v>
      </c>
      <c r="F56" s="388" t="s">
        <v>146</v>
      </c>
      <c r="G56" s="389" t="s">
        <v>169</v>
      </c>
    </row>
    <row r="57" spans="1:7" ht="30" x14ac:dyDescent="0.25">
      <c r="A57" s="508"/>
      <c r="B57" s="518"/>
      <c r="C57" s="302" t="s">
        <v>30</v>
      </c>
      <c r="D57" s="300" t="s">
        <v>190</v>
      </c>
      <c r="E57" s="300" t="s">
        <v>67</v>
      </c>
      <c r="F57" s="300" t="s">
        <v>146</v>
      </c>
      <c r="G57" s="277" t="s">
        <v>169</v>
      </c>
    </row>
    <row r="58" spans="1:7" ht="30" x14ac:dyDescent="0.25">
      <c r="A58" s="508"/>
      <c r="B58" s="518"/>
      <c r="C58" s="302" t="s">
        <v>135</v>
      </c>
      <c r="D58" s="300" t="s">
        <v>191</v>
      </c>
      <c r="E58" s="300" t="s">
        <v>67</v>
      </c>
      <c r="F58" s="300" t="s">
        <v>146</v>
      </c>
      <c r="G58" s="277" t="s">
        <v>169</v>
      </c>
    </row>
    <row r="59" spans="1:7" x14ac:dyDescent="0.25">
      <c r="A59" s="508"/>
      <c r="B59" s="518"/>
      <c r="C59" s="302" t="s">
        <v>36</v>
      </c>
      <c r="D59" s="300" t="s">
        <v>192</v>
      </c>
      <c r="E59" s="300" t="s">
        <v>67</v>
      </c>
      <c r="F59" s="300" t="s">
        <v>146</v>
      </c>
      <c r="G59" s="277" t="s">
        <v>169</v>
      </c>
    </row>
    <row r="60" spans="1:7" ht="30" x14ac:dyDescent="0.25">
      <c r="A60" s="508"/>
      <c r="B60" s="518"/>
      <c r="C60" s="302" t="s">
        <v>138</v>
      </c>
      <c r="D60" s="300" t="s">
        <v>193</v>
      </c>
      <c r="E60" s="300" t="s">
        <v>67</v>
      </c>
      <c r="F60" s="300" t="s">
        <v>146</v>
      </c>
      <c r="G60" s="277" t="s">
        <v>169</v>
      </c>
    </row>
    <row r="61" spans="1:7" x14ac:dyDescent="0.25">
      <c r="A61" s="508"/>
      <c r="B61" s="518"/>
      <c r="C61" s="302" t="s">
        <v>184</v>
      </c>
      <c r="D61" s="300" t="s">
        <v>194</v>
      </c>
      <c r="E61" s="300" t="s">
        <v>67</v>
      </c>
      <c r="F61" s="300" t="s">
        <v>146</v>
      </c>
      <c r="G61" s="277" t="s">
        <v>169</v>
      </c>
    </row>
    <row r="62" spans="1:7" x14ac:dyDescent="0.25">
      <c r="A62" s="508"/>
      <c r="B62" s="518"/>
      <c r="C62" s="302" t="s">
        <v>140</v>
      </c>
      <c r="D62" s="300" t="s">
        <v>195</v>
      </c>
      <c r="E62" s="300" t="s">
        <v>67</v>
      </c>
      <c r="F62" s="300" t="s">
        <v>146</v>
      </c>
      <c r="G62" s="277" t="s">
        <v>169</v>
      </c>
    </row>
    <row r="63" spans="1:7" ht="15.75" thickBot="1" x14ac:dyDescent="0.3">
      <c r="A63" s="520"/>
      <c r="B63" s="519"/>
      <c r="C63" s="303" t="s">
        <v>187</v>
      </c>
      <c r="D63" s="301" t="s">
        <v>196</v>
      </c>
      <c r="E63" s="301" t="s">
        <v>67</v>
      </c>
      <c r="F63" s="301" t="s">
        <v>146</v>
      </c>
      <c r="G63" s="282" t="s">
        <v>169</v>
      </c>
    </row>
    <row r="64" spans="1:7" ht="120" x14ac:dyDescent="0.25">
      <c r="A64" s="508" t="s">
        <v>65</v>
      </c>
      <c r="B64" s="509" t="s">
        <v>197</v>
      </c>
      <c r="C64" s="326" t="s">
        <v>77</v>
      </c>
      <c r="D64" s="284" t="s">
        <v>198</v>
      </c>
      <c r="E64" s="284" t="s">
        <v>60</v>
      </c>
      <c r="F64" s="284" t="s">
        <v>79</v>
      </c>
      <c r="G64" s="403" t="s">
        <v>199</v>
      </c>
    </row>
    <row r="65" spans="1:7" ht="60" x14ac:dyDescent="0.25">
      <c r="A65" s="508"/>
      <c r="B65" s="510"/>
      <c r="C65" s="327" t="s">
        <v>81</v>
      </c>
      <c r="D65" s="285" t="s">
        <v>82</v>
      </c>
      <c r="E65" s="285" t="s">
        <v>60</v>
      </c>
      <c r="F65" s="285" t="s">
        <v>79</v>
      </c>
      <c r="G65" s="405" t="s">
        <v>200</v>
      </c>
    </row>
    <row r="66" spans="1:7" ht="30" x14ac:dyDescent="0.25">
      <c r="A66" s="508"/>
      <c r="B66" s="510"/>
      <c r="C66" s="327" t="s">
        <v>96</v>
      </c>
      <c r="D66" s="285" t="s">
        <v>97</v>
      </c>
      <c r="E66" s="285" t="s">
        <v>60</v>
      </c>
      <c r="F66" s="285" t="s">
        <v>79</v>
      </c>
      <c r="G66" s="286" t="s">
        <v>201</v>
      </c>
    </row>
    <row r="67" spans="1:7" ht="30" x14ac:dyDescent="0.25">
      <c r="A67" s="508"/>
      <c r="B67" s="510"/>
      <c r="C67" s="327" t="s">
        <v>202</v>
      </c>
      <c r="D67" s="285" t="s">
        <v>203</v>
      </c>
      <c r="E67" s="285" t="s">
        <v>60</v>
      </c>
      <c r="F67" s="285" t="s">
        <v>79</v>
      </c>
      <c r="G67" s="286" t="s">
        <v>204</v>
      </c>
    </row>
    <row r="68" spans="1:7" x14ac:dyDescent="0.25">
      <c r="A68" s="508"/>
      <c r="B68" s="510"/>
      <c r="C68" s="327" t="s">
        <v>1</v>
      </c>
      <c r="D68" s="285" t="s">
        <v>205</v>
      </c>
      <c r="E68" s="285" t="s">
        <v>60</v>
      </c>
      <c r="F68" s="285" t="s">
        <v>79</v>
      </c>
      <c r="G68" s="286" t="s">
        <v>206</v>
      </c>
    </row>
    <row r="69" spans="1:7" ht="15.75" thickBot="1" x14ac:dyDescent="0.3">
      <c r="A69" s="508"/>
      <c r="B69" s="511"/>
      <c r="C69" s="328" t="s">
        <v>207</v>
      </c>
      <c r="D69" s="287" t="s">
        <v>208</v>
      </c>
      <c r="E69" s="287" t="s">
        <v>60</v>
      </c>
      <c r="F69" s="287" t="s">
        <v>79</v>
      </c>
      <c r="G69" s="288"/>
    </row>
    <row r="70" spans="1:7" ht="150" x14ac:dyDescent="0.25">
      <c r="A70" s="507" t="s">
        <v>68</v>
      </c>
      <c r="B70" s="504" t="s">
        <v>76</v>
      </c>
      <c r="C70" s="334" t="s">
        <v>77</v>
      </c>
      <c r="D70" s="283" t="s">
        <v>209</v>
      </c>
      <c r="E70" s="283" t="s">
        <v>60</v>
      </c>
      <c r="F70" s="283" t="s">
        <v>79</v>
      </c>
      <c r="G70" s="404" t="s">
        <v>210</v>
      </c>
    </row>
    <row r="71" spans="1:7" x14ac:dyDescent="0.25">
      <c r="A71" s="508"/>
      <c r="B71" s="505"/>
      <c r="C71" s="121" t="s">
        <v>81</v>
      </c>
      <c r="D71" s="82" t="s">
        <v>82</v>
      </c>
      <c r="E71" s="82" t="s">
        <v>60</v>
      </c>
      <c r="F71" s="82" t="s">
        <v>79</v>
      </c>
      <c r="G71" s="95" t="s">
        <v>169</v>
      </c>
    </row>
    <row r="72" spans="1:7" ht="30" x14ac:dyDescent="0.25">
      <c r="A72" s="508"/>
      <c r="B72" s="505"/>
      <c r="C72" s="121" t="s">
        <v>96</v>
      </c>
      <c r="D72" s="82" t="s">
        <v>97</v>
      </c>
      <c r="E72" s="82" t="s">
        <v>60</v>
      </c>
      <c r="F72" s="82" t="s">
        <v>79</v>
      </c>
      <c r="G72" s="95" t="s">
        <v>211</v>
      </c>
    </row>
    <row r="73" spans="1:7" x14ac:dyDescent="0.25">
      <c r="A73" s="508"/>
      <c r="B73" s="505"/>
      <c r="C73" s="121" t="s">
        <v>212</v>
      </c>
      <c r="D73" s="82" t="s">
        <v>213</v>
      </c>
      <c r="E73" s="82" t="s">
        <v>86</v>
      </c>
      <c r="F73" s="82" t="s">
        <v>79</v>
      </c>
      <c r="G73" s="95" t="s">
        <v>169</v>
      </c>
    </row>
    <row r="74" spans="1:7" ht="60" customHeight="1" x14ac:dyDescent="0.25">
      <c r="A74" s="508"/>
      <c r="B74" s="505"/>
      <c r="C74" s="121" t="s">
        <v>88</v>
      </c>
      <c r="D74" s="82" t="s">
        <v>214</v>
      </c>
      <c r="E74" s="82" t="s">
        <v>86</v>
      </c>
      <c r="F74" s="82" t="s">
        <v>79</v>
      </c>
      <c r="G74" s="95" t="s">
        <v>169</v>
      </c>
    </row>
    <row r="75" spans="1:7" x14ac:dyDescent="0.25">
      <c r="A75" s="508"/>
      <c r="B75" s="505"/>
      <c r="C75" s="121" t="s">
        <v>1</v>
      </c>
      <c r="D75" s="82" t="s">
        <v>205</v>
      </c>
      <c r="E75" s="82" t="s">
        <v>86</v>
      </c>
      <c r="F75" s="82" t="s">
        <v>79</v>
      </c>
      <c r="G75" s="95" t="s">
        <v>169</v>
      </c>
    </row>
    <row r="76" spans="1:7" ht="90" x14ac:dyDescent="0.25">
      <c r="A76" s="508"/>
      <c r="B76" s="505"/>
      <c r="C76" s="121" t="s">
        <v>215</v>
      </c>
      <c r="D76" s="82" t="s">
        <v>216</v>
      </c>
      <c r="E76" s="82" t="s">
        <v>60</v>
      </c>
      <c r="F76" s="82" t="s">
        <v>79</v>
      </c>
      <c r="G76" s="321" t="s">
        <v>217</v>
      </c>
    </row>
    <row r="77" spans="1:7" ht="90" x14ac:dyDescent="0.25">
      <c r="A77" s="508"/>
      <c r="B77" s="505"/>
      <c r="C77" s="121" t="s">
        <v>218</v>
      </c>
      <c r="D77" s="82" t="s">
        <v>219</v>
      </c>
      <c r="E77" s="82" t="s">
        <v>60</v>
      </c>
      <c r="F77" s="82" t="s">
        <v>79</v>
      </c>
      <c r="G77" s="321" t="s">
        <v>220</v>
      </c>
    </row>
    <row r="78" spans="1:7" ht="30" x14ac:dyDescent="0.25">
      <c r="A78" s="508"/>
      <c r="B78" s="505"/>
      <c r="C78" s="121" t="s">
        <v>105</v>
      </c>
      <c r="D78" s="82" t="s">
        <v>171</v>
      </c>
      <c r="E78" s="82" t="s">
        <v>86</v>
      </c>
      <c r="F78" s="82" t="s">
        <v>79</v>
      </c>
      <c r="G78" s="95" t="s">
        <v>172</v>
      </c>
    </row>
    <row r="79" spans="1:7" ht="30.75" thickBot="1" x14ac:dyDescent="0.3">
      <c r="A79" s="508"/>
      <c r="B79" s="506"/>
      <c r="C79" s="122" t="s">
        <v>221</v>
      </c>
      <c r="D79" s="96" t="s">
        <v>222</v>
      </c>
      <c r="E79" s="96" t="s">
        <v>60</v>
      </c>
      <c r="F79" s="96" t="s">
        <v>79</v>
      </c>
      <c r="G79" s="97" t="s">
        <v>223</v>
      </c>
    </row>
    <row r="80" spans="1:7" ht="30" x14ac:dyDescent="0.25">
      <c r="A80" s="508"/>
      <c r="B80" s="548" t="s">
        <v>113</v>
      </c>
      <c r="C80" s="123" t="s">
        <v>114</v>
      </c>
      <c r="D80" s="105" t="s">
        <v>224</v>
      </c>
      <c r="E80" s="105" t="s">
        <v>60</v>
      </c>
      <c r="F80" s="105" t="s">
        <v>225</v>
      </c>
      <c r="G80" s="106" t="s">
        <v>223</v>
      </c>
    </row>
    <row r="81" spans="1:7" ht="30.75" thickBot="1" x14ac:dyDescent="0.3">
      <c r="A81" s="508"/>
      <c r="B81" s="549"/>
      <c r="C81" s="124" t="s">
        <v>121</v>
      </c>
      <c r="D81" s="107" t="s">
        <v>226</v>
      </c>
      <c r="E81" s="107" t="s">
        <v>60</v>
      </c>
      <c r="F81" s="107" t="s">
        <v>225</v>
      </c>
      <c r="G81" s="108" t="s">
        <v>223</v>
      </c>
    </row>
    <row r="82" spans="1:7" ht="30" x14ac:dyDescent="0.25">
      <c r="A82" s="508"/>
      <c r="B82" s="550" t="s">
        <v>124</v>
      </c>
      <c r="C82" s="125" t="s">
        <v>227</v>
      </c>
      <c r="D82" s="102" t="s">
        <v>228</v>
      </c>
      <c r="E82" s="102" t="s">
        <v>60</v>
      </c>
      <c r="F82" s="102" t="s">
        <v>79</v>
      </c>
      <c r="G82" s="103" t="s">
        <v>223</v>
      </c>
    </row>
    <row r="83" spans="1:7" ht="30" x14ac:dyDescent="0.25">
      <c r="A83" s="508"/>
      <c r="B83" s="551"/>
      <c r="C83" s="127" t="s">
        <v>229</v>
      </c>
      <c r="D83" s="109" t="s">
        <v>230</v>
      </c>
      <c r="E83" s="109" t="s">
        <v>60</v>
      </c>
      <c r="F83" s="109" t="s">
        <v>225</v>
      </c>
      <c r="G83" s="114" t="s">
        <v>223</v>
      </c>
    </row>
    <row r="84" spans="1:7" ht="30.75" thickBot="1" x14ac:dyDescent="0.3">
      <c r="A84" s="508"/>
      <c r="B84" s="552"/>
      <c r="C84" s="128" t="s">
        <v>187</v>
      </c>
      <c r="D84" s="119" t="s">
        <v>231</v>
      </c>
      <c r="E84" s="119" t="s">
        <v>60</v>
      </c>
      <c r="F84" s="119" t="s">
        <v>225</v>
      </c>
      <c r="G84" s="120" t="s">
        <v>223</v>
      </c>
    </row>
    <row r="85" spans="1:7" ht="30" x14ac:dyDescent="0.25">
      <c r="A85" s="508"/>
      <c r="B85" s="553" t="s">
        <v>144</v>
      </c>
      <c r="C85" s="126" t="s">
        <v>232</v>
      </c>
      <c r="D85" s="111" t="s">
        <v>233</v>
      </c>
      <c r="E85" s="111" t="s">
        <v>60</v>
      </c>
      <c r="F85" s="111" t="s">
        <v>225</v>
      </c>
      <c r="G85" s="112" t="s">
        <v>223</v>
      </c>
    </row>
    <row r="86" spans="1:7" ht="30" x14ac:dyDescent="0.25">
      <c r="A86" s="508"/>
      <c r="B86" s="554"/>
      <c r="C86" s="98" t="s">
        <v>229</v>
      </c>
      <c r="D86" s="83" t="s">
        <v>234</v>
      </c>
      <c r="E86" s="83" t="s">
        <v>60</v>
      </c>
      <c r="F86" s="83" t="s">
        <v>225</v>
      </c>
      <c r="G86" s="99" t="s">
        <v>223</v>
      </c>
    </row>
    <row r="87" spans="1:7" ht="30" x14ac:dyDescent="0.25">
      <c r="A87" s="508"/>
      <c r="B87" s="554"/>
      <c r="C87" s="98" t="s">
        <v>184</v>
      </c>
      <c r="D87" s="83" t="s">
        <v>235</v>
      </c>
      <c r="E87" s="83" t="s">
        <v>60</v>
      </c>
      <c r="F87" s="83" t="s">
        <v>225</v>
      </c>
      <c r="G87" s="99" t="s">
        <v>223</v>
      </c>
    </row>
    <row r="88" spans="1:7" ht="30" x14ac:dyDescent="0.25">
      <c r="A88" s="508"/>
      <c r="B88" s="554"/>
      <c r="C88" s="98" t="s">
        <v>140</v>
      </c>
      <c r="D88" s="83" t="s">
        <v>236</v>
      </c>
      <c r="E88" s="83" t="s">
        <v>60</v>
      </c>
      <c r="F88" s="83" t="s">
        <v>225</v>
      </c>
      <c r="G88" s="99" t="s">
        <v>223</v>
      </c>
    </row>
    <row r="89" spans="1:7" ht="45" customHeight="1" x14ac:dyDescent="0.25">
      <c r="A89" s="508"/>
      <c r="B89" s="554"/>
      <c r="C89" s="98" t="s">
        <v>187</v>
      </c>
      <c r="D89" s="83" t="s">
        <v>237</v>
      </c>
      <c r="E89" s="83" t="s">
        <v>60</v>
      </c>
      <c r="F89" s="83" t="s">
        <v>225</v>
      </c>
      <c r="G89" s="99" t="s">
        <v>223</v>
      </c>
    </row>
    <row r="90" spans="1:7" ht="30.75" thickBot="1" x14ac:dyDescent="0.3">
      <c r="A90" s="520"/>
      <c r="B90" s="555"/>
      <c r="C90" s="324"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2"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556" t="s">
        <v>240</v>
      </c>
      <c r="B2" s="556"/>
      <c r="C2" s="556"/>
      <c r="D2" s="556"/>
      <c r="E2" s="556"/>
      <c r="F2" s="89"/>
      <c r="G2" s="89"/>
      <c r="H2" s="89"/>
      <c r="I2" s="89"/>
      <c r="J2" s="89"/>
      <c r="K2" s="89"/>
      <c r="L2" s="89"/>
      <c r="M2" s="89"/>
      <c r="N2" s="89"/>
      <c r="O2" s="89"/>
      <c r="P2" s="89"/>
      <c r="Q2" s="89"/>
      <c r="R2" s="89"/>
    </row>
    <row r="3" spans="1:19" ht="45" x14ac:dyDescent="0.25">
      <c r="A3" s="471" t="s">
        <v>241</v>
      </c>
      <c r="B3" s="471" t="s">
        <v>242</v>
      </c>
      <c r="C3" s="471" t="s">
        <v>243</v>
      </c>
      <c r="D3" s="471" t="s">
        <v>244</v>
      </c>
      <c r="E3" s="471" t="s">
        <v>245</v>
      </c>
    </row>
    <row r="4" spans="1:19" x14ac:dyDescent="0.25">
      <c r="A4" s="472" t="s">
        <v>246</v>
      </c>
      <c r="B4" s="472" t="s">
        <v>247</v>
      </c>
      <c r="C4" s="472" t="s">
        <v>248</v>
      </c>
      <c r="D4" s="472" t="s">
        <v>249</v>
      </c>
      <c r="E4" s="472" t="s">
        <v>248</v>
      </c>
    </row>
    <row r="5" spans="1:19" x14ac:dyDescent="0.25">
      <c r="A5" s="472" t="s">
        <v>250</v>
      </c>
      <c r="B5" s="472" t="s">
        <v>251</v>
      </c>
      <c r="C5" s="472" t="s">
        <v>252</v>
      </c>
      <c r="D5" s="472" t="s">
        <v>249</v>
      </c>
      <c r="E5" s="472" t="s">
        <v>248</v>
      </c>
    </row>
    <row r="6" spans="1:19" x14ac:dyDescent="0.25">
      <c r="A6" s="81"/>
    </row>
    <row r="7" spans="1:19" ht="59.25" customHeight="1" x14ac:dyDescent="0.25">
      <c r="A7" s="556" t="s">
        <v>253</v>
      </c>
      <c r="B7" s="557"/>
      <c r="C7" s="557"/>
      <c r="D7" s="557"/>
      <c r="E7" s="557"/>
      <c r="F7" s="557"/>
      <c r="G7" s="557"/>
      <c r="H7" s="557"/>
      <c r="I7" s="557"/>
      <c r="J7" s="557"/>
      <c r="K7" s="557"/>
      <c r="L7" s="557"/>
      <c r="M7" s="89"/>
      <c r="N7" s="89"/>
      <c r="O7" s="89"/>
      <c r="P7" s="89"/>
      <c r="Q7" s="89"/>
      <c r="R7" s="89"/>
      <c r="S7" s="89"/>
    </row>
    <row r="8" spans="1:19" x14ac:dyDescent="0.25">
      <c r="A8" s="473" t="s">
        <v>254</v>
      </c>
      <c r="B8" s="474"/>
      <c r="C8" s="474"/>
      <c r="D8" s="474"/>
      <c r="E8" s="474"/>
      <c r="F8" s="474"/>
      <c r="G8" s="474"/>
      <c r="H8" s="474"/>
      <c r="I8" s="474"/>
      <c r="J8" s="474"/>
      <c r="K8" s="474"/>
      <c r="L8" s="474"/>
      <c r="M8" s="89"/>
      <c r="N8" s="89"/>
      <c r="O8" s="89"/>
      <c r="P8" s="89"/>
      <c r="Q8" s="89"/>
      <c r="R8" s="89"/>
      <c r="S8" s="89"/>
    </row>
    <row r="9" spans="1:19" x14ac:dyDescent="0.25">
      <c r="A9" s="475" t="s">
        <v>77</v>
      </c>
      <c r="B9" s="476" t="s">
        <v>81</v>
      </c>
      <c r="C9" s="476" t="s">
        <v>84</v>
      </c>
      <c r="D9" s="477" t="s">
        <v>88</v>
      </c>
      <c r="E9" s="476" t="s">
        <v>91</v>
      </c>
      <c r="F9" s="476" t="s">
        <v>94</v>
      </c>
      <c r="G9" s="476" t="s">
        <v>96</v>
      </c>
      <c r="H9" s="476" t="s">
        <v>99</v>
      </c>
      <c r="I9" s="476" t="s">
        <v>102</v>
      </c>
      <c r="J9" s="478" t="s">
        <v>105</v>
      </c>
      <c r="K9" s="478" t="s">
        <v>108</v>
      </c>
      <c r="L9" s="479" t="s">
        <v>1</v>
      </c>
    </row>
    <row r="10" spans="1:19" x14ac:dyDescent="0.25">
      <c r="A10" s="480" t="s">
        <v>255</v>
      </c>
      <c r="B10" s="481" t="s">
        <v>256</v>
      </c>
      <c r="C10" s="481"/>
      <c r="D10" s="482" t="s">
        <v>257</v>
      </c>
      <c r="E10" s="483"/>
      <c r="F10" s="481" t="s">
        <v>258</v>
      </c>
      <c r="G10" s="482" t="s">
        <v>259</v>
      </c>
      <c r="H10" s="481" t="s">
        <v>260</v>
      </c>
      <c r="I10" s="481"/>
      <c r="J10" s="482">
        <v>1</v>
      </c>
      <c r="K10" s="482">
        <v>1</v>
      </c>
      <c r="L10" s="482" t="s">
        <v>261</v>
      </c>
    </row>
    <row r="11" spans="1:19" x14ac:dyDescent="0.25">
      <c r="A11" s="480" t="s">
        <v>262</v>
      </c>
      <c r="B11" s="481" t="s">
        <v>263</v>
      </c>
      <c r="C11" s="481"/>
      <c r="D11" s="482" t="s">
        <v>264</v>
      </c>
      <c r="E11" s="483"/>
      <c r="F11" s="481" t="s">
        <v>265</v>
      </c>
      <c r="G11" s="482" t="s">
        <v>259</v>
      </c>
      <c r="H11" s="481" t="s">
        <v>266</v>
      </c>
      <c r="I11" s="481"/>
      <c r="J11" s="482">
        <v>1</v>
      </c>
      <c r="K11" s="482">
        <v>1</v>
      </c>
      <c r="L11" s="482" t="s">
        <v>267</v>
      </c>
    </row>
    <row r="12" spans="1:19" ht="30" x14ac:dyDescent="0.25">
      <c r="A12" s="480" t="s">
        <v>268</v>
      </c>
      <c r="B12" s="480" t="s">
        <v>269</v>
      </c>
      <c r="C12" s="481"/>
      <c r="D12" s="482" t="s">
        <v>247</v>
      </c>
      <c r="E12" s="483"/>
      <c r="F12" s="481" t="s">
        <v>270</v>
      </c>
      <c r="G12" s="482" t="e">
        <v>#N/A</v>
      </c>
      <c r="H12" s="481" t="s">
        <v>249</v>
      </c>
      <c r="I12" s="481"/>
      <c r="J12" s="482">
        <v>1</v>
      </c>
      <c r="K12" s="482">
        <v>1</v>
      </c>
      <c r="L12" s="482" t="s">
        <v>261</v>
      </c>
    </row>
    <row r="13" spans="1:19" x14ac:dyDescent="0.25">
      <c r="A13" s="484" t="s">
        <v>271</v>
      </c>
    </row>
    <row r="14" spans="1:19" x14ac:dyDescent="0.25">
      <c r="A14" s="475" t="s">
        <v>77</v>
      </c>
      <c r="B14" s="476" t="s">
        <v>81</v>
      </c>
      <c r="C14" s="476" t="s">
        <v>84</v>
      </c>
      <c r="D14" s="477" t="s">
        <v>88</v>
      </c>
      <c r="E14" s="476" t="s">
        <v>91</v>
      </c>
      <c r="F14" s="476" t="s">
        <v>94</v>
      </c>
      <c r="G14" s="476" t="s">
        <v>96</v>
      </c>
      <c r="H14" s="476" t="s">
        <v>99</v>
      </c>
      <c r="I14" s="476" t="s">
        <v>102</v>
      </c>
      <c r="J14" s="478" t="s">
        <v>105</v>
      </c>
      <c r="K14" s="478" t="s">
        <v>108</v>
      </c>
      <c r="L14" s="485" t="s">
        <v>1</v>
      </c>
      <c r="M14" s="478" t="s">
        <v>114</v>
      </c>
      <c r="N14" s="478" t="s">
        <v>118</v>
      </c>
      <c r="O14" s="478" t="s">
        <v>121</v>
      </c>
      <c r="P14" s="478" t="s">
        <v>125</v>
      </c>
      <c r="Q14" s="478" t="s">
        <v>128</v>
      </c>
      <c r="R14" s="478" t="s">
        <v>132</v>
      </c>
      <c r="S14" s="478" t="s">
        <v>157</v>
      </c>
    </row>
    <row r="15" spans="1:19" x14ac:dyDescent="0.25">
      <c r="A15" s="480" t="s">
        <v>272</v>
      </c>
      <c r="B15" s="481" t="s">
        <v>273</v>
      </c>
      <c r="C15" s="481"/>
      <c r="D15" s="482" t="s">
        <v>252</v>
      </c>
      <c r="E15" s="481"/>
      <c r="F15" s="481" t="s">
        <v>274</v>
      </c>
      <c r="G15" s="482" t="s">
        <v>259</v>
      </c>
      <c r="H15" s="481" t="s">
        <v>275</v>
      </c>
      <c r="I15" s="481"/>
      <c r="J15" s="482">
        <v>1</v>
      </c>
      <c r="K15" s="482">
        <v>1</v>
      </c>
      <c r="L15" s="482" t="s">
        <v>276</v>
      </c>
      <c r="M15" s="486">
        <v>0</v>
      </c>
      <c r="N15" s="482"/>
      <c r="O15" s="486">
        <v>0</v>
      </c>
      <c r="P15" s="481" t="s">
        <v>48</v>
      </c>
      <c r="Q15" s="482">
        <v>1</v>
      </c>
      <c r="R15" s="482">
        <v>0</v>
      </c>
      <c r="S15" s="481" t="s">
        <v>277</v>
      </c>
    </row>
    <row r="16" spans="1:19" x14ac:dyDescent="0.25">
      <c r="A16" s="480" t="s">
        <v>250</v>
      </c>
      <c r="B16" s="481" t="s">
        <v>278</v>
      </c>
      <c r="C16" s="481"/>
      <c r="D16" s="487" t="s">
        <v>247</v>
      </c>
      <c r="E16" s="481"/>
      <c r="F16" s="481" t="s">
        <v>279</v>
      </c>
      <c r="G16" s="482" t="s">
        <v>280</v>
      </c>
      <c r="H16" s="488" t="s">
        <v>249</v>
      </c>
      <c r="I16" s="481"/>
      <c r="J16" s="482">
        <v>1</v>
      </c>
      <c r="K16" s="482">
        <v>1</v>
      </c>
      <c r="L16" s="482" t="s">
        <v>261</v>
      </c>
      <c r="M16" s="486">
        <v>0</v>
      </c>
      <c r="N16" s="482"/>
      <c r="O16" s="486">
        <v>0</v>
      </c>
      <c r="P16" s="481" t="s">
        <v>48</v>
      </c>
      <c r="Q16" s="482">
        <v>1</v>
      </c>
      <c r="R16" s="482">
        <v>0</v>
      </c>
      <c r="S16" s="481" t="s">
        <v>277</v>
      </c>
    </row>
    <row r="17" spans="1:19" x14ac:dyDescent="0.25">
      <c r="A17" s="480" t="s">
        <v>281</v>
      </c>
      <c r="B17" s="481" t="s">
        <v>282</v>
      </c>
      <c r="C17" s="481"/>
      <c r="D17" s="482" t="s">
        <v>252</v>
      </c>
      <c r="E17" s="481"/>
      <c r="F17" s="481" t="s">
        <v>283</v>
      </c>
      <c r="G17" s="482" t="s">
        <v>284</v>
      </c>
      <c r="H17" s="481" t="s">
        <v>285</v>
      </c>
      <c r="I17" s="481"/>
      <c r="J17" s="482">
        <v>1</v>
      </c>
      <c r="K17" s="482">
        <v>1</v>
      </c>
      <c r="L17" s="482" t="s">
        <v>276</v>
      </c>
      <c r="M17" s="486">
        <v>0</v>
      </c>
      <c r="N17" s="482"/>
      <c r="O17" s="486">
        <v>0</v>
      </c>
      <c r="P17" s="481" t="s">
        <v>48</v>
      </c>
      <c r="Q17" s="482">
        <v>1</v>
      </c>
      <c r="R17" s="482">
        <v>0</v>
      </c>
      <c r="S17" s="481"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8"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489" t="s">
        <v>0</v>
      </c>
      <c r="B1" s="490" t="s">
        <v>287</v>
      </c>
      <c r="C1" s="490" t="s">
        <v>288</v>
      </c>
    </row>
    <row r="2" spans="1:3" x14ac:dyDescent="0.25">
      <c r="A2" s="491">
        <v>43807</v>
      </c>
      <c r="B2" s="492" t="s">
        <v>289</v>
      </c>
      <c r="C2" s="492" t="s">
        <v>11</v>
      </c>
    </row>
    <row r="3" spans="1:3" ht="30" x14ac:dyDescent="0.25">
      <c r="A3" s="491">
        <v>43937</v>
      </c>
      <c r="B3" s="80" t="s">
        <v>290</v>
      </c>
      <c r="C3" s="492" t="s">
        <v>11</v>
      </c>
    </row>
    <row r="4" spans="1:3" x14ac:dyDescent="0.25">
      <c r="A4" s="491">
        <v>43941</v>
      </c>
      <c r="B4" s="492" t="s">
        <v>291</v>
      </c>
      <c r="C4" s="492" t="s">
        <v>11</v>
      </c>
    </row>
    <row r="5" spans="1:3" x14ac:dyDescent="0.25">
      <c r="A5" s="491">
        <v>43942</v>
      </c>
      <c r="B5" s="492" t="s">
        <v>292</v>
      </c>
      <c r="C5" s="492" t="s">
        <v>11</v>
      </c>
    </row>
    <row r="6" spans="1:3" x14ac:dyDescent="0.25">
      <c r="A6" s="491">
        <v>43963</v>
      </c>
      <c r="B6" s="492" t="s">
        <v>293</v>
      </c>
      <c r="C6" s="492" t="s">
        <v>11</v>
      </c>
    </row>
    <row r="7" spans="1:3" x14ac:dyDescent="0.25">
      <c r="A7" s="491">
        <v>43990</v>
      </c>
      <c r="B7" s="492" t="s">
        <v>294</v>
      </c>
      <c r="C7" s="492" t="s">
        <v>11</v>
      </c>
    </row>
    <row r="8" spans="1:3" ht="30" x14ac:dyDescent="0.25">
      <c r="A8" s="491">
        <v>44104</v>
      </c>
      <c r="B8" s="80" t="s">
        <v>295</v>
      </c>
      <c r="C8" s="492" t="s">
        <v>296</v>
      </c>
    </row>
    <row r="9" spans="1:3" ht="150" x14ac:dyDescent="0.25">
      <c r="A9" s="491">
        <v>44128</v>
      </c>
      <c r="B9" s="80" t="s">
        <v>297</v>
      </c>
      <c r="C9" s="492" t="s">
        <v>296</v>
      </c>
    </row>
    <row r="10" spans="1:3" x14ac:dyDescent="0.25">
      <c r="A10" s="491">
        <v>44361</v>
      </c>
      <c r="B10" s="492" t="s">
        <v>298</v>
      </c>
      <c r="C10" s="492" t="s">
        <v>299</v>
      </c>
    </row>
    <row r="11" spans="1:3" x14ac:dyDescent="0.25">
      <c r="A11" s="491">
        <v>44813</v>
      </c>
      <c r="B11" s="492" t="s">
        <v>300</v>
      </c>
      <c r="C11" s="492"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240"/>
  <sheetViews>
    <sheetView tabSelected="1" zoomScaleNormal="100" workbookViewId="0">
      <pane xSplit="2" ySplit="5" topLeftCell="H6" activePane="bottomRight" state="frozen"/>
      <selection pane="topRight" activeCell="C1" sqref="C1"/>
      <selection pane="bottomLeft" activeCell="A4" sqref="A4"/>
      <selection pane="bottomRight" activeCell="L68" sqref="L68"/>
    </sheetView>
  </sheetViews>
  <sheetFormatPr defaultColWidth="9.140625" defaultRowHeight="15" x14ac:dyDescent="0.25"/>
  <cols>
    <col min="1" max="1" width="16.85546875" style="173" bestFit="1" customWidth="1"/>
    <col min="2" max="2" width="59.5703125" style="170" customWidth="1"/>
    <col min="3" max="3" width="15.5703125" style="170" customWidth="1"/>
    <col min="4" max="4" width="14.140625" style="174" bestFit="1" customWidth="1"/>
    <col min="5" max="5" width="25.7109375" style="170" customWidth="1"/>
    <col min="6" max="6" width="50.7109375" style="170" customWidth="1"/>
    <col min="7" max="7" width="9.85546875" style="170" bestFit="1" customWidth="1"/>
    <col min="8" max="8" width="20.42578125" style="174" customWidth="1"/>
    <col min="9" max="9" width="13.42578125" style="174" customWidth="1"/>
    <col min="10" max="10" width="43" style="170"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6" bestFit="1" customWidth="1"/>
    <col min="19" max="19" width="11.5703125" style="176" customWidth="1"/>
    <col min="20" max="20" width="7.140625" style="175" customWidth="1"/>
    <col min="21" max="21" width="10.140625" style="175" hidden="1" customWidth="1"/>
    <col min="22" max="22" width="6.42578125" style="175" customWidth="1"/>
    <col min="23" max="23" width="7" style="175" hidden="1" customWidth="1"/>
    <col min="24" max="24" width="13.5703125" style="175" customWidth="1"/>
    <col min="25" max="25" width="45.7109375" style="176" customWidth="1"/>
    <col min="26" max="26" width="11.5703125" style="176" bestFit="1" customWidth="1"/>
    <col min="27" max="27" width="7.140625" style="175" bestFit="1" customWidth="1"/>
    <col min="28" max="28" width="10.140625" style="175" bestFit="1" customWidth="1"/>
    <col min="29" max="29" width="6.42578125" style="175" bestFit="1" customWidth="1"/>
    <col min="30" max="30" width="7" style="175" bestFit="1" customWidth="1"/>
    <col min="31" max="31" width="13.5703125" style="175"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564" t="s">
        <v>301</v>
      </c>
      <c r="B1" s="565"/>
      <c r="C1" s="565"/>
      <c r="D1" s="565"/>
      <c r="E1" s="565"/>
      <c r="F1" s="565"/>
      <c r="G1" s="565"/>
      <c r="H1" s="565"/>
      <c r="I1" s="565"/>
      <c r="J1" s="565"/>
      <c r="K1" s="565"/>
      <c r="L1" s="565"/>
      <c r="M1" s="565"/>
      <c r="N1" s="565"/>
      <c r="O1" s="565"/>
      <c r="P1" s="565"/>
      <c r="Q1" s="565"/>
      <c r="R1" s="565"/>
      <c r="S1" s="565"/>
      <c r="T1" s="565"/>
      <c r="U1" s="565"/>
      <c r="V1" s="565"/>
      <c r="W1" s="565"/>
      <c r="X1" s="565"/>
      <c r="Y1" s="565"/>
      <c r="Z1" s="565"/>
      <c r="AA1" s="565"/>
      <c r="AB1" s="565"/>
      <c r="AC1" s="565"/>
      <c r="AD1" s="565"/>
      <c r="AE1" s="565"/>
      <c r="AF1" s="565"/>
      <c r="AG1" s="565"/>
      <c r="AH1" s="566"/>
    </row>
    <row r="2" spans="1:34" ht="19.5" thickBot="1" x14ac:dyDescent="0.3">
      <c r="A2" s="567" t="s">
        <v>302</v>
      </c>
      <c r="B2" s="568"/>
      <c r="C2" s="568"/>
      <c r="D2" s="568"/>
      <c r="E2" s="568"/>
      <c r="F2" s="568"/>
      <c r="G2" s="568"/>
      <c r="H2" s="568"/>
      <c r="I2" s="568"/>
      <c r="J2" s="569"/>
      <c r="K2" s="369">
        <f>SUM(K6:K65)</f>
        <v>58</v>
      </c>
      <c r="L2" s="369">
        <f>SUM(L6:L65)</f>
        <v>85</v>
      </c>
      <c r="M2" s="370"/>
      <c r="N2" s="420">
        <f>SUMPRODUCT(K6:K65,N6:N65)/K68</f>
        <v>0.98275862068965514</v>
      </c>
      <c r="O2" s="421">
        <f>SUM(O6:O65)</f>
        <v>82</v>
      </c>
      <c r="P2" s="422">
        <f>SUMPRODUCT(K6:K65,P6:P65)/K68</f>
        <v>0.94827586206896552</v>
      </c>
      <c r="Q2" s="371"/>
      <c r="R2" s="372">
        <f t="shared" ref="R2:W2" si="0">SUM(R6:R65)</f>
        <v>78</v>
      </c>
      <c r="S2" s="423">
        <f t="shared" si="0"/>
        <v>78</v>
      </c>
      <c r="T2" s="423">
        <f t="shared" si="0"/>
        <v>78</v>
      </c>
      <c r="U2" s="423">
        <f t="shared" si="0"/>
        <v>0</v>
      </c>
      <c r="V2" s="423">
        <f t="shared" si="0"/>
        <v>0</v>
      </c>
      <c r="W2" s="423">
        <f t="shared" si="0"/>
        <v>0</v>
      </c>
      <c r="X2" s="424">
        <f>IF((S68=0),0,((T68+U68)/S68*100%))</f>
        <v>1</v>
      </c>
      <c r="Y2" s="373"/>
      <c r="Z2" s="431">
        <f>SUM(Z6:Z65)</f>
        <v>0</v>
      </c>
      <c r="AA2" s="432">
        <f>SUM(AA6:AA65)</f>
        <v>0</v>
      </c>
      <c r="AB2" s="432">
        <f>SUM(AB6:AB65)</f>
        <v>0</v>
      </c>
      <c r="AC2" s="432">
        <f>SUM(AC6:AC65)</f>
        <v>0</v>
      </c>
      <c r="AD2" s="432">
        <f>SUM(AD6:AD65)</f>
        <v>0</v>
      </c>
      <c r="AE2" s="427">
        <f>IF((Z68=0),0,((AA68+AB68)/Z68*100%))</f>
        <v>0</v>
      </c>
      <c r="AF2" s="374"/>
      <c r="AG2" s="374"/>
      <c r="AH2" s="375"/>
    </row>
    <row r="3" spans="1:34" ht="19.5" customHeight="1" thickBot="1" x14ac:dyDescent="0.3">
      <c r="A3" s="564" t="s">
        <v>303</v>
      </c>
      <c r="B3" s="565"/>
      <c r="C3" s="565"/>
      <c r="D3" s="565"/>
      <c r="E3" s="565"/>
      <c r="F3" s="565"/>
      <c r="G3" s="565"/>
      <c r="H3" s="565"/>
      <c r="I3" s="565"/>
      <c r="J3" s="565"/>
      <c r="K3" s="565"/>
      <c r="L3" s="565"/>
      <c r="M3" s="565"/>
      <c r="N3" s="565"/>
      <c r="O3" s="565"/>
      <c r="P3" s="565"/>
      <c r="Q3" s="565"/>
      <c r="R3" s="565"/>
      <c r="S3" s="565"/>
      <c r="T3" s="565"/>
      <c r="U3" s="565"/>
      <c r="V3" s="565"/>
      <c r="W3" s="565"/>
      <c r="X3" s="565"/>
      <c r="Y3" s="565"/>
      <c r="Z3" s="565"/>
      <c r="AA3" s="565"/>
      <c r="AB3" s="565"/>
      <c r="AC3" s="565"/>
      <c r="AD3" s="565"/>
      <c r="AE3" s="565"/>
      <c r="AF3" s="565"/>
      <c r="AG3" s="565"/>
      <c r="AH3" s="566"/>
    </row>
    <row r="4" spans="1:34" ht="31.5" customHeight="1" x14ac:dyDescent="0.25">
      <c r="A4" s="570" t="s">
        <v>76</v>
      </c>
      <c r="B4" s="571"/>
      <c r="C4" s="571"/>
      <c r="D4" s="571"/>
      <c r="E4" s="571"/>
      <c r="F4" s="571"/>
      <c r="G4" s="571"/>
      <c r="H4" s="571"/>
      <c r="I4" s="571"/>
      <c r="J4" s="571"/>
      <c r="K4" s="571"/>
      <c r="L4" s="571"/>
      <c r="M4" s="572"/>
      <c r="N4" s="573" t="s">
        <v>304</v>
      </c>
      <c r="O4" s="574"/>
      <c r="P4" s="575"/>
      <c r="Q4" s="580" t="s">
        <v>305</v>
      </c>
      <c r="R4" s="581"/>
      <c r="S4" s="581"/>
      <c r="T4" s="581"/>
      <c r="U4" s="581"/>
      <c r="V4" s="581"/>
      <c r="W4" s="581"/>
      <c r="X4" s="581"/>
      <c r="Y4" s="582"/>
      <c r="Z4" s="576" t="s">
        <v>306</v>
      </c>
      <c r="AA4" s="577"/>
      <c r="AB4" s="577"/>
      <c r="AC4" s="577"/>
      <c r="AD4" s="577"/>
      <c r="AE4" s="578"/>
      <c r="AF4" s="578"/>
      <c r="AG4" s="578"/>
      <c r="AH4" s="579"/>
    </row>
    <row r="5" spans="1:34" s="171" customFormat="1" x14ac:dyDescent="0.25">
      <c r="A5" s="667" t="s">
        <v>77</v>
      </c>
      <c r="B5" s="667" t="s">
        <v>81</v>
      </c>
      <c r="C5" s="667" t="s">
        <v>84</v>
      </c>
      <c r="D5" s="667" t="s">
        <v>88</v>
      </c>
      <c r="E5" s="667" t="s">
        <v>91</v>
      </c>
      <c r="F5" s="667" t="s">
        <v>94</v>
      </c>
      <c r="G5" s="667" t="s">
        <v>96</v>
      </c>
      <c r="H5" s="667" t="s">
        <v>99</v>
      </c>
      <c r="I5" s="667" t="s">
        <v>307</v>
      </c>
      <c r="J5" s="667" t="s">
        <v>102</v>
      </c>
      <c r="K5" s="667" t="s">
        <v>105</v>
      </c>
      <c r="L5" s="667" t="s">
        <v>108</v>
      </c>
      <c r="M5" s="667" t="s">
        <v>1</v>
      </c>
      <c r="N5" s="667" t="s">
        <v>114</v>
      </c>
      <c r="O5" s="667" t="s">
        <v>118</v>
      </c>
      <c r="P5" s="667" t="s">
        <v>121</v>
      </c>
      <c r="Q5" s="667" t="s">
        <v>125</v>
      </c>
      <c r="R5" s="667" t="s">
        <v>128</v>
      </c>
      <c r="S5" s="667" t="s">
        <v>132</v>
      </c>
      <c r="T5" s="667" t="s">
        <v>30</v>
      </c>
      <c r="U5" s="667" t="s">
        <v>135</v>
      </c>
      <c r="V5" s="667" t="s">
        <v>36</v>
      </c>
      <c r="W5" s="667" t="s">
        <v>138</v>
      </c>
      <c r="X5" s="667" t="s">
        <v>140</v>
      </c>
      <c r="Y5" s="667" t="s">
        <v>142</v>
      </c>
      <c r="Z5" s="667" t="s">
        <v>683</v>
      </c>
      <c r="AA5" s="667" t="s">
        <v>684</v>
      </c>
      <c r="AB5" s="667" t="s">
        <v>685</v>
      </c>
      <c r="AC5" s="667" t="s">
        <v>686</v>
      </c>
      <c r="AD5" s="667" t="s">
        <v>687</v>
      </c>
      <c r="AE5" s="667" t="s">
        <v>688</v>
      </c>
      <c r="AF5" s="667" t="s">
        <v>155</v>
      </c>
      <c r="AG5" s="667" t="s">
        <v>157</v>
      </c>
      <c r="AH5" s="667" t="s">
        <v>160</v>
      </c>
    </row>
    <row r="6" spans="1:34" x14ac:dyDescent="0.25">
      <c r="A6" t="s">
        <v>308</v>
      </c>
      <c r="B6" t="s">
        <v>309</v>
      </c>
      <c r="C6" t="s">
        <v>310</v>
      </c>
      <c r="D6" t="s">
        <v>311</v>
      </c>
      <c r="E6" t="s">
        <v>309</v>
      </c>
      <c r="F6" t="s">
        <v>312</v>
      </c>
      <c r="G6" t="s">
        <v>259</v>
      </c>
      <c r="H6" t="s">
        <v>627</v>
      </c>
      <c r="I6" t="s">
        <v>46</v>
      </c>
      <c r="J6" t="s">
        <v>313</v>
      </c>
      <c r="K6">
        <v>1</v>
      </c>
      <c r="L6">
        <v>1</v>
      </c>
      <c r="M6" t="s">
        <v>33</v>
      </c>
      <c r="N6">
        <v>1</v>
      </c>
      <c r="O6">
        <v>1</v>
      </c>
      <c r="P6">
        <v>1</v>
      </c>
      <c r="Q6" t="s">
        <v>48</v>
      </c>
      <c r="R6">
        <v>1</v>
      </c>
      <c r="S6">
        <v>1</v>
      </c>
      <c r="T6">
        <v>1</v>
      </c>
      <c r="U6" t="s">
        <v>689</v>
      </c>
      <c r="V6" t="s">
        <v>689</v>
      </c>
      <c r="W6" t="s">
        <v>689</v>
      </c>
      <c r="X6">
        <v>1</v>
      </c>
      <c r="Y6" t="s">
        <v>689</v>
      </c>
      <c r="Z6" t="s">
        <v>689</v>
      </c>
      <c r="AA6" t="s">
        <v>689</v>
      </c>
      <c r="AB6" t="s">
        <v>689</v>
      </c>
      <c r="AC6" t="s">
        <v>689</v>
      </c>
      <c r="AD6" t="s">
        <v>689</v>
      </c>
      <c r="AE6">
        <v>0</v>
      </c>
      <c r="AF6" t="s">
        <v>689</v>
      </c>
      <c r="AG6" t="s">
        <v>508</v>
      </c>
      <c r="AH6" t="s">
        <v>689</v>
      </c>
    </row>
    <row r="7" spans="1:34" x14ac:dyDescent="0.25">
      <c r="A7" t="s">
        <v>314</v>
      </c>
      <c r="B7" t="s">
        <v>315</v>
      </c>
      <c r="C7" t="s">
        <v>310</v>
      </c>
      <c r="D7" t="s">
        <v>311</v>
      </c>
      <c r="E7" t="s">
        <v>315</v>
      </c>
      <c r="F7" t="s">
        <v>316</v>
      </c>
      <c r="G7" t="s">
        <v>280</v>
      </c>
      <c r="H7" t="s">
        <v>628</v>
      </c>
      <c r="I7" t="s">
        <v>46</v>
      </c>
      <c r="J7" t="s">
        <v>317</v>
      </c>
      <c r="K7">
        <v>1</v>
      </c>
      <c r="L7">
        <v>1</v>
      </c>
      <c r="M7" t="s">
        <v>33</v>
      </c>
      <c r="N7">
        <v>1</v>
      </c>
      <c r="O7">
        <v>1</v>
      </c>
      <c r="P7">
        <v>1</v>
      </c>
      <c r="Q7" t="s">
        <v>48</v>
      </c>
      <c r="R7">
        <v>1</v>
      </c>
      <c r="S7">
        <v>1</v>
      </c>
      <c r="T7">
        <v>1</v>
      </c>
      <c r="U7" t="s">
        <v>689</v>
      </c>
      <c r="V7" t="s">
        <v>689</v>
      </c>
      <c r="W7" t="s">
        <v>689</v>
      </c>
      <c r="X7">
        <v>1</v>
      </c>
      <c r="Y7" t="s">
        <v>689</v>
      </c>
      <c r="Z7" t="s">
        <v>689</v>
      </c>
      <c r="AA7" t="s">
        <v>689</v>
      </c>
      <c r="AB7" t="s">
        <v>689</v>
      </c>
      <c r="AC7" t="s">
        <v>689</v>
      </c>
      <c r="AD7" t="s">
        <v>689</v>
      </c>
      <c r="AE7">
        <v>0</v>
      </c>
      <c r="AF7" t="s">
        <v>689</v>
      </c>
      <c r="AG7" t="s">
        <v>508</v>
      </c>
      <c r="AH7" t="s">
        <v>689</v>
      </c>
    </row>
    <row r="8" spans="1:34" x14ac:dyDescent="0.25">
      <c r="A8" t="s">
        <v>318</v>
      </c>
      <c r="B8" t="s">
        <v>319</v>
      </c>
      <c r="C8" t="s">
        <v>310</v>
      </c>
      <c r="D8" t="s">
        <v>320</v>
      </c>
      <c r="E8" t="s">
        <v>321</v>
      </c>
      <c r="F8" t="s">
        <v>322</v>
      </c>
      <c r="G8" t="s">
        <v>259</v>
      </c>
      <c r="H8" t="s">
        <v>629</v>
      </c>
      <c r="I8" t="s">
        <v>46</v>
      </c>
      <c r="J8" t="s">
        <v>323</v>
      </c>
      <c r="K8">
        <v>1</v>
      </c>
      <c r="L8">
        <v>1</v>
      </c>
      <c r="M8" t="s">
        <v>33</v>
      </c>
      <c r="N8">
        <v>1</v>
      </c>
      <c r="O8">
        <v>1</v>
      </c>
      <c r="P8">
        <v>1</v>
      </c>
      <c r="Q8" t="s">
        <v>48</v>
      </c>
      <c r="R8">
        <v>1</v>
      </c>
      <c r="S8">
        <v>1</v>
      </c>
      <c r="T8">
        <v>1</v>
      </c>
      <c r="U8" t="s">
        <v>689</v>
      </c>
      <c r="V8" t="s">
        <v>689</v>
      </c>
      <c r="W8" t="s">
        <v>689</v>
      </c>
      <c r="X8">
        <v>1</v>
      </c>
      <c r="Y8" t="s">
        <v>689</v>
      </c>
      <c r="Z8" t="s">
        <v>689</v>
      </c>
      <c r="AA8" t="s">
        <v>689</v>
      </c>
      <c r="AB8" t="s">
        <v>689</v>
      </c>
      <c r="AC8" t="s">
        <v>689</v>
      </c>
      <c r="AD8" t="s">
        <v>689</v>
      </c>
      <c r="AE8">
        <v>0</v>
      </c>
      <c r="AF8" t="s">
        <v>689</v>
      </c>
      <c r="AG8" t="s">
        <v>509</v>
      </c>
      <c r="AH8" t="s">
        <v>689</v>
      </c>
    </row>
    <row r="9" spans="1:34" x14ac:dyDescent="0.25">
      <c r="A9" t="s">
        <v>318</v>
      </c>
      <c r="B9" t="s">
        <v>319</v>
      </c>
      <c r="C9" t="s">
        <v>310</v>
      </c>
      <c r="D9" t="s">
        <v>320</v>
      </c>
      <c r="E9" t="s">
        <v>324</v>
      </c>
      <c r="F9" t="s">
        <v>322</v>
      </c>
      <c r="G9" t="s">
        <v>259</v>
      </c>
      <c r="H9" t="s">
        <v>629</v>
      </c>
      <c r="I9" t="s">
        <v>35</v>
      </c>
      <c r="J9" t="s">
        <v>325</v>
      </c>
      <c r="K9">
        <v>1</v>
      </c>
      <c r="L9">
        <v>1</v>
      </c>
      <c r="M9" t="s">
        <v>33</v>
      </c>
      <c r="N9">
        <v>1</v>
      </c>
      <c r="O9">
        <v>1</v>
      </c>
      <c r="P9">
        <v>1</v>
      </c>
      <c r="Q9" t="s">
        <v>48</v>
      </c>
      <c r="R9">
        <v>1</v>
      </c>
      <c r="S9">
        <v>1</v>
      </c>
      <c r="T9">
        <v>1</v>
      </c>
      <c r="U9" t="s">
        <v>689</v>
      </c>
      <c r="V9" t="s">
        <v>689</v>
      </c>
      <c r="W9" t="s">
        <v>689</v>
      </c>
      <c r="X9">
        <v>1</v>
      </c>
      <c r="Y9" t="s">
        <v>689</v>
      </c>
      <c r="Z9" t="s">
        <v>689</v>
      </c>
      <c r="AA9" t="s">
        <v>689</v>
      </c>
      <c r="AB9" t="s">
        <v>689</v>
      </c>
      <c r="AC9" t="s">
        <v>689</v>
      </c>
      <c r="AD9" t="s">
        <v>689</v>
      </c>
      <c r="AE9">
        <v>0</v>
      </c>
      <c r="AF9" t="s">
        <v>689</v>
      </c>
      <c r="AG9" t="s">
        <v>509</v>
      </c>
      <c r="AH9" t="s">
        <v>689</v>
      </c>
    </row>
    <row r="10" spans="1:34" x14ac:dyDescent="0.25">
      <c r="A10" t="s">
        <v>318</v>
      </c>
      <c r="B10" t="s">
        <v>319</v>
      </c>
      <c r="C10" t="s">
        <v>310</v>
      </c>
      <c r="D10" t="s">
        <v>320</v>
      </c>
      <c r="E10" t="s">
        <v>326</v>
      </c>
      <c r="F10" t="s">
        <v>322</v>
      </c>
      <c r="G10" t="s">
        <v>259</v>
      </c>
      <c r="H10" t="s">
        <v>629</v>
      </c>
      <c r="I10" t="s">
        <v>46</v>
      </c>
      <c r="J10" t="s">
        <v>327</v>
      </c>
      <c r="K10">
        <v>1</v>
      </c>
      <c r="L10">
        <v>1</v>
      </c>
      <c r="M10" t="s">
        <v>33</v>
      </c>
      <c r="N10">
        <v>1</v>
      </c>
      <c r="O10">
        <v>1</v>
      </c>
      <c r="P10">
        <v>1</v>
      </c>
      <c r="Q10" t="s">
        <v>48</v>
      </c>
      <c r="R10">
        <v>1</v>
      </c>
      <c r="S10">
        <v>1</v>
      </c>
      <c r="T10">
        <v>1</v>
      </c>
      <c r="U10" t="s">
        <v>689</v>
      </c>
      <c r="V10" t="s">
        <v>689</v>
      </c>
      <c r="W10" t="s">
        <v>689</v>
      </c>
      <c r="X10">
        <v>1</v>
      </c>
      <c r="Y10" t="s">
        <v>689</v>
      </c>
      <c r="Z10" t="s">
        <v>689</v>
      </c>
      <c r="AA10" t="s">
        <v>689</v>
      </c>
      <c r="AB10" t="s">
        <v>689</v>
      </c>
      <c r="AC10" t="s">
        <v>689</v>
      </c>
      <c r="AD10" t="s">
        <v>689</v>
      </c>
      <c r="AE10">
        <v>0</v>
      </c>
      <c r="AF10" t="s">
        <v>689</v>
      </c>
      <c r="AG10" t="s">
        <v>509</v>
      </c>
      <c r="AH10" t="s">
        <v>689</v>
      </c>
    </row>
    <row r="11" spans="1:34" x14ac:dyDescent="0.25">
      <c r="A11" t="s">
        <v>318</v>
      </c>
      <c r="B11" t="s">
        <v>319</v>
      </c>
      <c r="C11" t="s">
        <v>310</v>
      </c>
      <c r="D11" t="s">
        <v>320</v>
      </c>
      <c r="E11" t="s">
        <v>328</v>
      </c>
      <c r="F11" t="s">
        <v>322</v>
      </c>
      <c r="G11" t="s">
        <v>259</v>
      </c>
      <c r="H11" t="s">
        <v>629</v>
      </c>
      <c r="I11" t="s">
        <v>46</v>
      </c>
      <c r="J11" t="s">
        <v>329</v>
      </c>
      <c r="K11">
        <v>1</v>
      </c>
      <c r="L11">
        <v>1</v>
      </c>
      <c r="M11" t="s">
        <v>33</v>
      </c>
      <c r="N11">
        <v>1</v>
      </c>
      <c r="O11">
        <v>1</v>
      </c>
      <c r="P11">
        <v>1</v>
      </c>
      <c r="Q11" t="s">
        <v>48</v>
      </c>
      <c r="R11">
        <v>1</v>
      </c>
      <c r="S11">
        <v>1</v>
      </c>
      <c r="T11">
        <v>1</v>
      </c>
      <c r="U11" t="s">
        <v>689</v>
      </c>
      <c r="V11" t="s">
        <v>689</v>
      </c>
      <c r="W11" t="s">
        <v>689</v>
      </c>
      <c r="X11">
        <v>1</v>
      </c>
      <c r="Y11" t="s">
        <v>689</v>
      </c>
      <c r="Z11" t="s">
        <v>689</v>
      </c>
      <c r="AA11" t="s">
        <v>689</v>
      </c>
      <c r="AB11" t="s">
        <v>689</v>
      </c>
      <c r="AC11" t="s">
        <v>689</v>
      </c>
      <c r="AD11" t="s">
        <v>689</v>
      </c>
      <c r="AE11">
        <v>0</v>
      </c>
      <c r="AF11" t="s">
        <v>689</v>
      </c>
      <c r="AG11" t="s">
        <v>509</v>
      </c>
      <c r="AH11" t="s">
        <v>689</v>
      </c>
    </row>
    <row r="12" spans="1:34" x14ac:dyDescent="0.25">
      <c r="A12" t="s">
        <v>330</v>
      </c>
      <c r="B12" t="s">
        <v>331</v>
      </c>
      <c r="C12" t="s">
        <v>310</v>
      </c>
      <c r="D12" t="s">
        <v>320</v>
      </c>
      <c r="E12" t="s">
        <v>331</v>
      </c>
      <c r="F12" t="s">
        <v>332</v>
      </c>
      <c r="G12" t="s">
        <v>259</v>
      </c>
      <c r="H12" t="s">
        <v>630</v>
      </c>
      <c r="I12" t="s">
        <v>46</v>
      </c>
      <c r="J12" t="s">
        <v>333</v>
      </c>
      <c r="K12">
        <v>1</v>
      </c>
      <c r="L12">
        <v>1</v>
      </c>
      <c r="M12" t="s">
        <v>33</v>
      </c>
      <c r="N12">
        <v>1</v>
      </c>
      <c r="O12">
        <v>1</v>
      </c>
      <c r="P12">
        <v>1</v>
      </c>
      <c r="Q12" t="s">
        <v>48</v>
      </c>
      <c r="R12">
        <v>1</v>
      </c>
      <c r="S12">
        <v>1</v>
      </c>
      <c r="T12">
        <v>1</v>
      </c>
      <c r="U12" t="s">
        <v>689</v>
      </c>
      <c r="V12" t="s">
        <v>689</v>
      </c>
      <c r="W12" t="s">
        <v>689</v>
      </c>
      <c r="X12">
        <v>1</v>
      </c>
      <c r="Y12" t="s">
        <v>689</v>
      </c>
      <c r="Z12" t="s">
        <v>689</v>
      </c>
      <c r="AA12" t="s">
        <v>689</v>
      </c>
      <c r="AB12" t="s">
        <v>689</v>
      </c>
      <c r="AC12" t="s">
        <v>689</v>
      </c>
      <c r="AD12" t="s">
        <v>689</v>
      </c>
      <c r="AE12">
        <v>0</v>
      </c>
      <c r="AF12" t="s">
        <v>689</v>
      </c>
      <c r="AG12" t="s">
        <v>509</v>
      </c>
      <c r="AH12" t="s">
        <v>689</v>
      </c>
    </row>
    <row r="13" spans="1:34" x14ac:dyDescent="0.25">
      <c r="A13" t="s">
        <v>334</v>
      </c>
      <c r="B13" t="s">
        <v>335</v>
      </c>
      <c r="C13" t="s">
        <v>310</v>
      </c>
      <c r="D13" t="s">
        <v>336</v>
      </c>
      <c r="E13" t="s">
        <v>335</v>
      </c>
      <c r="F13" t="s">
        <v>337</v>
      </c>
      <c r="G13" t="s">
        <v>284</v>
      </c>
      <c r="H13" t="s">
        <v>631</v>
      </c>
      <c r="I13" t="s">
        <v>35</v>
      </c>
      <c r="J13" t="s">
        <v>338</v>
      </c>
      <c r="K13">
        <v>1</v>
      </c>
      <c r="L13">
        <v>1</v>
      </c>
      <c r="M13" t="s">
        <v>33</v>
      </c>
      <c r="N13">
        <v>1</v>
      </c>
      <c r="O13">
        <v>1</v>
      </c>
      <c r="P13">
        <v>1</v>
      </c>
      <c r="Q13" t="s">
        <v>48</v>
      </c>
      <c r="R13">
        <v>1</v>
      </c>
      <c r="S13">
        <v>1</v>
      </c>
      <c r="T13">
        <v>1</v>
      </c>
      <c r="U13" t="s">
        <v>689</v>
      </c>
      <c r="V13" t="s">
        <v>689</v>
      </c>
      <c r="W13" t="s">
        <v>689</v>
      </c>
      <c r="X13">
        <v>1</v>
      </c>
      <c r="Y13" t="s">
        <v>689</v>
      </c>
      <c r="Z13" t="s">
        <v>689</v>
      </c>
      <c r="AA13" t="s">
        <v>689</v>
      </c>
      <c r="AB13" t="s">
        <v>689</v>
      </c>
      <c r="AC13" t="s">
        <v>689</v>
      </c>
      <c r="AD13" t="s">
        <v>689</v>
      </c>
      <c r="AE13">
        <v>0</v>
      </c>
      <c r="AF13" t="s">
        <v>689</v>
      </c>
      <c r="AG13" t="s">
        <v>510</v>
      </c>
      <c r="AH13" t="s">
        <v>689</v>
      </c>
    </row>
    <row r="14" spans="1:34" x14ac:dyDescent="0.25">
      <c r="A14" t="s">
        <v>339</v>
      </c>
      <c r="B14" t="s">
        <v>340</v>
      </c>
      <c r="C14" t="s">
        <v>310</v>
      </c>
      <c r="D14" t="s">
        <v>336</v>
      </c>
      <c r="E14" t="s">
        <v>340</v>
      </c>
      <c r="F14" t="s">
        <v>341</v>
      </c>
      <c r="G14" t="s">
        <v>280</v>
      </c>
      <c r="H14" t="s">
        <v>632</v>
      </c>
      <c r="I14" t="s">
        <v>46</v>
      </c>
      <c r="J14" t="s">
        <v>689</v>
      </c>
      <c r="K14">
        <v>1</v>
      </c>
      <c r="L14">
        <v>1</v>
      </c>
      <c r="M14" t="s">
        <v>33</v>
      </c>
      <c r="N14">
        <v>1</v>
      </c>
      <c r="O14">
        <v>1</v>
      </c>
      <c r="P14">
        <v>1</v>
      </c>
      <c r="Q14" t="s">
        <v>48</v>
      </c>
      <c r="R14">
        <v>1</v>
      </c>
      <c r="S14">
        <v>1</v>
      </c>
      <c r="T14">
        <v>1</v>
      </c>
      <c r="U14" t="s">
        <v>689</v>
      </c>
      <c r="V14" t="s">
        <v>689</v>
      </c>
      <c r="W14" t="s">
        <v>689</v>
      </c>
      <c r="X14">
        <v>1</v>
      </c>
      <c r="Y14" t="s">
        <v>689</v>
      </c>
      <c r="Z14" t="s">
        <v>689</v>
      </c>
      <c r="AA14" t="s">
        <v>689</v>
      </c>
      <c r="AB14" t="s">
        <v>689</v>
      </c>
      <c r="AC14" t="s">
        <v>689</v>
      </c>
      <c r="AD14" t="s">
        <v>689</v>
      </c>
      <c r="AE14">
        <v>0</v>
      </c>
      <c r="AF14" t="s">
        <v>689</v>
      </c>
      <c r="AG14" t="s">
        <v>508</v>
      </c>
      <c r="AH14" t="s">
        <v>689</v>
      </c>
    </row>
    <row r="15" spans="1:34" x14ac:dyDescent="0.25">
      <c r="A15" t="s">
        <v>342</v>
      </c>
      <c r="B15" t="s">
        <v>343</v>
      </c>
      <c r="C15" t="s">
        <v>310</v>
      </c>
      <c r="D15" t="s">
        <v>336</v>
      </c>
      <c r="E15" t="s">
        <v>343</v>
      </c>
      <c r="F15" t="s">
        <v>344</v>
      </c>
      <c r="G15" t="s">
        <v>259</v>
      </c>
      <c r="H15" t="s">
        <v>675</v>
      </c>
      <c r="I15" t="s">
        <v>46</v>
      </c>
      <c r="J15" t="s">
        <v>345</v>
      </c>
      <c r="K15">
        <v>1</v>
      </c>
      <c r="L15">
        <v>3</v>
      </c>
      <c r="M15" t="s">
        <v>33</v>
      </c>
      <c r="N15">
        <v>1</v>
      </c>
      <c r="O15">
        <v>3</v>
      </c>
      <c r="P15">
        <v>1</v>
      </c>
      <c r="Q15" t="s">
        <v>48</v>
      </c>
      <c r="R15">
        <v>3</v>
      </c>
      <c r="S15">
        <v>3</v>
      </c>
      <c r="T15">
        <v>3</v>
      </c>
      <c r="U15" t="s">
        <v>689</v>
      </c>
      <c r="V15" t="s">
        <v>689</v>
      </c>
      <c r="W15" t="s">
        <v>689</v>
      </c>
      <c r="X15">
        <v>1</v>
      </c>
      <c r="Y15" t="s">
        <v>689</v>
      </c>
      <c r="Z15" t="s">
        <v>689</v>
      </c>
      <c r="AA15" t="s">
        <v>689</v>
      </c>
      <c r="AB15" t="s">
        <v>689</v>
      </c>
      <c r="AC15" t="s">
        <v>689</v>
      </c>
      <c r="AD15" t="s">
        <v>689</v>
      </c>
      <c r="AE15">
        <v>0</v>
      </c>
      <c r="AF15" t="s">
        <v>689</v>
      </c>
      <c r="AG15" t="s">
        <v>509</v>
      </c>
      <c r="AH15" t="s">
        <v>689</v>
      </c>
    </row>
    <row r="16" spans="1:34" x14ac:dyDescent="0.25">
      <c r="A16" t="s">
        <v>346</v>
      </c>
      <c r="B16" t="s">
        <v>347</v>
      </c>
      <c r="C16" t="s">
        <v>310</v>
      </c>
      <c r="D16" t="s">
        <v>320</v>
      </c>
      <c r="E16" t="s">
        <v>347</v>
      </c>
      <c r="F16" t="s">
        <v>348</v>
      </c>
      <c r="G16" t="s">
        <v>259</v>
      </c>
      <c r="H16" t="s">
        <v>633</v>
      </c>
      <c r="I16" t="s">
        <v>46</v>
      </c>
      <c r="J16" t="s">
        <v>349</v>
      </c>
      <c r="K16">
        <v>1</v>
      </c>
      <c r="L16">
        <v>1</v>
      </c>
      <c r="M16" t="s">
        <v>33</v>
      </c>
      <c r="N16">
        <v>1</v>
      </c>
      <c r="O16">
        <v>1</v>
      </c>
      <c r="P16">
        <v>1</v>
      </c>
      <c r="Q16" t="s">
        <v>48</v>
      </c>
      <c r="R16">
        <v>1</v>
      </c>
      <c r="S16">
        <v>1</v>
      </c>
      <c r="T16">
        <v>1</v>
      </c>
      <c r="U16" t="s">
        <v>689</v>
      </c>
      <c r="V16" t="s">
        <v>689</v>
      </c>
      <c r="W16" t="s">
        <v>689</v>
      </c>
      <c r="X16">
        <v>1</v>
      </c>
      <c r="Y16" t="s">
        <v>689</v>
      </c>
      <c r="Z16" t="s">
        <v>689</v>
      </c>
      <c r="AA16" t="s">
        <v>689</v>
      </c>
      <c r="AB16" t="s">
        <v>689</v>
      </c>
      <c r="AC16" t="s">
        <v>689</v>
      </c>
      <c r="AD16" t="s">
        <v>689</v>
      </c>
      <c r="AE16">
        <v>0</v>
      </c>
      <c r="AF16" t="s">
        <v>689</v>
      </c>
      <c r="AG16" t="s">
        <v>511</v>
      </c>
      <c r="AH16" t="s">
        <v>689</v>
      </c>
    </row>
    <row r="17" spans="1:34" x14ac:dyDescent="0.25">
      <c r="A17" t="s">
        <v>350</v>
      </c>
      <c r="B17" t="s">
        <v>351</v>
      </c>
      <c r="C17" t="s">
        <v>310</v>
      </c>
      <c r="D17" t="s">
        <v>336</v>
      </c>
      <c r="E17" t="s">
        <v>351</v>
      </c>
      <c r="F17" t="s">
        <v>352</v>
      </c>
      <c r="G17" t="s">
        <v>259</v>
      </c>
      <c r="H17" t="s">
        <v>634</v>
      </c>
      <c r="I17" t="s">
        <v>46</v>
      </c>
      <c r="J17" t="s">
        <v>689</v>
      </c>
      <c r="K17">
        <v>1</v>
      </c>
      <c r="L17">
        <v>1</v>
      </c>
      <c r="M17" t="s">
        <v>33</v>
      </c>
      <c r="N17">
        <v>1</v>
      </c>
      <c r="O17">
        <v>1</v>
      </c>
      <c r="P17">
        <v>1</v>
      </c>
      <c r="Q17" t="s">
        <v>48</v>
      </c>
      <c r="R17">
        <v>1</v>
      </c>
      <c r="S17">
        <v>1</v>
      </c>
      <c r="T17">
        <v>1</v>
      </c>
      <c r="U17" t="s">
        <v>689</v>
      </c>
      <c r="V17" t="s">
        <v>689</v>
      </c>
      <c r="W17" t="s">
        <v>689</v>
      </c>
      <c r="X17">
        <v>1</v>
      </c>
      <c r="Y17" t="s">
        <v>689</v>
      </c>
      <c r="Z17" t="s">
        <v>689</v>
      </c>
      <c r="AA17" t="s">
        <v>689</v>
      </c>
      <c r="AB17" t="s">
        <v>689</v>
      </c>
      <c r="AC17" t="s">
        <v>689</v>
      </c>
      <c r="AD17" t="s">
        <v>689</v>
      </c>
      <c r="AE17">
        <v>0</v>
      </c>
      <c r="AF17" t="s">
        <v>689</v>
      </c>
      <c r="AG17" t="s">
        <v>484</v>
      </c>
      <c r="AH17" t="s">
        <v>689</v>
      </c>
    </row>
    <row r="18" spans="1:34" x14ac:dyDescent="0.25">
      <c r="A18" t="s">
        <v>353</v>
      </c>
      <c r="B18" t="s">
        <v>354</v>
      </c>
      <c r="C18" t="s">
        <v>310</v>
      </c>
      <c r="D18" t="s">
        <v>355</v>
      </c>
      <c r="E18" t="s">
        <v>354</v>
      </c>
      <c r="F18" t="s">
        <v>356</v>
      </c>
      <c r="G18" t="s">
        <v>284</v>
      </c>
      <c r="H18" t="s">
        <v>635</v>
      </c>
      <c r="I18" t="s">
        <v>46</v>
      </c>
      <c r="J18" t="s">
        <v>689</v>
      </c>
      <c r="K18">
        <v>1</v>
      </c>
      <c r="L18">
        <v>1</v>
      </c>
      <c r="M18" t="s">
        <v>33</v>
      </c>
      <c r="N18">
        <v>1</v>
      </c>
      <c r="O18">
        <v>1</v>
      </c>
      <c r="P18">
        <v>1</v>
      </c>
      <c r="Q18" t="s">
        <v>48</v>
      </c>
      <c r="R18">
        <v>1</v>
      </c>
      <c r="S18">
        <v>1</v>
      </c>
      <c r="T18">
        <v>1</v>
      </c>
      <c r="U18" t="s">
        <v>689</v>
      </c>
      <c r="V18" t="s">
        <v>689</v>
      </c>
      <c r="W18" t="s">
        <v>689</v>
      </c>
      <c r="X18">
        <v>1</v>
      </c>
      <c r="Y18" t="s">
        <v>689</v>
      </c>
      <c r="Z18" t="s">
        <v>689</v>
      </c>
      <c r="AA18" t="s">
        <v>689</v>
      </c>
      <c r="AB18" t="s">
        <v>689</v>
      </c>
      <c r="AC18" t="s">
        <v>689</v>
      </c>
      <c r="AD18" t="s">
        <v>689</v>
      </c>
      <c r="AE18">
        <v>0</v>
      </c>
      <c r="AF18" t="s">
        <v>689</v>
      </c>
      <c r="AG18" t="s">
        <v>510</v>
      </c>
      <c r="AH18" t="s">
        <v>689</v>
      </c>
    </row>
    <row r="19" spans="1:34" x14ac:dyDescent="0.25">
      <c r="A19" t="s">
        <v>357</v>
      </c>
      <c r="B19" t="s">
        <v>358</v>
      </c>
      <c r="C19" t="s">
        <v>310</v>
      </c>
      <c r="D19" t="s">
        <v>355</v>
      </c>
      <c r="E19" t="s">
        <v>358</v>
      </c>
      <c r="F19" t="s">
        <v>356</v>
      </c>
      <c r="G19" t="s">
        <v>280</v>
      </c>
      <c r="H19" t="s">
        <v>636</v>
      </c>
      <c r="I19" t="s">
        <v>46</v>
      </c>
      <c r="J19" t="s">
        <v>359</v>
      </c>
      <c r="K19">
        <v>1</v>
      </c>
      <c r="L19">
        <v>1</v>
      </c>
      <c r="M19" t="s">
        <v>33</v>
      </c>
      <c r="N19">
        <v>1</v>
      </c>
      <c r="O19">
        <v>1</v>
      </c>
      <c r="P19">
        <v>1</v>
      </c>
      <c r="Q19" t="s">
        <v>48</v>
      </c>
      <c r="R19">
        <v>1</v>
      </c>
      <c r="S19">
        <v>1</v>
      </c>
      <c r="T19">
        <v>1</v>
      </c>
      <c r="U19" t="s">
        <v>689</v>
      </c>
      <c r="V19" t="s">
        <v>689</v>
      </c>
      <c r="W19" t="s">
        <v>689</v>
      </c>
      <c r="X19">
        <v>1</v>
      </c>
      <c r="Y19" t="s">
        <v>689</v>
      </c>
      <c r="Z19" t="s">
        <v>689</v>
      </c>
      <c r="AA19" t="s">
        <v>689</v>
      </c>
      <c r="AB19" t="s">
        <v>689</v>
      </c>
      <c r="AC19" t="s">
        <v>689</v>
      </c>
      <c r="AD19" t="s">
        <v>689</v>
      </c>
      <c r="AE19">
        <v>0</v>
      </c>
      <c r="AF19" t="s">
        <v>689</v>
      </c>
      <c r="AG19" t="s">
        <v>510</v>
      </c>
      <c r="AH19" t="s">
        <v>689</v>
      </c>
    </row>
    <row r="20" spans="1:34" x14ac:dyDescent="0.25">
      <c r="A20" t="s">
        <v>360</v>
      </c>
      <c r="B20" t="s">
        <v>361</v>
      </c>
      <c r="C20" t="s">
        <v>310</v>
      </c>
      <c r="D20" t="s">
        <v>355</v>
      </c>
      <c r="E20" t="s">
        <v>361</v>
      </c>
      <c r="F20" t="s">
        <v>356</v>
      </c>
      <c r="G20" t="s">
        <v>259</v>
      </c>
      <c r="H20" t="s">
        <v>637</v>
      </c>
      <c r="I20" t="s">
        <v>46</v>
      </c>
      <c r="J20" t="s">
        <v>689</v>
      </c>
      <c r="K20">
        <v>1</v>
      </c>
      <c r="L20">
        <v>1</v>
      </c>
      <c r="M20" t="s">
        <v>33</v>
      </c>
      <c r="N20">
        <v>1</v>
      </c>
      <c r="O20">
        <v>1</v>
      </c>
      <c r="P20">
        <v>1</v>
      </c>
      <c r="Q20" t="s">
        <v>48</v>
      </c>
      <c r="R20">
        <v>1</v>
      </c>
      <c r="S20">
        <v>1</v>
      </c>
      <c r="T20">
        <v>1</v>
      </c>
      <c r="U20" t="s">
        <v>689</v>
      </c>
      <c r="V20" t="s">
        <v>689</v>
      </c>
      <c r="W20" t="s">
        <v>689</v>
      </c>
      <c r="X20">
        <v>1</v>
      </c>
      <c r="Y20" t="s">
        <v>689</v>
      </c>
      <c r="Z20" t="s">
        <v>689</v>
      </c>
      <c r="AA20" t="s">
        <v>689</v>
      </c>
      <c r="AB20" t="s">
        <v>689</v>
      </c>
      <c r="AC20" t="s">
        <v>689</v>
      </c>
      <c r="AD20" t="s">
        <v>689</v>
      </c>
      <c r="AE20">
        <v>0</v>
      </c>
      <c r="AF20" t="s">
        <v>689</v>
      </c>
      <c r="AG20" t="s">
        <v>511</v>
      </c>
      <c r="AH20" t="s">
        <v>689</v>
      </c>
    </row>
    <row r="21" spans="1:34" x14ac:dyDescent="0.25">
      <c r="A21" t="s">
        <v>362</v>
      </c>
      <c r="B21" t="s">
        <v>363</v>
      </c>
      <c r="C21" t="s">
        <v>310</v>
      </c>
      <c r="D21" t="s">
        <v>355</v>
      </c>
      <c r="E21" t="s">
        <v>363</v>
      </c>
      <c r="F21" t="s">
        <v>341</v>
      </c>
      <c r="G21" t="s">
        <v>284</v>
      </c>
      <c r="H21" t="s">
        <v>638</v>
      </c>
      <c r="I21" t="s">
        <v>46</v>
      </c>
      <c r="J21" t="s">
        <v>689</v>
      </c>
      <c r="K21">
        <v>1</v>
      </c>
      <c r="L21">
        <v>1</v>
      </c>
      <c r="M21" t="s">
        <v>33</v>
      </c>
      <c r="N21">
        <v>1</v>
      </c>
      <c r="O21">
        <v>1</v>
      </c>
      <c r="P21">
        <v>1</v>
      </c>
      <c r="Q21" t="s">
        <v>48</v>
      </c>
      <c r="R21">
        <v>1</v>
      </c>
      <c r="S21">
        <v>1</v>
      </c>
      <c r="T21">
        <v>1</v>
      </c>
      <c r="U21" t="s">
        <v>689</v>
      </c>
      <c r="V21" t="s">
        <v>689</v>
      </c>
      <c r="W21" t="s">
        <v>689</v>
      </c>
      <c r="X21">
        <v>1</v>
      </c>
      <c r="Y21" t="s">
        <v>689</v>
      </c>
      <c r="Z21" t="s">
        <v>689</v>
      </c>
      <c r="AA21" t="s">
        <v>689</v>
      </c>
      <c r="AB21" t="s">
        <v>689</v>
      </c>
      <c r="AC21" t="s">
        <v>689</v>
      </c>
      <c r="AD21" t="s">
        <v>689</v>
      </c>
      <c r="AE21">
        <v>0</v>
      </c>
      <c r="AF21" t="s">
        <v>689</v>
      </c>
      <c r="AG21" t="s">
        <v>511</v>
      </c>
      <c r="AH21" t="s">
        <v>689</v>
      </c>
    </row>
    <row r="22" spans="1:34" x14ac:dyDescent="0.25">
      <c r="A22" t="s">
        <v>364</v>
      </c>
      <c r="B22" t="s">
        <v>365</v>
      </c>
      <c r="C22" t="s">
        <v>310</v>
      </c>
      <c r="D22" t="s">
        <v>355</v>
      </c>
      <c r="E22" t="s">
        <v>365</v>
      </c>
      <c r="F22" t="s">
        <v>341</v>
      </c>
      <c r="G22" t="s">
        <v>259</v>
      </c>
      <c r="H22" t="s">
        <v>639</v>
      </c>
      <c r="I22" t="s">
        <v>46</v>
      </c>
      <c r="J22" t="s">
        <v>689</v>
      </c>
      <c r="K22">
        <v>1</v>
      </c>
      <c r="L22">
        <v>1</v>
      </c>
      <c r="M22" t="s">
        <v>33</v>
      </c>
      <c r="N22">
        <v>1</v>
      </c>
      <c r="O22">
        <v>1</v>
      </c>
      <c r="P22">
        <v>1</v>
      </c>
      <c r="Q22" t="s">
        <v>48</v>
      </c>
      <c r="R22">
        <v>1</v>
      </c>
      <c r="S22">
        <v>1</v>
      </c>
      <c r="T22">
        <v>1</v>
      </c>
      <c r="U22" t="s">
        <v>689</v>
      </c>
      <c r="V22" t="s">
        <v>689</v>
      </c>
      <c r="W22" t="s">
        <v>689</v>
      </c>
      <c r="X22">
        <v>1</v>
      </c>
      <c r="Y22" t="s">
        <v>689</v>
      </c>
      <c r="Z22" t="s">
        <v>689</v>
      </c>
      <c r="AA22" t="s">
        <v>689</v>
      </c>
      <c r="AB22" t="s">
        <v>689</v>
      </c>
      <c r="AC22" t="s">
        <v>689</v>
      </c>
      <c r="AD22" t="s">
        <v>689</v>
      </c>
      <c r="AE22">
        <v>0</v>
      </c>
      <c r="AF22" t="s">
        <v>689</v>
      </c>
      <c r="AG22" t="s">
        <v>511</v>
      </c>
      <c r="AH22" t="s">
        <v>689</v>
      </c>
    </row>
    <row r="23" spans="1:34" x14ac:dyDescent="0.25">
      <c r="A23" t="s">
        <v>366</v>
      </c>
      <c r="B23" t="s">
        <v>367</v>
      </c>
      <c r="C23" t="s">
        <v>310</v>
      </c>
      <c r="D23" t="s">
        <v>355</v>
      </c>
      <c r="E23" t="s">
        <v>367</v>
      </c>
      <c r="F23" t="s">
        <v>368</v>
      </c>
      <c r="G23" t="s">
        <v>259</v>
      </c>
      <c r="H23" t="s">
        <v>640</v>
      </c>
      <c r="I23" t="s">
        <v>46</v>
      </c>
      <c r="J23" t="s">
        <v>369</v>
      </c>
      <c r="K23">
        <v>1</v>
      </c>
      <c r="L23">
        <v>1</v>
      </c>
      <c r="M23" t="s">
        <v>33</v>
      </c>
      <c r="N23">
        <v>1</v>
      </c>
      <c r="O23">
        <v>1</v>
      </c>
      <c r="P23">
        <v>1</v>
      </c>
      <c r="Q23" t="s">
        <v>48</v>
      </c>
      <c r="R23">
        <v>1</v>
      </c>
      <c r="S23">
        <v>1</v>
      </c>
      <c r="T23">
        <v>1</v>
      </c>
      <c r="U23" t="s">
        <v>689</v>
      </c>
      <c r="V23" t="s">
        <v>689</v>
      </c>
      <c r="W23" t="s">
        <v>689</v>
      </c>
      <c r="X23">
        <v>1</v>
      </c>
      <c r="Y23" t="s">
        <v>689</v>
      </c>
      <c r="Z23" t="s">
        <v>689</v>
      </c>
      <c r="AA23" t="s">
        <v>689</v>
      </c>
      <c r="AB23" t="s">
        <v>689</v>
      </c>
      <c r="AC23" t="s">
        <v>689</v>
      </c>
      <c r="AD23" t="s">
        <v>689</v>
      </c>
      <c r="AE23">
        <v>0</v>
      </c>
      <c r="AF23" t="s">
        <v>689</v>
      </c>
      <c r="AG23" t="s">
        <v>511</v>
      </c>
      <c r="AH23" t="s">
        <v>689</v>
      </c>
    </row>
    <row r="24" spans="1:34" x14ac:dyDescent="0.25">
      <c r="A24" t="s">
        <v>370</v>
      </c>
      <c r="B24" t="s">
        <v>371</v>
      </c>
      <c r="C24" t="s">
        <v>310</v>
      </c>
      <c r="D24" t="s">
        <v>311</v>
      </c>
      <c r="E24" t="s">
        <v>371</v>
      </c>
      <c r="F24" t="s">
        <v>372</v>
      </c>
      <c r="G24" t="s">
        <v>259</v>
      </c>
      <c r="H24" t="s">
        <v>641</v>
      </c>
      <c r="I24" t="s">
        <v>46</v>
      </c>
      <c r="J24" t="s">
        <v>373</v>
      </c>
      <c r="K24">
        <v>1</v>
      </c>
      <c r="L24">
        <v>1</v>
      </c>
      <c r="M24" t="s">
        <v>33</v>
      </c>
      <c r="N24">
        <v>1</v>
      </c>
      <c r="O24">
        <v>1</v>
      </c>
      <c r="P24">
        <v>1</v>
      </c>
      <c r="Q24" t="s">
        <v>48</v>
      </c>
      <c r="R24">
        <v>1</v>
      </c>
      <c r="S24">
        <v>1</v>
      </c>
      <c r="T24">
        <v>1</v>
      </c>
      <c r="U24" t="s">
        <v>689</v>
      </c>
      <c r="V24" t="s">
        <v>689</v>
      </c>
      <c r="W24" t="s">
        <v>689</v>
      </c>
      <c r="X24">
        <v>1</v>
      </c>
      <c r="Y24" t="s">
        <v>689</v>
      </c>
      <c r="Z24" t="s">
        <v>689</v>
      </c>
      <c r="AA24" t="s">
        <v>689</v>
      </c>
      <c r="AB24" t="s">
        <v>689</v>
      </c>
      <c r="AC24" t="s">
        <v>689</v>
      </c>
      <c r="AD24" t="s">
        <v>689</v>
      </c>
      <c r="AE24">
        <v>0</v>
      </c>
      <c r="AF24" t="s">
        <v>689</v>
      </c>
      <c r="AG24" t="s">
        <v>512</v>
      </c>
      <c r="AH24" t="s">
        <v>689</v>
      </c>
    </row>
    <row r="25" spans="1:34" x14ac:dyDescent="0.25">
      <c r="A25" t="s">
        <v>374</v>
      </c>
      <c r="B25" t="s">
        <v>375</v>
      </c>
      <c r="C25" t="s">
        <v>310</v>
      </c>
      <c r="D25" t="s">
        <v>355</v>
      </c>
      <c r="E25" t="s">
        <v>375</v>
      </c>
      <c r="F25" t="s">
        <v>376</v>
      </c>
      <c r="G25" t="s">
        <v>259</v>
      </c>
      <c r="H25" t="s">
        <v>676</v>
      </c>
      <c r="I25" t="s">
        <v>41</v>
      </c>
      <c r="J25" t="s">
        <v>377</v>
      </c>
      <c r="K25">
        <v>1</v>
      </c>
      <c r="L25">
        <v>2</v>
      </c>
      <c r="M25" t="s">
        <v>33</v>
      </c>
      <c r="N25">
        <v>1</v>
      </c>
      <c r="O25">
        <v>2</v>
      </c>
      <c r="P25">
        <v>1</v>
      </c>
      <c r="Q25" t="s">
        <v>48</v>
      </c>
      <c r="R25">
        <v>2</v>
      </c>
      <c r="S25">
        <v>2</v>
      </c>
      <c r="T25">
        <v>2</v>
      </c>
      <c r="U25" t="s">
        <v>689</v>
      </c>
      <c r="V25" t="s">
        <v>689</v>
      </c>
      <c r="W25" t="s">
        <v>689</v>
      </c>
      <c r="X25">
        <v>1</v>
      </c>
      <c r="Y25" t="s">
        <v>689</v>
      </c>
      <c r="Z25" t="s">
        <v>689</v>
      </c>
      <c r="AA25" t="s">
        <v>689</v>
      </c>
      <c r="AB25" t="s">
        <v>689</v>
      </c>
      <c r="AC25" t="s">
        <v>689</v>
      </c>
      <c r="AD25" t="s">
        <v>689</v>
      </c>
      <c r="AE25">
        <v>0</v>
      </c>
      <c r="AF25" t="s">
        <v>689</v>
      </c>
      <c r="AG25" t="s">
        <v>484</v>
      </c>
      <c r="AH25" t="s">
        <v>689</v>
      </c>
    </row>
    <row r="26" spans="1:34" x14ac:dyDescent="0.25">
      <c r="A26" t="s">
        <v>378</v>
      </c>
      <c r="B26" t="s">
        <v>379</v>
      </c>
      <c r="C26" t="s">
        <v>310</v>
      </c>
      <c r="D26" t="s">
        <v>380</v>
      </c>
      <c r="E26" t="s">
        <v>379</v>
      </c>
      <c r="F26" t="s">
        <v>337</v>
      </c>
      <c r="G26" t="s">
        <v>280</v>
      </c>
      <c r="H26" t="s">
        <v>677</v>
      </c>
      <c r="I26" t="s">
        <v>46</v>
      </c>
      <c r="J26" t="s">
        <v>381</v>
      </c>
      <c r="K26">
        <v>1</v>
      </c>
      <c r="L26">
        <v>4</v>
      </c>
      <c r="M26" t="s">
        <v>33</v>
      </c>
      <c r="N26">
        <v>1</v>
      </c>
      <c r="O26">
        <v>4</v>
      </c>
      <c r="P26">
        <v>1</v>
      </c>
      <c r="Q26" t="s">
        <v>48</v>
      </c>
      <c r="R26">
        <v>4</v>
      </c>
      <c r="S26">
        <v>4</v>
      </c>
      <c r="T26">
        <v>4</v>
      </c>
      <c r="U26" t="s">
        <v>689</v>
      </c>
      <c r="V26" t="s">
        <v>689</v>
      </c>
      <c r="W26" t="s">
        <v>689</v>
      </c>
      <c r="X26">
        <v>1</v>
      </c>
      <c r="Y26" t="s">
        <v>689</v>
      </c>
      <c r="Z26" t="s">
        <v>689</v>
      </c>
      <c r="AA26" t="s">
        <v>689</v>
      </c>
      <c r="AB26" t="s">
        <v>689</v>
      </c>
      <c r="AC26" t="s">
        <v>689</v>
      </c>
      <c r="AD26" t="s">
        <v>689</v>
      </c>
      <c r="AE26">
        <v>0</v>
      </c>
      <c r="AF26" t="s">
        <v>689</v>
      </c>
      <c r="AG26" t="s">
        <v>510</v>
      </c>
      <c r="AH26" t="s">
        <v>689</v>
      </c>
    </row>
    <row r="27" spans="1:34" x14ac:dyDescent="0.25">
      <c r="A27" t="s">
        <v>382</v>
      </c>
      <c r="B27" t="s">
        <v>383</v>
      </c>
      <c r="C27" t="s">
        <v>310</v>
      </c>
      <c r="D27" t="s">
        <v>311</v>
      </c>
      <c r="E27" t="s">
        <v>383</v>
      </c>
      <c r="F27" t="s">
        <v>384</v>
      </c>
      <c r="G27" t="s">
        <v>284</v>
      </c>
      <c r="H27" t="s">
        <v>678</v>
      </c>
      <c r="I27" t="s">
        <v>46</v>
      </c>
      <c r="J27" t="s">
        <v>385</v>
      </c>
      <c r="K27">
        <v>1</v>
      </c>
      <c r="L27">
        <v>3</v>
      </c>
      <c r="M27" t="s">
        <v>33</v>
      </c>
      <c r="N27">
        <v>1</v>
      </c>
      <c r="O27">
        <v>3</v>
      </c>
      <c r="P27">
        <v>1</v>
      </c>
      <c r="Q27" t="s">
        <v>48</v>
      </c>
      <c r="R27">
        <v>3</v>
      </c>
      <c r="S27">
        <v>3</v>
      </c>
      <c r="T27">
        <v>3</v>
      </c>
      <c r="U27" t="s">
        <v>689</v>
      </c>
      <c r="V27" t="s">
        <v>689</v>
      </c>
      <c r="W27" t="s">
        <v>689</v>
      </c>
      <c r="X27">
        <v>1</v>
      </c>
      <c r="Y27" t="s">
        <v>689</v>
      </c>
      <c r="Z27" t="s">
        <v>689</v>
      </c>
      <c r="AA27" t="s">
        <v>689</v>
      </c>
      <c r="AB27" t="s">
        <v>689</v>
      </c>
      <c r="AC27" t="s">
        <v>689</v>
      </c>
      <c r="AD27" t="s">
        <v>689</v>
      </c>
      <c r="AE27">
        <v>0</v>
      </c>
      <c r="AF27" t="s">
        <v>689</v>
      </c>
      <c r="AG27" t="s">
        <v>511</v>
      </c>
      <c r="AH27" t="s">
        <v>689</v>
      </c>
    </row>
    <row r="28" spans="1:34" x14ac:dyDescent="0.25">
      <c r="A28" t="s">
        <v>386</v>
      </c>
      <c r="B28" t="s">
        <v>387</v>
      </c>
      <c r="C28" t="s">
        <v>310</v>
      </c>
      <c r="D28" t="s">
        <v>380</v>
      </c>
      <c r="E28" t="s">
        <v>387</v>
      </c>
      <c r="F28" t="s">
        <v>388</v>
      </c>
      <c r="G28" t="s">
        <v>259</v>
      </c>
      <c r="H28" t="s">
        <v>642</v>
      </c>
      <c r="I28" t="s">
        <v>41</v>
      </c>
      <c r="J28" t="s">
        <v>689</v>
      </c>
      <c r="K28">
        <v>1</v>
      </c>
      <c r="L28">
        <v>1</v>
      </c>
      <c r="M28" t="s">
        <v>33</v>
      </c>
      <c r="N28">
        <v>1</v>
      </c>
      <c r="O28">
        <v>1</v>
      </c>
      <c r="P28">
        <v>1</v>
      </c>
      <c r="Q28" t="s">
        <v>48</v>
      </c>
      <c r="R28">
        <v>1</v>
      </c>
      <c r="S28">
        <v>1</v>
      </c>
      <c r="T28">
        <v>1</v>
      </c>
      <c r="U28" t="s">
        <v>689</v>
      </c>
      <c r="V28" t="s">
        <v>689</v>
      </c>
      <c r="W28" t="s">
        <v>689</v>
      </c>
      <c r="X28">
        <v>1</v>
      </c>
      <c r="Y28" t="s">
        <v>689</v>
      </c>
      <c r="Z28" t="s">
        <v>689</v>
      </c>
      <c r="AA28" t="s">
        <v>689</v>
      </c>
      <c r="AB28" t="s">
        <v>689</v>
      </c>
      <c r="AC28" t="s">
        <v>689</v>
      </c>
      <c r="AD28" t="s">
        <v>689</v>
      </c>
      <c r="AE28">
        <v>0</v>
      </c>
      <c r="AF28" t="s">
        <v>689</v>
      </c>
      <c r="AG28" t="s">
        <v>484</v>
      </c>
      <c r="AH28" t="s">
        <v>689</v>
      </c>
    </row>
    <row r="29" spans="1:34" x14ac:dyDescent="0.25">
      <c r="A29" t="s">
        <v>389</v>
      </c>
      <c r="B29" t="s">
        <v>390</v>
      </c>
      <c r="C29" t="s">
        <v>310</v>
      </c>
      <c r="D29" t="s">
        <v>355</v>
      </c>
      <c r="E29" t="s">
        <v>390</v>
      </c>
      <c r="F29" t="s">
        <v>368</v>
      </c>
      <c r="G29" t="s">
        <v>284</v>
      </c>
      <c r="H29" t="s">
        <v>643</v>
      </c>
      <c r="I29" t="s">
        <v>46</v>
      </c>
      <c r="J29" t="s">
        <v>689</v>
      </c>
      <c r="K29">
        <v>1</v>
      </c>
      <c r="L29">
        <v>1</v>
      </c>
      <c r="M29" t="s">
        <v>33</v>
      </c>
      <c r="N29">
        <v>1</v>
      </c>
      <c r="O29">
        <v>1</v>
      </c>
      <c r="P29">
        <v>1</v>
      </c>
      <c r="Q29" t="s">
        <v>48</v>
      </c>
      <c r="R29">
        <v>1</v>
      </c>
      <c r="S29">
        <v>1</v>
      </c>
      <c r="T29">
        <v>1</v>
      </c>
      <c r="U29" t="s">
        <v>689</v>
      </c>
      <c r="V29" t="s">
        <v>689</v>
      </c>
      <c r="W29" t="s">
        <v>689</v>
      </c>
      <c r="X29">
        <v>1</v>
      </c>
      <c r="Y29" t="s">
        <v>689</v>
      </c>
      <c r="Z29" t="s">
        <v>689</v>
      </c>
      <c r="AA29" t="s">
        <v>689</v>
      </c>
      <c r="AB29" t="s">
        <v>689</v>
      </c>
      <c r="AC29" t="s">
        <v>689</v>
      </c>
      <c r="AD29" t="s">
        <v>689</v>
      </c>
      <c r="AE29">
        <v>0</v>
      </c>
      <c r="AF29" t="s">
        <v>689</v>
      </c>
      <c r="AG29" t="s">
        <v>511</v>
      </c>
      <c r="AH29" t="s">
        <v>689</v>
      </c>
    </row>
    <row r="30" spans="1:34" x14ac:dyDescent="0.25">
      <c r="A30" t="s">
        <v>391</v>
      </c>
      <c r="B30" t="s">
        <v>392</v>
      </c>
      <c r="C30" t="s">
        <v>310</v>
      </c>
      <c r="D30" t="s">
        <v>320</v>
      </c>
      <c r="E30" t="s">
        <v>392</v>
      </c>
      <c r="F30" t="s">
        <v>341</v>
      </c>
      <c r="G30" t="s">
        <v>259</v>
      </c>
      <c r="H30" t="s">
        <v>644</v>
      </c>
      <c r="I30" t="s">
        <v>46</v>
      </c>
      <c r="J30" t="s">
        <v>689</v>
      </c>
      <c r="K30">
        <v>1</v>
      </c>
      <c r="L30">
        <v>1</v>
      </c>
      <c r="M30" t="s">
        <v>33</v>
      </c>
      <c r="N30">
        <v>1</v>
      </c>
      <c r="O30">
        <v>1</v>
      </c>
      <c r="P30">
        <v>1</v>
      </c>
      <c r="Q30" t="s">
        <v>48</v>
      </c>
      <c r="R30">
        <v>1</v>
      </c>
      <c r="S30">
        <v>1</v>
      </c>
      <c r="T30">
        <v>1</v>
      </c>
      <c r="U30" t="s">
        <v>689</v>
      </c>
      <c r="V30" t="s">
        <v>689</v>
      </c>
      <c r="W30" t="s">
        <v>689</v>
      </c>
      <c r="X30">
        <v>1</v>
      </c>
      <c r="Y30" t="s">
        <v>689</v>
      </c>
      <c r="Z30" t="s">
        <v>689</v>
      </c>
      <c r="AA30" t="s">
        <v>689</v>
      </c>
      <c r="AB30" t="s">
        <v>689</v>
      </c>
      <c r="AC30" t="s">
        <v>689</v>
      </c>
      <c r="AD30" t="s">
        <v>689</v>
      </c>
      <c r="AE30">
        <v>0</v>
      </c>
      <c r="AF30" t="s">
        <v>689</v>
      </c>
      <c r="AG30" t="s">
        <v>511</v>
      </c>
      <c r="AH30" t="s">
        <v>689</v>
      </c>
    </row>
    <row r="31" spans="1:34" x14ac:dyDescent="0.25">
      <c r="A31" t="s">
        <v>393</v>
      </c>
      <c r="B31" t="s">
        <v>394</v>
      </c>
      <c r="C31" t="s">
        <v>310</v>
      </c>
      <c r="D31" t="s">
        <v>336</v>
      </c>
      <c r="E31" t="s">
        <v>394</v>
      </c>
      <c r="F31" t="s">
        <v>395</v>
      </c>
      <c r="G31" t="s">
        <v>284</v>
      </c>
      <c r="H31" t="s">
        <v>645</v>
      </c>
      <c r="I31" t="s">
        <v>46</v>
      </c>
      <c r="J31" t="s">
        <v>396</v>
      </c>
      <c r="K31">
        <v>1</v>
      </c>
      <c r="L31">
        <v>1</v>
      </c>
      <c r="M31" t="s">
        <v>33</v>
      </c>
      <c r="N31">
        <v>1</v>
      </c>
      <c r="O31">
        <v>1</v>
      </c>
      <c r="P31">
        <v>1</v>
      </c>
      <c r="Q31" t="s">
        <v>48</v>
      </c>
      <c r="R31">
        <v>1</v>
      </c>
      <c r="S31">
        <v>1</v>
      </c>
      <c r="T31">
        <v>1</v>
      </c>
      <c r="U31" t="s">
        <v>689</v>
      </c>
      <c r="V31" t="s">
        <v>689</v>
      </c>
      <c r="W31" t="s">
        <v>689</v>
      </c>
      <c r="X31">
        <v>1</v>
      </c>
      <c r="Y31" t="s">
        <v>689</v>
      </c>
      <c r="Z31" t="s">
        <v>689</v>
      </c>
      <c r="AA31" t="s">
        <v>689</v>
      </c>
      <c r="AB31" t="s">
        <v>689</v>
      </c>
      <c r="AC31" t="s">
        <v>689</v>
      </c>
      <c r="AD31" t="s">
        <v>689</v>
      </c>
      <c r="AE31">
        <v>0</v>
      </c>
      <c r="AF31" t="s">
        <v>689</v>
      </c>
      <c r="AG31" t="s">
        <v>513</v>
      </c>
      <c r="AH31" t="s">
        <v>689</v>
      </c>
    </row>
    <row r="32" spans="1:34" x14ac:dyDescent="0.25">
      <c r="A32" t="s">
        <v>397</v>
      </c>
      <c r="B32" t="s">
        <v>398</v>
      </c>
      <c r="C32" t="s">
        <v>310</v>
      </c>
      <c r="D32" t="s">
        <v>320</v>
      </c>
      <c r="E32" t="s">
        <v>398</v>
      </c>
      <c r="F32" t="s">
        <v>399</v>
      </c>
      <c r="G32" t="s">
        <v>280</v>
      </c>
      <c r="H32" t="s">
        <v>646</v>
      </c>
      <c r="I32" t="s">
        <v>46</v>
      </c>
      <c r="J32" t="s">
        <v>689</v>
      </c>
      <c r="K32">
        <v>1</v>
      </c>
      <c r="L32">
        <v>1</v>
      </c>
      <c r="M32" t="s">
        <v>33</v>
      </c>
      <c r="N32">
        <v>1</v>
      </c>
      <c r="O32">
        <v>1</v>
      </c>
      <c r="P32">
        <v>1</v>
      </c>
      <c r="Q32" t="s">
        <v>48</v>
      </c>
      <c r="R32">
        <v>1</v>
      </c>
      <c r="S32">
        <v>1</v>
      </c>
      <c r="T32">
        <v>1</v>
      </c>
      <c r="U32" t="s">
        <v>689</v>
      </c>
      <c r="V32" t="s">
        <v>689</v>
      </c>
      <c r="W32" t="s">
        <v>689</v>
      </c>
      <c r="X32">
        <v>1</v>
      </c>
      <c r="Y32" t="s">
        <v>689</v>
      </c>
      <c r="Z32" t="s">
        <v>689</v>
      </c>
      <c r="AA32" t="s">
        <v>689</v>
      </c>
      <c r="AB32" t="s">
        <v>689</v>
      </c>
      <c r="AC32" t="s">
        <v>689</v>
      </c>
      <c r="AD32" t="s">
        <v>689</v>
      </c>
      <c r="AE32">
        <v>0</v>
      </c>
      <c r="AF32" t="s">
        <v>689</v>
      </c>
      <c r="AG32" t="s">
        <v>510</v>
      </c>
      <c r="AH32" t="s">
        <v>689</v>
      </c>
    </row>
    <row r="33" spans="1:34" x14ac:dyDescent="0.25">
      <c r="A33" t="s">
        <v>400</v>
      </c>
      <c r="B33" t="s">
        <v>401</v>
      </c>
      <c r="C33" t="s">
        <v>310</v>
      </c>
      <c r="D33" t="s">
        <v>311</v>
      </c>
      <c r="E33" t="s">
        <v>401</v>
      </c>
      <c r="F33" t="s">
        <v>689</v>
      </c>
      <c r="G33" t="s">
        <v>280</v>
      </c>
      <c r="H33" t="s">
        <v>647</v>
      </c>
      <c r="I33" t="s">
        <v>46</v>
      </c>
      <c r="J33" t="s">
        <v>689</v>
      </c>
      <c r="K33">
        <v>1</v>
      </c>
      <c r="L33">
        <v>1</v>
      </c>
      <c r="M33" t="s">
        <v>33</v>
      </c>
      <c r="N33">
        <v>1</v>
      </c>
      <c r="O33">
        <v>1</v>
      </c>
      <c r="P33">
        <v>1</v>
      </c>
      <c r="Q33" t="s">
        <v>48</v>
      </c>
      <c r="R33">
        <v>1</v>
      </c>
      <c r="S33">
        <v>1</v>
      </c>
      <c r="T33">
        <v>1</v>
      </c>
      <c r="U33" t="s">
        <v>689</v>
      </c>
      <c r="V33" t="s">
        <v>689</v>
      </c>
      <c r="W33" t="s">
        <v>689</v>
      </c>
      <c r="X33">
        <v>1</v>
      </c>
      <c r="Y33" t="s">
        <v>689</v>
      </c>
      <c r="Z33" t="s">
        <v>689</v>
      </c>
      <c r="AA33" t="s">
        <v>689</v>
      </c>
      <c r="AB33" t="s">
        <v>689</v>
      </c>
      <c r="AC33" t="s">
        <v>689</v>
      </c>
      <c r="AD33" t="s">
        <v>689</v>
      </c>
      <c r="AE33">
        <v>0</v>
      </c>
      <c r="AF33" t="s">
        <v>689</v>
      </c>
      <c r="AG33" t="s">
        <v>513</v>
      </c>
      <c r="AH33" t="s">
        <v>689</v>
      </c>
    </row>
    <row r="34" spans="1:34" x14ac:dyDescent="0.25">
      <c r="A34" t="s">
        <v>402</v>
      </c>
      <c r="B34" t="s">
        <v>403</v>
      </c>
      <c r="C34" t="s">
        <v>310</v>
      </c>
      <c r="D34" t="s">
        <v>404</v>
      </c>
      <c r="E34" t="s">
        <v>403</v>
      </c>
      <c r="F34" t="s">
        <v>341</v>
      </c>
      <c r="G34" t="s">
        <v>259</v>
      </c>
      <c r="H34" t="s">
        <v>648</v>
      </c>
      <c r="I34" t="s">
        <v>46</v>
      </c>
      <c r="J34" t="s">
        <v>689</v>
      </c>
      <c r="K34">
        <v>1</v>
      </c>
      <c r="L34">
        <v>1</v>
      </c>
      <c r="M34" t="s">
        <v>33</v>
      </c>
      <c r="N34">
        <v>1</v>
      </c>
      <c r="O34">
        <v>1</v>
      </c>
      <c r="P34">
        <v>1</v>
      </c>
      <c r="Q34" t="s">
        <v>48</v>
      </c>
      <c r="R34">
        <v>1</v>
      </c>
      <c r="S34">
        <v>1</v>
      </c>
      <c r="T34">
        <v>1</v>
      </c>
      <c r="U34" t="s">
        <v>689</v>
      </c>
      <c r="V34" t="s">
        <v>689</v>
      </c>
      <c r="W34" t="s">
        <v>689</v>
      </c>
      <c r="X34">
        <v>1</v>
      </c>
      <c r="Y34" t="s">
        <v>689</v>
      </c>
      <c r="Z34" t="s">
        <v>689</v>
      </c>
      <c r="AA34" t="s">
        <v>689</v>
      </c>
      <c r="AB34" t="s">
        <v>689</v>
      </c>
      <c r="AC34" t="s">
        <v>689</v>
      </c>
      <c r="AD34" t="s">
        <v>689</v>
      </c>
      <c r="AE34">
        <v>0</v>
      </c>
      <c r="AF34" t="s">
        <v>689</v>
      </c>
      <c r="AG34" t="s">
        <v>510</v>
      </c>
      <c r="AH34" t="s">
        <v>689</v>
      </c>
    </row>
    <row r="35" spans="1:34" x14ac:dyDescent="0.25">
      <c r="A35" t="s">
        <v>405</v>
      </c>
      <c r="B35" t="s">
        <v>406</v>
      </c>
      <c r="C35" t="s">
        <v>310</v>
      </c>
      <c r="D35" t="s">
        <v>404</v>
      </c>
      <c r="E35" t="s">
        <v>406</v>
      </c>
      <c r="F35" t="s">
        <v>407</v>
      </c>
      <c r="G35" t="s">
        <v>280</v>
      </c>
      <c r="H35" t="s">
        <v>679</v>
      </c>
      <c r="I35" t="s">
        <v>46</v>
      </c>
      <c r="J35" t="s">
        <v>408</v>
      </c>
      <c r="K35">
        <v>1</v>
      </c>
      <c r="L35">
        <v>4</v>
      </c>
      <c r="M35" t="s">
        <v>33</v>
      </c>
      <c r="N35">
        <v>1</v>
      </c>
      <c r="O35">
        <v>4</v>
      </c>
      <c r="P35">
        <v>1</v>
      </c>
      <c r="Q35" t="s">
        <v>48</v>
      </c>
      <c r="R35">
        <v>4</v>
      </c>
      <c r="S35">
        <v>4</v>
      </c>
      <c r="T35">
        <v>4</v>
      </c>
      <c r="U35" t="s">
        <v>689</v>
      </c>
      <c r="V35" t="s">
        <v>689</v>
      </c>
      <c r="W35" t="s">
        <v>689</v>
      </c>
      <c r="X35">
        <v>1</v>
      </c>
      <c r="Y35" t="s">
        <v>689</v>
      </c>
      <c r="Z35" t="s">
        <v>689</v>
      </c>
      <c r="AA35" t="s">
        <v>689</v>
      </c>
      <c r="AB35" t="s">
        <v>689</v>
      </c>
      <c r="AC35" t="s">
        <v>689</v>
      </c>
      <c r="AD35" t="s">
        <v>689</v>
      </c>
      <c r="AE35">
        <v>0</v>
      </c>
      <c r="AF35" t="s">
        <v>689</v>
      </c>
      <c r="AG35" t="s">
        <v>484</v>
      </c>
      <c r="AH35" t="s">
        <v>689</v>
      </c>
    </row>
    <row r="36" spans="1:34" x14ac:dyDescent="0.25">
      <c r="A36" t="s">
        <v>409</v>
      </c>
      <c r="B36" t="s">
        <v>410</v>
      </c>
      <c r="C36" t="s">
        <v>310</v>
      </c>
      <c r="D36" t="s">
        <v>320</v>
      </c>
      <c r="E36" t="s">
        <v>410</v>
      </c>
      <c r="F36" t="s">
        <v>341</v>
      </c>
      <c r="G36" t="s">
        <v>259</v>
      </c>
      <c r="H36" t="s">
        <v>649</v>
      </c>
      <c r="I36" t="s">
        <v>46</v>
      </c>
      <c r="J36" t="s">
        <v>689</v>
      </c>
      <c r="K36">
        <v>1</v>
      </c>
      <c r="L36">
        <v>1</v>
      </c>
      <c r="M36" t="s">
        <v>33</v>
      </c>
      <c r="N36">
        <v>1</v>
      </c>
      <c r="O36">
        <v>1</v>
      </c>
      <c r="P36">
        <v>1</v>
      </c>
      <c r="Q36" t="s">
        <v>48</v>
      </c>
      <c r="R36">
        <v>1</v>
      </c>
      <c r="S36">
        <v>1</v>
      </c>
      <c r="T36">
        <v>1</v>
      </c>
      <c r="U36" t="s">
        <v>689</v>
      </c>
      <c r="V36" t="s">
        <v>689</v>
      </c>
      <c r="W36" t="s">
        <v>689</v>
      </c>
      <c r="X36">
        <v>1</v>
      </c>
      <c r="Y36" t="s">
        <v>689</v>
      </c>
      <c r="Z36" t="s">
        <v>689</v>
      </c>
      <c r="AA36" t="s">
        <v>689</v>
      </c>
      <c r="AB36" t="s">
        <v>689</v>
      </c>
      <c r="AC36" t="s">
        <v>689</v>
      </c>
      <c r="AD36" t="s">
        <v>689</v>
      </c>
      <c r="AE36">
        <v>0</v>
      </c>
      <c r="AF36" t="s">
        <v>689</v>
      </c>
      <c r="AG36" t="s">
        <v>484</v>
      </c>
      <c r="AH36" t="s">
        <v>689</v>
      </c>
    </row>
    <row r="37" spans="1:34" x14ac:dyDescent="0.25">
      <c r="A37" t="s">
        <v>411</v>
      </c>
      <c r="B37" t="s">
        <v>412</v>
      </c>
      <c r="C37" t="s">
        <v>310</v>
      </c>
      <c r="D37" t="s">
        <v>413</v>
      </c>
      <c r="E37" t="s">
        <v>412</v>
      </c>
      <c r="F37" t="s">
        <v>414</v>
      </c>
      <c r="G37" t="s">
        <v>280</v>
      </c>
      <c r="H37" t="s">
        <v>680</v>
      </c>
      <c r="I37" t="s">
        <v>46</v>
      </c>
      <c r="J37" t="s">
        <v>415</v>
      </c>
      <c r="K37">
        <v>1</v>
      </c>
      <c r="L37">
        <v>10</v>
      </c>
      <c r="M37" t="s">
        <v>33</v>
      </c>
      <c r="N37">
        <v>1</v>
      </c>
      <c r="O37">
        <v>10</v>
      </c>
      <c r="P37">
        <v>1</v>
      </c>
      <c r="Q37" t="s">
        <v>48</v>
      </c>
      <c r="R37">
        <v>10</v>
      </c>
      <c r="S37">
        <v>10</v>
      </c>
      <c r="T37">
        <v>10</v>
      </c>
      <c r="U37" t="s">
        <v>689</v>
      </c>
      <c r="V37" t="s">
        <v>689</v>
      </c>
      <c r="W37" t="s">
        <v>689</v>
      </c>
      <c r="X37">
        <v>1</v>
      </c>
      <c r="Y37" t="s">
        <v>689</v>
      </c>
      <c r="Z37" t="s">
        <v>689</v>
      </c>
      <c r="AA37" t="s">
        <v>689</v>
      </c>
      <c r="AB37" t="s">
        <v>689</v>
      </c>
      <c r="AC37" t="s">
        <v>689</v>
      </c>
      <c r="AD37" t="s">
        <v>689</v>
      </c>
      <c r="AE37">
        <v>0</v>
      </c>
      <c r="AF37" t="s">
        <v>689</v>
      </c>
      <c r="AG37" t="s">
        <v>513</v>
      </c>
      <c r="AH37" t="s">
        <v>689</v>
      </c>
    </row>
    <row r="38" spans="1:34" x14ac:dyDescent="0.25">
      <c r="A38" t="s">
        <v>416</v>
      </c>
      <c r="B38" t="s">
        <v>417</v>
      </c>
      <c r="C38" t="s">
        <v>310</v>
      </c>
      <c r="D38" t="s">
        <v>320</v>
      </c>
      <c r="E38" t="s">
        <v>417</v>
      </c>
      <c r="F38" t="s">
        <v>341</v>
      </c>
      <c r="G38" t="s">
        <v>259</v>
      </c>
      <c r="H38" t="s">
        <v>650</v>
      </c>
      <c r="I38" t="s">
        <v>46</v>
      </c>
      <c r="J38" t="s">
        <v>689</v>
      </c>
      <c r="K38">
        <v>1</v>
      </c>
      <c r="L38">
        <v>1</v>
      </c>
      <c r="M38" t="s">
        <v>33</v>
      </c>
      <c r="N38">
        <v>1</v>
      </c>
      <c r="O38">
        <v>1</v>
      </c>
      <c r="P38">
        <v>1</v>
      </c>
      <c r="Q38" t="s">
        <v>48</v>
      </c>
      <c r="R38">
        <v>1</v>
      </c>
      <c r="S38">
        <v>1</v>
      </c>
      <c r="T38">
        <v>1</v>
      </c>
      <c r="U38" t="s">
        <v>689</v>
      </c>
      <c r="V38" t="s">
        <v>689</v>
      </c>
      <c r="W38" t="s">
        <v>689</v>
      </c>
      <c r="X38">
        <v>1</v>
      </c>
      <c r="Y38" t="s">
        <v>689</v>
      </c>
      <c r="Z38" t="s">
        <v>689</v>
      </c>
      <c r="AA38" t="s">
        <v>689</v>
      </c>
      <c r="AB38" t="s">
        <v>689</v>
      </c>
      <c r="AC38" t="s">
        <v>689</v>
      </c>
      <c r="AD38" t="s">
        <v>689</v>
      </c>
      <c r="AE38">
        <v>0</v>
      </c>
      <c r="AF38" t="s">
        <v>689</v>
      </c>
      <c r="AG38" t="s">
        <v>513</v>
      </c>
      <c r="AH38" t="s">
        <v>689</v>
      </c>
    </row>
    <row r="39" spans="1:34" x14ac:dyDescent="0.25">
      <c r="A39" t="s">
        <v>418</v>
      </c>
      <c r="B39" t="s">
        <v>419</v>
      </c>
      <c r="C39" t="s">
        <v>310</v>
      </c>
      <c r="D39" t="s">
        <v>336</v>
      </c>
      <c r="E39" t="s">
        <v>419</v>
      </c>
      <c r="F39" t="s">
        <v>420</v>
      </c>
      <c r="G39" t="s">
        <v>259</v>
      </c>
      <c r="H39" t="s">
        <v>651</v>
      </c>
      <c r="I39" t="s">
        <v>46</v>
      </c>
      <c r="J39" t="s">
        <v>421</v>
      </c>
      <c r="K39">
        <v>1</v>
      </c>
      <c r="L39">
        <v>1</v>
      </c>
      <c r="M39" t="s">
        <v>33</v>
      </c>
      <c r="N39">
        <v>1</v>
      </c>
      <c r="O39">
        <v>1</v>
      </c>
      <c r="P39">
        <v>1</v>
      </c>
      <c r="Q39" t="s">
        <v>48</v>
      </c>
      <c r="R39">
        <v>1</v>
      </c>
      <c r="S39">
        <v>1</v>
      </c>
      <c r="T39">
        <v>1</v>
      </c>
      <c r="U39" t="s">
        <v>689</v>
      </c>
      <c r="V39" t="s">
        <v>689</v>
      </c>
      <c r="W39" t="s">
        <v>689</v>
      </c>
      <c r="X39">
        <v>1</v>
      </c>
      <c r="Y39" t="s">
        <v>689</v>
      </c>
      <c r="Z39" t="s">
        <v>689</v>
      </c>
      <c r="AA39" t="s">
        <v>689</v>
      </c>
      <c r="AB39" t="s">
        <v>689</v>
      </c>
      <c r="AC39" t="s">
        <v>689</v>
      </c>
      <c r="AD39" t="s">
        <v>689</v>
      </c>
      <c r="AE39">
        <v>0</v>
      </c>
      <c r="AF39" t="s">
        <v>689</v>
      </c>
      <c r="AG39" t="s">
        <v>513</v>
      </c>
      <c r="AH39" t="s">
        <v>689</v>
      </c>
    </row>
    <row r="40" spans="1:34" x14ac:dyDescent="0.25">
      <c r="A40" t="s">
        <v>422</v>
      </c>
      <c r="B40" t="s">
        <v>423</v>
      </c>
      <c r="C40" t="s">
        <v>310</v>
      </c>
      <c r="D40" t="s">
        <v>311</v>
      </c>
      <c r="E40" t="s">
        <v>423</v>
      </c>
      <c r="F40" t="s">
        <v>689</v>
      </c>
      <c r="G40" t="s">
        <v>259</v>
      </c>
      <c r="H40" t="s">
        <v>652</v>
      </c>
      <c r="I40" t="s">
        <v>46</v>
      </c>
      <c r="J40" t="s">
        <v>424</v>
      </c>
      <c r="K40">
        <v>1</v>
      </c>
      <c r="L40">
        <v>1</v>
      </c>
      <c r="M40" t="s">
        <v>33</v>
      </c>
      <c r="N40">
        <v>1</v>
      </c>
      <c r="O40">
        <v>1</v>
      </c>
      <c r="P40">
        <v>1</v>
      </c>
      <c r="Q40" t="s">
        <v>48</v>
      </c>
      <c r="R40">
        <v>1</v>
      </c>
      <c r="S40">
        <v>1</v>
      </c>
      <c r="T40">
        <v>1</v>
      </c>
      <c r="U40" t="s">
        <v>689</v>
      </c>
      <c r="V40" t="s">
        <v>689</v>
      </c>
      <c r="W40" t="s">
        <v>689</v>
      </c>
      <c r="X40">
        <v>1</v>
      </c>
      <c r="Y40" t="s">
        <v>689</v>
      </c>
      <c r="Z40" t="s">
        <v>689</v>
      </c>
      <c r="AA40" t="s">
        <v>689</v>
      </c>
      <c r="AB40" t="s">
        <v>689</v>
      </c>
      <c r="AC40" t="s">
        <v>689</v>
      </c>
      <c r="AD40" t="s">
        <v>689</v>
      </c>
      <c r="AE40">
        <v>0</v>
      </c>
      <c r="AF40" t="s">
        <v>689</v>
      </c>
      <c r="AG40" t="s">
        <v>514</v>
      </c>
      <c r="AH40" t="s">
        <v>689</v>
      </c>
    </row>
    <row r="41" spans="1:34" x14ac:dyDescent="0.25">
      <c r="A41" t="s">
        <v>425</v>
      </c>
      <c r="B41" t="s">
        <v>426</v>
      </c>
      <c r="C41" t="s">
        <v>310</v>
      </c>
      <c r="D41" t="s">
        <v>311</v>
      </c>
      <c r="E41" t="s">
        <v>426</v>
      </c>
      <c r="F41" t="s">
        <v>426</v>
      </c>
      <c r="G41" t="s">
        <v>284</v>
      </c>
      <c r="H41" t="s">
        <v>653</v>
      </c>
      <c r="I41" t="s">
        <v>46</v>
      </c>
      <c r="J41" t="s">
        <v>427</v>
      </c>
      <c r="K41">
        <v>1</v>
      </c>
      <c r="L41">
        <v>1</v>
      </c>
      <c r="M41" t="s">
        <v>33</v>
      </c>
      <c r="N41">
        <v>1</v>
      </c>
      <c r="O41">
        <v>1</v>
      </c>
      <c r="P41">
        <v>1</v>
      </c>
      <c r="Q41" t="s">
        <v>48</v>
      </c>
      <c r="R41">
        <v>1</v>
      </c>
      <c r="S41">
        <v>1</v>
      </c>
      <c r="T41">
        <v>1</v>
      </c>
      <c r="U41" t="s">
        <v>689</v>
      </c>
      <c r="V41" t="s">
        <v>689</v>
      </c>
      <c r="W41" t="s">
        <v>689</v>
      </c>
      <c r="X41">
        <v>1</v>
      </c>
      <c r="Y41" t="s">
        <v>689</v>
      </c>
      <c r="Z41" t="s">
        <v>689</v>
      </c>
      <c r="AA41" t="s">
        <v>689</v>
      </c>
      <c r="AB41" t="s">
        <v>689</v>
      </c>
      <c r="AC41" t="s">
        <v>689</v>
      </c>
      <c r="AD41" t="s">
        <v>689</v>
      </c>
      <c r="AE41">
        <v>0</v>
      </c>
      <c r="AF41" t="s">
        <v>689</v>
      </c>
      <c r="AG41" t="s">
        <v>514</v>
      </c>
      <c r="AH41" t="s">
        <v>689</v>
      </c>
    </row>
    <row r="42" spans="1:34" x14ac:dyDescent="0.25">
      <c r="A42" t="s">
        <v>428</v>
      </c>
      <c r="B42" t="s">
        <v>429</v>
      </c>
      <c r="C42" t="s">
        <v>310</v>
      </c>
      <c r="D42" t="s">
        <v>413</v>
      </c>
      <c r="E42" t="s">
        <v>429</v>
      </c>
      <c r="F42" t="s">
        <v>429</v>
      </c>
      <c r="G42" t="s">
        <v>259</v>
      </c>
      <c r="H42" t="s">
        <v>654</v>
      </c>
      <c r="I42" t="s">
        <v>46</v>
      </c>
      <c r="J42" t="s">
        <v>689</v>
      </c>
      <c r="K42">
        <v>1</v>
      </c>
      <c r="L42">
        <v>1</v>
      </c>
      <c r="M42" t="s">
        <v>33</v>
      </c>
      <c r="N42">
        <v>1</v>
      </c>
      <c r="O42">
        <v>1</v>
      </c>
      <c r="P42">
        <v>1</v>
      </c>
      <c r="Q42" t="s">
        <v>48</v>
      </c>
      <c r="R42">
        <v>1</v>
      </c>
      <c r="S42">
        <v>1</v>
      </c>
      <c r="T42">
        <v>1</v>
      </c>
      <c r="U42" t="s">
        <v>689</v>
      </c>
      <c r="V42" t="s">
        <v>689</v>
      </c>
      <c r="W42" t="s">
        <v>689</v>
      </c>
      <c r="X42">
        <v>1</v>
      </c>
      <c r="Y42" t="s">
        <v>689</v>
      </c>
      <c r="Z42" t="s">
        <v>689</v>
      </c>
      <c r="AA42" t="s">
        <v>689</v>
      </c>
      <c r="AB42" t="s">
        <v>689</v>
      </c>
      <c r="AC42" t="s">
        <v>689</v>
      </c>
      <c r="AD42" t="s">
        <v>689</v>
      </c>
      <c r="AE42">
        <v>0</v>
      </c>
      <c r="AF42" t="s">
        <v>689</v>
      </c>
      <c r="AG42" t="s">
        <v>513</v>
      </c>
      <c r="AH42" t="s">
        <v>689</v>
      </c>
    </row>
    <row r="43" spans="1:34" x14ac:dyDescent="0.25">
      <c r="A43" t="s">
        <v>430</v>
      </c>
      <c r="B43" t="s">
        <v>431</v>
      </c>
      <c r="C43" t="s">
        <v>310</v>
      </c>
      <c r="D43" t="s">
        <v>336</v>
      </c>
      <c r="E43" t="s">
        <v>431</v>
      </c>
      <c r="F43" t="s">
        <v>431</v>
      </c>
      <c r="G43" t="s">
        <v>284</v>
      </c>
      <c r="H43" t="s">
        <v>655</v>
      </c>
      <c r="I43" t="s">
        <v>46</v>
      </c>
      <c r="J43" t="s">
        <v>689</v>
      </c>
      <c r="K43">
        <v>1</v>
      </c>
      <c r="L43">
        <v>1</v>
      </c>
      <c r="M43" t="s">
        <v>33</v>
      </c>
      <c r="N43">
        <v>1</v>
      </c>
      <c r="O43">
        <v>1</v>
      </c>
      <c r="P43">
        <v>1</v>
      </c>
      <c r="Q43" t="s">
        <v>48</v>
      </c>
      <c r="R43">
        <v>1</v>
      </c>
      <c r="S43">
        <v>1</v>
      </c>
      <c r="T43">
        <v>1</v>
      </c>
      <c r="U43" t="s">
        <v>689</v>
      </c>
      <c r="V43" t="s">
        <v>689</v>
      </c>
      <c r="W43" t="s">
        <v>689</v>
      </c>
      <c r="X43">
        <v>1</v>
      </c>
      <c r="Y43" t="s">
        <v>689</v>
      </c>
      <c r="Z43" t="s">
        <v>689</v>
      </c>
      <c r="AA43" t="s">
        <v>689</v>
      </c>
      <c r="AB43" t="s">
        <v>689</v>
      </c>
      <c r="AC43" t="s">
        <v>689</v>
      </c>
      <c r="AD43" t="s">
        <v>689</v>
      </c>
      <c r="AE43">
        <v>0</v>
      </c>
      <c r="AF43" t="s">
        <v>689</v>
      </c>
      <c r="AG43" t="s">
        <v>484</v>
      </c>
      <c r="AH43" t="s">
        <v>689</v>
      </c>
    </row>
    <row r="44" spans="1:34" x14ac:dyDescent="0.25">
      <c r="A44" t="s">
        <v>432</v>
      </c>
      <c r="B44" t="s">
        <v>433</v>
      </c>
      <c r="C44" t="s">
        <v>310</v>
      </c>
      <c r="D44" t="s">
        <v>311</v>
      </c>
      <c r="E44" t="s">
        <v>434</v>
      </c>
      <c r="F44" t="s">
        <v>434</v>
      </c>
      <c r="G44" t="s">
        <v>259</v>
      </c>
      <c r="H44" t="s">
        <v>656</v>
      </c>
      <c r="I44" t="s">
        <v>46</v>
      </c>
      <c r="J44" t="s">
        <v>689</v>
      </c>
      <c r="K44">
        <v>1</v>
      </c>
      <c r="L44">
        <v>1</v>
      </c>
      <c r="M44" t="s">
        <v>33</v>
      </c>
      <c r="N44">
        <v>1</v>
      </c>
      <c r="O44">
        <v>1</v>
      </c>
      <c r="P44">
        <v>1</v>
      </c>
      <c r="Q44" t="s">
        <v>48</v>
      </c>
      <c r="R44">
        <v>1</v>
      </c>
      <c r="S44">
        <v>1</v>
      </c>
      <c r="T44">
        <v>1</v>
      </c>
      <c r="U44" t="s">
        <v>689</v>
      </c>
      <c r="V44" t="s">
        <v>689</v>
      </c>
      <c r="W44" t="s">
        <v>689</v>
      </c>
      <c r="X44">
        <v>1</v>
      </c>
      <c r="Y44" t="s">
        <v>689</v>
      </c>
      <c r="Z44" t="s">
        <v>689</v>
      </c>
      <c r="AA44" t="s">
        <v>689</v>
      </c>
      <c r="AB44" t="s">
        <v>689</v>
      </c>
      <c r="AC44" t="s">
        <v>689</v>
      </c>
      <c r="AD44" t="s">
        <v>689</v>
      </c>
      <c r="AE44">
        <v>0</v>
      </c>
      <c r="AF44" t="s">
        <v>689</v>
      </c>
      <c r="AG44" t="s">
        <v>514</v>
      </c>
      <c r="AH44" t="s">
        <v>689</v>
      </c>
    </row>
    <row r="45" spans="1:34" x14ac:dyDescent="0.25">
      <c r="A45" t="s">
        <v>435</v>
      </c>
      <c r="B45" t="s">
        <v>436</v>
      </c>
      <c r="C45" t="s">
        <v>310</v>
      </c>
      <c r="D45" t="s">
        <v>320</v>
      </c>
      <c r="E45" t="s">
        <v>436</v>
      </c>
      <c r="F45" t="s">
        <v>436</v>
      </c>
      <c r="G45" t="s">
        <v>259</v>
      </c>
      <c r="H45" t="s">
        <v>657</v>
      </c>
      <c r="I45" t="s">
        <v>35</v>
      </c>
      <c r="J45" t="s">
        <v>689</v>
      </c>
      <c r="K45">
        <v>1</v>
      </c>
      <c r="L45">
        <v>1</v>
      </c>
      <c r="M45" t="s">
        <v>33</v>
      </c>
      <c r="N45">
        <v>1</v>
      </c>
      <c r="O45">
        <v>1</v>
      </c>
      <c r="P45">
        <v>1</v>
      </c>
      <c r="Q45" t="s">
        <v>48</v>
      </c>
      <c r="R45">
        <v>1</v>
      </c>
      <c r="S45">
        <v>1</v>
      </c>
      <c r="T45">
        <v>1</v>
      </c>
      <c r="U45" t="s">
        <v>689</v>
      </c>
      <c r="V45" t="s">
        <v>689</v>
      </c>
      <c r="W45" t="s">
        <v>689</v>
      </c>
      <c r="X45">
        <v>1</v>
      </c>
      <c r="Y45" t="s">
        <v>689</v>
      </c>
      <c r="Z45" t="s">
        <v>689</v>
      </c>
      <c r="AA45" t="s">
        <v>689</v>
      </c>
      <c r="AB45" t="s">
        <v>689</v>
      </c>
      <c r="AC45" t="s">
        <v>689</v>
      </c>
      <c r="AD45" t="s">
        <v>689</v>
      </c>
      <c r="AE45">
        <v>0</v>
      </c>
      <c r="AF45" t="s">
        <v>689</v>
      </c>
      <c r="AG45" t="s">
        <v>509</v>
      </c>
      <c r="AH45" t="s">
        <v>689</v>
      </c>
    </row>
    <row r="46" spans="1:34" x14ac:dyDescent="0.25">
      <c r="A46" t="s">
        <v>437</v>
      </c>
      <c r="B46" t="s">
        <v>438</v>
      </c>
      <c r="C46" t="s">
        <v>310</v>
      </c>
      <c r="D46" t="s">
        <v>320</v>
      </c>
      <c r="E46" t="s">
        <v>438</v>
      </c>
      <c r="F46" t="s">
        <v>438</v>
      </c>
      <c r="G46" t="s">
        <v>280</v>
      </c>
      <c r="H46" t="s">
        <v>658</v>
      </c>
      <c r="I46" t="s">
        <v>46</v>
      </c>
      <c r="J46" t="s">
        <v>439</v>
      </c>
      <c r="K46">
        <v>1</v>
      </c>
      <c r="L46">
        <v>1</v>
      </c>
      <c r="M46" t="s">
        <v>33</v>
      </c>
      <c r="N46">
        <v>1</v>
      </c>
      <c r="O46">
        <v>1</v>
      </c>
      <c r="P46">
        <v>1</v>
      </c>
      <c r="Q46" t="s">
        <v>48</v>
      </c>
      <c r="R46">
        <v>1</v>
      </c>
      <c r="S46">
        <v>1</v>
      </c>
      <c r="T46">
        <v>1</v>
      </c>
      <c r="U46" t="s">
        <v>689</v>
      </c>
      <c r="V46" t="s">
        <v>689</v>
      </c>
      <c r="W46" t="s">
        <v>689</v>
      </c>
      <c r="X46">
        <v>1</v>
      </c>
      <c r="Y46" t="s">
        <v>689</v>
      </c>
      <c r="Z46" t="s">
        <v>689</v>
      </c>
      <c r="AA46" t="s">
        <v>689</v>
      </c>
      <c r="AB46" t="s">
        <v>689</v>
      </c>
      <c r="AC46" t="s">
        <v>689</v>
      </c>
      <c r="AD46" t="s">
        <v>689</v>
      </c>
      <c r="AE46">
        <v>0</v>
      </c>
      <c r="AF46" t="s">
        <v>689</v>
      </c>
      <c r="AG46" t="s">
        <v>514</v>
      </c>
      <c r="AH46" t="s">
        <v>689</v>
      </c>
    </row>
    <row r="47" spans="1:34" x14ac:dyDescent="0.25">
      <c r="A47" t="s">
        <v>440</v>
      </c>
      <c r="B47" t="s">
        <v>441</v>
      </c>
      <c r="C47" t="s">
        <v>310</v>
      </c>
      <c r="D47" t="s">
        <v>311</v>
      </c>
      <c r="E47" t="s">
        <v>689</v>
      </c>
      <c r="F47" t="s">
        <v>689</v>
      </c>
      <c r="G47" t="s">
        <v>280</v>
      </c>
      <c r="H47" t="s">
        <v>659</v>
      </c>
      <c r="I47" t="s">
        <v>46</v>
      </c>
      <c r="J47" t="s">
        <v>442</v>
      </c>
      <c r="K47">
        <v>1</v>
      </c>
      <c r="L47">
        <v>1</v>
      </c>
      <c r="M47" t="s">
        <v>33</v>
      </c>
      <c r="N47">
        <v>1</v>
      </c>
      <c r="O47">
        <v>1</v>
      </c>
      <c r="P47">
        <v>1</v>
      </c>
      <c r="Q47" t="s">
        <v>48</v>
      </c>
      <c r="R47">
        <v>1</v>
      </c>
      <c r="S47">
        <v>1</v>
      </c>
      <c r="T47">
        <v>1</v>
      </c>
      <c r="U47" t="s">
        <v>689</v>
      </c>
      <c r="V47" t="s">
        <v>689</v>
      </c>
      <c r="W47" t="s">
        <v>689</v>
      </c>
      <c r="X47">
        <v>1</v>
      </c>
      <c r="Y47" t="s">
        <v>689</v>
      </c>
      <c r="Z47" t="s">
        <v>689</v>
      </c>
      <c r="AA47" t="s">
        <v>689</v>
      </c>
      <c r="AB47" t="s">
        <v>689</v>
      </c>
      <c r="AC47" t="s">
        <v>689</v>
      </c>
      <c r="AD47" t="s">
        <v>689</v>
      </c>
      <c r="AE47">
        <v>0</v>
      </c>
      <c r="AF47" t="s">
        <v>689</v>
      </c>
      <c r="AG47" t="s">
        <v>514</v>
      </c>
      <c r="AH47" t="s">
        <v>689</v>
      </c>
    </row>
    <row r="48" spans="1:34" x14ac:dyDescent="0.25">
      <c r="A48" t="s">
        <v>443</v>
      </c>
      <c r="B48" t="s">
        <v>444</v>
      </c>
      <c r="C48" t="s">
        <v>310</v>
      </c>
      <c r="D48" t="s">
        <v>320</v>
      </c>
      <c r="E48" t="s">
        <v>689</v>
      </c>
      <c r="F48" t="s">
        <v>689</v>
      </c>
      <c r="G48" t="s">
        <v>280</v>
      </c>
      <c r="H48" t="s">
        <v>660</v>
      </c>
      <c r="I48" t="s">
        <v>46</v>
      </c>
      <c r="J48" t="s">
        <v>689</v>
      </c>
      <c r="K48">
        <v>1</v>
      </c>
      <c r="L48">
        <v>1</v>
      </c>
      <c r="M48" t="s">
        <v>33</v>
      </c>
      <c r="N48">
        <v>1</v>
      </c>
      <c r="O48">
        <v>1</v>
      </c>
      <c r="P48">
        <v>1</v>
      </c>
      <c r="Q48" t="s">
        <v>48</v>
      </c>
      <c r="R48">
        <v>1</v>
      </c>
      <c r="S48">
        <v>1</v>
      </c>
      <c r="T48">
        <v>1</v>
      </c>
      <c r="U48" t="s">
        <v>689</v>
      </c>
      <c r="V48" t="s">
        <v>689</v>
      </c>
      <c r="W48" t="s">
        <v>689</v>
      </c>
      <c r="X48">
        <v>1</v>
      </c>
      <c r="Y48" t="s">
        <v>689</v>
      </c>
      <c r="Z48" t="s">
        <v>689</v>
      </c>
      <c r="AA48" t="s">
        <v>689</v>
      </c>
      <c r="AB48" t="s">
        <v>689</v>
      </c>
      <c r="AC48" t="s">
        <v>689</v>
      </c>
      <c r="AD48" t="s">
        <v>689</v>
      </c>
      <c r="AE48">
        <v>0</v>
      </c>
      <c r="AF48" t="s">
        <v>689</v>
      </c>
      <c r="AG48" t="s">
        <v>484</v>
      </c>
      <c r="AH48" t="s">
        <v>689</v>
      </c>
    </row>
    <row r="49" spans="1:34" x14ac:dyDescent="0.25">
      <c r="A49" t="s">
        <v>445</v>
      </c>
      <c r="B49" t="s">
        <v>446</v>
      </c>
      <c r="C49" t="s">
        <v>310</v>
      </c>
      <c r="D49" t="s">
        <v>311</v>
      </c>
      <c r="E49" t="s">
        <v>689</v>
      </c>
      <c r="F49" t="s">
        <v>689</v>
      </c>
      <c r="G49" t="s">
        <v>259</v>
      </c>
      <c r="H49" t="s">
        <v>661</v>
      </c>
      <c r="I49" t="s">
        <v>46</v>
      </c>
      <c r="J49" t="s">
        <v>689</v>
      </c>
      <c r="K49">
        <v>0</v>
      </c>
      <c r="L49">
        <v>1</v>
      </c>
      <c r="M49" t="s">
        <v>33</v>
      </c>
      <c r="N49">
        <v>1</v>
      </c>
      <c r="O49">
        <v>1</v>
      </c>
      <c r="P49">
        <v>1</v>
      </c>
      <c r="Q49" t="s">
        <v>48</v>
      </c>
      <c r="R49">
        <v>1</v>
      </c>
      <c r="S49">
        <v>1</v>
      </c>
      <c r="T49">
        <v>1</v>
      </c>
      <c r="U49" t="s">
        <v>689</v>
      </c>
      <c r="V49" t="s">
        <v>689</v>
      </c>
      <c r="W49" t="s">
        <v>689</v>
      </c>
      <c r="X49">
        <v>1</v>
      </c>
      <c r="Y49" t="s">
        <v>447</v>
      </c>
      <c r="Z49" t="s">
        <v>689</v>
      </c>
      <c r="AA49" t="s">
        <v>689</v>
      </c>
      <c r="AB49" t="s">
        <v>689</v>
      </c>
      <c r="AC49" t="s">
        <v>689</v>
      </c>
      <c r="AD49" t="s">
        <v>689</v>
      </c>
      <c r="AE49">
        <v>0</v>
      </c>
      <c r="AF49" t="s">
        <v>689</v>
      </c>
      <c r="AG49" t="s">
        <v>512</v>
      </c>
      <c r="AH49" t="s">
        <v>689</v>
      </c>
    </row>
    <row r="50" spans="1:34" x14ac:dyDescent="0.25">
      <c r="A50" t="s">
        <v>448</v>
      </c>
      <c r="B50" t="s">
        <v>449</v>
      </c>
      <c r="C50" t="s">
        <v>310</v>
      </c>
      <c r="D50" t="s">
        <v>320</v>
      </c>
      <c r="E50" t="s">
        <v>689</v>
      </c>
      <c r="F50" t="s">
        <v>689</v>
      </c>
      <c r="G50" t="s">
        <v>280</v>
      </c>
      <c r="H50" t="s">
        <v>681</v>
      </c>
      <c r="I50" t="s">
        <v>35</v>
      </c>
      <c r="J50" t="s">
        <v>689</v>
      </c>
      <c r="K50">
        <v>1</v>
      </c>
      <c r="L50">
        <v>4</v>
      </c>
      <c r="M50" t="s">
        <v>33</v>
      </c>
      <c r="N50">
        <v>1</v>
      </c>
      <c r="O50">
        <v>4</v>
      </c>
      <c r="P50">
        <v>1</v>
      </c>
      <c r="Q50" t="s">
        <v>48</v>
      </c>
      <c r="R50">
        <v>4</v>
      </c>
      <c r="S50">
        <v>4</v>
      </c>
      <c r="T50">
        <v>4</v>
      </c>
      <c r="U50" t="s">
        <v>689</v>
      </c>
      <c r="V50" t="s">
        <v>689</v>
      </c>
      <c r="W50" t="s">
        <v>689</v>
      </c>
      <c r="X50">
        <v>1</v>
      </c>
      <c r="Y50" t="s">
        <v>689</v>
      </c>
      <c r="Z50" t="s">
        <v>689</v>
      </c>
      <c r="AA50" t="s">
        <v>689</v>
      </c>
      <c r="AB50" t="s">
        <v>689</v>
      </c>
      <c r="AC50" t="s">
        <v>689</v>
      </c>
      <c r="AD50" t="s">
        <v>689</v>
      </c>
      <c r="AE50">
        <v>0</v>
      </c>
      <c r="AF50" t="s">
        <v>689</v>
      </c>
      <c r="AG50" t="s">
        <v>511</v>
      </c>
      <c r="AH50" t="s">
        <v>689</v>
      </c>
    </row>
    <row r="51" spans="1:34" x14ac:dyDescent="0.25">
      <c r="A51" t="s">
        <v>450</v>
      </c>
      <c r="B51" t="s">
        <v>451</v>
      </c>
      <c r="C51" t="s">
        <v>310</v>
      </c>
      <c r="D51" t="s">
        <v>311</v>
      </c>
      <c r="E51" t="s">
        <v>689</v>
      </c>
      <c r="F51" t="s">
        <v>689</v>
      </c>
      <c r="G51" t="s">
        <v>280</v>
      </c>
      <c r="H51" t="s">
        <v>682</v>
      </c>
      <c r="I51" t="s">
        <v>46</v>
      </c>
      <c r="J51" t="s">
        <v>689</v>
      </c>
      <c r="K51">
        <v>1</v>
      </c>
      <c r="L51">
        <v>4</v>
      </c>
      <c r="M51" t="s">
        <v>44</v>
      </c>
      <c r="N51">
        <v>1</v>
      </c>
      <c r="O51">
        <v>4</v>
      </c>
      <c r="P51">
        <v>1</v>
      </c>
      <c r="Q51" t="s">
        <v>48</v>
      </c>
      <c r="R51">
        <v>3</v>
      </c>
      <c r="S51">
        <v>3</v>
      </c>
      <c r="T51">
        <v>3</v>
      </c>
      <c r="U51" t="s">
        <v>689</v>
      </c>
      <c r="V51" t="s">
        <v>689</v>
      </c>
      <c r="W51" t="s">
        <v>689</v>
      </c>
      <c r="X51">
        <v>1</v>
      </c>
      <c r="Y51" t="s">
        <v>689</v>
      </c>
      <c r="Z51" t="s">
        <v>689</v>
      </c>
      <c r="AA51" t="s">
        <v>689</v>
      </c>
      <c r="AB51" t="s">
        <v>689</v>
      </c>
      <c r="AC51" t="s">
        <v>689</v>
      </c>
      <c r="AD51" t="s">
        <v>689</v>
      </c>
      <c r="AE51">
        <v>0</v>
      </c>
      <c r="AF51" t="s">
        <v>689</v>
      </c>
      <c r="AG51" t="s">
        <v>515</v>
      </c>
      <c r="AH51" t="s">
        <v>689</v>
      </c>
    </row>
    <row r="52" spans="1:34" x14ac:dyDescent="0.25">
      <c r="A52" t="s">
        <v>452</v>
      </c>
      <c r="B52" t="s">
        <v>453</v>
      </c>
      <c r="C52" t="s">
        <v>310</v>
      </c>
      <c r="D52" t="s">
        <v>380</v>
      </c>
      <c r="E52" t="s">
        <v>454</v>
      </c>
      <c r="F52" t="s">
        <v>454</v>
      </c>
      <c r="G52" t="s">
        <v>259</v>
      </c>
      <c r="H52" t="s">
        <v>662</v>
      </c>
      <c r="I52" t="s">
        <v>46</v>
      </c>
      <c r="J52" t="s">
        <v>455</v>
      </c>
      <c r="K52">
        <v>1</v>
      </c>
      <c r="L52">
        <v>1</v>
      </c>
      <c r="M52" t="s">
        <v>44</v>
      </c>
      <c r="N52">
        <v>1</v>
      </c>
      <c r="O52">
        <v>1</v>
      </c>
      <c r="P52">
        <v>1</v>
      </c>
      <c r="Q52" t="s">
        <v>48</v>
      </c>
      <c r="R52">
        <v>1</v>
      </c>
      <c r="S52">
        <v>1</v>
      </c>
      <c r="T52">
        <v>1</v>
      </c>
      <c r="U52" t="s">
        <v>689</v>
      </c>
      <c r="V52" t="s">
        <v>689</v>
      </c>
      <c r="W52" t="s">
        <v>689</v>
      </c>
      <c r="X52">
        <v>1</v>
      </c>
      <c r="Y52" t="s">
        <v>689</v>
      </c>
      <c r="Z52" t="s">
        <v>689</v>
      </c>
      <c r="AA52" t="s">
        <v>689</v>
      </c>
      <c r="AB52" t="s">
        <v>689</v>
      </c>
      <c r="AC52" t="s">
        <v>689</v>
      </c>
      <c r="AD52" t="s">
        <v>689</v>
      </c>
      <c r="AE52">
        <v>0</v>
      </c>
      <c r="AF52" t="s">
        <v>689</v>
      </c>
      <c r="AG52" t="s">
        <v>512</v>
      </c>
      <c r="AH52" t="s">
        <v>689</v>
      </c>
    </row>
    <row r="53" spans="1:34" x14ac:dyDescent="0.25">
      <c r="A53" t="s">
        <v>456</v>
      </c>
      <c r="B53" t="s">
        <v>457</v>
      </c>
      <c r="C53" t="s">
        <v>310</v>
      </c>
      <c r="D53" t="s">
        <v>355</v>
      </c>
      <c r="E53" t="s">
        <v>458</v>
      </c>
      <c r="F53" t="s">
        <v>458</v>
      </c>
      <c r="G53" t="s">
        <v>259</v>
      </c>
      <c r="H53" t="s">
        <v>663</v>
      </c>
      <c r="I53" t="s">
        <v>46</v>
      </c>
      <c r="J53" t="s">
        <v>459</v>
      </c>
      <c r="K53">
        <v>1</v>
      </c>
      <c r="L53">
        <v>1</v>
      </c>
      <c r="M53" t="s">
        <v>44</v>
      </c>
      <c r="N53">
        <v>1</v>
      </c>
      <c r="O53">
        <v>1</v>
      </c>
      <c r="P53">
        <v>1</v>
      </c>
      <c r="Q53" t="s">
        <v>48</v>
      </c>
      <c r="R53">
        <v>1</v>
      </c>
      <c r="S53">
        <v>1</v>
      </c>
      <c r="T53">
        <v>1</v>
      </c>
      <c r="U53" t="s">
        <v>689</v>
      </c>
      <c r="V53" t="s">
        <v>689</v>
      </c>
      <c r="W53" t="s">
        <v>689</v>
      </c>
      <c r="X53">
        <v>1</v>
      </c>
      <c r="Y53" t="s">
        <v>689</v>
      </c>
      <c r="Z53" t="s">
        <v>689</v>
      </c>
      <c r="AA53" t="s">
        <v>689</v>
      </c>
      <c r="AB53" t="s">
        <v>689</v>
      </c>
      <c r="AC53" t="s">
        <v>689</v>
      </c>
      <c r="AD53" t="s">
        <v>689</v>
      </c>
      <c r="AE53">
        <v>0</v>
      </c>
      <c r="AF53" t="s">
        <v>689</v>
      </c>
      <c r="AG53" t="s">
        <v>513</v>
      </c>
      <c r="AH53" t="s">
        <v>689</v>
      </c>
    </row>
    <row r="54" spans="1:34" x14ac:dyDescent="0.25">
      <c r="A54" t="s">
        <v>460</v>
      </c>
      <c r="B54" t="s">
        <v>461</v>
      </c>
      <c r="C54" t="s">
        <v>310</v>
      </c>
      <c r="D54" t="s">
        <v>320</v>
      </c>
      <c r="E54" t="s">
        <v>689</v>
      </c>
      <c r="F54" t="s">
        <v>689</v>
      </c>
      <c r="G54" t="s">
        <v>259</v>
      </c>
      <c r="H54" t="s">
        <v>664</v>
      </c>
      <c r="I54" t="s">
        <v>46</v>
      </c>
      <c r="J54" t="s">
        <v>689</v>
      </c>
      <c r="K54">
        <v>1</v>
      </c>
      <c r="L54">
        <v>1</v>
      </c>
      <c r="M54" t="s">
        <v>44</v>
      </c>
      <c r="N54">
        <v>1</v>
      </c>
      <c r="O54">
        <v>1</v>
      </c>
      <c r="P54">
        <v>1</v>
      </c>
      <c r="Q54" t="s">
        <v>48</v>
      </c>
      <c r="R54">
        <v>1</v>
      </c>
      <c r="S54">
        <v>1</v>
      </c>
      <c r="T54">
        <v>1</v>
      </c>
      <c r="U54" t="s">
        <v>689</v>
      </c>
      <c r="V54" t="s">
        <v>689</v>
      </c>
      <c r="W54" t="s">
        <v>689</v>
      </c>
      <c r="X54">
        <v>1</v>
      </c>
      <c r="Y54" t="s">
        <v>689</v>
      </c>
      <c r="Z54" t="s">
        <v>689</v>
      </c>
      <c r="AA54" t="s">
        <v>689</v>
      </c>
      <c r="AB54" t="s">
        <v>689</v>
      </c>
      <c r="AC54" t="s">
        <v>689</v>
      </c>
      <c r="AD54" t="s">
        <v>689</v>
      </c>
      <c r="AE54">
        <v>0</v>
      </c>
      <c r="AF54" t="s">
        <v>689</v>
      </c>
      <c r="AG54" t="s">
        <v>514</v>
      </c>
      <c r="AH54" t="s">
        <v>689</v>
      </c>
    </row>
    <row r="55" spans="1:34" x14ac:dyDescent="0.25">
      <c r="A55" t="s">
        <v>462</v>
      </c>
      <c r="B55" t="s">
        <v>463</v>
      </c>
      <c r="C55" t="s">
        <v>310</v>
      </c>
      <c r="D55" t="s">
        <v>320</v>
      </c>
      <c r="E55" t="s">
        <v>689</v>
      </c>
      <c r="F55" t="s">
        <v>689</v>
      </c>
      <c r="G55" t="s">
        <v>259</v>
      </c>
      <c r="H55" t="s">
        <v>665</v>
      </c>
      <c r="I55" t="s">
        <v>46</v>
      </c>
      <c r="J55" t="s">
        <v>689</v>
      </c>
      <c r="K55">
        <v>1</v>
      </c>
      <c r="L55">
        <v>1</v>
      </c>
      <c r="M55" t="s">
        <v>44</v>
      </c>
      <c r="N55">
        <v>1</v>
      </c>
      <c r="O55">
        <v>1</v>
      </c>
      <c r="P55">
        <v>1</v>
      </c>
      <c r="Q55" t="s">
        <v>48</v>
      </c>
      <c r="R55">
        <v>1</v>
      </c>
      <c r="S55">
        <v>1</v>
      </c>
      <c r="T55">
        <v>1</v>
      </c>
      <c r="U55" t="s">
        <v>689</v>
      </c>
      <c r="V55" t="s">
        <v>689</v>
      </c>
      <c r="W55" t="s">
        <v>689</v>
      </c>
      <c r="X55">
        <v>1</v>
      </c>
      <c r="Y55" t="s">
        <v>689</v>
      </c>
      <c r="Z55" t="s">
        <v>689</v>
      </c>
      <c r="AA55" t="s">
        <v>689</v>
      </c>
      <c r="AB55" t="s">
        <v>689</v>
      </c>
      <c r="AC55" t="s">
        <v>689</v>
      </c>
      <c r="AD55" t="s">
        <v>689</v>
      </c>
      <c r="AE55">
        <v>0</v>
      </c>
      <c r="AF55" t="s">
        <v>689</v>
      </c>
      <c r="AG55" t="s">
        <v>484</v>
      </c>
      <c r="AH55" t="s">
        <v>689</v>
      </c>
    </row>
    <row r="56" spans="1:34" x14ac:dyDescent="0.25">
      <c r="A56" t="s">
        <v>464</v>
      </c>
      <c r="B56" t="s">
        <v>465</v>
      </c>
      <c r="C56" t="s">
        <v>310</v>
      </c>
      <c r="D56" t="s">
        <v>320</v>
      </c>
      <c r="E56" t="s">
        <v>689</v>
      </c>
      <c r="F56" t="s">
        <v>689</v>
      </c>
      <c r="G56" t="s">
        <v>259</v>
      </c>
      <c r="H56" t="s">
        <v>666</v>
      </c>
      <c r="I56" t="s">
        <v>46</v>
      </c>
      <c r="J56" t="s">
        <v>689</v>
      </c>
      <c r="K56">
        <v>1</v>
      </c>
      <c r="L56">
        <v>1</v>
      </c>
      <c r="M56" t="s">
        <v>44</v>
      </c>
      <c r="N56">
        <v>1</v>
      </c>
      <c r="O56">
        <v>1</v>
      </c>
      <c r="P56">
        <v>1</v>
      </c>
      <c r="Q56" t="s">
        <v>48</v>
      </c>
      <c r="R56">
        <v>1</v>
      </c>
      <c r="S56">
        <v>1</v>
      </c>
      <c r="T56">
        <v>1</v>
      </c>
      <c r="U56" t="s">
        <v>689</v>
      </c>
      <c r="V56" t="s">
        <v>689</v>
      </c>
      <c r="W56" t="s">
        <v>689</v>
      </c>
      <c r="X56">
        <v>1</v>
      </c>
      <c r="Y56" t="s">
        <v>689</v>
      </c>
      <c r="Z56" t="s">
        <v>689</v>
      </c>
      <c r="AA56" t="s">
        <v>689</v>
      </c>
      <c r="AB56" t="s">
        <v>689</v>
      </c>
      <c r="AC56" t="s">
        <v>689</v>
      </c>
      <c r="AD56" t="s">
        <v>689</v>
      </c>
      <c r="AE56">
        <v>0</v>
      </c>
      <c r="AF56" t="s">
        <v>689</v>
      </c>
      <c r="AG56" t="s">
        <v>484</v>
      </c>
      <c r="AH56" t="s">
        <v>689</v>
      </c>
    </row>
    <row r="57" spans="1:34" x14ac:dyDescent="0.25">
      <c r="A57" t="s">
        <v>466</v>
      </c>
      <c r="B57" t="s">
        <v>467</v>
      </c>
      <c r="C57" t="s">
        <v>310</v>
      </c>
      <c r="D57" t="s">
        <v>311</v>
      </c>
      <c r="E57" t="s">
        <v>689</v>
      </c>
      <c r="F57" t="s">
        <v>689</v>
      </c>
      <c r="G57" t="s">
        <v>259</v>
      </c>
      <c r="H57" t="s">
        <v>667</v>
      </c>
      <c r="I57" t="s">
        <v>46</v>
      </c>
      <c r="J57" t="s">
        <v>689</v>
      </c>
      <c r="K57">
        <v>1</v>
      </c>
      <c r="L57">
        <v>1</v>
      </c>
      <c r="M57" t="s">
        <v>44</v>
      </c>
      <c r="N57">
        <v>1</v>
      </c>
      <c r="O57">
        <v>1</v>
      </c>
      <c r="P57">
        <v>1</v>
      </c>
      <c r="Q57" t="s">
        <v>48</v>
      </c>
      <c r="R57">
        <v>1</v>
      </c>
      <c r="S57">
        <v>1</v>
      </c>
      <c r="T57">
        <v>1</v>
      </c>
      <c r="U57" t="s">
        <v>689</v>
      </c>
      <c r="V57" t="s">
        <v>689</v>
      </c>
      <c r="W57" t="s">
        <v>689</v>
      </c>
      <c r="X57">
        <v>1</v>
      </c>
      <c r="Y57" t="s">
        <v>689</v>
      </c>
      <c r="Z57" t="s">
        <v>689</v>
      </c>
      <c r="AA57" t="s">
        <v>689</v>
      </c>
      <c r="AB57" t="s">
        <v>689</v>
      </c>
      <c r="AC57" t="s">
        <v>689</v>
      </c>
      <c r="AD57" t="s">
        <v>689</v>
      </c>
      <c r="AE57">
        <v>0</v>
      </c>
      <c r="AF57" t="s">
        <v>689</v>
      </c>
      <c r="AG57" t="s">
        <v>516</v>
      </c>
      <c r="AH57" t="s">
        <v>689</v>
      </c>
    </row>
    <row r="58" spans="1:34" x14ac:dyDescent="0.25">
      <c r="A58" t="s">
        <v>468</v>
      </c>
      <c r="B58" t="s">
        <v>469</v>
      </c>
      <c r="C58" t="s">
        <v>310</v>
      </c>
      <c r="D58" t="s">
        <v>355</v>
      </c>
      <c r="E58" t="s">
        <v>689</v>
      </c>
      <c r="F58" t="s">
        <v>689</v>
      </c>
      <c r="G58" t="s">
        <v>259</v>
      </c>
      <c r="H58" t="s">
        <v>668</v>
      </c>
      <c r="I58" t="s">
        <v>46</v>
      </c>
      <c r="J58" t="s">
        <v>689</v>
      </c>
      <c r="K58">
        <v>1</v>
      </c>
      <c r="L58">
        <v>1</v>
      </c>
      <c r="M58" t="s">
        <v>44</v>
      </c>
      <c r="N58">
        <v>1</v>
      </c>
      <c r="O58">
        <v>1</v>
      </c>
      <c r="P58">
        <v>1</v>
      </c>
      <c r="Q58" t="s">
        <v>48</v>
      </c>
      <c r="R58">
        <v>1</v>
      </c>
      <c r="S58">
        <v>1</v>
      </c>
      <c r="T58">
        <v>1</v>
      </c>
      <c r="U58" t="s">
        <v>689</v>
      </c>
      <c r="V58" t="s">
        <v>689</v>
      </c>
      <c r="W58" t="s">
        <v>689</v>
      </c>
      <c r="X58">
        <v>1</v>
      </c>
      <c r="Y58" t="s">
        <v>689</v>
      </c>
      <c r="Z58" t="s">
        <v>689</v>
      </c>
      <c r="AA58" t="s">
        <v>689</v>
      </c>
      <c r="AB58" t="s">
        <v>689</v>
      </c>
      <c r="AC58" t="s">
        <v>689</v>
      </c>
      <c r="AD58" t="s">
        <v>689</v>
      </c>
      <c r="AE58">
        <v>0</v>
      </c>
      <c r="AF58" t="s">
        <v>689</v>
      </c>
      <c r="AG58" t="s">
        <v>514</v>
      </c>
      <c r="AH58" t="s">
        <v>689</v>
      </c>
    </row>
    <row r="59" spans="1:34" x14ac:dyDescent="0.25">
      <c r="A59" t="s">
        <v>470</v>
      </c>
      <c r="B59" t="s">
        <v>471</v>
      </c>
      <c r="C59" t="s">
        <v>310</v>
      </c>
      <c r="D59" t="s">
        <v>472</v>
      </c>
      <c r="E59" t="s">
        <v>689</v>
      </c>
      <c r="F59" t="s">
        <v>689</v>
      </c>
      <c r="G59" t="s">
        <v>259</v>
      </c>
      <c r="H59" t="s">
        <v>669</v>
      </c>
      <c r="I59" t="s">
        <v>46</v>
      </c>
      <c r="J59" t="s">
        <v>689</v>
      </c>
      <c r="K59">
        <v>1</v>
      </c>
      <c r="L59">
        <v>1</v>
      </c>
      <c r="M59" t="s">
        <v>44</v>
      </c>
      <c r="N59">
        <v>1</v>
      </c>
      <c r="O59">
        <v>0</v>
      </c>
      <c r="P59">
        <v>0</v>
      </c>
      <c r="Q59" t="s">
        <v>689</v>
      </c>
      <c r="R59">
        <v>0</v>
      </c>
      <c r="S59">
        <v>0</v>
      </c>
      <c r="T59">
        <v>0</v>
      </c>
      <c r="U59" t="s">
        <v>689</v>
      </c>
      <c r="V59" t="s">
        <v>689</v>
      </c>
      <c r="W59" t="s">
        <v>689</v>
      </c>
      <c r="X59">
        <v>0</v>
      </c>
      <c r="Y59" t="s">
        <v>689</v>
      </c>
      <c r="Z59" t="s">
        <v>689</v>
      </c>
      <c r="AA59" t="s">
        <v>689</v>
      </c>
      <c r="AB59" t="s">
        <v>689</v>
      </c>
      <c r="AC59" t="s">
        <v>689</v>
      </c>
      <c r="AD59" t="s">
        <v>689</v>
      </c>
      <c r="AE59">
        <v>0</v>
      </c>
      <c r="AF59" t="s">
        <v>689</v>
      </c>
      <c r="AG59" t="s">
        <v>512</v>
      </c>
      <c r="AH59" t="s">
        <v>689</v>
      </c>
    </row>
    <row r="60" spans="1:34" x14ac:dyDescent="0.25">
      <c r="A60" t="s">
        <v>473</v>
      </c>
      <c r="B60" t="s">
        <v>474</v>
      </c>
      <c r="C60" t="s">
        <v>310</v>
      </c>
      <c r="D60" t="s">
        <v>311</v>
      </c>
      <c r="E60" t="s">
        <v>689</v>
      </c>
      <c r="F60" t="s">
        <v>689</v>
      </c>
      <c r="G60" t="s">
        <v>259</v>
      </c>
      <c r="H60" t="s">
        <v>670</v>
      </c>
      <c r="I60" t="s">
        <v>46</v>
      </c>
      <c r="J60" t="s">
        <v>689</v>
      </c>
      <c r="K60">
        <v>1</v>
      </c>
      <c r="L60">
        <v>1</v>
      </c>
      <c r="M60" t="s">
        <v>44</v>
      </c>
      <c r="N60">
        <v>1</v>
      </c>
      <c r="O60">
        <v>0</v>
      </c>
      <c r="P60">
        <v>0</v>
      </c>
      <c r="Q60" t="s">
        <v>689</v>
      </c>
      <c r="R60">
        <v>0</v>
      </c>
      <c r="S60">
        <v>0</v>
      </c>
      <c r="T60">
        <v>0</v>
      </c>
      <c r="U60" t="s">
        <v>689</v>
      </c>
      <c r="V60" t="s">
        <v>689</v>
      </c>
      <c r="W60" t="s">
        <v>689</v>
      </c>
      <c r="X60">
        <v>0</v>
      </c>
      <c r="Y60" t="s">
        <v>689</v>
      </c>
      <c r="Z60" t="s">
        <v>689</v>
      </c>
      <c r="AA60" t="s">
        <v>689</v>
      </c>
      <c r="AB60" t="s">
        <v>689</v>
      </c>
      <c r="AC60" t="s">
        <v>689</v>
      </c>
      <c r="AD60" t="s">
        <v>689</v>
      </c>
      <c r="AE60">
        <v>0</v>
      </c>
      <c r="AF60" t="s">
        <v>689</v>
      </c>
      <c r="AG60" t="s">
        <v>516</v>
      </c>
      <c r="AH60" t="s">
        <v>689</v>
      </c>
    </row>
    <row r="61" spans="1:34" x14ac:dyDescent="0.25">
      <c r="A61" t="s">
        <v>475</v>
      </c>
      <c r="B61" t="s">
        <v>476</v>
      </c>
      <c r="C61" t="s">
        <v>310</v>
      </c>
      <c r="D61" t="s">
        <v>311</v>
      </c>
      <c r="E61" t="s">
        <v>689</v>
      </c>
      <c r="F61" t="s">
        <v>689</v>
      </c>
      <c r="G61" t="s">
        <v>259</v>
      </c>
      <c r="H61" t="s">
        <v>671</v>
      </c>
      <c r="I61" t="s">
        <v>46</v>
      </c>
      <c r="J61" t="s">
        <v>689</v>
      </c>
      <c r="K61">
        <v>1</v>
      </c>
      <c r="L61">
        <v>1</v>
      </c>
      <c r="M61" t="s">
        <v>44</v>
      </c>
      <c r="N61">
        <v>1</v>
      </c>
      <c r="O61">
        <v>1</v>
      </c>
      <c r="P61">
        <v>1</v>
      </c>
      <c r="Q61" t="s">
        <v>689</v>
      </c>
      <c r="R61">
        <v>0</v>
      </c>
      <c r="S61">
        <v>0</v>
      </c>
      <c r="T61">
        <v>0</v>
      </c>
      <c r="U61" t="s">
        <v>689</v>
      </c>
      <c r="V61" t="s">
        <v>689</v>
      </c>
      <c r="W61" t="s">
        <v>689</v>
      </c>
      <c r="X61">
        <v>0</v>
      </c>
      <c r="Y61" t="s">
        <v>689</v>
      </c>
      <c r="Z61" t="s">
        <v>689</v>
      </c>
      <c r="AA61" t="s">
        <v>689</v>
      </c>
      <c r="AB61" t="s">
        <v>689</v>
      </c>
      <c r="AC61" t="s">
        <v>689</v>
      </c>
      <c r="AD61" t="s">
        <v>689</v>
      </c>
      <c r="AE61">
        <v>0</v>
      </c>
      <c r="AF61" t="s">
        <v>689</v>
      </c>
      <c r="AG61" t="s">
        <v>484</v>
      </c>
      <c r="AH61" t="s">
        <v>689</v>
      </c>
    </row>
    <row r="62" spans="1:34" x14ac:dyDescent="0.25">
      <c r="A62" t="s">
        <v>477</v>
      </c>
      <c r="B62" t="s">
        <v>478</v>
      </c>
      <c r="C62" t="s">
        <v>310</v>
      </c>
      <c r="D62" t="s">
        <v>311</v>
      </c>
      <c r="E62" t="s">
        <v>689</v>
      </c>
      <c r="F62" t="s">
        <v>689</v>
      </c>
      <c r="G62" t="s">
        <v>259</v>
      </c>
      <c r="H62" t="s">
        <v>672</v>
      </c>
      <c r="I62" t="s">
        <v>46</v>
      </c>
      <c r="J62" t="s">
        <v>689</v>
      </c>
      <c r="K62">
        <v>1</v>
      </c>
      <c r="L62">
        <v>1</v>
      </c>
      <c r="M62" t="s">
        <v>44</v>
      </c>
      <c r="N62">
        <v>1</v>
      </c>
      <c r="O62">
        <v>1</v>
      </c>
      <c r="P62">
        <v>1</v>
      </c>
      <c r="Q62" t="s">
        <v>689</v>
      </c>
      <c r="R62">
        <v>0</v>
      </c>
      <c r="S62">
        <v>0</v>
      </c>
      <c r="T62">
        <v>0</v>
      </c>
      <c r="U62" t="s">
        <v>689</v>
      </c>
      <c r="V62" t="s">
        <v>689</v>
      </c>
      <c r="W62" t="s">
        <v>689</v>
      </c>
      <c r="X62">
        <v>0</v>
      </c>
      <c r="Y62" t="s">
        <v>689</v>
      </c>
      <c r="Z62" t="s">
        <v>689</v>
      </c>
      <c r="AA62" t="s">
        <v>689</v>
      </c>
      <c r="AB62" t="s">
        <v>689</v>
      </c>
      <c r="AC62" t="s">
        <v>689</v>
      </c>
      <c r="AD62" t="s">
        <v>689</v>
      </c>
      <c r="AE62">
        <v>0</v>
      </c>
      <c r="AF62" t="s">
        <v>689</v>
      </c>
      <c r="AG62" t="s">
        <v>514</v>
      </c>
      <c r="AH62" t="s">
        <v>689</v>
      </c>
    </row>
    <row r="63" spans="1:34" x14ac:dyDescent="0.25">
      <c r="A63" t="s">
        <v>479</v>
      </c>
      <c r="B63" t="s">
        <v>480</v>
      </c>
      <c r="C63" t="s">
        <v>310</v>
      </c>
      <c r="D63" t="s">
        <v>311</v>
      </c>
      <c r="E63" t="s">
        <v>689</v>
      </c>
      <c r="F63" t="s">
        <v>689</v>
      </c>
      <c r="G63" t="s">
        <v>259</v>
      </c>
      <c r="H63" t="s">
        <v>673</v>
      </c>
      <c r="I63" t="s">
        <v>46</v>
      </c>
      <c r="J63" t="s">
        <v>689</v>
      </c>
      <c r="K63">
        <v>1</v>
      </c>
      <c r="L63">
        <v>1</v>
      </c>
      <c r="M63" t="s">
        <v>44</v>
      </c>
      <c r="N63">
        <v>0</v>
      </c>
      <c r="O63">
        <v>0</v>
      </c>
      <c r="P63">
        <v>0</v>
      </c>
      <c r="Q63" t="s">
        <v>689</v>
      </c>
      <c r="R63">
        <v>0</v>
      </c>
      <c r="S63">
        <v>0</v>
      </c>
      <c r="T63">
        <v>0</v>
      </c>
      <c r="U63" t="s">
        <v>689</v>
      </c>
      <c r="V63" t="s">
        <v>689</v>
      </c>
      <c r="W63" t="s">
        <v>689</v>
      </c>
      <c r="X63">
        <v>0</v>
      </c>
      <c r="Y63" t="s">
        <v>689</v>
      </c>
      <c r="Z63" t="s">
        <v>689</v>
      </c>
      <c r="AA63" t="s">
        <v>689</v>
      </c>
      <c r="AB63" t="s">
        <v>689</v>
      </c>
      <c r="AC63" t="s">
        <v>689</v>
      </c>
      <c r="AD63" t="s">
        <v>689</v>
      </c>
      <c r="AE63">
        <v>0</v>
      </c>
      <c r="AF63" t="s">
        <v>689</v>
      </c>
      <c r="AG63" t="s">
        <v>516</v>
      </c>
      <c r="AH63" t="s">
        <v>689</v>
      </c>
    </row>
    <row r="64" spans="1:34" x14ac:dyDescent="0.25">
      <c r="A64" t="s">
        <v>481</v>
      </c>
      <c r="B64" t="s">
        <v>482</v>
      </c>
      <c r="C64" t="s">
        <v>310</v>
      </c>
      <c r="D64" t="s">
        <v>483</v>
      </c>
      <c r="E64" t="s">
        <v>689</v>
      </c>
      <c r="F64" t="s">
        <v>689</v>
      </c>
      <c r="G64" t="s">
        <v>259</v>
      </c>
      <c r="H64" t="s">
        <v>674</v>
      </c>
      <c r="I64" t="s">
        <v>46</v>
      </c>
      <c r="J64" t="s">
        <v>689</v>
      </c>
      <c r="K64">
        <v>1</v>
      </c>
      <c r="L64">
        <v>1</v>
      </c>
      <c r="M64" t="s">
        <v>44</v>
      </c>
      <c r="N64">
        <v>1</v>
      </c>
      <c r="O64">
        <v>1</v>
      </c>
      <c r="P64">
        <v>1</v>
      </c>
      <c r="Q64" t="s">
        <v>689</v>
      </c>
      <c r="R64">
        <v>0</v>
      </c>
      <c r="S64">
        <v>0</v>
      </c>
      <c r="T64">
        <v>0</v>
      </c>
      <c r="U64" t="s">
        <v>689</v>
      </c>
      <c r="V64" t="s">
        <v>689</v>
      </c>
      <c r="W64" t="s">
        <v>689</v>
      </c>
      <c r="X64">
        <v>0</v>
      </c>
      <c r="Y64" t="s">
        <v>689</v>
      </c>
      <c r="Z64" t="s">
        <v>689</v>
      </c>
      <c r="AA64" t="s">
        <v>689</v>
      </c>
      <c r="AB64" t="s">
        <v>689</v>
      </c>
      <c r="AC64" t="s">
        <v>689</v>
      </c>
      <c r="AD64" t="s">
        <v>689</v>
      </c>
      <c r="AE64">
        <v>0</v>
      </c>
      <c r="AF64" t="s">
        <v>689</v>
      </c>
      <c r="AG64" t="s">
        <v>484</v>
      </c>
      <c r="AH64" t="s">
        <v>689</v>
      </c>
    </row>
    <row r="65" spans="1:34" ht="15.75" thickBot="1" x14ac:dyDescent="0.3">
      <c r="A65" s="348"/>
      <c r="B65" s="349"/>
      <c r="C65" s="349"/>
      <c r="D65" s="350"/>
      <c r="E65" s="349"/>
      <c r="F65" s="349"/>
      <c r="G65" s="350"/>
      <c r="H65" s="385"/>
      <c r="I65" s="495"/>
      <c r="J65" s="349"/>
      <c r="K65" s="347"/>
      <c r="L65" s="351"/>
      <c r="M65" s="352"/>
      <c r="N65" s="417"/>
      <c r="O65" s="418"/>
      <c r="P65" s="419"/>
      <c r="Q65" s="353"/>
      <c r="R65" s="354"/>
      <c r="S65" s="433"/>
      <c r="T65" s="434"/>
      <c r="U65" s="434"/>
      <c r="V65" s="434"/>
      <c r="W65" s="434"/>
      <c r="X65" s="435"/>
      <c r="Y65" s="355"/>
      <c r="Z65" s="428"/>
      <c r="AA65" s="429"/>
      <c r="AB65" s="429"/>
      <c r="AC65" s="429"/>
      <c r="AD65" s="429"/>
      <c r="AE65" s="430"/>
      <c r="AF65" s="356"/>
      <c r="AG65" s="356"/>
      <c r="AH65" s="357"/>
    </row>
    <row r="66" spans="1:34" x14ac:dyDescent="0.25">
      <c r="A66" s="558" t="s">
        <v>485</v>
      </c>
      <c r="B66" s="559"/>
      <c r="C66" s="559"/>
      <c r="D66" s="559"/>
      <c r="E66" s="559"/>
      <c r="F66" s="559"/>
      <c r="G66" s="559"/>
      <c r="H66" s="559"/>
      <c r="I66" s="559"/>
      <c r="J66" s="559"/>
      <c r="K66" s="559"/>
      <c r="L66" s="559"/>
      <c r="M66" s="559"/>
      <c r="N66" s="559"/>
      <c r="O66" s="559"/>
      <c r="P66" s="559"/>
      <c r="Q66" s="559"/>
      <c r="R66" s="559"/>
      <c r="S66" s="559"/>
      <c r="T66" s="559"/>
      <c r="U66" s="559"/>
      <c r="V66" s="559"/>
      <c r="W66" s="559"/>
      <c r="X66" s="559"/>
      <c r="Y66" s="559"/>
      <c r="Z66" s="559"/>
      <c r="AA66" s="559"/>
      <c r="AB66" s="559"/>
      <c r="AC66" s="559"/>
      <c r="AD66" s="559"/>
      <c r="AE66" s="559"/>
      <c r="AF66" s="559"/>
      <c r="AG66" s="559"/>
      <c r="AH66" s="560"/>
    </row>
    <row r="67" spans="1:34" ht="15.75" thickBot="1" x14ac:dyDescent="0.3">
      <c r="A67" s="561"/>
      <c r="B67" s="562"/>
      <c r="C67" s="562"/>
      <c r="D67" s="562"/>
      <c r="E67" s="562"/>
      <c r="F67" s="562"/>
      <c r="G67" s="562"/>
      <c r="H67" s="562"/>
      <c r="I67" s="562"/>
      <c r="J67" s="562"/>
      <c r="K67" s="562"/>
      <c r="L67" s="562"/>
      <c r="M67" s="562"/>
      <c r="N67" s="562"/>
      <c r="O67" s="562"/>
      <c r="P67" s="562"/>
      <c r="Q67" s="562"/>
      <c r="R67" s="562"/>
      <c r="S67" s="562"/>
      <c r="T67" s="562"/>
      <c r="U67" s="562"/>
      <c r="V67" s="562"/>
      <c r="W67" s="562"/>
      <c r="X67" s="562"/>
      <c r="Y67" s="562"/>
      <c r="Z67" s="562"/>
      <c r="AA67" s="562"/>
      <c r="AB67" s="562"/>
      <c r="AC67" s="562"/>
      <c r="AD67" s="562"/>
      <c r="AE67" s="562"/>
      <c r="AF67" s="562"/>
      <c r="AG67" s="562"/>
      <c r="AH67" s="563"/>
    </row>
    <row r="68" spans="1:34" ht="19.5" thickBot="1" x14ac:dyDescent="0.3">
      <c r="A68" s="567" t="s">
        <v>302</v>
      </c>
      <c r="B68" s="568"/>
      <c r="C68" s="568"/>
      <c r="D68" s="568"/>
      <c r="E68" s="568"/>
      <c r="F68" s="568"/>
      <c r="G68" s="568"/>
      <c r="H68" s="568"/>
      <c r="I68" s="568"/>
      <c r="J68" s="569"/>
      <c r="K68" s="369">
        <f>SUM(K6:K65)</f>
        <v>58</v>
      </c>
      <c r="L68" s="369">
        <f>SUM(L6:L65)</f>
        <v>85</v>
      </c>
      <c r="M68" s="370"/>
      <c r="N68" s="420">
        <f>SUMPRODUCT(K6:K65,N6:N65)/K68</f>
        <v>0.98275862068965514</v>
      </c>
      <c r="O68" s="421">
        <f>SUM(O6:O65)</f>
        <v>82</v>
      </c>
      <c r="P68" s="422">
        <f>SUMPRODUCT(K6:K65,P6:P65)/K68</f>
        <v>0.94827586206896552</v>
      </c>
      <c r="Q68" s="371"/>
      <c r="R68" s="372">
        <f t="shared" ref="R68:W68" si="1">SUM(R6:R65)</f>
        <v>78</v>
      </c>
      <c r="S68" s="423">
        <f t="shared" si="1"/>
        <v>78</v>
      </c>
      <c r="T68" s="423">
        <f t="shared" si="1"/>
        <v>78</v>
      </c>
      <c r="U68" s="372">
        <f t="shared" si="1"/>
        <v>0</v>
      </c>
      <c r="V68" s="372">
        <f t="shared" si="1"/>
        <v>0</v>
      </c>
      <c r="W68" s="372">
        <f t="shared" si="1"/>
        <v>0</v>
      </c>
      <c r="X68" s="424">
        <f>IF((S68=0),0,((T68+U68)/S68*100%))</f>
        <v>1</v>
      </c>
      <c r="Y68" s="373"/>
      <c r="Z68" s="425">
        <f>SUM(Z6:Z65)</f>
        <v>0</v>
      </c>
      <c r="AA68" s="426">
        <f>SUM(AA6:AA65)</f>
        <v>0</v>
      </c>
      <c r="AB68" s="426">
        <f>SUM(AB6:AB65)</f>
        <v>0</v>
      </c>
      <c r="AC68" s="426">
        <f>SUM(AC6:AC65)</f>
        <v>0</v>
      </c>
      <c r="AD68" s="426">
        <f>SUM(AD6:AD65)</f>
        <v>0</v>
      </c>
      <c r="AE68" s="427">
        <f>IF((Z68=0),0,((AA68+AB68)/Z68*100%))</f>
        <v>0</v>
      </c>
      <c r="AF68" s="374"/>
      <c r="AG68" s="374"/>
      <c r="AH68" s="375"/>
    </row>
    <row r="70" spans="1:34" x14ac:dyDescent="0.25">
      <c r="L70" s="170" t="s">
        <v>486</v>
      </c>
    </row>
    <row r="207" spans="1:34" s="172" customFormat="1" x14ac:dyDescent="0.25">
      <c r="A207" s="173"/>
      <c r="B207" s="170"/>
      <c r="C207" s="170"/>
      <c r="D207" s="174"/>
      <c r="E207" s="170"/>
      <c r="F207" s="170"/>
      <c r="G207" s="170"/>
      <c r="H207" s="174"/>
      <c r="I207" s="174"/>
      <c r="J207" s="170"/>
      <c r="K207" s="170"/>
      <c r="L207" s="170"/>
      <c r="M207" s="170"/>
      <c r="N207" s="170"/>
      <c r="O207" s="170"/>
      <c r="P207" s="170"/>
      <c r="Q207" s="170"/>
      <c r="R207" s="176"/>
      <c r="S207" s="176"/>
      <c r="T207" s="175"/>
      <c r="U207" s="175"/>
      <c r="V207" s="175"/>
      <c r="W207" s="175"/>
      <c r="X207" s="175"/>
      <c r="Y207" s="176"/>
      <c r="Z207" s="176"/>
      <c r="AA207" s="175"/>
      <c r="AB207" s="175"/>
      <c r="AC207" s="175"/>
      <c r="AD207" s="175"/>
      <c r="AE207" s="175"/>
      <c r="AF207" s="170"/>
      <c r="AG207" s="170"/>
      <c r="AH207" s="170"/>
    </row>
    <row r="240" spans="1:34" s="172" customFormat="1" x14ac:dyDescent="0.25">
      <c r="A240" s="173"/>
      <c r="B240" s="170"/>
      <c r="C240" s="170"/>
      <c r="D240" s="174"/>
      <c r="E240" s="170"/>
      <c r="F240" s="170"/>
      <c r="G240" s="170"/>
      <c r="H240" s="174"/>
      <c r="I240" s="174"/>
      <c r="J240" s="170"/>
      <c r="K240" s="170"/>
      <c r="L240" s="170"/>
      <c r="M240" s="170"/>
      <c r="N240" s="170"/>
      <c r="O240" s="170"/>
      <c r="P240" s="170"/>
      <c r="Q240" s="170"/>
      <c r="R240" s="176"/>
      <c r="S240" s="176"/>
      <c r="T240" s="175"/>
      <c r="U240" s="175"/>
      <c r="V240" s="175"/>
      <c r="W240" s="175"/>
      <c r="X240" s="175"/>
      <c r="Y240" s="176"/>
      <c r="Z240" s="176"/>
      <c r="AA240" s="175"/>
      <c r="AB240" s="175"/>
      <c r="AC240" s="175"/>
      <c r="AD240" s="175"/>
      <c r="AE240" s="175"/>
      <c r="AF240" s="170"/>
      <c r="AG240" s="170"/>
      <c r="AH240" s="170"/>
    </row>
  </sheetData>
  <sheetProtection insertColumns="0" insertRows="0" deleteRows="0" sort="0"/>
  <autoFilter ref="A5:AH68" xr:uid="{00000000-0009-0000-0000-000002000000}"/>
  <mergeCells count="9">
    <mergeCell ref="A66:AH67"/>
    <mergeCell ref="A1:AH1"/>
    <mergeCell ref="A3:AH3"/>
    <mergeCell ref="A2:J2"/>
    <mergeCell ref="A68:J68"/>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Q65</xm:sqref>
        </x14:dataValidation>
        <x14:dataValidation type="list" allowBlank="1" showInputMessage="1" showErrorMessage="1" xr:uid="{237AC15D-702E-46B4-89E7-DAB1EF5DAEB1}">
          <x14:formula1>
            <xm:f>'List Options'!$E$1:$E$7</xm:f>
          </x14:formula1>
          <xm:sqref>Q6:Q64</xm:sqref>
        </x14:dataValidation>
        <x14:dataValidation type="list" allowBlank="1" showInputMessage="1" showErrorMessage="1" xr:uid="{5513F172-4253-4807-A8CE-34D720193895}">
          <x14:formula1>
            <xm:f>'List Options'!$G$1:$G$3</xm:f>
          </x14:formula1>
          <xm:sqref>M65</xm:sqref>
        </x14:dataValidation>
        <x14:dataValidation type="list" allowBlank="1" showInputMessage="1" showErrorMessage="1" xr:uid="{8B92A7F6-7ABF-446A-A0A1-23D59ABEAA7C}">
          <x14:formula1>
            <xm:f>'List Options'!$K$1:$K$6</xm:f>
          </x14:formula1>
          <xm:sqref>I6:I65</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61"/>
  <sheetViews>
    <sheetView workbookViewId="0">
      <pane ySplit="2" topLeftCell="A50" activePane="bottomLeft" state="frozen"/>
      <selection pane="bottomLeft" activeCell="E61" sqref="E61"/>
    </sheetView>
  </sheetViews>
  <sheetFormatPr defaultRowHeight="15" x14ac:dyDescent="0.25"/>
  <cols>
    <col min="1" max="1" width="16.85546875" bestFit="1" customWidth="1"/>
    <col min="2" max="2" width="66.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591" t="s">
        <v>487</v>
      </c>
      <c r="B1" s="592"/>
      <c r="C1" s="592"/>
      <c r="D1" s="592"/>
      <c r="E1" s="592"/>
      <c r="F1" s="592"/>
      <c r="G1" s="592"/>
      <c r="H1" s="592"/>
      <c r="I1" s="593"/>
    </row>
    <row r="2" spans="1:9" s="79" customFormat="1" ht="15.75" thickBot="1" x14ac:dyDescent="0.3">
      <c r="A2" s="378" t="s">
        <v>77</v>
      </c>
      <c r="B2" s="379" t="s">
        <v>81</v>
      </c>
      <c r="C2" s="380" t="s">
        <v>96</v>
      </c>
      <c r="D2" s="380" t="s">
        <v>202</v>
      </c>
      <c r="E2" s="381" t="s">
        <v>1</v>
      </c>
    </row>
    <row r="3" spans="1:9" ht="15.75" thickBot="1" x14ac:dyDescent="0.3">
      <c r="A3" s="496" t="s">
        <v>308</v>
      </c>
      <c r="B3" s="497" t="str">
        <f>'[1]Diags Raw Data'!B6</f>
        <v>APIC Timers</v>
      </c>
      <c r="C3" s="498" t="s">
        <v>259</v>
      </c>
      <c r="D3" s="467" t="s">
        <v>34</v>
      </c>
      <c r="E3" s="469" t="s">
        <v>33</v>
      </c>
      <c r="G3" s="289" t="s">
        <v>77</v>
      </c>
      <c r="H3" s="290" t="s">
        <v>488</v>
      </c>
      <c r="I3" s="463">
        <f>COUNTA(A3:A3951)</f>
        <v>59</v>
      </c>
    </row>
    <row r="4" spans="1:9" ht="15.75" thickBot="1" x14ac:dyDescent="0.3">
      <c r="A4" s="496" t="s">
        <v>314</v>
      </c>
      <c r="B4" s="497" t="str">
        <f>'[1]Diags Raw Data'!B7</f>
        <v>Arbitrated Interrupt Delivery Enhancements</v>
      </c>
      <c r="C4" s="499" t="s">
        <v>280</v>
      </c>
      <c r="D4" s="468" t="s">
        <v>34</v>
      </c>
      <c r="E4" s="469" t="s">
        <v>33</v>
      </c>
      <c r="G4" s="583" t="s">
        <v>96</v>
      </c>
      <c r="H4" s="291" t="s">
        <v>489</v>
      </c>
      <c r="I4" s="464">
        <f>COUNTIFS($C3:$C3947,"P1")</f>
        <v>38</v>
      </c>
    </row>
    <row r="5" spans="1:9" ht="15.75" thickBot="1" x14ac:dyDescent="0.3">
      <c r="A5" s="496" t="s">
        <v>318</v>
      </c>
      <c r="B5" s="497" t="str">
        <f>'[1]Diags Raw Data'!B8</f>
        <v>Bus Locks</v>
      </c>
      <c r="C5" s="499" t="s">
        <v>259</v>
      </c>
      <c r="D5" s="468" t="s">
        <v>34</v>
      </c>
      <c r="E5" s="469" t="s">
        <v>33</v>
      </c>
      <c r="G5" s="584"/>
      <c r="H5" s="292" t="s">
        <v>490</v>
      </c>
      <c r="I5" s="465">
        <f>COUNTIFS($C3:$C3947,"P2")</f>
        <v>13</v>
      </c>
    </row>
    <row r="6" spans="1:9" ht="15.75" thickBot="1" x14ac:dyDescent="0.3">
      <c r="A6" s="496" t="s">
        <v>318</v>
      </c>
      <c r="B6" s="497" t="str">
        <f>'[1]Diags Raw Data'!B9</f>
        <v>Bus Locks</v>
      </c>
      <c r="C6" s="499" t="s">
        <v>259</v>
      </c>
      <c r="D6" s="468" t="s">
        <v>34</v>
      </c>
      <c r="E6" s="469" t="s">
        <v>33</v>
      </c>
      <c r="G6" s="585"/>
      <c r="H6" s="293" t="s">
        <v>491</v>
      </c>
      <c r="I6" s="466">
        <f>COUNTIFS($C3:$C3947,"P3")</f>
        <v>8</v>
      </c>
    </row>
    <row r="7" spans="1:9" ht="15.75" thickBot="1" x14ac:dyDescent="0.3">
      <c r="A7" s="496" t="s">
        <v>318</v>
      </c>
      <c r="B7" s="497" t="str">
        <f>'[1]Diags Raw Data'!B10</f>
        <v>Bus Locks</v>
      </c>
      <c r="C7" s="499" t="s">
        <v>259</v>
      </c>
      <c r="D7" s="468" t="s">
        <v>34</v>
      </c>
      <c r="E7" s="469" t="s">
        <v>33</v>
      </c>
      <c r="G7" s="586" t="s">
        <v>202</v>
      </c>
      <c r="H7" s="291" t="s">
        <v>492</v>
      </c>
      <c r="I7" s="464">
        <f>COUNTIFS($D3:$D3947,"Diagnostics")</f>
        <v>59</v>
      </c>
    </row>
    <row r="8" spans="1:9" ht="15.75" thickBot="1" x14ac:dyDescent="0.3">
      <c r="A8" s="496" t="s">
        <v>318</v>
      </c>
      <c r="B8" s="497" t="str">
        <f>'[1]Diags Raw Data'!B11</f>
        <v>Bus Locks</v>
      </c>
      <c r="C8" s="499" t="s">
        <v>259</v>
      </c>
      <c r="D8" s="468" t="s">
        <v>34</v>
      </c>
      <c r="E8" s="469" t="s">
        <v>33</v>
      </c>
      <c r="G8" s="587"/>
      <c r="H8" s="292" t="s">
        <v>493</v>
      </c>
      <c r="I8" s="465">
        <f>COUNTIFS($D3:$D3947,"Driver")</f>
        <v>0</v>
      </c>
    </row>
    <row r="9" spans="1:9" ht="15.75" thickBot="1" x14ac:dyDescent="0.3">
      <c r="A9" s="496" t="s">
        <v>330</v>
      </c>
      <c r="B9" s="497" t="str">
        <f>'[1]Diags Raw Data'!B12</f>
        <v xml:space="preserve">Byte Enable Writes </v>
      </c>
      <c r="C9" s="499" t="s">
        <v>259</v>
      </c>
      <c r="D9" s="468" t="s">
        <v>34</v>
      </c>
      <c r="E9" s="469" t="s">
        <v>33</v>
      </c>
      <c r="G9" s="587"/>
      <c r="H9" s="292" t="s">
        <v>494</v>
      </c>
      <c r="I9" s="465">
        <f>COUNTIFS($D3:$D3947,"IPSE")</f>
        <v>0</v>
      </c>
    </row>
    <row r="10" spans="1:9" ht="15.75" thickBot="1" x14ac:dyDescent="0.3">
      <c r="A10" s="496" t="s">
        <v>334</v>
      </c>
      <c r="B10" s="497" t="str">
        <f>'[1]Diags Raw Data'!B13</f>
        <v>CCM Ordering</v>
      </c>
      <c r="C10" s="499" t="s">
        <v>284</v>
      </c>
      <c r="D10" s="468" t="s">
        <v>34</v>
      </c>
      <c r="E10" s="469" t="s">
        <v>33</v>
      </c>
      <c r="G10" s="588"/>
      <c r="H10" s="293" t="s">
        <v>495</v>
      </c>
      <c r="I10" s="466">
        <f>COUNTIFS($D3:$D3947,"N/A")</f>
        <v>0</v>
      </c>
    </row>
    <row r="11" spans="1:9" ht="15.75" thickBot="1" x14ac:dyDescent="0.3">
      <c r="A11" s="496" t="s">
        <v>339</v>
      </c>
      <c r="B11" s="497" t="str">
        <f>'[1]Diags Raw Data'!B14</f>
        <v xml:space="preserve">CCM Bypasses </v>
      </c>
      <c r="C11" s="499" t="s">
        <v>280</v>
      </c>
      <c r="D11" s="468" t="s">
        <v>34</v>
      </c>
      <c r="E11" s="469" t="s">
        <v>33</v>
      </c>
      <c r="G11" s="586" t="s">
        <v>1</v>
      </c>
      <c r="H11" s="291" t="s">
        <v>496</v>
      </c>
      <c r="I11" s="464">
        <f>COUNTIFS($E3:$E3947,"Legacy")</f>
        <v>45</v>
      </c>
    </row>
    <row r="12" spans="1:9" ht="15.75" thickBot="1" x14ac:dyDescent="0.3">
      <c r="A12" s="496" t="s">
        <v>342</v>
      </c>
      <c r="B12" s="497" t="str">
        <f>'[1]Diags Raw Data'!B15</f>
        <v>CF8/CFC</v>
      </c>
      <c r="C12" s="499" t="s">
        <v>259</v>
      </c>
      <c r="D12" s="468" t="s">
        <v>34</v>
      </c>
      <c r="E12" s="469" t="s">
        <v>33</v>
      </c>
      <c r="G12" s="587"/>
      <c r="H12" s="292" t="s">
        <v>497</v>
      </c>
      <c r="I12" s="465">
        <f>COUNTIFS($E3:$E3947,"Delta")</f>
        <v>0</v>
      </c>
    </row>
    <row r="13" spans="1:9" ht="15.75" thickBot="1" x14ac:dyDescent="0.3">
      <c r="A13" s="496" t="s">
        <v>346</v>
      </c>
      <c r="B13" s="497" t="str">
        <f>'[1]Diags Raw Data'!B16</f>
        <v>CPU Downcoring</v>
      </c>
      <c r="C13" s="499" t="s">
        <v>259</v>
      </c>
      <c r="D13" s="468" t="s">
        <v>34</v>
      </c>
      <c r="E13" s="469" t="s">
        <v>33</v>
      </c>
      <c r="G13" s="588"/>
      <c r="H13" s="293" t="s">
        <v>498</v>
      </c>
      <c r="I13" s="466">
        <f>COUNTIFS($E3:$E3947,"New")</f>
        <v>14</v>
      </c>
    </row>
    <row r="14" spans="1:9" ht="15.75" thickBot="1" x14ac:dyDescent="0.3">
      <c r="A14" s="496" t="s">
        <v>350</v>
      </c>
      <c r="B14" s="497" t="str">
        <f>'[1]Diags Raw Data'!B17</f>
        <v xml:space="preserve">CPU Lone Potato/Lightly Loaded </v>
      </c>
      <c r="C14" s="499" t="s">
        <v>259</v>
      </c>
      <c r="D14" s="468" t="s">
        <v>34</v>
      </c>
      <c r="E14" s="469" t="s">
        <v>33</v>
      </c>
      <c r="G14" s="382" t="s">
        <v>207</v>
      </c>
      <c r="H14" s="589"/>
      <c r="I14" s="590"/>
    </row>
    <row r="15" spans="1:9" ht="15.75" thickBot="1" x14ac:dyDescent="0.3">
      <c r="A15" s="496" t="s">
        <v>353</v>
      </c>
      <c r="B15" s="497" t="str">
        <f>'[1]Diags Raw Data'!B18</f>
        <v>CS Read-to-Read Forwarding</v>
      </c>
      <c r="C15" s="499" t="s">
        <v>284</v>
      </c>
      <c r="D15" s="468" t="s">
        <v>34</v>
      </c>
      <c r="E15" s="469" t="s">
        <v>33</v>
      </c>
    </row>
    <row r="16" spans="1:9" ht="15.75" thickBot="1" x14ac:dyDescent="0.3">
      <c r="A16" s="496" t="s">
        <v>357</v>
      </c>
      <c r="B16" s="497" t="str">
        <f>'[1]Diags Raw Data'!B19</f>
        <v>CS Write Combining</v>
      </c>
      <c r="C16" s="499" t="s">
        <v>280</v>
      </c>
      <c r="D16" s="468" t="s">
        <v>34</v>
      </c>
      <c r="E16" s="469" t="s">
        <v>33</v>
      </c>
    </row>
    <row r="17" spans="1:5" ht="15.75" thickBot="1" x14ac:dyDescent="0.3">
      <c r="A17" s="496" t="s">
        <v>360</v>
      </c>
      <c r="B17" s="497" t="str">
        <f>'[1]Diags Raw Data'!B20</f>
        <v>CS Write-to-Read Forwarding</v>
      </c>
      <c r="C17" s="499" t="s">
        <v>259</v>
      </c>
      <c r="D17" s="468" t="s">
        <v>34</v>
      </c>
      <c r="E17" s="469" t="s">
        <v>33</v>
      </c>
    </row>
    <row r="18" spans="1:5" ht="15.75" thickBot="1" x14ac:dyDescent="0.3">
      <c r="A18" s="496" t="s">
        <v>362</v>
      </c>
      <c r="B18" s="497" t="str">
        <f>'[1]Diags Raw Data'!B21</f>
        <v xml:space="preserve">CS-UMC Cancels </v>
      </c>
      <c r="C18" s="499" t="s">
        <v>284</v>
      </c>
      <c r="D18" s="468" t="s">
        <v>34</v>
      </c>
      <c r="E18" s="469" t="s">
        <v>33</v>
      </c>
    </row>
    <row r="19" spans="1:5" ht="15.75" thickBot="1" x14ac:dyDescent="0.3">
      <c r="A19" s="496" t="s">
        <v>364</v>
      </c>
      <c r="B19" s="497" t="str">
        <f>'[1]Diags Raw Data'!B22</f>
        <v>Coherent Slave Bypasses</v>
      </c>
      <c r="C19" s="499" t="s">
        <v>259</v>
      </c>
      <c r="D19" s="468" t="s">
        <v>34</v>
      </c>
      <c r="E19" s="469" t="s">
        <v>33</v>
      </c>
    </row>
    <row r="20" spans="1:5" ht="15.75" thickBot="1" x14ac:dyDescent="0.3">
      <c r="A20" s="496" t="s">
        <v>366</v>
      </c>
      <c r="B20" s="497" t="str">
        <f>'[1]Diags Raw Data'!B23</f>
        <v>Coherency</v>
      </c>
      <c r="C20" s="499" t="s">
        <v>259</v>
      </c>
      <c r="D20" s="468" t="s">
        <v>34</v>
      </c>
      <c r="E20" s="469" t="s">
        <v>33</v>
      </c>
    </row>
    <row r="21" spans="1:5" ht="15.75" thickBot="1" x14ac:dyDescent="0.3">
      <c r="A21" s="496" t="s">
        <v>370</v>
      </c>
      <c r="B21" s="497" t="str">
        <f>'[1]Diags Raw Data'!B24</f>
        <v>DF P-states</v>
      </c>
      <c r="C21" s="499" t="s">
        <v>259</v>
      </c>
      <c r="D21" s="468" t="s">
        <v>34</v>
      </c>
      <c r="E21" s="469" t="s">
        <v>33</v>
      </c>
    </row>
    <row r="22" spans="1:5" ht="15.75" thickBot="1" x14ac:dyDescent="0.3">
      <c r="A22" s="496" t="s">
        <v>374</v>
      </c>
      <c r="B22" s="497" t="str">
        <f>'[1]Diags Raw Data'!B25</f>
        <v>I/O and Graphic Atomics</v>
      </c>
      <c r="C22" s="499" t="s">
        <v>259</v>
      </c>
      <c r="D22" s="468" t="s">
        <v>34</v>
      </c>
      <c r="E22" s="469" t="s">
        <v>33</v>
      </c>
    </row>
    <row r="23" spans="1:5" ht="15.75" thickBot="1" x14ac:dyDescent="0.3">
      <c r="A23" s="496" t="s">
        <v>378</v>
      </c>
      <c r="B23" s="497" t="str">
        <f>'[1]Diags Raw Data'!B26</f>
        <v>IOM Ordering</v>
      </c>
      <c r="C23" s="499" t="s">
        <v>280</v>
      </c>
      <c r="D23" s="468" t="s">
        <v>34</v>
      </c>
      <c r="E23" s="469" t="s">
        <v>33</v>
      </c>
    </row>
    <row r="24" spans="1:5" ht="15.75" thickBot="1" x14ac:dyDescent="0.3">
      <c r="A24" s="496" t="s">
        <v>382</v>
      </c>
      <c r="B24" s="497" t="str">
        <f>'[1]Diags Raw Data'!B27</f>
        <v xml:space="preserve">Interrupt Delivery Through SMN </v>
      </c>
      <c r="C24" s="499" t="s">
        <v>284</v>
      </c>
      <c r="D24" s="468" t="s">
        <v>34</v>
      </c>
      <c r="E24" s="469" t="s">
        <v>33</v>
      </c>
    </row>
    <row r="25" spans="1:5" ht="15.75" thickBot="1" x14ac:dyDescent="0.3">
      <c r="A25" s="496" t="s">
        <v>386</v>
      </c>
      <c r="B25" s="497" t="str">
        <f>'[1]Diags Raw Data'!B28</f>
        <v>Large Reads</v>
      </c>
      <c r="C25" s="499" t="s">
        <v>259</v>
      </c>
      <c r="D25" s="468" t="s">
        <v>34</v>
      </c>
      <c r="E25" s="469" t="s">
        <v>33</v>
      </c>
    </row>
    <row r="26" spans="1:5" ht="15.75" thickBot="1" x14ac:dyDescent="0.3">
      <c r="A26" s="496" t="s">
        <v>389</v>
      </c>
      <c r="B26" s="497" t="str">
        <f>'[1]Diags Raw Data'!B29</f>
        <v xml:space="preserve">MemCancels </v>
      </c>
      <c r="C26" s="499" t="s">
        <v>284</v>
      </c>
      <c r="D26" s="468" t="s">
        <v>34</v>
      </c>
      <c r="E26" s="469" t="s">
        <v>33</v>
      </c>
    </row>
    <row r="27" spans="1:5" ht="15.75" thickBot="1" x14ac:dyDescent="0.3">
      <c r="A27" s="496" t="s">
        <v>391</v>
      </c>
      <c r="B27" s="497" t="str">
        <f>'[1]Diags Raw Data'!B30</f>
        <v xml:space="preserve">Multiple TCDX Pickers </v>
      </c>
      <c r="C27" s="499" t="s">
        <v>259</v>
      </c>
      <c r="D27" s="468" t="s">
        <v>34</v>
      </c>
      <c r="E27" s="469" t="s">
        <v>33</v>
      </c>
    </row>
    <row r="28" spans="1:5" ht="15.75" thickBot="1" x14ac:dyDescent="0.3">
      <c r="A28" s="496" t="s">
        <v>393</v>
      </c>
      <c r="B28" s="497" t="str">
        <f>'[1]Diags Raw Data'!B31</f>
        <v>PCI IO/Configuration Splitting</v>
      </c>
      <c r="C28" s="499" t="s">
        <v>284</v>
      </c>
      <c r="D28" s="468" t="s">
        <v>34</v>
      </c>
      <c r="E28" s="469" t="s">
        <v>33</v>
      </c>
    </row>
    <row r="29" spans="1:5" ht="15.75" thickBot="1" x14ac:dyDescent="0.3">
      <c r="A29" s="496" t="s">
        <v>397</v>
      </c>
      <c r="B29" s="497" t="str">
        <f>'[1]Diags Raw Data'!B32</f>
        <v>Performance Monitors</v>
      </c>
      <c r="C29" s="499" t="s">
        <v>280</v>
      </c>
      <c r="D29" s="468" t="s">
        <v>34</v>
      </c>
      <c r="E29" s="469" t="s">
        <v>33</v>
      </c>
    </row>
    <row r="30" spans="1:5" ht="15.75" thickBot="1" x14ac:dyDescent="0.3">
      <c r="A30" s="496" t="s">
        <v>400</v>
      </c>
      <c r="B30" s="497" t="str">
        <f>'[1]Diags Raw Data'!B33</f>
        <v>Power Gate During DF C-states</v>
      </c>
      <c r="C30" s="499" t="s">
        <v>280</v>
      </c>
      <c r="D30" s="468" t="s">
        <v>34</v>
      </c>
      <c r="E30" s="469" t="s">
        <v>33</v>
      </c>
    </row>
    <row r="31" spans="1:5" ht="15.75" thickBot="1" x14ac:dyDescent="0.3">
      <c r="A31" s="496" t="s">
        <v>402</v>
      </c>
      <c r="B31" s="497" t="str">
        <f>'[1]Diags Raw Data'!B34</f>
        <v xml:space="preserve">Priority Pickers </v>
      </c>
      <c r="C31" s="499" t="s">
        <v>259</v>
      </c>
      <c r="D31" s="468" t="s">
        <v>34</v>
      </c>
      <c r="E31" s="469" t="s">
        <v>33</v>
      </c>
    </row>
    <row r="32" spans="1:5" ht="15.75" thickBot="1" x14ac:dyDescent="0.3">
      <c r="A32" s="496" t="s">
        <v>405</v>
      </c>
      <c r="B32" s="497" t="str">
        <f>'[1]Diags Raw Data'!B35</f>
        <v>Request Limiters</v>
      </c>
      <c r="C32" s="499" t="s">
        <v>280</v>
      </c>
      <c r="D32" s="468" t="s">
        <v>34</v>
      </c>
      <c r="E32" s="469" t="s">
        <v>33</v>
      </c>
    </row>
    <row r="33" spans="1:5" ht="15.75" thickBot="1" x14ac:dyDescent="0.3">
      <c r="A33" s="496" t="s">
        <v>409</v>
      </c>
      <c r="B33" s="497" t="str">
        <f>'[1]Diags Raw Data'!B36</f>
        <v xml:space="preserve">TCDX Bypass </v>
      </c>
      <c r="C33" s="499" t="s">
        <v>259</v>
      </c>
      <c r="D33" s="468" t="s">
        <v>34</v>
      </c>
      <c r="E33" s="469" t="s">
        <v>33</v>
      </c>
    </row>
    <row r="34" spans="1:5" ht="15.75" thickBot="1" x14ac:dyDescent="0.3">
      <c r="A34" s="496" t="s">
        <v>411</v>
      </c>
      <c r="B34" s="497" t="str">
        <f>'[1]Diags Raw Data'!B37</f>
        <v>Trusted Memory Regions</v>
      </c>
      <c r="C34" s="499" t="s">
        <v>280</v>
      </c>
      <c r="D34" s="468" t="s">
        <v>34</v>
      </c>
      <c r="E34" s="469" t="s">
        <v>33</v>
      </c>
    </row>
    <row r="35" spans="1:5" ht="15.75" thickBot="1" x14ac:dyDescent="0.3">
      <c r="A35" s="496" t="s">
        <v>416</v>
      </c>
      <c r="B35" s="497" t="str">
        <f>'[1]Diags Raw Data'!B38</f>
        <v xml:space="preserve">Virtual Channels </v>
      </c>
      <c r="C35" s="499" t="s">
        <v>259</v>
      </c>
      <c r="D35" s="468" t="s">
        <v>34</v>
      </c>
      <c r="E35" s="469" t="s">
        <v>33</v>
      </c>
    </row>
    <row r="36" spans="1:5" ht="15.75" thickBot="1" x14ac:dyDescent="0.3">
      <c r="A36" s="496" t="s">
        <v>418</v>
      </c>
      <c r="B36" s="497" t="str">
        <f>'[1]Diags Raw Data'!B39</f>
        <v>Zero Data Compression</v>
      </c>
      <c r="C36" s="499" t="s">
        <v>259</v>
      </c>
      <c r="D36" s="468" t="s">
        <v>34</v>
      </c>
      <c r="E36" s="469" t="s">
        <v>33</v>
      </c>
    </row>
    <row r="37" spans="1:5" ht="15.75" thickBot="1" x14ac:dyDescent="0.3">
      <c r="A37" s="496" t="s">
        <v>422</v>
      </c>
      <c r="B37" s="497" t="str">
        <f>'[1]Diags Raw Data'!B40</f>
        <v>Save/Restore scoreboard</v>
      </c>
      <c r="C37" s="499" t="s">
        <v>259</v>
      </c>
      <c r="D37" s="468" t="s">
        <v>34</v>
      </c>
      <c r="E37" s="469" t="s">
        <v>33</v>
      </c>
    </row>
    <row r="38" spans="1:5" ht="15.75" thickBot="1" x14ac:dyDescent="0.3">
      <c r="A38" s="496" t="s">
        <v>425</v>
      </c>
      <c r="B38" s="497" t="str">
        <f>'[1]Diags Raw Data'!B41</f>
        <v>DF_C_State</v>
      </c>
      <c r="C38" s="499" t="s">
        <v>284</v>
      </c>
      <c r="D38" s="468" t="s">
        <v>34</v>
      </c>
      <c r="E38" s="469" t="s">
        <v>33</v>
      </c>
    </row>
    <row r="39" spans="1:5" ht="15.75" thickBot="1" x14ac:dyDescent="0.3">
      <c r="A39" s="496" t="s">
        <v>428</v>
      </c>
      <c r="B39" s="497" t="str">
        <f>'[1]Diags Raw Data'!B42</f>
        <v>TMR FMR Common region</v>
      </c>
      <c r="C39" s="499" t="s">
        <v>259</v>
      </c>
      <c r="D39" s="468" t="s">
        <v>34</v>
      </c>
      <c r="E39" s="469" t="s">
        <v>33</v>
      </c>
    </row>
    <row r="40" spans="1:5" ht="15.75" thickBot="1" x14ac:dyDescent="0.3">
      <c r="A40" s="496" t="s">
        <v>430</v>
      </c>
      <c r="B40" s="497" t="str">
        <f>'[1]Diags Raw Data'!B43</f>
        <v>Master Abort</v>
      </c>
      <c r="C40" s="499" t="s">
        <v>284</v>
      </c>
      <c r="D40" s="468" t="s">
        <v>34</v>
      </c>
      <c r="E40" s="469" t="s">
        <v>33</v>
      </c>
    </row>
    <row r="41" spans="1:5" ht="15.75" thickBot="1" x14ac:dyDescent="0.3">
      <c r="A41" s="496" t="s">
        <v>432</v>
      </c>
      <c r="B41" s="497" t="str">
        <f>'[1]Diags Raw Data'!B44</f>
        <v>Extended Save restore APIC</v>
      </c>
      <c r="C41" s="499" t="s">
        <v>259</v>
      </c>
      <c r="D41" s="468" t="s">
        <v>34</v>
      </c>
      <c r="E41" s="469" t="s">
        <v>33</v>
      </c>
    </row>
    <row r="42" spans="1:5" ht="15.75" thickBot="1" x14ac:dyDescent="0.3">
      <c r="A42" s="496" t="s">
        <v>435</v>
      </c>
      <c r="B42" s="497" t="str">
        <f>'[1]Diags Raw Data'!B45</f>
        <v>DF_SpecialSysFunctionFabricID_Check</v>
      </c>
      <c r="C42" s="499" t="s">
        <v>259</v>
      </c>
      <c r="D42" s="468" t="s">
        <v>34</v>
      </c>
      <c r="E42" s="469" t="s">
        <v>33</v>
      </c>
    </row>
    <row r="43" spans="1:5" ht="15.75" thickBot="1" x14ac:dyDescent="0.3">
      <c r="A43" s="496" t="s">
        <v>437</v>
      </c>
      <c r="B43" s="497" t="str">
        <f>'[1]Diags Raw Data'!B46</f>
        <v>DF Stress test</v>
      </c>
      <c r="C43" s="499" t="s">
        <v>280</v>
      </c>
      <c r="D43" s="468" t="s">
        <v>34</v>
      </c>
      <c r="E43" s="469" t="s">
        <v>33</v>
      </c>
    </row>
    <row r="44" spans="1:5" ht="15.75" thickBot="1" x14ac:dyDescent="0.3">
      <c r="A44" s="496" t="s">
        <v>440</v>
      </c>
      <c r="B44" s="497" t="str">
        <f>'[1]Diags Raw Data'!B47</f>
        <v>Light DF C-State</v>
      </c>
      <c r="C44" s="499" t="s">
        <v>280</v>
      </c>
      <c r="D44" s="468" t="s">
        <v>34</v>
      </c>
      <c r="E44" s="469" t="s">
        <v>33</v>
      </c>
    </row>
    <row r="45" spans="1:5" ht="15.75" thickBot="1" x14ac:dyDescent="0.3">
      <c r="A45" s="496" t="s">
        <v>443</v>
      </c>
      <c r="B45" s="497" t="str">
        <f>'[1]Diags Raw Data'!B48</f>
        <v>IO atomics with Bus locks</v>
      </c>
      <c r="C45" s="499" t="s">
        <v>280</v>
      </c>
      <c r="D45" s="468" t="s">
        <v>34</v>
      </c>
      <c r="E45" s="469" t="s">
        <v>33</v>
      </c>
    </row>
    <row r="46" spans="1:5" ht="15.75" thickBot="1" x14ac:dyDescent="0.3">
      <c r="A46" s="496" t="s">
        <v>445</v>
      </c>
      <c r="B46" s="497" t="str">
        <f>'[1]Diags Raw Data'!B49</f>
        <v>Force DF C-state exit on MCA bank access</v>
      </c>
      <c r="C46" s="499" t="s">
        <v>259</v>
      </c>
      <c r="D46" s="468" t="s">
        <v>34</v>
      </c>
      <c r="E46" s="469" t="s">
        <v>33</v>
      </c>
    </row>
    <row r="47" spans="1:5" ht="15.75" thickBot="1" x14ac:dyDescent="0.3">
      <c r="A47" s="496" t="s">
        <v>448</v>
      </c>
      <c r="B47" s="332" t="s">
        <v>449</v>
      </c>
      <c r="C47" s="468" t="s">
        <v>280</v>
      </c>
      <c r="D47" s="468" t="s">
        <v>34</v>
      </c>
      <c r="E47" s="469" t="s">
        <v>33</v>
      </c>
    </row>
    <row r="48" spans="1:5" ht="15.75" thickBot="1" x14ac:dyDescent="0.3">
      <c r="A48" s="496" t="s">
        <v>450</v>
      </c>
      <c r="B48" s="332" t="s">
        <v>451</v>
      </c>
      <c r="C48" s="468" t="s">
        <v>280</v>
      </c>
      <c r="D48" s="468" t="s">
        <v>34</v>
      </c>
      <c r="E48" s="469" t="s">
        <v>44</v>
      </c>
    </row>
    <row r="49" spans="1:5" ht="15.75" thickBot="1" x14ac:dyDescent="0.3">
      <c r="A49" s="496" t="s">
        <v>452</v>
      </c>
      <c r="B49" s="332" t="s">
        <v>453</v>
      </c>
      <c r="C49" s="468" t="s">
        <v>259</v>
      </c>
      <c r="D49" s="468" t="s">
        <v>34</v>
      </c>
      <c r="E49" s="469" t="s">
        <v>44</v>
      </c>
    </row>
    <row r="50" spans="1:5" ht="15.75" thickBot="1" x14ac:dyDescent="0.3">
      <c r="A50" s="496" t="s">
        <v>456</v>
      </c>
      <c r="B50" s="332" t="s">
        <v>457</v>
      </c>
      <c r="C50" s="468" t="s">
        <v>259</v>
      </c>
      <c r="D50" s="468" t="s">
        <v>34</v>
      </c>
      <c r="E50" s="469" t="s">
        <v>44</v>
      </c>
    </row>
    <row r="51" spans="1:5" ht="15.75" thickBot="1" x14ac:dyDescent="0.3">
      <c r="A51" s="496" t="s">
        <v>460</v>
      </c>
      <c r="B51" s="332" t="s">
        <v>461</v>
      </c>
      <c r="C51" s="468" t="s">
        <v>259</v>
      </c>
      <c r="D51" s="468" t="s">
        <v>34</v>
      </c>
      <c r="E51" s="469" t="s">
        <v>44</v>
      </c>
    </row>
    <row r="52" spans="1:5" ht="15.75" thickBot="1" x14ac:dyDescent="0.3">
      <c r="A52" s="496" t="s">
        <v>462</v>
      </c>
      <c r="B52" s="332" t="s">
        <v>463</v>
      </c>
      <c r="C52" s="468" t="s">
        <v>259</v>
      </c>
      <c r="D52" s="468" t="s">
        <v>34</v>
      </c>
      <c r="E52" s="469" t="s">
        <v>44</v>
      </c>
    </row>
    <row r="53" spans="1:5" ht="15.75" thickBot="1" x14ac:dyDescent="0.3">
      <c r="A53" s="496" t="s">
        <v>464</v>
      </c>
      <c r="B53" s="332" t="s">
        <v>465</v>
      </c>
      <c r="C53" s="468" t="s">
        <v>259</v>
      </c>
      <c r="D53" s="468" t="s">
        <v>34</v>
      </c>
      <c r="E53" s="469" t="s">
        <v>44</v>
      </c>
    </row>
    <row r="54" spans="1:5" ht="15.75" thickBot="1" x14ac:dyDescent="0.3">
      <c r="A54" s="496" t="s">
        <v>466</v>
      </c>
      <c r="B54" s="332" t="s">
        <v>467</v>
      </c>
      <c r="C54" s="468" t="s">
        <v>259</v>
      </c>
      <c r="D54" s="468" t="s">
        <v>34</v>
      </c>
      <c r="E54" s="469" t="s">
        <v>44</v>
      </c>
    </row>
    <row r="55" spans="1:5" x14ac:dyDescent="0.25">
      <c r="A55" s="496" t="s">
        <v>468</v>
      </c>
      <c r="B55" s="332" t="s">
        <v>469</v>
      </c>
      <c r="C55" s="468" t="s">
        <v>259</v>
      </c>
      <c r="D55" s="468" t="s">
        <v>34</v>
      </c>
      <c r="E55" s="469" t="s">
        <v>44</v>
      </c>
    </row>
    <row r="56" spans="1:5" x14ac:dyDescent="0.25">
      <c r="A56" s="501" t="s">
        <v>470</v>
      </c>
      <c r="B56" s="332" t="s">
        <v>471</v>
      </c>
      <c r="C56" s="468" t="s">
        <v>259</v>
      </c>
      <c r="D56" s="468" t="s">
        <v>34</v>
      </c>
      <c r="E56" s="468" t="s">
        <v>44</v>
      </c>
    </row>
    <row r="57" spans="1:5" x14ac:dyDescent="0.25">
      <c r="A57" s="501" t="s">
        <v>473</v>
      </c>
      <c r="B57" s="332" t="s">
        <v>474</v>
      </c>
      <c r="C57" s="468" t="s">
        <v>259</v>
      </c>
      <c r="D57" s="468" t="s">
        <v>34</v>
      </c>
      <c r="E57" s="468" t="s">
        <v>44</v>
      </c>
    </row>
    <row r="58" spans="1:5" x14ac:dyDescent="0.25">
      <c r="A58" s="501" t="s">
        <v>475</v>
      </c>
      <c r="B58" s="332" t="s">
        <v>476</v>
      </c>
      <c r="C58" s="468" t="s">
        <v>259</v>
      </c>
      <c r="D58" s="468" t="s">
        <v>34</v>
      </c>
      <c r="E58" s="468" t="s">
        <v>44</v>
      </c>
    </row>
    <row r="59" spans="1:5" x14ac:dyDescent="0.25">
      <c r="A59" s="501" t="s">
        <v>477</v>
      </c>
      <c r="B59" s="332" t="s">
        <v>478</v>
      </c>
      <c r="C59" s="468" t="s">
        <v>259</v>
      </c>
      <c r="D59" s="468" t="s">
        <v>34</v>
      </c>
      <c r="E59" s="468" t="s">
        <v>44</v>
      </c>
    </row>
    <row r="60" spans="1:5" x14ac:dyDescent="0.25">
      <c r="A60" s="501" t="s">
        <v>479</v>
      </c>
      <c r="B60" s="332" t="s">
        <v>480</v>
      </c>
      <c r="C60" s="468" t="s">
        <v>259</v>
      </c>
      <c r="D60" s="468" t="s">
        <v>34</v>
      </c>
      <c r="E60" s="468" t="s">
        <v>44</v>
      </c>
    </row>
    <row r="61" spans="1:5" x14ac:dyDescent="0.25">
      <c r="A61" s="501" t="s">
        <v>481</v>
      </c>
      <c r="B61" s="502" t="s">
        <v>482</v>
      </c>
      <c r="C61" s="503" t="s">
        <v>259</v>
      </c>
      <c r="D61" s="503" t="s">
        <v>34</v>
      </c>
      <c r="E61" s="503" t="s">
        <v>44</v>
      </c>
    </row>
  </sheetData>
  <autoFilter ref="A2:E46" xr:uid="{2E753270-8E41-4CC5-97C2-EE4540C41FD1}"/>
  <mergeCells count="5">
    <mergeCell ref="G4:G6"/>
    <mergeCell ref="G7:G10"/>
    <mergeCell ref="G11:G13"/>
    <mergeCell ref="H14:I14"/>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D3:D61</xm:sqref>
        </x14:dataValidation>
        <x14:dataValidation type="list" allowBlank="1" showInputMessage="1" showErrorMessage="1" xr:uid="{AA1AC074-A7B7-4C8D-9132-118B458773B2}">
          <x14:formula1>
            <xm:f>'List Options'!$G$1:$G$3</xm:f>
          </x14:formula1>
          <xm:sqref>E3:E61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B10" sqref="B10"/>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4" t="s">
        <v>499</v>
      </c>
      <c r="B1" s="595"/>
      <c r="C1" s="595"/>
      <c r="D1" s="595"/>
      <c r="E1" s="595"/>
      <c r="F1" s="595"/>
      <c r="G1" s="595"/>
      <c r="H1" s="595"/>
      <c r="I1" s="595"/>
      <c r="J1" s="595"/>
      <c r="K1" s="595"/>
      <c r="L1" s="595"/>
      <c r="M1" s="595"/>
      <c r="N1" s="595"/>
      <c r="O1" s="595"/>
      <c r="P1" s="595"/>
      <c r="Q1" s="595"/>
      <c r="R1" s="595"/>
      <c r="S1" s="595"/>
      <c r="T1" s="595"/>
      <c r="U1" s="595"/>
      <c r="V1" s="596"/>
    </row>
    <row r="2" spans="1:22" ht="15.75" thickBot="1" x14ac:dyDescent="0.3">
      <c r="A2" s="217" t="s">
        <v>500</v>
      </c>
      <c r="B2" s="597" t="s">
        <v>166</v>
      </c>
      <c r="C2" s="597"/>
      <c r="D2" s="597"/>
      <c r="E2" s="597"/>
      <c r="F2" s="597"/>
      <c r="G2" s="598" t="s">
        <v>177</v>
      </c>
      <c r="H2" s="599"/>
      <c r="I2" s="599"/>
      <c r="J2" s="599"/>
      <c r="K2" s="599"/>
      <c r="L2" s="599"/>
      <c r="M2" s="599"/>
      <c r="N2" s="600"/>
      <c r="O2" s="601" t="s">
        <v>144</v>
      </c>
      <c r="P2" s="602"/>
      <c r="Q2" s="602"/>
      <c r="R2" s="602"/>
      <c r="S2" s="602"/>
      <c r="T2" s="602"/>
      <c r="U2" s="602"/>
      <c r="V2" s="603"/>
    </row>
    <row r="3" spans="1:22" s="250" customFormat="1" ht="15.75" thickBot="1" x14ac:dyDescent="0.3">
      <c r="A3" s="254" t="s">
        <v>88</v>
      </c>
      <c r="B3" s="311" t="s">
        <v>167</v>
      </c>
      <c r="C3" s="312" t="s">
        <v>128</v>
      </c>
      <c r="D3" s="313" t="s">
        <v>105</v>
      </c>
      <c r="E3" s="313" t="s">
        <v>173</v>
      </c>
      <c r="F3" s="314" t="s">
        <v>175</v>
      </c>
      <c r="G3" s="315" t="s">
        <v>132</v>
      </c>
      <c r="H3" s="316" t="s">
        <v>30</v>
      </c>
      <c r="I3" s="316" t="s">
        <v>135</v>
      </c>
      <c r="J3" s="316" t="s">
        <v>36</v>
      </c>
      <c r="K3" s="316" t="s">
        <v>138</v>
      </c>
      <c r="L3" s="316" t="s">
        <v>184</v>
      </c>
      <c r="M3" s="316" t="s">
        <v>140</v>
      </c>
      <c r="N3" s="317" t="s">
        <v>187</v>
      </c>
      <c r="O3" s="318" t="s">
        <v>132</v>
      </c>
      <c r="P3" s="319" t="s">
        <v>30</v>
      </c>
      <c r="Q3" s="319" t="s">
        <v>135</v>
      </c>
      <c r="R3" s="319" t="s">
        <v>36</v>
      </c>
      <c r="S3" s="319" t="s">
        <v>138</v>
      </c>
      <c r="T3" s="319" t="s">
        <v>184</v>
      </c>
      <c r="U3" s="319" t="s">
        <v>140</v>
      </c>
      <c r="V3" s="320" t="s">
        <v>187</v>
      </c>
    </row>
    <row r="4" spans="1:22" x14ac:dyDescent="0.25">
      <c r="A4" s="330" t="s">
        <v>336</v>
      </c>
      <c r="B4" s="251">
        <f>SUMIFS('Diags Raw Data'!$L$6:$L$4682,'Diags Raw Data'!$D$6:$D$4682,$A4)</f>
        <v>9</v>
      </c>
      <c r="C4" s="241">
        <f>SUMIFS('Diags Raw Data'!$R$6:$R$4682,'Diags Raw Data'!$D$6:$D$4682,$A4)</f>
        <v>9</v>
      </c>
      <c r="D4" s="241">
        <f>SUMIFS('Diags Raw Data'!$K$6:$K$4682,'Diags Raw Data'!$D$6:$D$4682,$A4)</f>
        <v>7</v>
      </c>
      <c r="E4" s="241">
        <f>SUMIFS('Diags Raw Data'!$O$6:$O$4682,'Diags Raw Data'!$D$6:$D$4682,$A4)</f>
        <v>9</v>
      </c>
      <c r="F4" s="247">
        <f>IF(NOT($B4=0), E4/$B4, "---")</f>
        <v>1</v>
      </c>
      <c r="G4" s="219">
        <f>SUMIFS('Diags Raw Data'!$S$6:$S$4682,'Diags Raw Data'!$D$6:$D$4682,$A4)</f>
        <v>9</v>
      </c>
      <c r="H4" s="220">
        <f>SUMIFS('Diags Raw Data'!$T$6:$T$4682,'Diags Raw Data'!$D$6:$D$4682,$A4)</f>
        <v>9</v>
      </c>
      <c r="I4" s="222">
        <f>SUMIFS('Diags Raw Data'!$U$6:$U$4682,'Diags Raw Data'!$D$6:$D$4682,$A4)</f>
        <v>0</v>
      </c>
      <c r="J4" s="220">
        <f>SUMIFS('Diags Raw Data'!$V$6:$V$4682,'Diags Raw Data'!$D$6:$D$4682,$A4)</f>
        <v>0</v>
      </c>
      <c r="K4" s="222">
        <f>SUMIFS('Diags Raw Data'!$W$6:$W$4682,'Diags Raw Data'!$D$6:$D$4682,$A4)</f>
        <v>0</v>
      </c>
      <c r="L4" s="221">
        <f>IF(NOT($C4=0), G4/$C4, "---")</f>
        <v>1</v>
      </c>
      <c r="M4" s="223">
        <f>IF(NOT($G4=0), (H4+I4)/$G4, "---")</f>
        <v>1</v>
      </c>
      <c r="N4" s="225">
        <f>IF(NOT($C4=0), (H4+I4)/$C4, "---")</f>
        <v>1</v>
      </c>
      <c r="O4" s="212">
        <f>SUMIFS('Diags Raw Data'!$Z$6:$Z$4682,'Diags Raw Data'!$D$6:$D$4682,$A4)</f>
        <v>0</v>
      </c>
      <c r="P4" s="209">
        <f>SUMIFS('Diags Raw Data'!$AA$6:$AA$4682,'Diags Raw Data'!$D$6:$D$4682,$A4)</f>
        <v>0</v>
      </c>
      <c r="Q4" s="211">
        <f>SUMIFS('Diags Raw Data'!$AB$6:$AB$4682,'Diags Raw Data'!$D$6:$D$4682,$A4)</f>
        <v>0</v>
      </c>
      <c r="R4" s="209">
        <f>SUMIFS('Diags Raw Data'!$AC$6:$AC$4682,'Diags Raw Data'!$D$6:$D$4682,$A4)</f>
        <v>0</v>
      </c>
      <c r="S4" s="211">
        <f>SUMIFS('Diags Raw Data'!$AD$6:$AD$4682,'Diags Raw Data'!$D$6:$D$4682,$A4)</f>
        <v>0</v>
      </c>
      <c r="T4" s="210">
        <f>IF(NOT($B4=0), O4/$B4, "---")</f>
        <v>0</v>
      </c>
      <c r="U4" s="224" t="str">
        <f>IF(NOT($O4=0), (P4+Q4)/$O4, "---")</f>
        <v>---</v>
      </c>
      <c r="V4" s="240">
        <f>IF(NOT($B4=0), (P4+Q4)/$B4, "---")</f>
        <v>0</v>
      </c>
    </row>
    <row r="5" spans="1:22" x14ac:dyDescent="0.25">
      <c r="A5" s="330" t="s">
        <v>355</v>
      </c>
      <c r="B5" s="252">
        <f>SUMIFS('Diags Raw Data'!$L$6:$L$4682,'Diags Raw Data'!$D$6:$D$4682,$A5)</f>
        <v>11</v>
      </c>
      <c r="C5" s="242">
        <f>SUMIFS('Diags Raw Data'!$R$6:$R$4682,'Diags Raw Data'!$D$6:$D$4682,$A5)</f>
        <v>11</v>
      </c>
      <c r="D5" s="242">
        <f>SUMIFS('Diags Raw Data'!$K$6:$K$4682,'Diags Raw Data'!$D$6:$D$4682,$A5)</f>
        <v>10</v>
      </c>
      <c r="E5" s="242">
        <f>SUMIFS('Diags Raw Data'!$O$6:$O$4682,'Diags Raw Data'!$D$6:$D$4682,$A5)</f>
        <v>11</v>
      </c>
      <c r="F5" s="248">
        <f t="shared" ref="F5:F11" si="0">IF(NOT($B5=0), E5/$B5, "---")</f>
        <v>1</v>
      </c>
      <c r="G5" s="230">
        <f>SUMIFS('Diags Raw Data'!$S$6:$S$4682,'Diags Raw Data'!$D$6:$D$4682,$A5)</f>
        <v>11</v>
      </c>
      <c r="H5" s="226">
        <f>SUMIFS('Diags Raw Data'!$T$6:$T$4682,'Diags Raw Data'!$D$6:$D$4682,$A5)</f>
        <v>11</v>
      </c>
      <c r="I5" s="227">
        <f>SUMIFS('Diags Raw Data'!$U$6:$U$4682,'Diags Raw Data'!$D$6:$D$4682,$A5)</f>
        <v>0</v>
      </c>
      <c r="J5" s="226">
        <f>SUMIFS('Diags Raw Data'!$V$6:$V$4682,'Diags Raw Data'!$D$6:$D$4682,$A5)</f>
        <v>0</v>
      </c>
      <c r="K5" s="227">
        <f>SUMIFS('Diags Raw Data'!$W$6:$W$4682,'Diags Raw Data'!$D$6:$D$4682,$A5)</f>
        <v>0</v>
      </c>
      <c r="L5" s="243">
        <f t="shared" ref="L5:L13" si="1">IF(NOT($C5=0), G5/$C5, "---")</f>
        <v>1</v>
      </c>
      <c r="M5" s="228">
        <f t="shared" ref="M5:M13" si="2">IF(NOT($G5=0), (H5+I5)/$G5, "---")</f>
        <v>1</v>
      </c>
      <c r="N5" s="237">
        <f t="shared" ref="N5:N11" si="3">IF(NOT($C5=0), (H5+I5)/$C5, "---")</f>
        <v>1</v>
      </c>
      <c r="O5" s="213">
        <f>SUMIFS('Diags Raw Data'!$Z$6:$Z$4682,'Diags Raw Data'!$D$6:$D$4682,$A5)</f>
        <v>0</v>
      </c>
      <c r="P5" s="203">
        <f>SUMIFS('Diags Raw Data'!$AA$6:$AA$4682,'Diags Raw Data'!$D$6:$D$4682,$A5)</f>
        <v>0</v>
      </c>
      <c r="Q5" s="205">
        <f>SUMIFS('Diags Raw Data'!$AB$6:$AB$4682,'Diags Raw Data'!$D$6:$D$4682,$A5)</f>
        <v>0</v>
      </c>
      <c r="R5" s="203">
        <f>SUMIFS('Diags Raw Data'!$AC$6:$AC$4682,'Diags Raw Data'!$D$6:$D$4682,$A5)</f>
        <v>0</v>
      </c>
      <c r="S5" s="205">
        <f>SUMIFS('Diags Raw Data'!$AD$6:$AD$4682,'Diags Raw Data'!$D$6:$D$4682,$A5)</f>
        <v>0</v>
      </c>
      <c r="T5" s="204">
        <f t="shared" ref="T5:T13" si="4">IF(NOT($B5=0), O5/$B5, "---")</f>
        <v>0</v>
      </c>
      <c r="U5" s="229" t="str">
        <f t="shared" ref="U5:U8" si="5">IF(NOT($O5=0), (P5+Q5)/$O5, "---")</f>
        <v>---</v>
      </c>
      <c r="V5" s="231">
        <f t="shared" ref="V5:V13" si="6">IF(NOT($B5=0), (P5+Q5)/$B5, "---")</f>
        <v>0</v>
      </c>
    </row>
    <row r="6" spans="1:22" x14ac:dyDescent="0.25">
      <c r="A6" s="330" t="s">
        <v>320</v>
      </c>
      <c r="B6" s="252">
        <f>SUMIFS('Diags Raw Data'!$L$6:$L$4682,'Diags Raw Data'!$D$6:$D$4682,$A6)</f>
        <v>20</v>
      </c>
      <c r="C6" s="242">
        <f>SUMIFS('Diags Raw Data'!$R$6:$R$4682,'Diags Raw Data'!$D$6:$D$4682,$A6)</f>
        <v>20</v>
      </c>
      <c r="D6" s="242">
        <f>SUMIFS('Diags Raw Data'!$K$6:$K$4682,'Diags Raw Data'!$D$6:$D$4682,$A6)</f>
        <v>17</v>
      </c>
      <c r="E6" s="242">
        <f>SUMIFS('Diags Raw Data'!$O$6:$O$4682,'Diags Raw Data'!$D$6:$D$4682,$A6)</f>
        <v>20</v>
      </c>
      <c r="F6" s="248">
        <f t="shared" si="0"/>
        <v>1</v>
      </c>
      <c r="G6" s="230">
        <f>SUMIFS('Diags Raw Data'!$S$6:$S$4682,'Diags Raw Data'!$D$6:$D$4682,$A6)</f>
        <v>20</v>
      </c>
      <c r="H6" s="226">
        <f>SUMIFS('Diags Raw Data'!$T$6:$T$4682,'Diags Raw Data'!$D$6:$D$4682,$A6)</f>
        <v>20</v>
      </c>
      <c r="I6" s="227">
        <f>SUMIFS('Diags Raw Data'!$U$6:$U$4682,'Diags Raw Data'!$D$6:$D$4682,$A6)</f>
        <v>0</v>
      </c>
      <c r="J6" s="226">
        <f>SUMIFS('Diags Raw Data'!$V$6:$V$4682,'Diags Raw Data'!$D$6:$D$4682,$A6)</f>
        <v>0</v>
      </c>
      <c r="K6" s="227">
        <f>SUMIFS('Diags Raw Data'!$W$6:$W$4682,'Diags Raw Data'!$D$6:$D$4682,$A6)</f>
        <v>0</v>
      </c>
      <c r="L6" s="243">
        <f t="shared" si="1"/>
        <v>1</v>
      </c>
      <c r="M6" s="228">
        <f t="shared" si="2"/>
        <v>1</v>
      </c>
      <c r="N6" s="237">
        <f t="shared" si="3"/>
        <v>1</v>
      </c>
      <c r="O6" s="213">
        <f>SUMIFS('Diags Raw Data'!$Z$6:$Z$4682,'Diags Raw Data'!$D$6:$D$4682,$A6)</f>
        <v>0</v>
      </c>
      <c r="P6" s="203">
        <f>SUMIFS('Diags Raw Data'!$AA$6:$AA$4682,'Diags Raw Data'!$D$6:$D$4682,$A6)</f>
        <v>0</v>
      </c>
      <c r="Q6" s="205">
        <f>SUMIFS('Diags Raw Data'!$AB$6:$AB$4682,'Diags Raw Data'!$D$6:$D$4682,$A6)</f>
        <v>0</v>
      </c>
      <c r="R6" s="203">
        <f>SUMIFS('Diags Raw Data'!$AC$6:$AC$4682,'Diags Raw Data'!$D$6:$D$4682,$A6)</f>
        <v>0</v>
      </c>
      <c r="S6" s="205">
        <f>SUMIFS('Diags Raw Data'!$AD$6:$AD$4682,'Diags Raw Data'!$D$6:$D$4682,$A6)</f>
        <v>0</v>
      </c>
      <c r="T6" s="204">
        <f t="shared" si="4"/>
        <v>0</v>
      </c>
      <c r="U6" s="229" t="str">
        <f t="shared" si="5"/>
        <v>---</v>
      </c>
      <c r="V6" s="231">
        <f t="shared" si="6"/>
        <v>0</v>
      </c>
    </row>
    <row r="7" spans="1:22" x14ac:dyDescent="0.25">
      <c r="A7" s="330" t="s">
        <v>404</v>
      </c>
      <c r="B7" s="252">
        <f>SUMIFS('Diags Raw Data'!$L$6:$L$4682,'Diags Raw Data'!$D$6:$D$4682,$A7)</f>
        <v>5</v>
      </c>
      <c r="C7" s="242">
        <f>SUMIFS('Diags Raw Data'!$R$6:$R$4682,'Diags Raw Data'!$D$6:$D$4682,$A7)</f>
        <v>5</v>
      </c>
      <c r="D7" s="242">
        <f>SUMIFS('Diags Raw Data'!$K$6:$K$4682,'Diags Raw Data'!$D$6:$D$4682,$A7)</f>
        <v>2</v>
      </c>
      <c r="E7" s="242">
        <f>SUMIFS('Diags Raw Data'!$O$6:$O$4682,'Diags Raw Data'!$D$6:$D$4682,$A7)</f>
        <v>5</v>
      </c>
      <c r="F7" s="248">
        <f t="shared" si="0"/>
        <v>1</v>
      </c>
      <c r="G7" s="230">
        <f>SUMIFS('Diags Raw Data'!$S$6:$S$4682,'Diags Raw Data'!$D$6:$D$4682,$A7)</f>
        <v>5</v>
      </c>
      <c r="H7" s="226">
        <f>SUMIFS('Diags Raw Data'!$T$6:$T$4682,'Diags Raw Data'!$D$6:$D$4682,$A7)</f>
        <v>5</v>
      </c>
      <c r="I7" s="227">
        <f>SUMIFS('Diags Raw Data'!$U$6:$U$4682,'Diags Raw Data'!$D$6:$D$4682,$A7)</f>
        <v>0</v>
      </c>
      <c r="J7" s="226">
        <f>SUMIFS('Diags Raw Data'!$V$6:$V$4682,'Diags Raw Data'!$D$6:$D$4682,$A7)</f>
        <v>0</v>
      </c>
      <c r="K7" s="227">
        <f>SUMIFS('Diags Raw Data'!$W$6:$W$4682,'Diags Raw Data'!$D$6:$D$4682,$A7)</f>
        <v>0</v>
      </c>
      <c r="L7" s="243">
        <f t="shared" si="1"/>
        <v>1</v>
      </c>
      <c r="M7" s="228">
        <f t="shared" si="2"/>
        <v>1</v>
      </c>
      <c r="N7" s="237">
        <f t="shared" si="3"/>
        <v>1</v>
      </c>
      <c r="O7" s="213">
        <f>SUMIFS('Diags Raw Data'!$Z$6:$Z$4682,'Diags Raw Data'!$D$6:$D$4682,$A7)</f>
        <v>0</v>
      </c>
      <c r="P7" s="203">
        <f>SUMIFS('Diags Raw Data'!$AA$6:$AA$4682,'Diags Raw Data'!$D$6:$D$4682,$A7)</f>
        <v>0</v>
      </c>
      <c r="Q7" s="205">
        <f>SUMIFS('Diags Raw Data'!$AB$6:$AB$4682,'Diags Raw Data'!$D$6:$D$4682,$A7)</f>
        <v>0</v>
      </c>
      <c r="R7" s="203">
        <f>SUMIFS('Diags Raw Data'!$AC$6:$AC$4682,'Diags Raw Data'!$D$6:$D$4682,$A7)</f>
        <v>0</v>
      </c>
      <c r="S7" s="205">
        <f>SUMIFS('Diags Raw Data'!$AD$6:$AD$4682,'Diags Raw Data'!$D$6:$D$4682,$A7)</f>
        <v>0</v>
      </c>
      <c r="T7" s="204">
        <f t="shared" si="4"/>
        <v>0</v>
      </c>
      <c r="U7" s="229" t="str">
        <f t="shared" si="5"/>
        <v>---</v>
      </c>
      <c r="V7" s="231">
        <f t="shared" si="6"/>
        <v>0</v>
      </c>
    </row>
    <row r="8" spans="1:22" x14ac:dyDescent="0.25">
      <c r="A8" s="330" t="s">
        <v>413</v>
      </c>
      <c r="B8" s="252">
        <f>SUMIFS('Diags Raw Data'!$L$6:$L$4682,'Diags Raw Data'!$D$6:$D$4682,$A8)</f>
        <v>11</v>
      </c>
      <c r="C8" s="242">
        <f>SUMIFS('Diags Raw Data'!$R$6:$R$4682,'Diags Raw Data'!$D$6:$D$4682,$A8)</f>
        <v>11</v>
      </c>
      <c r="D8" s="242">
        <f>SUMIFS('Diags Raw Data'!$K$6:$K$4682,'Diags Raw Data'!$D$6:$D$4682,$A8)</f>
        <v>2</v>
      </c>
      <c r="E8" s="242">
        <f>SUMIFS('Diags Raw Data'!$O$6:$O$4682,'Diags Raw Data'!$D$6:$D$4682,$A8)</f>
        <v>11</v>
      </c>
      <c r="F8" s="248">
        <f t="shared" si="0"/>
        <v>1</v>
      </c>
      <c r="G8" s="230">
        <f>SUMIFS('Diags Raw Data'!$S$6:$S$4682,'Diags Raw Data'!$D$6:$D$4682,$A8)</f>
        <v>11</v>
      </c>
      <c r="H8" s="226">
        <f>SUMIFS('Diags Raw Data'!$T$6:$T$4682,'Diags Raw Data'!$D$6:$D$4682,$A8)</f>
        <v>11</v>
      </c>
      <c r="I8" s="227">
        <f>SUMIFS('Diags Raw Data'!$U$6:$U$4682,'Diags Raw Data'!$D$6:$D$4682,$A8)</f>
        <v>0</v>
      </c>
      <c r="J8" s="226">
        <f>SUMIFS('Diags Raw Data'!$V$6:$V$4682,'Diags Raw Data'!$D$6:$D$4682,$A8)</f>
        <v>0</v>
      </c>
      <c r="K8" s="227">
        <f>SUMIFS('Diags Raw Data'!$W$6:$W$4682,'Diags Raw Data'!$D$6:$D$4682,$A8)</f>
        <v>0</v>
      </c>
      <c r="L8" s="243">
        <f t="shared" si="1"/>
        <v>1</v>
      </c>
      <c r="M8" s="228">
        <f t="shared" si="2"/>
        <v>1</v>
      </c>
      <c r="N8" s="237">
        <f t="shared" si="3"/>
        <v>1</v>
      </c>
      <c r="O8" s="213">
        <f>SUMIFS('Diags Raw Data'!$Z$6:$Z$4682,'Diags Raw Data'!$D$6:$D$4682,$A8)</f>
        <v>0</v>
      </c>
      <c r="P8" s="203">
        <f>SUMIFS('Diags Raw Data'!$AA$6:$AA$4682,'Diags Raw Data'!$D$6:$D$4682,$A8)</f>
        <v>0</v>
      </c>
      <c r="Q8" s="205">
        <f>SUMIFS('Diags Raw Data'!$AB$6:$AB$4682,'Diags Raw Data'!$D$6:$D$4682,$A8)</f>
        <v>0</v>
      </c>
      <c r="R8" s="203">
        <f>SUMIFS('Diags Raw Data'!$AC$6:$AC$4682,'Diags Raw Data'!$D$6:$D$4682,$A8)</f>
        <v>0</v>
      </c>
      <c r="S8" s="205">
        <f>SUMIFS('Diags Raw Data'!$AD$6:$AD$4682,'Diags Raw Data'!$D$6:$D$4682,$A8)</f>
        <v>0</v>
      </c>
      <c r="T8" s="204">
        <f t="shared" si="4"/>
        <v>0</v>
      </c>
      <c r="U8" s="229" t="str">
        <f t="shared" si="5"/>
        <v>---</v>
      </c>
      <c r="V8" s="231">
        <f t="shared" si="6"/>
        <v>0</v>
      </c>
    </row>
    <row r="9" spans="1:22" x14ac:dyDescent="0.25">
      <c r="A9" s="330" t="s">
        <v>380</v>
      </c>
      <c r="B9" s="252">
        <f>SUMIFS('Diags Raw Data'!$L$6:$L$4682,'Diags Raw Data'!$D$6:$D$4682,$A9)</f>
        <v>6</v>
      </c>
      <c r="C9" s="242">
        <f>SUMIFS('Diags Raw Data'!$R$6:$R$4682,'Diags Raw Data'!$D$6:$D$4682,$A9)</f>
        <v>6</v>
      </c>
      <c r="D9" s="242">
        <f>SUMIFS('Diags Raw Data'!$K$6:$K$4682,'Diags Raw Data'!$D$6:$D$4682,$A9)</f>
        <v>3</v>
      </c>
      <c r="E9" s="242">
        <f>SUMIFS('Diags Raw Data'!$O$6:$O$4682,'Diags Raw Data'!$D$6:$D$4682,$A9)</f>
        <v>6</v>
      </c>
      <c r="F9" s="248">
        <f t="shared" si="0"/>
        <v>1</v>
      </c>
      <c r="G9" s="230">
        <f>SUMIFS('Diags Raw Data'!$S$6:$S$4682,'Diags Raw Data'!$D$6:$D$4682,$A9)</f>
        <v>6</v>
      </c>
      <c r="H9" s="226">
        <f>SUMIFS('Diags Raw Data'!$T$6:$T$4682,'Diags Raw Data'!$D$6:$D$4682,$A9)</f>
        <v>6</v>
      </c>
      <c r="I9" s="227">
        <f>SUMIFS('Diags Raw Data'!$U$6:$U$4682,'Diags Raw Data'!$D$6:$D$4682,$A9)</f>
        <v>0</v>
      </c>
      <c r="J9" s="226">
        <f>SUMIFS('Diags Raw Data'!$V$6:$V$4682,'Diags Raw Data'!$D$6:$D$4682,$A9)</f>
        <v>0</v>
      </c>
      <c r="K9" s="227">
        <f>SUMIFS('Diags Raw Data'!$W$6:$W$4682,'Diags Raw Data'!$D$6:$D$4682,$A9)</f>
        <v>0</v>
      </c>
      <c r="L9" s="243">
        <f t="shared" si="1"/>
        <v>1</v>
      </c>
      <c r="M9" s="228">
        <f t="shared" si="2"/>
        <v>1</v>
      </c>
      <c r="N9" s="237">
        <f t="shared" si="3"/>
        <v>1</v>
      </c>
      <c r="O9" s="213">
        <f>SUMIFS('Diags Raw Data'!$Z$6:$Z$4682,'Diags Raw Data'!$D$6:$D$4682,$A9)</f>
        <v>0</v>
      </c>
      <c r="P9" s="203">
        <f>SUMIFS('Diags Raw Data'!$AA$6:$AA$4682,'Diags Raw Data'!$D$6:$D$4682,$A9)</f>
        <v>0</v>
      </c>
      <c r="Q9" s="205">
        <f>SUMIFS('Diags Raw Data'!$AB$6:$AB$4682,'Diags Raw Data'!$D$6:$D$4682,$A9)</f>
        <v>0</v>
      </c>
      <c r="R9" s="203">
        <f>SUMIFS('Diags Raw Data'!$AC$6:$AC$4682,'Diags Raw Data'!$D$6:$D$4682,$A9)</f>
        <v>0</v>
      </c>
      <c r="S9" s="205">
        <f>SUMIFS('Diags Raw Data'!$AD$6:$AD$4682,'Diags Raw Data'!$D$6:$D$4682,$A9)</f>
        <v>0</v>
      </c>
      <c r="T9" s="204">
        <f t="shared" si="4"/>
        <v>0</v>
      </c>
      <c r="U9" s="229" t="str">
        <f>IF(NOT($O9=0), (P9+Q9)/$O9, "---")</f>
        <v>---</v>
      </c>
      <c r="V9" s="231">
        <f t="shared" si="6"/>
        <v>0</v>
      </c>
    </row>
    <row r="10" spans="1:22" x14ac:dyDescent="0.25">
      <c r="A10" s="330" t="s">
        <v>311</v>
      </c>
      <c r="B10" s="252">
        <f>SUMIFS('Diags Raw Data'!$L$6:$L$4682,'Diags Raw Data'!$D$6:$D$4682,$A10)</f>
        <v>21</v>
      </c>
      <c r="C10" s="242">
        <f>SUMIFS('Diags Raw Data'!$R$6:$R$4682,'Diags Raw Data'!$D$6:$D$4682,$A10)</f>
        <v>16</v>
      </c>
      <c r="D10" s="242">
        <f>SUMIFS('Diags Raw Data'!$K$6:$K$4682,'Diags Raw Data'!$D$6:$D$4682,$A10)</f>
        <v>15</v>
      </c>
      <c r="E10" s="242">
        <f>SUMIFS('Diags Raw Data'!$O$6:$O$4682,'Diags Raw Data'!$D$6:$D$4682,$A10)</f>
        <v>19</v>
      </c>
      <c r="F10" s="248">
        <f>IF(NOT($B10=0), E10/$B10, "---")</f>
        <v>0.90476190476190477</v>
      </c>
      <c r="G10" s="230">
        <f>SUMIFS('Diags Raw Data'!$S$6:$S$4682,'Diags Raw Data'!$D$6:$D$4682,$A10)</f>
        <v>16</v>
      </c>
      <c r="H10" s="226">
        <f>SUMIFS('Diags Raw Data'!$T$6:$T$4682,'Diags Raw Data'!$D$6:$D$4682,$A10)</f>
        <v>16</v>
      </c>
      <c r="I10" s="227">
        <f>SUMIFS('Diags Raw Data'!$U$6:$U$4682,'Diags Raw Data'!$D$6:$D$4682,$A10)</f>
        <v>0</v>
      </c>
      <c r="J10" s="226">
        <f>SUMIFS('Diags Raw Data'!$V$6:$V$4682,'Diags Raw Data'!$D$6:$D$4682,$A10)</f>
        <v>0</v>
      </c>
      <c r="K10" s="227">
        <f>SUMIFS('Diags Raw Data'!$W$6:$W$4682,'Diags Raw Data'!$D$6:$D$4682,$A10)</f>
        <v>0</v>
      </c>
      <c r="L10" s="243">
        <f t="shared" si="1"/>
        <v>1</v>
      </c>
      <c r="M10" s="228">
        <f t="shared" si="2"/>
        <v>1</v>
      </c>
      <c r="N10" s="237">
        <f t="shared" si="3"/>
        <v>1</v>
      </c>
      <c r="O10" s="213">
        <f>SUMIFS('Diags Raw Data'!$Z$6:$Z$4682,'Diags Raw Data'!$D$6:$D$4682,$A10)</f>
        <v>0</v>
      </c>
      <c r="P10" s="203">
        <f>SUMIFS('Diags Raw Data'!$AA$6:$AA$4682,'Diags Raw Data'!$D$6:$D$4682,$A10)</f>
        <v>0</v>
      </c>
      <c r="Q10" s="205">
        <f>SUMIFS('Diags Raw Data'!$AB$6:$AB$4682,'Diags Raw Data'!$D$6:$D$4682,$A10)</f>
        <v>0</v>
      </c>
      <c r="R10" s="203">
        <f>SUMIFS('Diags Raw Data'!$AC$6:$AC$4682,'Diags Raw Data'!$D$6:$D$4682,$A10)</f>
        <v>0</v>
      </c>
      <c r="S10" s="205">
        <f>SUMIFS('Diags Raw Data'!$AD$6:$AD$4682,'Diags Raw Data'!$D$6:$D$4682,$A10)</f>
        <v>0</v>
      </c>
      <c r="T10" s="204">
        <f t="shared" si="4"/>
        <v>0</v>
      </c>
      <c r="U10" s="229" t="str">
        <f t="shared" ref="U10:U13" si="7">IF(NOT($O10=0), (P10+Q10)/$O10, "---")</f>
        <v>---</v>
      </c>
      <c r="V10" s="231">
        <f t="shared" si="6"/>
        <v>0</v>
      </c>
    </row>
    <row r="11" spans="1:22" x14ac:dyDescent="0.25">
      <c r="A11" s="330" t="s">
        <v>472</v>
      </c>
      <c r="B11" s="252">
        <f>SUMIFS('Diags Raw Data'!$L$6:$L$4682,'Diags Raw Data'!$D$6:$D$4682,$A11)</f>
        <v>1</v>
      </c>
      <c r="C11" s="242">
        <f>SUMIFS('Diags Raw Data'!$R$6:$R$4682,'Diags Raw Data'!$D$6:$D$4682,$A11)</f>
        <v>0</v>
      </c>
      <c r="D11" s="242">
        <f>SUMIFS('Diags Raw Data'!$K$6:$K$4682,'Diags Raw Data'!$D$6:$D$4682,$A11)</f>
        <v>1</v>
      </c>
      <c r="E11" s="242">
        <f>SUMIFS('Diags Raw Data'!$O$6:$O$4682,'Diags Raw Data'!$D$6:$D$4682,$A11)</f>
        <v>0</v>
      </c>
      <c r="F11" s="248">
        <f t="shared" si="0"/>
        <v>0</v>
      </c>
      <c r="G11" s="230">
        <f>SUMIFS('Diags Raw Data'!$S$6:$S$4682,'Diags Raw Data'!$D$6:$D$4682,$A11)</f>
        <v>0</v>
      </c>
      <c r="H11" s="226">
        <f>SUMIFS('Diags Raw Data'!$T$6:$T$4682,'Diags Raw Data'!$D$6:$D$4682,$A11)</f>
        <v>0</v>
      </c>
      <c r="I11" s="227">
        <f>SUMIFS('Diags Raw Data'!$U$6:$U$4682,'Diags Raw Data'!$D$6:$D$4682,$A11)</f>
        <v>0</v>
      </c>
      <c r="J11" s="226">
        <f>SUMIFS('Diags Raw Data'!$V$6:$V$4682,'Diags Raw Data'!$D$6:$D$4682,$A11)</f>
        <v>0</v>
      </c>
      <c r="K11" s="227">
        <f>SUMIFS('Diags Raw Data'!$W$6:$W$4682,'Diags Raw Data'!$D$6:$D$4682,$A11)</f>
        <v>0</v>
      </c>
      <c r="L11" s="243" t="str">
        <f t="shared" si="1"/>
        <v>---</v>
      </c>
      <c r="M11" s="228" t="str">
        <f t="shared" si="2"/>
        <v>---</v>
      </c>
      <c r="N11" s="237" t="str">
        <f t="shared" si="3"/>
        <v>---</v>
      </c>
      <c r="O11" s="213">
        <f>SUMIFS('Diags Raw Data'!$Z$6:$Z$4682,'Diags Raw Data'!$D$6:$D$4682,$A11)</f>
        <v>0</v>
      </c>
      <c r="P11" s="203">
        <f>SUMIFS('Diags Raw Data'!$AA$6:$AA$4682,'Diags Raw Data'!$D$6:$D$4682,$A11)</f>
        <v>0</v>
      </c>
      <c r="Q11" s="205">
        <f>SUMIFS('Diags Raw Data'!$AB$6:$AB$4682,'Diags Raw Data'!$D$6:$D$4682,$A11)</f>
        <v>0</v>
      </c>
      <c r="R11" s="203">
        <f>SUMIFS('Diags Raw Data'!$AC$6:$AC$4682,'Diags Raw Data'!$D$6:$D$4682,$A11)</f>
        <v>0</v>
      </c>
      <c r="S11" s="205">
        <f>SUMIFS('Diags Raw Data'!$AD$6:$AD$4682,'Diags Raw Data'!$D$6:$D$4682,$A11)</f>
        <v>0</v>
      </c>
      <c r="T11" s="204">
        <f t="shared" si="4"/>
        <v>0</v>
      </c>
      <c r="U11" s="229" t="str">
        <f t="shared" si="7"/>
        <v>---</v>
      </c>
      <c r="V11" s="231">
        <f t="shared" si="6"/>
        <v>0</v>
      </c>
    </row>
    <row r="12" spans="1:22" x14ac:dyDescent="0.25">
      <c r="A12" s="331" t="s">
        <v>483</v>
      </c>
      <c r="B12" s="252">
        <f>SUMIFS('Diags Raw Data'!$L$6:$L$4682,'Diags Raw Data'!$D$6:$D$4682,$A12)</f>
        <v>1</v>
      </c>
      <c r="C12" s="242">
        <f>SUMIFS('Diags Raw Data'!$R$6:$R$4682,'Diags Raw Data'!$D$6:$D$4682,$A12)</f>
        <v>0</v>
      </c>
      <c r="D12" s="242">
        <f>SUMIFS('Diags Raw Data'!$K$6:$K$4682,'Diags Raw Data'!$D$6:$D$4682,$A12)</f>
        <v>1</v>
      </c>
      <c r="E12" s="242">
        <f>SUMIFS('Diags Raw Data'!$O$6:$O$4682,'Diags Raw Data'!$D$6:$D$4682,$A12)</f>
        <v>1</v>
      </c>
      <c r="F12" s="248">
        <f t="shared" ref="F12" si="8">IF(NOT($B12=0), E12/$B12, "---")</f>
        <v>1</v>
      </c>
      <c r="G12" s="230">
        <f>SUMIFS('Diags Raw Data'!$S$6:$S$4682,'Diags Raw Data'!$D$6:$D$4682,$A12)</f>
        <v>0</v>
      </c>
      <c r="H12" s="226">
        <f>SUMIFS('Diags Raw Data'!$T$6:$T$4682,'Diags Raw Data'!$D$6:$D$4682,$A12)</f>
        <v>0</v>
      </c>
      <c r="I12" s="227">
        <f>SUMIFS('Diags Raw Data'!$U$6:$U$4682,'Diags Raw Data'!$D$6:$D$4682,$A12)</f>
        <v>0</v>
      </c>
      <c r="J12" s="226">
        <f>SUMIFS('Diags Raw Data'!$V$6:$V$4682,'Diags Raw Data'!$D$6:$D$4682,$A12)</f>
        <v>0</v>
      </c>
      <c r="K12" s="227">
        <f>SUMIFS('Diags Raw Data'!$W$6:$W$4682,'Diags Raw Data'!$D$6:$D$4682,$A12)</f>
        <v>0</v>
      </c>
      <c r="L12" s="243" t="str">
        <f t="shared" ref="L12" si="9">IF(NOT($C12=0), G12/$C12, "---")</f>
        <v>---</v>
      </c>
      <c r="M12" s="228" t="str">
        <f t="shared" ref="M12" si="10">IF(NOT($G12=0), (H12+I12)/$G12, "---")</f>
        <v>---</v>
      </c>
      <c r="N12" s="237" t="str">
        <f t="shared" ref="N12" si="11">IF(NOT($C12=0), (H12+I12)/$C12, "---")</f>
        <v>---</v>
      </c>
      <c r="O12" s="213">
        <f>SUMIFS('Diags Raw Data'!$Z$6:$Z$4682,'Diags Raw Data'!$D$6:$D$4682,$A12)</f>
        <v>0</v>
      </c>
      <c r="P12" s="203">
        <f>SUMIFS('Diags Raw Data'!$AA$6:$AA$4682,'Diags Raw Data'!$D$6:$D$4682,$A12)</f>
        <v>0</v>
      </c>
      <c r="Q12" s="205">
        <f>SUMIFS('Diags Raw Data'!$AB$6:$AB$4682,'Diags Raw Data'!$D$6:$D$4682,$A12)</f>
        <v>0</v>
      </c>
      <c r="R12" s="203">
        <f>SUMIFS('Diags Raw Data'!$AC$6:$AC$4682,'Diags Raw Data'!$D$6:$D$4682,$A12)</f>
        <v>0</v>
      </c>
      <c r="S12" s="205">
        <f>SUMIFS('Diags Raw Data'!$AD$6:$AD$4682,'Diags Raw Data'!$D$6:$D$4682,$A12)</f>
        <v>0</v>
      </c>
      <c r="T12" s="204">
        <f t="shared" ref="T12" si="12">IF(NOT($B12=0), O12/$B12, "---")</f>
        <v>0</v>
      </c>
      <c r="U12" s="229" t="str">
        <f t="shared" ref="U12" si="13">IF(NOT($O12=0), (P12+Q12)/$O12, "---")</f>
        <v>---</v>
      </c>
      <c r="V12" s="231">
        <f t="shared" ref="V12" si="14">IF(NOT($B12=0), (P12+Q12)/$B12, "---")</f>
        <v>0</v>
      </c>
    </row>
    <row r="13" spans="1:22" ht="15.75" thickBot="1" x14ac:dyDescent="0.3">
      <c r="A13" s="331"/>
      <c r="B13" s="253">
        <f>SUMIFS('Diags Raw Data'!$L$6:$L$4682,'Diags Raw Data'!$D$6:$D$4682,$A13)</f>
        <v>0</v>
      </c>
      <c r="C13" s="244">
        <f>SUMIFS('Diags Raw Data'!$R$6:$R$4682,'Diags Raw Data'!$D$6:$D$4682,$A13)</f>
        <v>0</v>
      </c>
      <c r="D13" s="244">
        <f>SUMIFS('Diags Raw Data'!$K$6:$K$4682,'Diags Raw Data'!$D$6:$D$4682,$A13)</f>
        <v>0</v>
      </c>
      <c r="E13" s="244">
        <f>SUMIFS('Diags Raw Data'!$O$6:$O$4682,'Diags Raw Data'!$D$6:$D$4682,$A13)</f>
        <v>0</v>
      </c>
      <c r="F13" s="249" t="str">
        <f>IF(NOT($B13=0), E13/$B13, "---")</f>
        <v>---</v>
      </c>
      <c r="G13" s="232">
        <f>SUMIFS('Diags Raw Data'!$S$6:$S$4682,'Diags Raw Data'!$D$6:$D$4682,$A13)</f>
        <v>0</v>
      </c>
      <c r="H13" s="233">
        <f>SUMIFS('Diags Raw Data'!$T$6:$T$4682,'Diags Raw Data'!$D$6:$D$4682,$A13)</f>
        <v>0</v>
      </c>
      <c r="I13" s="234">
        <f>SUMIFS('Diags Raw Data'!$U$6:$U$4682,'Diags Raw Data'!$D$6:$D$4682,$A13)</f>
        <v>0</v>
      </c>
      <c r="J13" s="233">
        <f>SUMIFS('Diags Raw Data'!$V$6:$V$4682,'Diags Raw Data'!$D$6:$D$4682,$A13)</f>
        <v>0</v>
      </c>
      <c r="K13" s="234">
        <f>SUMIFS('Diags Raw Data'!$W$6:$W$4682,'Diags Raw Data'!$D$6:$D$4682,$A13)</f>
        <v>0</v>
      </c>
      <c r="L13" s="245" t="str">
        <f t="shared" si="1"/>
        <v>---</v>
      </c>
      <c r="M13" s="235" t="str">
        <f t="shared" si="2"/>
        <v>---</v>
      </c>
      <c r="N13" s="238" t="str">
        <f>IF(NOT($C13=0), (H13+I13)/$C13, "---")</f>
        <v>---</v>
      </c>
      <c r="O13" s="214">
        <f>SUMIFS('Diags Raw Data'!$Z$6:$Z$4682,'Diags Raw Data'!$D$6:$D$4682,$A13)</f>
        <v>0</v>
      </c>
      <c r="P13" s="206">
        <f>SUMIFS('Diags Raw Data'!$AA$6:$AA$4682,'Diags Raw Data'!$D$6:$D$4682,$A13)</f>
        <v>0</v>
      </c>
      <c r="Q13" s="208">
        <f>SUMIFS('Diags Raw Data'!$AB$6:$AB$4682,'Diags Raw Data'!$D$6:$D$4682,$A13)</f>
        <v>0</v>
      </c>
      <c r="R13" s="206">
        <f>SUMIFS('Diags Raw Data'!$AC$6:$AC$4682,'Diags Raw Data'!$D$6:$D$4682,$A13)</f>
        <v>0</v>
      </c>
      <c r="S13" s="208">
        <f>SUMIFS('Diags Raw Data'!$AD$6:$AD$4682,'Diags Raw Data'!$D$6:$D$4682,$A13)</f>
        <v>0</v>
      </c>
      <c r="T13" s="207" t="str">
        <f t="shared" si="4"/>
        <v>---</v>
      </c>
      <c r="U13" s="239" t="str">
        <f t="shared" si="7"/>
        <v>---</v>
      </c>
      <c r="V13" s="236" t="str">
        <f t="shared" si="6"/>
        <v>---</v>
      </c>
    </row>
    <row r="14" spans="1:22" ht="16.5" thickBot="1" x14ac:dyDescent="0.3">
      <c r="A14" s="272" t="s">
        <v>501</v>
      </c>
      <c r="B14" s="256">
        <f>SUM(B4:B13)</f>
        <v>85</v>
      </c>
      <c r="C14" s="257">
        <f>SUM(C4:C13)</f>
        <v>78</v>
      </c>
      <c r="D14" s="257">
        <f>SUM(D4:D13)</f>
        <v>58</v>
      </c>
      <c r="E14" s="257">
        <f>SUM(E4:E13)</f>
        <v>82</v>
      </c>
      <c r="F14" s="258" cm="1">
        <f t="array" ref="F14">SUMPRODUCT(--(ISNUMBER(SEARCH("New",'Diags Raw Data'!$M$6:$M$4682))),'Diags Raw Data'!$K$6:$K$4682,'Diags Raw Data'!$P$6:$P$4682)/D14+SUMPRODUCT(--(ISNUMBER(SEARCH("Delta",'Diags Raw Data'!$M$6:$M$4682))),'Diags Raw Data'!$K$6:$K$4682,'Diags Raw Data'!$P$6:$P$4682)/D14+SUMPRODUCT(--(ISNUMBER(SEARCH("Legacy",'Diags Raw Data'!$M$6:$M$4682))),'Diags Raw Data'!$K$6:$K$4682,'Diags Raw Data'!$P$6:$P$4682)/D14</f>
        <v>0.94827586206896552</v>
      </c>
      <c r="G14" s="259">
        <f>SUM(G4:G13)</f>
        <v>78</v>
      </c>
      <c r="H14" s="260">
        <f>SUM(H4:H13)</f>
        <v>78</v>
      </c>
      <c r="I14" s="261">
        <f>SUM(I4:I13)</f>
        <v>0</v>
      </c>
      <c r="J14" s="260">
        <f>SUM(J4:J13)</f>
        <v>0</v>
      </c>
      <c r="K14" s="261">
        <f>SUM(K4:K13)</f>
        <v>0</v>
      </c>
      <c r="L14" s="262">
        <f>IF(NOT($C14=0), G14/$C14, "---")</f>
        <v>1</v>
      </c>
      <c r="M14" s="263">
        <f>IF(NOT($G14=0), (H14+I14)/$G14, "---")</f>
        <v>1</v>
      </c>
      <c r="N14" s="264">
        <f>IF(NOT($C14=0), (H14+I14)/$C14, "---")</f>
        <v>1</v>
      </c>
      <c r="O14" s="265">
        <f>SUM(O4:O13)</f>
        <v>0</v>
      </c>
      <c r="P14" s="266">
        <f>SUM(P4:P13)</f>
        <v>0</v>
      </c>
      <c r="Q14" s="267">
        <f>SUM(Q4:Q13)</f>
        <v>0</v>
      </c>
      <c r="R14" s="266">
        <f>SUM(R4:R13)</f>
        <v>0</v>
      </c>
      <c r="S14" s="267">
        <f>SUM(S4:S13)</f>
        <v>0</v>
      </c>
      <c r="T14" s="268">
        <f>IF(NOT($B14=0), O14/$B14, "---")</f>
        <v>0</v>
      </c>
      <c r="U14" s="269" t="str">
        <f>IF(NOT($O14=0), (P14+Q14)/$O14, "---")</f>
        <v>---</v>
      </c>
      <c r="V14" s="270">
        <f>IF(NOT($B14=0), (P14+Q14)/$B14, "---")</f>
        <v>0</v>
      </c>
    </row>
    <row r="15" spans="1:22" ht="15.75" thickBot="1" x14ac:dyDescent="0.3"/>
    <row r="16" spans="1:22" ht="15.75" thickBot="1" x14ac:dyDescent="0.3">
      <c r="A16" s="215" t="s">
        <v>502</v>
      </c>
      <c r="B16" s="597" t="s">
        <v>166</v>
      </c>
      <c r="C16" s="597"/>
      <c r="D16" s="597"/>
      <c r="E16" s="597"/>
      <c r="F16" s="597"/>
      <c r="G16" s="598" t="s">
        <v>177</v>
      </c>
      <c r="H16" s="599"/>
      <c r="I16" s="599"/>
      <c r="J16" s="599"/>
      <c r="K16" s="599"/>
      <c r="L16" s="599"/>
      <c r="M16" s="599"/>
      <c r="N16" s="600"/>
      <c r="O16" s="601" t="s">
        <v>144</v>
      </c>
      <c r="P16" s="602"/>
      <c r="Q16" s="602"/>
      <c r="R16" s="602"/>
      <c r="S16" s="602"/>
      <c r="T16" s="602"/>
      <c r="U16" s="602"/>
      <c r="V16" s="603"/>
    </row>
    <row r="17" spans="1:22" s="250" customFormat="1" ht="15.75" thickBot="1" x14ac:dyDescent="0.3">
      <c r="A17" s="254" t="s">
        <v>88</v>
      </c>
      <c r="B17" s="311" t="s">
        <v>167</v>
      </c>
      <c r="C17" s="312" t="s">
        <v>128</v>
      </c>
      <c r="D17" s="313" t="s">
        <v>105</v>
      </c>
      <c r="E17" s="313" t="s">
        <v>173</v>
      </c>
      <c r="F17" s="314" t="s">
        <v>175</v>
      </c>
      <c r="G17" s="315" t="s">
        <v>132</v>
      </c>
      <c r="H17" s="316" t="s">
        <v>30</v>
      </c>
      <c r="I17" s="316" t="s">
        <v>135</v>
      </c>
      <c r="J17" s="316" t="s">
        <v>36</v>
      </c>
      <c r="K17" s="316" t="s">
        <v>138</v>
      </c>
      <c r="L17" s="316" t="s">
        <v>184</v>
      </c>
      <c r="M17" s="316" t="s">
        <v>140</v>
      </c>
      <c r="N17" s="317" t="s">
        <v>187</v>
      </c>
      <c r="O17" s="318" t="s">
        <v>132</v>
      </c>
      <c r="P17" s="319" t="s">
        <v>30</v>
      </c>
      <c r="Q17" s="319" t="s">
        <v>135</v>
      </c>
      <c r="R17" s="319" t="s">
        <v>36</v>
      </c>
      <c r="S17" s="319" t="s">
        <v>138</v>
      </c>
      <c r="T17" s="319" t="s">
        <v>184</v>
      </c>
      <c r="U17" s="319" t="s">
        <v>140</v>
      </c>
      <c r="V17" s="320" t="s">
        <v>187</v>
      </c>
    </row>
    <row r="18" spans="1:22" x14ac:dyDescent="0.25">
      <c r="A18" s="330" t="s">
        <v>336</v>
      </c>
      <c r="B18" s="251">
        <f>SUMIFS('Diags Raw Data'!$L$6:$L$4682,'Diags Raw Data'!$D$6:$D$4682,$A18,'Diags Raw Data'!$M$6:$M$4682,"New")+SUMIFS('Diags Raw Data'!$L$6:$L$4682,'Diags Raw Data'!$D$6:$D$4682,$A18,'Diags Raw Data'!$M$6:$M$4682,"Delta")</f>
        <v>0</v>
      </c>
      <c r="C18" s="241">
        <f>SUMIFS('Diags Raw Data'!$R$6:$R$4682,'Diags Raw Data'!$D$6:$D$4682,$A18,'Diags Raw Data'!$M$6:$M$4682,"New")+SUMIFS('Diags Raw Data'!$R$6:$R$4682,'Diags Raw Data'!$D$6:$D$4682,$A18,'Diags Raw Data'!$M$6:$M$4682,"Delta")</f>
        <v>0</v>
      </c>
      <c r="D18" s="241">
        <f>SUMIFS('Diags Raw Data'!$K$6:$K$4682,'Diags Raw Data'!$D$6:$D$4682,$A18,'Diags Raw Data'!$M$6:$M$4682,"New")+SUMIFS('Diags Raw Data'!$K$6:$K$4682,'Diags Raw Data'!$D$6:$D$4682,$A18,'Diags Raw Data'!$M$6:$M$4682,"Delta")</f>
        <v>0</v>
      </c>
      <c r="E18" s="241">
        <f>SUMIFS('Diags Raw Data'!$O$6:$O$4682,'Diags Raw Data'!$D$6:$D$4682,$A18,'Diags Raw Data'!$M$6:$M$4682,"New")+SUMIFS('Diags Raw Data'!$O$6:$O$4682,'Diags Raw Data'!$D$6:$D$4682,$A18,'Diags Raw Data'!$M$6:$M$4682,"Delta")</f>
        <v>0</v>
      </c>
      <c r="F18" s="247" t="str">
        <f t="shared" ref="F18:F27" si="15">IF(NOT($B18=0), E18/$B18, "---")</f>
        <v>---</v>
      </c>
      <c r="G18" s="219">
        <f>SUMIFS('Diags Raw Data'!$S$6:$S$4682,'Diags Raw Data'!$D$6:$D$4682,$A18,'Diags Raw Data'!$M$6:$M$4682,"New")+SUMIFS('Diags Raw Data'!$S$6:$S$4682,'Diags Raw Data'!$D$6:$D$4682,$A18,'Diags Raw Data'!$M$6:$M$4682,"Delta")</f>
        <v>0</v>
      </c>
      <c r="H18" s="220">
        <f>SUMIFS('Diags Raw Data'!$T$6:$T$4682,'Diags Raw Data'!$D$6:$D$4682,$A18,'Diags Raw Data'!$M$6:$M$4682,"New")+SUMIFS('Diags Raw Data'!$T$6:$T$4682,'Diags Raw Data'!$D$6:$D$4682,$A18,'Diags Raw Data'!$M$6:$M$4682,"Delta")</f>
        <v>0</v>
      </c>
      <c r="I18" s="220">
        <f>SUMIFS('Diags Raw Data'!$U$6:$U$4682,'Diags Raw Data'!$D$6:$D$4682,$A18,'Diags Raw Data'!$M$6:$M$4682,"New")+SUMIFS('Diags Raw Data'!$U$6:$U$4682,'Diags Raw Data'!$D$6:$D$4682,$A18,'Diags Raw Data'!$M$6:$M$4682,"Delta")</f>
        <v>0</v>
      </c>
      <c r="J18" s="220">
        <f>SUMIFS('Diags Raw Data'!$V$6:$V$4682,'Diags Raw Data'!$D$6:$D$4682,$A18,'Diags Raw Data'!$M$6:$M$4682,"New")+SUMIFS('Diags Raw Data'!$V$6:$V$4682,'Diags Raw Data'!$D$6:$D$4682,$A18,'Diags Raw Data'!$M$6:$M$4682,"Delta")</f>
        <v>0</v>
      </c>
      <c r="K18" s="220">
        <f>SUMIFS('Diags Raw Data'!$W$6:$W$4682,'Diags Raw Data'!$D$6:$D$4682,$A18,'Diags Raw Data'!$M$6:$M$4682,"New")+SUMIFS('Diags Raw Data'!$W$6:$W$4682,'Diags Raw Data'!$D$6:$D$4682,$A18,'Diags Raw Data'!$M$6:$M$4682,"Delta")</f>
        <v>0</v>
      </c>
      <c r="L18" s="221" t="str">
        <f>IF(NOT($C18=0), G18/$C18, "---")</f>
        <v>---</v>
      </c>
      <c r="M18" s="223" t="str">
        <f>IF(NOT($G18=0), (H18+I18)/$G18, "---")</f>
        <v>---</v>
      </c>
      <c r="N18" s="225" t="str">
        <f>IF(NOT($C18=0), (H18+I18)/$C18, "---")</f>
        <v>---</v>
      </c>
      <c r="O18" s="212">
        <f>SUMIFS('Diags Raw Data'!$Z$6:$Z$4682,'Diags Raw Data'!$D$6:$D$4682,$A18,'Diags Raw Data'!$M$6:$M$4682,"New")+SUMIFS('Diags Raw Data'!$Z$6:$Z$4682,'Diags Raw Data'!$D$6:$D$4682,$A18,'Diags Raw Data'!$M$6:$M$4682,"Delta")</f>
        <v>0</v>
      </c>
      <c r="P18" s="209">
        <f>SUMIFS('Diags Raw Data'!$AA$6:$AA$4682,'Diags Raw Data'!$D$6:$D$4682,$A18,'Diags Raw Data'!$M$6:$M$4682,"New")+SUMIFS('Diags Raw Data'!$AA$6:$AA$4682,'Diags Raw Data'!$D$6:$D$4682,$A18,'Diags Raw Data'!$M$6:$M$4682,"Delta")</f>
        <v>0</v>
      </c>
      <c r="Q18" s="209">
        <f>SUMIFS('Diags Raw Data'!$AB$6:$AB$4682,'Diags Raw Data'!$D$6:$D$4682,$A18,'Diags Raw Data'!$M$6:$M$4682,"New")+SUMIFS('Diags Raw Data'!$AB$6:$AB$4682,'Diags Raw Data'!$D$6:$D$4682,$A18,'Diags Raw Data'!$M$6:$M$4682,"Delta")</f>
        <v>0</v>
      </c>
      <c r="R18" s="209">
        <f>SUMIFS('Diags Raw Data'!$AC$6:$AC$4682,'Diags Raw Data'!$D$6:$D$4682,$A18,'Diags Raw Data'!$M$6:$M$4682,"New")+SUMIFS('Diags Raw Data'!$AC$6:$AC$4682,'Diags Raw Data'!$D$6:$D$4682,$A18,'Diags Raw Data'!$M$6:$M$4682,"Delta")</f>
        <v>0</v>
      </c>
      <c r="S18" s="209">
        <f>SUMIFS('Diags Raw Data'!$AD$6:$AD$4682,'Diags Raw Data'!$D$6:$D$4682,$A18,'Diags Raw Data'!$M$6:$M$4682,"New")+SUMIFS('Diags Raw Data'!$AD$6:$AD$4682,'Diags Raw Data'!$D$6:$D$4682,$A18,'Diags Raw Data'!$M$6:$M$4682,"Delta")</f>
        <v>0</v>
      </c>
      <c r="T18" s="210" t="str">
        <f>IF(NOT($B18=0), O18/$B18, "---")</f>
        <v>---</v>
      </c>
      <c r="U18" s="224" t="str">
        <f>IF(NOT($O18=0), (P18+Q18)/$O18, "---")</f>
        <v>---</v>
      </c>
      <c r="V18" s="240" t="str">
        <f>IF(NOT($B18=0), (P18+Q18)/$B18, "---")</f>
        <v>---</v>
      </c>
    </row>
    <row r="19" spans="1:22" x14ac:dyDescent="0.25">
      <c r="A19" s="330" t="s">
        <v>355</v>
      </c>
      <c r="B19" s="252">
        <f>SUMIFS('Diags Raw Data'!$L$6:$L$4682,'Diags Raw Data'!$D$6:$D$4682,$A19,'Diags Raw Data'!$M$6:$M$4682,"New")+SUMIFS('Diags Raw Data'!$L$6:$L$4682,'Diags Raw Data'!$D$6:$D$4682,$A19,'Diags Raw Data'!$M$6:$M$4682,"Delta")</f>
        <v>2</v>
      </c>
      <c r="C19" s="242">
        <f>SUMIFS('Diags Raw Data'!$R$6:$R$4682,'Diags Raw Data'!$D$6:$D$4682,$A19,'Diags Raw Data'!$M$6:$M$4682,"New")+SUMIFS('Diags Raw Data'!$R$6:$R$4682,'Diags Raw Data'!$D$6:$D$4682,$A19,'Diags Raw Data'!$M$6:$M$4682,"Delta")</f>
        <v>2</v>
      </c>
      <c r="D19" s="242">
        <f>SUMIFS('Diags Raw Data'!$K$6:$K$4682,'Diags Raw Data'!$D$6:$D$4682,$A19,'Diags Raw Data'!$M$6:$M$4682,"New")+SUMIFS('Diags Raw Data'!$K$6:$K$4682,'Diags Raw Data'!$D$6:$D$4682,$A19,'Diags Raw Data'!$M$6:$M$4682,"Delta")</f>
        <v>2</v>
      </c>
      <c r="E19" s="242">
        <f>SUMIFS('Diags Raw Data'!$O$6:$O$4682,'Diags Raw Data'!$D$6:$D$4682,$A19,'Diags Raw Data'!$M$6:$M$4682,"New")+SUMIFS('Diags Raw Data'!$O$6:$O$4682,'Diags Raw Data'!$D$6:$D$4682,$A19,'Diags Raw Data'!$M$6:$M$4682,"Delta")</f>
        <v>2</v>
      </c>
      <c r="F19" s="248">
        <f t="shared" si="15"/>
        <v>1</v>
      </c>
      <c r="G19" s="230">
        <f>SUMIFS('Diags Raw Data'!$S$6:$S$4682,'Diags Raw Data'!$D$6:$D$4682,$A19,'Diags Raw Data'!$M$6:$M$4682,"New")+SUMIFS('Diags Raw Data'!$S$6:$S$4682,'Diags Raw Data'!$D$6:$D$4682,$A19,'Diags Raw Data'!$M$6:$M$4682,"Delta")</f>
        <v>2</v>
      </c>
      <c r="H19" s="226">
        <f>SUMIFS('Diags Raw Data'!$T$6:$T$4682,'Diags Raw Data'!$D$6:$D$4682,$A19,'Diags Raw Data'!$M$6:$M$4682,"New")+SUMIFS('Diags Raw Data'!$T$6:$T$4682,'Diags Raw Data'!$D$6:$D$4682,$A19,'Diags Raw Data'!$M$6:$M$4682,"Delta")</f>
        <v>2</v>
      </c>
      <c r="I19" s="226">
        <f>SUMIFS('Diags Raw Data'!$U$6:$U$4682,'Diags Raw Data'!$D$6:$D$4682,$A19,'Diags Raw Data'!$M$6:$M$4682,"New")+SUMIFS('Diags Raw Data'!$U$6:$U$4682,'Diags Raw Data'!$D$6:$D$4682,$A19,'Diags Raw Data'!$M$6:$M$4682,"Delta")</f>
        <v>0</v>
      </c>
      <c r="J19" s="226">
        <f>SUMIFS('Diags Raw Data'!$V$6:$V$4682,'Diags Raw Data'!$D$6:$D$4682,$A19,'Diags Raw Data'!$M$6:$M$4682,"New")+SUMIFS('Diags Raw Data'!$V$6:$V$4682,'Diags Raw Data'!$D$6:$D$4682,$A19,'Diags Raw Data'!$M$6:$M$4682,"Delta")</f>
        <v>0</v>
      </c>
      <c r="K19" s="226">
        <f>SUMIFS('Diags Raw Data'!$W$6:$W$4682,'Diags Raw Data'!$D$6:$D$4682,$A19,'Diags Raw Data'!$M$6:$M$4682,"New")+SUMIFS('Diags Raw Data'!$W$6:$W$4682,'Diags Raw Data'!$D$6:$D$4682,$A19,'Diags Raw Data'!$M$6:$M$4682,"Delta")</f>
        <v>0</v>
      </c>
      <c r="L19" s="243">
        <f>IF(NOT($C19=0), G19/$C19, "---")</f>
        <v>1</v>
      </c>
      <c r="M19" s="228">
        <f>IF(NOT($G19=0), (H19+I19)/$G19, "---")</f>
        <v>1</v>
      </c>
      <c r="N19" s="237">
        <f>IF(NOT($C19=0), (H19+I19)/$C19, "---")</f>
        <v>1</v>
      </c>
      <c r="O19" s="213">
        <f>SUMIFS('Diags Raw Data'!$Z$6:$Z$4682,'Diags Raw Data'!$D$6:$D$4682,$A19,'Diags Raw Data'!$M$6:$M$4682,"New")+SUMIFS('Diags Raw Data'!$Z$6:$Z$4682,'Diags Raw Data'!$D$6:$D$4682,$A19,'Diags Raw Data'!$M$6:$M$4682,"Delta")</f>
        <v>0</v>
      </c>
      <c r="P19" s="203">
        <f>SUMIFS('Diags Raw Data'!$AA$6:$AA$4682,'Diags Raw Data'!$D$6:$D$4682,$A19,'Diags Raw Data'!$M$6:$M$4682,"New")+SUMIFS('Diags Raw Data'!$AA$6:$AA$4682,'Diags Raw Data'!$D$6:$D$4682,$A19,'Diags Raw Data'!$M$6:$M$4682,"Delta")</f>
        <v>0</v>
      </c>
      <c r="Q19" s="203">
        <f>SUMIFS('Diags Raw Data'!$AB$6:$AB$4682,'Diags Raw Data'!$D$6:$D$4682,$A19,'Diags Raw Data'!$M$6:$M$4682,"New")+SUMIFS('Diags Raw Data'!$AB$6:$AB$4682,'Diags Raw Data'!$D$6:$D$4682,$A19,'Diags Raw Data'!$M$6:$M$4682,"Delta")</f>
        <v>0</v>
      </c>
      <c r="R19" s="203">
        <f>SUMIFS('Diags Raw Data'!$AC$6:$AC$4682,'Diags Raw Data'!$D$6:$D$4682,$A19,'Diags Raw Data'!$M$6:$M$4682,"New")+SUMIFS('Diags Raw Data'!$AC$6:$AC$4682,'Diags Raw Data'!$D$6:$D$4682,$A19,'Diags Raw Data'!$M$6:$M$4682,"Delta")</f>
        <v>0</v>
      </c>
      <c r="S19" s="203">
        <f>SUMIFS('Diags Raw Data'!$AD$6:$AD$4682,'Diags Raw Data'!$D$6:$D$4682,$A19,'Diags Raw Data'!$M$6:$M$4682,"New")+SUMIFS('Diags Raw Data'!$AD$6:$AD$4682,'Diags Raw Data'!$D$6:$D$4682,$A19,'Diags Raw Data'!$M$6:$M$4682,"Delta")</f>
        <v>0</v>
      </c>
      <c r="T19" s="204">
        <f>IF(NOT($B19=0), O19/$B19, "---")</f>
        <v>0</v>
      </c>
      <c r="U19" s="229" t="str">
        <f>IF(NOT($O19=0), (P19+Q19)/$O19, "---")</f>
        <v>---</v>
      </c>
      <c r="V19" s="231">
        <f t="shared" ref="V19:V28" si="16">IF(NOT($B19=0), (P19+Q19)/$B19, "---")</f>
        <v>0</v>
      </c>
    </row>
    <row r="20" spans="1:22" x14ac:dyDescent="0.25">
      <c r="A20" s="330" t="s">
        <v>320</v>
      </c>
      <c r="B20" s="252">
        <f>SUMIFS('Diags Raw Data'!$L$6:$L$4682,'Diags Raw Data'!$D$6:$D$4682,$A20,'Diags Raw Data'!$M$6:$M$4682,"New")+SUMIFS('Diags Raw Data'!$L$6:$L$4682,'Diags Raw Data'!$D$6:$D$4682,$A20,'Diags Raw Data'!$M$6:$M$4682,"Delta")</f>
        <v>3</v>
      </c>
      <c r="C20" s="242">
        <f>SUMIFS('Diags Raw Data'!$R$6:$R$4682,'Diags Raw Data'!$D$6:$D$4682,$A20,'Diags Raw Data'!$M$6:$M$4682,"New")+SUMIFS('Diags Raw Data'!$R$6:$R$4682,'Diags Raw Data'!$D$6:$D$4682,$A20,'Diags Raw Data'!$M$6:$M$4682,"Delta")</f>
        <v>3</v>
      </c>
      <c r="D20" s="242">
        <f>SUMIFS('Diags Raw Data'!$K$6:$K$4682,'Diags Raw Data'!$D$6:$D$4682,$A20,'Diags Raw Data'!$M$6:$M$4682,"New")+SUMIFS('Diags Raw Data'!$K$6:$K$4682,'Diags Raw Data'!$D$6:$D$4682,$A20,'Diags Raw Data'!$M$6:$M$4682,"Delta")</f>
        <v>3</v>
      </c>
      <c r="E20" s="242">
        <f>SUMIFS('Diags Raw Data'!$O$6:$O$4682,'Diags Raw Data'!$D$6:$D$4682,$A20,'Diags Raw Data'!$M$6:$M$4682,"New")+SUMIFS('Diags Raw Data'!$O$6:$O$4682,'Diags Raw Data'!$D$6:$D$4682,$A20,'Diags Raw Data'!$M$6:$M$4682,"Delta")</f>
        <v>3</v>
      </c>
      <c r="F20" s="248">
        <f>IF(NOT($B20=0), E20/$B20, "---")</f>
        <v>1</v>
      </c>
      <c r="G20" s="230">
        <f>SUMIFS('Diags Raw Data'!$S$6:$S$4682,'Diags Raw Data'!$D$6:$D$4682,$A20,'Diags Raw Data'!$M$6:$M$4682,"New")+SUMIFS('Diags Raw Data'!$S$6:$S$4682,'Diags Raw Data'!$D$6:$D$4682,$A20,'Diags Raw Data'!$M$6:$M$4682,"Delta")</f>
        <v>3</v>
      </c>
      <c r="H20" s="226">
        <f>SUMIFS('Diags Raw Data'!$T$6:$T$4682,'Diags Raw Data'!$D$6:$D$4682,$A20,'Diags Raw Data'!$M$6:$M$4682,"New")+SUMIFS('Diags Raw Data'!$T$6:$T$4682,'Diags Raw Data'!$D$6:$D$4682,$A20,'Diags Raw Data'!$M$6:$M$4682,"Delta")</f>
        <v>3</v>
      </c>
      <c r="I20" s="226">
        <f>SUMIFS('Diags Raw Data'!$U$6:$U$4682,'Diags Raw Data'!$D$6:$D$4682,$A20,'Diags Raw Data'!$M$6:$M$4682,"New")+SUMIFS('Diags Raw Data'!$U$6:$U$4682,'Diags Raw Data'!$D$6:$D$4682,$A20,'Diags Raw Data'!$M$6:$M$4682,"Delta")</f>
        <v>0</v>
      </c>
      <c r="J20" s="226">
        <f>SUMIFS('Diags Raw Data'!$V$6:$V$4682,'Diags Raw Data'!$D$6:$D$4682,$A20,'Diags Raw Data'!$M$6:$M$4682,"New")+SUMIFS('Diags Raw Data'!$V$6:$V$4682,'Diags Raw Data'!$D$6:$D$4682,$A20,'Diags Raw Data'!$M$6:$M$4682,"Delta")</f>
        <v>0</v>
      </c>
      <c r="K20" s="226">
        <f>SUMIFS('Diags Raw Data'!$W$6:$W$4682,'Diags Raw Data'!$D$6:$D$4682,$A20,'Diags Raw Data'!$M$6:$M$4682,"New")+SUMIFS('Diags Raw Data'!$W$6:$W$4682,'Diags Raw Data'!$D$6:$D$4682,$A20,'Diags Raw Data'!$M$6:$M$4682,"Delta")</f>
        <v>0</v>
      </c>
      <c r="L20" s="243">
        <f t="shared" ref="L20:L27" si="17">IF(NOT($C20=0), G20/$C20, "---")</f>
        <v>1</v>
      </c>
      <c r="M20" s="228">
        <f>IF(NOT($G20=0), (H20+I20)/$G20, "---")</f>
        <v>1</v>
      </c>
      <c r="N20" s="237">
        <f t="shared" ref="N20:N27" si="18">IF(NOT($C20=0), (H20+I20)/$C20, "---")</f>
        <v>1</v>
      </c>
      <c r="O20" s="213">
        <f>SUMIFS('Diags Raw Data'!$Z$6:$Z$4682,'Diags Raw Data'!$D$6:$D$4682,$A20,'Diags Raw Data'!$M$6:$M$4682,"New")+SUMIFS('Diags Raw Data'!$Z$6:$Z$4682,'Diags Raw Data'!$D$6:$D$4682,$A20,'Diags Raw Data'!$M$6:$M$4682,"Delta")</f>
        <v>0</v>
      </c>
      <c r="P20" s="203">
        <f>SUMIFS('Diags Raw Data'!$AA$6:$AA$4682,'Diags Raw Data'!$D$6:$D$4682,$A20,'Diags Raw Data'!$M$6:$M$4682,"New")+SUMIFS('Diags Raw Data'!$AA$6:$AA$4682,'Diags Raw Data'!$D$6:$D$4682,$A20,'Diags Raw Data'!$M$6:$M$4682,"Delta")</f>
        <v>0</v>
      </c>
      <c r="Q20" s="203">
        <f>SUMIFS('Diags Raw Data'!$AB$6:$AB$4682,'Diags Raw Data'!$D$6:$D$4682,$A20,'Diags Raw Data'!$M$6:$M$4682,"New")+SUMIFS('Diags Raw Data'!$AB$6:$AB$4682,'Diags Raw Data'!$D$6:$D$4682,$A20,'Diags Raw Data'!$M$6:$M$4682,"Delta")</f>
        <v>0</v>
      </c>
      <c r="R20" s="203">
        <f>SUMIFS('Diags Raw Data'!$AC$6:$AC$4682,'Diags Raw Data'!$D$6:$D$4682,$A20,'Diags Raw Data'!$M$6:$M$4682,"New")+SUMIFS('Diags Raw Data'!$AC$6:$AC$4682,'Diags Raw Data'!$D$6:$D$4682,$A20,'Diags Raw Data'!$M$6:$M$4682,"Delta")</f>
        <v>0</v>
      </c>
      <c r="S20" s="203">
        <f>SUMIFS('Diags Raw Data'!$AD$6:$AD$4682,'Diags Raw Data'!$D$6:$D$4682,$A20,'Diags Raw Data'!$M$6:$M$4682,"New")+SUMIFS('Diags Raw Data'!$AD$6:$AD$4682,'Diags Raw Data'!$D$6:$D$4682,$A20,'Diags Raw Data'!$M$6:$M$4682,"Delta")</f>
        <v>0</v>
      </c>
      <c r="T20" s="204">
        <f t="shared" ref="T20:T27" si="19">IF(NOT($B20=0), O20/$B20, "---")</f>
        <v>0</v>
      </c>
      <c r="U20" s="229" t="str">
        <f t="shared" ref="U20:U28" si="20">IF(NOT($O20=0), (P20+Q20)/$O20, "---")</f>
        <v>---</v>
      </c>
      <c r="V20" s="231">
        <f>IF(NOT($B20=0), (P20+Q20)/$B20, "---")</f>
        <v>0</v>
      </c>
    </row>
    <row r="21" spans="1:22" x14ac:dyDescent="0.25">
      <c r="A21" s="330" t="s">
        <v>404</v>
      </c>
      <c r="B21" s="252">
        <f>SUMIFS('Diags Raw Data'!$L$6:$L$4682,'Diags Raw Data'!$D$6:$D$4682,$A21,'Diags Raw Data'!$M$6:$M$4682,"New")+SUMIFS('Diags Raw Data'!$L$6:$L$4682,'Diags Raw Data'!$D$6:$D$4682,$A21,'Diags Raw Data'!$M$6:$M$4682,"Delta")</f>
        <v>0</v>
      </c>
      <c r="C21" s="242">
        <f>SUMIFS('Diags Raw Data'!$R$6:$R$4682,'Diags Raw Data'!$D$6:$D$4682,$A21,'Diags Raw Data'!$M$6:$M$4682,"New")+SUMIFS('Diags Raw Data'!$R$6:$R$4682,'Diags Raw Data'!$D$6:$D$4682,$A21,'Diags Raw Data'!$M$6:$M$4682,"Delta")</f>
        <v>0</v>
      </c>
      <c r="D21" s="242">
        <f>SUMIFS('Diags Raw Data'!$K$6:$K$4682,'Diags Raw Data'!$D$6:$D$4682,$A21,'Diags Raw Data'!$M$6:$M$4682,"New")+SUMIFS('Diags Raw Data'!$K$6:$K$4682,'Diags Raw Data'!$D$6:$D$4682,$A21,'Diags Raw Data'!$M$6:$M$4682,"Delta")</f>
        <v>0</v>
      </c>
      <c r="E21" s="242">
        <f>SUMIFS('Diags Raw Data'!$O$6:$O$4682,'Diags Raw Data'!$D$6:$D$4682,$A21,'Diags Raw Data'!$M$6:$M$4682,"New")+SUMIFS('Diags Raw Data'!$O$6:$O$4682,'Diags Raw Data'!$D$6:$D$4682,$A21,'Diags Raw Data'!$M$6:$M$4682,"Delta")</f>
        <v>0</v>
      </c>
      <c r="F21" s="248" t="str">
        <f t="shared" si="15"/>
        <v>---</v>
      </c>
      <c r="G21" s="230">
        <f>SUMIFS('Diags Raw Data'!$S$6:$S$4682,'Diags Raw Data'!$D$6:$D$4682,$A21,'Diags Raw Data'!$M$6:$M$4682,"New")+SUMIFS('Diags Raw Data'!$S$6:$S$4682,'Diags Raw Data'!$D$6:$D$4682,$A21,'Diags Raw Data'!$M$6:$M$4682,"Delta")</f>
        <v>0</v>
      </c>
      <c r="H21" s="226">
        <f>SUMIFS('Diags Raw Data'!$T$6:$T$4682,'Diags Raw Data'!$D$6:$D$4682,$A21,'Diags Raw Data'!$M$6:$M$4682,"New")+SUMIFS('Diags Raw Data'!$T$6:$T$4682,'Diags Raw Data'!$D$6:$D$4682,$A21,'Diags Raw Data'!$M$6:$M$4682,"Delta")</f>
        <v>0</v>
      </c>
      <c r="I21" s="226">
        <f>SUMIFS('Diags Raw Data'!$U$6:$U$4682,'Diags Raw Data'!$D$6:$D$4682,$A21,'Diags Raw Data'!$M$6:$M$4682,"New")+SUMIFS('Diags Raw Data'!$U$6:$U$4682,'Diags Raw Data'!$D$6:$D$4682,$A21,'Diags Raw Data'!$M$6:$M$4682,"Delta")</f>
        <v>0</v>
      </c>
      <c r="J21" s="226">
        <f>SUMIFS('Diags Raw Data'!$V$6:$V$4682,'Diags Raw Data'!$D$6:$D$4682,$A21,'Diags Raw Data'!$M$6:$M$4682,"New")+SUMIFS('Diags Raw Data'!$V$6:$V$4682,'Diags Raw Data'!$D$6:$D$4682,$A21,'Diags Raw Data'!$M$6:$M$4682,"Delta")</f>
        <v>0</v>
      </c>
      <c r="K21" s="226">
        <f>SUMIFS('Diags Raw Data'!$W$6:$W$4682,'Diags Raw Data'!$D$6:$D$4682,$A21,'Diags Raw Data'!$M$6:$M$4682,"New")+SUMIFS('Diags Raw Data'!$W$6:$W$4682,'Diags Raw Data'!$D$6:$D$4682,$A21,'Diags Raw Data'!$M$6:$M$4682,"Delta")</f>
        <v>0</v>
      </c>
      <c r="L21" s="243" t="str">
        <f t="shared" si="17"/>
        <v>---</v>
      </c>
      <c r="M21" s="228" t="str">
        <f t="shared" ref="M21:M28" si="21">IF(NOT($G21=0), (H21+I21)/$G21, "---")</f>
        <v>---</v>
      </c>
      <c r="N21" s="237" t="str">
        <f>IF(NOT($C21=0), (H21+I21)/$C21, "---")</f>
        <v>---</v>
      </c>
      <c r="O21" s="213">
        <f>SUMIFS('Diags Raw Data'!$Z$6:$Z$4682,'Diags Raw Data'!$D$6:$D$4682,$A21,'Diags Raw Data'!$M$6:$M$4682,"New")+SUMIFS('Diags Raw Data'!$Z$6:$Z$4682,'Diags Raw Data'!$D$6:$D$4682,$A21,'Diags Raw Data'!$M$6:$M$4682,"Delta")</f>
        <v>0</v>
      </c>
      <c r="P21" s="203">
        <f>SUMIFS('Diags Raw Data'!$AA$6:$AA$4682,'Diags Raw Data'!$D$6:$D$4682,$A21,'Diags Raw Data'!$M$6:$M$4682,"New")+SUMIFS('Diags Raw Data'!$AA$6:$AA$4682,'Diags Raw Data'!$D$6:$D$4682,$A21,'Diags Raw Data'!$M$6:$M$4682,"Delta")</f>
        <v>0</v>
      </c>
      <c r="Q21" s="203">
        <f>SUMIFS('Diags Raw Data'!$AB$6:$AB$4682,'Diags Raw Data'!$D$6:$D$4682,$A21,'Diags Raw Data'!$M$6:$M$4682,"New")+SUMIFS('Diags Raw Data'!$AB$6:$AB$4682,'Diags Raw Data'!$D$6:$D$4682,$A21,'Diags Raw Data'!$M$6:$M$4682,"Delta")</f>
        <v>0</v>
      </c>
      <c r="R21" s="203">
        <f>SUMIFS('Diags Raw Data'!$AC$6:$AC$4682,'Diags Raw Data'!$D$6:$D$4682,$A21,'Diags Raw Data'!$M$6:$M$4682,"New")+SUMIFS('Diags Raw Data'!$AC$6:$AC$4682,'Diags Raw Data'!$D$6:$D$4682,$A21,'Diags Raw Data'!$M$6:$M$4682,"Delta")</f>
        <v>0</v>
      </c>
      <c r="S21" s="203">
        <f>SUMIFS('Diags Raw Data'!$AD$6:$AD$4682,'Diags Raw Data'!$D$6:$D$4682,$A21,'Diags Raw Data'!$M$6:$M$4682,"New")+SUMIFS('Diags Raw Data'!$AD$6:$AD$4682,'Diags Raw Data'!$D$6:$D$4682,$A21,'Diags Raw Data'!$M$6:$M$4682,"Delta")</f>
        <v>0</v>
      </c>
      <c r="T21" s="204" t="str">
        <f t="shared" si="19"/>
        <v>---</v>
      </c>
      <c r="U21" s="229" t="str">
        <f t="shared" si="20"/>
        <v>---</v>
      </c>
      <c r="V21" s="231" t="str">
        <f>IF(NOT($B21=0), (P21+Q21)/$B21, "---")</f>
        <v>---</v>
      </c>
    </row>
    <row r="22" spans="1:22" x14ac:dyDescent="0.25">
      <c r="A22" s="330" t="s">
        <v>413</v>
      </c>
      <c r="B22" s="252">
        <f>SUMIFS('Diags Raw Data'!$L$6:$L$4682,'Diags Raw Data'!$D$6:$D$4682,$A22,'Diags Raw Data'!$M$6:$M$4682,"New")+SUMIFS('Diags Raw Data'!$L$6:$L$4682,'Diags Raw Data'!$D$6:$D$4682,$A22,'Diags Raw Data'!$M$6:$M$4682,"Delta")</f>
        <v>0</v>
      </c>
      <c r="C22" s="242">
        <f>SUMIFS('Diags Raw Data'!$R$6:$R$4682,'Diags Raw Data'!$D$6:$D$4682,$A22,'Diags Raw Data'!$M$6:$M$4682,"New")+SUMIFS('Diags Raw Data'!$R$6:$R$4682,'Diags Raw Data'!$D$6:$D$4682,$A22,'Diags Raw Data'!$M$6:$M$4682,"Delta")</f>
        <v>0</v>
      </c>
      <c r="D22" s="242">
        <f>SUMIFS('Diags Raw Data'!$K$6:$K$4682,'Diags Raw Data'!$D$6:$D$4682,$A22,'Diags Raw Data'!$M$6:$M$4682,"New")+SUMIFS('Diags Raw Data'!$K$6:$K$4682,'Diags Raw Data'!$D$6:$D$4682,$A22,'Diags Raw Data'!$M$6:$M$4682,"Delta")</f>
        <v>0</v>
      </c>
      <c r="E22" s="242">
        <f>SUMIFS('Diags Raw Data'!$O$6:$O$4682,'Diags Raw Data'!$D$6:$D$4682,$A22,'Diags Raw Data'!$M$6:$M$4682,"New")+SUMIFS('Diags Raw Data'!$O$6:$O$4682,'Diags Raw Data'!$D$6:$D$4682,$A22,'Diags Raw Data'!$M$6:$M$4682,"Delta")</f>
        <v>0</v>
      </c>
      <c r="F22" s="248" t="str">
        <f>IF(NOT($B22=0), E22/$B22, "---")</f>
        <v>---</v>
      </c>
      <c r="G22" s="230">
        <f>SUMIFS('Diags Raw Data'!$S$6:$S$4682,'Diags Raw Data'!$D$6:$D$4682,$A22,'Diags Raw Data'!$M$6:$M$4682,"New")+SUMIFS('Diags Raw Data'!$S$6:$S$4682,'Diags Raw Data'!$D$6:$D$4682,$A22,'Diags Raw Data'!$M$6:$M$4682,"Delta")</f>
        <v>0</v>
      </c>
      <c r="H22" s="226">
        <f>SUMIFS('Diags Raw Data'!$T$6:$T$4682,'Diags Raw Data'!$D$6:$D$4682,$A22,'Diags Raw Data'!$M$6:$M$4682,"New")+SUMIFS('Diags Raw Data'!$T$6:$T$4682,'Diags Raw Data'!$D$6:$D$4682,$A22,'Diags Raw Data'!$M$6:$M$4682,"Delta")</f>
        <v>0</v>
      </c>
      <c r="I22" s="226">
        <f>SUMIFS('Diags Raw Data'!$U$6:$U$4682,'Diags Raw Data'!$D$6:$D$4682,$A22,'Diags Raw Data'!$M$6:$M$4682,"New")+SUMIFS('Diags Raw Data'!$U$6:$U$4682,'Diags Raw Data'!$D$6:$D$4682,$A22,'Diags Raw Data'!$M$6:$M$4682,"Delta")</f>
        <v>0</v>
      </c>
      <c r="J22" s="226">
        <f>SUMIFS('Diags Raw Data'!$V$6:$V$4682,'Diags Raw Data'!$D$6:$D$4682,$A22,'Diags Raw Data'!$M$6:$M$4682,"New")+SUMIFS('Diags Raw Data'!$V$6:$V$4682,'Diags Raw Data'!$D$6:$D$4682,$A22,'Diags Raw Data'!$M$6:$M$4682,"Delta")</f>
        <v>0</v>
      </c>
      <c r="K22" s="226">
        <f>SUMIFS('Diags Raw Data'!$W$6:$W$4682,'Diags Raw Data'!$D$6:$D$4682,$A22,'Diags Raw Data'!$M$6:$M$4682,"New")+SUMIFS('Diags Raw Data'!$W$6:$W$4682,'Diags Raw Data'!$D$6:$D$4682,$A22,'Diags Raw Data'!$M$6:$M$4682,"Delta")</f>
        <v>0</v>
      </c>
      <c r="L22" s="243" t="str">
        <f t="shared" si="17"/>
        <v>---</v>
      </c>
      <c r="M22" s="228" t="str">
        <f t="shared" si="21"/>
        <v>---</v>
      </c>
      <c r="N22" s="237" t="str">
        <f t="shared" si="18"/>
        <v>---</v>
      </c>
      <c r="O22" s="213">
        <f>SUMIFS('Diags Raw Data'!$Z$6:$Z$4682,'Diags Raw Data'!$D$6:$D$4682,$A22,'Diags Raw Data'!$M$6:$M$4682,"New")+SUMIFS('Diags Raw Data'!$Z$6:$Z$4682,'Diags Raw Data'!$D$6:$D$4682,$A22,'Diags Raw Data'!$M$6:$M$4682,"Delta")</f>
        <v>0</v>
      </c>
      <c r="P22" s="203">
        <f>SUMIFS('Diags Raw Data'!$AA$6:$AA$4682,'Diags Raw Data'!$D$6:$D$4682,$A22,'Diags Raw Data'!$M$6:$M$4682,"New")+SUMIFS('Diags Raw Data'!$AA$6:$AA$4682,'Diags Raw Data'!$D$6:$D$4682,$A22,'Diags Raw Data'!$M$6:$M$4682,"Delta")</f>
        <v>0</v>
      </c>
      <c r="Q22" s="203">
        <f>SUMIFS('Diags Raw Data'!$AB$6:$AB$4682,'Diags Raw Data'!$D$6:$D$4682,$A22,'Diags Raw Data'!$M$6:$M$4682,"New")+SUMIFS('Diags Raw Data'!$AB$6:$AB$4682,'Diags Raw Data'!$D$6:$D$4682,$A22,'Diags Raw Data'!$M$6:$M$4682,"Delta")</f>
        <v>0</v>
      </c>
      <c r="R22" s="203">
        <f>SUMIFS('Diags Raw Data'!$AC$6:$AC$4682,'Diags Raw Data'!$D$6:$D$4682,$A22,'Diags Raw Data'!$M$6:$M$4682,"New")+SUMIFS('Diags Raw Data'!$AC$6:$AC$4682,'Diags Raw Data'!$D$6:$D$4682,$A22,'Diags Raw Data'!$M$6:$M$4682,"Delta")</f>
        <v>0</v>
      </c>
      <c r="S22" s="203">
        <f>SUMIFS('Diags Raw Data'!$AD$6:$AD$4682,'Diags Raw Data'!$D$6:$D$4682,$A22,'Diags Raw Data'!$M$6:$M$4682,"New")+SUMIFS('Diags Raw Data'!$AD$6:$AD$4682,'Diags Raw Data'!$D$6:$D$4682,$A22,'Diags Raw Data'!$M$6:$M$4682,"Delta")</f>
        <v>0</v>
      </c>
      <c r="T22" s="204" t="str">
        <f t="shared" si="19"/>
        <v>---</v>
      </c>
      <c r="U22" s="229" t="str">
        <f t="shared" si="20"/>
        <v>---</v>
      </c>
      <c r="V22" s="231" t="str">
        <f t="shared" si="16"/>
        <v>---</v>
      </c>
    </row>
    <row r="23" spans="1:22" x14ac:dyDescent="0.25">
      <c r="A23" s="330" t="s">
        <v>380</v>
      </c>
      <c r="B23" s="252">
        <f>SUMIFS('Diags Raw Data'!$L$6:$L$4682,'Diags Raw Data'!$D$6:$D$4682,$A23,'Diags Raw Data'!$M$6:$M$4682,"New")+SUMIFS('Diags Raw Data'!$L$6:$L$4682,'Diags Raw Data'!$D$6:$D$4682,$A23,'Diags Raw Data'!$M$6:$M$4682,"Delta")</f>
        <v>1</v>
      </c>
      <c r="C23" s="242">
        <f>SUMIFS('Diags Raw Data'!$R$6:$R$4682,'Diags Raw Data'!$D$6:$D$4682,$A23,'Diags Raw Data'!$M$6:$M$4682,"New")+SUMIFS('Diags Raw Data'!$R$6:$R$4682,'Diags Raw Data'!$D$6:$D$4682,$A23,'Diags Raw Data'!$M$6:$M$4682,"Delta")</f>
        <v>1</v>
      </c>
      <c r="D23" s="242">
        <f>SUMIFS('Diags Raw Data'!$K$6:$K$4682,'Diags Raw Data'!$D$6:$D$4682,$A23,'Diags Raw Data'!$M$6:$M$4682,"New")+SUMIFS('Diags Raw Data'!$K$6:$K$4682,'Diags Raw Data'!$D$6:$D$4682,$A23,'Diags Raw Data'!$M$6:$M$4682,"Delta")</f>
        <v>1</v>
      </c>
      <c r="E23" s="242">
        <f>SUMIFS('Diags Raw Data'!$O$6:$O$4682,'Diags Raw Data'!$D$6:$D$4682,$A23,'Diags Raw Data'!$M$6:$M$4682,"New")+SUMIFS('Diags Raw Data'!$O$6:$O$4682,'Diags Raw Data'!$D$6:$D$4682,$A23,'Diags Raw Data'!$M$6:$M$4682,"Delta")</f>
        <v>1</v>
      </c>
      <c r="F23" s="248">
        <f t="shared" si="15"/>
        <v>1</v>
      </c>
      <c r="G23" s="230">
        <f>SUMIFS('Diags Raw Data'!$S$6:$S$4682,'Diags Raw Data'!$D$6:$D$4682,$A23,'Diags Raw Data'!$M$6:$M$4682,"New")+SUMIFS('Diags Raw Data'!$S$6:$S$4682,'Diags Raw Data'!$D$6:$D$4682,$A23,'Diags Raw Data'!$M$6:$M$4682,"Delta")</f>
        <v>1</v>
      </c>
      <c r="H23" s="226">
        <f>SUMIFS('Diags Raw Data'!$T$6:$T$4682,'Diags Raw Data'!$D$6:$D$4682,$A23,'Diags Raw Data'!$M$6:$M$4682,"New")+SUMIFS('Diags Raw Data'!$T$6:$T$4682,'Diags Raw Data'!$D$6:$D$4682,$A23,'Diags Raw Data'!$M$6:$M$4682,"Delta")</f>
        <v>1</v>
      </c>
      <c r="I23" s="226">
        <f>SUMIFS('Diags Raw Data'!$U$6:$U$4682,'Diags Raw Data'!$D$6:$D$4682,$A23,'Diags Raw Data'!$M$6:$M$4682,"New")+SUMIFS('Diags Raw Data'!$U$6:$U$4682,'Diags Raw Data'!$D$6:$D$4682,$A23,'Diags Raw Data'!$M$6:$M$4682,"Delta")</f>
        <v>0</v>
      </c>
      <c r="J23" s="226">
        <f>SUMIFS('Diags Raw Data'!$V$6:$V$4682,'Diags Raw Data'!$D$6:$D$4682,$A23,'Diags Raw Data'!$M$6:$M$4682,"New")+SUMIFS('Diags Raw Data'!$V$6:$V$4682,'Diags Raw Data'!$D$6:$D$4682,$A23,'Diags Raw Data'!$M$6:$M$4682,"Delta")</f>
        <v>0</v>
      </c>
      <c r="K23" s="226">
        <f>SUMIFS('Diags Raw Data'!$W$6:$W$4682,'Diags Raw Data'!$D$6:$D$4682,$A23,'Diags Raw Data'!$M$6:$M$4682,"New")+SUMIFS('Diags Raw Data'!$W$6:$W$4682,'Diags Raw Data'!$D$6:$D$4682,$A23,'Diags Raw Data'!$M$6:$M$4682,"Delta")</f>
        <v>0</v>
      </c>
      <c r="L23" s="243">
        <f t="shared" si="17"/>
        <v>1</v>
      </c>
      <c r="M23" s="228">
        <f t="shared" si="21"/>
        <v>1</v>
      </c>
      <c r="N23" s="237">
        <f t="shared" si="18"/>
        <v>1</v>
      </c>
      <c r="O23" s="213">
        <f>SUMIFS('Diags Raw Data'!$Z$6:$Z$4682,'Diags Raw Data'!$D$6:$D$4682,$A23,'Diags Raw Data'!$M$6:$M$4682,"New")+SUMIFS('Diags Raw Data'!$Z$6:$Z$4682,'Diags Raw Data'!$D$6:$D$4682,$A23,'Diags Raw Data'!$M$6:$M$4682,"Delta")</f>
        <v>0</v>
      </c>
      <c r="P23" s="203">
        <f>SUMIFS('Diags Raw Data'!$AA$6:$AA$4682,'Diags Raw Data'!$D$6:$D$4682,$A23,'Diags Raw Data'!$M$6:$M$4682,"New")+SUMIFS('Diags Raw Data'!$AA$6:$AA$4682,'Diags Raw Data'!$D$6:$D$4682,$A23,'Diags Raw Data'!$M$6:$M$4682,"Delta")</f>
        <v>0</v>
      </c>
      <c r="Q23" s="203">
        <f>SUMIFS('Diags Raw Data'!$AB$6:$AB$4682,'Diags Raw Data'!$D$6:$D$4682,$A23,'Diags Raw Data'!$M$6:$M$4682,"New")+SUMIFS('Diags Raw Data'!$AB$6:$AB$4682,'Diags Raw Data'!$D$6:$D$4682,$A23,'Diags Raw Data'!$M$6:$M$4682,"Delta")</f>
        <v>0</v>
      </c>
      <c r="R23" s="203">
        <f>SUMIFS('Diags Raw Data'!$AC$6:$AC$4682,'Diags Raw Data'!$D$6:$D$4682,$A23,'Diags Raw Data'!$M$6:$M$4682,"New")+SUMIFS('Diags Raw Data'!$AC$6:$AC$4682,'Diags Raw Data'!$D$6:$D$4682,$A23,'Diags Raw Data'!$M$6:$M$4682,"Delta")</f>
        <v>0</v>
      </c>
      <c r="S23" s="203">
        <f>SUMIFS('Diags Raw Data'!$AD$6:$AD$4682,'Diags Raw Data'!$D$6:$D$4682,$A23,'Diags Raw Data'!$M$6:$M$4682,"New")+SUMIFS('Diags Raw Data'!$AD$6:$AD$4682,'Diags Raw Data'!$D$6:$D$4682,$A23,'Diags Raw Data'!$M$6:$M$4682,"Delta")</f>
        <v>0</v>
      </c>
      <c r="T23" s="204">
        <f t="shared" si="19"/>
        <v>0</v>
      </c>
      <c r="U23" s="229" t="str">
        <f t="shared" si="20"/>
        <v>---</v>
      </c>
      <c r="V23" s="231">
        <f t="shared" si="16"/>
        <v>0</v>
      </c>
    </row>
    <row r="24" spans="1:22" x14ac:dyDescent="0.25">
      <c r="A24" s="330" t="s">
        <v>311</v>
      </c>
      <c r="B24" s="252">
        <f>SUMIFS('Diags Raw Data'!$L$6:$L$4682,'Diags Raw Data'!$D$6:$D$4682,$A24,'Diags Raw Data'!$M$6:$M$4682,"New")+SUMIFS('Diags Raw Data'!$L$6:$L$4682,'Diags Raw Data'!$D$6:$D$4682,$A24,'Diags Raw Data'!$M$6:$M$4682,"Delta")</f>
        <v>9</v>
      </c>
      <c r="C24" s="242">
        <f>SUMIFS('Diags Raw Data'!$R$6:$R$4682,'Diags Raw Data'!$D$6:$D$4682,$A24,'Diags Raw Data'!$M$6:$M$4682,"New")+SUMIFS('Diags Raw Data'!$R$6:$R$4682,'Diags Raw Data'!$D$6:$D$4682,$A24,'Diags Raw Data'!$M$6:$M$4682,"Delta")</f>
        <v>4</v>
      </c>
      <c r="D24" s="242">
        <f>SUMIFS('Diags Raw Data'!$K$6:$K$4682,'Diags Raw Data'!$D$6:$D$4682,$A24,'Diags Raw Data'!$M$6:$M$4682,"New")+SUMIFS('Diags Raw Data'!$K$6:$K$4682,'Diags Raw Data'!$D$6:$D$4682,$A24,'Diags Raw Data'!$M$6:$M$4682,"Delta")</f>
        <v>6</v>
      </c>
      <c r="E24" s="242">
        <f>SUMIFS('Diags Raw Data'!$O$6:$O$4682,'Diags Raw Data'!$D$6:$D$4682,$A24,'Diags Raw Data'!$M$6:$M$4682,"New")+SUMIFS('Diags Raw Data'!$O$6:$O$4682,'Diags Raw Data'!$D$6:$D$4682,$A24,'Diags Raw Data'!$M$6:$M$4682,"Delta")</f>
        <v>7</v>
      </c>
      <c r="F24" s="248">
        <f t="shared" si="15"/>
        <v>0.77777777777777779</v>
      </c>
      <c r="G24" s="230">
        <f>SUMIFS('Diags Raw Data'!$S$6:$S$4682,'Diags Raw Data'!$D$6:$D$4682,$A24,'Diags Raw Data'!$M$6:$M$4682,"New")+SUMIFS('Diags Raw Data'!$S$6:$S$4682,'Diags Raw Data'!$D$6:$D$4682,$A24,'Diags Raw Data'!$M$6:$M$4682,"Delta")</f>
        <v>4</v>
      </c>
      <c r="H24" s="226">
        <f>SUMIFS('Diags Raw Data'!$T$6:$T$4682,'Diags Raw Data'!$D$6:$D$4682,$A24,'Diags Raw Data'!$M$6:$M$4682,"New")+SUMIFS('Diags Raw Data'!$T$6:$T$4682,'Diags Raw Data'!$D$6:$D$4682,$A24,'Diags Raw Data'!$M$6:$M$4682,"Delta")</f>
        <v>4</v>
      </c>
      <c r="I24" s="226">
        <f>SUMIFS('Diags Raw Data'!$U$6:$U$4682,'Diags Raw Data'!$D$6:$D$4682,$A24,'Diags Raw Data'!$M$6:$M$4682,"New")+SUMIFS('Diags Raw Data'!$U$6:$U$4682,'Diags Raw Data'!$D$6:$D$4682,$A24,'Diags Raw Data'!$M$6:$M$4682,"Delta")</f>
        <v>0</v>
      </c>
      <c r="J24" s="226">
        <f>SUMIFS('Diags Raw Data'!$V$6:$V$4682,'Diags Raw Data'!$D$6:$D$4682,$A24,'Diags Raw Data'!$M$6:$M$4682,"New")+SUMIFS('Diags Raw Data'!$V$6:$V$4682,'Diags Raw Data'!$D$6:$D$4682,$A24,'Diags Raw Data'!$M$6:$M$4682,"Delta")</f>
        <v>0</v>
      </c>
      <c r="K24" s="226">
        <f>SUMIFS('Diags Raw Data'!$W$6:$W$4682,'Diags Raw Data'!$D$6:$D$4682,$A24,'Diags Raw Data'!$M$6:$M$4682,"New")+SUMIFS('Diags Raw Data'!$W$6:$W$4682,'Diags Raw Data'!$D$6:$D$4682,$A24,'Diags Raw Data'!$M$6:$M$4682,"Delta")</f>
        <v>0</v>
      </c>
      <c r="L24" s="243">
        <f t="shared" si="17"/>
        <v>1</v>
      </c>
      <c r="M24" s="228">
        <f t="shared" si="21"/>
        <v>1</v>
      </c>
      <c r="N24" s="237">
        <f t="shared" si="18"/>
        <v>1</v>
      </c>
      <c r="O24" s="213">
        <f>SUMIFS('Diags Raw Data'!$Z$6:$Z$4682,'Diags Raw Data'!$D$6:$D$4682,$A24,'Diags Raw Data'!$M$6:$M$4682,"New")+SUMIFS('Diags Raw Data'!$Z$6:$Z$4682,'Diags Raw Data'!$D$6:$D$4682,$A24,'Diags Raw Data'!$M$6:$M$4682,"Delta")</f>
        <v>0</v>
      </c>
      <c r="P24" s="203">
        <f>SUMIFS('Diags Raw Data'!$AA$6:$AA$4682,'Diags Raw Data'!$D$6:$D$4682,$A24,'Diags Raw Data'!$M$6:$M$4682,"New")+SUMIFS('Diags Raw Data'!$AA$6:$AA$4682,'Diags Raw Data'!$D$6:$D$4682,$A24,'Diags Raw Data'!$M$6:$M$4682,"Delta")</f>
        <v>0</v>
      </c>
      <c r="Q24" s="203">
        <f>SUMIFS('Diags Raw Data'!$AB$6:$AB$4682,'Diags Raw Data'!$D$6:$D$4682,$A24,'Diags Raw Data'!$M$6:$M$4682,"New")+SUMIFS('Diags Raw Data'!$AB$6:$AB$4682,'Diags Raw Data'!$D$6:$D$4682,$A24,'Diags Raw Data'!$M$6:$M$4682,"Delta")</f>
        <v>0</v>
      </c>
      <c r="R24" s="203">
        <f>SUMIFS('Diags Raw Data'!$AC$6:$AC$4682,'Diags Raw Data'!$D$6:$D$4682,$A24,'Diags Raw Data'!$M$6:$M$4682,"New")+SUMIFS('Diags Raw Data'!$AC$6:$AC$4682,'Diags Raw Data'!$D$6:$D$4682,$A24,'Diags Raw Data'!$M$6:$M$4682,"Delta")</f>
        <v>0</v>
      </c>
      <c r="S24" s="203">
        <f>SUMIFS('Diags Raw Data'!$AD$6:$AD$4682,'Diags Raw Data'!$D$6:$D$4682,$A24,'Diags Raw Data'!$M$6:$M$4682,"New")+SUMIFS('Diags Raw Data'!$AD$6:$AD$4682,'Diags Raw Data'!$D$6:$D$4682,$A24,'Diags Raw Data'!$M$6:$M$4682,"Delta")</f>
        <v>0</v>
      </c>
      <c r="T24" s="204">
        <f t="shared" si="19"/>
        <v>0</v>
      </c>
      <c r="U24" s="229" t="str">
        <f t="shared" si="20"/>
        <v>---</v>
      </c>
      <c r="V24" s="231">
        <f t="shared" si="16"/>
        <v>0</v>
      </c>
    </row>
    <row r="25" spans="1:22" x14ac:dyDescent="0.25">
      <c r="A25" s="330" t="s">
        <v>472</v>
      </c>
      <c r="B25" s="252">
        <f>SUMIFS('Diags Raw Data'!$L$6:$L$4682,'Diags Raw Data'!$D$6:$D$4682,$A25,'Diags Raw Data'!$M$6:$M$4682,"New")+SUMIFS('Diags Raw Data'!$L$6:$L$4682,'Diags Raw Data'!$D$6:$D$4682,$A25,'Diags Raw Data'!$M$6:$M$4682,"Delta")</f>
        <v>1</v>
      </c>
      <c r="C25" s="242">
        <f>SUMIFS('Diags Raw Data'!$R$6:$R$4682,'Diags Raw Data'!$D$6:$D$4682,$A25,'Diags Raw Data'!$M$6:$M$4682,"New")+SUMIFS('Diags Raw Data'!$R$6:$R$4682,'Diags Raw Data'!$D$6:$D$4682,$A25,'Diags Raw Data'!$M$6:$M$4682,"Delta")</f>
        <v>0</v>
      </c>
      <c r="D25" s="242">
        <f>SUMIFS('Diags Raw Data'!$K$6:$K$4682,'Diags Raw Data'!$D$6:$D$4682,$A25,'Diags Raw Data'!$M$6:$M$4682,"New")+SUMIFS('Diags Raw Data'!$K$6:$K$4682,'Diags Raw Data'!$D$6:$D$4682,$A25,'Diags Raw Data'!$M$6:$M$4682,"Delta")</f>
        <v>1</v>
      </c>
      <c r="E25" s="242">
        <f>SUMIFS('Diags Raw Data'!$O$6:$O$4682,'Diags Raw Data'!$D$6:$D$4682,$A25,'Diags Raw Data'!$M$6:$M$4682,"New")+SUMIFS('Diags Raw Data'!$O$6:$O$4682,'Diags Raw Data'!$D$6:$D$4682,$A25,'Diags Raw Data'!$M$6:$M$4682,"Delta")</f>
        <v>0</v>
      </c>
      <c r="F25" s="248">
        <f t="shared" si="15"/>
        <v>0</v>
      </c>
      <c r="G25" s="230">
        <f>SUMIFS('Diags Raw Data'!$S$6:$S$4682,'Diags Raw Data'!$D$6:$D$4682,$A25,'Diags Raw Data'!$M$6:$M$4682,"New")+SUMIFS('Diags Raw Data'!$S$6:$S$4682,'Diags Raw Data'!$D$6:$D$4682,$A25,'Diags Raw Data'!$M$6:$M$4682,"Delta")</f>
        <v>0</v>
      </c>
      <c r="H25" s="226">
        <f>SUMIFS('Diags Raw Data'!$T$6:$T$4682,'Diags Raw Data'!$D$6:$D$4682,$A25,'Diags Raw Data'!$M$6:$M$4682,"New")+SUMIFS('Diags Raw Data'!$T$6:$T$4682,'Diags Raw Data'!$D$6:$D$4682,$A25,'Diags Raw Data'!$M$6:$M$4682,"Delta")</f>
        <v>0</v>
      </c>
      <c r="I25" s="226">
        <f>SUMIFS('Diags Raw Data'!$U$6:$U$4682,'Diags Raw Data'!$D$6:$D$4682,$A25,'Diags Raw Data'!$M$6:$M$4682,"New")+SUMIFS('Diags Raw Data'!$U$6:$U$4682,'Diags Raw Data'!$D$6:$D$4682,$A25,'Diags Raw Data'!$M$6:$M$4682,"Delta")</f>
        <v>0</v>
      </c>
      <c r="J25" s="226">
        <f>SUMIFS('Diags Raw Data'!$V$6:$V$4682,'Diags Raw Data'!$D$6:$D$4682,$A25,'Diags Raw Data'!$M$6:$M$4682,"New")+SUMIFS('Diags Raw Data'!$V$6:$V$4682,'Diags Raw Data'!$D$6:$D$4682,$A25,'Diags Raw Data'!$M$6:$M$4682,"Delta")</f>
        <v>0</v>
      </c>
      <c r="K25" s="226">
        <f>SUMIFS('Diags Raw Data'!$W$6:$W$4682,'Diags Raw Data'!$D$6:$D$4682,$A25,'Diags Raw Data'!$M$6:$M$4682,"New")+SUMIFS('Diags Raw Data'!$W$6:$W$4682,'Diags Raw Data'!$D$6:$D$4682,$A25,'Diags Raw Data'!$M$6:$M$4682,"Delta")</f>
        <v>0</v>
      </c>
      <c r="L25" s="243" t="str">
        <f t="shared" si="17"/>
        <v>---</v>
      </c>
      <c r="M25" s="228" t="str">
        <f t="shared" si="21"/>
        <v>---</v>
      </c>
      <c r="N25" s="237" t="str">
        <f t="shared" si="18"/>
        <v>---</v>
      </c>
      <c r="O25" s="213">
        <f>SUMIFS('Diags Raw Data'!$Z$6:$Z$4682,'Diags Raw Data'!$D$6:$D$4682,$A25,'Diags Raw Data'!$M$6:$M$4682,"New")+SUMIFS('Diags Raw Data'!$Z$6:$Z$4682,'Diags Raw Data'!$D$6:$D$4682,$A25,'Diags Raw Data'!$M$6:$M$4682,"Delta")</f>
        <v>0</v>
      </c>
      <c r="P25" s="203">
        <f>SUMIFS('Diags Raw Data'!$AA$6:$AA$4682,'Diags Raw Data'!$D$6:$D$4682,$A25,'Diags Raw Data'!$M$6:$M$4682,"New")+SUMIFS('Diags Raw Data'!$AA$6:$AA$4682,'Diags Raw Data'!$D$6:$D$4682,$A25,'Diags Raw Data'!$M$6:$M$4682,"Delta")</f>
        <v>0</v>
      </c>
      <c r="Q25" s="203">
        <f>SUMIFS('Diags Raw Data'!$AB$6:$AB$4682,'Diags Raw Data'!$D$6:$D$4682,$A25,'Diags Raw Data'!$M$6:$M$4682,"New")+SUMIFS('Diags Raw Data'!$AB$6:$AB$4682,'Diags Raw Data'!$D$6:$D$4682,$A25,'Diags Raw Data'!$M$6:$M$4682,"Delta")</f>
        <v>0</v>
      </c>
      <c r="R25" s="203">
        <f>SUMIFS('Diags Raw Data'!$AC$6:$AC$4682,'Diags Raw Data'!$D$6:$D$4682,$A25,'Diags Raw Data'!$M$6:$M$4682,"New")+SUMIFS('Diags Raw Data'!$AC$6:$AC$4682,'Diags Raw Data'!$D$6:$D$4682,$A25,'Diags Raw Data'!$M$6:$M$4682,"Delta")</f>
        <v>0</v>
      </c>
      <c r="S25" s="203">
        <f>SUMIFS('Diags Raw Data'!$AD$6:$AD$4682,'Diags Raw Data'!$D$6:$D$4682,$A25,'Diags Raw Data'!$M$6:$M$4682,"New")+SUMIFS('Diags Raw Data'!$AD$6:$AD$4682,'Diags Raw Data'!$D$6:$D$4682,$A25,'Diags Raw Data'!$M$6:$M$4682,"Delta")</f>
        <v>0</v>
      </c>
      <c r="T25" s="204">
        <f t="shared" si="19"/>
        <v>0</v>
      </c>
      <c r="U25" s="229" t="str">
        <f t="shared" si="20"/>
        <v>---</v>
      </c>
      <c r="V25" s="231">
        <f t="shared" si="16"/>
        <v>0</v>
      </c>
    </row>
    <row r="26" spans="1:22" x14ac:dyDescent="0.25">
      <c r="A26" s="331" t="s">
        <v>483</v>
      </c>
      <c r="B26" s="252">
        <f>SUMIFS('Diags Raw Data'!$L$6:$L$4682,'Diags Raw Data'!$D$6:$D$4682,$A26,'Diags Raw Data'!$M$6:$M$4682,"New")+SUMIFS('Diags Raw Data'!$L$6:$L$4682,'Diags Raw Data'!$D$6:$D$4682,$A26,'Diags Raw Data'!$M$6:$M$4682,"Delta")</f>
        <v>1</v>
      </c>
      <c r="C26" s="242">
        <f>SUMIFS('Diags Raw Data'!$R$6:$R$4682,'Diags Raw Data'!$D$6:$D$4682,$A26,'Diags Raw Data'!$M$6:$M$4682,"New")+SUMIFS('Diags Raw Data'!$R$6:$R$4682,'Diags Raw Data'!$D$6:$D$4682,$A26,'Diags Raw Data'!$M$6:$M$4682,"Delta")</f>
        <v>0</v>
      </c>
      <c r="D26" s="242">
        <f>SUMIFS('Diags Raw Data'!$K$6:$K$4682,'Diags Raw Data'!$D$6:$D$4682,$A26,'Diags Raw Data'!$M$6:$M$4682,"New")+SUMIFS('Diags Raw Data'!$K$6:$K$4682,'Diags Raw Data'!$D$6:$D$4682,$A26,'Diags Raw Data'!$M$6:$M$4682,"Delta")</f>
        <v>1</v>
      </c>
      <c r="E26" s="242">
        <f>SUMIFS('Diags Raw Data'!$O$6:$O$4682,'Diags Raw Data'!$D$6:$D$4682,$A26,'Diags Raw Data'!$M$6:$M$4682,"New")+SUMIFS('Diags Raw Data'!$O$6:$O$4682,'Diags Raw Data'!$D$6:$D$4682,$A26,'Diags Raw Data'!$M$6:$M$4682,"Delta")</f>
        <v>1</v>
      </c>
      <c r="F26" s="248">
        <f t="shared" ref="F26" si="22">IF(NOT($B26=0), E26/$B26, "---")</f>
        <v>1</v>
      </c>
      <c r="G26" s="230">
        <f>SUMIFS('Diags Raw Data'!$S$6:$S$4682,'Diags Raw Data'!$D$6:$D$4682,$A26,'Diags Raw Data'!$M$6:$M$4682,"New")+SUMIFS('Diags Raw Data'!$S$6:$S$4682,'Diags Raw Data'!$D$6:$D$4682,$A26,'Diags Raw Data'!$M$6:$M$4682,"Delta")</f>
        <v>0</v>
      </c>
      <c r="H26" s="226">
        <f>SUMIFS('Diags Raw Data'!$T$6:$T$4682,'Diags Raw Data'!$D$6:$D$4682,$A26,'Diags Raw Data'!$M$6:$M$4682,"New")+SUMIFS('Diags Raw Data'!$T$6:$T$4682,'Diags Raw Data'!$D$6:$D$4682,$A26,'Diags Raw Data'!$M$6:$M$4682,"Delta")</f>
        <v>0</v>
      </c>
      <c r="I26" s="226">
        <f>SUMIFS('Diags Raw Data'!$U$6:$U$4682,'Diags Raw Data'!$D$6:$D$4682,$A26,'Diags Raw Data'!$M$6:$M$4682,"New")+SUMIFS('Diags Raw Data'!$U$6:$U$4682,'Diags Raw Data'!$D$6:$D$4682,$A26,'Diags Raw Data'!$M$6:$M$4682,"Delta")</f>
        <v>0</v>
      </c>
      <c r="J26" s="226">
        <f>SUMIFS('Diags Raw Data'!$V$6:$V$4682,'Diags Raw Data'!$D$6:$D$4682,$A26,'Diags Raw Data'!$M$6:$M$4682,"New")+SUMIFS('Diags Raw Data'!$V$6:$V$4682,'Diags Raw Data'!$D$6:$D$4682,$A26,'Diags Raw Data'!$M$6:$M$4682,"Delta")</f>
        <v>0</v>
      </c>
      <c r="K26" s="226">
        <f>SUMIFS('Diags Raw Data'!$W$6:$W$4682,'Diags Raw Data'!$D$6:$D$4682,$A26,'Diags Raw Data'!$M$6:$M$4682,"New")+SUMIFS('Diags Raw Data'!$W$6:$W$4682,'Diags Raw Data'!$D$6:$D$4682,$A26,'Diags Raw Data'!$M$6:$M$4682,"Delta")</f>
        <v>0</v>
      </c>
      <c r="L26" s="243" t="str">
        <f t="shared" ref="L26" si="23">IF(NOT($C26=0), G26/$C26, "---")</f>
        <v>---</v>
      </c>
      <c r="M26" s="228" t="str">
        <f t="shared" ref="M26" si="24">IF(NOT($G26=0), (H26+I26)/$G26, "---")</f>
        <v>---</v>
      </c>
      <c r="N26" s="237" t="str">
        <f t="shared" ref="N26" si="25">IF(NOT($C26=0), (H26+I26)/$C26, "---")</f>
        <v>---</v>
      </c>
      <c r="O26" s="213">
        <f>SUMIFS('Diags Raw Data'!$Z$6:$Z$4682,'Diags Raw Data'!$D$6:$D$4682,$A26,'Diags Raw Data'!$M$6:$M$4682,"New")+SUMIFS('Diags Raw Data'!$Z$6:$Z$4682,'Diags Raw Data'!$D$6:$D$4682,$A26,'Diags Raw Data'!$M$6:$M$4682,"Delta")</f>
        <v>0</v>
      </c>
      <c r="P26" s="203">
        <f>SUMIFS('Diags Raw Data'!$AA$6:$AA$4682,'Diags Raw Data'!$D$6:$D$4682,$A26,'Diags Raw Data'!$M$6:$M$4682,"New")+SUMIFS('Diags Raw Data'!$AA$6:$AA$4682,'Diags Raw Data'!$D$6:$D$4682,$A26,'Diags Raw Data'!$M$6:$M$4682,"Delta")</f>
        <v>0</v>
      </c>
      <c r="Q26" s="203">
        <f>SUMIFS('Diags Raw Data'!$AB$6:$AB$4682,'Diags Raw Data'!$D$6:$D$4682,$A26,'Diags Raw Data'!$M$6:$M$4682,"New")+SUMIFS('Diags Raw Data'!$AB$6:$AB$4682,'Diags Raw Data'!$D$6:$D$4682,$A26,'Diags Raw Data'!$M$6:$M$4682,"Delta")</f>
        <v>0</v>
      </c>
      <c r="R26" s="203">
        <f>SUMIFS('Diags Raw Data'!$AC$6:$AC$4682,'Diags Raw Data'!$D$6:$D$4682,$A26,'Diags Raw Data'!$M$6:$M$4682,"New")+SUMIFS('Diags Raw Data'!$AC$6:$AC$4682,'Diags Raw Data'!$D$6:$D$4682,$A26,'Diags Raw Data'!$M$6:$M$4682,"Delta")</f>
        <v>0</v>
      </c>
      <c r="S26" s="203">
        <f>SUMIFS('Diags Raw Data'!$AD$6:$AD$4682,'Diags Raw Data'!$D$6:$D$4682,$A26,'Diags Raw Data'!$M$6:$M$4682,"New")+SUMIFS('Diags Raw Data'!$AD$6:$AD$4682,'Diags Raw Data'!$D$6:$D$4682,$A26,'Diags Raw Data'!$M$6:$M$4682,"Delta")</f>
        <v>0</v>
      </c>
      <c r="T26" s="204">
        <f t="shared" ref="T26" si="26">IF(NOT($B26=0), O26/$B26, "---")</f>
        <v>0</v>
      </c>
      <c r="U26" s="229" t="str">
        <f t="shared" ref="U26" si="27">IF(NOT($O26=0), (P26+Q26)/$O26, "---")</f>
        <v>---</v>
      </c>
      <c r="V26" s="231">
        <f t="shared" ref="V26" si="28">IF(NOT($B26=0), (P26+Q26)/$B26, "---")</f>
        <v>0</v>
      </c>
    </row>
    <row r="27" spans="1:22" ht="15.75" thickBot="1" x14ac:dyDescent="0.3">
      <c r="A27" s="331"/>
      <c r="B27" s="253">
        <f>SUMIFS('Diags Raw Data'!$L$6:$L$4682,'Diags Raw Data'!$D$6:$D$4682,$A27,'Diags Raw Data'!$M$6:$M$4682,"New")+SUMIFS('Diags Raw Data'!$L$6:$L$4682,'Diags Raw Data'!$D$6:$D$4682,$A27,'Diags Raw Data'!$M$6:$M$4682,"Delta")</f>
        <v>0</v>
      </c>
      <c r="C27" s="244">
        <f>SUMIFS('Diags Raw Data'!$R$6:$R$4682,'Diags Raw Data'!$D$6:$D$4682,$A27,'Diags Raw Data'!$M$6:$M$4682,"New")+SUMIFS('Diags Raw Data'!$R$6:$R$4682,'Diags Raw Data'!$D$6:$D$4682,$A27,'Diags Raw Data'!$M$6:$M$4682,"Delta")</f>
        <v>0</v>
      </c>
      <c r="D27" s="244">
        <f>SUMIFS('Diags Raw Data'!$K$6:$K$4682,'Diags Raw Data'!$D$6:$D$4682,$A27,'Diags Raw Data'!$M$6:$M$4682,"New")+SUMIFS('Diags Raw Data'!$K$6:$K$4682,'Diags Raw Data'!$D$6:$D$4682,$A27,'Diags Raw Data'!$M$6:$M$4682,"Delta")</f>
        <v>0</v>
      </c>
      <c r="E27" s="244">
        <f>SUMIFS('Diags Raw Data'!$O$6:$O$4682,'Diags Raw Data'!$D$6:$D$4682,$A27,'Diags Raw Data'!$M$6:$M$4682,"New")+SUMIFS('Diags Raw Data'!$O$6:$O$4682,'Diags Raw Data'!$D$6:$D$4682,$A27,'Diags Raw Data'!$M$6:$M$4682,"Delta")</f>
        <v>0</v>
      </c>
      <c r="F27" s="249" t="str">
        <f t="shared" si="15"/>
        <v>---</v>
      </c>
      <c r="G27" s="232">
        <f>SUMIFS('Diags Raw Data'!$S$6:$S$4682,'Diags Raw Data'!$D$6:$D$4682,$A27,'Diags Raw Data'!$M$6:$M$4682,"New")+SUMIFS('Diags Raw Data'!$S$6:$S$4682,'Diags Raw Data'!$D$6:$D$4682,$A27,'Diags Raw Data'!$M$6:$M$4682,"Delta")</f>
        <v>0</v>
      </c>
      <c r="H27" s="233">
        <f>SUMIFS('Diags Raw Data'!$T$6:$T$4682,'Diags Raw Data'!$D$6:$D$4682,$A27,'Diags Raw Data'!$M$6:$M$4682,"New")+SUMIFS('Diags Raw Data'!$T$6:$T$4682,'Diags Raw Data'!$D$6:$D$4682,$A27,'Diags Raw Data'!$M$6:$M$4682,"Delta")</f>
        <v>0</v>
      </c>
      <c r="I27" s="233">
        <f>SUMIFS('Diags Raw Data'!$U$6:$U$4682,'Diags Raw Data'!$D$6:$D$4682,$A27,'Diags Raw Data'!$M$6:$M$4682,"New")+SUMIFS('Diags Raw Data'!$U$6:$U$4682,'Diags Raw Data'!$D$6:$D$4682,$A27,'Diags Raw Data'!$M$6:$M$4682,"Delta")</f>
        <v>0</v>
      </c>
      <c r="J27" s="233">
        <f>SUMIFS('Diags Raw Data'!$V$6:$V$4682,'Diags Raw Data'!$D$6:$D$4682,$A27,'Diags Raw Data'!$M$6:$M$4682,"New")+SUMIFS('Diags Raw Data'!$V$6:$V$4682,'Diags Raw Data'!$D$6:$D$4682,$A27,'Diags Raw Data'!$M$6:$M$4682,"Delta")</f>
        <v>0</v>
      </c>
      <c r="K27" s="233">
        <f>SUMIFS('Diags Raw Data'!$W$6:$W$4682,'Diags Raw Data'!$D$6:$D$4682,$A27,'Diags Raw Data'!$M$6:$M$4682,"New")+SUMIFS('Diags Raw Data'!$W$6:$W$4682,'Diags Raw Data'!$D$6:$D$4682,$A27,'Diags Raw Data'!$M$6:$M$4682,"Delta")</f>
        <v>0</v>
      </c>
      <c r="L27" s="245" t="str">
        <f t="shared" si="17"/>
        <v>---</v>
      </c>
      <c r="M27" s="235" t="str">
        <f t="shared" si="21"/>
        <v>---</v>
      </c>
      <c r="N27" s="238" t="str">
        <f t="shared" si="18"/>
        <v>---</v>
      </c>
      <c r="O27" s="214">
        <f>SUMIFS('Diags Raw Data'!$Z$6:$Z$4682,'Diags Raw Data'!$D$6:$D$4682,$A27,'Diags Raw Data'!$M$6:$M$4682,"New")+SUMIFS('Diags Raw Data'!$Z$6:$Z$4682,'Diags Raw Data'!$D$6:$D$4682,$A27,'Diags Raw Data'!$M$6:$M$4682,"Delta")</f>
        <v>0</v>
      </c>
      <c r="P27" s="206">
        <f>SUMIFS('Diags Raw Data'!$AA$6:$AA$4682,'Diags Raw Data'!$D$6:$D$4682,$A27,'Diags Raw Data'!$M$6:$M$4682,"New")+SUMIFS('Diags Raw Data'!$AA$6:$AA$4682,'Diags Raw Data'!$D$6:$D$4682,$A27,'Diags Raw Data'!$M$6:$M$4682,"Delta")</f>
        <v>0</v>
      </c>
      <c r="Q27" s="206">
        <f>SUMIFS('Diags Raw Data'!$AB$6:$AB$4682,'Diags Raw Data'!$D$6:$D$4682,$A27,'Diags Raw Data'!$M$6:$M$4682,"New")+SUMIFS('Diags Raw Data'!$AB$6:$AB$4682,'Diags Raw Data'!$D$6:$D$4682,$A27,'Diags Raw Data'!$M$6:$M$4682,"Delta")</f>
        <v>0</v>
      </c>
      <c r="R27" s="206">
        <f>SUMIFS('Diags Raw Data'!$AC$6:$AC$4682,'Diags Raw Data'!$D$6:$D$4682,$A27,'Diags Raw Data'!$M$6:$M$4682,"New")+SUMIFS('Diags Raw Data'!$AC$6:$AC$4682,'Diags Raw Data'!$D$6:$D$4682,$A27,'Diags Raw Data'!$M$6:$M$4682,"Delta")</f>
        <v>0</v>
      </c>
      <c r="S27" s="206">
        <f>SUMIFS('Diags Raw Data'!$AD$6:$AD$4682,'Diags Raw Data'!$D$6:$D$4682,$A27,'Diags Raw Data'!$M$6:$M$4682,"New")+SUMIFS('Diags Raw Data'!$AD$6:$AD$4682,'Diags Raw Data'!$D$6:$D$4682,$A27,'Diags Raw Data'!$M$6:$M$4682,"Delta")</f>
        <v>0</v>
      </c>
      <c r="T27" s="207" t="str">
        <f t="shared" si="19"/>
        <v>---</v>
      </c>
      <c r="U27" s="239" t="str">
        <f t="shared" si="20"/>
        <v>---</v>
      </c>
      <c r="V27" s="236" t="str">
        <f t="shared" si="16"/>
        <v>---</v>
      </c>
    </row>
    <row r="28" spans="1:22" ht="16.5" thickBot="1" x14ac:dyDescent="0.3">
      <c r="A28" s="255" t="s">
        <v>503</v>
      </c>
      <c r="B28" s="256">
        <f>SUM(B18:B27)</f>
        <v>17</v>
      </c>
      <c r="C28" s="257">
        <f>SUM(C18:C27)</f>
        <v>10</v>
      </c>
      <c r="D28" s="257">
        <f>SUM(D18:D27)</f>
        <v>14</v>
      </c>
      <c r="E28" s="257">
        <f>SUM(E18:E27)</f>
        <v>14</v>
      </c>
      <c r="F28" s="258" cm="1">
        <f t="array" ref="F28">SUMPRODUCT(--(ISNUMBER(SEARCH("New",'Diags Raw Data'!$M$6:$M$4682))),'Diags Raw Data'!$K$6:$K$4682,'Diags Raw Data'!$P$6:$P$4682)/D28+SUMPRODUCT(--(ISNUMBER(SEARCH("Delta",'Diags Raw Data'!$M$6:$M$4682))),'Diags Raw Data'!$K$6:$K$4682,'Diags Raw Data'!$P$6:$P$4682)/D28</f>
        <v>0.7857142857142857</v>
      </c>
      <c r="G28" s="259">
        <f>SUM(G18:G27)</f>
        <v>10</v>
      </c>
      <c r="H28" s="260">
        <f>SUM(H18:H27)</f>
        <v>10</v>
      </c>
      <c r="I28" s="261">
        <f>SUM(I18:I27)</f>
        <v>0</v>
      </c>
      <c r="J28" s="260">
        <f>SUM(J18:J27)</f>
        <v>0</v>
      </c>
      <c r="K28" s="261">
        <f>SUM(K18:K27)</f>
        <v>0</v>
      </c>
      <c r="L28" s="262">
        <f>IF(NOT($C28=0), G28/$C28, "---")</f>
        <v>1</v>
      </c>
      <c r="M28" s="263">
        <f t="shared" si="21"/>
        <v>1</v>
      </c>
      <c r="N28" s="264">
        <f>IF(NOT($C28=0), (H28+I28)/$C28, "---")</f>
        <v>1</v>
      </c>
      <c r="O28" s="265">
        <f>SUM(O18:O27)</f>
        <v>0</v>
      </c>
      <c r="P28" s="266">
        <f>SUM(P18:P27)</f>
        <v>0</v>
      </c>
      <c r="Q28" s="267">
        <f>SUM(Q18:Q27)</f>
        <v>0</v>
      </c>
      <c r="R28" s="266">
        <f>SUM(R18:R27)</f>
        <v>0</v>
      </c>
      <c r="S28" s="267">
        <f>SUM(S18:S27)</f>
        <v>0</v>
      </c>
      <c r="T28" s="268">
        <f>IF(NOT($B28=0), O28/$B28, "---")</f>
        <v>0</v>
      </c>
      <c r="U28" s="269" t="str">
        <f t="shared" si="20"/>
        <v>---</v>
      </c>
      <c r="V28" s="270">
        <f t="shared" si="16"/>
        <v>0</v>
      </c>
    </row>
    <row r="29" spans="1:22" ht="15.75" thickBot="1" x14ac:dyDescent="0.3">
      <c r="A29" s="246"/>
      <c r="B29" s="246"/>
      <c r="C29" s="246"/>
      <c r="D29" s="246"/>
      <c r="E29" s="246"/>
      <c r="F29" s="246"/>
      <c r="G29" s="246"/>
      <c r="H29" s="246"/>
      <c r="I29" s="246"/>
      <c r="J29" s="246"/>
      <c r="K29" s="246"/>
      <c r="L29" s="246"/>
      <c r="M29" s="246"/>
      <c r="N29" s="246"/>
      <c r="O29" s="246"/>
      <c r="P29" s="246"/>
      <c r="Q29" s="246"/>
      <c r="R29" s="246"/>
      <c r="S29" s="246"/>
      <c r="T29" s="246"/>
      <c r="U29" s="246"/>
      <c r="V29" s="246"/>
    </row>
    <row r="30" spans="1:22" ht="15.75" thickBot="1" x14ac:dyDescent="0.3">
      <c r="A30" s="216" t="s">
        <v>33</v>
      </c>
      <c r="B30" s="597" t="s">
        <v>166</v>
      </c>
      <c r="C30" s="597"/>
      <c r="D30" s="597"/>
      <c r="E30" s="597"/>
      <c r="F30" s="597"/>
      <c r="G30" s="598" t="s">
        <v>177</v>
      </c>
      <c r="H30" s="599"/>
      <c r="I30" s="599"/>
      <c r="J30" s="599"/>
      <c r="K30" s="599"/>
      <c r="L30" s="599"/>
      <c r="M30" s="599"/>
      <c r="N30" s="600"/>
      <c r="O30" s="601" t="s">
        <v>144</v>
      </c>
      <c r="P30" s="602"/>
      <c r="Q30" s="602"/>
      <c r="R30" s="602"/>
      <c r="S30" s="602"/>
      <c r="T30" s="602"/>
      <c r="U30" s="602"/>
      <c r="V30" s="603"/>
    </row>
    <row r="31" spans="1:22" s="250" customFormat="1" ht="15.75" thickBot="1" x14ac:dyDescent="0.3">
      <c r="A31" s="254" t="s">
        <v>88</v>
      </c>
      <c r="B31" s="311" t="s">
        <v>167</v>
      </c>
      <c r="C31" s="312" t="s">
        <v>128</v>
      </c>
      <c r="D31" s="313" t="s">
        <v>105</v>
      </c>
      <c r="E31" s="313" t="s">
        <v>173</v>
      </c>
      <c r="F31" s="314" t="s">
        <v>175</v>
      </c>
      <c r="G31" s="315" t="s">
        <v>132</v>
      </c>
      <c r="H31" s="316" t="s">
        <v>30</v>
      </c>
      <c r="I31" s="316" t="s">
        <v>135</v>
      </c>
      <c r="J31" s="316" t="s">
        <v>36</v>
      </c>
      <c r="K31" s="316" t="s">
        <v>138</v>
      </c>
      <c r="L31" s="316" t="s">
        <v>184</v>
      </c>
      <c r="M31" s="316" t="s">
        <v>140</v>
      </c>
      <c r="N31" s="317" t="s">
        <v>187</v>
      </c>
      <c r="O31" s="318" t="s">
        <v>132</v>
      </c>
      <c r="P31" s="319" t="s">
        <v>30</v>
      </c>
      <c r="Q31" s="319" t="s">
        <v>135</v>
      </c>
      <c r="R31" s="319" t="s">
        <v>36</v>
      </c>
      <c r="S31" s="319" t="s">
        <v>138</v>
      </c>
      <c r="T31" s="319" t="s">
        <v>184</v>
      </c>
      <c r="U31" s="319" t="s">
        <v>140</v>
      </c>
      <c r="V31" s="320" t="s">
        <v>187</v>
      </c>
    </row>
    <row r="32" spans="1:22" x14ac:dyDescent="0.25">
      <c r="A32" s="330" t="s">
        <v>336</v>
      </c>
      <c r="B32" s="251">
        <f>SUMIFS('Diags Raw Data'!$L$6:$L$4682,'Diags Raw Data'!$D$6:$D$4682,$A32,'Diags Raw Data'!$M$6:$M$4682,"Legacy")</f>
        <v>9</v>
      </c>
      <c r="C32" s="241">
        <f>SUMIFS('Diags Raw Data'!$R$6:$R$4682,'Diags Raw Data'!$D$6:$D$4682,$A32,'Diags Raw Data'!$M$6:$M$4682,"Legacy")</f>
        <v>9</v>
      </c>
      <c r="D32" s="241">
        <f>SUMIFS('Diags Raw Data'!$K$6:$K$4682,'Diags Raw Data'!$D$6:$D$4682,$A32,'Diags Raw Data'!$M$6:$M$4682,"Legacy")</f>
        <v>7</v>
      </c>
      <c r="E32" s="241">
        <f>SUMIFS('Diags Raw Data'!$O$6:$O$4682,'Diags Raw Data'!$D$6:$D$4682,$A32,'Diags Raw Data'!$M$6:$M$4682,"Legacy")</f>
        <v>9</v>
      </c>
      <c r="F32" s="247">
        <f>IF(NOT($B32=0), E32/$B32, "---")</f>
        <v>1</v>
      </c>
      <c r="G32" s="219">
        <f>SUMIFS('Diags Raw Data'!$S$6:$S$4682,'Diags Raw Data'!$D$6:$D$4682,$A32,'Diags Raw Data'!$M$6:$M$4682,"Legacy")</f>
        <v>9</v>
      </c>
      <c r="H32" s="220">
        <f>SUMIFS('Diags Raw Data'!$T$6:$T$4682,'Diags Raw Data'!$D$6:$D$4682,$A32,'Diags Raw Data'!$M$6:$M$4682,"Legacy")</f>
        <v>9</v>
      </c>
      <c r="I32" s="222">
        <f>SUMIFS('Diags Raw Data'!$U$6:$U$4682,'Diags Raw Data'!$D$6:$D$4682,$A32,'Diags Raw Data'!$M$6:$M$4682,"Legacy")</f>
        <v>0</v>
      </c>
      <c r="J32" s="220">
        <f>SUMIFS('Diags Raw Data'!$V$6:$V$4682,'Diags Raw Data'!$D$6:$D$4682,$A32,'Diags Raw Data'!$M$6:$M$4682,"Legacy")</f>
        <v>0</v>
      </c>
      <c r="K32" s="222">
        <f>SUMIFS('Diags Raw Data'!$W$6:$W$4682,'Diags Raw Data'!$D$6:$D$4682,$A32,'Diags Raw Data'!$M$6:$M$4682,"Legacy")</f>
        <v>0</v>
      </c>
      <c r="L32" s="221">
        <f>IF(NOT($C32=0), G32/$C32, "---")</f>
        <v>1</v>
      </c>
      <c r="M32" s="223">
        <f>IF(NOT($G32=0), (H32+I32)/$G32, "---")</f>
        <v>1</v>
      </c>
      <c r="N32" s="225">
        <f>IF(NOT($C32=0), (H32+I32)/$C32, "---")</f>
        <v>1</v>
      </c>
      <c r="O32" s="212">
        <f>SUMIFS('Diags Raw Data'!$Z$6:$Z$4682,'Diags Raw Data'!$D$6:$D$4682,$A32,'Diags Raw Data'!$M$6:$M$4682,"Legacy")</f>
        <v>0</v>
      </c>
      <c r="P32" s="209">
        <f>SUMIFS('Diags Raw Data'!$AA$6:$AA$4682,'Diags Raw Data'!$D$6:$D$4682,$A32,'Diags Raw Data'!$M$6:$M$4682,"Legacy")</f>
        <v>0</v>
      </c>
      <c r="Q32" s="211">
        <f>SUMIFS('Diags Raw Data'!$AB$6:$AB$4682,'Diags Raw Data'!$D$6:$D$4682,$A32,'Diags Raw Data'!$M$6:$M$4682,"Legacy")</f>
        <v>0</v>
      </c>
      <c r="R32" s="209">
        <f>SUMIFS('Diags Raw Data'!$AC$6:$AC$4682,'Diags Raw Data'!$D$6:$D$4682,$A32,'Diags Raw Data'!$M$6:$M$4682,"Legacy")</f>
        <v>0</v>
      </c>
      <c r="S32" s="211">
        <f>SUMIFS('Diags Raw Data'!$AD$6:$AD$4682,'Diags Raw Data'!$D$6:$D$4682,$A32,'Diags Raw Data'!$M$6:$M$4682,"Legacy")</f>
        <v>0</v>
      </c>
      <c r="T32" s="210">
        <f>IF(NOT($B32=0), O32/$B32, "---")</f>
        <v>0</v>
      </c>
      <c r="U32" s="224" t="str">
        <f>IF(NOT($O32=0), (P32+Q32)/$O32, "---")</f>
        <v>---</v>
      </c>
      <c r="V32" s="240">
        <f>IF(NOT($B32=0), (P32+Q32)/$B32, "---")</f>
        <v>0</v>
      </c>
    </row>
    <row r="33" spans="1:22" x14ac:dyDescent="0.25">
      <c r="A33" s="330" t="s">
        <v>355</v>
      </c>
      <c r="B33" s="252">
        <f>SUMIFS('Diags Raw Data'!$L$6:$L$4682,'Diags Raw Data'!$D$6:$D$4682,$A33,'Diags Raw Data'!$M$6:$M$4682,"Legacy")</f>
        <v>9</v>
      </c>
      <c r="C33" s="242">
        <f>SUMIFS('Diags Raw Data'!$R$6:$R$4682,'Diags Raw Data'!$D$6:$D$4682,$A33,'Diags Raw Data'!$M$6:$M$4682,"Legacy")</f>
        <v>9</v>
      </c>
      <c r="D33" s="242">
        <f>SUMIFS('Diags Raw Data'!$K$6:$K$4682,'Diags Raw Data'!$D$6:$D$4682,$A33,'Diags Raw Data'!$M$6:$M$4682,"Legacy")</f>
        <v>8</v>
      </c>
      <c r="E33" s="242">
        <f>SUMIFS('Diags Raw Data'!$O$6:$O$4682,'Diags Raw Data'!$D$6:$D$4682,$A33,'Diags Raw Data'!$M$6:$M$4682,"Legacy")</f>
        <v>9</v>
      </c>
      <c r="F33" s="248">
        <f t="shared" ref="F33:F41" si="29">IF(NOT($B33=0), E33/$B33, "---")</f>
        <v>1</v>
      </c>
      <c r="G33" s="230">
        <f>SUMIFS('Diags Raw Data'!$S$6:$S$4682,'Diags Raw Data'!$D$6:$D$4682,$A33,'Diags Raw Data'!$M$6:$M$4682,"Legacy")</f>
        <v>9</v>
      </c>
      <c r="H33" s="226">
        <f>SUMIFS('Diags Raw Data'!$T$6:$T$4682,'Diags Raw Data'!$D$6:$D$4682,$A33,'Diags Raw Data'!$M$6:$M$4682,"Legacy")</f>
        <v>9</v>
      </c>
      <c r="I33" s="227">
        <f>SUMIFS('Diags Raw Data'!$U$6:$U$4682,'Diags Raw Data'!$D$6:$D$4682,$A33,'Diags Raw Data'!$M$6:$M$4682,"Legacy")</f>
        <v>0</v>
      </c>
      <c r="J33" s="226">
        <f>SUMIFS('Diags Raw Data'!$V$6:$V$4682,'Diags Raw Data'!$D$6:$D$4682,$A33,'Diags Raw Data'!$M$6:$M$4682,"Legacy")</f>
        <v>0</v>
      </c>
      <c r="K33" s="227">
        <f>SUMIFS('Diags Raw Data'!$W$6:$W$4682,'Diags Raw Data'!$D$6:$D$4682,$A33,'Diags Raw Data'!$M$6:$M$4682,"Legacy")</f>
        <v>0</v>
      </c>
      <c r="L33" s="243">
        <f t="shared" ref="L33:L41" si="30">IF(NOT($C33=0), G33/$C33, "---")</f>
        <v>1</v>
      </c>
      <c r="M33" s="228">
        <f t="shared" ref="M33:M42" si="31">IF(NOT($G33=0), (H33+I33)/$G33, "---")</f>
        <v>1</v>
      </c>
      <c r="N33" s="237">
        <f t="shared" ref="N33:N42" si="32">IF(NOT($C33=0), (H33+I33)/$C33, "---")</f>
        <v>1</v>
      </c>
      <c r="O33" s="213">
        <f>SUMIFS('Diags Raw Data'!$Z$6:$Z$4682,'Diags Raw Data'!$D$6:$D$4682,$A33,'Diags Raw Data'!$M$6:$M$4682,"Legacy")</f>
        <v>0</v>
      </c>
      <c r="P33" s="203">
        <f>SUMIFS('Diags Raw Data'!$AA$6:$AA$4682,'Diags Raw Data'!$D$6:$D$4682,$A33,'Diags Raw Data'!$M$6:$M$4682,"Legacy")</f>
        <v>0</v>
      </c>
      <c r="Q33" s="205">
        <f>SUMIFS('Diags Raw Data'!$AB$6:$AB$4682,'Diags Raw Data'!$D$6:$D$4682,$A33,'Diags Raw Data'!$M$6:$M$4682,"Legacy")</f>
        <v>0</v>
      </c>
      <c r="R33" s="203">
        <f>SUMIFS('Diags Raw Data'!$AC$6:$AC$4682,'Diags Raw Data'!$D$6:$D$4682,$A33,'Diags Raw Data'!$M$6:$M$4682,"Legacy")</f>
        <v>0</v>
      </c>
      <c r="S33" s="205">
        <f>SUMIFS('Diags Raw Data'!$AD$6:$AD$4682,'Diags Raw Data'!$D$6:$D$4682,$A33,'Diags Raw Data'!$M$6:$M$4682,"Legacy")</f>
        <v>0</v>
      </c>
      <c r="T33" s="204">
        <f t="shared" ref="T33:T41" si="33">IF(NOT($B33=0), O33/$B33, "---")</f>
        <v>0</v>
      </c>
      <c r="U33" s="229" t="str">
        <f t="shared" ref="U33:U42" si="34">IF(NOT($O33=0), (P33+Q33)/$O33, "---")</f>
        <v>---</v>
      </c>
      <c r="V33" s="231">
        <f t="shared" ref="V33:V41" si="35">IF(NOT($B33=0), (P33+Q33)/$B33, "---")</f>
        <v>0</v>
      </c>
    </row>
    <row r="34" spans="1:22" x14ac:dyDescent="0.25">
      <c r="A34" s="330" t="s">
        <v>320</v>
      </c>
      <c r="B34" s="252">
        <f>SUMIFS('Diags Raw Data'!$L$6:$L$4682,'Diags Raw Data'!$D$6:$D$4682,$A34,'Diags Raw Data'!$M$6:$M$4682,"Legacy")</f>
        <v>17</v>
      </c>
      <c r="C34" s="242">
        <f>SUMIFS('Diags Raw Data'!$R$6:$R$4682,'Diags Raw Data'!$D$6:$D$4682,$A34,'Diags Raw Data'!$M$6:$M$4682,"Legacy")</f>
        <v>17</v>
      </c>
      <c r="D34" s="242">
        <f>SUMIFS('Diags Raw Data'!$K$6:$K$4682,'Diags Raw Data'!$D$6:$D$4682,$A34,'Diags Raw Data'!$M$6:$M$4682,"Legacy")</f>
        <v>14</v>
      </c>
      <c r="E34" s="242">
        <f>SUMIFS('Diags Raw Data'!$O$6:$O$4682,'Diags Raw Data'!$D$6:$D$4682,$A34,'Diags Raw Data'!$M$6:$M$4682,"Legacy")</f>
        <v>17</v>
      </c>
      <c r="F34" s="248">
        <f t="shared" si="29"/>
        <v>1</v>
      </c>
      <c r="G34" s="230">
        <f>SUMIFS('Diags Raw Data'!$S$6:$S$4682,'Diags Raw Data'!$D$6:$D$4682,$A34,'Diags Raw Data'!$M$6:$M$4682,"Legacy")</f>
        <v>17</v>
      </c>
      <c r="H34" s="226">
        <f>SUMIFS('Diags Raw Data'!$T$6:$T$4682,'Diags Raw Data'!$D$6:$D$4682,$A34,'Diags Raw Data'!$M$6:$M$4682,"Legacy")</f>
        <v>17</v>
      </c>
      <c r="I34" s="227">
        <f>SUMIFS('Diags Raw Data'!$U$6:$U$4682,'Diags Raw Data'!$D$6:$D$4682,$A34,'Diags Raw Data'!$M$6:$M$4682,"Legacy")</f>
        <v>0</v>
      </c>
      <c r="J34" s="226">
        <f>SUMIFS('Diags Raw Data'!$V$6:$V$4682,'Diags Raw Data'!$D$6:$D$4682,$A34,'Diags Raw Data'!$M$6:$M$4682,"Legacy")</f>
        <v>0</v>
      </c>
      <c r="K34" s="227">
        <f>SUMIFS('Diags Raw Data'!$W$6:$W$4682,'Diags Raw Data'!$D$6:$D$4682,$A34,'Diags Raw Data'!$M$6:$M$4682,"Legacy")</f>
        <v>0</v>
      </c>
      <c r="L34" s="243">
        <f t="shared" si="30"/>
        <v>1</v>
      </c>
      <c r="M34" s="228">
        <f t="shared" si="31"/>
        <v>1</v>
      </c>
      <c r="N34" s="237">
        <f t="shared" si="32"/>
        <v>1</v>
      </c>
      <c r="O34" s="213">
        <f>SUMIFS('Diags Raw Data'!$Z$6:$Z$4682,'Diags Raw Data'!$D$6:$D$4682,$A34,'Diags Raw Data'!$M$6:$M$4682,"Legacy")</f>
        <v>0</v>
      </c>
      <c r="P34" s="203">
        <f>SUMIFS('Diags Raw Data'!$AA$6:$AA$4682,'Diags Raw Data'!$D$6:$D$4682,$A34,'Diags Raw Data'!$M$6:$M$4682,"Legacy")</f>
        <v>0</v>
      </c>
      <c r="Q34" s="205">
        <f>SUMIFS('Diags Raw Data'!$AB$6:$AB$4682,'Diags Raw Data'!$D$6:$D$4682,$A34,'Diags Raw Data'!$M$6:$M$4682,"Legacy")</f>
        <v>0</v>
      </c>
      <c r="R34" s="203">
        <f>SUMIFS('Diags Raw Data'!$AC$6:$AC$4682,'Diags Raw Data'!$D$6:$D$4682,$A34,'Diags Raw Data'!$M$6:$M$4682,"Legacy")</f>
        <v>0</v>
      </c>
      <c r="S34" s="205">
        <f>SUMIFS('Diags Raw Data'!$AD$6:$AD$4682,'Diags Raw Data'!$D$6:$D$4682,$A34,'Diags Raw Data'!$M$6:$M$4682,"Legacy")</f>
        <v>0</v>
      </c>
      <c r="T34" s="204">
        <f t="shared" si="33"/>
        <v>0</v>
      </c>
      <c r="U34" s="229" t="str">
        <f t="shared" si="34"/>
        <v>---</v>
      </c>
      <c r="V34" s="231">
        <f t="shared" si="35"/>
        <v>0</v>
      </c>
    </row>
    <row r="35" spans="1:22" x14ac:dyDescent="0.25">
      <c r="A35" s="330" t="s">
        <v>404</v>
      </c>
      <c r="B35" s="252">
        <f>SUMIFS('Diags Raw Data'!$L$6:$L$4682,'Diags Raw Data'!$D$6:$D$4682,$A35,'Diags Raw Data'!$M$6:$M$4682,"Legacy")</f>
        <v>5</v>
      </c>
      <c r="C35" s="242">
        <f>SUMIFS('Diags Raw Data'!$R$6:$R$4682,'Diags Raw Data'!$D$6:$D$4682,$A35,'Diags Raw Data'!$M$6:$M$4682,"Legacy")</f>
        <v>5</v>
      </c>
      <c r="D35" s="242">
        <f>SUMIFS('Diags Raw Data'!$K$6:$K$4682,'Diags Raw Data'!$D$6:$D$4682,$A35,'Diags Raw Data'!$M$6:$M$4682,"Legacy")</f>
        <v>2</v>
      </c>
      <c r="E35" s="242">
        <f>SUMIFS('Diags Raw Data'!$O$6:$O$4682,'Diags Raw Data'!$D$6:$D$4682,$A35,'Diags Raw Data'!$M$6:$M$4682,"Legacy")</f>
        <v>5</v>
      </c>
      <c r="F35" s="248">
        <f t="shared" si="29"/>
        <v>1</v>
      </c>
      <c r="G35" s="230">
        <f>SUMIFS('Diags Raw Data'!$S$6:$S$4682,'Diags Raw Data'!$D$6:$D$4682,$A35,'Diags Raw Data'!$M$6:$M$4682,"Legacy")</f>
        <v>5</v>
      </c>
      <c r="H35" s="226">
        <f>SUMIFS('Diags Raw Data'!$T$6:$T$4682,'Diags Raw Data'!$D$6:$D$4682,$A35,'Diags Raw Data'!$M$6:$M$4682,"Legacy")</f>
        <v>5</v>
      </c>
      <c r="I35" s="227">
        <f>SUMIFS('Diags Raw Data'!$U$6:$U$4682,'Diags Raw Data'!$D$6:$D$4682,$A35,'Diags Raw Data'!$M$6:$M$4682,"Legacy")</f>
        <v>0</v>
      </c>
      <c r="J35" s="226">
        <f>SUMIFS('Diags Raw Data'!$V$6:$V$4682,'Diags Raw Data'!$D$6:$D$4682,$A35,'Diags Raw Data'!$M$6:$M$4682,"Legacy")</f>
        <v>0</v>
      </c>
      <c r="K35" s="227">
        <f>SUMIFS('Diags Raw Data'!$W$6:$W$4682,'Diags Raw Data'!$D$6:$D$4682,$A35,'Diags Raw Data'!$M$6:$M$4682,"Legacy")</f>
        <v>0</v>
      </c>
      <c r="L35" s="243">
        <f t="shared" si="30"/>
        <v>1</v>
      </c>
      <c r="M35" s="228">
        <f t="shared" si="31"/>
        <v>1</v>
      </c>
      <c r="N35" s="237">
        <f t="shared" si="32"/>
        <v>1</v>
      </c>
      <c r="O35" s="213">
        <f>SUMIFS('Diags Raw Data'!$Z$6:$Z$4682,'Diags Raw Data'!$D$6:$D$4682,$A35,'Diags Raw Data'!$M$6:$M$4682,"Legacy")</f>
        <v>0</v>
      </c>
      <c r="P35" s="203">
        <f>SUMIFS('Diags Raw Data'!$AA$6:$AA$4682,'Diags Raw Data'!$D$6:$D$4682,$A35,'Diags Raw Data'!$M$6:$M$4682,"Legacy")</f>
        <v>0</v>
      </c>
      <c r="Q35" s="205">
        <f>SUMIFS('Diags Raw Data'!$AB$6:$AB$4682,'Diags Raw Data'!$D$6:$D$4682,$A35,'Diags Raw Data'!$M$6:$M$4682,"Legacy")</f>
        <v>0</v>
      </c>
      <c r="R35" s="203">
        <f>SUMIFS('Diags Raw Data'!$AC$6:$AC$4682,'Diags Raw Data'!$D$6:$D$4682,$A35,'Diags Raw Data'!$M$6:$M$4682,"Legacy")</f>
        <v>0</v>
      </c>
      <c r="S35" s="205">
        <f>SUMIFS('Diags Raw Data'!$AD$6:$AD$4682,'Diags Raw Data'!$D$6:$D$4682,$A35,'Diags Raw Data'!$M$6:$M$4682,"Legacy")</f>
        <v>0</v>
      </c>
      <c r="T35" s="204">
        <f t="shared" si="33"/>
        <v>0</v>
      </c>
      <c r="U35" s="229" t="str">
        <f t="shared" si="34"/>
        <v>---</v>
      </c>
      <c r="V35" s="231">
        <f t="shared" si="35"/>
        <v>0</v>
      </c>
    </row>
    <row r="36" spans="1:22" x14ac:dyDescent="0.25">
      <c r="A36" s="330" t="s">
        <v>413</v>
      </c>
      <c r="B36" s="252">
        <f>SUMIFS('Diags Raw Data'!$L$6:$L$4682,'Diags Raw Data'!$D$6:$D$4682,$A36,'Diags Raw Data'!$M$6:$M$4682,"Legacy")</f>
        <v>11</v>
      </c>
      <c r="C36" s="242">
        <f>SUMIFS('Diags Raw Data'!$R$6:$R$4682,'Diags Raw Data'!$D$6:$D$4682,$A36,'Diags Raw Data'!$M$6:$M$4682,"Legacy")</f>
        <v>11</v>
      </c>
      <c r="D36" s="242">
        <f>SUMIFS('Diags Raw Data'!$K$6:$K$4682,'Diags Raw Data'!$D$6:$D$4682,$A36,'Diags Raw Data'!$M$6:$M$4682,"Legacy")</f>
        <v>2</v>
      </c>
      <c r="E36" s="242">
        <f>SUMIFS('Diags Raw Data'!$O$6:$O$4682,'Diags Raw Data'!$D$6:$D$4682,$A36,'Diags Raw Data'!$M$6:$M$4682,"Legacy")</f>
        <v>11</v>
      </c>
      <c r="F36" s="248">
        <f t="shared" si="29"/>
        <v>1</v>
      </c>
      <c r="G36" s="230">
        <f>SUMIFS('Diags Raw Data'!$S$6:$S$4682,'Diags Raw Data'!$D$6:$D$4682,$A36,'Diags Raw Data'!$M$6:$M$4682,"Legacy")</f>
        <v>11</v>
      </c>
      <c r="H36" s="226">
        <f>SUMIFS('Diags Raw Data'!$T$6:$T$4682,'Diags Raw Data'!$D$6:$D$4682,$A36,'Diags Raw Data'!$M$6:$M$4682,"Legacy")</f>
        <v>11</v>
      </c>
      <c r="I36" s="227">
        <f>SUMIFS('Diags Raw Data'!$U$6:$U$4682,'Diags Raw Data'!$D$6:$D$4682,$A36,'Diags Raw Data'!$M$6:$M$4682,"Legacy")</f>
        <v>0</v>
      </c>
      <c r="J36" s="226">
        <f>SUMIFS('Diags Raw Data'!$V$6:$V$4682,'Diags Raw Data'!$D$6:$D$4682,$A36,'Diags Raw Data'!$M$6:$M$4682,"Legacy")</f>
        <v>0</v>
      </c>
      <c r="K36" s="227">
        <f>SUMIFS('Diags Raw Data'!$W$6:$W$4682,'Diags Raw Data'!$D$6:$D$4682,$A36,'Diags Raw Data'!$M$6:$M$4682,"Legacy")</f>
        <v>0</v>
      </c>
      <c r="L36" s="243">
        <f t="shared" si="30"/>
        <v>1</v>
      </c>
      <c r="M36" s="228">
        <f t="shared" si="31"/>
        <v>1</v>
      </c>
      <c r="N36" s="237">
        <f t="shared" si="32"/>
        <v>1</v>
      </c>
      <c r="O36" s="213">
        <f>SUMIFS('Diags Raw Data'!$Z$6:$Z$4682,'Diags Raw Data'!$D$6:$D$4682,$A36,'Diags Raw Data'!$M$6:$M$4682,"Legacy")</f>
        <v>0</v>
      </c>
      <c r="P36" s="203">
        <f>SUMIFS('Diags Raw Data'!$AA$6:$AA$4682,'Diags Raw Data'!$D$6:$D$4682,$A36,'Diags Raw Data'!$M$6:$M$4682,"Legacy")</f>
        <v>0</v>
      </c>
      <c r="Q36" s="205">
        <f>SUMIFS('Diags Raw Data'!$AB$6:$AB$4682,'Diags Raw Data'!$D$6:$D$4682,$A36,'Diags Raw Data'!$M$6:$M$4682,"Legacy")</f>
        <v>0</v>
      </c>
      <c r="R36" s="203">
        <f>SUMIFS('Diags Raw Data'!$AC$6:$AC$4682,'Diags Raw Data'!$D$6:$D$4682,$A36,'Diags Raw Data'!$M$6:$M$4682,"Legacy")</f>
        <v>0</v>
      </c>
      <c r="S36" s="205">
        <f>SUMIFS('Diags Raw Data'!$AD$6:$AD$4682,'Diags Raw Data'!$D$6:$D$4682,$A36,'Diags Raw Data'!$M$6:$M$4682,"Legacy")</f>
        <v>0</v>
      </c>
      <c r="T36" s="204">
        <f t="shared" si="33"/>
        <v>0</v>
      </c>
      <c r="U36" s="229" t="str">
        <f t="shared" si="34"/>
        <v>---</v>
      </c>
      <c r="V36" s="231">
        <f t="shared" si="35"/>
        <v>0</v>
      </c>
    </row>
    <row r="37" spans="1:22" x14ac:dyDescent="0.25">
      <c r="A37" s="330" t="s">
        <v>380</v>
      </c>
      <c r="B37" s="252">
        <f>SUMIFS('Diags Raw Data'!$L$6:$L$4682,'Diags Raw Data'!$D$6:$D$4682,$A37,'Diags Raw Data'!$M$6:$M$4682,"Legacy")</f>
        <v>5</v>
      </c>
      <c r="C37" s="242">
        <f>SUMIFS('Diags Raw Data'!$R$6:$R$4682,'Diags Raw Data'!$D$6:$D$4682,$A37,'Diags Raw Data'!$M$6:$M$4682,"Legacy")</f>
        <v>5</v>
      </c>
      <c r="D37" s="242">
        <f>SUMIFS('Diags Raw Data'!$K$6:$K$4682,'Diags Raw Data'!$D$6:$D$4682,$A37,'Diags Raw Data'!$M$6:$M$4682,"Legacy")</f>
        <v>2</v>
      </c>
      <c r="E37" s="242">
        <f>SUMIFS('Diags Raw Data'!$O$6:$O$4682,'Diags Raw Data'!$D$6:$D$4682,$A37,'Diags Raw Data'!$M$6:$M$4682,"Legacy")</f>
        <v>5</v>
      </c>
      <c r="F37" s="248">
        <f t="shared" si="29"/>
        <v>1</v>
      </c>
      <c r="G37" s="230">
        <f>SUMIFS('Diags Raw Data'!$S$6:$S$4682,'Diags Raw Data'!$D$6:$D$4682,$A37,'Diags Raw Data'!$M$6:$M$4682,"Legacy")</f>
        <v>5</v>
      </c>
      <c r="H37" s="226">
        <f>SUMIFS('Diags Raw Data'!$T$6:$T$4682,'Diags Raw Data'!$D$6:$D$4682,$A37,'Diags Raw Data'!$M$6:$M$4682,"Legacy")</f>
        <v>5</v>
      </c>
      <c r="I37" s="227">
        <f>SUMIFS('Diags Raw Data'!$U$6:$U$4682,'Diags Raw Data'!$D$6:$D$4682,$A37,'Diags Raw Data'!$M$6:$M$4682,"Legacy")</f>
        <v>0</v>
      </c>
      <c r="J37" s="226">
        <f>SUMIFS('Diags Raw Data'!$V$6:$V$4682,'Diags Raw Data'!$D$6:$D$4682,$A37,'Diags Raw Data'!$M$6:$M$4682,"Legacy")</f>
        <v>0</v>
      </c>
      <c r="K37" s="227">
        <f>SUMIFS('Diags Raw Data'!$W$6:$W$4682,'Diags Raw Data'!$D$6:$D$4682,$A37,'Diags Raw Data'!$M$6:$M$4682,"Legacy")</f>
        <v>0</v>
      </c>
      <c r="L37" s="243">
        <f t="shared" si="30"/>
        <v>1</v>
      </c>
      <c r="M37" s="228">
        <f t="shared" si="31"/>
        <v>1</v>
      </c>
      <c r="N37" s="237">
        <f t="shared" si="32"/>
        <v>1</v>
      </c>
      <c r="O37" s="213">
        <f>SUMIFS('Diags Raw Data'!$Z$6:$Z$4682,'Diags Raw Data'!$D$6:$D$4682,$A37,'Diags Raw Data'!$M$6:$M$4682,"Legacy")</f>
        <v>0</v>
      </c>
      <c r="P37" s="203">
        <f>SUMIFS('Diags Raw Data'!$AA$6:$AA$4682,'Diags Raw Data'!$D$6:$D$4682,$A37,'Diags Raw Data'!$M$6:$M$4682,"Legacy")</f>
        <v>0</v>
      </c>
      <c r="Q37" s="205">
        <f>SUMIFS('Diags Raw Data'!$AB$6:$AB$4682,'Diags Raw Data'!$D$6:$D$4682,$A37,'Diags Raw Data'!$M$6:$M$4682,"Legacy")</f>
        <v>0</v>
      </c>
      <c r="R37" s="203">
        <f>SUMIFS('Diags Raw Data'!$AC$6:$AC$4682,'Diags Raw Data'!$D$6:$D$4682,$A37,'Diags Raw Data'!$M$6:$M$4682,"Legacy")</f>
        <v>0</v>
      </c>
      <c r="S37" s="205">
        <f>SUMIFS('Diags Raw Data'!$AD$6:$AD$4682,'Diags Raw Data'!$D$6:$D$4682,$A37,'Diags Raw Data'!$M$6:$M$4682,"Legacy")</f>
        <v>0</v>
      </c>
      <c r="T37" s="204">
        <f t="shared" si="33"/>
        <v>0</v>
      </c>
      <c r="U37" s="229" t="str">
        <f t="shared" si="34"/>
        <v>---</v>
      </c>
      <c r="V37" s="231">
        <f t="shared" si="35"/>
        <v>0</v>
      </c>
    </row>
    <row r="38" spans="1:22" x14ac:dyDescent="0.25">
      <c r="A38" s="330" t="s">
        <v>311</v>
      </c>
      <c r="B38" s="252">
        <f>SUMIFS('Diags Raw Data'!$L$6:$L$4682,'Diags Raw Data'!$D$6:$D$4682,$A38,'Diags Raw Data'!$M$6:$M$4682,"Legacy")</f>
        <v>12</v>
      </c>
      <c r="C38" s="242">
        <f>SUMIFS('Diags Raw Data'!$R$6:$R$4682,'Diags Raw Data'!$D$6:$D$4682,$A38,'Diags Raw Data'!$M$6:$M$4682,"Legacy")</f>
        <v>12</v>
      </c>
      <c r="D38" s="242">
        <f>SUMIFS('Diags Raw Data'!$K$6:$K$4682,'Diags Raw Data'!$D$6:$D$4682,$A38,'Diags Raw Data'!$M$6:$M$4682,"Legacy")</f>
        <v>9</v>
      </c>
      <c r="E38" s="242">
        <f>SUMIFS('Diags Raw Data'!$O$6:$O$4682,'Diags Raw Data'!$D$6:$D$4682,$A38,'Diags Raw Data'!$M$6:$M$4682,"Legacy")</f>
        <v>12</v>
      </c>
      <c r="F38" s="248">
        <f t="shared" si="29"/>
        <v>1</v>
      </c>
      <c r="G38" s="230">
        <f>SUMIFS('Diags Raw Data'!$S$6:$S$4682,'Diags Raw Data'!$D$6:$D$4682,$A38,'Diags Raw Data'!$M$6:$M$4682,"Legacy")</f>
        <v>12</v>
      </c>
      <c r="H38" s="226">
        <f>SUMIFS('Diags Raw Data'!$T$6:$T$4682,'Diags Raw Data'!$D$6:$D$4682,$A38,'Diags Raw Data'!$M$6:$M$4682,"Legacy")</f>
        <v>12</v>
      </c>
      <c r="I38" s="227">
        <f>SUMIFS('Diags Raw Data'!$U$6:$U$4682,'Diags Raw Data'!$D$6:$D$4682,$A38,'Diags Raw Data'!$M$6:$M$4682,"Legacy")</f>
        <v>0</v>
      </c>
      <c r="J38" s="226">
        <f>SUMIFS('Diags Raw Data'!$V$6:$V$4682,'Diags Raw Data'!$D$6:$D$4682,$A38,'Diags Raw Data'!$M$6:$M$4682,"Legacy")</f>
        <v>0</v>
      </c>
      <c r="K38" s="227">
        <f>SUMIFS('Diags Raw Data'!$W$6:$W$4682,'Diags Raw Data'!$D$6:$D$4682,$A38,'Diags Raw Data'!$M$6:$M$4682,"Legacy")</f>
        <v>0</v>
      </c>
      <c r="L38" s="243">
        <f t="shared" si="30"/>
        <v>1</v>
      </c>
      <c r="M38" s="228">
        <f t="shared" si="31"/>
        <v>1</v>
      </c>
      <c r="N38" s="237">
        <f t="shared" si="32"/>
        <v>1</v>
      </c>
      <c r="O38" s="213">
        <f>SUMIFS('Diags Raw Data'!$Z$6:$Z$4682,'Diags Raw Data'!$D$6:$D$4682,$A38,'Diags Raw Data'!$M$6:$M$4682,"Legacy")</f>
        <v>0</v>
      </c>
      <c r="P38" s="203">
        <f>SUMIFS('Diags Raw Data'!$AA$6:$AA$4682,'Diags Raw Data'!$D$6:$D$4682,$A38,'Diags Raw Data'!$M$6:$M$4682,"Legacy")</f>
        <v>0</v>
      </c>
      <c r="Q38" s="205">
        <f>SUMIFS('Diags Raw Data'!$AB$6:$AB$4682,'Diags Raw Data'!$D$6:$D$4682,$A38,'Diags Raw Data'!$M$6:$M$4682,"Legacy")</f>
        <v>0</v>
      </c>
      <c r="R38" s="203">
        <f>SUMIFS('Diags Raw Data'!$AC$6:$AC$4682,'Diags Raw Data'!$D$6:$D$4682,$A38,'Diags Raw Data'!$M$6:$M$4682,"Legacy")</f>
        <v>0</v>
      </c>
      <c r="S38" s="205">
        <f>SUMIFS('Diags Raw Data'!$AD$6:$AD$4682,'Diags Raw Data'!$D$6:$D$4682,$A38,'Diags Raw Data'!$M$6:$M$4682,"Legacy")</f>
        <v>0</v>
      </c>
      <c r="T38" s="204">
        <f t="shared" si="33"/>
        <v>0</v>
      </c>
      <c r="U38" s="229" t="str">
        <f t="shared" si="34"/>
        <v>---</v>
      </c>
      <c r="V38" s="231">
        <f t="shared" si="35"/>
        <v>0</v>
      </c>
    </row>
    <row r="39" spans="1:22" x14ac:dyDescent="0.25">
      <c r="A39" s="330" t="s">
        <v>472</v>
      </c>
      <c r="B39" s="252">
        <f>SUMIFS('Diags Raw Data'!$L$6:$L$4682,'Diags Raw Data'!$D$6:$D$4682,$A39,'Diags Raw Data'!$M$6:$M$4682,"Legacy")</f>
        <v>0</v>
      </c>
      <c r="C39" s="242">
        <f>SUMIFS('Diags Raw Data'!$R$6:$R$4682,'Diags Raw Data'!$D$6:$D$4682,$A39,'Diags Raw Data'!$M$6:$M$4682,"Legacy")</f>
        <v>0</v>
      </c>
      <c r="D39" s="242">
        <f>SUMIFS('Diags Raw Data'!$K$6:$K$4682,'Diags Raw Data'!$D$6:$D$4682,$A39,'Diags Raw Data'!$M$6:$M$4682,"Legacy")</f>
        <v>0</v>
      </c>
      <c r="E39" s="242">
        <f>SUMIFS('Diags Raw Data'!$O$6:$O$4682,'Diags Raw Data'!$D$6:$D$4682,$A39,'Diags Raw Data'!$M$6:$M$4682,"Legacy")</f>
        <v>0</v>
      </c>
      <c r="F39" s="248" t="str">
        <f t="shared" si="29"/>
        <v>---</v>
      </c>
      <c r="G39" s="230">
        <f>SUMIFS('Diags Raw Data'!$S$6:$S$4682,'Diags Raw Data'!$D$6:$D$4682,$A39,'Diags Raw Data'!$M$6:$M$4682,"Legacy")</f>
        <v>0</v>
      </c>
      <c r="H39" s="226">
        <f>SUMIFS('Diags Raw Data'!$T$6:$T$4682,'Diags Raw Data'!$D$6:$D$4682,$A39,'Diags Raw Data'!$M$6:$M$4682,"Legacy")</f>
        <v>0</v>
      </c>
      <c r="I39" s="227">
        <f>SUMIFS('Diags Raw Data'!$U$6:$U$4682,'Diags Raw Data'!$D$6:$D$4682,$A39,'Diags Raw Data'!$M$6:$M$4682,"Legacy")</f>
        <v>0</v>
      </c>
      <c r="J39" s="226">
        <f>SUMIFS('Diags Raw Data'!$V$6:$V$4682,'Diags Raw Data'!$D$6:$D$4682,$A39,'Diags Raw Data'!$M$6:$M$4682,"Legacy")</f>
        <v>0</v>
      </c>
      <c r="K39" s="227">
        <f>SUMIFS('Diags Raw Data'!$W$6:$W$4682,'Diags Raw Data'!$D$6:$D$4682,$A39,'Diags Raw Data'!$M$6:$M$4682,"Legacy")</f>
        <v>0</v>
      </c>
      <c r="L39" s="243" t="str">
        <f t="shared" si="30"/>
        <v>---</v>
      </c>
      <c r="M39" s="228" t="str">
        <f t="shared" si="31"/>
        <v>---</v>
      </c>
      <c r="N39" s="237" t="str">
        <f t="shared" si="32"/>
        <v>---</v>
      </c>
      <c r="O39" s="213">
        <f>SUMIFS('Diags Raw Data'!$Z$6:$Z$4682,'Diags Raw Data'!$D$6:$D$4682,$A39,'Diags Raw Data'!$M$6:$M$4682,"Legacy")</f>
        <v>0</v>
      </c>
      <c r="P39" s="203">
        <f>SUMIFS('Diags Raw Data'!$AA$6:$AA$4682,'Diags Raw Data'!$D$6:$D$4682,$A39,'Diags Raw Data'!$M$6:$M$4682,"Legacy")</f>
        <v>0</v>
      </c>
      <c r="Q39" s="205">
        <f>SUMIFS('Diags Raw Data'!$AB$6:$AB$4682,'Diags Raw Data'!$D$6:$D$4682,$A39,'Diags Raw Data'!$M$6:$M$4682,"Legacy")</f>
        <v>0</v>
      </c>
      <c r="R39" s="203">
        <f>SUMIFS('Diags Raw Data'!$AC$6:$AC$4682,'Diags Raw Data'!$D$6:$D$4682,$A39,'Diags Raw Data'!$M$6:$M$4682,"Legacy")</f>
        <v>0</v>
      </c>
      <c r="S39" s="205">
        <f>SUMIFS('Diags Raw Data'!$AD$6:$AD$4682,'Diags Raw Data'!$D$6:$D$4682,$A39,'Diags Raw Data'!$M$6:$M$4682,"Legacy")</f>
        <v>0</v>
      </c>
      <c r="T39" s="204" t="str">
        <f t="shared" si="33"/>
        <v>---</v>
      </c>
      <c r="U39" s="229" t="str">
        <f t="shared" si="34"/>
        <v>---</v>
      </c>
      <c r="V39" s="231" t="str">
        <f t="shared" si="35"/>
        <v>---</v>
      </c>
    </row>
    <row r="40" spans="1:22" x14ac:dyDescent="0.25">
      <c r="A40" s="330" t="s">
        <v>483</v>
      </c>
      <c r="B40" s="252">
        <f>SUMIFS('Diags Raw Data'!$L$6:$L$4682,'Diags Raw Data'!$D$6:$D$4682,$A40,'Diags Raw Data'!$M$6:$M$4682,"Legacy")</f>
        <v>0</v>
      </c>
      <c r="C40" s="242">
        <f>SUMIFS('Diags Raw Data'!$R$6:$R$4682,'Diags Raw Data'!$D$6:$D$4682,$A40,'Diags Raw Data'!$M$6:$M$4682,"Legacy")</f>
        <v>0</v>
      </c>
      <c r="D40" s="242">
        <f>SUMIFS('Diags Raw Data'!$K$6:$K$4682,'Diags Raw Data'!$D$6:$D$4682,$A40,'Diags Raw Data'!$M$6:$M$4682,"Legacy")</f>
        <v>0</v>
      </c>
      <c r="E40" s="242">
        <f>SUMIFS('Diags Raw Data'!$O$6:$O$4682,'Diags Raw Data'!$D$6:$D$4682,$A40,'Diags Raw Data'!$M$6:$M$4682,"Legacy")</f>
        <v>0</v>
      </c>
      <c r="F40" s="248" t="str">
        <f t="shared" ref="F40" si="36">IF(NOT($B40=0), E40/$B40, "---")</f>
        <v>---</v>
      </c>
      <c r="G40" s="230">
        <f>SUMIFS('Diags Raw Data'!$S$6:$S$4682,'Diags Raw Data'!$D$6:$D$4682,$A40,'Diags Raw Data'!$M$6:$M$4682,"Legacy")</f>
        <v>0</v>
      </c>
      <c r="H40" s="226">
        <f>SUMIFS('Diags Raw Data'!$T$6:$T$4682,'Diags Raw Data'!$D$6:$D$4682,$A40,'Diags Raw Data'!$M$6:$M$4682,"Legacy")</f>
        <v>0</v>
      </c>
      <c r="I40" s="227">
        <f>SUMIFS('Diags Raw Data'!$U$6:$U$4682,'Diags Raw Data'!$D$6:$D$4682,$A40,'Diags Raw Data'!$M$6:$M$4682,"Legacy")</f>
        <v>0</v>
      </c>
      <c r="J40" s="226">
        <f>SUMIFS('Diags Raw Data'!$V$6:$V$4682,'Diags Raw Data'!$D$6:$D$4682,$A40,'Diags Raw Data'!$M$6:$M$4682,"Legacy")</f>
        <v>0</v>
      </c>
      <c r="K40" s="227">
        <f>SUMIFS('Diags Raw Data'!$W$6:$W$4682,'Diags Raw Data'!$D$6:$D$4682,$A40,'Diags Raw Data'!$M$6:$M$4682,"Legacy")</f>
        <v>0</v>
      </c>
      <c r="L40" s="243" t="str">
        <f t="shared" ref="L40" si="37">IF(NOT($C40=0), G40/$C40, "---")</f>
        <v>---</v>
      </c>
      <c r="M40" s="228" t="str">
        <f t="shared" ref="M40" si="38">IF(NOT($G40=0), (H40+I40)/$G40, "---")</f>
        <v>---</v>
      </c>
      <c r="N40" s="237" t="str">
        <f t="shared" ref="N40" si="39">IF(NOT($C40=0), (H40+I40)/$C40, "---")</f>
        <v>---</v>
      </c>
      <c r="O40" s="213">
        <f>SUMIFS('Diags Raw Data'!$Z$6:$Z$4682,'Diags Raw Data'!$D$6:$D$4682,$A40,'Diags Raw Data'!$M$6:$M$4682,"Legacy")</f>
        <v>0</v>
      </c>
      <c r="P40" s="203">
        <f>SUMIFS('Diags Raw Data'!$AA$6:$AA$4682,'Diags Raw Data'!$D$6:$D$4682,$A40,'Diags Raw Data'!$M$6:$M$4682,"Legacy")</f>
        <v>0</v>
      </c>
      <c r="Q40" s="205">
        <f>SUMIFS('Diags Raw Data'!$AB$6:$AB$4682,'Diags Raw Data'!$D$6:$D$4682,$A40,'Diags Raw Data'!$M$6:$M$4682,"Legacy")</f>
        <v>0</v>
      </c>
      <c r="R40" s="203">
        <f>SUMIFS('Diags Raw Data'!$AC$6:$AC$4682,'Diags Raw Data'!$D$6:$D$4682,$A40,'Diags Raw Data'!$M$6:$M$4682,"Legacy")</f>
        <v>0</v>
      </c>
      <c r="S40" s="205">
        <f>SUMIFS('Diags Raw Data'!$AD$6:$AD$4682,'Diags Raw Data'!$D$6:$D$4682,$A40,'Diags Raw Data'!$M$6:$M$4682,"Legacy")</f>
        <v>0</v>
      </c>
      <c r="T40" s="204" t="str">
        <f t="shared" ref="T40" si="40">IF(NOT($B40=0), O40/$B40, "---")</f>
        <v>---</v>
      </c>
      <c r="U40" s="229" t="str">
        <f t="shared" ref="U40" si="41">IF(NOT($O40=0), (P40+Q40)/$O40, "---")</f>
        <v>---</v>
      </c>
      <c r="V40" s="231" t="str">
        <f t="shared" ref="V40" si="42">IF(NOT($B40=0), (P40+Q40)/$B40, "---")</f>
        <v>---</v>
      </c>
    </row>
    <row r="41" spans="1:22" ht="15.75" thickBot="1" x14ac:dyDescent="0.3">
      <c r="A41" s="331"/>
      <c r="B41" s="253">
        <f>SUMIFS('Diags Raw Data'!$L$6:$L$4682,'Diags Raw Data'!$D$6:$D$4682,$A41,'Diags Raw Data'!$M$6:$M$4682,"Legacy")</f>
        <v>0</v>
      </c>
      <c r="C41" s="244">
        <f>SUMIFS('Diags Raw Data'!$R$6:$R$4682,'Diags Raw Data'!$D$6:$D$4682,$A41,'Diags Raw Data'!$M$6:$M$4682,"Legacy")</f>
        <v>0</v>
      </c>
      <c r="D41" s="244">
        <f>SUMIFS('Diags Raw Data'!$K$6:$K$4682,'Diags Raw Data'!$D$6:$D$4682,$A41,'Diags Raw Data'!$M$6:$M$4682,"Legacy")</f>
        <v>0</v>
      </c>
      <c r="E41" s="244">
        <f>SUMIFS('Diags Raw Data'!$O$6:$O$4682,'Diags Raw Data'!$D$6:$D$4682,$A41,'Diags Raw Data'!$M$6:$M$4682,"Legacy")</f>
        <v>0</v>
      </c>
      <c r="F41" s="249" t="str">
        <f t="shared" si="29"/>
        <v>---</v>
      </c>
      <c r="G41" s="232">
        <f>SUMIFS('Diags Raw Data'!$S$6:$S$4682,'Diags Raw Data'!$D$6:$D$4682,$A41,'Diags Raw Data'!$M$6:$M$4682,"Legacy")</f>
        <v>0</v>
      </c>
      <c r="H41" s="233">
        <f>SUMIFS('Diags Raw Data'!$T$6:$T$4682,'Diags Raw Data'!$D$6:$D$4682,$A41,'Diags Raw Data'!$M$6:$M$4682,"Legacy")</f>
        <v>0</v>
      </c>
      <c r="I41" s="234">
        <f>SUMIFS('Diags Raw Data'!$U$6:$U$4682,'Diags Raw Data'!$D$6:$D$4682,$A41,'Diags Raw Data'!$M$6:$M$4682,"Legacy")</f>
        <v>0</v>
      </c>
      <c r="J41" s="233">
        <f>SUMIFS('Diags Raw Data'!$V$6:$V$4682,'Diags Raw Data'!$D$6:$D$4682,$A41,'Diags Raw Data'!$M$6:$M$4682,"Legacy")</f>
        <v>0</v>
      </c>
      <c r="K41" s="234">
        <f>SUMIFS('Diags Raw Data'!$W$6:$W$4682,'Diags Raw Data'!$D$6:$D$4682,$A41,'Diags Raw Data'!$M$6:$M$4682,"Legacy")</f>
        <v>0</v>
      </c>
      <c r="L41" s="245" t="str">
        <f t="shared" si="30"/>
        <v>---</v>
      </c>
      <c r="M41" s="235" t="str">
        <f t="shared" si="31"/>
        <v>---</v>
      </c>
      <c r="N41" s="238" t="str">
        <f t="shared" si="32"/>
        <v>---</v>
      </c>
      <c r="O41" s="214">
        <f>SUMIFS('Diags Raw Data'!$Z$6:$Z$4682,'Diags Raw Data'!$D$6:$D$4682,$A41,'Diags Raw Data'!$M$6:$M$4682,"Legacy")</f>
        <v>0</v>
      </c>
      <c r="P41" s="206">
        <f>SUMIFS('Diags Raw Data'!$AA$6:$AA$4682,'Diags Raw Data'!$D$6:$D$4682,$A41,'Diags Raw Data'!$M$6:$M$4682,"Legacy")</f>
        <v>0</v>
      </c>
      <c r="Q41" s="208">
        <f>SUMIFS('Diags Raw Data'!$AB$6:$AB$4682,'Diags Raw Data'!$D$6:$D$4682,$A41,'Diags Raw Data'!$M$6:$M$4682,"Legacy")</f>
        <v>0</v>
      </c>
      <c r="R41" s="206">
        <f>SUMIFS('Diags Raw Data'!$AC$6:$AC$4682,'Diags Raw Data'!$D$6:$D$4682,$A41,'Diags Raw Data'!$M$6:$M$4682,"Legacy")</f>
        <v>0</v>
      </c>
      <c r="S41" s="208">
        <f>SUMIFS('Diags Raw Data'!$AD$6:$AD$4682,'Diags Raw Data'!$D$6:$D$4682,$A41,'Diags Raw Data'!$M$6:$M$4682,"Legacy")</f>
        <v>0</v>
      </c>
      <c r="T41" s="207" t="str">
        <f t="shared" si="33"/>
        <v>---</v>
      </c>
      <c r="U41" s="239" t="str">
        <f t="shared" si="34"/>
        <v>---</v>
      </c>
      <c r="V41" s="236" t="str">
        <f t="shared" si="35"/>
        <v>---</v>
      </c>
    </row>
    <row r="42" spans="1:22" ht="16.5" thickBot="1" x14ac:dyDescent="0.3">
      <c r="A42" s="271" t="s">
        <v>504</v>
      </c>
      <c r="B42" s="256">
        <f>SUM(B32:B41)</f>
        <v>68</v>
      </c>
      <c r="C42" s="257">
        <f>SUM(C32:C41)</f>
        <v>68</v>
      </c>
      <c r="D42" s="257">
        <f>SUM(D32:D41)</f>
        <v>44</v>
      </c>
      <c r="E42" s="257">
        <f>SUM(E32:E41)</f>
        <v>68</v>
      </c>
      <c r="F42" s="258" cm="1">
        <f t="array" ref="F42">SUMPRODUCT(--(ISNUMBER(SEARCH("Legacy",'Diags Raw Data'!$M$6:$M$4682))),'Diags Raw Data'!$K$6:$K$4682,'Diags Raw Data'!$P$6:$P$4682)/D42</f>
        <v>1</v>
      </c>
      <c r="G42" s="259">
        <f>SUM(G32:G41)</f>
        <v>68</v>
      </c>
      <c r="H42" s="260">
        <f>SUM(H32:H41)</f>
        <v>68</v>
      </c>
      <c r="I42" s="261">
        <f>SUM(I32:I41)</f>
        <v>0</v>
      </c>
      <c r="J42" s="260">
        <f>SUM(J32:J41)</f>
        <v>0</v>
      </c>
      <c r="K42" s="261">
        <f>SUM(K32:K41)</f>
        <v>0</v>
      </c>
      <c r="L42" s="262">
        <f>IF(NOT($C42=0), G42/$C42, "---")</f>
        <v>1</v>
      </c>
      <c r="M42" s="263">
        <f t="shared" si="31"/>
        <v>1</v>
      </c>
      <c r="N42" s="264">
        <f t="shared" si="32"/>
        <v>1</v>
      </c>
      <c r="O42" s="265">
        <f>SUM(O32:O41)</f>
        <v>0</v>
      </c>
      <c r="P42" s="266">
        <f>SUM(P32:P41)</f>
        <v>0</v>
      </c>
      <c r="Q42" s="267">
        <f>SUM(Q32:Q41)</f>
        <v>0</v>
      </c>
      <c r="R42" s="266">
        <f>SUM(R32:R41)</f>
        <v>0</v>
      </c>
      <c r="S42" s="267">
        <f>SUM(S32:S41)</f>
        <v>0</v>
      </c>
      <c r="T42" s="268">
        <f>IF(NOT($B42=0), O42/$B42, "---")</f>
        <v>0</v>
      </c>
      <c r="U42" s="269" t="str">
        <f t="shared" si="34"/>
        <v>---</v>
      </c>
      <c r="V42" s="270">
        <f>IF(NOT($B42=0), (P42+Q42)/$B42, "---")</f>
        <v>0</v>
      </c>
    </row>
    <row r="43" spans="1:22" x14ac:dyDescent="0.25">
      <c r="A43" s="246"/>
      <c r="B43" s="246"/>
      <c r="C43" s="246"/>
      <c r="D43" s="246"/>
      <c r="E43" s="246"/>
      <c r="F43" s="246"/>
      <c r="G43" s="246"/>
      <c r="H43" s="246"/>
      <c r="I43" s="246"/>
      <c r="J43" s="246"/>
      <c r="K43" s="246"/>
      <c r="L43" s="246"/>
      <c r="M43" s="246"/>
      <c r="N43" s="246"/>
      <c r="O43" s="246"/>
      <c r="P43" s="246"/>
      <c r="Q43" s="246"/>
      <c r="R43" s="246"/>
      <c r="S43" s="246"/>
      <c r="T43" s="246"/>
      <c r="U43" s="246"/>
      <c r="V43" s="246"/>
    </row>
    <row r="45" spans="1:22" x14ac:dyDescent="0.25">
      <c r="F45" s="130"/>
    </row>
    <row r="48" spans="1:22" x14ac:dyDescent="0.25">
      <c r="F48" s="384"/>
    </row>
    <row r="49" spans="6:6" x14ac:dyDescent="0.25">
      <c r="F49" s="383"/>
    </row>
    <row r="50" spans="6:6" x14ac:dyDescent="0.25">
      <c r="F50" s="383"/>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74">
      <colorScale>
        <cfvo type="percent" val="20"/>
        <cfvo type="percent" val="50"/>
        <cfvo type="percent" val="100"/>
        <color rgb="FFF8696B"/>
        <color rgb="FFFFEB84"/>
        <color rgb="FF63BE7B"/>
      </colorScale>
    </cfRule>
    <cfRule type="colorScale" priority="173">
      <colorScale>
        <cfvo type="percentile" val="10"/>
        <cfvo type="percentile" val="50"/>
        <cfvo type="percentile" val="90"/>
        <color rgb="FFF8696B"/>
        <color rgb="FFFFEB84"/>
        <color rgb="FF63BE7B"/>
      </colorScale>
    </cfRule>
    <cfRule type="colorScale" priority="172">
      <colorScale>
        <cfvo type="percent" val="0"/>
        <cfvo type="percent" val="50"/>
        <cfvo type="percent" val="100"/>
        <color rgb="FFF8696B"/>
        <color rgb="FFFFEB84"/>
        <color rgb="FF63BE7B"/>
      </colorScale>
    </cfRule>
    <cfRule type="colorScale" priority="171">
      <colorScale>
        <cfvo type="percentile" val="10"/>
        <cfvo type="percentile" val="50"/>
        <cfvo type="percentile" val="90"/>
        <color rgb="FFF8696B"/>
        <color rgb="FFFFEB84"/>
        <color rgb="FF63BE7B"/>
      </colorScale>
    </cfRule>
    <cfRule type="colorScale" priority="170">
      <colorScale>
        <cfvo type="percent" val="0"/>
        <cfvo type="percent" val="50"/>
        <cfvo type="percent" val="100"/>
        <color rgb="FFF8696B"/>
        <color rgb="FFFFEB84"/>
        <color rgb="FF63BE7B"/>
      </colorScale>
    </cfRule>
    <cfRule type="colorScale" priority="169">
      <colorScale>
        <cfvo type="percent" val="0"/>
        <cfvo type="percent" val="50"/>
        <cfvo type="percent" val="100"/>
        <color rgb="FFF8696B"/>
        <color rgb="FFFFEB84"/>
        <color rgb="FF63BE7B"/>
      </colorScale>
    </cfRule>
    <cfRule type="colorScale" priority="175">
      <colorScale>
        <cfvo type="min"/>
        <cfvo type="percentile" val="50"/>
        <cfvo type="max"/>
        <color rgb="FFF8696B"/>
        <color rgb="FFFFEB84"/>
        <color rgb="FF63BE7B"/>
      </colorScale>
    </cfRule>
  </conditionalFormatting>
  <conditionalFormatting sqref="F18:F27">
    <cfRule type="colorScale" priority="140">
      <colorScale>
        <cfvo type="min"/>
        <cfvo type="percentile" val="50"/>
        <cfvo type="max"/>
        <color rgb="FFF8696B"/>
        <color rgb="FFFFEB84"/>
        <color rgb="FF63BE7B"/>
      </colorScale>
    </cfRule>
    <cfRule type="colorScale" priority="134">
      <colorScale>
        <cfvo type="percent" val="0"/>
        <cfvo type="percent" val="50"/>
        <cfvo type="percent" val="100"/>
        <color rgb="FFF8696B"/>
        <color rgb="FFFFEB84"/>
        <color rgb="FF63BE7B"/>
      </colorScale>
    </cfRule>
    <cfRule type="colorScale" priority="135">
      <colorScale>
        <cfvo type="percent" val="0"/>
        <cfvo type="percent" val="50"/>
        <cfvo type="percent" val="100"/>
        <color rgb="FFF8696B"/>
        <color rgb="FFFFEB84"/>
        <color rgb="FF63BE7B"/>
      </colorScale>
    </cfRule>
    <cfRule type="colorScale" priority="136">
      <colorScale>
        <cfvo type="percentile" val="10"/>
        <cfvo type="percentile" val="50"/>
        <cfvo type="percentile" val="90"/>
        <color rgb="FFF8696B"/>
        <color rgb="FFFFEB84"/>
        <color rgb="FF63BE7B"/>
      </colorScale>
    </cfRule>
    <cfRule type="colorScale" priority="137">
      <colorScale>
        <cfvo type="percent" val="0"/>
        <cfvo type="percent" val="50"/>
        <cfvo type="percent" val="100"/>
        <color rgb="FFF8696B"/>
        <color rgb="FFFFEB84"/>
        <color rgb="FF63BE7B"/>
      </colorScale>
    </cfRule>
    <cfRule type="colorScale" priority="138">
      <colorScale>
        <cfvo type="percentile" val="10"/>
        <cfvo type="percentile" val="50"/>
        <cfvo type="percentile" val="90"/>
        <color rgb="FFF8696B"/>
        <color rgb="FFFFEB84"/>
        <color rgb="FF63BE7B"/>
      </colorScale>
    </cfRule>
    <cfRule type="colorScale" priority="139">
      <colorScale>
        <cfvo type="percent" val="20"/>
        <cfvo type="percent" val="50"/>
        <cfvo type="percent" val="100"/>
        <color rgb="FFF8696B"/>
        <color rgb="FFFFEB84"/>
        <color rgb="FF63BE7B"/>
      </colorScale>
    </cfRule>
  </conditionalFormatting>
  <conditionalFormatting sqref="F32:F41">
    <cfRule type="colorScale" priority="95">
      <colorScale>
        <cfvo type="percent" val="0"/>
        <cfvo type="percent" val="50"/>
        <cfvo type="percent" val="100"/>
        <color rgb="FFF8696B"/>
        <color rgb="FFFFEB84"/>
        <color rgb="FF63BE7B"/>
      </colorScale>
    </cfRule>
    <cfRule type="colorScale" priority="96">
      <colorScale>
        <cfvo type="percent" val="20"/>
        <cfvo type="percent" val="60"/>
        <cfvo type="percent" val="90"/>
        <color rgb="FFF8696B"/>
        <color rgb="FFFFEB84"/>
        <color rgb="FF63BE7B"/>
      </colorScale>
    </cfRule>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fRule type="colorScale" priority="99">
      <colorScale>
        <cfvo type="percent" val="0"/>
        <cfvo type="percent" val="50"/>
        <cfvo type="percent" val="100"/>
        <color rgb="FFF8696B"/>
        <color rgb="FFFFEB84"/>
        <color rgb="FF63BE7B"/>
      </colorScale>
    </cfRule>
    <cfRule type="colorScale" priority="100">
      <colorScale>
        <cfvo type="percentile" val="10"/>
        <cfvo type="percentile" val="50"/>
        <cfvo type="percentile" val="90"/>
        <color rgb="FFF8696B"/>
        <color rgb="FFFFEB84"/>
        <color rgb="FF63BE7B"/>
      </colorScale>
    </cfRule>
    <cfRule type="colorScale" priority="102">
      <colorScale>
        <cfvo type="percentile" val="10"/>
        <cfvo type="percentile" val="50"/>
        <cfvo type="percentile" val="90"/>
        <color rgb="FFF8696B"/>
        <color rgb="FFFFEB84"/>
        <color rgb="FF63BE7B"/>
      </colorScale>
    </cfRule>
    <cfRule type="colorScale" priority="103">
      <colorScale>
        <cfvo type="percent" val="20"/>
        <cfvo type="percent" val="50"/>
        <cfvo type="percent" val="100"/>
        <color rgb="FFF8696B"/>
        <color rgb="FFFFEB84"/>
        <color rgb="FF63BE7B"/>
      </colorScale>
    </cfRule>
    <cfRule type="colorScale" priority="104">
      <colorScale>
        <cfvo type="min"/>
        <cfvo type="percentile" val="50"/>
        <cfvo type="max"/>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L4:L13">
    <cfRule type="colorScale" priority="183">
      <colorScale>
        <cfvo type="percent" val="0"/>
        <cfvo type="percent" val="50"/>
        <cfvo type="percent" val="100"/>
        <color rgb="FFF8696B"/>
        <color rgb="FFFFEB84"/>
        <color rgb="FF63BE7B"/>
      </colorScale>
    </cfRule>
  </conditionalFormatting>
  <conditionalFormatting sqref="L18:L27 N18:N27">
    <cfRule type="colorScale" priority="148">
      <colorScale>
        <cfvo type="percent" val="0"/>
        <cfvo type="percent" val="50"/>
        <cfvo type="percent" val="100"/>
        <color rgb="FFF8696B"/>
        <color rgb="FFFFEB84"/>
        <color rgb="FF63BE7B"/>
      </colorScale>
    </cfRule>
    <cfRule type="colorScale" priority="149">
      <colorScale>
        <cfvo type="percent" val="0"/>
        <cfvo type="percent" val="50"/>
        <cfvo type="percent" val="100"/>
        <color rgb="FFF8696B"/>
        <color rgb="FFFFEB84"/>
        <color rgb="FF63BE7B"/>
      </colorScale>
    </cfRule>
  </conditionalFormatting>
  <conditionalFormatting sqref="L32:L41">
    <cfRule type="colorScale" priority="115">
      <colorScale>
        <cfvo type="percent" val="0"/>
        <cfvo type="percent" val="50"/>
        <cfvo type="percent" val="100"/>
        <color rgb="FFF8696B"/>
        <color rgb="FFFFEB84"/>
        <color rgb="FF63BE7B"/>
      </colorScale>
    </cfRule>
  </conditionalFormatting>
  <conditionalFormatting sqref="L4:N13">
    <cfRule type="colorScale" priority="199">
      <colorScale>
        <cfvo type="percent" val="0"/>
        <cfvo type="percent" val="50"/>
        <cfvo type="percent" val="100"/>
        <color rgb="FFF8696B"/>
        <color rgb="FFFFEB84"/>
        <color rgb="FF63BE7B"/>
      </colorScale>
    </cfRule>
  </conditionalFormatting>
  <conditionalFormatting sqref="L18:N27">
    <cfRule type="colorScale" priority="166">
      <colorScale>
        <cfvo type="percent" val="0"/>
        <cfvo type="percentile" val="50"/>
        <cfvo type="percent" val="100"/>
        <color rgb="FFF8696B"/>
        <color rgb="FFFFEB84"/>
        <color rgb="FF63BE7B"/>
      </colorScale>
    </cfRule>
  </conditionalFormatting>
  <conditionalFormatting sqref="L32:N41">
    <cfRule type="colorScale" priority="131">
      <colorScale>
        <cfvo type="percent" val="0"/>
        <cfvo type="percent" val="50"/>
        <cfvo type="percent" val="100"/>
        <color rgb="FFF8696B"/>
        <color rgb="FFFFEB84"/>
        <color rgb="FF63BE7B"/>
      </colorScale>
    </cfRule>
  </conditionalFormatting>
  <conditionalFormatting sqref="M4:M13">
    <cfRule type="colorScale" priority="187">
      <colorScale>
        <cfvo type="percent" val="0"/>
        <cfvo type="percent" val="50"/>
        <cfvo type="percent" val="100"/>
        <color rgb="FFF8696B"/>
        <color rgb="FFFFEB84"/>
        <color rgb="FF63BE7B"/>
      </colorScale>
    </cfRule>
    <cfRule type="colorScale" priority="188">
      <colorScale>
        <cfvo type="percent" val="0"/>
        <cfvo type="percent" val="50"/>
        <cfvo type="percent" val="100"/>
        <color rgb="FFF8696B"/>
        <color rgb="FFFFEB84"/>
        <color rgb="FF63BE7B"/>
      </colorScale>
    </cfRule>
  </conditionalFormatting>
  <conditionalFormatting sqref="M18:M27">
    <cfRule type="colorScale" priority="162">
      <colorScale>
        <cfvo type="percent" val="0"/>
        <cfvo type="percent" val="50"/>
        <cfvo type="percent" val="100"/>
        <color rgb="FFF8696B"/>
        <color rgb="FFFFEB84"/>
        <color rgb="FF63BE7B"/>
      </colorScale>
    </cfRule>
    <cfRule type="colorScale" priority="163">
      <colorScale>
        <cfvo type="percent" val="0"/>
        <cfvo type="percent" val="50"/>
        <cfvo type="percent" val="100"/>
        <color rgb="FFF8696B"/>
        <color rgb="FFFFEB84"/>
        <color rgb="FF63BE7B"/>
      </colorScale>
    </cfRule>
  </conditionalFormatting>
  <conditionalFormatting sqref="M32:M41">
    <cfRule type="colorScale" priority="119">
      <colorScale>
        <cfvo type="percent" val="0"/>
        <cfvo type="percent" val="50"/>
        <cfvo type="percent" val="100"/>
        <color rgb="FFF8696B"/>
        <color rgb="FFFFEB84"/>
        <color rgb="FF63BE7B"/>
      </colorScale>
    </cfRule>
    <cfRule type="colorScale" priority="120">
      <colorScale>
        <cfvo type="percent" val="0"/>
        <cfvo type="percent" val="50"/>
        <cfvo type="percent" val="100"/>
        <color rgb="FFF8696B"/>
        <color rgb="FFFFEB84"/>
        <color rgb="FF63BE7B"/>
      </colorScale>
    </cfRule>
  </conditionalFormatting>
  <conditionalFormatting sqref="N4:N13">
    <cfRule type="colorScale" priority="193">
      <colorScale>
        <cfvo type="percent" val="0"/>
        <cfvo type="percent" val="50"/>
        <cfvo type="percent" val="100"/>
        <color rgb="FFF8696B"/>
        <color rgb="FFFFEB84"/>
        <color rgb="FF63BE7B"/>
      </colorScale>
    </cfRule>
    <cfRule type="colorScale" priority="194">
      <colorScale>
        <cfvo type="percent" val="0"/>
        <cfvo type="percent" val="50"/>
        <cfvo type="percent" val="100"/>
        <color rgb="FFF8696B"/>
        <color rgb="FFFFEB84"/>
        <color rgb="FF63BE7B"/>
      </colorScale>
    </cfRule>
  </conditionalFormatting>
  <conditionalFormatting sqref="N32:N41">
    <cfRule type="colorScale" priority="126">
      <colorScale>
        <cfvo type="percent" val="0"/>
        <cfvo type="percent" val="50"/>
        <cfvo type="percent" val="100"/>
        <color rgb="FFF8696B"/>
        <color rgb="FFFFEB84"/>
        <color rgb="FF63BE7B"/>
      </colorScale>
    </cfRule>
    <cfRule type="colorScale" priority="125">
      <colorScale>
        <cfvo type="percent" val="0"/>
        <cfvo type="percent" val="50"/>
        <cfvo type="percent" val="100"/>
        <color rgb="FFF8696B"/>
        <color rgb="FFFFEB84"/>
        <color rgb="FF63BE7B"/>
      </colorScale>
    </cfRule>
  </conditionalFormatting>
  <conditionalFormatting sqref="T4:T13">
    <cfRule type="colorScale" priority="185">
      <colorScale>
        <cfvo type="percent" val="0"/>
        <cfvo type="percent" val="50"/>
        <cfvo type="percent" val="100"/>
        <color rgb="FFF8696B"/>
        <color rgb="FFFFEB84"/>
        <color rgb="FF63BE7B"/>
      </colorScale>
    </cfRule>
  </conditionalFormatting>
  <conditionalFormatting sqref="T18:T27 V18:V27">
    <cfRule type="colorScale" priority="156">
      <colorScale>
        <cfvo type="percent" val="0"/>
        <cfvo type="percent" val="50"/>
        <cfvo type="percent" val="100"/>
        <color rgb="FFF8696B"/>
        <color rgb="FFFFEB84"/>
        <color rgb="FF63BE7B"/>
      </colorScale>
    </cfRule>
  </conditionalFormatting>
  <conditionalFormatting sqref="T32:T41">
    <cfRule type="colorScale" priority="117">
      <colorScale>
        <cfvo type="percent" val="0"/>
        <cfvo type="percent" val="50"/>
        <cfvo type="percent" val="100"/>
        <color rgb="FFF8696B"/>
        <color rgb="FFFFEB84"/>
        <color rgb="FF63BE7B"/>
      </colorScale>
    </cfRule>
  </conditionalFormatting>
  <conditionalFormatting sqref="T4:V13">
    <cfRule type="colorScale" priority="201">
      <colorScale>
        <cfvo type="percent" val="0"/>
        <cfvo type="percent" val="50"/>
        <cfvo type="percent" val="100"/>
        <color rgb="FFF8696B"/>
        <color rgb="FFFFEB84"/>
        <color rgb="FF63BE7B"/>
      </colorScale>
    </cfRule>
  </conditionalFormatting>
  <conditionalFormatting sqref="T18:V27">
    <cfRule type="colorScale" priority="168">
      <colorScale>
        <cfvo type="percent" val="0"/>
        <cfvo type="percent" val="50"/>
        <cfvo type="percent" val="100"/>
        <color rgb="FFF8696B"/>
        <color rgb="FFFFEB84"/>
        <color rgb="FF63BE7B"/>
      </colorScale>
    </cfRule>
  </conditionalFormatting>
  <conditionalFormatting sqref="T32:V41">
    <cfRule type="colorScale" priority="133">
      <colorScale>
        <cfvo type="percent" val="0"/>
        <cfvo type="percent" val="50"/>
        <cfvo type="percent" val="100"/>
        <color rgb="FFF8696B"/>
        <color rgb="FFFFEB84"/>
        <color rgb="FF63BE7B"/>
      </colorScale>
    </cfRule>
  </conditionalFormatting>
  <conditionalFormatting sqref="U4:U13">
    <cfRule type="colorScale" priority="191">
      <colorScale>
        <cfvo type="percent" val="0"/>
        <cfvo type="percent" val="50"/>
        <cfvo type="percent" val="100"/>
        <color rgb="FFF8696B"/>
        <color rgb="FFFFEB84"/>
        <color rgb="FF63BE7B"/>
      </colorScale>
    </cfRule>
  </conditionalFormatting>
  <conditionalFormatting sqref="U18:U27">
    <cfRule type="colorScale" priority="160">
      <colorScale>
        <cfvo type="percent" val="0"/>
        <cfvo type="percent" val="50"/>
        <cfvo type="percent" val="100"/>
        <color rgb="FFF8696B"/>
        <color rgb="FFFFEB84"/>
        <color rgb="FF63BE7B"/>
      </colorScale>
    </cfRule>
  </conditionalFormatting>
  <conditionalFormatting sqref="U32:U41">
    <cfRule type="colorScale" priority="123">
      <colorScale>
        <cfvo type="percent" val="0"/>
        <cfvo type="percent" val="50"/>
        <cfvo type="percent" val="100"/>
        <color rgb="FFF8696B"/>
        <color rgb="FFFFEB84"/>
        <color rgb="FF63BE7B"/>
      </colorScale>
    </cfRule>
  </conditionalFormatting>
  <conditionalFormatting sqref="V4:V13">
    <cfRule type="colorScale" priority="197">
      <colorScale>
        <cfvo type="percent" val="0"/>
        <cfvo type="percent" val="50"/>
        <cfvo type="percent" val="100"/>
        <color rgb="FFF8696B"/>
        <color rgb="FFFFEB84"/>
        <color rgb="FF63BE7B"/>
      </colorScale>
    </cfRule>
  </conditionalFormatting>
  <conditionalFormatting sqref="V32:V41">
    <cfRule type="colorScale" priority="12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19"/>
  <sheetViews>
    <sheetView workbookViewId="0">
      <pane xSplit="4" ySplit="6" topLeftCell="S59" activePane="bottomRight" state="frozen"/>
      <selection pane="topRight" activeCell="D1" sqref="D1"/>
      <selection pane="bottomLeft" activeCell="A3" sqref="A3"/>
      <selection pane="bottomRight" activeCell="V67" sqref="V67"/>
    </sheetView>
  </sheetViews>
  <sheetFormatPr defaultColWidth="8.5703125" defaultRowHeight="15" x14ac:dyDescent="0.25"/>
  <cols>
    <col min="1" max="1" width="16.85546875" style="182" bestFit="1" customWidth="1"/>
    <col min="2" max="2" width="57.7109375" style="191" customWidth="1"/>
    <col min="3" max="3" width="9.85546875" style="191" bestFit="1" customWidth="1"/>
    <col min="4" max="4" width="34" style="182" bestFit="1" customWidth="1"/>
    <col min="5" max="5" width="14.140625" style="191" bestFit="1" customWidth="1"/>
    <col min="6" max="6" width="11.140625" style="191" bestFit="1" customWidth="1"/>
    <col min="7" max="7" width="11.28515625" style="191" bestFit="1" customWidth="1"/>
    <col min="8" max="8" width="14.28515625" style="191" bestFit="1" customWidth="1"/>
    <col min="9" max="9" width="8.28515625" style="193" bestFit="1" customWidth="1"/>
    <col min="10" max="10" width="20" style="193" bestFit="1" customWidth="1"/>
    <col min="11" max="11" width="13.140625" style="196" customWidth="1"/>
    <col min="12" max="12" width="15.140625" style="196" customWidth="1"/>
    <col min="13" max="13" width="12" style="197" bestFit="1" customWidth="1"/>
    <col min="14" max="14" width="10.85546875" style="197" bestFit="1" customWidth="1"/>
    <col min="15" max="15" width="13.5703125" style="196" bestFit="1" customWidth="1"/>
    <col min="16" max="16" width="12.85546875" style="80" bestFit="1" customWidth="1"/>
    <col min="17" max="17" width="10.85546875" style="80" bestFit="1" customWidth="1"/>
    <col min="18" max="19" width="13.5703125" style="200" bestFit="1" customWidth="1"/>
    <col min="20" max="20" width="13.85546875" style="201" bestFit="1" customWidth="1"/>
    <col min="21" max="21" width="6.5703125" style="182" bestFit="1" customWidth="1"/>
    <col min="22" max="22" width="57" style="182" customWidth="1"/>
    <col min="23" max="16384" width="8.5703125" style="182"/>
  </cols>
  <sheetData>
    <row r="1" spans="1:23" s="178" customFormat="1" ht="19.5" thickBot="1" x14ac:dyDescent="0.3">
      <c r="A1" s="558" t="s">
        <v>505</v>
      </c>
      <c r="B1" s="559"/>
      <c r="C1" s="559"/>
      <c r="D1" s="559"/>
      <c r="E1" s="559"/>
      <c r="F1" s="559"/>
      <c r="G1" s="559"/>
      <c r="H1" s="559"/>
      <c r="I1" s="559"/>
      <c r="J1" s="559"/>
      <c r="K1" s="559"/>
      <c r="L1" s="559"/>
      <c r="M1" s="559"/>
      <c r="N1" s="559"/>
      <c r="O1" s="559"/>
      <c r="P1" s="559"/>
      <c r="Q1" s="559"/>
      <c r="R1" s="559"/>
      <c r="S1" s="559"/>
      <c r="T1" s="559"/>
      <c r="U1" s="560"/>
      <c r="V1" s="493"/>
    </row>
    <row r="2" spans="1:23" s="188" customFormat="1" ht="18.75" x14ac:dyDescent="0.25">
      <c r="A2" s="606" t="s">
        <v>302</v>
      </c>
      <c r="B2" s="607"/>
      <c r="C2" s="607"/>
      <c r="D2" s="607"/>
      <c r="E2" s="607"/>
      <c r="F2" s="608"/>
      <c r="G2" s="376">
        <f>COUNTIF(G7:G63,"Yes")</f>
        <v>56</v>
      </c>
      <c r="H2" s="376">
        <f>COUNTIF(H7:H63,"Yes")</f>
        <v>56</v>
      </c>
      <c r="I2" s="604">
        <f>'Diags Raw Data'!K68</f>
        <v>58</v>
      </c>
      <c r="J2" s="618">
        <f>'Diags Raw Data'!L68</f>
        <v>85</v>
      </c>
      <c r="K2" s="620">
        <f>'Diags Raw Data'!N68</f>
        <v>0.98275862068965514</v>
      </c>
      <c r="L2" s="622">
        <f>'Diags Raw Data'!P68</f>
        <v>0.94827586206896552</v>
      </c>
      <c r="M2" s="624">
        <f>'Diags Raw Data'!R68</f>
        <v>78</v>
      </c>
      <c r="N2" s="626">
        <f>SUM('Diags Raw Data'!T68+'Diags Raw Data'!U68)</f>
        <v>78</v>
      </c>
      <c r="O2" s="612">
        <f>IF((M66=0),0,N66/M66)</f>
        <v>1</v>
      </c>
      <c r="P2" s="614">
        <f>'Diags Raw Data'!Z68</f>
        <v>0</v>
      </c>
      <c r="Q2" s="616">
        <f>SUM('Diags Raw Data'!AA68+'Diags Raw Data'!AB68)</f>
        <v>0</v>
      </c>
      <c r="R2" s="636">
        <f>IF((J66=0),0,P66/J66)</f>
        <v>0</v>
      </c>
      <c r="S2" s="636">
        <f>IF((P66=0),0,Q66/P66)</f>
        <v>0</v>
      </c>
      <c r="T2" s="636">
        <f>R66*S66</f>
        <v>0</v>
      </c>
      <c r="U2" s="638"/>
      <c r="V2" s="628" t="s">
        <v>506</v>
      </c>
      <c r="W2" s="187"/>
    </row>
    <row r="3" spans="1:23" ht="38.25" customHeight="1" thickBot="1" x14ac:dyDescent="0.3">
      <c r="A3" s="609"/>
      <c r="B3" s="610"/>
      <c r="C3" s="610"/>
      <c r="D3" s="610"/>
      <c r="E3" s="610"/>
      <c r="F3" s="611"/>
      <c r="G3" s="377">
        <f>COUNTIF(G7:G63,"Yes")/COUNTA(A7:A63)</f>
        <v>1</v>
      </c>
      <c r="H3" s="377">
        <f>(COUNTIF(H7:H63,"Yes")/G66)</f>
        <v>1</v>
      </c>
      <c r="I3" s="605"/>
      <c r="J3" s="619"/>
      <c r="K3" s="621"/>
      <c r="L3" s="623"/>
      <c r="M3" s="625"/>
      <c r="N3" s="627"/>
      <c r="O3" s="613"/>
      <c r="P3" s="615"/>
      <c r="Q3" s="617"/>
      <c r="R3" s="637"/>
      <c r="S3" s="637"/>
      <c r="T3" s="637"/>
      <c r="U3" s="639"/>
      <c r="V3" s="629"/>
      <c r="W3" s="181"/>
    </row>
    <row r="4" spans="1:23" ht="19.5" thickBot="1" x14ac:dyDescent="0.3">
      <c r="A4" s="561" t="s">
        <v>507</v>
      </c>
      <c r="B4" s="562"/>
      <c r="C4" s="562"/>
      <c r="D4" s="562"/>
      <c r="E4" s="562"/>
      <c r="F4" s="562"/>
      <c r="G4" s="562"/>
      <c r="H4" s="562"/>
      <c r="I4" s="562"/>
      <c r="J4" s="562"/>
      <c r="K4" s="562"/>
      <c r="L4" s="562"/>
      <c r="M4" s="562"/>
      <c r="N4" s="562"/>
      <c r="O4" s="562"/>
      <c r="P4" s="562"/>
      <c r="Q4" s="562"/>
      <c r="R4" s="562"/>
      <c r="S4" s="562"/>
      <c r="T4" s="562"/>
      <c r="U4" s="563"/>
      <c r="V4" s="494"/>
    </row>
    <row r="5" spans="1:23" s="178" customFormat="1" ht="31.5" customHeight="1" thickBot="1" x14ac:dyDescent="0.3">
      <c r="A5" s="644" t="s">
        <v>76</v>
      </c>
      <c r="B5" s="645"/>
      <c r="C5" s="645"/>
      <c r="D5" s="645"/>
      <c r="E5" s="645"/>
      <c r="F5" s="645"/>
      <c r="G5" s="645"/>
      <c r="H5" s="645"/>
      <c r="I5" s="645"/>
      <c r="J5" s="646"/>
      <c r="K5" s="642" t="s">
        <v>113</v>
      </c>
      <c r="L5" s="643"/>
      <c r="M5" s="647" t="s">
        <v>124</v>
      </c>
      <c r="N5" s="648"/>
      <c r="O5" s="649"/>
      <c r="P5" s="650" t="s">
        <v>144</v>
      </c>
      <c r="Q5" s="651"/>
      <c r="R5" s="651"/>
      <c r="S5" s="651"/>
      <c r="T5" s="651"/>
      <c r="U5" s="652"/>
      <c r="V5" s="177"/>
    </row>
    <row r="6" spans="1:23" s="180" customFormat="1" ht="15.75" thickBot="1" x14ac:dyDescent="0.3">
      <c r="A6" s="343" t="s">
        <v>77</v>
      </c>
      <c r="B6" s="359" t="s">
        <v>81</v>
      </c>
      <c r="C6" s="359" t="s">
        <v>96</v>
      </c>
      <c r="D6" s="359" t="s">
        <v>212</v>
      </c>
      <c r="E6" s="359" t="s">
        <v>88</v>
      </c>
      <c r="F6" s="359" t="s">
        <v>1</v>
      </c>
      <c r="G6" s="360" t="s">
        <v>215</v>
      </c>
      <c r="H6" s="360" t="s">
        <v>218</v>
      </c>
      <c r="I6" s="361" t="s">
        <v>105</v>
      </c>
      <c r="J6" s="361" t="s">
        <v>221</v>
      </c>
      <c r="K6" s="344" t="s">
        <v>114</v>
      </c>
      <c r="L6" s="345" t="s">
        <v>121</v>
      </c>
      <c r="M6" s="336" t="s">
        <v>227</v>
      </c>
      <c r="N6" s="337" t="s">
        <v>229</v>
      </c>
      <c r="O6" s="335" t="s">
        <v>187</v>
      </c>
      <c r="P6" s="346" t="s">
        <v>232</v>
      </c>
      <c r="Q6" s="338" t="s">
        <v>229</v>
      </c>
      <c r="R6" s="339" t="s">
        <v>184</v>
      </c>
      <c r="S6" s="339" t="s">
        <v>140</v>
      </c>
      <c r="T6" s="340" t="s">
        <v>187</v>
      </c>
      <c r="U6" s="341" t="s">
        <v>157</v>
      </c>
      <c r="V6" s="179"/>
    </row>
    <row r="7" spans="1:23" ht="15.75" thickBot="1" x14ac:dyDescent="0.3">
      <c r="A7" s="406" t="s">
        <v>308</v>
      </c>
      <c r="B7" s="407" t="str">
        <f>VLOOKUP(A7,'Feature Raw Data'!$A$3:$B$3951,2,FALSE)</f>
        <v>APIC Timers</v>
      </c>
      <c r="C7" s="408" t="str">
        <f>VLOOKUP(A7,'Feature Raw Data'!$A$3:$C$3951,3,FALSE)</f>
        <v>P1</v>
      </c>
      <c r="D7" s="409" t="str" cm="1">
        <f t="array" ref="D7">_xlfn.TEXTJOIN("",TRUE,IF(ISNUMBER(SEARCH($A7,'Diags Raw Data'!$A$6:$A$3678)),CONCATENATE('Diags Raw Data'!$H$6:$H$3678,", "),""))</f>
        <v xml:space="preserve">FEAT_1, </v>
      </c>
      <c r="E7" s="410" t="str">
        <f>VLOOKUP(A7,'Diags Raw Data'!$A$6:$D$3678,4,FALSE)</f>
        <v>PIE</v>
      </c>
      <c r="F7" s="410" t="str">
        <f>VLOOKUP(A7,'Feature Raw Data'!$A$3:$E$3951,5,FALSE)</f>
        <v>Legacy</v>
      </c>
      <c r="G7" s="410" t="str">
        <f t="shared" ref="G7:G38" si="0">IF(D7="","No","Yes")</f>
        <v>Yes</v>
      </c>
      <c r="H7" s="410" t="str">
        <f t="shared" ref="H7:H38" si="1">IF(D7="","No","Yes")</f>
        <v>Yes</v>
      </c>
      <c r="I7" s="408">
        <f>SUMIF('Diags Raw Data'!$A$6:$A$3678,"*"&amp;$A7&amp;"*",'Diags Raw Data'!$K$6:$K$3678)</f>
        <v>1</v>
      </c>
      <c r="J7" s="411">
        <f>SUMIF('Diags Raw Data'!$A$6:$A$3678,"*"&amp;$A7&amp;"*",'Diags Raw Data'!$L$6:$L$3678)</f>
        <v>1</v>
      </c>
      <c r="K7" s="436" cm="1">
        <f t="array" ref="K7">IF(D7="",0, SUMPRODUCT(--(ISNUMBER(SEARCH($A7,'Diags Raw Data'!$A$6:$A$3678))),'Diags Raw Data'!$L$6:$L$3678,'Diags Raw Data'!$N$6:$N$3678)/J7)</f>
        <v>1</v>
      </c>
      <c r="L7" s="437" cm="1">
        <f t="array" ref="L7">IF(D7="",0, SUMPRODUCT(--(ISNUMBER(SEARCH($A7,'Diags Raw Data'!$A$6:$A$3678))),'Diags Raw Data'!$L$6:$L$3678,'Diags Raw Data'!$P$6:$P$3678)/J7)</f>
        <v>1</v>
      </c>
      <c r="M7" s="438" cm="1">
        <f t="array" ref="M7">SUMPRODUCT(--(ISNUMBER(SEARCH($A7,'Diags Raw Data'!$A$6:$A$3678))),--('Diags Raw Data'!$Q$6:$Q$3678&lt;&gt;"N/A"),'Diags Raw Data'!$R$6:$R$3678)</f>
        <v>1</v>
      </c>
      <c r="N7" s="439" cm="1">
        <f t="array" ref="N7">SUMPRODUCT(--(ISNUMBER(SEARCH($A7,'Diags Raw Data'!$A$6:$A$3678))),--('Diags Raw Data'!$Q$6:$Q$3678&lt;&gt;"N/A"),'Diags Raw Data'!$T$6:$T$3678)+SUMPRODUCT(--(ISNUMBER(SEARCH($A7,'Diags Raw Data'!$A$6:$A$3678))),--('Diags Raw Data'!$Q$6:$Q$3678&lt;&gt;"N/A"),'Diags Raw Data'!$U$6:$U$3678)</f>
        <v>1</v>
      </c>
      <c r="O7" s="440">
        <f>IF((M7=0),0,N7/M7)</f>
        <v>1</v>
      </c>
      <c r="P7" s="441">
        <f>SUMIF('Diags Raw Data'!$A$6:$A$3678,"*"&amp;$A7&amp;"*",'Diags Raw Data'!$Z$6:$Z$3678)</f>
        <v>0</v>
      </c>
      <c r="Q7" s="442">
        <f>SUM(SUMIF('Diags Raw Data'!$A$6:$A$3678,"*"&amp;$A7&amp;"*",'Diags Raw Data'!$AA$6:$AA$3678),SUMIF('Diags Raw Data'!$A$6:$A$3678,"*"&amp;$A7&amp;"*",'Diags Raw Data'!$AB$6:$AB$3678))</f>
        <v>0</v>
      </c>
      <c r="R7" s="443">
        <f>IF((J7=0),0,P7/J7)</f>
        <v>0</v>
      </c>
      <c r="S7" s="443">
        <f>IF((P7=0),0,Q7/P7)</f>
        <v>0</v>
      </c>
      <c r="T7" s="444">
        <f>R7*S7</f>
        <v>0</v>
      </c>
      <c r="U7" s="412" t="s">
        <v>508</v>
      </c>
      <c r="V7" s="181"/>
    </row>
    <row r="8" spans="1:23" ht="15.75" thickBot="1" x14ac:dyDescent="0.3">
      <c r="A8" s="406" t="s">
        <v>314</v>
      </c>
      <c r="B8" s="407" t="str">
        <f>VLOOKUP(A8,'Feature Raw Data'!$A$3:$B$3951,2,FALSE)</f>
        <v>Arbitrated Interrupt Delivery Enhancements</v>
      </c>
      <c r="C8" s="413" t="str">
        <f>VLOOKUP(A8,'Feature Raw Data'!$A$3:$C$3951,3,FALSE)</f>
        <v>P2</v>
      </c>
      <c r="D8" s="414" t="str" cm="1">
        <f t="array" ref="D8">_xlfn.TEXTJOIN("",TRUE,IF(ISNUMBER(SEARCH($A8,'Diags Raw Data'!$A$6:$A$3678)),CONCATENATE('Diags Raw Data'!$H$6:$H$3678,", "),""))</f>
        <v xml:space="preserve">FEAT_2, </v>
      </c>
      <c r="E8" s="333" t="str">
        <f>VLOOKUP(A8,'Diags Raw Data'!$A$6:$D$3678,4,FALSE)</f>
        <v>PIE</v>
      </c>
      <c r="F8" s="333" t="str">
        <f>VLOOKUP(A8,'Feature Raw Data'!$A$3:$E$3951,5,FALSE)</f>
        <v>Legacy</v>
      </c>
      <c r="G8" s="333" t="str">
        <f t="shared" si="0"/>
        <v>Yes</v>
      </c>
      <c r="H8" s="333" t="str">
        <f t="shared" si="1"/>
        <v>Yes</v>
      </c>
      <c r="I8" s="413">
        <f>SUMIF('Diags Raw Data'!$A$6:$A$3678,"*"&amp;$A8&amp;"*",'Diags Raw Data'!$K$6:$K$3678)</f>
        <v>1</v>
      </c>
      <c r="J8" s="415">
        <f>SUMIF('Diags Raw Data'!$A$6:$A$3678,"*"&amp;$A8&amp;"*",'Diags Raw Data'!$L$6:$L$3678)</f>
        <v>1</v>
      </c>
      <c r="K8" s="445" cm="1">
        <f t="array" ref="K8">IF(D8="",0, SUMPRODUCT(--(ISNUMBER(SEARCH($A8,'Diags Raw Data'!$A$6:$A$3678))),'Diags Raw Data'!$L$6:$L$3678,'Diags Raw Data'!$N$6:$N$3678)/J8)</f>
        <v>1</v>
      </c>
      <c r="L8" s="446" cm="1">
        <f t="array" ref="L8">IF(D8="",0, SUMPRODUCT(--(ISNUMBER(SEARCH($A8,'Diags Raw Data'!$A$6:$A$3678))),'Diags Raw Data'!$L$6:$L$3678,'Diags Raw Data'!$P$6:$P$3678)/J8)</f>
        <v>1</v>
      </c>
      <c r="M8" s="447" cm="1">
        <f t="array" ref="M8">SUMPRODUCT(--(ISNUMBER(SEARCH($A8,'Diags Raw Data'!$A$6:$A$3678))),--('Diags Raw Data'!$Q$6:$Q$3678&lt;&gt;"N/A"),'Diags Raw Data'!$R$6:$R$3678)</f>
        <v>1</v>
      </c>
      <c r="N8" s="448" cm="1">
        <f t="array" ref="N8">SUMPRODUCT(--(ISNUMBER(SEARCH($A8,'Diags Raw Data'!$A$6:$A$3678))),--('Diags Raw Data'!$Q$6:$Q$3678&lt;&gt;"N/A"),'Diags Raw Data'!$T$6:$T$3678)+SUMPRODUCT(--(ISNUMBER(SEARCH($A8,'Diags Raw Data'!$A$6:$A$3678))),--('Diags Raw Data'!$Q$6:$Q$3678&lt;&gt;"N/A"),'Diags Raw Data'!$U$6:$U$3678)</f>
        <v>1</v>
      </c>
      <c r="O8" s="449">
        <f t="shared" ref="O8:O48" si="2">IF((M8=0),0,N8/M8)</f>
        <v>1</v>
      </c>
      <c r="P8" s="450">
        <f>SUMIF('Diags Raw Data'!$A$6:$A$3678,"*"&amp;$A8&amp;"*",'Diags Raw Data'!$Z$6:$Z$3678)</f>
        <v>0</v>
      </c>
      <c r="Q8" s="451">
        <f>SUM(SUMIF('Diags Raw Data'!$A$6:$A$3678,"*"&amp;$A8&amp;"*",'Diags Raw Data'!$AA$6:$AA$3678),SUMIF('Diags Raw Data'!$A$6:$A$3678,"*"&amp;$A8&amp;"*",'Diags Raw Data'!$AB$6:$AB$3678))</f>
        <v>0</v>
      </c>
      <c r="R8" s="452">
        <f t="shared" ref="R8:R48" si="3">IF((J8=0),0,P8/J8)</f>
        <v>0</v>
      </c>
      <c r="S8" s="452">
        <f t="shared" ref="S8:S48" si="4">IF((P8=0),0,Q8/P8)</f>
        <v>0</v>
      </c>
      <c r="T8" s="453">
        <f t="shared" ref="T8:T48" si="5">R8*S8</f>
        <v>0</v>
      </c>
      <c r="U8" s="416" t="s">
        <v>508</v>
      </c>
      <c r="V8" s="181"/>
    </row>
    <row r="9" spans="1:23" ht="15.75" thickBot="1" x14ac:dyDescent="0.3">
      <c r="A9" s="406" t="s">
        <v>318</v>
      </c>
      <c r="B9" s="407" t="str">
        <f>VLOOKUP(A9,'Feature Raw Data'!$A$3:$B$3951,2,FALSE)</f>
        <v>Bus Locks</v>
      </c>
      <c r="C9" s="413" t="str">
        <f>VLOOKUP(A9,'Feature Raw Data'!$A$3:$C$3951,3,FALSE)</f>
        <v>P1</v>
      </c>
      <c r="D9" s="414" t="str" cm="1">
        <f t="array" ref="D9">_xlfn.TEXTJOIN("",TRUE,IF(ISNUMBER(SEARCH($A9,'Diags Raw Data'!$A$6:$A$3678)),CONCATENATE('Diags Raw Data'!$H$6:$H$3678,", "),""))</f>
        <v xml:space="preserve">FEAT_3, FEAT_3, FEAT_3, FEAT_3, </v>
      </c>
      <c r="E9" s="333" t="str">
        <f>VLOOKUP(A9,'Diags Raw Data'!$A$6:$D$3678,4,FALSE)</f>
        <v>DF</v>
      </c>
      <c r="F9" s="333" t="str">
        <f>VLOOKUP(A9,'Feature Raw Data'!$A$3:$E$3951,5,FALSE)</f>
        <v>Legacy</v>
      </c>
      <c r="G9" s="333" t="str">
        <f t="shared" si="0"/>
        <v>Yes</v>
      </c>
      <c r="H9" s="333" t="str">
        <f t="shared" si="1"/>
        <v>Yes</v>
      </c>
      <c r="I9" s="413">
        <f>SUMIF('Diags Raw Data'!$A$6:$A$3678,"*"&amp;$A9&amp;"*",'Diags Raw Data'!$K$6:$K$3678)</f>
        <v>4</v>
      </c>
      <c r="J9" s="415">
        <f>SUMIF('Diags Raw Data'!$A$6:$A$3678,"*"&amp;$A9&amp;"*",'Diags Raw Data'!$L$6:$L$3678)</f>
        <v>4</v>
      </c>
      <c r="K9" s="445" cm="1">
        <f t="array" ref="K9">IF(D9="",0, SUMPRODUCT(--(ISNUMBER(SEARCH($A9,'Diags Raw Data'!$A$6:$A$3678))),'Diags Raw Data'!$L$6:$L$3678,'Diags Raw Data'!$N$6:$N$3678)/J9)</f>
        <v>1</v>
      </c>
      <c r="L9" s="446" cm="1">
        <f t="array" ref="L9">IF(D9="",0, SUMPRODUCT(--(ISNUMBER(SEARCH($A9,'Diags Raw Data'!$A$6:$A$3678))),'Diags Raw Data'!$L$6:$L$3678,'Diags Raw Data'!$P$6:$P$3678)/J9)</f>
        <v>1</v>
      </c>
      <c r="M9" s="447" cm="1">
        <f t="array" ref="M9">SUMPRODUCT(--(ISNUMBER(SEARCH($A9,'Diags Raw Data'!$A$6:$A$3678))),--('Diags Raw Data'!$Q$6:$Q$3678&lt;&gt;"N/A"),'Diags Raw Data'!$R$6:$R$3678)</f>
        <v>4</v>
      </c>
      <c r="N9" s="448" cm="1">
        <f t="array" ref="N9">SUMPRODUCT(--(ISNUMBER(SEARCH($A9,'Diags Raw Data'!$A$6:$A$3678))),--('Diags Raw Data'!$Q$6:$Q$3678&lt;&gt;"N/A"),'Diags Raw Data'!$T$6:$T$3678)+SUMPRODUCT(--(ISNUMBER(SEARCH($A9,'Diags Raw Data'!$A$6:$A$3678))),--('Diags Raw Data'!$Q$6:$Q$3678&lt;&gt;"N/A"),'Diags Raw Data'!$U$6:$U$3678)</f>
        <v>4</v>
      </c>
      <c r="O9" s="449">
        <f t="shared" si="2"/>
        <v>1</v>
      </c>
      <c r="P9" s="450">
        <f>SUMIF('Diags Raw Data'!$A$6:$A$3678,"*"&amp;$A9&amp;"*",'Diags Raw Data'!$Z$6:$Z$3678)</f>
        <v>0</v>
      </c>
      <c r="Q9" s="451">
        <f>SUM(SUMIF('Diags Raw Data'!$A$6:$A$3678,"*"&amp;$A9&amp;"*",'Diags Raw Data'!$AA$6:$AA$3678),SUMIF('Diags Raw Data'!$A$6:$A$3678,"*"&amp;$A9&amp;"*",'Diags Raw Data'!$AB$6:$AB$3678))</f>
        <v>0</v>
      </c>
      <c r="R9" s="452">
        <f t="shared" si="3"/>
        <v>0</v>
      </c>
      <c r="S9" s="452">
        <f t="shared" si="4"/>
        <v>0</v>
      </c>
      <c r="T9" s="453">
        <f t="shared" si="5"/>
        <v>0</v>
      </c>
      <c r="U9" s="416" t="s">
        <v>509</v>
      </c>
      <c r="V9" s="181"/>
    </row>
    <row r="10" spans="1:23" ht="15.75" thickBot="1" x14ac:dyDescent="0.3">
      <c r="A10" s="406" t="s">
        <v>330</v>
      </c>
      <c r="B10" s="407" t="str">
        <f>VLOOKUP(A10,'Feature Raw Data'!$A$3:$B$3951,2,FALSE)</f>
        <v xml:space="preserve">Byte Enable Writes </v>
      </c>
      <c r="C10" s="413" t="str">
        <f>VLOOKUP(A10,'Feature Raw Data'!$A$3:$C$3951,3,FALSE)</f>
        <v>P1</v>
      </c>
      <c r="D10" s="414" t="str" cm="1">
        <f t="array" ref="D10">_xlfn.TEXTJOIN("",TRUE,IF(ISNUMBER(SEARCH($A10,'Diags Raw Data'!$A$6:$A$3678)),CONCATENATE('Diags Raw Data'!$H$6:$H$3678,", "),""))</f>
        <v xml:space="preserve">FEAT_4, </v>
      </c>
      <c r="E10" s="333" t="str">
        <f>VLOOKUP(A10,'Diags Raw Data'!$A$6:$D$3678,4,FALSE)</f>
        <v>DF</v>
      </c>
      <c r="F10" s="333" t="str">
        <f>VLOOKUP(A10,'Feature Raw Data'!$A$3:$E$3951,5,FALSE)</f>
        <v>Legacy</v>
      </c>
      <c r="G10" s="333" t="str">
        <f t="shared" si="0"/>
        <v>Yes</v>
      </c>
      <c r="H10" s="333" t="str">
        <f t="shared" si="1"/>
        <v>Yes</v>
      </c>
      <c r="I10" s="413">
        <f>SUMIF('Diags Raw Data'!$A$6:$A$3678,"*"&amp;$A10&amp;"*",'Diags Raw Data'!$K$6:$K$3678)</f>
        <v>1</v>
      </c>
      <c r="J10" s="415">
        <f>SUMIF('Diags Raw Data'!$A$6:$A$3678,"*"&amp;$A10&amp;"*",'Diags Raw Data'!$L$6:$L$3678)</f>
        <v>1</v>
      </c>
      <c r="K10" s="445" cm="1">
        <f t="array" ref="K10">IF(D10="",0, SUMPRODUCT(--(ISNUMBER(SEARCH($A10,'Diags Raw Data'!$A$6:$A$3678))),'Diags Raw Data'!$L$6:$L$3678,'Diags Raw Data'!$N$6:$N$3678)/J10)</f>
        <v>1</v>
      </c>
      <c r="L10" s="446" cm="1">
        <f t="array" ref="L10">IF(D10="",0, SUMPRODUCT(--(ISNUMBER(SEARCH($A10,'Diags Raw Data'!$A$6:$A$3678))),'Diags Raw Data'!$L$6:$L$3678,'Diags Raw Data'!$P$6:$P$3678)/J10)</f>
        <v>1</v>
      </c>
      <c r="M10" s="447" cm="1">
        <f t="array" ref="M10">SUMPRODUCT(--(ISNUMBER(SEARCH($A10,'Diags Raw Data'!$A$6:$A$3678))),--('Diags Raw Data'!$Q$6:$Q$3678&lt;&gt;"N/A"),'Diags Raw Data'!$R$6:$R$3678)</f>
        <v>1</v>
      </c>
      <c r="N10" s="448" cm="1">
        <f t="array" ref="N10">SUMPRODUCT(--(ISNUMBER(SEARCH($A10,'Diags Raw Data'!$A$6:$A$3678))),--('Diags Raw Data'!$Q$6:$Q$3678&lt;&gt;"N/A"),'Diags Raw Data'!$T$6:$T$3678)+SUMPRODUCT(--(ISNUMBER(SEARCH($A10,'Diags Raw Data'!$A$6:$A$3678))),--('Diags Raw Data'!$Q$6:$Q$3678&lt;&gt;"N/A"),'Diags Raw Data'!$U$6:$U$3678)</f>
        <v>1</v>
      </c>
      <c r="O10" s="449">
        <f t="shared" si="2"/>
        <v>1</v>
      </c>
      <c r="P10" s="450">
        <f>SUMIF('Diags Raw Data'!$A$6:$A$3678,"*"&amp;$A10&amp;"*",'Diags Raw Data'!$Z$6:$Z$3678)</f>
        <v>0</v>
      </c>
      <c r="Q10" s="451">
        <f>SUM(SUMIF('Diags Raw Data'!$A$6:$A$3678,"*"&amp;$A10&amp;"*",'Diags Raw Data'!$AA$6:$AA$3678),SUMIF('Diags Raw Data'!$A$6:$A$3678,"*"&amp;$A10&amp;"*",'Diags Raw Data'!$AB$6:$AB$3678))</f>
        <v>0</v>
      </c>
      <c r="R10" s="452">
        <f t="shared" si="3"/>
        <v>0</v>
      </c>
      <c r="S10" s="452">
        <f t="shared" si="4"/>
        <v>0</v>
      </c>
      <c r="T10" s="453">
        <f t="shared" si="5"/>
        <v>0</v>
      </c>
      <c r="U10" s="412" t="s">
        <v>509</v>
      </c>
      <c r="V10" s="181"/>
    </row>
    <row r="11" spans="1:23" ht="15.75" thickBot="1" x14ac:dyDescent="0.3">
      <c r="A11" s="406" t="s">
        <v>334</v>
      </c>
      <c r="B11" s="407" t="str">
        <f>VLOOKUP(A11,'Feature Raw Data'!$A$3:$B$3951,2,FALSE)</f>
        <v>CCM Ordering</v>
      </c>
      <c r="C11" s="413" t="str">
        <f>VLOOKUP(A11,'Feature Raw Data'!$A$3:$C$3951,3,FALSE)</f>
        <v>P3</v>
      </c>
      <c r="D11" s="414" t="str" cm="1">
        <f t="array" ref="D11">_xlfn.TEXTJOIN("",TRUE,IF(ISNUMBER(SEARCH($A11,'Diags Raw Data'!$A$6:$A$3678)),CONCATENATE('Diags Raw Data'!$H$6:$H$3678,", "),""))</f>
        <v xml:space="preserve">FEAT_5, </v>
      </c>
      <c r="E11" s="333" t="str">
        <f>VLOOKUP(A11,'Diags Raw Data'!$A$6:$D$3678,4,FALSE)</f>
        <v>CCM</v>
      </c>
      <c r="F11" s="333" t="str">
        <f>VLOOKUP(A11,'Feature Raw Data'!$A$3:$E$3951,5,FALSE)</f>
        <v>Legacy</v>
      </c>
      <c r="G11" s="333" t="str">
        <f t="shared" si="0"/>
        <v>Yes</v>
      </c>
      <c r="H11" s="333" t="str">
        <f t="shared" si="1"/>
        <v>Yes</v>
      </c>
      <c r="I11" s="413">
        <f>SUMIF('Diags Raw Data'!$A$6:$A$3678,"*"&amp;$A11&amp;"*",'Diags Raw Data'!$K$6:$K$3678)</f>
        <v>1</v>
      </c>
      <c r="J11" s="415">
        <f>SUMIF('Diags Raw Data'!$A$6:$A$3678,"*"&amp;$A11&amp;"*",'Diags Raw Data'!$L$6:$L$3678)</f>
        <v>1</v>
      </c>
      <c r="K11" s="445" cm="1">
        <f t="array" ref="K11">IF(D11="",0, SUMPRODUCT(--(ISNUMBER(SEARCH($A11,'Diags Raw Data'!$A$6:$A$3678))),'Diags Raw Data'!$L$6:$L$3678,'Diags Raw Data'!$N$6:$N$3678)/J11)</f>
        <v>1</v>
      </c>
      <c r="L11" s="446" cm="1">
        <f t="array" ref="L11">IF(D11="",0, SUMPRODUCT(--(ISNUMBER(SEARCH($A11,'Diags Raw Data'!$A$6:$A$3678))),'Diags Raw Data'!$L$6:$L$3678,'Diags Raw Data'!$P$6:$P$3678)/J11)</f>
        <v>1</v>
      </c>
      <c r="M11" s="447" cm="1">
        <f t="array" ref="M11">SUMPRODUCT(--(ISNUMBER(SEARCH($A11,'Diags Raw Data'!$A$6:$A$3678))),--('Diags Raw Data'!$Q$6:$Q$3678&lt;&gt;"N/A"),'Diags Raw Data'!$R$6:$R$3678)</f>
        <v>1</v>
      </c>
      <c r="N11" s="448" cm="1">
        <f t="array" ref="N11">SUMPRODUCT(--(ISNUMBER(SEARCH($A11,'Diags Raw Data'!$A$6:$A$3678))),--('Diags Raw Data'!$Q$6:$Q$3678&lt;&gt;"N/A"),'Diags Raw Data'!$T$6:$T$3678)+SUMPRODUCT(--(ISNUMBER(SEARCH($A11,'Diags Raw Data'!$A$6:$A$3678))),--('Diags Raw Data'!$Q$6:$Q$3678&lt;&gt;"N/A"),'Diags Raw Data'!$U$6:$U$3678)</f>
        <v>1</v>
      </c>
      <c r="O11" s="449">
        <f t="shared" si="2"/>
        <v>1</v>
      </c>
      <c r="P11" s="450">
        <f>SUMIF('Diags Raw Data'!$A$6:$A$3678,"*"&amp;$A11&amp;"*",'Diags Raw Data'!$Z$6:$Z$3678)</f>
        <v>0</v>
      </c>
      <c r="Q11" s="451">
        <f>SUM(SUMIF('Diags Raw Data'!$A$6:$A$3678,"*"&amp;$A11&amp;"*",'Diags Raw Data'!$AA$6:$AA$3678),SUMIF('Diags Raw Data'!$A$6:$A$3678,"*"&amp;$A11&amp;"*",'Diags Raw Data'!$AB$6:$AB$3678))</f>
        <v>0</v>
      </c>
      <c r="R11" s="452">
        <f t="shared" si="3"/>
        <v>0</v>
      </c>
      <c r="S11" s="452">
        <f t="shared" si="4"/>
        <v>0</v>
      </c>
      <c r="T11" s="453">
        <f t="shared" si="5"/>
        <v>0</v>
      </c>
      <c r="U11" s="500" t="s">
        <v>510</v>
      </c>
      <c r="V11" s="181"/>
    </row>
    <row r="12" spans="1:23" ht="15.75" thickBot="1" x14ac:dyDescent="0.3">
      <c r="A12" s="406" t="s">
        <v>339</v>
      </c>
      <c r="B12" s="407" t="str">
        <f>VLOOKUP(A12,'Feature Raw Data'!$A$3:$B$3951,2,FALSE)</f>
        <v xml:space="preserve">CCM Bypasses </v>
      </c>
      <c r="C12" s="413" t="str">
        <f>VLOOKUP(A12,'Feature Raw Data'!$A$3:$C$3951,3,FALSE)</f>
        <v>P2</v>
      </c>
      <c r="D12" s="414" t="str" cm="1">
        <f t="array" ref="D12">_xlfn.TEXTJOIN("",TRUE,IF(ISNUMBER(SEARCH($A12,'Diags Raw Data'!$A$6:$A$3678)),CONCATENATE('Diags Raw Data'!$H$6:$H$3678,", "),""))</f>
        <v xml:space="preserve">FEAT_6, </v>
      </c>
      <c r="E12" s="333" t="str">
        <f>VLOOKUP(A12,'Diags Raw Data'!$A$6:$D$3678,4,FALSE)</f>
        <v>CCM</v>
      </c>
      <c r="F12" s="333" t="str">
        <f>VLOOKUP(A12,'Feature Raw Data'!$A$3:$E$3951,5,FALSE)</f>
        <v>Legacy</v>
      </c>
      <c r="G12" s="333" t="str">
        <f t="shared" si="0"/>
        <v>Yes</v>
      </c>
      <c r="H12" s="333" t="str">
        <f t="shared" si="1"/>
        <v>Yes</v>
      </c>
      <c r="I12" s="413">
        <f>SUMIF('Diags Raw Data'!$A$6:$A$3678,"*"&amp;$A12&amp;"*",'Diags Raw Data'!$K$6:$K$3678)</f>
        <v>1</v>
      </c>
      <c r="J12" s="415">
        <f>SUMIF('Diags Raw Data'!$A$6:$A$3678,"*"&amp;$A12&amp;"*",'Diags Raw Data'!$L$6:$L$3678)</f>
        <v>1</v>
      </c>
      <c r="K12" s="445" cm="1">
        <f t="array" ref="K12">IF(D12="",0, SUMPRODUCT(--(ISNUMBER(SEARCH($A12,'Diags Raw Data'!$A$6:$A$3678))),'Diags Raw Data'!$L$6:$L$3678,'Diags Raw Data'!$N$6:$N$3678)/J12)</f>
        <v>1</v>
      </c>
      <c r="L12" s="446" cm="1">
        <f t="array" ref="L12">IF(D12="",0, SUMPRODUCT(--(ISNUMBER(SEARCH($A12,'Diags Raw Data'!$A$6:$A$3678))),'Diags Raw Data'!$L$6:$L$3678,'Diags Raw Data'!$P$6:$P$3678)/J12)</f>
        <v>1</v>
      </c>
      <c r="M12" s="447" cm="1">
        <f t="array" ref="M12">SUMPRODUCT(--(ISNUMBER(SEARCH($A12,'Diags Raw Data'!$A$6:$A$3678))),--('Diags Raw Data'!$Q$6:$Q$3678&lt;&gt;"N/A"),'Diags Raw Data'!$R$6:$R$3678)</f>
        <v>1</v>
      </c>
      <c r="N12" s="448" cm="1">
        <f t="array" ref="N12">SUMPRODUCT(--(ISNUMBER(SEARCH($A12,'Diags Raw Data'!$A$6:$A$3678))),--('Diags Raw Data'!$Q$6:$Q$3678&lt;&gt;"N/A"),'Diags Raw Data'!$T$6:$T$3678)+SUMPRODUCT(--(ISNUMBER(SEARCH($A12,'Diags Raw Data'!$A$6:$A$3678))),--('Diags Raw Data'!$Q$6:$Q$3678&lt;&gt;"N/A"),'Diags Raw Data'!$U$6:$U$3678)</f>
        <v>1</v>
      </c>
      <c r="O12" s="449">
        <f t="shared" si="2"/>
        <v>1</v>
      </c>
      <c r="P12" s="450">
        <f>SUMIF('Diags Raw Data'!$A$6:$A$3678,"*"&amp;$A12&amp;"*",'Diags Raw Data'!$Z$6:$Z$3678)</f>
        <v>0</v>
      </c>
      <c r="Q12" s="451">
        <f>SUM(SUMIF('Diags Raw Data'!$A$6:$A$3678,"*"&amp;$A12&amp;"*",'Diags Raw Data'!$AA$6:$AA$3678),SUMIF('Diags Raw Data'!$A$6:$A$3678,"*"&amp;$A12&amp;"*",'Diags Raw Data'!$AB$6:$AB$3678))</f>
        <v>0</v>
      </c>
      <c r="R12" s="452">
        <f t="shared" si="3"/>
        <v>0</v>
      </c>
      <c r="S12" s="452">
        <f t="shared" si="4"/>
        <v>0</v>
      </c>
      <c r="T12" s="453">
        <f t="shared" si="5"/>
        <v>0</v>
      </c>
      <c r="U12" s="500" t="s">
        <v>508</v>
      </c>
      <c r="V12" s="181"/>
    </row>
    <row r="13" spans="1:23" ht="15.75" thickBot="1" x14ac:dyDescent="0.3">
      <c r="A13" s="406" t="s">
        <v>342</v>
      </c>
      <c r="B13" s="407" t="str">
        <f>VLOOKUP(A13,'Feature Raw Data'!$A$3:$B$3951,2,FALSE)</f>
        <v>CF8/CFC</v>
      </c>
      <c r="C13" s="413" t="str">
        <f>VLOOKUP(A13,'Feature Raw Data'!$A$3:$C$3951,3,FALSE)</f>
        <v>P1</v>
      </c>
      <c r="D13" s="414" t="str" cm="1">
        <f t="array" ref="D13">_xlfn.TEXTJOIN("",TRUE,IF(ISNUMBER(SEARCH($A13,'Diags Raw Data'!$A$6:$A$3678)),CONCATENATE('Diags Raw Data'!$H$6:$H$3678,", "),""))</f>
        <v xml:space="preserve">FEAT_7.1-3, </v>
      </c>
      <c r="E13" s="333" t="str">
        <f>VLOOKUP(A13,'Diags Raw Data'!$A$6:$D$3678,4,FALSE)</f>
        <v>CCM</v>
      </c>
      <c r="F13" s="333" t="str">
        <f>VLOOKUP(A13,'Feature Raw Data'!$A$3:$E$3951,5,FALSE)</f>
        <v>Legacy</v>
      </c>
      <c r="G13" s="333" t="str">
        <f t="shared" si="0"/>
        <v>Yes</v>
      </c>
      <c r="H13" s="333" t="str">
        <f t="shared" si="1"/>
        <v>Yes</v>
      </c>
      <c r="I13" s="413">
        <f>SUMIF('Diags Raw Data'!$A$6:$A$3678,"*"&amp;$A13&amp;"*",'Diags Raw Data'!$K$6:$K$3678)</f>
        <v>1</v>
      </c>
      <c r="J13" s="415">
        <f>SUMIF('Diags Raw Data'!$A$6:$A$3678,"*"&amp;$A13&amp;"*",'Diags Raw Data'!$L$6:$L$3678)</f>
        <v>3</v>
      </c>
      <c r="K13" s="445" cm="1">
        <f t="array" ref="K13">IF(D13="",0, SUMPRODUCT(--(ISNUMBER(SEARCH($A13,'Diags Raw Data'!$A$6:$A$3678))),'Diags Raw Data'!$L$6:$L$3678,'Diags Raw Data'!$N$6:$N$3678)/J13)</f>
        <v>1</v>
      </c>
      <c r="L13" s="446" cm="1">
        <f t="array" ref="L13">IF(D13="",0, SUMPRODUCT(--(ISNUMBER(SEARCH($A13,'Diags Raw Data'!$A$6:$A$3678))),'Diags Raw Data'!$L$6:$L$3678,'Diags Raw Data'!$P$6:$P$3678)/J13)</f>
        <v>1</v>
      </c>
      <c r="M13" s="447" cm="1">
        <f t="array" ref="M13">SUMPRODUCT(--(ISNUMBER(SEARCH($A13,'Diags Raw Data'!$A$6:$A$3678))),--('Diags Raw Data'!$Q$6:$Q$3678&lt;&gt;"N/A"),'Diags Raw Data'!$R$6:$R$3678)</f>
        <v>3</v>
      </c>
      <c r="N13" s="448" cm="1">
        <f t="array" ref="N13">SUMPRODUCT(--(ISNUMBER(SEARCH($A13,'Diags Raw Data'!$A$6:$A$3678))),--('Diags Raw Data'!$Q$6:$Q$3678&lt;&gt;"N/A"),'Diags Raw Data'!$T$6:$T$3678)+SUMPRODUCT(--(ISNUMBER(SEARCH($A13,'Diags Raw Data'!$A$6:$A$3678))),--('Diags Raw Data'!$Q$6:$Q$3678&lt;&gt;"N/A"),'Diags Raw Data'!$U$6:$U$3678)</f>
        <v>3</v>
      </c>
      <c r="O13" s="449">
        <f>IF((M13=0),0,N13/M13)</f>
        <v>1</v>
      </c>
      <c r="P13" s="450">
        <f>SUMIF('Diags Raw Data'!$A$6:$A$3678,"*"&amp;$A13&amp;"*",'Diags Raw Data'!$Z$6:$Z$3678)</f>
        <v>0</v>
      </c>
      <c r="Q13" s="451">
        <f>SUM(SUMIF('Diags Raw Data'!$A$6:$A$3678,"*"&amp;$A13&amp;"*",'Diags Raw Data'!$AA$6:$AA$3678),SUMIF('Diags Raw Data'!$A$6:$A$3678,"*"&amp;$A13&amp;"*",'Diags Raw Data'!$AB$6:$AB$3678))</f>
        <v>0</v>
      </c>
      <c r="R13" s="452">
        <f t="shared" si="3"/>
        <v>0</v>
      </c>
      <c r="S13" s="452">
        <f t="shared" si="4"/>
        <v>0</v>
      </c>
      <c r="T13" s="453">
        <f t="shared" si="5"/>
        <v>0</v>
      </c>
      <c r="U13" s="500" t="s">
        <v>509</v>
      </c>
      <c r="V13" s="181"/>
    </row>
    <row r="14" spans="1:23" ht="15.75" thickBot="1" x14ac:dyDescent="0.3">
      <c r="A14" s="406" t="s">
        <v>346</v>
      </c>
      <c r="B14" s="407" t="str">
        <f>VLOOKUP(A14,'Feature Raw Data'!$A$3:$B$3951,2,FALSE)</f>
        <v>CPU Downcoring</v>
      </c>
      <c r="C14" s="413" t="str">
        <f>VLOOKUP(A14,'Feature Raw Data'!$A$3:$C$3951,3,FALSE)</f>
        <v>P1</v>
      </c>
      <c r="D14" s="414" t="str" cm="1">
        <f t="array" ref="D14">_xlfn.TEXTJOIN("",TRUE,IF(ISNUMBER(SEARCH($A14,'Diags Raw Data'!$A$6:$A$3678)),CONCATENATE('Diags Raw Data'!$H$6:$H$3678,", "),""))</f>
        <v xml:space="preserve">FEAT_8, </v>
      </c>
      <c r="E14" s="333" t="str">
        <f>VLOOKUP(A14,'Diags Raw Data'!$A$6:$D$3678,4,FALSE)</f>
        <v>DF</v>
      </c>
      <c r="F14" s="333" t="str">
        <f>VLOOKUP(A14,'Feature Raw Data'!$A$3:$E$3951,5,FALSE)</f>
        <v>Legacy</v>
      </c>
      <c r="G14" s="333" t="str">
        <f t="shared" si="0"/>
        <v>Yes</v>
      </c>
      <c r="H14" s="333" t="str">
        <f t="shared" si="1"/>
        <v>Yes</v>
      </c>
      <c r="I14" s="413">
        <f>SUMIF('Diags Raw Data'!$A$6:$A$3678,"*"&amp;$A14&amp;"*",'Diags Raw Data'!$K$6:$K$3678)</f>
        <v>1</v>
      </c>
      <c r="J14" s="415">
        <f>SUMIF('Diags Raw Data'!$A$6:$A$3678,"*"&amp;$A14&amp;"*",'Diags Raw Data'!$L$6:$L$3678)</f>
        <v>1</v>
      </c>
      <c r="K14" s="445" cm="1">
        <f t="array" ref="K14">IF(D14="",0, SUMPRODUCT(--(ISNUMBER(SEARCH($A14,'Diags Raw Data'!$A$6:$A$3678))),'Diags Raw Data'!$L$6:$L$3678,'Diags Raw Data'!$N$6:$N$3678)/J14)</f>
        <v>1</v>
      </c>
      <c r="L14" s="446" cm="1">
        <f t="array" ref="L14">IF(D14="",0, SUMPRODUCT(--(ISNUMBER(SEARCH($A14,'Diags Raw Data'!$A$6:$A$3678))),'Diags Raw Data'!$L$6:$L$3678,'Diags Raw Data'!$P$6:$P$3678)/J14)</f>
        <v>1</v>
      </c>
      <c r="M14" s="447" cm="1">
        <f t="array" ref="M14">SUMPRODUCT(--(ISNUMBER(SEARCH($A14,'Diags Raw Data'!$A$6:$A$3678))),--('Diags Raw Data'!$Q$6:$Q$3678&lt;&gt;"N/A"),'Diags Raw Data'!$R$6:$R$3678)</f>
        <v>1</v>
      </c>
      <c r="N14" s="448" cm="1">
        <f t="array" ref="N14">SUMPRODUCT(--(ISNUMBER(SEARCH($A14,'Diags Raw Data'!$A$6:$A$3678))),--('Diags Raw Data'!$Q$6:$Q$3678&lt;&gt;"N/A"),'Diags Raw Data'!$T$6:$T$3678)+SUMPRODUCT(--(ISNUMBER(SEARCH($A14,'Diags Raw Data'!$A$6:$A$3678))),--('Diags Raw Data'!$Q$6:$Q$3678&lt;&gt;"N/A"),'Diags Raw Data'!$U$6:$U$3678)</f>
        <v>1</v>
      </c>
      <c r="O14" s="449">
        <f t="shared" si="2"/>
        <v>1</v>
      </c>
      <c r="P14" s="450">
        <f>SUMIF('Diags Raw Data'!$A$6:$A$3678,"*"&amp;$A14&amp;"*",'Diags Raw Data'!$Z$6:$Z$3678)</f>
        <v>0</v>
      </c>
      <c r="Q14" s="451">
        <f>SUM(SUMIF('Diags Raw Data'!$A$6:$A$3678,"*"&amp;$A14&amp;"*",'Diags Raw Data'!$AA$6:$AA$3678),SUMIF('Diags Raw Data'!$A$6:$A$3678,"*"&amp;$A14&amp;"*",'Diags Raw Data'!$AB$6:$AB$3678))</f>
        <v>0</v>
      </c>
      <c r="R14" s="452">
        <f t="shared" si="3"/>
        <v>0</v>
      </c>
      <c r="S14" s="452">
        <f t="shared" si="4"/>
        <v>0</v>
      </c>
      <c r="T14" s="453">
        <f t="shared" si="5"/>
        <v>0</v>
      </c>
      <c r="U14" s="500" t="s">
        <v>511</v>
      </c>
      <c r="V14" s="181"/>
    </row>
    <row r="15" spans="1:23" ht="15.75" thickBot="1" x14ac:dyDescent="0.3">
      <c r="A15" s="406" t="s">
        <v>350</v>
      </c>
      <c r="B15" s="407" t="str">
        <f>VLOOKUP(A15,'Feature Raw Data'!$A$3:$B$3951,2,FALSE)</f>
        <v xml:space="preserve">CPU Lone Potato/Lightly Loaded </v>
      </c>
      <c r="C15" s="413" t="str">
        <f>VLOOKUP(A15,'Feature Raw Data'!$A$3:$C$3951,3,FALSE)</f>
        <v>P1</v>
      </c>
      <c r="D15" s="414" t="str" cm="1">
        <f t="array" ref="D15">_xlfn.TEXTJOIN("",TRUE,IF(ISNUMBER(SEARCH($A15,'Diags Raw Data'!$A$6:$A$3678)),CONCATENATE('Diags Raw Data'!$H$6:$H$3678,", "),""))</f>
        <v xml:space="preserve">FEAT_9, </v>
      </c>
      <c r="E15" s="333" t="str">
        <f>VLOOKUP(A15,'Diags Raw Data'!$A$6:$D$3678,4,FALSE)</f>
        <v>CCM</v>
      </c>
      <c r="F15" s="333" t="str">
        <f>VLOOKUP(A15,'Feature Raw Data'!$A$3:$E$3951,5,FALSE)</f>
        <v>Legacy</v>
      </c>
      <c r="G15" s="333" t="str">
        <f t="shared" si="0"/>
        <v>Yes</v>
      </c>
      <c r="H15" s="333" t="str">
        <f t="shared" si="1"/>
        <v>Yes</v>
      </c>
      <c r="I15" s="413">
        <f>SUMIF('Diags Raw Data'!$A$6:$A$3678,"*"&amp;$A15&amp;"*",'Diags Raw Data'!$K$6:$K$3678)</f>
        <v>1</v>
      </c>
      <c r="J15" s="415">
        <f>SUMIF('Diags Raw Data'!$A$6:$A$3678,"*"&amp;$A15&amp;"*",'Diags Raw Data'!$L$6:$L$3678)</f>
        <v>1</v>
      </c>
      <c r="K15" s="445" cm="1">
        <f t="array" ref="K15">IF(D15="",0, SUMPRODUCT(--(ISNUMBER(SEARCH($A15,'Diags Raw Data'!$A$6:$A$3678))),'Diags Raw Data'!$L$6:$L$3678,'Diags Raw Data'!$N$6:$N$3678)/J15)</f>
        <v>1</v>
      </c>
      <c r="L15" s="446" cm="1">
        <f t="array" ref="L15">IF(D15="",0, SUMPRODUCT(--(ISNUMBER(SEARCH($A15,'Diags Raw Data'!$A$6:$A$3678))),'Diags Raw Data'!$L$6:$L$3678,'Diags Raw Data'!$P$6:$P$3678)/J15)</f>
        <v>1</v>
      </c>
      <c r="M15" s="447" cm="1">
        <f t="array" ref="M15">SUMPRODUCT(--(ISNUMBER(SEARCH($A15,'Diags Raw Data'!$A$6:$A$3678))),--('Diags Raw Data'!$Q$6:$Q$3678&lt;&gt;"N/A"),'Diags Raw Data'!$R$6:$R$3678)</f>
        <v>1</v>
      </c>
      <c r="N15" s="448" cm="1">
        <f t="array" ref="N15">SUMPRODUCT(--(ISNUMBER(SEARCH($A15,'Diags Raw Data'!$A$6:$A$3678))),--('Diags Raw Data'!$Q$6:$Q$3678&lt;&gt;"N/A"),'Diags Raw Data'!$T$6:$T$3678)+SUMPRODUCT(--(ISNUMBER(SEARCH($A15,'Diags Raw Data'!$A$6:$A$3678))),--('Diags Raw Data'!$Q$6:$Q$3678&lt;&gt;"N/A"),'Diags Raw Data'!$U$6:$U$3678)</f>
        <v>1</v>
      </c>
      <c r="O15" s="449">
        <f t="shared" si="2"/>
        <v>1</v>
      </c>
      <c r="P15" s="450">
        <f>SUMIF('Diags Raw Data'!$A$6:$A$3678,"*"&amp;$A15&amp;"*",'Diags Raw Data'!$Z$6:$Z$3678)</f>
        <v>0</v>
      </c>
      <c r="Q15" s="451">
        <f>SUM(SUMIF('Diags Raw Data'!$A$6:$A$3678,"*"&amp;$A15&amp;"*",'Diags Raw Data'!$AA$6:$AA$3678),SUMIF('Diags Raw Data'!$A$6:$A$3678,"*"&amp;$A15&amp;"*",'Diags Raw Data'!$AB$6:$AB$3678))</f>
        <v>0</v>
      </c>
      <c r="R15" s="452">
        <f t="shared" si="3"/>
        <v>0</v>
      </c>
      <c r="S15" s="452">
        <f t="shared" si="4"/>
        <v>0</v>
      </c>
      <c r="T15" s="453">
        <f t="shared" si="5"/>
        <v>0</v>
      </c>
      <c r="U15" s="500" t="s">
        <v>484</v>
      </c>
      <c r="V15" s="181"/>
    </row>
    <row r="16" spans="1:23" ht="15.75" thickBot="1" x14ac:dyDescent="0.3">
      <c r="A16" s="406" t="s">
        <v>353</v>
      </c>
      <c r="B16" s="407" t="str">
        <f>VLOOKUP(A16,'Feature Raw Data'!$A$3:$B$3951,2,FALSE)</f>
        <v>CS Read-to-Read Forwarding</v>
      </c>
      <c r="C16" s="413" t="str">
        <f>VLOOKUP(A16,'Feature Raw Data'!$A$3:$C$3951,3,FALSE)</f>
        <v>P3</v>
      </c>
      <c r="D16" s="414" t="str" cm="1">
        <f t="array" ref="D16">_xlfn.TEXTJOIN("",TRUE,IF(ISNUMBER(SEARCH($A16,'Diags Raw Data'!$A$6:$A$3678)),CONCATENATE('Diags Raw Data'!$H$6:$H$3678,", "),""))</f>
        <v xml:space="preserve">FEAT_10, </v>
      </c>
      <c r="E16" s="333" t="str">
        <f>VLOOKUP(A16,'Diags Raw Data'!$A$6:$D$3678,4,FALSE)</f>
        <v>CS</v>
      </c>
      <c r="F16" s="333" t="str">
        <f>VLOOKUP(A16,'Feature Raw Data'!$A$3:$E$3951,5,FALSE)</f>
        <v>Legacy</v>
      </c>
      <c r="G16" s="333" t="str">
        <f t="shared" si="0"/>
        <v>Yes</v>
      </c>
      <c r="H16" s="333" t="str">
        <f t="shared" si="1"/>
        <v>Yes</v>
      </c>
      <c r="I16" s="413">
        <f>SUMIF('Diags Raw Data'!$A$6:$A$3678,"*"&amp;$A16&amp;"*",'Diags Raw Data'!$K$6:$K$3678)</f>
        <v>1</v>
      </c>
      <c r="J16" s="415">
        <f>SUMIF('Diags Raw Data'!$A$6:$A$3678,"*"&amp;$A16&amp;"*",'Diags Raw Data'!$L$6:$L$3678)</f>
        <v>1</v>
      </c>
      <c r="K16" s="445" cm="1">
        <f t="array" ref="K16">IF(D16="",0, SUMPRODUCT(--(ISNUMBER(SEARCH($A16,'Diags Raw Data'!$A$6:$A$3678))),'Diags Raw Data'!$L$6:$L$3678,'Diags Raw Data'!$N$6:$N$3678)/J16)</f>
        <v>1</v>
      </c>
      <c r="L16" s="446" cm="1">
        <f t="array" ref="L16">IF(D16="",0, SUMPRODUCT(--(ISNUMBER(SEARCH($A16,'Diags Raw Data'!$A$6:$A$3678))),'Diags Raw Data'!$L$6:$L$3678,'Diags Raw Data'!$P$6:$P$3678)/J16)</f>
        <v>1</v>
      </c>
      <c r="M16" s="447" cm="1">
        <f t="array" ref="M16">SUMPRODUCT(--(ISNUMBER(SEARCH($A16,'Diags Raw Data'!$A$6:$A$3678))),--('Diags Raw Data'!$Q$6:$Q$3678&lt;&gt;"N/A"),'Diags Raw Data'!$R$6:$R$3678)</f>
        <v>1</v>
      </c>
      <c r="N16" s="448" cm="1">
        <f t="array" ref="N16">SUMPRODUCT(--(ISNUMBER(SEARCH($A16,'Diags Raw Data'!$A$6:$A$3678))),--('Diags Raw Data'!$Q$6:$Q$3678&lt;&gt;"N/A"),'Diags Raw Data'!$T$6:$T$3678)+SUMPRODUCT(--(ISNUMBER(SEARCH($A16,'Diags Raw Data'!$A$6:$A$3678))),--('Diags Raw Data'!$Q$6:$Q$3678&lt;&gt;"N/A"),'Diags Raw Data'!$U$6:$U$3678)</f>
        <v>1</v>
      </c>
      <c r="O16" s="449">
        <f t="shared" si="2"/>
        <v>1</v>
      </c>
      <c r="P16" s="450">
        <f>SUMIF('Diags Raw Data'!$A$6:$A$3678,"*"&amp;$A16&amp;"*",'Diags Raw Data'!$Z$6:$Z$3678)</f>
        <v>0</v>
      </c>
      <c r="Q16" s="451">
        <f>SUM(SUMIF('Diags Raw Data'!$A$6:$A$3678,"*"&amp;$A16&amp;"*",'Diags Raw Data'!$AA$6:$AA$3678),SUMIF('Diags Raw Data'!$A$6:$A$3678,"*"&amp;$A16&amp;"*",'Diags Raw Data'!$AB$6:$AB$3678))</f>
        <v>0</v>
      </c>
      <c r="R16" s="452">
        <f t="shared" si="3"/>
        <v>0</v>
      </c>
      <c r="S16" s="452">
        <f t="shared" si="4"/>
        <v>0</v>
      </c>
      <c r="T16" s="453">
        <f t="shared" si="5"/>
        <v>0</v>
      </c>
      <c r="U16" s="500" t="s">
        <v>510</v>
      </c>
      <c r="V16" s="181"/>
    </row>
    <row r="17" spans="1:22" s="184" customFormat="1" ht="15.75" thickBot="1" x14ac:dyDescent="0.3">
      <c r="A17" s="406" t="s">
        <v>357</v>
      </c>
      <c r="B17" s="407" t="str">
        <f>VLOOKUP(A17,'Feature Raw Data'!$A$3:$B$3951,2,FALSE)</f>
        <v>CS Write Combining</v>
      </c>
      <c r="C17" s="413" t="str">
        <f>VLOOKUP(A17,'Feature Raw Data'!$A$3:$C$3951,3,FALSE)</f>
        <v>P2</v>
      </c>
      <c r="D17" s="414" t="str" cm="1">
        <f t="array" ref="D17">_xlfn.TEXTJOIN("",TRUE,IF(ISNUMBER(SEARCH($A17,'Diags Raw Data'!$A$6:$A$3678)),CONCATENATE('Diags Raw Data'!$H$6:$H$3678,", "),""))</f>
        <v xml:space="preserve">FEAT_11, </v>
      </c>
      <c r="E17" s="333" t="str">
        <f>VLOOKUP(A17,'Diags Raw Data'!$A$6:$D$3678,4,FALSE)</f>
        <v>CS</v>
      </c>
      <c r="F17" s="333" t="str">
        <f>VLOOKUP(A17,'Feature Raw Data'!$A$3:$E$3951,5,FALSE)</f>
        <v>Legacy</v>
      </c>
      <c r="G17" s="333" t="str">
        <f t="shared" si="0"/>
        <v>Yes</v>
      </c>
      <c r="H17" s="333" t="str">
        <f t="shared" si="1"/>
        <v>Yes</v>
      </c>
      <c r="I17" s="413">
        <f>SUMIF('Diags Raw Data'!$A$6:$A$3678,"*"&amp;$A17&amp;"*",'Diags Raw Data'!$K$6:$K$3678)</f>
        <v>1</v>
      </c>
      <c r="J17" s="415">
        <f>SUMIF('Diags Raw Data'!$A$6:$A$3678,"*"&amp;$A17&amp;"*",'Diags Raw Data'!$L$6:$L$3678)</f>
        <v>1</v>
      </c>
      <c r="K17" s="445" cm="1">
        <f t="array" ref="K17">IF(D17="",0, SUMPRODUCT(--(ISNUMBER(SEARCH($A17,'Diags Raw Data'!$A$6:$A$3678))),'Diags Raw Data'!$L$6:$L$3678,'Diags Raw Data'!$N$6:$N$3678)/J17)</f>
        <v>1</v>
      </c>
      <c r="L17" s="446" cm="1">
        <f t="array" ref="L17">IF(D17="",0, SUMPRODUCT(--(ISNUMBER(SEARCH($A17,'Diags Raw Data'!$A$6:$A$3678))),'Diags Raw Data'!$L$6:$L$3678,'Diags Raw Data'!$P$6:$P$3678)/J17)</f>
        <v>1</v>
      </c>
      <c r="M17" s="447" cm="1">
        <f t="array" ref="M17">SUMPRODUCT(--(ISNUMBER(SEARCH($A17,'Diags Raw Data'!$A$6:$A$3678))),--('Diags Raw Data'!$Q$6:$Q$3678&lt;&gt;"N/A"),'Diags Raw Data'!$R$6:$R$3678)</f>
        <v>1</v>
      </c>
      <c r="N17" s="448" cm="1">
        <f t="array" ref="N17">SUMPRODUCT(--(ISNUMBER(SEARCH($A17,'Diags Raw Data'!$A$6:$A$3678))),--('Diags Raw Data'!$Q$6:$Q$3678&lt;&gt;"N/A"),'Diags Raw Data'!$T$6:$T$3678)+SUMPRODUCT(--(ISNUMBER(SEARCH($A17,'Diags Raw Data'!$A$6:$A$3678))),--('Diags Raw Data'!$Q$6:$Q$3678&lt;&gt;"N/A"),'Diags Raw Data'!$U$6:$U$3678)</f>
        <v>1</v>
      </c>
      <c r="O17" s="449">
        <f t="shared" si="2"/>
        <v>1</v>
      </c>
      <c r="P17" s="450">
        <f>SUMIF('Diags Raw Data'!$A$6:$A$3678,"*"&amp;$A17&amp;"*",'Diags Raw Data'!$Z$6:$Z$3678)</f>
        <v>0</v>
      </c>
      <c r="Q17" s="451">
        <f>SUM(SUMIF('Diags Raw Data'!$A$6:$A$3678,"*"&amp;$A17&amp;"*",'Diags Raw Data'!$AA$6:$AA$3678),SUMIF('Diags Raw Data'!$A$6:$A$3678,"*"&amp;$A17&amp;"*",'Diags Raw Data'!$AB$6:$AB$3678))</f>
        <v>0</v>
      </c>
      <c r="R17" s="452">
        <f t="shared" si="3"/>
        <v>0</v>
      </c>
      <c r="S17" s="452">
        <f t="shared" si="4"/>
        <v>0</v>
      </c>
      <c r="T17" s="453">
        <f t="shared" si="5"/>
        <v>0</v>
      </c>
      <c r="U17" s="500" t="s">
        <v>510</v>
      </c>
      <c r="V17" s="183"/>
    </row>
    <row r="18" spans="1:22" ht="15.75" thickBot="1" x14ac:dyDescent="0.3">
      <c r="A18" s="406" t="s">
        <v>360</v>
      </c>
      <c r="B18" s="407" t="str">
        <f>VLOOKUP(A18,'Feature Raw Data'!$A$3:$B$3951,2,FALSE)</f>
        <v>CS Write-to-Read Forwarding</v>
      </c>
      <c r="C18" s="413" t="str">
        <f>VLOOKUP(A18,'Feature Raw Data'!$A$3:$C$3951,3,FALSE)</f>
        <v>P1</v>
      </c>
      <c r="D18" s="414" t="str" cm="1">
        <f t="array" ref="D18">_xlfn.TEXTJOIN("",TRUE,IF(ISNUMBER(SEARCH($A18,'Diags Raw Data'!$A$6:$A$3678)),CONCATENATE('Diags Raw Data'!$H$6:$H$3678,", "),""))</f>
        <v xml:space="preserve">FEAT_12, </v>
      </c>
      <c r="E18" s="333" t="str">
        <f>VLOOKUP(A18,'Diags Raw Data'!$A$6:$D$3678,4,FALSE)</f>
        <v>CS</v>
      </c>
      <c r="F18" s="333" t="str">
        <f>VLOOKUP(A18,'Feature Raw Data'!$A$3:$E$3951,5,FALSE)</f>
        <v>Legacy</v>
      </c>
      <c r="G18" s="333" t="str">
        <f t="shared" si="0"/>
        <v>Yes</v>
      </c>
      <c r="H18" s="333" t="str">
        <f t="shared" si="1"/>
        <v>Yes</v>
      </c>
      <c r="I18" s="413">
        <f>SUMIF('Diags Raw Data'!$A$6:$A$3678,"*"&amp;$A18&amp;"*",'Diags Raw Data'!$K$6:$K$3678)</f>
        <v>1</v>
      </c>
      <c r="J18" s="415">
        <f>SUMIF('Diags Raw Data'!$A$6:$A$3678,"*"&amp;$A18&amp;"*",'Diags Raw Data'!$L$6:$L$3678)</f>
        <v>1</v>
      </c>
      <c r="K18" s="445" cm="1">
        <f t="array" ref="K18">IF(D18="",0, SUMPRODUCT(--(ISNUMBER(SEARCH($A18,'Diags Raw Data'!$A$6:$A$3678))),'Diags Raw Data'!$L$6:$L$3678,'Diags Raw Data'!$N$6:$N$3678)/J18)</f>
        <v>1</v>
      </c>
      <c r="L18" s="446" cm="1">
        <f t="array" ref="L18">IF(D18="",0, SUMPRODUCT(--(ISNUMBER(SEARCH($A18,'Diags Raw Data'!$A$6:$A$3678))),'Diags Raw Data'!$L$6:$L$3678,'Diags Raw Data'!$P$6:$P$3678)/J18)</f>
        <v>1</v>
      </c>
      <c r="M18" s="447" cm="1">
        <f t="array" ref="M18">SUMPRODUCT(--(ISNUMBER(SEARCH($A18,'Diags Raw Data'!$A$6:$A$3678))),--('Diags Raw Data'!$Q$6:$Q$3678&lt;&gt;"N/A"),'Diags Raw Data'!$R$6:$R$3678)</f>
        <v>1</v>
      </c>
      <c r="N18" s="448" cm="1">
        <f t="array" ref="N18">SUMPRODUCT(--(ISNUMBER(SEARCH($A18,'Diags Raw Data'!$A$6:$A$3678))),--('Diags Raw Data'!$Q$6:$Q$3678&lt;&gt;"N/A"),'Diags Raw Data'!$T$6:$T$3678)+SUMPRODUCT(--(ISNUMBER(SEARCH($A18,'Diags Raw Data'!$A$6:$A$3678))),--('Diags Raw Data'!$Q$6:$Q$3678&lt;&gt;"N/A"),'Diags Raw Data'!$U$6:$U$3678)</f>
        <v>1</v>
      </c>
      <c r="O18" s="449">
        <f t="shared" si="2"/>
        <v>1</v>
      </c>
      <c r="P18" s="450">
        <f>SUMIF('Diags Raw Data'!$A$6:$A$3678,"*"&amp;$A18&amp;"*",'Diags Raw Data'!$Z$6:$Z$3678)</f>
        <v>0</v>
      </c>
      <c r="Q18" s="451">
        <f>SUM(SUMIF('Diags Raw Data'!$A$6:$A$3678,"*"&amp;$A18&amp;"*",'Diags Raw Data'!$AA$6:$AA$3678),SUMIF('Diags Raw Data'!$A$6:$A$3678,"*"&amp;$A18&amp;"*",'Diags Raw Data'!$AB$6:$AB$3678))</f>
        <v>0</v>
      </c>
      <c r="R18" s="452">
        <f t="shared" si="3"/>
        <v>0</v>
      </c>
      <c r="S18" s="452">
        <f t="shared" si="4"/>
        <v>0</v>
      </c>
      <c r="T18" s="453">
        <f t="shared" si="5"/>
        <v>0</v>
      </c>
      <c r="U18" s="500" t="s">
        <v>511</v>
      </c>
      <c r="V18" s="181"/>
    </row>
    <row r="19" spans="1:22" ht="15.75" thickBot="1" x14ac:dyDescent="0.3">
      <c r="A19" s="406" t="s">
        <v>362</v>
      </c>
      <c r="B19" s="407" t="str">
        <f>VLOOKUP(A19,'Feature Raw Data'!$A$3:$B$3951,2,FALSE)</f>
        <v xml:space="preserve">CS-UMC Cancels </v>
      </c>
      <c r="C19" s="413" t="str">
        <f>VLOOKUP(A19,'Feature Raw Data'!$A$3:$C$3951,3,FALSE)</f>
        <v>P3</v>
      </c>
      <c r="D19" s="414" t="str" cm="1">
        <f t="array" ref="D19">_xlfn.TEXTJOIN("",TRUE,IF(ISNUMBER(SEARCH($A19,'Diags Raw Data'!$A$6:$A$3678)),CONCATENATE('Diags Raw Data'!$H$6:$H$3678,", "),""))</f>
        <v xml:space="preserve">FEAT_13, </v>
      </c>
      <c r="E19" s="333" t="str">
        <f>VLOOKUP(A19,'Diags Raw Data'!$A$6:$D$3678,4,FALSE)</f>
        <v>CS</v>
      </c>
      <c r="F19" s="333" t="str">
        <f>VLOOKUP(A19,'Feature Raw Data'!$A$3:$E$3951,5,FALSE)</f>
        <v>Legacy</v>
      </c>
      <c r="G19" s="333" t="str">
        <f t="shared" si="0"/>
        <v>Yes</v>
      </c>
      <c r="H19" s="333" t="str">
        <f t="shared" si="1"/>
        <v>Yes</v>
      </c>
      <c r="I19" s="413">
        <f>SUMIF('Diags Raw Data'!$A$6:$A$3678,"*"&amp;$A19&amp;"*",'Diags Raw Data'!$K$6:$K$3678)</f>
        <v>1</v>
      </c>
      <c r="J19" s="415">
        <f>SUMIF('Diags Raw Data'!$A$6:$A$3678,"*"&amp;$A19&amp;"*",'Diags Raw Data'!$L$6:$L$3678)</f>
        <v>1</v>
      </c>
      <c r="K19" s="445" cm="1">
        <f t="array" ref="K19">IF(D19="",0, SUMPRODUCT(--(ISNUMBER(SEARCH($A19,'Diags Raw Data'!$A$6:$A$3678))),'Diags Raw Data'!$L$6:$L$3678,'Diags Raw Data'!$N$6:$N$3678)/J19)</f>
        <v>1</v>
      </c>
      <c r="L19" s="446" cm="1">
        <f t="array" ref="L19">IF(D19="",0, SUMPRODUCT(--(ISNUMBER(SEARCH($A19,'Diags Raw Data'!$A$6:$A$3678))),'Diags Raw Data'!$L$6:$L$3678,'Diags Raw Data'!$P$6:$P$3678)/J19)</f>
        <v>1</v>
      </c>
      <c r="M19" s="447" cm="1">
        <f t="array" ref="M19">SUMPRODUCT(--(ISNUMBER(SEARCH($A19,'Diags Raw Data'!$A$6:$A$3678))),--('Diags Raw Data'!$Q$6:$Q$3678&lt;&gt;"N/A"),'Diags Raw Data'!$R$6:$R$3678)</f>
        <v>1</v>
      </c>
      <c r="N19" s="448" cm="1">
        <f t="array" ref="N19">SUMPRODUCT(--(ISNUMBER(SEARCH($A19,'Diags Raw Data'!$A$6:$A$3678))),--('Diags Raw Data'!$Q$6:$Q$3678&lt;&gt;"N/A"),'Diags Raw Data'!$T$6:$T$3678)+SUMPRODUCT(--(ISNUMBER(SEARCH($A19,'Diags Raw Data'!$A$6:$A$3678))),--('Diags Raw Data'!$Q$6:$Q$3678&lt;&gt;"N/A"),'Diags Raw Data'!$U$6:$U$3678)</f>
        <v>1</v>
      </c>
      <c r="O19" s="449">
        <f t="shared" si="2"/>
        <v>1</v>
      </c>
      <c r="P19" s="450">
        <f>SUMIF('Diags Raw Data'!$A$6:$A$3678,"*"&amp;$A19&amp;"*",'Diags Raw Data'!$Z$6:$Z$3678)</f>
        <v>0</v>
      </c>
      <c r="Q19" s="451">
        <f>SUM(SUMIF('Diags Raw Data'!$A$6:$A$3678,"*"&amp;$A19&amp;"*",'Diags Raw Data'!$AA$6:$AA$3678),SUMIF('Diags Raw Data'!$A$6:$A$3678,"*"&amp;$A19&amp;"*",'Diags Raw Data'!$AB$6:$AB$3678))</f>
        <v>0</v>
      </c>
      <c r="R19" s="452">
        <f t="shared" si="3"/>
        <v>0</v>
      </c>
      <c r="S19" s="452">
        <f t="shared" si="4"/>
        <v>0</v>
      </c>
      <c r="T19" s="453">
        <f t="shared" si="5"/>
        <v>0</v>
      </c>
      <c r="U19" s="500" t="s">
        <v>511</v>
      </c>
      <c r="V19" s="181"/>
    </row>
    <row r="20" spans="1:22" ht="15.75" thickBot="1" x14ac:dyDescent="0.3">
      <c r="A20" s="406" t="s">
        <v>364</v>
      </c>
      <c r="B20" s="407" t="str">
        <f>VLOOKUP(A20,'Feature Raw Data'!$A$3:$B$3951,2,FALSE)</f>
        <v>Coherent Slave Bypasses</v>
      </c>
      <c r="C20" s="413" t="str">
        <f>VLOOKUP(A20,'Feature Raw Data'!$A$3:$C$3951,3,FALSE)</f>
        <v>P1</v>
      </c>
      <c r="D20" s="414" t="str" cm="1">
        <f t="array" ref="D20">_xlfn.TEXTJOIN("",TRUE,IF(ISNUMBER(SEARCH($A20,'Diags Raw Data'!$A$6:$A$3678)),CONCATENATE('Diags Raw Data'!$H$6:$H$3678,", "),""))</f>
        <v xml:space="preserve">FEAT_14, </v>
      </c>
      <c r="E20" s="333" t="str">
        <f>VLOOKUP(A20,'Diags Raw Data'!$A$6:$D$3678,4,FALSE)</f>
        <v>CS</v>
      </c>
      <c r="F20" s="333" t="str">
        <f>VLOOKUP(A20,'Feature Raw Data'!$A$3:$E$3951,5,FALSE)</f>
        <v>Legacy</v>
      </c>
      <c r="G20" s="333" t="str">
        <f t="shared" si="0"/>
        <v>Yes</v>
      </c>
      <c r="H20" s="333" t="str">
        <f t="shared" si="1"/>
        <v>Yes</v>
      </c>
      <c r="I20" s="413">
        <f>SUMIF('Diags Raw Data'!$A$6:$A$3678,"*"&amp;$A20&amp;"*",'Diags Raw Data'!$K$6:$K$3678)</f>
        <v>1</v>
      </c>
      <c r="J20" s="415">
        <f>SUMIF('Diags Raw Data'!$A$6:$A$3678,"*"&amp;$A20&amp;"*",'Diags Raw Data'!$L$6:$L$3678)</f>
        <v>1</v>
      </c>
      <c r="K20" s="445" cm="1">
        <f t="array" ref="K20">IF(D20="",0, SUMPRODUCT(--(ISNUMBER(SEARCH($A20,'Diags Raw Data'!$A$6:$A$3678))),'Diags Raw Data'!$L$6:$L$3678,'Diags Raw Data'!$N$6:$N$3678)/J20)</f>
        <v>1</v>
      </c>
      <c r="L20" s="446" cm="1">
        <f t="array" ref="L20">IF(D20="",0, SUMPRODUCT(--(ISNUMBER(SEARCH($A20,'Diags Raw Data'!$A$6:$A$3678))),'Diags Raw Data'!$L$6:$L$3678,'Diags Raw Data'!$P$6:$P$3678)/J20)</f>
        <v>1</v>
      </c>
      <c r="M20" s="447" cm="1">
        <f t="array" ref="M20">SUMPRODUCT(--(ISNUMBER(SEARCH($A20,'Diags Raw Data'!$A$6:$A$3678))),--('Diags Raw Data'!$Q$6:$Q$3678&lt;&gt;"N/A"),'Diags Raw Data'!$R$6:$R$3678)</f>
        <v>1</v>
      </c>
      <c r="N20" s="448" cm="1">
        <f t="array" ref="N20">SUMPRODUCT(--(ISNUMBER(SEARCH($A20,'Diags Raw Data'!$A$6:$A$3678))),--('Diags Raw Data'!$Q$6:$Q$3678&lt;&gt;"N/A"),'Diags Raw Data'!$T$6:$T$3678)+SUMPRODUCT(--(ISNUMBER(SEARCH($A20,'Diags Raw Data'!$A$6:$A$3678))),--('Diags Raw Data'!$Q$6:$Q$3678&lt;&gt;"N/A"),'Diags Raw Data'!$U$6:$U$3678)</f>
        <v>1</v>
      </c>
      <c r="O20" s="449">
        <f t="shared" si="2"/>
        <v>1</v>
      </c>
      <c r="P20" s="450">
        <f>SUMIF('Diags Raw Data'!$A$6:$A$3678,"*"&amp;$A20&amp;"*",'Diags Raw Data'!$Z$6:$Z$3678)</f>
        <v>0</v>
      </c>
      <c r="Q20" s="451">
        <f>SUM(SUMIF('Diags Raw Data'!$A$6:$A$3678,"*"&amp;$A20&amp;"*",'Diags Raw Data'!$AA$6:$AA$3678),SUMIF('Diags Raw Data'!$A$6:$A$3678,"*"&amp;$A20&amp;"*",'Diags Raw Data'!$AB$6:$AB$3678))</f>
        <v>0</v>
      </c>
      <c r="R20" s="452">
        <f t="shared" si="3"/>
        <v>0</v>
      </c>
      <c r="S20" s="452">
        <f t="shared" si="4"/>
        <v>0</v>
      </c>
      <c r="T20" s="453">
        <f t="shared" si="5"/>
        <v>0</v>
      </c>
      <c r="U20" s="500" t="s">
        <v>511</v>
      </c>
      <c r="V20" s="181"/>
    </row>
    <row r="21" spans="1:22" ht="15.75" thickBot="1" x14ac:dyDescent="0.3">
      <c r="A21" s="406" t="s">
        <v>366</v>
      </c>
      <c r="B21" s="407" t="str">
        <f>VLOOKUP(A21,'Feature Raw Data'!$A$3:$B$3951,2,FALSE)</f>
        <v>Coherency</v>
      </c>
      <c r="C21" s="413" t="str">
        <f>VLOOKUP(A21,'Feature Raw Data'!$A$3:$C$3951,3,FALSE)</f>
        <v>P1</v>
      </c>
      <c r="D21" s="414" t="str" cm="1">
        <f t="array" ref="D21">_xlfn.TEXTJOIN("",TRUE,IF(ISNUMBER(SEARCH($A21,'Diags Raw Data'!$A$6:$A$3678)),CONCATENATE('Diags Raw Data'!$H$6:$H$3678,", "),""))</f>
        <v xml:space="preserve">FEAT_15, </v>
      </c>
      <c r="E21" s="333" t="str">
        <f>VLOOKUP(A21,'Diags Raw Data'!$A$6:$D$3678,4,FALSE)</f>
        <v>CS</v>
      </c>
      <c r="F21" s="333" t="str">
        <f>VLOOKUP(A21,'Feature Raw Data'!$A$3:$E$3951,5,FALSE)</f>
        <v>Legacy</v>
      </c>
      <c r="G21" s="333" t="str">
        <f t="shared" si="0"/>
        <v>Yes</v>
      </c>
      <c r="H21" s="333" t="str">
        <f t="shared" si="1"/>
        <v>Yes</v>
      </c>
      <c r="I21" s="413">
        <f>SUMIF('Diags Raw Data'!$A$6:$A$3678,"*"&amp;$A21&amp;"*",'Diags Raw Data'!$K$6:$K$3678)</f>
        <v>1</v>
      </c>
      <c r="J21" s="415">
        <f>SUMIF('Diags Raw Data'!$A$6:$A$3678,"*"&amp;$A21&amp;"*",'Diags Raw Data'!$L$6:$L$3678)</f>
        <v>1</v>
      </c>
      <c r="K21" s="445" cm="1">
        <f t="array" ref="K21">IF(D21="",0, SUMPRODUCT(--(ISNUMBER(SEARCH($A21,'Diags Raw Data'!$A$6:$A$3678))),'Diags Raw Data'!$L$6:$L$3678,'Diags Raw Data'!$N$6:$N$3678)/J21)</f>
        <v>1</v>
      </c>
      <c r="L21" s="446" cm="1">
        <f t="array" ref="L21">IF(D21="",0, SUMPRODUCT(--(ISNUMBER(SEARCH($A21,'Diags Raw Data'!$A$6:$A$3678))),'Diags Raw Data'!$L$6:$L$3678,'Diags Raw Data'!$P$6:$P$3678)/J21)</f>
        <v>1</v>
      </c>
      <c r="M21" s="447" cm="1">
        <f t="array" ref="M21">SUMPRODUCT(--(ISNUMBER(SEARCH($A21,'Diags Raw Data'!$A$6:$A$3678))),--('Diags Raw Data'!$Q$6:$Q$3678&lt;&gt;"N/A"),'Diags Raw Data'!$R$6:$R$3678)</f>
        <v>1</v>
      </c>
      <c r="N21" s="448" cm="1">
        <f t="array" ref="N21">SUMPRODUCT(--(ISNUMBER(SEARCH($A21,'Diags Raw Data'!$A$6:$A$3678))),--('Diags Raw Data'!$Q$6:$Q$3678&lt;&gt;"N/A"),'Diags Raw Data'!$T$6:$T$3678)+SUMPRODUCT(--(ISNUMBER(SEARCH($A21,'Diags Raw Data'!$A$6:$A$3678))),--('Diags Raw Data'!$Q$6:$Q$3678&lt;&gt;"N/A"),'Diags Raw Data'!$U$6:$U$3678)</f>
        <v>1</v>
      </c>
      <c r="O21" s="449">
        <f t="shared" si="2"/>
        <v>1</v>
      </c>
      <c r="P21" s="450">
        <f>SUMIF('Diags Raw Data'!$A$6:$A$3678,"*"&amp;$A21&amp;"*",'Diags Raw Data'!$Z$6:$Z$3678)</f>
        <v>0</v>
      </c>
      <c r="Q21" s="451">
        <f>SUM(SUMIF('Diags Raw Data'!$A$6:$A$3678,"*"&amp;$A21&amp;"*",'Diags Raw Data'!$AA$6:$AA$3678),SUMIF('Diags Raw Data'!$A$6:$A$3678,"*"&amp;$A21&amp;"*",'Diags Raw Data'!$AB$6:$AB$3678))</f>
        <v>0</v>
      </c>
      <c r="R21" s="452">
        <f t="shared" si="3"/>
        <v>0</v>
      </c>
      <c r="S21" s="452">
        <f t="shared" si="4"/>
        <v>0</v>
      </c>
      <c r="T21" s="453">
        <f t="shared" si="5"/>
        <v>0</v>
      </c>
      <c r="U21" s="500" t="s">
        <v>511</v>
      </c>
      <c r="V21" s="181"/>
    </row>
    <row r="22" spans="1:22" ht="15.75" thickBot="1" x14ac:dyDescent="0.3">
      <c r="A22" s="406" t="s">
        <v>370</v>
      </c>
      <c r="B22" s="407" t="str">
        <f>VLOOKUP(A22,'Feature Raw Data'!$A$3:$B$3951,2,FALSE)</f>
        <v>DF P-states</v>
      </c>
      <c r="C22" s="413" t="str">
        <f>VLOOKUP(A22,'Feature Raw Data'!$A$3:$C$3951,3,FALSE)</f>
        <v>P1</v>
      </c>
      <c r="D22" s="414" t="str" cm="1">
        <f t="array" ref="D22">_xlfn.TEXTJOIN("",TRUE,IF(ISNUMBER(SEARCH($A22,'Diags Raw Data'!$A$6:$A$3678)),CONCATENATE('Diags Raw Data'!$H$6:$H$3678,", "),""))</f>
        <v xml:space="preserve">FEAT_16, </v>
      </c>
      <c r="E22" s="333" t="str">
        <f>VLOOKUP(A22,'Diags Raw Data'!$A$6:$D$3678,4,FALSE)</f>
        <v>PIE</v>
      </c>
      <c r="F22" s="333" t="str">
        <f>VLOOKUP(A22,'Feature Raw Data'!$A$3:$E$3951,5,FALSE)</f>
        <v>Legacy</v>
      </c>
      <c r="G22" s="333" t="str">
        <f t="shared" si="0"/>
        <v>Yes</v>
      </c>
      <c r="H22" s="333" t="str">
        <f t="shared" si="1"/>
        <v>Yes</v>
      </c>
      <c r="I22" s="413">
        <f>SUMIF('Diags Raw Data'!$A$6:$A$3678,"*"&amp;$A22&amp;"*",'Diags Raw Data'!$K$6:$K$3678)</f>
        <v>1</v>
      </c>
      <c r="J22" s="415">
        <f>SUMIF('Diags Raw Data'!$A$6:$A$3678,"*"&amp;$A22&amp;"*",'Diags Raw Data'!$L$6:$L$3678)</f>
        <v>1</v>
      </c>
      <c r="K22" s="445" cm="1">
        <f t="array" ref="K22">IF(D22="",0, SUMPRODUCT(--(ISNUMBER(SEARCH($A22,'Diags Raw Data'!$A$6:$A$3678))),'Diags Raw Data'!$L$6:$L$3678,'Diags Raw Data'!$N$6:$N$3678)/J22)</f>
        <v>1</v>
      </c>
      <c r="L22" s="446" cm="1">
        <f t="array" ref="L22">IF(D22="",0, SUMPRODUCT(--(ISNUMBER(SEARCH($A22,'Diags Raw Data'!$A$6:$A$3678))),'Diags Raw Data'!$L$6:$L$3678,'Diags Raw Data'!$P$6:$P$3678)/J22)</f>
        <v>1</v>
      </c>
      <c r="M22" s="447" cm="1">
        <f t="array" ref="M22">SUMPRODUCT(--(ISNUMBER(SEARCH($A22,'Diags Raw Data'!$A$6:$A$3678))),--('Diags Raw Data'!$Q$6:$Q$3678&lt;&gt;"N/A"),'Diags Raw Data'!$R$6:$R$3678)</f>
        <v>1</v>
      </c>
      <c r="N22" s="448" cm="1">
        <f t="array" ref="N22">SUMPRODUCT(--(ISNUMBER(SEARCH($A22,'Diags Raw Data'!$A$6:$A$3678))),--('Diags Raw Data'!$Q$6:$Q$3678&lt;&gt;"N/A"),'Diags Raw Data'!$T$6:$T$3678)+SUMPRODUCT(--(ISNUMBER(SEARCH($A22,'Diags Raw Data'!$A$6:$A$3678))),--('Diags Raw Data'!$Q$6:$Q$3678&lt;&gt;"N/A"),'Diags Raw Data'!$U$6:$U$3678)</f>
        <v>1</v>
      </c>
      <c r="O22" s="449">
        <f t="shared" si="2"/>
        <v>1</v>
      </c>
      <c r="P22" s="450">
        <f>SUMIF('Diags Raw Data'!$A$6:$A$3678,"*"&amp;$A22&amp;"*",'Diags Raw Data'!$Z$6:$Z$3678)</f>
        <v>0</v>
      </c>
      <c r="Q22" s="451">
        <f>SUM(SUMIF('Diags Raw Data'!$A$6:$A$3678,"*"&amp;$A22&amp;"*",'Diags Raw Data'!$AA$6:$AA$3678),SUMIF('Diags Raw Data'!$A$6:$A$3678,"*"&amp;$A22&amp;"*",'Diags Raw Data'!$AB$6:$AB$3678))</f>
        <v>0</v>
      </c>
      <c r="R22" s="452">
        <f t="shared" si="3"/>
        <v>0</v>
      </c>
      <c r="S22" s="452">
        <f t="shared" si="4"/>
        <v>0</v>
      </c>
      <c r="T22" s="453">
        <f t="shared" si="5"/>
        <v>0</v>
      </c>
      <c r="U22" s="500" t="s">
        <v>512</v>
      </c>
      <c r="V22" s="181"/>
    </row>
    <row r="23" spans="1:22" ht="15.75" thickBot="1" x14ac:dyDescent="0.3">
      <c r="A23" s="406" t="s">
        <v>374</v>
      </c>
      <c r="B23" s="407" t="str">
        <f>VLOOKUP(A23,'Feature Raw Data'!$A$3:$B$3951,2,FALSE)</f>
        <v>I/O and Graphic Atomics</v>
      </c>
      <c r="C23" s="413" t="str">
        <f>VLOOKUP(A23,'Feature Raw Data'!$A$3:$C$3951,3,FALSE)</f>
        <v>P1</v>
      </c>
      <c r="D23" s="414" t="str" cm="1">
        <f t="array" ref="D23">_xlfn.TEXTJOIN("",TRUE,IF(ISNUMBER(SEARCH($A23,'Diags Raw Data'!$A$6:$A$3678)),CONCATENATE('Diags Raw Data'!$H$6:$H$3678,", "),""))</f>
        <v xml:space="preserve">FEAT_17.1-2, </v>
      </c>
      <c r="E23" s="333" t="str">
        <f>VLOOKUP(A23,'Diags Raw Data'!$A$6:$D$3678,4,FALSE)</f>
        <v>CS</v>
      </c>
      <c r="F23" s="333" t="str">
        <f>VLOOKUP(A23,'Feature Raw Data'!$A$3:$E$3951,5,FALSE)</f>
        <v>Legacy</v>
      </c>
      <c r="G23" s="333" t="str">
        <f t="shared" si="0"/>
        <v>Yes</v>
      </c>
      <c r="H23" s="333" t="str">
        <f t="shared" si="1"/>
        <v>Yes</v>
      </c>
      <c r="I23" s="413">
        <f>SUMIF('Diags Raw Data'!$A$6:$A$3678,"*"&amp;$A23&amp;"*",'Diags Raw Data'!$K$6:$K$3678)</f>
        <v>1</v>
      </c>
      <c r="J23" s="415">
        <f>SUMIF('Diags Raw Data'!$A$6:$A$3678,"*"&amp;$A23&amp;"*",'Diags Raw Data'!$L$6:$L$3678)</f>
        <v>2</v>
      </c>
      <c r="K23" s="445" cm="1">
        <f t="array" ref="K23">IF(D23="",0, SUMPRODUCT(--(ISNUMBER(SEARCH($A23,'Diags Raw Data'!$A$6:$A$3678))),'Diags Raw Data'!$L$6:$L$3678,'Diags Raw Data'!$N$6:$N$3678)/J23)</f>
        <v>1</v>
      </c>
      <c r="L23" s="446" cm="1">
        <f t="array" ref="L23">IF(D23="",0, SUMPRODUCT(--(ISNUMBER(SEARCH($A23,'Diags Raw Data'!$A$6:$A$3678))),'Diags Raw Data'!$L$6:$L$3678,'Diags Raw Data'!$P$6:$P$3678)/J23)</f>
        <v>1</v>
      </c>
      <c r="M23" s="447" cm="1">
        <f t="array" ref="M23">SUMPRODUCT(--(ISNUMBER(SEARCH($A23,'Diags Raw Data'!$A$6:$A$3678))),--('Diags Raw Data'!$Q$6:$Q$3678&lt;&gt;"N/A"),'Diags Raw Data'!$R$6:$R$3678)</f>
        <v>2</v>
      </c>
      <c r="N23" s="448" cm="1">
        <f t="array" ref="N23">SUMPRODUCT(--(ISNUMBER(SEARCH($A23,'Diags Raw Data'!$A$6:$A$3678))),--('Diags Raw Data'!$Q$6:$Q$3678&lt;&gt;"N/A"),'Diags Raw Data'!$T$6:$T$3678)+SUMPRODUCT(--(ISNUMBER(SEARCH($A23,'Diags Raw Data'!$A$6:$A$3678))),--('Diags Raw Data'!$Q$6:$Q$3678&lt;&gt;"N/A"),'Diags Raw Data'!$U$6:$U$3678)</f>
        <v>2</v>
      </c>
      <c r="O23" s="449">
        <f t="shared" si="2"/>
        <v>1</v>
      </c>
      <c r="P23" s="450">
        <f>SUMIF('Diags Raw Data'!$A$6:$A$3678,"*"&amp;$A23&amp;"*",'Diags Raw Data'!$Z$6:$Z$3678)</f>
        <v>0</v>
      </c>
      <c r="Q23" s="451">
        <f>SUM(SUMIF('Diags Raw Data'!$A$6:$A$3678,"*"&amp;$A23&amp;"*",'Diags Raw Data'!$AA$6:$AA$3678),SUMIF('Diags Raw Data'!$A$6:$A$3678,"*"&amp;$A23&amp;"*",'Diags Raw Data'!$AB$6:$AB$3678))</f>
        <v>0</v>
      </c>
      <c r="R23" s="452">
        <f t="shared" si="3"/>
        <v>0</v>
      </c>
      <c r="S23" s="452">
        <f t="shared" si="4"/>
        <v>0</v>
      </c>
      <c r="T23" s="453">
        <f t="shared" si="5"/>
        <v>0</v>
      </c>
      <c r="U23" s="500" t="s">
        <v>484</v>
      </c>
      <c r="V23" s="181"/>
    </row>
    <row r="24" spans="1:22" ht="15.75" thickBot="1" x14ac:dyDescent="0.3">
      <c r="A24" s="406" t="s">
        <v>378</v>
      </c>
      <c r="B24" s="407" t="str">
        <f>VLOOKUP(A24,'Feature Raw Data'!$A$3:$B$3951,2,FALSE)</f>
        <v>IOM Ordering</v>
      </c>
      <c r="C24" s="413" t="str">
        <f>VLOOKUP(A24,'Feature Raw Data'!$A$3:$C$3951,3,FALSE)</f>
        <v>P2</v>
      </c>
      <c r="D24" s="414" t="str" cm="1">
        <f t="array" ref="D24">_xlfn.TEXTJOIN("",TRUE,IF(ISNUMBER(SEARCH($A24,'Diags Raw Data'!$A$6:$A$3678)),CONCATENATE('Diags Raw Data'!$H$6:$H$3678,", "),""))</f>
        <v xml:space="preserve">FEAT_18.1-4, </v>
      </c>
      <c r="E24" s="333" t="str">
        <f>VLOOKUP(A24,'Diags Raw Data'!$A$6:$D$3678,4,FALSE)</f>
        <v>IOM</v>
      </c>
      <c r="F24" s="333" t="str">
        <f>VLOOKUP(A24,'Feature Raw Data'!$A$3:$E$3951,5,FALSE)</f>
        <v>Legacy</v>
      </c>
      <c r="G24" s="333" t="str">
        <f t="shared" si="0"/>
        <v>Yes</v>
      </c>
      <c r="H24" s="333" t="str">
        <f t="shared" si="1"/>
        <v>Yes</v>
      </c>
      <c r="I24" s="413">
        <f>SUMIF('Diags Raw Data'!$A$6:$A$3678,"*"&amp;$A24&amp;"*",'Diags Raw Data'!$K$6:$K$3678)</f>
        <v>1</v>
      </c>
      <c r="J24" s="415">
        <f>SUMIF('Diags Raw Data'!$A$6:$A$3678,"*"&amp;$A24&amp;"*",'Diags Raw Data'!$L$6:$L$3678)</f>
        <v>4</v>
      </c>
      <c r="K24" s="445" cm="1">
        <f t="array" ref="K24">IF(D24="",0, SUMPRODUCT(--(ISNUMBER(SEARCH($A24,'Diags Raw Data'!$A$6:$A$3678))),'Diags Raw Data'!$L$6:$L$3678,'Diags Raw Data'!$N$6:$N$3678)/J24)</f>
        <v>1</v>
      </c>
      <c r="L24" s="446" cm="1">
        <f t="array" ref="L24">IF(D24="",0, SUMPRODUCT(--(ISNUMBER(SEARCH($A24,'Diags Raw Data'!$A$6:$A$3678))),'Diags Raw Data'!$L$6:$L$3678,'Diags Raw Data'!$P$6:$P$3678)/J24)</f>
        <v>1</v>
      </c>
      <c r="M24" s="447" cm="1">
        <f t="array" ref="M24">SUMPRODUCT(--(ISNUMBER(SEARCH($A24,'Diags Raw Data'!$A$6:$A$3678))),--('Diags Raw Data'!$Q$6:$Q$3678&lt;&gt;"N/A"),'Diags Raw Data'!$R$6:$R$3678)</f>
        <v>4</v>
      </c>
      <c r="N24" s="448" cm="1">
        <f t="array" ref="N24">SUMPRODUCT(--(ISNUMBER(SEARCH($A24,'Diags Raw Data'!$A$6:$A$3678))),--('Diags Raw Data'!$Q$6:$Q$3678&lt;&gt;"N/A"),'Diags Raw Data'!$T$6:$T$3678)+SUMPRODUCT(--(ISNUMBER(SEARCH($A24,'Diags Raw Data'!$A$6:$A$3678))),--('Diags Raw Data'!$Q$6:$Q$3678&lt;&gt;"N/A"),'Diags Raw Data'!$U$6:$U$3678)</f>
        <v>4</v>
      </c>
      <c r="O24" s="449">
        <f t="shared" si="2"/>
        <v>1</v>
      </c>
      <c r="P24" s="450">
        <f>SUMIF('Diags Raw Data'!$A$6:$A$3678,"*"&amp;$A24&amp;"*",'Diags Raw Data'!$Z$6:$Z$3678)</f>
        <v>0</v>
      </c>
      <c r="Q24" s="451">
        <f>SUM(SUMIF('Diags Raw Data'!$A$6:$A$3678,"*"&amp;$A24&amp;"*",'Diags Raw Data'!$AA$6:$AA$3678),SUMIF('Diags Raw Data'!$A$6:$A$3678,"*"&amp;$A24&amp;"*",'Diags Raw Data'!$AB$6:$AB$3678))</f>
        <v>0</v>
      </c>
      <c r="R24" s="452">
        <f t="shared" si="3"/>
        <v>0</v>
      </c>
      <c r="S24" s="452">
        <f t="shared" si="4"/>
        <v>0</v>
      </c>
      <c r="T24" s="453">
        <f t="shared" si="5"/>
        <v>0</v>
      </c>
      <c r="U24" s="500" t="s">
        <v>510</v>
      </c>
      <c r="V24" s="181"/>
    </row>
    <row r="25" spans="1:22" ht="15.75" thickBot="1" x14ac:dyDescent="0.3">
      <c r="A25" s="406" t="s">
        <v>382</v>
      </c>
      <c r="B25" s="407" t="str">
        <f>VLOOKUP(A25,'Feature Raw Data'!$A$3:$B$3951,2,FALSE)</f>
        <v xml:space="preserve">Interrupt Delivery Through SMN </v>
      </c>
      <c r="C25" s="413" t="str">
        <f>VLOOKUP(A25,'Feature Raw Data'!$A$3:$C$3951,3,FALSE)</f>
        <v>P3</v>
      </c>
      <c r="D25" s="414" t="str" cm="1">
        <f t="array" ref="D25">_xlfn.TEXTJOIN("",TRUE,IF(ISNUMBER(SEARCH($A25,'Diags Raw Data'!$A$6:$A$3678)),CONCATENATE('Diags Raw Data'!$H$6:$H$3678,", "),""))</f>
        <v xml:space="preserve">FEAT_19.1-3, </v>
      </c>
      <c r="E25" s="333" t="str">
        <f>VLOOKUP(A25,'Diags Raw Data'!$A$6:$D$3678,4,FALSE)</f>
        <v>PIE</v>
      </c>
      <c r="F25" s="333" t="str">
        <f>VLOOKUP(A25,'Feature Raw Data'!$A$3:$E$3951,5,FALSE)</f>
        <v>Legacy</v>
      </c>
      <c r="G25" s="333" t="str">
        <f t="shared" si="0"/>
        <v>Yes</v>
      </c>
      <c r="H25" s="333" t="str">
        <f t="shared" si="1"/>
        <v>Yes</v>
      </c>
      <c r="I25" s="413">
        <f>SUMIF('Diags Raw Data'!$A$6:$A$3678,"*"&amp;$A25&amp;"*",'Diags Raw Data'!$K$6:$K$3678)</f>
        <v>1</v>
      </c>
      <c r="J25" s="415">
        <f>SUMIF('Diags Raw Data'!$A$6:$A$3678,"*"&amp;$A25&amp;"*",'Diags Raw Data'!$L$6:$L$3678)</f>
        <v>3</v>
      </c>
      <c r="K25" s="445" cm="1">
        <f t="array" ref="K25">IF(D25="",0, SUMPRODUCT(--(ISNUMBER(SEARCH($A25,'Diags Raw Data'!$A$6:$A$3678))),'Diags Raw Data'!$L$6:$L$3678,'Diags Raw Data'!$N$6:$N$3678)/J25)</f>
        <v>1</v>
      </c>
      <c r="L25" s="446" cm="1">
        <f t="array" ref="L25">IF(D25="",0, SUMPRODUCT(--(ISNUMBER(SEARCH($A25,'Diags Raw Data'!$A$6:$A$3678))),'Diags Raw Data'!$L$6:$L$3678,'Diags Raw Data'!$P$6:$P$3678)/J25)</f>
        <v>1</v>
      </c>
      <c r="M25" s="447" cm="1">
        <f t="array" ref="M25">SUMPRODUCT(--(ISNUMBER(SEARCH($A25,'Diags Raw Data'!$A$6:$A$3678))),--('Diags Raw Data'!$Q$6:$Q$3678&lt;&gt;"N/A"),'Diags Raw Data'!$R$6:$R$3678)</f>
        <v>3</v>
      </c>
      <c r="N25" s="448" cm="1">
        <f t="array" ref="N25">SUMPRODUCT(--(ISNUMBER(SEARCH($A25,'Diags Raw Data'!$A$6:$A$3678))),--('Diags Raw Data'!$Q$6:$Q$3678&lt;&gt;"N/A"),'Diags Raw Data'!$T$6:$T$3678)+SUMPRODUCT(--(ISNUMBER(SEARCH($A25,'Diags Raw Data'!$A$6:$A$3678))),--('Diags Raw Data'!$Q$6:$Q$3678&lt;&gt;"N/A"),'Diags Raw Data'!$U$6:$U$3678)</f>
        <v>3</v>
      </c>
      <c r="O25" s="449">
        <f t="shared" si="2"/>
        <v>1</v>
      </c>
      <c r="P25" s="450">
        <f>SUMIF('Diags Raw Data'!$A$6:$A$3678,"*"&amp;$A25&amp;"*",'Diags Raw Data'!$Z$6:$Z$3678)</f>
        <v>0</v>
      </c>
      <c r="Q25" s="451">
        <f>SUM(SUMIF('Diags Raw Data'!$A$6:$A$3678,"*"&amp;$A25&amp;"*",'Diags Raw Data'!$AA$6:$AA$3678),SUMIF('Diags Raw Data'!$A$6:$A$3678,"*"&amp;$A25&amp;"*",'Diags Raw Data'!$AB$6:$AB$3678))</f>
        <v>0</v>
      </c>
      <c r="R25" s="452">
        <f t="shared" si="3"/>
        <v>0</v>
      </c>
      <c r="S25" s="452">
        <f t="shared" si="4"/>
        <v>0</v>
      </c>
      <c r="T25" s="453">
        <f t="shared" si="5"/>
        <v>0</v>
      </c>
      <c r="U25" s="500" t="s">
        <v>511</v>
      </c>
      <c r="V25" s="181"/>
    </row>
    <row r="26" spans="1:22" ht="15.75" thickBot="1" x14ac:dyDescent="0.3">
      <c r="A26" s="406" t="s">
        <v>386</v>
      </c>
      <c r="B26" s="407" t="str">
        <f>VLOOKUP(A26,'Feature Raw Data'!$A$3:$B$3951,2,FALSE)</f>
        <v>Large Reads</v>
      </c>
      <c r="C26" s="413" t="str">
        <f>VLOOKUP(A26,'Feature Raw Data'!$A$3:$C$3951,3,FALSE)</f>
        <v>P1</v>
      </c>
      <c r="D26" s="414" t="str" cm="1">
        <f t="array" ref="D26">_xlfn.TEXTJOIN("",TRUE,IF(ISNUMBER(SEARCH($A26,'Diags Raw Data'!$A$6:$A$3678)),CONCATENATE('Diags Raw Data'!$H$6:$H$3678,", "),""))</f>
        <v xml:space="preserve">FEAT_20, </v>
      </c>
      <c r="E26" s="333" t="str">
        <f>VLOOKUP(A26,'Diags Raw Data'!$A$6:$D$3678,4,FALSE)</f>
        <v>IOM</v>
      </c>
      <c r="F26" s="333" t="str">
        <f>VLOOKUP(A26,'Feature Raw Data'!$A$3:$E$3951,5,FALSE)</f>
        <v>Legacy</v>
      </c>
      <c r="G26" s="333" t="str">
        <f t="shared" si="0"/>
        <v>Yes</v>
      </c>
      <c r="H26" s="333" t="str">
        <f t="shared" si="1"/>
        <v>Yes</v>
      </c>
      <c r="I26" s="413">
        <f>SUMIF('Diags Raw Data'!$A$6:$A$3678,"*"&amp;$A26&amp;"*",'Diags Raw Data'!$K$6:$K$3678)</f>
        <v>1</v>
      </c>
      <c r="J26" s="415">
        <f>SUMIF('Diags Raw Data'!$A$6:$A$3678,"*"&amp;$A26&amp;"*",'Diags Raw Data'!$L$6:$L$3678)</f>
        <v>1</v>
      </c>
      <c r="K26" s="445" cm="1">
        <f t="array" ref="K26">IF(D26="",0, SUMPRODUCT(--(ISNUMBER(SEARCH($A26,'Diags Raw Data'!$A$6:$A$3678))),'Diags Raw Data'!$L$6:$L$3678,'Diags Raw Data'!$N$6:$N$3678)/J26)</f>
        <v>1</v>
      </c>
      <c r="L26" s="446" cm="1">
        <f t="array" ref="L26">IF(D26="",0, SUMPRODUCT(--(ISNUMBER(SEARCH($A26,'Diags Raw Data'!$A$6:$A$3678))),'Diags Raw Data'!$L$6:$L$3678,'Diags Raw Data'!$P$6:$P$3678)/J26)</f>
        <v>1</v>
      </c>
      <c r="M26" s="447" cm="1">
        <f t="array" ref="M26">SUMPRODUCT(--(ISNUMBER(SEARCH($A26,'Diags Raw Data'!$A$6:$A$3678))),--('Diags Raw Data'!$Q$6:$Q$3678&lt;&gt;"N/A"),'Diags Raw Data'!$R$6:$R$3678)</f>
        <v>1</v>
      </c>
      <c r="N26" s="448" cm="1">
        <f t="array" ref="N26">SUMPRODUCT(--(ISNUMBER(SEARCH($A26,'Diags Raw Data'!$A$6:$A$3678))),--('Diags Raw Data'!$Q$6:$Q$3678&lt;&gt;"N/A"),'Diags Raw Data'!$T$6:$T$3678)+SUMPRODUCT(--(ISNUMBER(SEARCH($A26,'Diags Raw Data'!$A$6:$A$3678))),--('Diags Raw Data'!$Q$6:$Q$3678&lt;&gt;"N/A"),'Diags Raw Data'!$U$6:$U$3678)</f>
        <v>1</v>
      </c>
      <c r="O26" s="449">
        <f t="shared" si="2"/>
        <v>1</v>
      </c>
      <c r="P26" s="450">
        <f>SUMIF('Diags Raw Data'!$A$6:$A$3678,"*"&amp;$A26&amp;"*",'Diags Raw Data'!$Z$6:$Z$3678)</f>
        <v>0</v>
      </c>
      <c r="Q26" s="451">
        <f>SUM(SUMIF('Diags Raw Data'!$A$6:$A$3678,"*"&amp;$A26&amp;"*",'Diags Raw Data'!$AA$6:$AA$3678),SUMIF('Diags Raw Data'!$A$6:$A$3678,"*"&amp;$A26&amp;"*",'Diags Raw Data'!$AB$6:$AB$3678))</f>
        <v>0</v>
      </c>
      <c r="R26" s="452">
        <f t="shared" si="3"/>
        <v>0</v>
      </c>
      <c r="S26" s="452">
        <f t="shared" si="4"/>
        <v>0</v>
      </c>
      <c r="T26" s="453">
        <f t="shared" si="5"/>
        <v>0</v>
      </c>
      <c r="U26" s="500" t="s">
        <v>484</v>
      </c>
      <c r="V26" s="181"/>
    </row>
    <row r="27" spans="1:22" ht="15.75" thickBot="1" x14ac:dyDescent="0.3">
      <c r="A27" s="406" t="s">
        <v>389</v>
      </c>
      <c r="B27" s="407" t="str">
        <f>VLOOKUP(A27,'Feature Raw Data'!$A$3:$B$3951,2,FALSE)</f>
        <v xml:space="preserve">MemCancels </v>
      </c>
      <c r="C27" s="413" t="str">
        <f>VLOOKUP(A27,'Feature Raw Data'!$A$3:$C$3951,3,FALSE)</f>
        <v>P3</v>
      </c>
      <c r="D27" s="414" t="str" cm="1">
        <f t="array" ref="D27">_xlfn.TEXTJOIN("",TRUE,IF(ISNUMBER(SEARCH($A27,'Diags Raw Data'!$A$6:$A$3678)),CONCATENATE('Diags Raw Data'!$H$6:$H$3678,", "),""))</f>
        <v xml:space="preserve">FEAT_21, </v>
      </c>
      <c r="E27" s="333" t="str">
        <f>VLOOKUP(A27,'Diags Raw Data'!$A$6:$D$3678,4,FALSE)</f>
        <v>CS</v>
      </c>
      <c r="F27" s="333" t="str">
        <f>VLOOKUP(A27,'Feature Raw Data'!$A$3:$E$3951,5,FALSE)</f>
        <v>Legacy</v>
      </c>
      <c r="G27" s="333" t="str">
        <f t="shared" si="0"/>
        <v>Yes</v>
      </c>
      <c r="H27" s="333" t="str">
        <f t="shared" si="1"/>
        <v>Yes</v>
      </c>
      <c r="I27" s="413">
        <f>SUMIF('Diags Raw Data'!$A$6:$A$3678,"*"&amp;$A27&amp;"*",'Diags Raw Data'!$K$6:$K$3678)</f>
        <v>1</v>
      </c>
      <c r="J27" s="415">
        <f>SUMIF('Diags Raw Data'!$A$6:$A$3678,"*"&amp;$A27&amp;"*",'Diags Raw Data'!$L$6:$L$3678)</f>
        <v>1</v>
      </c>
      <c r="K27" s="445" cm="1">
        <f t="array" ref="K27">IF(D27="",0, SUMPRODUCT(--(ISNUMBER(SEARCH($A27,'Diags Raw Data'!$A$6:$A$3678))),'Diags Raw Data'!$L$6:$L$3678,'Diags Raw Data'!$N$6:$N$3678)/J27)</f>
        <v>1</v>
      </c>
      <c r="L27" s="446" cm="1">
        <f t="array" ref="L27">IF(D27="",0, SUMPRODUCT(--(ISNUMBER(SEARCH($A27,'Diags Raw Data'!$A$6:$A$3678))),'Diags Raw Data'!$L$6:$L$3678,'Diags Raw Data'!$P$6:$P$3678)/J27)</f>
        <v>1</v>
      </c>
      <c r="M27" s="447" cm="1">
        <f t="array" ref="M27">SUMPRODUCT(--(ISNUMBER(SEARCH($A27,'Diags Raw Data'!$A$6:$A$3678))),--('Diags Raw Data'!$Q$6:$Q$3678&lt;&gt;"N/A"),'Diags Raw Data'!$R$6:$R$3678)</f>
        <v>1</v>
      </c>
      <c r="N27" s="448" cm="1">
        <f t="array" ref="N27">SUMPRODUCT(--(ISNUMBER(SEARCH($A27,'Diags Raw Data'!$A$6:$A$3678))),--('Diags Raw Data'!$Q$6:$Q$3678&lt;&gt;"N/A"),'Diags Raw Data'!$T$6:$T$3678)+SUMPRODUCT(--(ISNUMBER(SEARCH($A27,'Diags Raw Data'!$A$6:$A$3678))),--('Diags Raw Data'!$Q$6:$Q$3678&lt;&gt;"N/A"),'Diags Raw Data'!$U$6:$U$3678)</f>
        <v>1</v>
      </c>
      <c r="O27" s="449">
        <f t="shared" si="2"/>
        <v>1</v>
      </c>
      <c r="P27" s="450">
        <f>SUMIF('Diags Raw Data'!$A$6:$A$3678,"*"&amp;$A27&amp;"*",'Diags Raw Data'!$Z$6:$Z$3678)</f>
        <v>0</v>
      </c>
      <c r="Q27" s="451">
        <f>SUM(SUMIF('Diags Raw Data'!$A$6:$A$3678,"*"&amp;$A27&amp;"*",'Diags Raw Data'!$AA$6:$AA$3678),SUMIF('Diags Raw Data'!$A$6:$A$3678,"*"&amp;$A27&amp;"*",'Diags Raw Data'!$AB$6:$AB$3678))</f>
        <v>0</v>
      </c>
      <c r="R27" s="452">
        <f t="shared" si="3"/>
        <v>0</v>
      </c>
      <c r="S27" s="452">
        <f t="shared" si="4"/>
        <v>0</v>
      </c>
      <c r="T27" s="453">
        <f t="shared" si="5"/>
        <v>0</v>
      </c>
      <c r="U27" s="500" t="s">
        <v>511</v>
      </c>
      <c r="V27" s="181"/>
    </row>
    <row r="28" spans="1:22" ht="15.75" thickBot="1" x14ac:dyDescent="0.3">
      <c r="A28" s="406" t="s">
        <v>391</v>
      </c>
      <c r="B28" s="407" t="str">
        <f>VLOOKUP(A28,'Feature Raw Data'!$A$3:$B$3951,2,FALSE)</f>
        <v xml:space="preserve">Multiple TCDX Pickers </v>
      </c>
      <c r="C28" s="413" t="str">
        <f>VLOOKUP(A28,'Feature Raw Data'!$A$3:$C$3951,3,FALSE)</f>
        <v>P1</v>
      </c>
      <c r="D28" s="414" t="str" cm="1">
        <f t="array" ref="D28">_xlfn.TEXTJOIN("",TRUE,IF(ISNUMBER(SEARCH($A28,'Diags Raw Data'!$A$6:$A$3678)),CONCATENATE('Diags Raw Data'!$H$6:$H$3678,", "),""))</f>
        <v xml:space="preserve">FEAT_22, </v>
      </c>
      <c r="E28" s="333" t="str">
        <f>VLOOKUP(A28,'Diags Raw Data'!$A$6:$D$3678,4,FALSE)</f>
        <v>DF</v>
      </c>
      <c r="F28" s="333" t="str">
        <f>VLOOKUP(A28,'Feature Raw Data'!$A$3:$E$3951,5,FALSE)</f>
        <v>Legacy</v>
      </c>
      <c r="G28" s="333" t="str">
        <f t="shared" si="0"/>
        <v>Yes</v>
      </c>
      <c r="H28" s="333" t="str">
        <f t="shared" si="1"/>
        <v>Yes</v>
      </c>
      <c r="I28" s="413">
        <f>SUMIF('Diags Raw Data'!$A$6:$A$3678,"*"&amp;$A28&amp;"*",'Diags Raw Data'!$K$6:$K$3678)</f>
        <v>1</v>
      </c>
      <c r="J28" s="415">
        <f>SUMIF('Diags Raw Data'!$A$6:$A$3678,"*"&amp;$A28&amp;"*",'Diags Raw Data'!$L$6:$L$3678)</f>
        <v>1</v>
      </c>
      <c r="K28" s="445" cm="1">
        <f t="array" ref="K28">IF(D28="",0, SUMPRODUCT(--(ISNUMBER(SEARCH($A28,'Diags Raw Data'!$A$6:$A$3678))),'Diags Raw Data'!$L$6:$L$3678,'Diags Raw Data'!$N$6:$N$3678)/J28)</f>
        <v>1</v>
      </c>
      <c r="L28" s="446" cm="1">
        <f t="array" ref="L28">IF(D28="",0, SUMPRODUCT(--(ISNUMBER(SEARCH($A28,'Diags Raw Data'!$A$6:$A$3678))),'Diags Raw Data'!$L$6:$L$3678,'Diags Raw Data'!$P$6:$P$3678)/J28)</f>
        <v>1</v>
      </c>
      <c r="M28" s="447" cm="1">
        <f t="array" ref="M28">SUMPRODUCT(--(ISNUMBER(SEARCH($A28,'Diags Raw Data'!$A$6:$A$3678))),--('Diags Raw Data'!$Q$6:$Q$3678&lt;&gt;"N/A"),'Diags Raw Data'!$R$6:$R$3678)</f>
        <v>1</v>
      </c>
      <c r="N28" s="448" cm="1">
        <f t="array" ref="N28">SUMPRODUCT(--(ISNUMBER(SEARCH($A28,'Diags Raw Data'!$A$6:$A$3678))),--('Diags Raw Data'!$Q$6:$Q$3678&lt;&gt;"N/A"),'Diags Raw Data'!$T$6:$T$3678)+SUMPRODUCT(--(ISNUMBER(SEARCH($A28,'Diags Raw Data'!$A$6:$A$3678))),--('Diags Raw Data'!$Q$6:$Q$3678&lt;&gt;"N/A"),'Diags Raw Data'!$U$6:$U$3678)</f>
        <v>1</v>
      </c>
      <c r="O28" s="449">
        <f t="shared" si="2"/>
        <v>1</v>
      </c>
      <c r="P28" s="450">
        <f>SUMIF('Diags Raw Data'!$A$6:$A$3678,"*"&amp;$A28&amp;"*",'Diags Raw Data'!$Z$6:$Z$3678)</f>
        <v>0</v>
      </c>
      <c r="Q28" s="451">
        <f>SUM(SUMIF('Diags Raw Data'!$A$6:$A$3678,"*"&amp;$A28&amp;"*",'Diags Raw Data'!$AA$6:$AA$3678),SUMIF('Diags Raw Data'!$A$6:$A$3678,"*"&amp;$A28&amp;"*",'Diags Raw Data'!$AB$6:$AB$3678))</f>
        <v>0</v>
      </c>
      <c r="R28" s="452">
        <f t="shared" si="3"/>
        <v>0</v>
      </c>
      <c r="S28" s="452">
        <f t="shared" si="4"/>
        <v>0</v>
      </c>
      <c r="T28" s="453">
        <f t="shared" si="5"/>
        <v>0</v>
      </c>
      <c r="U28" s="500" t="s">
        <v>511</v>
      </c>
      <c r="V28" s="181"/>
    </row>
    <row r="29" spans="1:22" ht="15.75" thickBot="1" x14ac:dyDescent="0.3">
      <c r="A29" s="406" t="s">
        <v>393</v>
      </c>
      <c r="B29" s="407" t="str">
        <f>VLOOKUP(A29,'Feature Raw Data'!$A$3:$B$3951,2,FALSE)</f>
        <v>PCI IO/Configuration Splitting</v>
      </c>
      <c r="C29" s="413" t="str">
        <f>VLOOKUP(A29,'Feature Raw Data'!$A$3:$C$3951,3,FALSE)</f>
        <v>P3</v>
      </c>
      <c r="D29" s="414" t="str" cm="1">
        <f t="array" ref="D29">_xlfn.TEXTJOIN("",TRUE,IF(ISNUMBER(SEARCH($A29,'Diags Raw Data'!$A$6:$A$3678)),CONCATENATE('Diags Raw Data'!$H$6:$H$3678,", "),""))</f>
        <v xml:space="preserve">FEAT_23, </v>
      </c>
      <c r="E29" s="333" t="str">
        <f>VLOOKUP(A29,'Diags Raw Data'!$A$6:$D$3678,4,FALSE)</f>
        <v>CCM</v>
      </c>
      <c r="F29" s="333" t="str">
        <f>VLOOKUP(A29,'Feature Raw Data'!$A$3:$E$3951,5,FALSE)</f>
        <v>Legacy</v>
      </c>
      <c r="G29" s="333" t="str">
        <f t="shared" si="0"/>
        <v>Yes</v>
      </c>
      <c r="H29" s="333" t="str">
        <f t="shared" si="1"/>
        <v>Yes</v>
      </c>
      <c r="I29" s="413">
        <f>SUMIF('Diags Raw Data'!$A$6:$A$3678,"*"&amp;$A29&amp;"*",'Diags Raw Data'!$K$6:$K$3678)</f>
        <v>1</v>
      </c>
      <c r="J29" s="415">
        <f>SUMIF('Diags Raw Data'!$A$6:$A$3678,"*"&amp;$A29&amp;"*",'Diags Raw Data'!$L$6:$L$3678)</f>
        <v>1</v>
      </c>
      <c r="K29" s="445" cm="1">
        <f t="array" ref="K29">IF(D29="",0, SUMPRODUCT(--(ISNUMBER(SEARCH($A29,'Diags Raw Data'!$A$6:$A$3678))),'Diags Raw Data'!$L$6:$L$3678,'Diags Raw Data'!$N$6:$N$3678)/J29)</f>
        <v>1</v>
      </c>
      <c r="L29" s="446" cm="1">
        <f t="array" ref="L29">IF(D29="",0, SUMPRODUCT(--(ISNUMBER(SEARCH($A29,'Diags Raw Data'!$A$6:$A$3678))),'Diags Raw Data'!$L$6:$L$3678,'Diags Raw Data'!$P$6:$P$3678)/J29)</f>
        <v>1</v>
      </c>
      <c r="M29" s="447" cm="1">
        <f t="array" ref="M29">SUMPRODUCT(--(ISNUMBER(SEARCH($A29,'Diags Raw Data'!$A$6:$A$3678))),--('Diags Raw Data'!$Q$6:$Q$3678&lt;&gt;"N/A"),'Diags Raw Data'!$R$6:$R$3678)</f>
        <v>1</v>
      </c>
      <c r="N29" s="448" cm="1">
        <f t="array" ref="N29">SUMPRODUCT(--(ISNUMBER(SEARCH($A29,'Diags Raw Data'!$A$6:$A$3678))),--('Diags Raw Data'!$Q$6:$Q$3678&lt;&gt;"N/A"),'Diags Raw Data'!$T$6:$T$3678)+SUMPRODUCT(--(ISNUMBER(SEARCH($A29,'Diags Raw Data'!$A$6:$A$3678))),--('Diags Raw Data'!$Q$6:$Q$3678&lt;&gt;"N/A"),'Diags Raw Data'!$U$6:$U$3678)</f>
        <v>1</v>
      </c>
      <c r="O29" s="449">
        <f t="shared" si="2"/>
        <v>1</v>
      </c>
      <c r="P29" s="450">
        <f>SUMIF('Diags Raw Data'!$A$6:$A$3678,"*"&amp;$A29&amp;"*",'Diags Raw Data'!$Z$6:$Z$3678)</f>
        <v>0</v>
      </c>
      <c r="Q29" s="451">
        <f>SUM(SUMIF('Diags Raw Data'!$A$6:$A$3678,"*"&amp;$A29&amp;"*",'Diags Raw Data'!$AA$6:$AA$3678),SUMIF('Diags Raw Data'!$A$6:$A$3678,"*"&amp;$A29&amp;"*",'Diags Raw Data'!$AB$6:$AB$3678))</f>
        <v>0</v>
      </c>
      <c r="R29" s="452">
        <f t="shared" si="3"/>
        <v>0</v>
      </c>
      <c r="S29" s="452">
        <f t="shared" si="4"/>
        <v>0</v>
      </c>
      <c r="T29" s="453">
        <f t="shared" si="5"/>
        <v>0</v>
      </c>
      <c r="U29" s="500" t="s">
        <v>513</v>
      </c>
      <c r="V29" s="181"/>
    </row>
    <row r="30" spans="1:22" ht="15.75" thickBot="1" x14ac:dyDescent="0.3">
      <c r="A30" s="406" t="s">
        <v>397</v>
      </c>
      <c r="B30" s="407" t="str">
        <f>VLOOKUP(A30,'Feature Raw Data'!$A$3:$B$3951,2,FALSE)</f>
        <v>Performance Monitors</v>
      </c>
      <c r="C30" s="413" t="str">
        <f>VLOOKUP(A30,'Feature Raw Data'!$A$3:$C$3951,3,FALSE)</f>
        <v>P2</v>
      </c>
      <c r="D30" s="414" t="str" cm="1">
        <f t="array" ref="D30">_xlfn.TEXTJOIN("",TRUE,IF(ISNUMBER(SEARCH($A30,'Diags Raw Data'!$A$6:$A$3678)),CONCATENATE('Diags Raw Data'!$H$6:$H$3678,", "),""))</f>
        <v xml:space="preserve">FEAT_24, </v>
      </c>
      <c r="E30" s="333" t="str">
        <f>VLOOKUP(A30,'Diags Raw Data'!$A$6:$D$3678,4,FALSE)</f>
        <v>DF</v>
      </c>
      <c r="F30" s="333" t="str">
        <f>VLOOKUP(A30,'Feature Raw Data'!$A$3:$E$3951,5,FALSE)</f>
        <v>Legacy</v>
      </c>
      <c r="G30" s="333" t="str">
        <f t="shared" si="0"/>
        <v>Yes</v>
      </c>
      <c r="H30" s="333" t="str">
        <f t="shared" si="1"/>
        <v>Yes</v>
      </c>
      <c r="I30" s="413">
        <f>SUMIF('Diags Raw Data'!$A$6:$A$3678,"*"&amp;$A30&amp;"*",'Diags Raw Data'!$K$6:$K$3678)</f>
        <v>1</v>
      </c>
      <c r="J30" s="415">
        <f>SUMIF('Diags Raw Data'!$A$6:$A$3678,"*"&amp;$A30&amp;"*",'Diags Raw Data'!$L$6:$L$3678)</f>
        <v>1</v>
      </c>
      <c r="K30" s="445" cm="1">
        <f t="array" ref="K30">IF(D30="",0, SUMPRODUCT(--(ISNUMBER(SEARCH($A30,'Diags Raw Data'!$A$6:$A$3678))),'Diags Raw Data'!$L$6:$L$3678,'Diags Raw Data'!$N$6:$N$3678)/J30)</f>
        <v>1</v>
      </c>
      <c r="L30" s="446" cm="1">
        <f t="array" ref="L30">IF(D30="",0, SUMPRODUCT(--(ISNUMBER(SEARCH($A30,'Diags Raw Data'!$A$6:$A$3678))),'Diags Raw Data'!$L$6:$L$3678,'Diags Raw Data'!$P$6:$P$3678)/J30)</f>
        <v>1</v>
      </c>
      <c r="M30" s="447" cm="1">
        <f t="array" ref="M30">SUMPRODUCT(--(ISNUMBER(SEARCH($A30,'Diags Raw Data'!$A$6:$A$3678))),--('Diags Raw Data'!$Q$6:$Q$3678&lt;&gt;"N/A"),'Diags Raw Data'!$R$6:$R$3678)</f>
        <v>1</v>
      </c>
      <c r="N30" s="448" cm="1">
        <f t="array" ref="N30">SUMPRODUCT(--(ISNUMBER(SEARCH($A30,'Diags Raw Data'!$A$6:$A$3678))),--('Diags Raw Data'!$Q$6:$Q$3678&lt;&gt;"N/A"),'Diags Raw Data'!$T$6:$T$3678)+SUMPRODUCT(--(ISNUMBER(SEARCH($A30,'Diags Raw Data'!$A$6:$A$3678))),--('Diags Raw Data'!$Q$6:$Q$3678&lt;&gt;"N/A"),'Diags Raw Data'!$U$6:$U$3678)</f>
        <v>1</v>
      </c>
      <c r="O30" s="449">
        <f>IF((M30=0),0,N30/M30)</f>
        <v>1</v>
      </c>
      <c r="P30" s="450">
        <f>SUMIF('Diags Raw Data'!$A$6:$A$3678,"*"&amp;$A30&amp;"*",'Diags Raw Data'!$Z$6:$Z$3678)</f>
        <v>0</v>
      </c>
      <c r="Q30" s="451">
        <f>SUM(SUMIF('Diags Raw Data'!$A$6:$A$3678,"*"&amp;$A30&amp;"*",'Diags Raw Data'!$AA$6:$AA$3678),SUMIF('Diags Raw Data'!$A$6:$A$3678,"*"&amp;$A30&amp;"*",'Diags Raw Data'!$AB$6:$AB$3678))</f>
        <v>0</v>
      </c>
      <c r="R30" s="452">
        <f>IF((J30=0),0,P30/J30)</f>
        <v>0</v>
      </c>
      <c r="S30" s="452">
        <f>IF((P30=0),0,Q30/P30)</f>
        <v>0</v>
      </c>
      <c r="T30" s="453">
        <f>R30*S30</f>
        <v>0</v>
      </c>
      <c r="U30" s="500" t="s">
        <v>510</v>
      </c>
      <c r="V30" s="181"/>
    </row>
    <row r="31" spans="1:22" ht="15.75" thickBot="1" x14ac:dyDescent="0.3">
      <c r="A31" s="406" t="s">
        <v>400</v>
      </c>
      <c r="B31" s="407" t="str">
        <f>VLOOKUP(A31,'Feature Raw Data'!$A$3:$B$3951,2,FALSE)</f>
        <v>Power Gate During DF C-states</v>
      </c>
      <c r="C31" s="413" t="str">
        <f>VLOOKUP(A31,'Feature Raw Data'!$A$3:$C$3951,3,FALSE)</f>
        <v>P2</v>
      </c>
      <c r="D31" s="414" t="str" cm="1">
        <f t="array" ref="D31">_xlfn.TEXTJOIN("",TRUE,IF(ISNUMBER(SEARCH($A31,'Diags Raw Data'!$A$6:$A$3678)),CONCATENATE('Diags Raw Data'!$H$6:$H$3678,", "),""))</f>
        <v xml:space="preserve">FEAT_25, </v>
      </c>
      <c r="E31" s="333" t="str">
        <f>VLOOKUP(A31,'Diags Raw Data'!$A$6:$D$3678,4,FALSE)</f>
        <v>PIE</v>
      </c>
      <c r="F31" s="333" t="str">
        <f>VLOOKUP(A31,'Feature Raw Data'!$A$3:$E$3951,5,FALSE)</f>
        <v>Legacy</v>
      </c>
      <c r="G31" s="333" t="str">
        <f t="shared" si="0"/>
        <v>Yes</v>
      </c>
      <c r="H31" s="333" t="str">
        <f t="shared" si="1"/>
        <v>Yes</v>
      </c>
      <c r="I31" s="413">
        <f>SUMIF('Diags Raw Data'!$A$6:$A$3678,"*"&amp;$A31&amp;"*",'Diags Raw Data'!$K$6:$K$3678)</f>
        <v>1</v>
      </c>
      <c r="J31" s="415">
        <f>SUMIF('Diags Raw Data'!$A$6:$A$3678,"*"&amp;$A31&amp;"*",'Diags Raw Data'!$L$6:$L$3678)</f>
        <v>1</v>
      </c>
      <c r="K31" s="445" cm="1">
        <f t="array" ref="K31">IF(D31="",0, SUMPRODUCT(--(ISNUMBER(SEARCH($A31,'Diags Raw Data'!$A$6:$A$3678))),'Diags Raw Data'!$L$6:$L$3678,'Diags Raw Data'!$N$6:$N$3678)/J31)</f>
        <v>1</v>
      </c>
      <c r="L31" s="446" cm="1">
        <f t="array" ref="L31">IF(D31="",0, SUMPRODUCT(--(ISNUMBER(SEARCH($A31,'Diags Raw Data'!$A$6:$A$3678))),'Diags Raw Data'!$L$6:$L$3678,'Diags Raw Data'!$P$6:$P$3678)/J31)</f>
        <v>1</v>
      </c>
      <c r="M31" s="447" cm="1">
        <f t="array" ref="M31">SUMPRODUCT(--(ISNUMBER(SEARCH($A31,'Diags Raw Data'!$A$6:$A$3678))),--('Diags Raw Data'!$Q$6:$Q$3678&lt;&gt;"N/A"),'Diags Raw Data'!$R$6:$R$3678)</f>
        <v>1</v>
      </c>
      <c r="N31" s="448" cm="1">
        <f t="array" ref="N31">SUMPRODUCT(--(ISNUMBER(SEARCH($A31,'Diags Raw Data'!$A$6:$A$3678))),--('Diags Raw Data'!$Q$6:$Q$3678&lt;&gt;"N/A"),'Diags Raw Data'!$T$6:$T$3678)+SUMPRODUCT(--(ISNUMBER(SEARCH($A31,'Diags Raw Data'!$A$6:$A$3678))),--('Diags Raw Data'!$Q$6:$Q$3678&lt;&gt;"N/A"),'Diags Raw Data'!$U$6:$U$3678)</f>
        <v>1</v>
      </c>
      <c r="O31" s="449">
        <f t="shared" si="2"/>
        <v>1</v>
      </c>
      <c r="P31" s="450">
        <f>SUMIF('Diags Raw Data'!$A$6:$A$3678,"*"&amp;$A31&amp;"*",'Diags Raw Data'!$Z$6:$Z$3678)</f>
        <v>0</v>
      </c>
      <c r="Q31" s="451">
        <f>SUM(SUMIF('Diags Raw Data'!$A$6:$A$3678,"*"&amp;$A31&amp;"*",'Diags Raw Data'!$AA$6:$AA$3678),SUMIF('Diags Raw Data'!$A$6:$A$3678,"*"&amp;$A31&amp;"*",'Diags Raw Data'!$AB$6:$AB$3678))</f>
        <v>0</v>
      </c>
      <c r="R31" s="452">
        <f t="shared" si="3"/>
        <v>0</v>
      </c>
      <c r="S31" s="452">
        <f t="shared" si="4"/>
        <v>0</v>
      </c>
      <c r="T31" s="453">
        <f t="shared" si="5"/>
        <v>0</v>
      </c>
      <c r="U31" s="500" t="s">
        <v>513</v>
      </c>
      <c r="V31" s="181"/>
    </row>
    <row r="32" spans="1:22" ht="15.75" thickBot="1" x14ac:dyDescent="0.3">
      <c r="A32" s="406" t="s">
        <v>402</v>
      </c>
      <c r="B32" s="407" t="str">
        <f>VLOOKUP(A32,'Feature Raw Data'!$A$3:$B$3951,2,FALSE)</f>
        <v xml:space="preserve">Priority Pickers </v>
      </c>
      <c r="C32" s="413" t="str">
        <f>VLOOKUP(A32,'Feature Raw Data'!$A$3:$C$3951,3,FALSE)</f>
        <v>P1</v>
      </c>
      <c r="D32" s="414" t="str" cm="1">
        <f t="array" ref="D32">_xlfn.TEXTJOIN("",TRUE,IF(ISNUMBER(SEARCH($A32,'Diags Raw Data'!$A$6:$A$3678)),CONCATENATE('Diags Raw Data'!$H$6:$H$3678,", "),""))</f>
        <v xml:space="preserve">FEAT_26, </v>
      </c>
      <c r="E32" s="333" t="str">
        <f>VLOOKUP(A32,'Diags Raw Data'!$A$6:$D$3678,4,FALSE)</f>
        <v>DF_QOS</v>
      </c>
      <c r="F32" s="333" t="str">
        <f>VLOOKUP(A32,'Feature Raw Data'!$A$3:$E$3951,5,FALSE)</f>
        <v>Legacy</v>
      </c>
      <c r="G32" s="333" t="str">
        <f t="shared" si="0"/>
        <v>Yes</v>
      </c>
      <c r="H32" s="333" t="str">
        <f t="shared" si="1"/>
        <v>Yes</v>
      </c>
      <c r="I32" s="413">
        <f>SUMIF('Diags Raw Data'!$A$6:$A$3678,"*"&amp;$A32&amp;"*",'Diags Raw Data'!$K$6:$K$3678)</f>
        <v>1</v>
      </c>
      <c r="J32" s="415">
        <f>SUMIF('Diags Raw Data'!$A$6:$A$3678,"*"&amp;$A32&amp;"*",'Diags Raw Data'!$L$6:$L$3678)</f>
        <v>1</v>
      </c>
      <c r="K32" s="445" cm="1">
        <f t="array" ref="K32">IF(D32="",0, SUMPRODUCT(--(ISNUMBER(SEARCH($A32,'Diags Raw Data'!$A$6:$A$3678))),'Diags Raw Data'!$L$6:$L$3678,'Diags Raw Data'!$N$6:$N$3678)/J32)</f>
        <v>1</v>
      </c>
      <c r="L32" s="446" cm="1">
        <f t="array" ref="L32">IF(D32="",0, SUMPRODUCT(--(ISNUMBER(SEARCH($A32,'Diags Raw Data'!$A$6:$A$3678))),'Diags Raw Data'!$L$6:$L$3678,'Diags Raw Data'!$P$6:$P$3678)/J32)</f>
        <v>1</v>
      </c>
      <c r="M32" s="447" cm="1">
        <f t="array" ref="M32">SUMPRODUCT(--(ISNUMBER(SEARCH($A32,'Diags Raw Data'!$A$6:$A$3678))),--('Diags Raw Data'!$Q$6:$Q$3678&lt;&gt;"N/A"),'Diags Raw Data'!$R$6:$R$3678)</f>
        <v>1</v>
      </c>
      <c r="N32" s="448" cm="1">
        <f t="array" ref="N32">SUMPRODUCT(--(ISNUMBER(SEARCH($A32,'Diags Raw Data'!$A$6:$A$3678))),--('Diags Raw Data'!$Q$6:$Q$3678&lt;&gt;"N/A"),'Diags Raw Data'!$T$6:$T$3678)+SUMPRODUCT(--(ISNUMBER(SEARCH($A32,'Diags Raw Data'!$A$6:$A$3678))),--('Diags Raw Data'!$Q$6:$Q$3678&lt;&gt;"N/A"),'Diags Raw Data'!$U$6:$U$3678)</f>
        <v>1</v>
      </c>
      <c r="O32" s="449">
        <f t="shared" si="2"/>
        <v>1</v>
      </c>
      <c r="P32" s="450">
        <f>SUMIF('Diags Raw Data'!$A$6:$A$3678,"*"&amp;$A32&amp;"*",'Diags Raw Data'!$Z$6:$Z$3678)</f>
        <v>0</v>
      </c>
      <c r="Q32" s="451">
        <f>SUM(SUMIF('Diags Raw Data'!$A$6:$A$3678,"*"&amp;$A32&amp;"*",'Diags Raw Data'!$AA$6:$AA$3678),SUMIF('Diags Raw Data'!$A$6:$A$3678,"*"&amp;$A32&amp;"*",'Diags Raw Data'!$AB$6:$AB$3678))</f>
        <v>0</v>
      </c>
      <c r="R32" s="452">
        <f t="shared" si="3"/>
        <v>0</v>
      </c>
      <c r="S32" s="452">
        <f t="shared" si="4"/>
        <v>0</v>
      </c>
      <c r="T32" s="453">
        <f t="shared" si="5"/>
        <v>0</v>
      </c>
      <c r="U32" s="500" t="s">
        <v>510</v>
      </c>
      <c r="V32" s="181"/>
    </row>
    <row r="33" spans="1:22" ht="15.75" thickBot="1" x14ac:dyDescent="0.3">
      <c r="A33" s="406" t="s">
        <v>405</v>
      </c>
      <c r="B33" s="407" t="str">
        <f>VLOOKUP(A33,'Feature Raw Data'!$A$3:$B$3951,2,FALSE)</f>
        <v>Request Limiters</v>
      </c>
      <c r="C33" s="413" t="str">
        <f>VLOOKUP(A33,'Feature Raw Data'!$A$3:$C$3951,3,FALSE)</f>
        <v>P2</v>
      </c>
      <c r="D33" s="414" t="str" cm="1">
        <f t="array" ref="D33">_xlfn.TEXTJOIN("",TRUE,IF(ISNUMBER(SEARCH($A33,'Diags Raw Data'!$A$6:$A$3678)),CONCATENATE('Diags Raw Data'!$H$6:$H$3678,", "),""))</f>
        <v xml:space="preserve">FEAT_27.1-4, </v>
      </c>
      <c r="E33" s="333" t="str">
        <f>VLOOKUP(A33,'Diags Raw Data'!$A$6:$D$3678,4,FALSE)</f>
        <v>DF_QOS</v>
      </c>
      <c r="F33" s="333" t="str">
        <f>VLOOKUP(A33,'Feature Raw Data'!$A$3:$E$3951,5,FALSE)</f>
        <v>Legacy</v>
      </c>
      <c r="G33" s="333" t="str">
        <f t="shared" si="0"/>
        <v>Yes</v>
      </c>
      <c r="H33" s="333" t="str">
        <f t="shared" si="1"/>
        <v>Yes</v>
      </c>
      <c r="I33" s="413">
        <f>SUMIF('Diags Raw Data'!$A$6:$A$3678,"*"&amp;$A33&amp;"*",'Diags Raw Data'!$K$6:$K$3678)</f>
        <v>1</v>
      </c>
      <c r="J33" s="415">
        <f>SUMIF('Diags Raw Data'!$A$6:$A$3678,"*"&amp;$A33&amp;"*",'Diags Raw Data'!$L$6:$L$3678)</f>
        <v>4</v>
      </c>
      <c r="K33" s="445" cm="1">
        <f t="array" ref="K33">IF(D33="",0, SUMPRODUCT(--(ISNUMBER(SEARCH($A33,'Diags Raw Data'!$A$6:$A$3678))),'Diags Raw Data'!$L$6:$L$3678,'Diags Raw Data'!$N$6:$N$3678)/J33)</f>
        <v>1</v>
      </c>
      <c r="L33" s="446" cm="1">
        <f t="array" ref="L33">IF(D33="",0, SUMPRODUCT(--(ISNUMBER(SEARCH($A33,'Diags Raw Data'!$A$6:$A$3678))),'Diags Raw Data'!$L$6:$L$3678,'Diags Raw Data'!$P$6:$P$3678)/J33)</f>
        <v>1</v>
      </c>
      <c r="M33" s="447" cm="1">
        <f t="array" ref="M33">SUMPRODUCT(--(ISNUMBER(SEARCH($A33,'Diags Raw Data'!$A$6:$A$3678))),--('Diags Raw Data'!$Q$6:$Q$3678&lt;&gt;"N/A"),'Diags Raw Data'!$R$6:$R$3678)</f>
        <v>4</v>
      </c>
      <c r="N33" s="448" cm="1">
        <f t="array" ref="N33">SUMPRODUCT(--(ISNUMBER(SEARCH($A33,'Diags Raw Data'!$A$6:$A$3678))),--('Diags Raw Data'!$Q$6:$Q$3678&lt;&gt;"N/A"),'Diags Raw Data'!$T$6:$T$3678)+SUMPRODUCT(--(ISNUMBER(SEARCH($A33,'Diags Raw Data'!$A$6:$A$3678))),--('Diags Raw Data'!$Q$6:$Q$3678&lt;&gt;"N/A"),'Diags Raw Data'!$U$6:$U$3678)</f>
        <v>4</v>
      </c>
      <c r="O33" s="449">
        <f t="shared" si="2"/>
        <v>1</v>
      </c>
      <c r="P33" s="450">
        <f>SUMIF('Diags Raw Data'!$A$6:$A$3678,"*"&amp;$A33&amp;"*",'Diags Raw Data'!$Z$6:$Z$3678)</f>
        <v>0</v>
      </c>
      <c r="Q33" s="451">
        <f>SUM(SUMIF('Diags Raw Data'!$A$6:$A$3678,"*"&amp;$A33&amp;"*",'Diags Raw Data'!$AA$6:$AA$3678),SUMIF('Diags Raw Data'!$A$6:$A$3678,"*"&amp;$A33&amp;"*",'Diags Raw Data'!$AB$6:$AB$3678))</f>
        <v>0</v>
      </c>
      <c r="R33" s="452">
        <f t="shared" si="3"/>
        <v>0</v>
      </c>
      <c r="S33" s="452">
        <f t="shared" si="4"/>
        <v>0</v>
      </c>
      <c r="T33" s="453">
        <f t="shared" si="5"/>
        <v>0</v>
      </c>
      <c r="U33" s="500" t="s">
        <v>484</v>
      </c>
      <c r="V33" s="181"/>
    </row>
    <row r="34" spans="1:22" ht="15.75" thickBot="1" x14ac:dyDescent="0.3">
      <c r="A34" s="406" t="s">
        <v>409</v>
      </c>
      <c r="B34" s="407" t="str">
        <f>VLOOKUP(A34,'Feature Raw Data'!$A$3:$B$3951,2,FALSE)</f>
        <v xml:space="preserve">TCDX Bypass </v>
      </c>
      <c r="C34" s="413" t="str">
        <f>VLOOKUP(A34,'Feature Raw Data'!$A$3:$C$3951,3,FALSE)</f>
        <v>P1</v>
      </c>
      <c r="D34" s="414" t="str" cm="1">
        <f t="array" ref="D34">_xlfn.TEXTJOIN("",TRUE,IF(ISNUMBER(SEARCH($A34,'Diags Raw Data'!$A$6:$A$3678)),CONCATENATE('Diags Raw Data'!$H$6:$H$3678,", "),""))</f>
        <v xml:space="preserve">FEAT_28, </v>
      </c>
      <c r="E34" s="333" t="str">
        <f>VLOOKUP(A34,'Diags Raw Data'!$A$6:$D$3678,4,FALSE)</f>
        <v>DF</v>
      </c>
      <c r="F34" s="333" t="str">
        <f>VLOOKUP(A34,'Feature Raw Data'!$A$3:$E$3951,5,FALSE)</f>
        <v>Legacy</v>
      </c>
      <c r="G34" s="333" t="str">
        <f t="shared" si="0"/>
        <v>Yes</v>
      </c>
      <c r="H34" s="333" t="str">
        <f t="shared" si="1"/>
        <v>Yes</v>
      </c>
      <c r="I34" s="413">
        <f>SUMIF('Diags Raw Data'!$A$6:$A$3678,"*"&amp;$A34&amp;"*",'Diags Raw Data'!$K$6:$K$3678)</f>
        <v>1</v>
      </c>
      <c r="J34" s="415">
        <f>SUMIF('Diags Raw Data'!$A$6:$A$3678,"*"&amp;$A34&amp;"*",'Diags Raw Data'!$L$6:$L$3678)</f>
        <v>1</v>
      </c>
      <c r="K34" s="445" cm="1">
        <f t="array" ref="K34">IF(D34="",0, SUMPRODUCT(--(ISNUMBER(SEARCH($A34,'Diags Raw Data'!$A$6:$A$3678))),'Diags Raw Data'!$L$6:$L$3678,'Diags Raw Data'!$N$6:$N$3678)/J34)</f>
        <v>1</v>
      </c>
      <c r="L34" s="446" cm="1">
        <f t="array" ref="L34">IF(D34="",0, SUMPRODUCT(--(ISNUMBER(SEARCH($A34,'Diags Raw Data'!$A$6:$A$3678))),'Diags Raw Data'!$L$6:$L$3678,'Diags Raw Data'!$P$6:$P$3678)/J34)</f>
        <v>1</v>
      </c>
      <c r="M34" s="447" cm="1">
        <f t="array" ref="M34">SUMPRODUCT(--(ISNUMBER(SEARCH($A34,'Diags Raw Data'!$A$6:$A$3678))),--('Diags Raw Data'!$Q$6:$Q$3678&lt;&gt;"N/A"),'Diags Raw Data'!$R$6:$R$3678)</f>
        <v>1</v>
      </c>
      <c r="N34" s="448" cm="1">
        <f t="array" ref="N34">SUMPRODUCT(--(ISNUMBER(SEARCH($A34,'Diags Raw Data'!$A$6:$A$3678))),--('Diags Raw Data'!$Q$6:$Q$3678&lt;&gt;"N/A"),'Diags Raw Data'!$T$6:$T$3678)+SUMPRODUCT(--(ISNUMBER(SEARCH($A34,'Diags Raw Data'!$A$6:$A$3678))),--('Diags Raw Data'!$Q$6:$Q$3678&lt;&gt;"N/A"),'Diags Raw Data'!$U$6:$U$3678)</f>
        <v>1</v>
      </c>
      <c r="O34" s="449">
        <f t="shared" si="2"/>
        <v>1</v>
      </c>
      <c r="P34" s="450">
        <f>SUMIF('Diags Raw Data'!$A$6:$A$3678,"*"&amp;$A34&amp;"*",'Diags Raw Data'!$Z$6:$Z$3678)</f>
        <v>0</v>
      </c>
      <c r="Q34" s="451">
        <f>SUM(SUMIF('Diags Raw Data'!$A$6:$A$3678,"*"&amp;$A34&amp;"*",'Diags Raw Data'!$AA$6:$AA$3678),SUMIF('Diags Raw Data'!$A$6:$A$3678,"*"&amp;$A34&amp;"*",'Diags Raw Data'!$AB$6:$AB$3678))</f>
        <v>0</v>
      </c>
      <c r="R34" s="452">
        <f t="shared" si="3"/>
        <v>0</v>
      </c>
      <c r="S34" s="452">
        <f t="shared" si="4"/>
        <v>0</v>
      </c>
      <c r="T34" s="453">
        <f t="shared" si="5"/>
        <v>0</v>
      </c>
      <c r="U34" s="500" t="s">
        <v>484</v>
      </c>
      <c r="V34" s="181"/>
    </row>
    <row r="35" spans="1:22" ht="15.75" thickBot="1" x14ac:dyDescent="0.3">
      <c r="A35" s="406" t="s">
        <v>411</v>
      </c>
      <c r="B35" s="407" t="str">
        <f>VLOOKUP(A35,'Feature Raw Data'!$A$3:$B$3951,2,FALSE)</f>
        <v>Trusted Memory Regions</v>
      </c>
      <c r="C35" s="413" t="str">
        <f>VLOOKUP(A35,'Feature Raw Data'!$A$3:$C$3951,3,FALSE)</f>
        <v>P2</v>
      </c>
      <c r="D35" s="414" t="str" cm="1">
        <f t="array" ref="D35">_xlfn.TEXTJOIN("",TRUE,IF(ISNUMBER(SEARCH($A35,'Diags Raw Data'!$A$6:$A$3678)),CONCATENATE('Diags Raw Data'!$H$6:$H$3678,", "),""))</f>
        <v xml:space="preserve">FEAT_29.1-10, </v>
      </c>
      <c r="E35" s="333" t="str">
        <f>VLOOKUP(A35,'Diags Raw Data'!$A$6:$D$3678,4,FALSE)</f>
        <v>DF_SECURITY</v>
      </c>
      <c r="F35" s="333" t="str">
        <f>VLOOKUP(A35,'Feature Raw Data'!$A$3:$E$3951,5,FALSE)</f>
        <v>Legacy</v>
      </c>
      <c r="G35" s="333" t="str">
        <f t="shared" si="0"/>
        <v>Yes</v>
      </c>
      <c r="H35" s="333" t="str">
        <f t="shared" si="1"/>
        <v>Yes</v>
      </c>
      <c r="I35" s="413">
        <f>SUMIF('Diags Raw Data'!$A$6:$A$3678,"*"&amp;$A35&amp;"*",'Diags Raw Data'!$K$6:$K$3678)</f>
        <v>1</v>
      </c>
      <c r="J35" s="415">
        <f>SUMIF('Diags Raw Data'!$A$6:$A$3678,"*"&amp;$A35&amp;"*",'Diags Raw Data'!$L$6:$L$3678)</f>
        <v>10</v>
      </c>
      <c r="K35" s="445" cm="1">
        <f t="array" ref="K35">IF(D35="",0, SUMPRODUCT(--(ISNUMBER(SEARCH($A35,'Diags Raw Data'!$A$6:$A$3678))),'Diags Raw Data'!$L$6:$L$3678,'Diags Raw Data'!$N$6:$N$3678)/J35)</f>
        <v>1</v>
      </c>
      <c r="L35" s="446" cm="1">
        <f t="array" ref="L35">IF(D35="",0, SUMPRODUCT(--(ISNUMBER(SEARCH($A35,'Diags Raw Data'!$A$6:$A$3678))),'Diags Raw Data'!$L$6:$L$3678,'Diags Raw Data'!$P$6:$P$3678)/J35)</f>
        <v>1</v>
      </c>
      <c r="M35" s="447" cm="1">
        <f t="array" ref="M35">SUMPRODUCT(--(ISNUMBER(SEARCH($A35,'Diags Raw Data'!$A$6:$A$3678))),--('Diags Raw Data'!$Q$6:$Q$3678&lt;&gt;"N/A"),'Diags Raw Data'!$R$6:$R$3678)</f>
        <v>10</v>
      </c>
      <c r="N35" s="448" cm="1">
        <f t="array" ref="N35">SUMPRODUCT(--(ISNUMBER(SEARCH($A35,'Diags Raw Data'!$A$6:$A$3678))),--('Diags Raw Data'!$Q$6:$Q$3678&lt;&gt;"N/A"),'Diags Raw Data'!$T$6:$T$3678)+SUMPRODUCT(--(ISNUMBER(SEARCH($A35,'Diags Raw Data'!$A$6:$A$3678))),--('Diags Raw Data'!$Q$6:$Q$3678&lt;&gt;"N/A"),'Diags Raw Data'!$U$6:$U$3678)</f>
        <v>10</v>
      </c>
      <c r="O35" s="449">
        <f t="shared" si="2"/>
        <v>1</v>
      </c>
      <c r="P35" s="450">
        <f>SUMIF('Diags Raw Data'!$A$6:$A$3678,"*"&amp;$A35&amp;"*",'Diags Raw Data'!$Z$6:$Z$3678)</f>
        <v>0</v>
      </c>
      <c r="Q35" s="451">
        <f>SUM(SUMIF('Diags Raw Data'!$A$6:$A$3678,"*"&amp;$A35&amp;"*",'Diags Raw Data'!$AA$6:$AA$3678),SUMIF('Diags Raw Data'!$A$6:$A$3678,"*"&amp;$A35&amp;"*",'Diags Raw Data'!$AB$6:$AB$3678))</f>
        <v>0</v>
      </c>
      <c r="R35" s="452">
        <f t="shared" si="3"/>
        <v>0</v>
      </c>
      <c r="S35" s="452">
        <f t="shared" si="4"/>
        <v>0</v>
      </c>
      <c r="T35" s="453">
        <f t="shared" si="5"/>
        <v>0</v>
      </c>
      <c r="U35" s="500" t="s">
        <v>513</v>
      </c>
      <c r="V35" s="181"/>
    </row>
    <row r="36" spans="1:22" ht="15.75" thickBot="1" x14ac:dyDescent="0.3">
      <c r="A36" s="406" t="s">
        <v>416</v>
      </c>
      <c r="B36" s="407" t="str">
        <f>VLOOKUP(A36,'Feature Raw Data'!$A$3:$B$3951,2,FALSE)</f>
        <v xml:space="preserve">Virtual Channels </v>
      </c>
      <c r="C36" s="413" t="str">
        <f>VLOOKUP(A36,'Feature Raw Data'!$A$3:$C$3951,3,FALSE)</f>
        <v>P1</v>
      </c>
      <c r="D36" s="414" t="str" cm="1">
        <f t="array" ref="D36">_xlfn.TEXTJOIN("",TRUE,IF(ISNUMBER(SEARCH($A36,'Diags Raw Data'!$A$6:$A$3678)),CONCATENATE('Diags Raw Data'!$H$6:$H$3678,", "),""))</f>
        <v xml:space="preserve">FEAT_30, </v>
      </c>
      <c r="E36" s="333" t="str">
        <f>VLOOKUP(A36,'Diags Raw Data'!$A$6:$D$3678,4,FALSE)</f>
        <v>DF</v>
      </c>
      <c r="F36" s="333" t="str">
        <f>VLOOKUP(A36,'Feature Raw Data'!$A$3:$E$3951,5,FALSE)</f>
        <v>Legacy</v>
      </c>
      <c r="G36" s="333" t="str">
        <f t="shared" si="0"/>
        <v>Yes</v>
      </c>
      <c r="H36" s="333" t="str">
        <f t="shared" si="1"/>
        <v>Yes</v>
      </c>
      <c r="I36" s="413">
        <f>SUMIF('Diags Raw Data'!$A$6:$A$3678,"*"&amp;$A36&amp;"*",'Diags Raw Data'!$K$6:$K$3678)</f>
        <v>1</v>
      </c>
      <c r="J36" s="415">
        <f>SUMIF('Diags Raw Data'!$A$6:$A$3678,"*"&amp;$A36&amp;"*",'Diags Raw Data'!$L$6:$L$3678)</f>
        <v>1</v>
      </c>
      <c r="K36" s="445" cm="1">
        <f t="array" ref="K36">IF(D36="",0, SUMPRODUCT(--(ISNUMBER(SEARCH($A36,'Diags Raw Data'!$A$6:$A$3678))),'Diags Raw Data'!$L$6:$L$3678,'Diags Raw Data'!$N$6:$N$3678)/J36)</f>
        <v>1</v>
      </c>
      <c r="L36" s="446" cm="1">
        <f t="array" ref="L36">IF(D36="",0, SUMPRODUCT(--(ISNUMBER(SEARCH($A36,'Diags Raw Data'!$A$6:$A$3678))),'Diags Raw Data'!$L$6:$L$3678,'Diags Raw Data'!$P$6:$P$3678)/J36)</f>
        <v>1</v>
      </c>
      <c r="M36" s="447" cm="1">
        <f t="array" ref="M36">SUMPRODUCT(--(ISNUMBER(SEARCH($A36,'Diags Raw Data'!$A$6:$A$3678))),--('Diags Raw Data'!$Q$6:$Q$3678&lt;&gt;"N/A"),'Diags Raw Data'!$R$6:$R$3678)</f>
        <v>1</v>
      </c>
      <c r="N36" s="448" cm="1">
        <f t="array" ref="N36">SUMPRODUCT(--(ISNUMBER(SEARCH($A36,'Diags Raw Data'!$A$6:$A$3678))),--('Diags Raw Data'!$Q$6:$Q$3678&lt;&gt;"N/A"),'Diags Raw Data'!$T$6:$T$3678)+SUMPRODUCT(--(ISNUMBER(SEARCH($A36,'Diags Raw Data'!$A$6:$A$3678))),--('Diags Raw Data'!$Q$6:$Q$3678&lt;&gt;"N/A"),'Diags Raw Data'!$U$6:$U$3678)</f>
        <v>1</v>
      </c>
      <c r="O36" s="449">
        <f t="shared" si="2"/>
        <v>1</v>
      </c>
      <c r="P36" s="450">
        <f>SUMIF('Diags Raw Data'!$A$6:$A$3678,"*"&amp;$A36&amp;"*",'Diags Raw Data'!$Z$6:$Z$3678)</f>
        <v>0</v>
      </c>
      <c r="Q36" s="451">
        <f>SUM(SUMIF('Diags Raw Data'!$A$6:$A$3678,"*"&amp;$A36&amp;"*",'Diags Raw Data'!$AA$6:$AA$3678),SUMIF('Diags Raw Data'!$A$6:$A$3678,"*"&amp;$A36&amp;"*",'Diags Raw Data'!$AB$6:$AB$3678))</f>
        <v>0</v>
      </c>
      <c r="R36" s="452">
        <f t="shared" si="3"/>
        <v>0</v>
      </c>
      <c r="S36" s="452">
        <f t="shared" si="4"/>
        <v>0</v>
      </c>
      <c r="T36" s="453">
        <f t="shared" si="5"/>
        <v>0</v>
      </c>
      <c r="U36" s="500" t="s">
        <v>513</v>
      </c>
      <c r="V36" s="181"/>
    </row>
    <row r="37" spans="1:22" ht="15.75" thickBot="1" x14ac:dyDescent="0.3">
      <c r="A37" s="406" t="s">
        <v>418</v>
      </c>
      <c r="B37" s="407" t="str">
        <f>VLOOKUP(A37,'Feature Raw Data'!$A$3:$B$3951,2,FALSE)</f>
        <v>Zero Data Compression</v>
      </c>
      <c r="C37" s="413" t="str">
        <f>VLOOKUP(A37,'Feature Raw Data'!$A$3:$C$3951,3,FALSE)</f>
        <v>P1</v>
      </c>
      <c r="D37" s="414" t="str" cm="1">
        <f t="array" ref="D37">_xlfn.TEXTJOIN("",TRUE,IF(ISNUMBER(SEARCH($A37,'Diags Raw Data'!$A$6:$A$3678)),CONCATENATE('Diags Raw Data'!$H$6:$H$3678,", "),""))</f>
        <v xml:space="preserve">FEAT_31, </v>
      </c>
      <c r="E37" s="333" t="str">
        <f>VLOOKUP(A37,'Diags Raw Data'!$A$6:$D$3678,4,FALSE)</f>
        <v>CCM</v>
      </c>
      <c r="F37" s="333" t="str">
        <f>VLOOKUP(A37,'Feature Raw Data'!$A$3:$E$3951,5,FALSE)</f>
        <v>Legacy</v>
      </c>
      <c r="G37" s="333" t="str">
        <f t="shared" si="0"/>
        <v>Yes</v>
      </c>
      <c r="H37" s="333" t="str">
        <f t="shared" si="1"/>
        <v>Yes</v>
      </c>
      <c r="I37" s="413">
        <f>SUMIF('Diags Raw Data'!$A$6:$A$3678,"*"&amp;$A37&amp;"*",'Diags Raw Data'!$K$6:$K$3678)</f>
        <v>1</v>
      </c>
      <c r="J37" s="415">
        <f>SUMIF('Diags Raw Data'!$A$6:$A$3678,"*"&amp;$A37&amp;"*",'Diags Raw Data'!$L$6:$L$3678)</f>
        <v>1</v>
      </c>
      <c r="K37" s="445" cm="1">
        <f t="array" ref="K37">IF(D37="",0, SUMPRODUCT(--(ISNUMBER(SEARCH($A37,'Diags Raw Data'!$A$6:$A$3678))),'Diags Raw Data'!$L$6:$L$3678,'Diags Raw Data'!$N$6:$N$3678)/J37)</f>
        <v>1</v>
      </c>
      <c r="L37" s="446" cm="1">
        <f t="array" ref="L37">IF(D37="",0, SUMPRODUCT(--(ISNUMBER(SEARCH($A37,'Diags Raw Data'!$A$6:$A$3678))),'Diags Raw Data'!$L$6:$L$3678,'Diags Raw Data'!$P$6:$P$3678)/J37)</f>
        <v>1</v>
      </c>
      <c r="M37" s="447" cm="1">
        <f t="array" ref="M37">SUMPRODUCT(--(ISNUMBER(SEARCH($A37,'Diags Raw Data'!$A$6:$A$3678))),--('Diags Raw Data'!$Q$6:$Q$3678&lt;&gt;"N/A"),'Diags Raw Data'!$R$6:$R$3678)</f>
        <v>1</v>
      </c>
      <c r="N37" s="448" cm="1">
        <f t="array" ref="N37">SUMPRODUCT(--(ISNUMBER(SEARCH($A37,'Diags Raw Data'!$A$6:$A$3678))),--('Diags Raw Data'!$Q$6:$Q$3678&lt;&gt;"N/A"),'Diags Raw Data'!$T$6:$T$3678)+SUMPRODUCT(--(ISNUMBER(SEARCH($A37,'Diags Raw Data'!$A$6:$A$3678))),--('Diags Raw Data'!$Q$6:$Q$3678&lt;&gt;"N/A"),'Diags Raw Data'!$U$6:$U$3678)</f>
        <v>1</v>
      </c>
      <c r="O37" s="449">
        <f t="shared" si="2"/>
        <v>1</v>
      </c>
      <c r="P37" s="450">
        <f>SUMIF('Diags Raw Data'!$A$6:$A$3678,"*"&amp;$A37&amp;"*",'Diags Raw Data'!$Z$6:$Z$3678)</f>
        <v>0</v>
      </c>
      <c r="Q37" s="451">
        <f>SUM(SUMIF('Diags Raw Data'!$A$6:$A$3678,"*"&amp;$A37&amp;"*",'Diags Raw Data'!$AA$6:$AA$3678),SUMIF('Diags Raw Data'!$A$6:$A$3678,"*"&amp;$A37&amp;"*",'Diags Raw Data'!$AB$6:$AB$3678))</f>
        <v>0</v>
      </c>
      <c r="R37" s="452">
        <f t="shared" si="3"/>
        <v>0</v>
      </c>
      <c r="S37" s="452">
        <f t="shared" si="4"/>
        <v>0</v>
      </c>
      <c r="T37" s="453">
        <f t="shared" si="5"/>
        <v>0</v>
      </c>
      <c r="U37" s="500" t="s">
        <v>513</v>
      </c>
      <c r="V37" s="181"/>
    </row>
    <row r="38" spans="1:22" s="186" customFormat="1" ht="15.75" thickBot="1" x14ac:dyDescent="0.3">
      <c r="A38" s="406" t="s">
        <v>422</v>
      </c>
      <c r="B38" s="407" t="str">
        <f>VLOOKUP(A38,'Feature Raw Data'!$A$3:$B$3951,2,FALSE)</f>
        <v>Save/Restore scoreboard</v>
      </c>
      <c r="C38" s="413" t="str">
        <f>VLOOKUP(A38,'Feature Raw Data'!$A$3:$C$3951,3,FALSE)</f>
        <v>P1</v>
      </c>
      <c r="D38" s="414" t="str" cm="1">
        <f t="array" ref="D38">_xlfn.TEXTJOIN("",TRUE,IF(ISNUMBER(SEARCH($A38,'Diags Raw Data'!$A$6:$A$3678)),CONCATENATE('Diags Raw Data'!$H$6:$H$3678,", "),""))</f>
        <v xml:space="preserve">FEAT_32, </v>
      </c>
      <c r="E38" s="333" t="str">
        <f>VLOOKUP(A38,'Diags Raw Data'!$A$6:$D$3678,4,FALSE)</f>
        <v>PIE</v>
      </c>
      <c r="F38" s="333" t="str">
        <f>VLOOKUP(A38,'Feature Raw Data'!$A$3:$E$3951,5,FALSE)</f>
        <v>Legacy</v>
      </c>
      <c r="G38" s="333" t="str">
        <f t="shared" si="0"/>
        <v>Yes</v>
      </c>
      <c r="H38" s="333" t="str">
        <f t="shared" si="1"/>
        <v>Yes</v>
      </c>
      <c r="I38" s="413">
        <f>SUMIF('Diags Raw Data'!$A$6:$A$3678,"*"&amp;$A38&amp;"*",'Diags Raw Data'!$K$6:$K$3678)</f>
        <v>1</v>
      </c>
      <c r="J38" s="415">
        <f>SUMIF('Diags Raw Data'!$A$6:$A$3678,"*"&amp;$A38&amp;"*",'Diags Raw Data'!$L$6:$L$3678)</f>
        <v>1</v>
      </c>
      <c r="K38" s="445" cm="1">
        <f t="array" ref="K38">IF(D38="",0, SUMPRODUCT(--(ISNUMBER(SEARCH($A38,'Diags Raw Data'!$A$6:$A$3678))),'Diags Raw Data'!$L$6:$L$3678,'Diags Raw Data'!$N$6:$N$3678)/J38)</f>
        <v>1</v>
      </c>
      <c r="L38" s="446" cm="1">
        <f t="array" ref="L38">IF(D38="",0, SUMPRODUCT(--(ISNUMBER(SEARCH($A38,'Diags Raw Data'!$A$6:$A$3678))),'Diags Raw Data'!$L$6:$L$3678,'Diags Raw Data'!$P$6:$P$3678)/J38)</f>
        <v>1</v>
      </c>
      <c r="M38" s="447" cm="1">
        <f t="array" ref="M38">SUMPRODUCT(--(ISNUMBER(SEARCH($A38,'Diags Raw Data'!$A$6:$A$3678))),--('Diags Raw Data'!$Q$6:$Q$3678&lt;&gt;"N/A"),'Diags Raw Data'!$R$6:$R$3678)</f>
        <v>1</v>
      </c>
      <c r="N38" s="448" cm="1">
        <f t="array" ref="N38">SUMPRODUCT(--(ISNUMBER(SEARCH($A38,'Diags Raw Data'!$A$6:$A$3678))),--('Diags Raw Data'!$Q$6:$Q$3678&lt;&gt;"N/A"),'Diags Raw Data'!$T$6:$T$3678)+SUMPRODUCT(--(ISNUMBER(SEARCH($A38,'Diags Raw Data'!$A$6:$A$3678))),--('Diags Raw Data'!$Q$6:$Q$3678&lt;&gt;"N/A"),'Diags Raw Data'!$U$6:$U$3678)</f>
        <v>1</v>
      </c>
      <c r="O38" s="449">
        <f t="shared" si="2"/>
        <v>1</v>
      </c>
      <c r="P38" s="450">
        <f>SUMIF('Diags Raw Data'!$A$6:$A$3678,"*"&amp;$A38&amp;"*",'Diags Raw Data'!$Z$6:$Z$3678)</f>
        <v>0</v>
      </c>
      <c r="Q38" s="451">
        <f>SUM(SUMIF('Diags Raw Data'!$A$6:$A$3678,"*"&amp;$A38&amp;"*",'Diags Raw Data'!$AA$6:$AA$3678),SUMIF('Diags Raw Data'!$A$6:$A$3678,"*"&amp;$A38&amp;"*",'Diags Raw Data'!$AB$6:$AB$3678))</f>
        <v>0</v>
      </c>
      <c r="R38" s="452">
        <f t="shared" si="3"/>
        <v>0</v>
      </c>
      <c r="S38" s="452">
        <f t="shared" si="4"/>
        <v>0</v>
      </c>
      <c r="T38" s="453">
        <f t="shared" si="5"/>
        <v>0</v>
      </c>
      <c r="U38" s="500" t="s">
        <v>514</v>
      </c>
      <c r="V38" s="185"/>
    </row>
    <row r="39" spans="1:22" ht="15.75" thickBot="1" x14ac:dyDescent="0.3">
      <c r="A39" s="406" t="s">
        <v>425</v>
      </c>
      <c r="B39" s="407" t="str">
        <f>VLOOKUP(A39,'Feature Raw Data'!$A$3:$B$3951,2,FALSE)</f>
        <v>DF_C_State</v>
      </c>
      <c r="C39" s="413" t="str">
        <f>VLOOKUP(A39,'Feature Raw Data'!$A$3:$C$3951,3,FALSE)</f>
        <v>P3</v>
      </c>
      <c r="D39" s="414" t="str" cm="1">
        <f t="array" ref="D39">_xlfn.TEXTJOIN("",TRUE,IF(ISNUMBER(SEARCH($A39,'Diags Raw Data'!$A$6:$A$3678)),CONCATENATE('Diags Raw Data'!$H$6:$H$3678,", "),""))</f>
        <v xml:space="preserve">FEAT_33, </v>
      </c>
      <c r="E39" s="333" t="str">
        <f>VLOOKUP(A39,'Diags Raw Data'!$A$6:$D$3678,4,FALSE)</f>
        <v>PIE</v>
      </c>
      <c r="F39" s="333" t="str">
        <f>VLOOKUP(A39,'Feature Raw Data'!$A$3:$E$3951,5,FALSE)</f>
        <v>Legacy</v>
      </c>
      <c r="G39" s="333" t="str">
        <f t="shared" ref="G39:G48" si="6">IF(D39="","No","Yes")</f>
        <v>Yes</v>
      </c>
      <c r="H39" s="333" t="str">
        <f t="shared" ref="H39:H48" si="7">IF(D39="","No","Yes")</f>
        <v>Yes</v>
      </c>
      <c r="I39" s="413">
        <f>SUMIF('Diags Raw Data'!$A$6:$A$3678,"*"&amp;$A39&amp;"*",'Diags Raw Data'!$K$6:$K$3678)</f>
        <v>1</v>
      </c>
      <c r="J39" s="415">
        <f>SUMIF('Diags Raw Data'!$A$6:$A$3678,"*"&amp;$A39&amp;"*",'Diags Raw Data'!$L$6:$L$3678)</f>
        <v>1</v>
      </c>
      <c r="K39" s="445" cm="1">
        <f t="array" ref="K39">IF(D39="",0, SUMPRODUCT(--(ISNUMBER(SEARCH($A39,'Diags Raw Data'!$A$6:$A$3678))),'Diags Raw Data'!$L$6:$L$3678,'Diags Raw Data'!$N$6:$N$3678)/J39)</f>
        <v>1</v>
      </c>
      <c r="L39" s="446" cm="1">
        <f t="array" ref="L39">IF(D39="",0, SUMPRODUCT(--(ISNUMBER(SEARCH($A39,'Diags Raw Data'!$A$6:$A$3678))),'Diags Raw Data'!$L$6:$L$3678,'Diags Raw Data'!$P$6:$P$3678)/J39)</f>
        <v>1</v>
      </c>
      <c r="M39" s="447" cm="1">
        <f t="array" ref="M39">SUMPRODUCT(--(ISNUMBER(SEARCH($A39,'Diags Raw Data'!$A$6:$A$3678))),--('Diags Raw Data'!$Q$6:$Q$3678&lt;&gt;"N/A"),'Diags Raw Data'!$R$6:$R$3678)</f>
        <v>1</v>
      </c>
      <c r="N39" s="448" cm="1">
        <f t="array" ref="N39">SUMPRODUCT(--(ISNUMBER(SEARCH($A39,'Diags Raw Data'!$A$6:$A$3678))),--('Diags Raw Data'!$Q$6:$Q$3678&lt;&gt;"N/A"),'Diags Raw Data'!$T$6:$T$3678)+SUMPRODUCT(--(ISNUMBER(SEARCH($A39,'Diags Raw Data'!$A$6:$A$3678))),--('Diags Raw Data'!$Q$6:$Q$3678&lt;&gt;"N/A"),'Diags Raw Data'!$U$6:$U$3678)</f>
        <v>1</v>
      </c>
      <c r="O39" s="449">
        <f t="shared" si="2"/>
        <v>1</v>
      </c>
      <c r="P39" s="450">
        <f>SUMIF('Diags Raw Data'!$A$6:$A$3678,"*"&amp;$A39&amp;"*",'Diags Raw Data'!$Z$6:$Z$3678)</f>
        <v>0</v>
      </c>
      <c r="Q39" s="451">
        <f>SUM(SUMIF('Diags Raw Data'!$A$6:$A$3678,"*"&amp;$A39&amp;"*",'Diags Raw Data'!$AA$6:$AA$3678),SUMIF('Diags Raw Data'!$A$6:$A$3678,"*"&amp;$A39&amp;"*",'Diags Raw Data'!$AB$6:$AB$3678))</f>
        <v>0</v>
      </c>
      <c r="R39" s="452">
        <f t="shared" si="3"/>
        <v>0</v>
      </c>
      <c r="S39" s="452">
        <f t="shared" si="4"/>
        <v>0</v>
      </c>
      <c r="T39" s="453">
        <f t="shared" si="5"/>
        <v>0</v>
      </c>
      <c r="U39" s="500" t="s">
        <v>514</v>
      </c>
      <c r="V39" s="181"/>
    </row>
    <row r="40" spans="1:22" ht="15.75" thickBot="1" x14ac:dyDescent="0.3">
      <c r="A40" s="406" t="s">
        <v>428</v>
      </c>
      <c r="B40" s="407" t="str">
        <f>VLOOKUP(A40,'Feature Raw Data'!$A$3:$B$3951,2,FALSE)</f>
        <v>TMR FMR Common region</v>
      </c>
      <c r="C40" s="413" t="str">
        <f>VLOOKUP(A40,'Feature Raw Data'!$A$3:$C$3951,3,FALSE)</f>
        <v>P1</v>
      </c>
      <c r="D40" s="414" t="str" cm="1">
        <f t="array" ref="D40">_xlfn.TEXTJOIN("",TRUE,IF(ISNUMBER(SEARCH($A40,'Diags Raw Data'!$A$6:$A$3678)),CONCATENATE('Diags Raw Data'!$H$6:$H$3678,", "),""))</f>
        <v xml:space="preserve">FEAT_34, </v>
      </c>
      <c r="E40" s="333" t="str">
        <f>VLOOKUP(A40,'Diags Raw Data'!$A$6:$D$3678,4,FALSE)</f>
        <v>DF_SECURITY</v>
      </c>
      <c r="F40" s="333" t="str">
        <f>VLOOKUP(A40,'Feature Raw Data'!$A$3:$E$3951,5,FALSE)</f>
        <v>Legacy</v>
      </c>
      <c r="G40" s="333" t="str">
        <f t="shared" si="6"/>
        <v>Yes</v>
      </c>
      <c r="H40" s="333" t="str">
        <f t="shared" si="7"/>
        <v>Yes</v>
      </c>
      <c r="I40" s="413">
        <f>SUMIF('Diags Raw Data'!$A$6:$A$3678,"*"&amp;$A40&amp;"*",'Diags Raw Data'!$K$6:$K$3678)</f>
        <v>1</v>
      </c>
      <c r="J40" s="415">
        <f>SUMIF('Diags Raw Data'!$A$6:$A$3678,"*"&amp;$A40&amp;"*",'Diags Raw Data'!$L$6:$L$3678)</f>
        <v>1</v>
      </c>
      <c r="K40" s="445" cm="1">
        <f t="array" ref="K40">IF(D40="",0, SUMPRODUCT(--(ISNUMBER(SEARCH($A40,'Diags Raw Data'!$A$6:$A$3678))),'Diags Raw Data'!$L$6:$L$3678,'Diags Raw Data'!$N$6:$N$3678)/J40)</f>
        <v>1</v>
      </c>
      <c r="L40" s="446" cm="1">
        <f t="array" ref="L40">IF(D40="",0, SUMPRODUCT(--(ISNUMBER(SEARCH($A40,'Diags Raw Data'!$A$6:$A$3678))),'Diags Raw Data'!$L$6:$L$3678,'Diags Raw Data'!$P$6:$P$3678)/J40)</f>
        <v>1</v>
      </c>
      <c r="M40" s="447" cm="1">
        <f t="array" ref="M40">SUMPRODUCT(--(ISNUMBER(SEARCH($A40,'Diags Raw Data'!$A$6:$A$3678))),--('Diags Raw Data'!$Q$6:$Q$3678&lt;&gt;"N/A"),'Diags Raw Data'!$R$6:$R$3678)</f>
        <v>1</v>
      </c>
      <c r="N40" s="448" cm="1">
        <f t="array" ref="N40">SUMPRODUCT(--(ISNUMBER(SEARCH($A40,'Diags Raw Data'!$A$6:$A$3678))),--('Diags Raw Data'!$Q$6:$Q$3678&lt;&gt;"N/A"),'Diags Raw Data'!$T$6:$T$3678)+SUMPRODUCT(--(ISNUMBER(SEARCH($A40,'Diags Raw Data'!$A$6:$A$3678))),--('Diags Raw Data'!$Q$6:$Q$3678&lt;&gt;"N/A"),'Diags Raw Data'!$U$6:$U$3678)</f>
        <v>1</v>
      </c>
      <c r="O40" s="449">
        <f t="shared" si="2"/>
        <v>1</v>
      </c>
      <c r="P40" s="450">
        <f>SUMIF('Diags Raw Data'!$A$6:$A$3678,"*"&amp;$A40&amp;"*",'Diags Raw Data'!$Z$6:$Z$3678)</f>
        <v>0</v>
      </c>
      <c r="Q40" s="451">
        <f>SUM(SUMIF('Diags Raw Data'!$A$6:$A$3678,"*"&amp;$A40&amp;"*",'Diags Raw Data'!$AA$6:$AA$3678),SUMIF('Diags Raw Data'!$A$6:$A$3678,"*"&amp;$A40&amp;"*",'Diags Raw Data'!$AB$6:$AB$3678))</f>
        <v>0</v>
      </c>
      <c r="R40" s="452">
        <f t="shared" si="3"/>
        <v>0</v>
      </c>
      <c r="S40" s="452">
        <f t="shared" si="4"/>
        <v>0</v>
      </c>
      <c r="T40" s="453">
        <f t="shared" si="5"/>
        <v>0</v>
      </c>
      <c r="U40" s="500" t="s">
        <v>513</v>
      </c>
      <c r="V40" s="181"/>
    </row>
    <row r="41" spans="1:22" ht="15.75" thickBot="1" x14ac:dyDescent="0.3">
      <c r="A41" s="406" t="s">
        <v>430</v>
      </c>
      <c r="B41" s="407" t="str">
        <f>VLOOKUP(A41,'Feature Raw Data'!$A$3:$B$3951,2,FALSE)</f>
        <v>Master Abort</v>
      </c>
      <c r="C41" s="413" t="str">
        <f>VLOOKUP(A41,'Feature Raw Data'!$A$3:$C$3951,3,FALSE)</f>
        <v>P3</v>
      </c>
      <c r="D41" s="414" t="str" cm="1">
        <f t="array" ref="D41">_xlfn.TEXTJOIN("",TRUE,IF(ISNUMBER(SEARCH($A41,'Diags Raw Data'!$A$6:$A$3678)),CONCATENATE('Diags Raw Data'!$H$6:$H$3678,", "),""))</f>
        <v xml:space="preserve">FEAT_35, </v>
      </c>
      <c r="E41" s="333" t="str">
        <f>VLOOKUP(A41,'Diags Raw Data'!$A$6:$D$3678,4,FALSE)</f>
        <v>CCM</v>
      </c>
      <c r="F41" s="333" t="str">
        <f>VLOOKUP(A41,'Feature Raw Data'!$A$3:$E$3951,5,FALSE)</f>
        <v>Legacy</v>
      </c>
      <c r="G41" s="333" t="str">
        <f t="shared" si="6"/>
        <v>Yes</v>
      </c>
      <c r="H41" s="333" t="str">
        <f t="shared" si="7"/>
        <v>Yes</v>
      </c>
      <c r="I41" s="413">
        <f>SUMIF('Diags Raw Data'!$A$6:$A$3678,"*"&amp;$A41&amp;"*",'Diags Raw Data'!$K$6:$K$3678)</f>
        <v>1</v>
      </c>
      <c r="J41" s="415">
        <f>SUMIF('Diags Raw Data'!$A$6:$A$3678,"*"&amp;$A41&amp;"*",'Diags Raw Data'!$L$6:$L$3678)</f>
        <v>1</v>
      </c>
      <c r="K41" s="445" cm="1">
        <f t="array" ref="K41">IF(D41="",0, SUMPRODUCT(--(ISNUMBER(SEARCH($A41,'Diags Raw Data'!$A$6:$A$3678))),'Diags Raw Data'!$L$6:$L$3678,'Diags Raw Data'!$N$6:$N$3678)/J41)</f>
        <v>1</v>
      </c>
      <c r="L41" s="446" cm="1">
        <f t="array" ref="L41">IF(D41="",0, SUMPRODUCT(--(ISNUMBER(SEARCH($A41,'Diags Raw Data'!$A$6:$A$3678))),'Diags Raw Data'!$L$6:$L$3678,'Diags Raw Data'!$P$6:$P$3678)/J41)</f>
        <v>1</v>
      </c>
      <c r="M41" s="447" cm="1">
        <f t="array" ref="M41">SUMPRODUCT(--(ISNUMBER(SEARCH($A41,'Diags Raw Data'!$A$6:$A$3678))),--('Diags Raw Data'!$Q$6:$Q$3678&lt;&gt;"N/A"),'Diags Raw Data'!$R$6:$R$3678)</f>
        <v>1</v>
      </c>
      <c r="N41" s="448" cm="1">
        <f t="array" ref="N41">SUMPRODUCT(--(ISNUMBER(SEARCH($A41,'Diags Raw Data'!$A$6:$A$3678))),--('Diags Raw Data'!$Q$6:$Q$3678&lt;&gt;"N/A"),'Diags Raw Data'!$T$6:$T$3678)+SUMPRODUCT(--(ISNUMBER(SEARCH($A41,'Diags Raw Data'!$A$6:$A$3678))),--('Diags Raw Data'!$Q$6:$Q$3678&lt;&gt;"N/A"),'Diags Raw Data'!$U$6:$U$3678)</f>
        <v>1</v>
      </c>
      <c r="O41" s="449">
        <f t="shared" si="2"/>
        <v>1</v>
      </c>
      <c r="P41" s="450">
        <f>SUMIF('Diags Raw Data'!$A$6:$A$3678,"*"&amp;$A41&amp;"*",'Diags Raw Data'!$Z$6:$Z$3678)</f>
        <v>0</v>
      </c>
      <c r="Q41" s="451">
        <f>SUM(SUMIF('Diags Raw Data'!$A$6:$A$3678,"*"&amp;$A41&amp;"*",'Diags Raw Data'!$AA$6:$AA$3678),SUMIF('Diags Raw Data'!$A$6:$A$3678,"*"&amp;$A41&amp;"*",'Diags Raw Data'!$AB$6:$AB$3678))</f>
        <v>0</v>
      </c>
      <c r="R41" s="452">
        <f t="shared" si="3"/>
        <v>0</v>
      </c>
      <c r="S41" s="452">
        <f t="shared" si="4"/>
        <v>0</v>
      </c>
      <c r="T41" s="453">
        <f t="shared" si="5"/>
        <v>0</v>
      </c>
      <c r="U41" s="500" t="s">
        <v>484</v>
      </c>
      <c r="V41" s="181"/>
    </row>
    <row r="42" spans="1:22" ht="15.75" thickBot="1" x14ac:dyDescent="0.3">
      <c r="A42" s="406" t="s">
        <v>432</v>
      </c>
      <c r="B42" s="407" t="str">
        <f>VLOOKUP(A42,'Feature Raw Data'!$A$3:$B$3951,2,FALSE)</f>
        <v>Extended Save restore APIC</v>
      </c>
      <c r="C42" s="413" t="str">
        <f>VLOOKUP(A42,'Feature Raw Data'!$A$3:$C$3951,3,FALSE)</f>
        <v>P1</v>
      </c>
      <c r="D42" s="414" t="str" cm="1">
        <f t="array" ref="D42">_xlfn.TEXTJOIN("",TRUE,IF(ISNUMBER(SEARCH($A42,'Diags Raw Data'!$A$6:$A$3678)),CONCATENATE('Diags Raw Data'!$H$6:$H$3678,", "),""))</f>
        <v xml:space="preserve">FEAT_36, </v>
      </c>
      <c r="E42" s="333" t="str">
        <f>VLOOKUP(A42,'Diags Raw Data'!$A$6:$D$3678,4,FALSE)</f>
        <v>PIE</v>
      </c>
      <c r="F42" s="333" t="str">
        <f>VLOOKUP(A42,'Feature Raw Data'!$A$3:$E$3951,5,FALSE)</f>
        <v>Legacy</v>
      </c>
      <c r="G42" s="333" t="str">
        <f t="shared" si="6"/>
        <v>Yes</v>
      </c>
      <c r="H42" s="333" t="str">
        <f t="shared" si="7"/>
        <v>Yes</v>
      </c>
      <c r="I42" s="413">
        <f>SUMIF('Diags Raw Data'!$A$6:$A$3678,"*"&amp;$A42&amp;"*",'Diags Raw Data'!$K$6:$K$3678)</f>
        <v>1</v>
      </c>
      <c r="J42" s="415">
        <f>SUMIF('Diags Raw Data'!$A$6:$A$3678,"*"&amp;$A42&amp;"*",'Diags Raw Data'!$L$6:$L$3678)</f>
        <v>1</v>
      </c>
      <c r="K42" s="445" cm="1">
        <f t="array" ref="K42">IF(D42="",0, SUMPRODUCT(--(ISNUMBER(SEARCH($A42,'Diags Raw Data'!$A$6:$A$3678))),'Diags Raw Data'!$L$6:$L$3678,'Diags Raw Data'!$N$6:$N$3678)/J42)</f>
        <v>1</v>
      </c>
      <c r="L42" s="446" cm="1">
        <f t="array" ref="L42">IF(D42="",0, SUMPRODUCT(--(ISNUMBER(SEARCH($A42,'Diags Raw Data'!$A$6:$A$3678))),'Diags Raw Data'!$L$6:$L$3678,'Diags Raw Data'!$P$6:$P$3678)/J42)</f>
        <v>1</v>
      </c>
      <c r="M42" s="447" cm="1">
        <f t="array" ref="M42">SUMPRODUCT(--(ISNUMBER(SEARCH($A42,'Diags Raw Data'!$A$6:$A$3678))),--('Diags Raw Data'!$Q$6:$Q$3678&lt;&gt;"N/A"),'Diags Raw Data'!$R$6:$R$3678)</f>
        <v>1</v>
      </c>
      <c r="N42" s="448" cm="1">
        <f t="array" ref="N42">SUMPRODUCT(--(ISNUMBER(SEARCH($A42,'Diags Raw Data'!$A$6:$A$3678))),--('Diags Raw Data'!$Q$6:$Q$3678&lt;&gt;"N/A"),'Diags Raw Data'!$T$6:$T$3678)+SUMPRODUCT(--(ISNUMBER(SEARCH($A42,'Diags Raw Data'!$A$6:$A$3678))),--('Diags Raw Data'!$Q$6:$Q$3678&lt;&gt;"N/A"),'Diags Raw Data'!$U$6:$U$3678)</f>
        <v>1</v>
      </c>
      <c r="O42" s="449">
        <f t="shared" si="2"/>
        <v>1</v>
      </c>
      <c r="P42" s="450">
        <f>SUMIF('Diags Raw Data'!$A$6:$A$3678,"*"&amp;$A42&amp;"*",'Diags Raw Data'!$Z$6:$Z$3678)</f>
        <v>0</v>
      </c>
      <c r="Q42" s="451">
        <f>SUM(SUMIF('Diags Raw Data'!$A$6:$A$3678,"*"&amp;$A42&amp;"*",'Diags Raw Data'!$AA$6:$AA$3678),SUMIF('Diags Raw Data'!$A$6:$A$3678,"*"&amp;$A42&amp;"*",'Diags Raw Data'!$AB$6:$AB$3678))</f>
        <v>0</v>
      </c>
      <c r="R42" s="452">
        <f t="shared" si="3"/>
        <v>0</v>
      </c>
      <c r="S42" s="452">
        <f t="shared" si="4"/>
        <v>0</v>
      </c>
      <c r="T42" s="453">
        <f t="shared" si="5"/>
        <v>0</v>
      </c>
      <c r="U42" s="500" t="s">
        <v>514</v>
      </c>
      <c r="V42" s="181"/>
    </row>
    <row r="43" spans="1:22" ht="15.75" thickBot="1" x14ac:dyDescent="0.3">
      <c r="A43" s="406" t="s">
        <v>435</v>
      </c>
      <c r="B43" s="407" t="str">
        <f>VLOOKUP(A43,'Feature Raw Data'!$A$3:$B$3951,2,FALSE)</f>
        <v>DF_SpecialSysFunctionFabricID_Check</v>
      </c>
      <c r="C43" s="413" t="str">
        <f>VLOOKUP(A43,'Feature Raw Data'!$A$3:$C$3951,3,FALSE)</f>
        <v>P1</v>
      </c>
      <c r="D43" s="414" t="str" cm="1">
        <f t="array" ref="D43">_xlfn.TEXTJOIN("",TRUE,IF(ISNUMBER(SEARCH($A43,'Diags Raw Data'!$A$6:$A$3678)),CONCATENATE('Diags Raw Data'!$H$6:$H$3678,", "),""))</f>
        <v xml:space="preserve">FEAT_37, </v>
      </c>
      <c r="E43" s="333" t="str">
        <f>VLOOKUP(A43,'Diags Raw Data'!$A$6:$D$3678,4,FALSE)</f>
        <v>DF</v>
      </c>
      <c r="F43" s="333" t="str">
        <f>VLOOKUP(A43,'Feature Raw Data'!$A$3:$E$3951,5,FALSE)</f>
        <v>Legacy</v>
      </c>
      <c r="G43" s="333" t="str">
        <f t="shared" si="6"/>
        <v>Yes</v>
      </c>
      <c r="H43" s="333" t="str">
        <f t="shared" si="7"/>
        <v>Yes</v>
      </c>
      <c r="I43" s="413">
        <f>SUMIF('Diags Raw Data'!$A$6:$A$3678,"*"&amp;$A43&amp;"*",'Diags Raw Data'!$K$6:$K$3678)</f>
        <v>1</v>
      </c>
      <c r="J43" s="415">
        <f>SUMIF('Diags Raw Data'!$A$6:$A$3678,"*"&amp;$A43&amp;"*",'Diags Raw Data'!$L$6:$L$3678)</f>
        <v>1</v>
      </c>
      <c r="K43" s="445" cm="1">
        <f t="array" ref="K43">IF(D43="",0, SUMPRODUCT(--(ISNUMBER(SEARCH($A43,'Diags Raw Data'!$A$6:$A$3678))),'Diags Raw Data'!$L$6:$L$3678,'Diags Raw Data'!$N$6:$N$3678)/J43)</f>
        <v>1</v>
      </c>
      <c r="L43" s="446" cm="1">
        <f t="array" ref="L43">IF(D43="",0, SUMPRODUCT(--(ISNUMBER(SEARCH($A43,'Diags Raw Data'!$A$6:$A$3678))),'Diags Raw Data'!$L$6:$L$3678,'Diags Raw Data'!$P$6:$P$3678)/J43)</f>
        <v>1</v>
      </c>
      <c r="M43" s="447" cm="1">
        <f t="array" ref="M43">SUMPRODUCT(--(ISNUMBER(SEARCH($A43,'Diags Raw Data'!$A$6:$A$3678))),--('Diags Raw Data'!$Q$6:$Q$3678&lt;&gt;"N/A"),'Diags Raw Data'!$R$6:$R$3678)</f>
        <v>1</v>
      </c>
      <c r="N43" s="448" cm="1">
        <f t="array" ref="N43">SUMPRODUCT(--(ISNUMBER(SEARCH($A43,'Diags Raw Data'!$A$6:$A$3678))),--('Diags Raw Data'!$Q$6:$Q$3678&lt;&gt;"N/A"),'Diags Raw Data'!$T$6:$T$3678)+SUMPRODUCT(--(ISNUMBER(SEARCH($A43,'Diags Raw Data'!$A$6:$A$3678))),--('Diags Raw Data'!$Q$6:$Q$3678&lt;&gt;"N/A"),'Diags Raw Data'!$U$6:$U$3678)</f>
        <v>1</v>
      </c>
      <c r="O43" s="449">
        <f t="shared" si="2"/>
        <v>1</v>
      </c>
      <c r="P43" s="450">
        <f>SUMIF('Diags Raw Data'!$A$6:$A$3678,"*"&amp;$A43&amp;"*",'Diags Raw Data'!$Z$6:$Z$3678)</f>
        <v>0</v>
      </c>
      <c r="Q43" s="451">
        <f>SUM(SUMIF('Diags Raw Data'!$A$6:$A$3678,"*"&amp;$A43&amp;"*",'Diags Raw Data'!$AA$6:$AA$3678),SUMIF('Diags Raw Data'!$A$6:$A$3678,"*"&amp;$A43&amp;"*",'Diags Raw Data'!$AB$6:$AB$3678))</f>
        <v>0</v>
      </c>
      <c r="R43" s="452">
        <f t="shared" si="3"/>
        <v>0</v>
      </c>
      <c r="S43" s="452">
        <f t="shared" si="4"/>
        <v>0</v>
      </c>
      <c r="T43" s="453">
        <f t="shared" si="5"/>
        <v>0</v>
      </c>
      <c r="U43" s="500" t="s">
        <v>509</v>
      </c>
      <c r="V43" s="181"/>
    </row>
    <row r="44" spans="1:22" ht="15.75" thickBot="1" x14ac:dyDescent="0.3">
      <c r="A44" s="406" t="s">
        <v>437</v>
      </c>
      <c r="B44" s="407" t="str">
        <f>VLOOKUP(A44,'Feature Raw Data'!$A$3:$B$3951,2,FALSE)</f>
        <v>DF Stress test</v>
      </c>
      <c r="C44" s="413" t="str">
        <f>VLOOKUP(A44,'Feature Raw Data'!$A$3:$C$3951,3,FALSE)</f>
        <v>P2</v>
      </c>
      <c r="D44" s="414" t="str" cm="1">
        <f t="array" ref="D44">_xlfn.TEXTJOIN("",TRUE,IF(ISNUMBER(SEARCH($A44,'Diags Raw Data'!$A$6:$A$3678)),CONCATENATE('Diags Raw Data'!$H$6:$H$3678,", "),""))</f>
        <v xml:space="preserve">FEAT_38, </v>
      </c>
      <c r="E44" s="333" t="str">
        <f>VLOOKUP(A44,'Diags Raw Data'!$A$6:$D$3678,4,FALSE)</f>
        <v>DF</v>
      </c>
      <c r="F44" s="333" t="str">
        <f>VLOOKUP(A44,'Feature Raw Data'!$A$3:$E$3951,5,FALSE)</f>
        <v>Legacy</v>
      </c>
      <c r="G44" s="333" t="str">
        <f t="shared" si="6"/>
        <v>Yes</v>
      </c>
      <c r="H44" s="333" t="str">
        <f t="shared" si="7"/>
        <v>Yes</v>
      </c>
      <c r="I44" s="413">
        <f>SUMIF('Diags Raw Data'!$A$6:$A$3678,"*"&amp;$A44&amp;"*",'Diags Raw Data'!$K$6:$K$3678)</f>
        <v>1</v>
      </c>
      <c r="J44" s="415">
        <f>SUMIF('Diags Raw Data'!$A$6:$A$3678,"*"&amp;$A44&amp;"*",'Diags Raw Data'!$L$6:$L$3678)</f>
        <v>1</v>
      </c>
      <c r="K44" s="445" cm="1">
        <f t="array" ref="K44">IF(D44="",0, SUMPRODUCT(--(ISNUMBER(SEARCH($A44,'Diags Raw Data'!$A$6:$A$3678))),'Diags Raw Data'!$L$6:$L$3678,'Diags Raw Data'!$N$6:$N$3678)/J44)</f>
        <v>1</v>
      </c>
      <c r="L44" s="446" cm="1">
        <f t="array" ref="L44">IF(D44="",0, SUMPRODUCT(--(ISNUMBER(SEARCH($A44,'Diags Raw Data'!$A$6:$A$3678))),'Diags Raw Data'!$L$6:$L$3678,'Diags Raw Data'!$P$6:$P$3678)/J44)</f>
        <v>1</v>
      </c>
      <c r="M44" s="447" cm="1">
        <f t="array" ref="M44">SUMPRODUCT(--(ISNUMBER(SEARCH($A44,'Diags Raw Data'!$A$6:$A$3678))),--('Diags Raw Data'!$Q$6:$Q$3678&lt;&gt;"N/A"),'Diags Raw Data'!$R$6:$R$3678)</f>
        <v>1</v>
      </c>
      <c r="N44" s="448" cm="1">
        <f t="array" ref="N44">SUMPRODUCT(--(ISNUMBER(SEARCH($A44,'Diags Raw Data'!$A$6:$A$3678))),--('Diags Raw Data'!$Q$6:$Q$3678&lt;&gt;"N/A"),'Diags Raw Data'!$T$6:$T$3678)+SUMPRODUCT(--(ISNUMBER(SEARCH($A44,'Diags Raw Data'!$A$6:$A$3678))),--('Diags Raw Data'!$Q$6:$Q$3678&lt;&gt;"N/A"),'Diags Raw Data'!$U$6:$U$3678)</f>
        <v>1</v>
      </c>
      <c r="O44" s="449">
        <f t="shared" si="2"/>
        <v>1</v>
      </c>
      <c r="P44" s="450">
        <f>SUMIF('Diags Raw Data'!$A$6:$A$3678,"*"&amp;$A44&amp;"*",'Diags Raw Data'!$Z$6:$Z$3678)</f>
        <v>0</v>
      </c>
      <c r="Q44" s="451">
        <f>SUM(SUMIF('Diags Raw Data'!$A$6:$A$3678,"*"&amp;$A44&amp;"*",'Diags Raw Data'!$AA$6:$AA$3678),SUMIF('Diags Raw Data'!$A$6:$A$3678,"*"&amp;$A44&amp;"*",'Diags Raw Data'!$AB$6:$AB$3678))</f>
        <v>0</v>
      </c>
      <c r="R44" s="452">
        <f t="shared" si="3"/>
        <v>0</v>
      </c>
      <c r="S44" s="452">
        <f t="shared" si="4"/>
        <v>0</v>
      </c>
      <c r="T44" s="453">
        <f t="shared" si="5"/>
        <v>0</v>
      </c>
      <c r="U44" s="500" t="s">
        <v>514</v>
      </c>
      <c r="V44" s="181"/>
    </row>
    <row r="45" spans="1:22" ht="15.75" thickBot="1" x14ac:dyDescent="0.3">
      <c r="A45" s="406" t="s">
        <v>440</v>
      </c>
      <c r="B45" s="407" t="str">
        <f>VLOOKUP(A45,'Feature Raw Data'!$A$3:$B$3951,2,FALSE)</f>
        <v>Light DF C-State</v>
      </c>
      <c r="C45" s="413" t="str">
        <f>VLOOKUP(A45,'Feature Raw Data'!$A$3:$C$3951,3,FALSE)</f>
        <v>P2</v>
      </c>
      <c r="D45" s="414" t="str" cm="1">
        <f t="array" ref="D45">_xlfn.TEXTJOIN("",TRUE,IF(ISNUMBER(SEARCH($A45,'Diags Raw Data'!$A$6:$A$3678)),CONCATENATE('Diags Raw Data'!$H$6:$H$3678,", "),""))</f>
        <v xml:space="preserve">FEAT_39, </v>
      </c>
      <c r="E45" s="333" t="str">
        <f>VLOOKUP(A45,'Diags Raw Data'!$A$6:$D$3678,4,FALSE)</f>
        <v>PIE</v>
      </c>
      <c r="F45" s="333" t="str">
        <f>VLOOKUP(A45,'Feature Raw Data'!$A$3:$E$3951,5,FALSE)</f>
        <v>Legacy</v>
      </c>
      <c r="G45" s="333" t="str">
        <f t="shared" si="6"/>
        <v>Yes</v>
      </c>
      <c r="H45" s="333" t="str">
        <f t="shared" si="7"/>
        <v>Yes</v>
      </c>
      <c r="I45" s="413">
        <f>SUMIF('Diags Raw Data'!$A$6:$A$3678,"*"&amp;$A45&amp;"*",'Diags Raw Data'!$K$6:$K$3678)</f>
        <v>1</v>
      </c>
      <c r="J45" s="415">
        <f>SUMIF('Diags Raw Data'!$A$6:$A$3678,"*"&amp;$A45&amp;"*",'Diags Raw Data'!$L$6:$L$3678)</f>
        <v>1</v>
      </c>
      <c r="K45" s="445" cm="1">
        <f t="array" ref="K45">IF(D45="",0, SUMPRODUCT(--(ISNUMBER(SEARCH($A45,'Diags Raw Data'!$A$6:$A$3678))),'Diags Raw Data'!$L$6:$L$3678,'Diags Raw Data'!$N$6:$N$3678)/J45)</f>
        <v>1</v>
      </c>
      <c r="L45" s="446" cm="1">
        <f t="array" ref="L45">IF(D45="",0, SUMPRODUCT(--(ISNUMBER(SEARCH($A45,'Diags Raw Data'!$A$6:$A$3678))),'Diags Raw Data'!$L$6:$L$3678,'Diags Raw Data'!$P$6:$P$3678)/J45)</f>
        <v>1</v>
      </c>
      <c r="M45" s="447" cm="1">
        <f t="array" ref="M45">SUMPRODUCT(--(ISNUMBER(SEARCH($A45,'Diags Raw Data'!$A$6:$A$3678))),--('Diags Raw Data'!$Q$6:$Q$3678&lt;&gt;"N/A"),'Diags Raw Data'!$R$6:$R$3678)</f>
        <v>1</v>
      </c>
      <c r="N45" s="448" cm="1">
        <f t="array" ref="N45">SUMPRODUCT(--(ISNUMBER(SEARCH($A45,'Diags Raw Data'!$A$6:$A$3678))),--('Diags Raw Data'!$Q$6:$Q$3678&lt;&gt;"N/A"),'Diags Raw Data'!$T$6:$T$3678)+SUMPRODUCT(--(ISNUMBER(SEARCH($A45,'Diags Raw Data'!$A$6:$A$3678))),--('Diags Raw Data'!$Q$6:$Q$3678&lt;&gt;"N/A"),'Diags Raw Data'!$U$6:$U$3678)</f>
        <v>1</v>
      </c>
      <c r="O45" s="449">
        <f t="shared" si="2"/>
        <v>1</v>
      </c>
      <c r="P45" s="450">
        <f>SUMIF('Diags Raw Data'!$A$6:$A$3678,"*"&amp;$A45&amp;"*",'Diags Raw Data'!$Z$6:$Z$3678)</f>
        <v>0</v>
      </c>
      <c r="Q45" s="451">
        <f>SUM(SUMIF('Diags Raw Data'!$A$6:$A$3678,"*"&amp;$A45&amp;"*",'Diags Raw Data'!$AA$6:$AA$3678),SUMIF('Diags Raw Data'!$A$6:$A$3678,"*"&amp;$A45&amp;"*",'Diags Raw Data'!$AB$6:$AB$3678))</f>
        <v>0</v>
      </c>
      <c r="R45" s="452">
        <f t="shared" si="3"/>
        <v>0</v>
      </c>
      <c r="S45" s="452">
        <f t="shared" si="4"/>
        <v>0</v>
      </c>
      <c r="T45" s="453">
        <f t="shared" si="5"/>
        <v>0</v>
      </c>
      <c r="U45" s="500" t="s">
        <v>514</v>
      </c>
      <c r="V45" s="181"/>
    </row>
    <row r="46" spans="1:22" ht="15.75" thickBot="1" x14ac:dyDescent="0.3">
      <c r="A46" s="406" t="s">
        <v>443</v>
      </c>
      <c r="B46" s="407" t="str">
        <f>VLOOKUP(A46,'Feature Raw Data'!$A$3:$B$3951,2,FALSE)</f>
        <v>IO atomics with Bus locks</v>
      </c>
      <c r="C46" s="413" t="str">
        <f>VLOOKUP(A46,'Feature Raw Data'!$A$3:$C$3951,3,FALSE)</f>
        <v>P2</v>
      </c>
      <c r="D46" s="414" t="str" cm="1">
        <f t="array" ref="D46">_xlfn.TEXTJOIN("",TRUE,IF(ISNUMBER(SEARCH($A46,'Diags Raw Data'!$A$6:$A$3678)),CONCATENATE('Diags Raw Data'!$H$6:$H$3678,", "),""))</f>
        <v xml:space="preserve">FEAT_40, </v>
      </c>
      <c r="E46" s="333" t="str">
        <f>VLOOKUP(A46,'Diags Raw Data'!$A$6:$D$3678,4,FALSE)</f>
        <v>DF</v>
      </c>
      <c r="F46" s="333" t="str">
        <f>VLOOKUP(A46,'Feature Raw Data'!$A$3:$E$3951,5,FALSE)</f>
        <v>Legacy</v>
      </c>
      <c r="G46" s="333" t="str">
        <f t="shared" si="6"/>
        <v>Yes</v>
      </c>
      <c r="H46" s="333" t="str">
        <f t="shared" si="7"/>
        <v>Yes</v>
      </c>
      <c r="I46" s="413">
        <f>SUMIF('Diags Raw Data'!$A$6:$A$3678,"*"&amp;$A46&amp;"*",'Diags Raw Data'!$K$6:$K$3678)</f>
        <v>1</v>
      </c>
      <c r="J46" s="415">
        <f>SUMIF('Diags Raw Data'!$A$6:$A$3678,"*"&amp;$A46&amp;"*",'Diags Raw Data'!$L$6:$L$3678)</f>
        <v>1</v>
      </c>
      <c r="K46" s="445" cm="1">
        <f t="array" ref="K46">IF(D46="",0, SUMPRODUCT(--(ISNUMBER(SEARCH($A46,'Diags Raw Data'!$A$6:$A$3678))),'Diags Raw Data'!$L$6:$L$3678,'Diags Raw Data'!$N$6:$N$3678)/J46)</f>
        <v>1</v>
      </c>
      <c r="L46" s="446" cm="1">
        <f t="array" ref="L46">IF(D46="",0, SUMPRODUCT(--(ISNUMBER(SEARCH($A46,'Diags Raw Data'!$A$6:$A$3678))),'Diags Raw Data'!$L$6:$L$3678,'Diags Raw Data'!$P$6:$P$3678)/J46)</f>
        <v>1</v>
      </c>
      <c r="M46" s="447" cm="1">
        <f t="array" ref="M46">SUMPRODUCT(--(ISNUMBER(SEARCH($A46,'Diags Raw Data'!$A$6:$A$3678))),--('Diags Raw Data'!$Q$6:$Q$3678&lt;&gt;"N/A"),'Diags Raw Data'!$R$6:$R$3678)</f>
        <v>1</v>
      </c>
      <c r="N46" s="448" cm="1">
        <f t="array" ref="N46">SUMPRODUCT(--(ISNUMBER(SEARCH($A46,'Diags Raw Data'!$A$6:$A$3678))),--('Diags Raw Data'!$Q$6:$Q$3678&lt;&gt;"N/A"),'Diags Raw Data'!$T$6:$T$3678)+SUMPRODUCT(--(ISNUMBER(SEARCH($A46,'Diags Raw Data'!$A$6:$A$3678))),--('Diags Raw Data'!$Q$6:$Q$3678&lt;&gt;"N/A"),'Diags Raw Data'!$U$6:$U$3678)</f>
        <v>1</v>
      </c>
      <c r="O46" s="449">
        <f t="shared" si="2"/>
        <v>1</v>
      </c>
      <c r="P46" s="450">
        <f>SUMIF('Diags Raw Data'!$A$6:$A$3678,"*"&amp;$A46&amp;"*",'Diags Raw Data'!$Z$6:$Z$3678)</f>
        <v>0</v>
      </c>
      <c r="Q46" s="451">
        <f>SUM(SUMIF('Diags Raw Data'!$A$6:$A$3678,"*"&amp;$A46&amp;"*",'Diags Raw Data'!$AA$6:$AA$3678),SUMIF('Diags Raw Data'!$A$6:$A$3678,"*"&amp;$A46&amp;"*",'Diags Raw Data'!$AB$6:$AB$3678))</f>
        <v>0</v>
      </c>
      <c r="R46" s="452">
        <f t="shared" si="3"/>
        <v>0</v>
      </c>
      <c r="S46" s="452">
        <f t="shared" si="4"/>
        <v>0</v>
      </c>
      <c r="T46" s="453">
        <f t="shared" si="5"/>
        <v>0</v>
      </c>
      <c r="U46" s="500" t="s">
        <v>484</v>
      </c>
      <c r="V46" s="181"/>
    </row>
    <row r="47" spans="1:22" ht="15.75" thickBot="1" x14ac:dyDescent="0.3">
      <c r="A47" s="406" t="s">
        <v>445</v>
      </c>
      <c r="B47" s="407" t="str">
        <f>VLOOKUP(A47,'Feature Raw Data'!$A$3:$B$3951,2,FALSE)</f>
        <v>Force DF C-state exit on MCA bank access</v>
      </c>
      <c r="C47" s="413" t="str">
        <f>VLOOKUP(A47,'Feature Raw Data'!$A$3:$C$3951,3,FALSE)</f>
        <v>P1</v>
      </c>
      <c r="D47" s="414" t="str" cm="1">
        <f t="array" ref="D47">_xlfn.TEXTJOIN("",TRUE,IF(ISNUMBER(SEARCH($A47,'Diags Raw Data'!$A$6:$A$3678)),CONCATENATE('Diags Raw Data'!$H$6:$H$3678,", "),""))</f>
        <v xml:space="preserve">FEAT_41, </v>
      </c>
      <c r="E47" s="333" t="str">
        <f>VLOOKUP(A47,'Diags Raw Data'!$A$6:$D$3678,4,FALSE)</f>
        <v>PIE</v>
      </c>
      <c r="F47" s="333" t="str">
        <f>VLOOKUP(A47,'Feature Raw Data'!$A$3:$E$3951,5,FALSE)</f>
        <v>Legacy</v>
      </c>
      <c r="G47" s="333" t="str">
        <f t="shared" si="6"/>
        <v>Yes</v>
      </c>
      <c r="H47" s="333" t="str">
        <f t="shared" si="7"/>
        <v>Yes</v>
      </c>
      <c r="I47" s="413">
        <f>SUMIF('Diags Raw Data'!$A$6:$A$3678,"*"&amp;$A47&amp;"*",'Diags Raw Data'!$K$6:$K$3678)</f>
        <v>0</v>
      </c>
      <c r="J47" s="415">
        <f>SUMIF('Diags Raw Data'!$A$6:$A$3678,"*"&amp;$A47&amp;"*",'Diags Raw Data'!$L$6:$L$3678)</f>
        <v>1</v>
      </c>
      <c r="K47" s="445" cm="1">
        <f t="array" ref="K47">IF(D47="",0, SUMPRODUCT(--(ISNUMBER(SEARCH($A47,'Diags Raw Data'!$A$6:$A$3678))),'Diags Raw Data'!$L$6:$L$3678,'Diags Raw Data'!$N$6:$N$3678)/J47)</f>
        <v>1</v>
      </c>
      <c r="L47" s="446" cm="1">
        <f t="array" ref="L47">IF(D47="",0, SUMPRODUCT(--(ISNUMBER(SEARCH($A47,'Diags Raw Data'!$A$6:$A$3678))),'Diags Raw Data'!$L$6:$L$3678,'Diags Raw Data'!$P$6:$P$3678)/J47)</f>
        <v>1</v>
      </c>
      <c r="M47" s="447" cm="1">
        <f t="array" ref="M47">SUMPRODUCT(--(ISNUMBER(SEARCH($A47,'Diags Raw Data'!$A$6:$A$3678))),--('Diags Raw Data'!$Q$6:$Q$3678&lt;&gt;"N/A"),'Diags Raw Data'!$R$6:$R$3678)</f>
        <v>1</v>
      </c>
      <c r="N47" s="448" cm="1">
        <f t="array" ref="N47">SUMPRODUCT(--(ISNUMBER(SEARCH($A47,'Diags Raw Data'!$A$6:$A$3678))),--('Diags Raw Data'!$Q$6:$Q$3678&lt;&gt;"N/A"),'Diags Raw Data'!$T$6:$T$3678)+SUMPRODUCT(--(ISNUMBER(SEARCH($A47,'Diags Raw Data'!$A$6:$A$3678))),--('Diags Raw Data'!$Q$6:$Q$3678&lt;&gt;"N/A"),'Diags Raw Data'!$U$6:$U$3678)</f>
        <v>1</v>
      </c>
      <c r="O47" s="449">
        <f t="shared" si="2"/>
        <v>1</v>
      </c>
      <c r="P47" s="450">
        <f>SUMIF('Diags Raw Data'!$A$6:$A$3678,"*"&amp;$A47&amp;"*",'Diags Raw Data'!$Z$6:$Z$3678)</f>
        <v>0</v>
      </c>
      <c r="Q47" s="451">
        <f>SUM(SUMIF('Diags Raw Data'!$A$6:$A$3678,"*"&amp;$A47&amp;"*",'Diags Raw Data'!$AA$6:$AA$3678),SUMIF('Diags Raw Data'!$A$6:$A$3678,"*"&amp;$A47&amp;"*",'Diags Raw Data'!$AB$6:$AB$3678))</f>
        <v>0</v>
      </c>
      <c r="R47" s="452">
        <f t="shared" si="3"/>
        <v>0</v>
      </c>
      <c r="S47" s="452">
        <f t="shared" si="4"/>
        <v>0</v>
      </c>
      <c r="T47" s="453">
        <f t="shared" si="5"/>
        <v>0</v>
      </c>
      <c r="U47" s="500" t="s">
        <v>512</v>
      </c>
      <c r="V47" s="181"/>
    </row>
    <row r="48" spans="1:22" ht="15.75" thickBot="1" x14ac:dyDescent="0.3">
      <c r="A48" s="406" t="s">
        <v>448</v>
      </c>
      <c r="B48" s="407" t="str">
        <f>VLOOKUP(A48,'Feature Raw Data'!$A$3:$B$3951,2,FALSE)</f>
        <v xml:space="preserve">DF exerciser </v>
      </c>
      <c r="C48" s="413" t="str">
        <f>VLOOKUP(A48,'Feature Raw Data'!$A$3:$C$3951,3,FALSE)</f>
        <v>P2</v>
      </c>
      <c r="D48" s="414" t="str" cm="1">
        <f t="array" ref="D48">_xlfn.TEXTJOIN("",TRUE,IF(ISNUMBER(SEARCH($A48,'Diags Raw Data'!$A$6:$A$3678)),CONCATENATE('Diags Raw Data'!$H$6:$H$3678,", "),""))</f>
        <v xml:space="preserve">FEAT_42.1-4, </v>
      </c>
      <c r="E48" s="333" t="str">
        <f>VLOOKUP(A48,'Diags Raw Data'!$A$6:$D$3678,4,FALSE)</f>
        <v>DF</v>
      </c>
      <c r="F48" s="333" t="str">
        <f>VLOOKUP(A48,'Feature Raw Data'!$A$3:$E$3951,5,FALSE)</f>
        <v>Legacy</v>
      </c>
      <c r="G48" s="333" t="str">
        <f t="shared" si="6"/>
        <v>Yes</v>
      </c>
      <c r="H48" s="333" t="str">
        <f t="shared" si="7"/>
        <v>Yes</v>
      </c>
      <c r="I48" s="413">
        <f>SUMIF('Diags Raw Data'!$A$6:$A$3678,"*"&amp;$A48&amp;"*",'Diags Raw Data'!$K$6:$K$3678)</f>
        <v>1</v>
      </c>
      <c r="J48" s="415">
        <f>SUMIF('Diags Raw Data'!$A$6:$A$3678,"*"&amp;$A48&amp;"*",'Diags Raw Data'!$L$6:$L$3678)</f>
        <v>4</v>
      </c>
      <c r="K48" s="445" cm="1">
        <f t="array" ref="K48">IF(D48="",0, SUMPRODUCT(--(ISNUMBER(SEARCH($A48,'Diags Raw Data'!$A$6:$A$3678))),'Diags Raw Data'!$L$6:$L$3678,'Diags Raw Data'!$N$6:$N$3678)/J48)</f>
        <v>1</v>
      </c>
      <c r="L48" s="446" cm="1">
        <f t="array" ref="L48">IF(D48="",0, SUMPRODUCT(--(ISNUMBER(SEARCH($A48,'Diags Raw Data'!$A$6:$A$3678))),'Diags Raw Data'!$L$6:$L$3678,'Diags Raw Data'!$P$6:$P$3678)/J48)</f>
        <v>1</v>
      </c>
      <c r="M48" s="447" cm="1">
        <f t="array" ref="M48">SUMPRODUCT(--(ISNUMBER(SEARCH($A48,'Diags Raw Data'!$A$6:$A$3678))),--('Diags Raw Data'!$Q$6:$Q$3678&lt;&gt;"N/A"),'Diags Raw Data'!$R$6:$R$3678)</f>
        <v>4</v>
      </c>
      <c r="N48" s="448" cm="1">
        <f t="array" ref="N48">SUMPRODUCT(--(ISNUMBER(SEARCH($A48,'Diags Raw Data'!$A$6:$A$3678))),--('Diags Raw Data'!$Q$6:$Q$3678&lt;&gt;"N/A"),'Diags Raw Data'!$T$6:$T$3678)+SUMPRODUCT(--(ISNUMBER(SEARCH($A48,'Diags Raw Data'!$A$6:$A$3678))),--('Diags Raw Data'!$Q$6:$Q$3678&lt;&gt;"N/A"),'Diags Raw Data'!$U$6:$U$3678)</f>
        <v>4</v>
      </c>
      <c r="O48" s="449">
        <f t="shared" si="2"/>
        <v>1</v>
      </c>
      <c r="P48" s="450">
        <f>SUMIF('Diags Raw Data'!$A$6:$A$3678,"*"&amp;$A48&amp;"*",'Diags Raw Data'!$Z$6:$Z$3678)</f>
        <v>0</v>
      </c>
      <c r="Q48" s="451">
        <f>SUM(SUMIF('Diags Raw Data'!$A$6:$A$3678,"*"&amp;$A48&amp;"*",'Diags Raw Data'!$AA$6:$AA$3678),SUMIF('Diags Raw Data'!$A$6:$A$3678,"*"&amp;$A48&amp;"*",'Diags Raw Data'!$AB$6:$AB$3678))</f>
        <v>0</v>
      </c>
      <c r="R48" s="452">
        <f t="shared" si="3"/>
        <v>0</v>
      </c>
      <c r="S48" s="452">
        <f t="shared" si="4"/>
        <v>0</v>
      </c>
      <c r="T48" s="453">
        <f t="shared" si="5"/>
        <v>0</v>
      </c>
      <c r="U48" s="500" t="s">
        <v>511</v>
      </c>
      <c r="V48" s="181"/>
    </row>
    <row r="49" spans="1:22" ht="15.75" thickBot="1" x14ac:dyDescent="0.3">
      <c r="A49" s="406" t="s">
        <v>450</v>
      </c>
      <c r="B49" s="407" t="str">
        <f>VLOOKUP(A49,'Feature Raw Data'!$A$3:$B$3951,2,FALSE)</f>
        <v>Support for DF Segment Clock Gating</v>
      </c>
      <c r="C49" s="413" t="str">
        <f>VLOOKUP(A49,'Feature Raw Data'!$A$3:$C$3951,3,FALSE)</f>
        <v>P2</v>
      </c>
      <c r="D49" s="414" t="str" cm="1">
        <f t="array" ref="D49">_xlfn.TEXTJOIN("",TRUE,IF(ISNUMBER(SEARCH($A49,'Diags Raw Data'!$A$6:$A$3678)),CONCATENATE('Diags Raw Data'!$H$6:$H$3678,", "),""))</f>
        <v xml:space="preserve">FEAT_43.1-4, </v>
      </c>
      <c r="E49" s="333" t="str">
        <f>VLOOKUP(A49,'Diags Raw Data'!$A$6:$D$3678,4,FALSE)</f>
        <v>PIE</v>
      </c>
      <c r="F49" s="333" t="str">
        <f>VLOOKUP(A49,'Feature Raw Data'!$A$3:$E$3951,5,FALSE)</f>
        <v>New</v>
      </c>
      <c r="G49" s="333" t="str">
        <f t="shared" ref="G49" si="8">IF(D49="","No","Yes")</f>
        <v>Yes</v>
      </c>
      <c r="H49" s="333" t="str">
        <f t="shared" ref="H49" si="9">IF(D49="","No","Yes")</f>
        <v>Yes</v>
      </c>
      <c r="I49" s="413">
        <f>SUMIF('Diags Raw Data'!$A$6:$A$3678,"*"&amp;$A49&amp;"*",'Diags Raw Data'!$K$6:$K$3678)</f>
        <v>1</v>
      </c>
      <c r="J49" s="415">
        <f>SUMIF('Diags Raw Data'!$A$6:$A$3678,"*"&amp;$A49&amp;"*",'Diags Raw Data'!$L$6:$L$3678)</f>
        <v>4</v>
      </c>
      <c r="K49" s="445" cm="1">
        <f t="array" ref="K49">IF(D49="",0, SUMPRODUCT(--(ISNUMBER(SEARCH($A49,'Diags Raw Data'!$A$6:$A$3678))),'Diags Raw Data'!$L$6:$L$3678,'Diags Raw Data'!$N$6:$N$3678)/J49)</f>
        <v>1</v>
      </c>
      <c r="L49" s="446" cm="1">
        <f t="array" ref="L49">IF(D49="",0, SUMPRODUCT(--(ISNUMBER(SEARCH($A49,'Diags Raw Data'!$A$6:$A$3678))),'Diags Raw Data'!$L$6:$L$3678,'Diags Raw Data'!$P$6:$P$3678)/J49)</f>
        <v>1</v>
      </c>
      <c r="M49" s="447" cm="1">
        <f t="array" ref="M49">SUMPRODUCT(--(ISNUMBER(SEARCH($A49,'Diags Raw Data'!$A$6:$A$3678))),--('Diags Raw Data'!$Q$6:$Q$3678&lt;&gt;"N/A"),'Diags Raw Data'!$R$6:$R$3678)</f>
        <v>3</v>
      </c>
      <c r="N49" s="448" cm="1">
        <f t="array" ref="N49">SUMPRODUCT(--(ISNUMBER(SEARCH($A49,'Diags Raw Data'!$A$6:$A$3678))),--('Diags Raw Data'!$Q$6:$Q$3678&lt;&gt;"N/A"),'Diags Raw Data'!$T$6:$T$3678)+SUMPRODUCT(--(ISNUMBER(SEARCH($A49,'Diags Raw Data'!$A$6:$A$3678))),--('Diags Raw Data'!$Q$6:$Q$3678&lt;&gt;"N/A"),'Diags Raw Data'!$U$6:$U$3678)</f>
        <v>3</v>
      </c>
      <c r="O49" s="449">
        <f t="shared" ref="O49" si="10">IF((M49=0),0,N49/M49)</f>
        <v>1</v>
      </c>
      <c r="P49" s="450">
        <f>SUMIF('Diags Raw Data'!$A$6:$A$3678,"*"&amp;$A49&amp;"*",'Diags Raw Data'!$Z$6:$Z$3678)</f>
        <v>0</v>
      </c>
      <c r="Q49" s="451">
        <f>SUM(SUMIF('Diags Raw Data'!$A$6:$A$3678,"*"&amp;$A49&amp;"*",'Diags Raw Data'!$AA$6:$AA$3678),SUMIF('Diags Raw Data'!$A$6:$A$3678,"*"&amp;$A49&amp;"*",'Diags Raw Data'!$AB$6:$AB$3678))</f>
        <v>0</v>
      </c>
      <c r="R49" s="452">
        <f t="shared" ref="R49" si="11">IF((J49=0),0,P49/J49)</f>
        <v>0</v>
      </c>
      <c r="S49" s="452">
        <f t="shared" ref="S49" si="12">IF((P49=0),0,Q49/P49)</f>
        <v>0</v>
      </c>
      <c r="T49" s="453">
        <f t="shared" ref="T49" si="13">R49*S49</f>
        <v>0</v>
      </c>
      <c r="U49" s="500" t="s">
        <v>515</v>
      </c>
      <c r="V49" s="181"/>
    </row>
    <row r="50" spans="1:22" ht="15.75" thickBot="1" x14ac:dyDescent="0.3">
      <c r="A50" s="406" t="s">
        <v>452</v>
      </c>
      <c r="B50" s="407" t="str">
        <f>VLOOKUP(A50,'Feature Raw Data'!$A$3:$B$3951,2,FALSE)</f>
        <v>IOM Cancel/Replay</v>
      </c>
      <c r="C50" s="413" t="str">
        <f>VLOOKUP(A50,'Feature Raw Data'!$A$3:$C$3951,3,FALSE)</f>
        <v>P1</v>
      </c>
      <c r="D50" s="414" t="str" cm="1">
        <f t="array" ref="D50">_xlfn.TEXTJOIN("",TRUE,IF(ISNUMBER(SEARCH($A50,'Diags Raw Data'!$A$6:$A$3678)),CONCATENATE('Diags Raw Data'!$H$6:$H$3678,", "),""))</f>
        <v xml:space="preserve">FEAT_44, </v>
      </c>
      <c r="E50" s="333" t="str">
        <f>VLOOKUP(A50,'Diags Raw Data'!$A$6:$D$3678,4,FALSE)</f>
        <v>IOM</v>
      </c>
      <c r="F50" s="333" t="str">
        <f>VLOOKUP(A50,'Feature Raw Data'!$A$3:$E$3951,5,FALSE)</f>
        <v>New</v>
      </c>
      <c r="G50" s="333" t="str">
        <f t="shared" ref="G50" si="14">IF(D50="","No","Yes")</f>
        <v>Yes</v>
      </c>
      <c r="H50" s="333" t="str">
        <f t="shared" ref="H50" si="15">IF(D50="","No","Yes")</f>
        <v>Yes</v>
      </c>
      <c r="I50" s="413">
        <f>SUMIF('Diags Raw Data'!$A$6:$A$3678,"*"&amp;$A50&amp;"*",'Diags Raw Data'!$K$6:$K$3678)</f>
        <v>1</v>
      </c>
      <c r="J50" s="415">
        <f>SUMIF('Diags Raw Data'!$A$6:$A$3678,"*"&amp;$A50&amp;"*",'Diags Raw Data'!$L$6:$L$3678)</f>
        <v>1</v>
      </c>
      <c r="K50" s="445" cm="1">
        <f t="array" ref="K50">IF(D50="",0, SUMPRODUCT(--(ISNUMBER(SEARCH($A50,'Diags Raw Data'!$A$6:$A$3678))),'Diags Raw Data'!$L$6:$L$3678,'Diags Raw Data'!$N$6:$N$3678)/J50)</f>
        <v>1</v>
      </c>
      <c r="L50" s="446" cm="1">
        <f t="array" ref="L50">IF(D50="",0, SUMPRODUCT(--(ISNUMBER(SEARCH($A50,'Diags Raw Data'!$A$6:$A$3678))),'Diags Raw Data'!$L$6:$L$3678,'Diags Raw Data'!$P$6:$P$3678)/J50)</f>
        <v>1</v>
      </c>
      <c r="M50" s="447" cm="1">
        <f t="array" ref="M50">SUMPRODUCT(--(ISNUMBER(SEARCH($A50,'Diags Raw Data'!$A$6:$A$3678))),--('Diags Raw Data'!$Q$6:$Q$3678&lt;&gt;"N/A"),'Diags Raw Data'!$R$6:$R$3678)</f>
        <v>1</v>
      </c>
      <c r="N50" s="448" cm="1">
        <f t="array" ref="N50">SUMPRODUCT(--(ISNUMBER(SEARCH($A50,'Diags Raw Data'!$A$6:$A$3678))),--('Diags Raw Data'!$Q$6:$Q$3678&lt;&gt;"N/A"),'Diags Raw Data'!$T$6:$T$3678)+SUMPRODUCT(--(ISNUMBER(SEARCH($A50,'Diags Raw Data'!$A$6:$A$3678))),--('Diags Raw Data'!$Q$6:$Q$3678&lt;&gt;"N/A"),'Diags Raw Data'!$U$6:$U$3678)</f>
        <v>1</v>
      </c>
      <c r="O50" s="449">
        <f t="shared" ref="O50" si="16">IF((M50=0),0,N50/M50)</f>
        <v>1</v>
      </c>
      <c r="P50" s="450">
        <f>SUMIF('Diags Raw Data'!$A$6:$A$3678,"*"&amp;$A50&amp;"*",'Diags Raw Data'!$Z$6:$Z$3678)</f>
        <v>0</v>
      </c>
      <c r="Q50" s="451">
        <f>SUM(SUMIF('Diags Raw Data'!$A$6:$A$3678,"*"&amp;$A50&amp;"*",'Diags Raw Data'!$AA$6:$AA$3678),SUMIF('Diags Raw Data'!$A$6:$A$3678,"*"&amp;$A50&amp;"*",'Diags Raw Data'!$AB$6:$AB$3678))</f>
        <v>0</v>
      </c>
      <c r="R50" s="452">
        <f t="shared" ref="R50" si="17">IF((J50=0),0,P50/J50)</f>
        <v>0</v>
      </c>
      <c r="S50" s="452">
        <f t="shared" ref="S50" si="18">IF((P50=0),0,Q50/P50)</f>
        <v>0</v>
      </c>
      <c r="T50" s="453">
        <f t="shared" ref="T50" si="19">R50*S50</f>
        <v>0</v>
      </c>
      <c r="U50" s="500" t="s">
        <v>512</v>
      </c>
      <c r="V50" s="181"/>
    </row>
    <row r="51" spans="1:22" ht="15.75" thickBot="1" x14ac:dyDescent="0.3">
      <c r="A51" s="406" t="s">
        <v>456</v>
      </c>
      <c r="B51" s="407" t="str">
        <f>VLOOKUP(A51,'Feature Raw Data'!$A$3:$B$3951,2,FALSE)</f>
        <v xml:space="preserve">TgtReqGo command </v>
      </c>
      <c r="C51" s="413" t="str">
        <f>VLOOKUP(A51,'Feature Raw Data'!$A$3:$C$3951,3,FALSE)</f>
        <v>P1</v>
      </c>
      <c r="D51" s="414" t="str" cm="1">
        <f t="array" ref="D51">_xlfn.TEXTJOIN("",TRUE,IF(ISNUMBER(SEARCH($A51,'Diags Raw Data'!$A$6:$A$3678)),CONCATENATE('Diags Raw Data'!$H$6:$H$3678,", "),""))</f>
        <v xml:space="preserve">FEAT_45, </v>
      </c>
      <c r="E51" s="333" t="str">
        <f>VLOOKUP(A51,'Diags Raw Data'!$A$6:$D$3678,4,FALSE)</f>
        <v>CS</v>
      </c>
      <c r="F51" s="333" t="str">
        <f>VLOOKUP(A51,'Feature Raw Data'!$A$3:$E$3951,5,FALSE)</f>
        <v>New</v>
      </c>
      <c r="G51" s="333" t="str">
        <f t="shared" ref="G51" si="20">IF(D51="","No","Yes")</f>
        <v>Yes</v>
      </c>
      <c r="H51" s="333" t="str">
        <f t="shared" ref="H51" si="21">IF(D51="","No","Yes")</f>
        <v>Yes</v>
      </c>
      <c r="I51" s="413">
        <f>SUMIF('Diags Raw Data'!$A$6:$A$3678,"*"&amp;$A51&amp;"*",'Diags Raw Data'!$K$6:$K$3678)</f>
        <v>1</v>
      </c>
      <c r="J51" s="415">
        <f>SUMIF('Diags Raw Data'!$A$6:$A$3678,"*"&amp;$A51&amp;"*",'Diags Raw Data'!$L$6:$L$3678)</f>
        <v>1</v>
      </c>
      <c r="K51" s="445" cm="1">
        <f t="array" ref="K51">IF(D51="",0, SUMPRODUCT(--(ISNUMBER(SEARCH($A51,'Diags Raw Data'!$A$6:$A$3678))),'Diags Raw Data'!$L$6:$L$3678,'Diags Raw Data'!$N$6:$N$3678)/J51)</f>
        <v>1</v>
      </c>
      <c r="L51" s="446" cm="1">
        <f t="array" ref="L51">IF(D51="",0, SUMPRODUCT(--(ISNUMBER(SEARCH($A51,'Diags Raw Data'!$A$6:$A$3678))),'Diags Raw Data'!$L$6:$L$3678,'Diags Raw Data'!$P$6:$P$3678)/J51)</f>
        <v>1</v>
      </c>
      <c r="M51" s="447" cm="1">
        <f t="array" ref="M51">SUMPRODUCT(--(ISNUMBER(SEARCH($A51,'Diags Raw Data'!$A$6:$A$3678))),--('Diags Raw Data'!$Q$6:$Q$3678&lt;&gt;"N/A"),'Diags Raw Data'!$R$6:$R$3678)</f>
        <v>1</v>
      </c>
      <c r="N51" s="448" cm="1">
        <f t="array" ref="N51">SUMPRODUCT(--(ISNUMBER(SEARCH($A51,'Diags Raw Data'!$A$6:$A$3678))),--('Diags Raw Data'!$Q$6:$Q$3678&lt;&gt;"N/A"),'Diags Raw Data'!$T$6:$T$3678)+SUMPRODUCT(--(ISNUMBER(SEARCH($A51,'Diags Raw Data'!$A$6:$A$3678))),--('Diags Raw Data'!$Q$6:$Q$3678&lt;&gt;"N/A"),'Diags Raw Data'!$U$6:$U$3678)</f>
        <v>1</v>
      </c>
      <c r="O51" s="449">
        <f t="shared" ref="O51" si="22">IF((M51=0),0,N51/M51)</f>
        <v>1</v>
      </c>
      <c r="P51" s="450">
        <f>SUMIF('Diags Raw Data'!$A$6:$A$3678,"*"&amp;$A51&amp;"*",'Diags Raw Data'!$Z$6:$Z$3678)</f>
        <v>0</v>
      </c>
      <c r="Q51" s="451">
        <f>SUM(SUMIF('Diags Raw Data'!$A$6:$A$3678,"*"&amp;$A51&amp;"*",'Diags Raw Data'!$AA$6:$AA$3678),SUMIF('Diags Raw Data'!$A$6:$A$3678,"*"&amp;$A51&amp;"*",'Diags Raw Data'!$AB$6:$AB$3678))</f>
        <v>0</v>
      </c>
      <c r="R51" s="452">
        <f t="shared" ref="R51" si="23">IF((J51=0),0,P51/J51)</f>
        <v>0</v>
      </c>
      <c r="S51" s="452">
        <f t="shared" ref="S51" si="24">IF((P51=0),0,Q51/P51)</f>
        <v>0</v>
      </c>
      <c r="T51" s="453">
        <f t="shared" ref="T51" si="25">R51*S51</f>
        <v>0</v>
      </c>
      <c r="U51" s="500" t="s">
        <v>513</v>
      </c>
      <c r="V51" s="181"/>
    </row>
    <row r="52" spans="1:22" ht="15.75" thickBot="1" x14ac:dyDescent="0.3">
      <c r="A52" s="406" t="s">
        <v>460</v>
      </c>
      <c r="B52" s="407" t="str">
        <f>VLOOKUP(A52,'Feature Raw Data'!$A$3:$B$3951,2,FALSE)</f>
        <v>Add Early Clock Enable for Early FTI fields</v>
      </c>
      <c r="C52" s="413" t="str">
        <f>VLOOKUP(A52,'Feature Raw Data'!$A$3:$C$3951,3,FALSE)</f>
        <v>P1</v>
      </c>
      <c r="D52" s="414" t="str" cm="1">
        <f t="array" ref="D52">_xlfn.TEXTJOIN("",TRUE,IF(ISNUMBER(SEARCH($A52,'Diags Raw Data'!$A$6:$A$3678)),CONCATENATE('Diags Raw Data'!$H$6:$H$3678,", "),""))</f>
        <v xml:space="preserve">FEAT_46, </v>
      </c>
      <c r="E52" s="333" t="str">
        <f>VLOOKUP(A52,'Diags Raw Data'!$A$6:$D$3678,4,FALSE)</f>
        <v>DF</v>
      </c>
      <c r="F52" s="333" t="str">
        <f>VLOOKUP(A52,'Feature Raw Data'!$A$3:$E$3951,5,FALSE)</f>
        <v>New</v>
      </c>
      <c r="G52" s="333" t="str">
        <f t="shared" ref="G52" si="26">IF(D52="","No","Yes")</f>
        <v>Yes</v>
      </c>
      <c r="H52" s="333" t="str">
        <f t="shared" ref="H52" si="27">IF(D52="","No","Yes")</f>
        <v>Yes</v>
      </c>
      <c r="I52" s="413">
        <f>SUMIF('Diags Raw Data'!$A$6:$A$3678,"*"&amp;$A52&amp;"*",'Diags Raw Data'!$K$6:$K$3678)</f>
        <v>1</v>
      </c>
      <c r="J52" s="415">
        <f>SUMIF('Diags Raw Data'!$A$6:$A$3678,"*"&amp;$A52&amp;"*",'Diags Raw Data'!$L$6:$L$3678)</f>
        <v>1</v>
      </c>
      <c r="K52" s="445" cm="1">
        <f t="array" ref="K52">IF(D52="",0, SUMPRODUCT(--(ISNUMBER(SEARCH($A52,'Diags Raw Data'!$A$6:$A$3678))),'Diags Raw Data'!$L$6:$L$3678,'Diags Raw Data'!$N$6:$N$3678)/J52)</f>
        <v>1</v>
      </c>
      <c r="L52" s="446" cm="1">
        <f t="array" ref="L52">IF(D52="",0, SUMPRODUCT(--(ISNUMBER(SEARCH($A52,'Diags Raw Data'!$A$6:$A$3678))),'Diags Raw Data'!$L$6:$L$3678,'Diags Raw Data'!$P$6:$P$3678)/J52)</f>
        <v>1</v>
      </c>
      <c r="M52" s="447" cm="1">
        <f t="array" ref="M52">SUMPRODUCT(--(ISNUMBER(SEARCH($A52,'Diags Raw Data'!$A$6:$A$3678))),--('Diags Raw Data'!$Q$6:$Q$3678&lt;&gt;"N/A"),'Diags Raw Data'!$R$6:$R$3678)</f>
        <v>1</v>
      </c>
      <c r="N52" s="448" cm="1">
        <f t="array" ref="N52">SUMPRODUCT(--(ISNUMBER(SEARCH($A52,'Diags Raw Data'!$A$6:$A$3678))),--('Diags Raw Data'!$Q$6:$Q$3678&lt;&gt;"N/A"),'Diags Raw Data'!$T$6:$T$3678)+SUMPRODUCT(--(ISNUMBER(SEARCH($A52,'Diags Raw Data'!$A$6:$A$3678))),--('Diags Raw Data'!$Q$6:$Q$3678&lt;&gt;"N/A"),'Diags Raw Data'!$U$6:$U$3678)</f>
        <v>1</v>
      </c>
      <c r="O52" s="449">
        <f t="shared" ref="O52" si="28">IF((M52=0),0,N52/M52)</f>
        <v>1</v>
      </c>
      <c r="P52" s="450">
        <f>SUMIF('Diags Raw Data'!$A$6:$A$3678,"*"&amp;$A52&amp;"*",'Diags Raw Data'!$Z$6:$Z$3678)</f>
        <v>0</v>
      </c>
      <c r="Q52" s="451">
        <f>SUM(SUMIF('Diags Raw Data'!$A$6:$A$3678,"*"&amp;$A52&amp;"*",'Diags Raw Data'!$AA$6:$AA$3678),SUMIF('Diags Raw Data'!$A$6:$A$3678,"*"&amp;$A52&amp;"*",'Diags Raw Data'!$AB$6:$AB$3678))</f>
        <v>0</v>
      </c>
      <c r="R52" s="452">
        <f t="shared" ref="R52" si="29">IF((J52=0),0,P52/J52)</f>
        <v>0</v>
      </c>
      <c r="S52" s="452">
        <f t="shared" ref="S52" si="30">IF((P52=0),0,Q52/P52)</f>
        <v>0</v>
      </c>
      <c r="T52" s="453">
        <f t="shared" ref="T52" si="31">R52*S52</f>
        <v>0</v>
      </c>
      <c r="U52" s="500" t="s">
        <v>514</v>
      </c>
      <c r="V52" s="181"/>
    </row>
    <row r="53" spans="1:22" ht="15.75" thickBot="1" x14ac:dyDescent="0.3">
      <c r="A53" s="406" t="s">
        <v>462</v>
      </c>
      <c r="B53" s="407" t="str">
        <f>VLOOKUP(A53,'Feature Raw Data'!$A$3:$B$3951,2,FALSE)</f>
        <v>Drive FCI Bus Clock Enable efficiently</v>
      </c>
      <c r="C53" s="413" t="str">
        <f>VLOOKUP(A53,'Feature Raw Data'!$A$3:$C$3951,3,FALSE)</f>
        <v>P1</v>
      </c>
      <c r="D53" s="414" t="str" cm="1">
        <f t="array" ref="D53">_xlfn.TEXTJOIN("",TRUE,IF(ISNUMBER(SEARCH($A53,'Diags Raw Data'!$A$6:$A$3678)),CONCATENATE('Diags Raw Data'!$H$6:$H$3678,", "),""))</f>
        <v xml:space="preserve">FEAT_47, </v>
      </c>
      <c r="E53" s="333" t="str">
        <f>VLOOKUP(A53,'Diags Raw Data'!$A$6:$D$3678,4,FALSE)</f>
        <v>DF</v>
      </c>
      <c r="F53" s="333" t="str">
        <f>VLOOKUP(A53,'Feature Raw Data'!$A$3:$E$3951,5,FALSE)</f>
        <v>New</v>
      </c>
      <c r="G53" s="333" t="str">
        <f t="shared" ref="G53" si="32">IF(D53="","No","Yes")</f>
        <v>Yes</v>
      </c>
      <c r="H53" s="333" t="str">
        <f t="shared" ref="H53" si="33">IF(D53="","No","Yes")</f>
        <v>Yes</v>
      </c>
      <c r="I53" s="413">
        <f>SUMIF('Diags Raw Data'!$A$6:$A$3678,"*"&amp;$A53&amp;"*",'Diags Raw Data'!$K$6:$K$3678)</f>
        <v>1</v>
      </c>
      <c r="J53" s="415">
        <f>SUMIF('Diags Raw Data'!$A$6:$A$3678,"*"&amp;$A53&amp;"*",'Diags Raw Data'!$L$6:$L$3678)</f>
        <v>1</v>
      </c>
      <c r="K53" s="445" cm="1">
        <f t="array" ref="K53">IF(D53="",0, SUMPRODUCT(--(ISNUMBER(SEARCH($A53,'Diags Raw Data'!$A$6:$A$3678))),'Diags Raw Data'!$L$6:$L$3678,'Diags Raw Data'!$N$6:$N$3678)/J53)</f>
        <v>1</v>
      </c>
      <c r="L53" s="446" cm="1">
        <f t="array" ref="L53">IF(D53="",0, SUMPRODUCT(--(ISNUMBER(SEARCH($A53,'Diags Raw Data'!$A$6:$A$3678))),'Diags Raw Data'!$L$6:$L$3678,'Diags Raw Data'!$P$6:$P$3678)/J53)</f>
        <v>1</v>
      </c>
      <c r="M53" s="447" cm="1">
        <f t="array" ref="M53">SUMPRODUCT(--(ISNUMBER(SEARCH($A53,'Diags Raw Data'!$A$6:$A$3678))),--('Diags Raw Data'!$Q$6:$Q$3678&lt;&gt;"N/A"),'Diags Raw Data'!$R$6:$R$3678)</f>
        <v>1</v>
      </c>
      <c r="N53" s="448" cm="1">
        <f t="array" ref="N53">SUMPRODUCT(--(ISNUMBER(SEARCH($A53,'Diags Raw Data'!$A$6:$A$3678))),--('Diags Raw Data'!$Q$6:$Q$3678&lt;&gt;"N/A"),'Diags Raw Data'!$T$6:$T$3678)+SUMPRODUCT(--(ISNUMBER(SEARCH($A53,'Diags Raw Data'!$A$6:$A$3678))),--('Diags Raw Data'!$Q$6:$Q$3678&lt;&gt;"N/A"),'Diags Raw Data'!$U$6:$U$3678)</f>
        <v>1</v>
      </c>
      <c r="O53" s="449">
        <f t="shared" ref="O53" si="34">IF((M53=0),0,N53/M53)</f>
        <v>1</v>
      </c>
      <c r="P53" s="450">
        <f>SUMIF('Diags Raw Data'!$A$6:$A$3678,"*"&amp;$A53&amp;"*",'Diags Raw Data'!$Z$6:$Z$3678)</f>
        <v>0</v>
      </c>
      <c r="Q53" s="451">
        <f>SUM(SUMIF('Diags Raw Data'!$A$6:$A$3678,"*"&amp;$A53&amp;"*",'Diags Raw Data'!$AA$6:$AA$3678),SUMIF('Diags Raw Data'!$A$6:$A$3678,"*"&amp;$A53&amp;"*",'Diags Raw Data'!$AB$6:$AB$3678))</f>
        <v>0</v>
      </c>
      <c r="R53" s="452">
        <f t="shared" ref="R53" si="35">IF((J53=0),0,P53/J53)</f>
        <v>0</v>
      </c>
      <c r="S53" s="452">
        <f t="shared" ref="S53" si="36">IF((P53=0),0,Q53/P53)</f>
        <v>0</v>
      </c>
      <c r="T53" s="453">
        <f t="shared" ref="T53" si="37">R53*S53</f>
        <v>0</v>
      </c>
      <c r="U53" s="500" t="s">
        <v>484</v>
      </c>
      <c r="V53" s="181"/>
    </row>
    <row r="54" spans="1:22" ht="15.75" thickBot="1" x14ac:dyDescent="0.3">
      <c r="A54" s="406" t="s">
        <v>464</v>
      </c>
      <c r="B54" s="407" t="str">
        <f>VLOOKUP(A54,'Feature Raw Data'!$A$3:$B$3951,2,FALSE)</f>
        <v>Filter Internal Registers before generating FCI accesses</v>
      </c>
      <c r="C54" s="413" t="str">
        <f>VLOOKUP(A54,'Feature Raw Data'!$A$3:$C$3951,3,FALSE)</f>
        <v>P1</v>
      </c>
      <c r="D54" s="414" t="str" cm="1">
        <f t="array" ref="D54">_xlfn.TEXTJOIN("",TRUE,IF(ISNUMBER(SEARCH($A54,'Diags Raw Data'!$A$6:$A$3678)),CONCATENATE('Diags Raw Data'!$H$6:$H$3678,", "),""))</f>
        <v xml:space="preserve">FEAT_48, </v>
      </c>
      <c r="E54" s="333" t="str">
        <f>VLOOKUP(A54,'Diags Raw Data'!$A$6:$D$3678,4,FALSE)</f>
        <v>DF</v>
      </c>
      <c r="F54" s="333" t="str">
        <f>VLOOKUP(A54,'Feature Raw Data'!$A$3:$E$3951,5,FALSE)</f>
        <v>New</v>
      </c>
      <c r="G54" s="333" t="str">
        <f t="shared" ref="G54" si="38">IF(D54="","No","Yes")</f>
        <v>Yes</v>
      </c>
      <c r="H54" s="333" t="str">
        <f t="shared" ref="H54" si="39">IF(D54="","No","Yes")</f>
        <v>Yes</v>
      </c>
      <c r="I54" s="413">
        <f>SUMIF('Diags Raw Data'!$A$6:$A$3678,"*"&amp;$A54&amp;"*",'Diags Raw Data'!$K$6:$K$3678)</f>
        <v>1</v>
      </c>
      <c r="J54" s="415">
        <f>SUMIF('Diags Raw Data'!$A$6:$A$3678,"*"&amp;$A54&amp;"*",'Diags Raw Data'!$L$6:$L$3678)</f>
        <v>1</v>
      </c>
      <c r="K54" s="445" cm="1">
        <f t="array" ref="K54">IF(D54="",0, SUMPRODUCT(--(ISNUMBER(SEARCH($A54,'Diags Raw Data'!$A$6:$A$3678))),'Diags Raw Data'!$L$6:$L$3678,'Diags Raw Data'!$N$6:$N$3678)/J54)</f>
        <v>1</v>
      </c>
      <c r="L54" s="446" cm="1">
        <f t="array" ref="L54">IF(D54="",0, SUMPRODUCT(--(ISNUMBER(SEARCH($A54,'Diags Raw Data'!$A$6:$A$3678))),'Diags Raw Data'!$L$6:$L$3678,'Diags Raw Data'!$P$6:$P$3678)/J54)</f>
        <v>1</v>
      </c>
      <c r="M54" s="447" cm="1">
        <f t="array" ref="M54">SUMPRODUCT(--(ISNUMBER(SEARCH($A54,'Diags Raw Data'!$A$6:$A$3678))),--('Diags Raw Data'!$Q$6:$Q$3678&lt;&gt;"N/A"),'Diags Raw Data'!$R$6:$R$3678)</f>
        <v>1</v>
      </c>
      <c r="N54" s="448" cm="1">
        <f t="array" ref="N54">SUMPRODUCT(--(ISNUMBER(SEARCH($A54,'Diags Raw Data'!$A$6:$A$3678))),--('Diags Raw Data'!$Q$6:$Q$3678&lt;&gt;"N/A"),'Diags Raw Data'!$T$6:$T$3678)+SUMPRODUCT(--(ISNUMBER(SEARCH($A54,'Diags Raw Data'!$A$6:$A$3678))),--('Diags Raw Data'!$Q$6:$Q$3678&lt;&gt;"N/A"),'Diags Raw Data'!$U$6:$U$3678)</f>
        <v>1</v>
      </c>
      <c r="O54" s="449">
        <f t="shared" ref="O54" si="40">IF((M54=0),0,N54/M54)</f>
        <v>1</v>
      </c>
      <c r="P54" s="450">
        <f>SUMIF('Diags Raw Data'!$A$6:$A$3678,"*"&amp;$A54&amp;"*",'Diags Raw Data'!$Z$6:$Z$3678)</f>
        <v>0</v>
      </c>
      <c r="Q54" s="451">
        <f>SUM(SUMIF('Diags Raw Data'!$A$6:$A$3678,"*"&amp;$A54&amp;"*",'Diags Raw Data'!$AA$6:$AA$3678),SUMIF('Diags Raw Data'!$A$6:$A$3678,"*"&amp;$A54&amp;"*",'Diags Raw Data'!$AB$6:$AB$3678))</f>
        <v>0</v>
      </c>
      <c r="R54" s="452">
        <f t="shared" ref="R54" si="41">IF((J54=0),0,P54/J54)</f>
        <v>0</v>
      </c>
      <c r="S54" s="452">
        <f t="shared" ref="S54" si="42">IF((P54=0),0,Q54/P54)</f>
        <v>0</v>
      </c>
      <c r="T54" s="453">
        <f t="shared" ref="T54" si="43">R54*S54</f>
        <v>0</v>
      </c>
      <c r="U54" s="500" t="s">
        <v>484</v>
      </c>
      <c r="V54" s="181"/>
    </row>
    <row r="55" spans="1:22" ht="30.75" thickBot="1" x14ac:dyDescent="0.3">
      <c r="A55" s="406" t="s">
        <v>466</v>
      </c>
      <c r="B55" s="407" t="str">
        <f>VLOOKUP(A55,'Feature Raw Data'!$A$3:$B$3951,2,FALSE)</f>
        <v>Support for LPA Interrupt steering to performance and efficient clusters</v>
      </c>
      <c r="C55" s="413" t="str">
        <f>VLOOKUP(A55,'Feature Raw Data'!$A$3:$C$3951,3,FALSE)</f>
        <v>P1</v>
      </c>
      <c r="D55" s="414" t="str" cm="1">
        <f t="array" ref="D55">_xlfn.TEXTJOIN("",TRUE,IF(ISNUMBER(SEARCH($A55,'Diags Raw Data'!$A$6:$A$3678)),CONCATENATE('Diags Raw Data'!$H$6:$H$3678,", "),""))</f>
        <v xml:space="preserve">FEAT_49, </v>
      </c>
      <c r="E55" s="333" t="str">
        <f>VLOOKUP(A55,'Diags Raw Data'!$A$6:$D$3678,4,FALSE)</f>
        <v>PIE</v>
      </c>
      <c r="F55" s="333" t="str">
        <f>VLOOKUP(A55,'Feature Raw Data'!$A$3:$E$3951,5,FALSE)</f>
        <v>New</v>
      </c>
      <c r="G55" s="333" t="str">
        <f t="shared" ref="G55" si="44">IF(D55="","No","Yes")</f>
        <v>Yes</v>
      </c>
      <c r="H55" s="333" t="str">
        <f t="shared" ref="H55" si="45">IF(D55="","No","Yes")</f>
        <v>Yes</v>
      </c>
      <c r="I55" s="413">
        <f>SUMIF('Diags Raw Data'!$A$6:$A$3678,"*"&amp;$A55&amp;"*",'Diags Raw Data'!$K$6:$K$3678)</f>
        <v>1</v>
      </c>
      <c r="J55" s="415">
        <f>SUMIF('Diags Raw Data'!$A$6:$A$3678,"*"&amp;$A55&amp;"*",'Diags Raw Data'!$L$6:$L$3678)</f>
        <v>1</v>
      </c>
      <c r="K55" s="445" cm="1">
        <f t="array" ref="K55">IF(D55="",0, SUMPRODUCT(--(ISNUMBER(SEARCH($A55,'Diags Raw Data'!$A$6:$A$3678))),'Diags Raw Data'!$L$6:$L$3678,'Diags Raw Data'!$N$6:$N$3678)/J55)</f>
        <v>1</v>
      </c>
      <c r="L55" s="446" cm="1">
        <f t="array" ref="L55">IF(D55="",0, SUMPRODUCT(--(ISNUMBER(SEARCH($A55,'Diags Raw Data'!$A$6:$A$3678))),'Diags Raw Data'!$L$6:$L$3678,'Diags Raw Data'!$P$6:$P$3678)/J55)</f>
        <v>1</v>
      </c>
      <c r="M55" s="447" cm="1">
        <f t="array" ref="M55">SUMPRODUCT(--(ISNUMBER(SEARCH($A55,'Diags Raw Data'!$A$6:$A$3678))),--('Diags Raw Data'!$Q$6:$Q$3678&lt;&gt;"N/A"),'Diags Raw Data'!$R$6:$R$3678)</f>
        <v>1</v>
      </c>
      <c r="N55" s="448" cm="1">
        <f t="array" ref="N55">SUMPRODUCT(--(ISNUMBER(SEARCH($A55,'Diags Raw Data'!$A$6:$A$3678))),--('Diags Raw Data'!$Q$6:$Q$3678&lt;&gt;"N/A"),'Diags Raw Data'!$T$6:$T$3678)+SUMPRODUCT(--(ISNUMBER(SEARCH($A55,'Diags Raw Data'!$A$6:$A$3678))),--('Diags Raw Data'!$Q$6:$Q$3678&lt;&gt;"N/A"),'Diags Raw Data'!$U$6:$U$3678)</f>
        <v>1</v>
      </c>
      <c r="O55" s="449">
        <f t="shared" ref="O55" si="46">IF((M55=0),0,N55/M55)</f>
        <v>1</v>
      </c>
      <c r="P55" s="450">
        <f>SUMIF('Diags Raw Data'!$A$6:$A$3678,"*"&amp;$A55&amp;"*",'Diags Raw Data'!$Z$6:$Z$3678)</f>
        <v>0</v>
      </c>
      <c r="Q55" s="451">
        <f>SUM(SUMIF('Diags Raw Data'!$A$6:$A$3678,"*"&amp;$A55&amp;"*",'Diags Raw Data'!$AA$6:$AA$3678),SUMIF('Diags Raw Data'!$A$6:$A$3678,"*"&amp;$A55&amp;"*",'Diags Raw Data'!$AB$6:$AB$3678))</f>
        <v>0</v>
      </c>
      <c r="R55" s="452">
        <f t="shared" ref="R55" si="47">IF((J55=0),0,P55/J55)</f>
        <v>0</v>
      </c>
      <c r="S55" s="452">
        <f t="shared" ref="S55" si="48">IF((P55=0),0,Q55/P55)</f>
        <v>0</v>
      </c>
      <c r="T55" s="453">
        <f t="shared" ref="T55" si="49">R55*S55</f>
        <v>0</v>
      </c>
      <c r="U55" s="500" t="s">
        <v>516</v>
      </c>
      <c r="V55" s="181"/>
    </row>
    <row r="56" spans="1:22" ht="15.75" thickBot="1" x14ac:dyDescent="0.3">
      <c r="A56" s="406" t="s">
        <v>468</v>
      </c>
      <c r="B56" s="407" t="str">
        <f>VLOOKUP(A56,'Feature Raw Data'!$A$3:$B$3951,2,FALSE)</f>
        <v>Support Dual Owner in Strix SPF</v>
      </c>
      <c r="C56" s="413" t="str">
        <f>VLOOKUP(A56,'Feature Raw Data'!$A$3:$C$3951,3,FALSE)</f>
        <v>P1</v>
      </c>
      <c r="D56" s="414" t="str" cm="1">
        <f t="array" ref="D56">_xlfn.TEXTJOIN("",TRUE,IF(ISNUMBER(SEARCH($A56,'Diags Raw Data'!$A$6:$A$3678)),CONCATENATE('Diags Raw Data'!$H$6:$H$3678,", "),""))</f>
        <v xml:space="preserve">FEAT_50, </v>
      </c>
      <c r="E56" s="333" t="str">
        <f>VLOOKUP(A56,'Diags Raw Data'!$A$6:$D$3678,4,FALSE)</f>
        <v>CS</v>
      </c>
      <c r="F56" s="333" t="str">
        <f>VLOOKUP(A56,'Feature Raw Data'!$A$3:$E$3951,5,FALSE)</f>
        <v>New</v>
      </c>
      <c r="G56" s="333" t="str">
        <f t="shared" ref="G56" si="50">IF(D56="","No","Yes")</f>
        <v>Yes</v>
      </c>
      <c r="H56" s="333" t="str">
        <f t="shared" ref="H56" si="51">IF(D56="","No","Yes")</f>
        <v>Yes</v>
      </c>
      <c r="I56" s="413">
        <f>SUMIF('Diags Raw Data'!$A$6:$A$3678,"*"&amp;$A56&amp;"*",'Diags Raw Data'!$K$6:$K$3678)</f>
        <v>1</v>
      </c>
      <c r="J56" s="415">
        <f>SUMIF('Diags Raw Data'!$A$6:$A$3678,"*"&amp;$A56&amp;"*",'Diags Raw Data'!$L$6:$L$3678)</f>
        <v>1</v>
      </c>
      <c r="K56" s="445" cm="1">
        <f t="array" ref="K56">IF(D56="",0, SUMPRODUCT(--(ISNUMBER(SEARCH($A56,'Diags Raw Data'!$A$6:$A$3678))),'Diags Raw Data'!$L$6:$L$3678,'Diags Raw Data'!$N$6:$N$3678)/J56)</f>
        <v>1</v>
      </c>
      <c r="L56" s="446" cm="1">
        <f t="array" ref="L56">IF(D56="",0, SUMPRODUCT(--(ISNUMBER(SEARCH($A56,'Diags Raw Data'!$A$6:$A$3678))),'Diags Raw Data'!$L$6:$L$3678,'Diags Raw Data'!$P$6:$P$3678)/J56)</f>
        <v>1</v>
      </c>
      <c r="M56" s="447" cm="1">
        <f t="array" ref="M56">SUMPRODUCT(--(ISNUMBER(SEARCH($A56,'Diags Raw Data'!$A$6:$A$3678))),--('Diags Raw Data'!$Q$6:$Q$3678&lt;&gt;"N/A"),'Diags Raw Data'!$R$6:$R$3678)</f>
        <v>1</v>
      </c>
      <c r="N56" s="448" cm="1">
        <f t="array" ref="N56">SUMPRODUCT(--(ISNUMBER(SEARCH($A56,'Diags Raw Data'!$A$6:$A$3678))),--('Diags Raw Data'!$Q$6:$Q$3678&lt;&gt;"N/A"),'Diags Raw Data'!$T$6:$T$3678)+SUMPRODUCT(--(ISNUMBER(SEARCH($A56,'Diags Raw Data'!$A$6:$A$3678))),--('Diags Raw Data'!$Q$6:$Q$3678&lt;&gt;"N/A"),'Diags Raw Data'!$U$6:$U$3678)</f>
        <v>1</v>
      </c>
      <c r="O56" s="449">
        <f t="shared" ref="O56" si="52">IF((M56=0),0,N56/M56)</f>
        <v>1</v>
      </c>
      <c r="P56" s="450">
        <f>SUMIF('Diags Raw Data'!$A$6:$A$3678,"*"&amp;$A56&amp;"*",'Diags Raw Data'!$Z$6:$Z$3678)</f>
        <v>0</v>
      </c>
      <c r="Q56" s="451">
        <f>SUM(SUMIF('Diags Raw Data'!$A$6:$A$3678,"*"&amp;$A56&amp;"*",'Diags Raw Data'!$AA$6:$AA$3678),SUMIF('Diags Raw Data'!$A$6:$A$3678,"*"&amp;$A56&amp;"*",'Diags Raw Data'!$AB$6:$AB$3678))</f>
        <v>0</v>
      </c>
      <c r="R56" s="452">
        <f t="shared" ref="R56" si="53">IF((J56=0),0,P56/J56)</f>
        <v>0</v>
      </c>
      <c r="S56" s="452">
        <f t="shared" ref="S56" si="54">IF((P56=0),0,Q56/P56)</f>
        <v>0</v>
      </c>
      <c r="T56" s="453">
        <f t="shared" ref="T56" si="55">R56*S56</f>
        <v>0</v>
      </c>
      <c r="U56" s="500" t="s">
        <v>514</v>
      </c>
      <c r="V56" s="181"/>
    </row>
    <row r="57" spans="1:22" ht="15.75" thickBot="1" x14ac:dyDescent="0.3">
      <c r="A57" s="406" t="s">
        <v>470</v>
      </c>
      <c r="B57" s="407" t="str">
        <f>VLOOKUP(A57,'Feature Raw Data'!$A$3:$B$3951,2,FALSE)</f>
        <v>QOS Throttle changes for large and compressed requests</v>
      </c>
      <c r="C57" s="413" t="str">
        <f>VLOOKUP(A57,'Feature Raw Data'!$A$3:$C$3951,3,FALSE)</f>
        <v>P1</v>
      </c>
      <c r="D57" s="414" t="str" cm="1">
        <f t="array" ref="D57">_xlfn.TEXTJOIN("",TRUE,IF(ISNUMBER(SEARCH($A57,'Diags Raw Data'!$A$6:$A$3678)),CONCATENATE('Diags Raw Data'!$H$6:$H$3678,", "),""))</f>
        <v xml:space="preserve">FEAT_51, </v>
      </c>
      <c r="E57" s="333" t="str">
        <f>VLOOKUP(A57,'Diags Raw Data'!$A$6:$D$3678,4,FALSE)</f>
        <v>GCM</v>
      </c>
      <c r="F57" s="333" t="str">
        <f>VLOOKUP(A57,'Feature Raw Data'!$A$3:$E$3951,5,FALSE)</f>
        <v>New</v>
      </c>
      <c r="G57" s="333" t="str">
        <f t="shared" ref="G57:G61" si="56">IF(D57="","No","Yes")</f>
        <v>Yes</v>
      </c>
      <c r="H57" s="333" t="str">
        <f t="shared" ref="H57:H61" si="57">IF(D57="","No","Yes")</f>
        <v>Yes</v>
      </c>
      <c r="I57" s="413">
        <f>SUMIF('Diags Raw Data'!$A$6:$A$3678,"*"&amp;$A57&amp;"*",'Diags Raw Data'!$K$6:$K$3678)</f>
        <v>1</v>
      </c>
      <c r="J57" s="415">
        <f>SUMIF('Diags Raw Data'!$A$6:$A$3678,"*"&amp;$A57&amp;"*",'Diags Raw Data'!$L$6:$L$3678)</f>
        <v>1</v>
      </c>
      <c r="K57" s="445" cm="1">
        <f t="array" ref="K57">IF(D57="",0, SUMPRODUCT(--(ISNUMBER(SEARCH($A57,'Diags Raw Data'!$A$6:$A$3678))),'Diags Raw Data'!$L$6:$L$3678,'Diags Raw Data'!$N$6:$N$3678)/J57)</f>
        <v>1</v>
      </c>
      <c r="L57" s="446" cm="1">
        <f t="array" ref="L57">IF(D57="",0, SUMPRODUCT(--(ISNUMBER(SEARCH($A57,'Diags Raw Data'!$A$6:$A$3678))),'Diags Raw Data'!$L$6:$L$3678,'Diags Raw Data'!$P$6:$P$3678)/J57)</f>
        <v>0</v>
      </c>
      <c r="M57" s="447" cm="1">
        <f t="array" ref="M57">SUMPRODUCT(--(ISNUMBER(SEARCH($A57,'Diags Raw Data'!$A$6:$A$3678))),--('Diags Raw Data'!$Q$6:$Q$3678&lt;&gt;"N/A"),'Diags Raw Data'!$R$6:$R$3678)</f>
        <v>0</v>
      </c>
      <c r="N57" s="448" cm="1">
        <f t="array" ref="N57">SUMPRODUCT(--(ISNUMBER(SEARCH($A57,'Diags Raw Data'!$A$6:$A$3678))),--('Diags Raw Data'!$Q$6:$Q$3678&lt;&gt;"N/A"),'Diags Raw Data'!$T$6:$T$3678)+SUMPRODUCT(--(ISNUMBER(SEARCH($A57,'Diags Raw Data'!$A$6:$A$3678))),--('Diags Raw Data'!$Q$6:$Q$3678&lt;&gt;"N/A"),'Diags Raw Data'!$U$6:$U$3678)</f>
        <v>0</v>
      </c>
      <c r="O57" s="449">
        <f t="shared" ref="O57:O61" si="58">IF((M57=0),0,N57/M57)</f>
        <v>0</v>
      </c>
      <c r="P57" s="450">
        <f>SUMIF('Diags Raw Data'!$A$6:$A$3678,"*"&amp;$A57&amp;"*",'Diags Raw Data'!$Z$6:$Z$3678)</f>
        <v>0</v>
      </c>
      <c r="Q57" s="451">
        <f>SUM(SUMIF('Diags Raw Data'!$A$6:$A$3678,"*"&amp;$A57&amp;"*",'Diags Raw Data'!$AA$6:$AA$3678),SUMIF('Diags Raw Data'!$A$6:$A$3678,"*"&amp;$A57&amp;"*",'Diags Raw Data'!$AB$6:$AB$3678))</f>
        <v>0</v>
      </c>
      <c r="R57" s="452">
        <f t="shared" ref="R57:R61" si="59">IF((J57=0),0,P57/J57)</f>
        <v>0</v>
      </c>
      <c r="S57" s="452">
        <f t="shared" ref="S57:S61" si="60">IF((P57=0),0,Q57/P57)</f>
        <v>0</v>
      </c>
      <c r="T57" s="453">
        <f t="shared" ref="T57:T61" si="61">R57*S57</f>
        <v>0</v>
      </c>
      <c r="U57" s="500" t="s">
        <v>512</v>
      </c>
      <c r="V57" s="181"/>
    </row>
    <row r="58" spans="1:22" ht="15.75" thickBot="1" x14ac:dyDescent="0.3">
      <c r="A58" s="406" t="s">
        <v>473</v>
      </c>
      <c r="B58" s="407" t="str">
        <f>VLOOKUP(A58,'Feature Raw Data'!$A$3:$B$3951,2,FALSE)</f>
        <v>DF Cac Manager Events</v>
      </c>
      <c r="C58" s="413" t="str">
        <f>VLOOKUP(A58,'Feature Raw Data'!$A$3:$C$3951,3,FALSE)</f>
        <v>P1</v>
      </c>
      <c r="D58" s="414" t="str" cm="1">
        <f t="array" ref="D58">_xlfn.TEXTJOIN("",TRUE,IF(ISNUMBER(SEARCH($A58,'Diags Raw Data'!$A$6:$A$3678)),CONCATENATE('Diags Raw Data'!$H$6:$H$3678,", "),""))</f>
        <v xml:space="preserve">FEAT_52, </v>
      </c>
      <c r="E58" s="333" t="str">
        <f>VLOOKUP(A58,'Diags Raw Data'!$A$6:$D$3678,4,FALSE)</f>
        <v>PIE</v>
      </c>
      <c r="F58" s="333" t="str">
        <f>VLOOKUP(A58,'Feature Raw Data'!$A$3:$E$3951,5,FALSE)</f>
        <v>New</v>
      </c>
      <c r="G58" s="333" t="str">
        <f t="shared" si="56"/>
        <v>Yes</v>
      </c>
      <c r="H58" s="333" t="str">
        <f t="shared" si="57"/>
        <v>Yes</v>
      </c>
      <c r="I58" s="413">
        <f>SUMIF('Diags Raw Data'!$A$6:$A$3678,"*"&amp;$A58&amp;"*",'Diags Raw Data'!$K$6:$K$3678)</f>
        <v>1</v>
      </c>
      <c r="J58" s="415">
        <f>SUMIF('Diags Raw Data'!$A$6:$A$3678,"*"&amp;$A58&amp;"*",'Diags Raw Data'!$L$6:$L$3678)</f>
        <v>1</v>
      </c>
      <c r="K58" s="445" cm="1">
        <f t="array" ref="K58">IF(D58="",0, SUMPRODUCT(--(ISNUMBER(SEARCH($A58,'Diags Raw Data'!$A$6:$A$3678))),'Diags Raw Data'!$L$6:$L$3678,'Diags Raw Data'!$N$6:$N$3678)/J58)</f>
        <v>1</v>
      </c>
      <c r="L58" s="446" cm="1">
        <f t="array" ref="L58">IF(D58="",0, SUMPRODUCT(--(ISNUMBER(SEARCH($A58,'Diags Raw Data'!$A$6:$A$3678))),'Diags Raw Data'!$L$6:$L$3678,'Diags Raw Data'!$P$6:$P$3678)/J58)</f>
        <v>0</v>
      </c>
      <c r="M58" s="447" cm="1">
        <f t="array" ref="M58">SUMPRODUCT(--(ISNUMBER(SEARCH($A58,'Diags Raw Data'!$A$6:$A$3678))),--('Diags Raw Data'!$Q$6:$Q$3678&lt;&gt;"N/A"),'Diags Raw Data'!$R$6:$R$3678)</f>
        <v>0</v>
      </c>
      <c r="N58" s="448" cm="1">
        <f t="array" ref="N58">SUMPRODUCT(--(ISNUMBER(SEARCH($A58,'Diags Raw Data'!$A$6:$A$3678))),--('Diags Raw Data'!$Q$6:$Q$3678&lt;&gt;"N/A"),'Diags Raw Data'!$T$6:$T$3678)+SUMPRODUCT(--(ISNUMBER(SEARCH($A58,'Diags Raw Data'!$A$6:$A$3678))),--('Diags Raw Data'!$Q$6:$Q$3678&lt;&gt;"N/A"),'Diags Raw Data'!$U$6:$U$3678)</f>
        <v>0</v>
      </c>
      <c r="O58" s="449">
        <f t="shared" si="58"/>
        <v>0</v>
      </c>
      <c r="P58" s="450">
        <f>SUMIF('Diags Raw Data'!$A$6:$A$3678,"*"&amp;$A58&amp;"*",'Diags Raw Data'!$Z$6:$Z$3678)</f>
        <v>0</v>
      </c>
      <c r="Q58" s="451">
        <f>SUM(SUMIF('Diags Raw Data'!$A$6:$A$3678,"*"&amp;$A58&amp;"*",'Diags Raw Data'!$AA$6:$AA$3678),SUMIF('Diags Raw Data'!$A$6:$A$3678,"*"&amp;$A58&amp;"*",'Diags Raw Data'!$AB$6:$AB$3678))</f>
        <v>0</v>
      </c>
      <c r="R58" s="452">
        <f t="shared" si="59"/>
        <v>0</v>
      </c>
      <c r="S58" s="452">
        <f t="shared" si="60"/>
        <v>0</v>
      </c>
      <c r="T58" s="453">
        <f t="shared" si="61"/>
        <v>0</v>
      </c>
      <c r="U58" s="500" t="s">
        <v>516</v>
      </c>
      <c r="V58" s="181"/>
    </row>
    <row r="59" spans="1:22" ht="15.75" thickBot="1" x14ac:dyDescent="0.3">
      <c r="A59" s="406" t="s">
        <v>475</v>
      </c>
      <c r="B59" s="407" t="str">
        <f>VLOOKUP(A59,'Feature Raw Data'!$A$3:$B$3951,2,FALSE)</f>
        <v>Reset group assignment</v>
      </c>
      <c r="C59" s="413" t="str">
        <f>VLOOKUP(A59,'Feature Raw Data'!$A$3:$C$3951,3,FALSE)</f>
        <v>P1</v>
      </c>
      <c r="D59" s="414" t="str" cm="1">
        <f t="array" ref="D59">_xlfn.TEXTJOIN("",TRUE,IF(ISNUMBER(SEARCH($A59,'Diags Raw Data'!$A$6:$A$3678)),CONCATENATE('Diags Raw Data'!$H$6:$H$3678,", "),""))</f>
        <v xml:space="preserve">FEAT_53, </v>
      </c>
      <c r="E59" s="333" t="str">
        <f>VLOOKUP(A59,'Diags Raw Data'!$A$6:$D$3678,4,FALSE)</f>
        <v>PIE</v>
      </c>
      <c r="F59" s="333" t="str">
        <f>VLOOKUP(A59,'Feature Raw Data'!$A$3:$E$3951,5,FALSE)</f>
        <v>New</v>
      </c>
      <c r="G59" s="333" t="str">
        <f t="shared" si="56"/>
        <v>Yes</v>
      </c>
      <c r="H59" s="333" t="str">
        <f t="shared" si="57"/>
        <v>Yes</v>
      </c>
      <c r="I59" s="413">
        <f>SUMIF('Diags Raw Data'!$A$6:$A$3678,"*"&amp;$A59&amp;"*",'Diags Raw Data'!$K$6:$K$3678)</f>
        <v>1</v>
      </c>
      <c r="J59" s="415">
        <f>SUMIF('Diags Raw Data'!$A$6:$A$3678,"*"&amp;$A59&amp;"*",'Diags Raw Data'!$L$6:$L$3678)</f>
        <v>1</v>
      </c>
      <c r="K59" s="445" cm="1">
        <f t="array" ref="K59">IF(D59="",0, SUMPRODUCT(--(ISNUMBER(SEARCH($A59,'Diags Raw Data'!$A$6:$A$3678))),'Diags Raw Data'!$L$6:$L$3678,'Diags Raw Data'!$N$6:$N$3678)/J59)</f>
        <v>1</v>
      </c>
      <c r="L59" s="446" cm="1">
        <f t="array" ref="L59">IF(D59="",0, SUMPRODUCT(--(ISNUMBER(SEARCH($A59,'Diags Raw Data'!$A$6:$A$3678))),'Diags Raw Data'!$L$6:$L$3678,'Diags Raw Data'!$P$6:$P$3678)/J59)</f>
        <v>1</v>
      </c>
      <c r="M59" s="447" cm="1">
        <f t="array" ref="M59">SUMPRODUCT(--(ISNUMBER(SEARCH($A59,'Diags Raw Data'!$A$6:$A$3678))),--('Diags Raw Data'!$Q$6:$Q$3678&lt;&gt;"N/A"),'Diags Raw Data'!$R$6:$R$3678)</f>
        <v>0</v>
      </c>
      <c r="N59" s="448" cm="1">
        <f t="array" ref="N59">SUMPRODUCT(--(ISNUMBER(SEARCH($A59,'Diags Raw Data'!$A$6:$A$3678))),--('Diags Raw Data'!$Q$6:$Q$3678&lt;&gt;"N/A"),'Diags Raw Data'!$T$6:$T$3678)+SUMPRODUCT(--(ISNUMBER(SEARCH($A59,'Diags Raw Data'!$A$6:$A$3678))),--('Diags Raw Data'!$Q$6:$Q$3678&lt;&gt;"N/A"),'Diags Raw Data'!$U$6:$U$3678)</f>
        <v>0</v>
      </c>
      <c r="O59" s="449">
        <f t="shared" si="58"/>
        <v>0</v>
      </c>
      <c r="P59" s="450">
        <f>SUMIF('Diags Raw Data'!$A$6:$A$3678,"*"&amp;$A59&amp;"*",'Diags Raw Data'!$Z$6:$Z$3678)</f>
        <v>0</v>
      </c>
      <c r="Q59" s="451">
        <f>SUM(SUMIF('Diags Raw Data'!$A$6:$A$3678,"*"&amp;$A59&amp;"*",'Diags Raw Data'!$AA$6:$AA$3678),SUMIF('Diags Raw Data'!$A$6:$A$3678,"*"&amp;$A59&amp;"*",'Diags Raw Data'!$AB$6:$AB$3678))</f>
        <v>0</v>
      </c>
      <c r="R59" s="452">
        <f t="shared" si="59"/>
        <v>0</v>
      </c>
      <c r="S59" s="452">
        <f t="shared" si="60"/>
        <v>0</v>
      </c>
      <c r="T59" s="453">
        <f t="shared" si="61"/>
        <v>0</v>
      </c>
      <c r="U59" s="500" t="s">
        <v>484</v>
      </c>
      <c r="V59" s="181"/>
    </row>
    <row r="60" spans="1:22" ht="15.75" thickBot="1" x14ac:dyDescent="0.3">
      <c r="A60" s="406" t="s">
        <v>477</v>
      </c>
      <c r="B60" s="407" t="str">
        <f>VLOOKUP(A60,'Feature Raw Data'!$A$3:$B$3951,2,FALSE)</f>
        <v>Strix2/new Krackan1 UPF</v>
      </c>
      <c r="C60" s="413" t="str">
        <f>VLOOKUP(A60,'Feature Raw Data'!$A$3:$C$3951,3,FALSE)</f>
        <v>P1</v>
      </c>
      <c r="D60" s="414" t="str" cm="1">
        <f t="array" ref="D60">_xlfn.TEXTJOIN("",TRUE,IF(ISNUMBER(SEARCH($A60,'Diags Raw Data'!$A$6:$A$3678)),CONCATENATE('Diags Raw Data'!$H$6:$H$3678,", "),""))</f>
        <v xml:space="preserve">FEAT_54, </v>
      </c>
      <c r="E60" s="333" t="str">
        <f>VLOOKUP(A60,'Diags Raw Data'!$A$6:$D$3678,4,FALSE)</f>
        <v>PIE</v>
      </c>
      <c r="F60" s="333" t="str">
        <f>VLOOKUP(A60,'Feature Raw Data'!$A$3:$E$3951,5,FALSE)</f>
        <v>New</v>
      </c>
      <c r="G60" s="333" t="str">
        <f t="shared" si="56"/>
        <v>Yes</v>
      </c>
      <c r="H60" s="333" t="str">
        <f t="shared" si="57"/>
        <v>Yes</v>
      </c>
      <c r="I60" s="413">
        <f>SUMIF('Diags Raw Data'!$A$6:$A$3678,"*"&amp;$A60&amp;"*",'Diags Raw Data'!$K$6:$K$3678)</f>
        <v>1</v>
      </c>
      <c r="J60" s="415">
        <f>SUMIF('Diags Raw Data'!$A$6:$A$3678,"*"&amp;$A60&amp;"*",'Diags Raw Data'!$L$6:$L$3678)</f>
        <v>1</v>
      </c>
      <c r="K60" s="445" cm="1">
        <f t="array" ref="K60">IF(D60="",0, SUMPRODUCT(--(ISNUMBER(SEARCH($A60,'Diags Raw Data'!$A$6:$A$3678))),'Diags Raw Data'!$L$6:$L$3678,'Diags Raw Data'!$N$6:$N$3678)/J60)</f>
        <v>1</v>
      </c>
      <c r="L60" s="446" cm="1">
        <f t="array" ref="L60">IF(D60="",0, SUMPRODUCT(--(ISNUMBER(SEARCH($A60,'Diags Raw Data'!$A$6:$A$3678))),'Diags Raw Data'!$L$6:$L$3678,'Diags Raw Data'!$P$6:$P$3678)/J60)</f>
        <v>1</v>
      </c>
      <c r="M60" s="447" cm="1">
        <f t="array" ref="M60">SUMPRODUCT(--(ISNUMBER(SEARCH($A60,'Diags Raw Data'!$A$6:$A$3678))),--('Diags Raw Data'!$Q$6:$Q$3678&lt;&gt;"N/A"),'Diags Raw Data'!$R$6:$R$3678)</f>
        <v>0</v>
      </c>
      <c r="N60" s="448" cm="1">
        <f t="array" ref="N60">SUMPRODUCT(--(ISNUMBER(SEARCH($A60,'Diags Raw Data'!$A$6:$A$3678))),--('Diags Raw Data'!$Q$6:$Q$3678&lt;&gt;"N/A"),'Diags Raw Data'!$T$6:$T$3678)+SUMPRODUCT(--(ISNUMBER(SEARCH($A60,'Diags Raw Data'!$A$6:$A$3678))),--('Diags Raw Data'!$Q$6:$Q$3678&lt;&gt;"N/A"),'Diags Raw Data'!$U$6:$U$3678)</f>
        <v>0</v>
      </c>
      <c r="O60" s="449">
        <f t="shared" si="58"/>
        <v>0</v>
      </c>
      <c r="P60" s="450">
        <f>SUMIF('Diags Raw Data'!$A$6:$A$3678,"*"&amp;$A60&amp;"*",'Diags Raw Data'!$Z$6:$Z$3678)</f>
        <v>0</v>
      </c>
      <c r="Q60" s="451">
        <f>SUM(SUMIF('Diags Raw Data'!$A$6:$A$3678,"*"&amp;$A60&amp;"*",'Diags Raw Data'!$AA$6:$AA$3678),SUMIF('Diags Raw Data'!$A$6:$A$3678,"*"&amp;$A60&amp;"*",'Diags Raw Data'!$AB$6:$AB$3678))</f>
        <v>0</v>
      </c>
      <c r="R60" s="452">
        <f t="shared" si="59"/>
        <v>0</v>
      </c>
      <c r="S60" s="452">
        <f t="shared" si="60"/>
        <v>0</v>
      </c>
      <c r="T60" s="453">
        <f t="shared" si="61"/>
        <v>0</v>
      </c>
      <c r="U60" s="500" t="s">
        <v>514</v>
      </c>
      <c r="V60" s="181"/>
    </row>
    <row r="61" spans="1:22" x14ac:dyDescent="0.25">
      <c r="A61" s="406" t="s">
        <v>479</v>
      </c>
      <c r="B61" s="407" t="str">
        <f>VLOOKUP(A61,'Feature Raw Data'!$A$3:$B$3951,2,FALSE)</f>
        <v>Finalize Strix2 feature define list for existing features by LSB</v>
      </c>
      <c r="C61" s="413" t="str">
        <f>VLOOKUP(A61,'Feature Raw Data'!$A$3:$C$3951,3,FALSE)</f>
        <v>P1</v>
      </c>
      <c r="D61" s="414" t="str" cm="1">
        <f t="array" ref="D61">_xlfn.TEXTJOIN("",TRUE,IF(ISNUMBER(SEARCH($A61,'Diags Raw Data'!$A$6:$A$3678)),CONCATENATE('Diags Raw Data'!$H$6:$H$3678,", "),""))</f>
        <v xml:space="preserve">FEAT_55, </v>
      </c>
      <c r="E61" s="333" t="str">
        <f>VLOOKUP(A61,'Diags Raw Data'!$A$6:$D$3678,4,FALSE)</f>
        <v>PIE</v>
      </c>
      <c r="F61" s="333" t="str">
        <f>VLOOKUP(A61,'Feature Raw Data'!$A$3:$E$3951,5,FALSE)</f>
        <v>New</v>
      </c>
      <c r="G61" s="333" t="str">
        <f t="shared" si="56"/>
        <v>Yes</v>
      </c>
      <c r="H61" s="333" t="str">
        <f t="shared" si="57"/>
        <v>Yes</v>
      </c>
      <c r="I61" s="413">
        <f>SUMIF('Diags Raw Data'!$A$6:$A$3678,"*"&amp;$A61&amp;"*",'Diags Raw Data'!$K$6:$K$3678)</f>
        <v>1</v>
      </c>
      <c r="J61" s="415">
        <f>SUMIF('Diags Raw Data'!$A$6:$A$3678,"*"&amp;$A61&amp;"*",'Diags Raw Data'!$L$6:$L$3678)</f>
        <v>1</v>
      </c>
      <c r="K61" s="445" cm="1">
        <f t="array" ref="K61">IF(D61="",0, SUMPRODUCT(--(ISNUMBER(SEARCH($A61,'Diags Raw Data'!$A$6:$A$3678))),'Diags Raw Data'!$L$6:$L$3678,'Diags Raw Data'!$N$6:$N$3678)/J61)</f>
        <v>0</v>
      </c>
      <c r="L61" s="446" cm="1">
        <f t="array" ref="L61">IF(D61="",0, SUMPRODUCT(--(ISNUMBER(SEARCH($A61,'Diags Raw Data'!$A$6:$A$3678))),'Diags Raw Data'!$L$6:$L$3678,'Diags Raw Data'!$P$6:$P$3678)/J61)</f>
        <v>0</v>
      </c>
      <c r="M61" s="447" cm="1">
        <f t="array" ref="M61">SUMPRODUCT(--(ISNUMBER(SEARCH($A61,'Diags Raw Data'!$A$6:$A$3678))),--('Diags Raw Data'!$Q$6:$Q$3678&lt;&gt;"N/A"),'Diags Raw Data'!$R$6:$R$3678)</f>
        <v>0</v>
      </c>
      <c r="N61" s="448" cm="1">
        <f t="array" ref="N61">SUMPRODUCT(--(ISNUMBER(SEARCH($A61,'Diags Raw Data'!$A$6:$A$3678))),--('Diags Raw Data'!$Q$6:$Q$3678&lt;&gt;"N/A"),'Diags Raw Data'!$T$6:$T$3678)+SUMPRODUCT(--(ISNUMBER(SEARCH($A61,'Diags Raw Data'!$A$6:$A$3678))),--('Diags Raw Data'!$Q$6:$Q$3678&lt;&gt;"N/A"),'Diags Raw Data'!$U$6:$U$3678)</f>
        <v>0</v>
      </c>
      <c r="O61" s="449">
        <f t="shared" si="58"/>
        <v>0</v>
      </c>
      <c r="P61" s="450">
        <f>SUMIF('Diags Raw Data'!$A$6:$A$3678,"*"&amp;$A61&amp;"*",'Diags Raw Data'!$Z$6:$Z$3678)</f>
        <v>0</v>
      </c>
      <c r="Q61" s="451">
        <f>SUM(SUMIF('Diags Raw Data'!$A$6:$A$3678,"*"&amp;$A61&amp;"*",'Diags Raw Data'!$AA$6:$AA$3678),SUMIF('Diags Raw Data'!$A$6:$A$3678,"*"&amp;$A61&amp;"*",'Diags Raw Data'!$AB$6:$AB$3678))</f>
        <v>0</v>
      </c>
      <c r="R61" s="452">
        <f t="shared" si="59"/>
        <v>0</v>
      </c>
      <c r="S61" s="452">
        <f t="shared" si="60"/>
        <v>0</v>
      </c>
      <c r="T61" s="453">
        <f t="shared" si="61"/>
        <v>0</v>
      </c>
      <c r="U61" s="500" t="s">
        <v>516</v>
      </c>
      <c r="V61" s="181"/>
    </row>
    <row r="62" spans="1:22" ht="30" x14ac:dyDescent="0.25">
      <c r="A62" s="406" t="s">
        <v>481</v>
      </c>
      <c r="B62" s="407" t="str">
        <f>VLOOKUP(A62,'Feature Raw Data'!$A$3:$B$3951,2,FALSE)</f>
        <v xml:space="preserve">4.5.67	IPU BW increase from 256b to 512b to support 4x8 array	</v>
      </c>
      <c r="C62" s="413" t="str">
        <f>VLOOKUP(A62,'Feature Raw Data'!$A$3:$C$3951,3,FALSE)</f>
        <v>P1</v>
      </c>
      <c r="D62" s="414" t="str" cm="1">
        <f t="array" ref="D62">_xlfn.TEXTJOIN("",TRUE,IF(ISNUMBER(SEARCH($A62,'Diags Raw Data'!$A$6:$A$3678)),CONCATENATE('Diags Raw Data'!$H$6:$H$3678,", "),""))</f>
        <v xml:space="preserve">FEAT_56, </v>
      </c>
      <c r="E62" s="333" t="str">
        <f>VLOOKUP(A62,'Diags Raw Data'!$A$6:$D$3678,4,FALSE)</f>
        <v>NCM</v>
      </c>
      <c r="F62" s="333" t="str">
        <f>VLOOKUP(A62,'Feature Raw Data'!$A$3:$E$3951,5,FALSE)</f>
        <v>New</v>
      </c>
      <c r="G62" s="333" t="str">
        <f t="shared" ref="G62" si="62">IF(D62="","No","Yes")</f>
        <v>Yes</v>
      </c>
      <c r="H62" s="333" t="str">
        <f t="shared" ref="H62" si="63">IF(D62="","No","Yes")</f>
        <v>Yes</v>
      </c>
      <c r="I62" s="413">
        <f>SUMIF('Diags Raw Data'!$A$6:$A$3678,"*"&amp;$A62&amp;"*",'Diags Raw Data'!$K$6:$K$3678)</f>
        <v>1</v>
      </c>
      <c r="J62" s="415">
        <f>SUMIF('Diags Raw Data'!$A$6:$A$3678,"*"&amp;$A62&amp;"*",'Diags Raw Data'!$L$6:$L$3678)</f>
        <v>1</v>
      </c>
      <c r="K62" s="445" cm="1">
        <f t="array" ref="K62">IF(D62="",0, SUMPRODUCT(--(ISNUMBER(SEARCH($A62,'Diags Raw Data'!$A$6:$A$3678))),'Diags Raw Data'!$L$6:$L$3678,'Diags Raw Data'!$N$6:$N$3678)/J62)</f>
        <v>1</v>
      </c>
      <c r="L62" s="446" cm="1">
        <f t="array" ref="L62">IF(D62="",0, SUMPRODUCT(--(ISNUMBER(SEARCH($A62,'Diags Raw Data'!$A$6:$A$3678))),'Diags Raw Data'!$L$6:$L$3678,'Diags Raw Data'!$P$6:$P$3678)/J62)</f>
        <v>1</v>
      </c>
      <c r="M62" s="447" cm="1">
        <f t="array" ref="M62">SUMPRODUCT(--(ISNUMBER(SEARCH($A62,'Diags Raw Data'!$A$6:$A$3678))),--('Diags Raw Data'!$Q$6:$Q$3678&lt;&gt;"N/A"),'Diags Raw Data'!$R$6:$R$3678)</f>
        <v>0</v>
      </c>
      <c r="N62" s="448" cm="1">
        <f t="array" ref="N62">SUMPRODUCT(--(ISNUMBER(SEARCH($A62,'Diags Raw Data'!$A$6:$A$3678))),--('Diags Raw Data'!$Q$6:$Q$3678&lt;&gt;"N/A"),'Diags Raw Data'!$T$6:$T$3678)+SUMPRODUCT(--(ISNUMBER(SEARCH($A62,'Diags Raw Data'!$A$6:$A$3678))),--('Diags Raw Data'!$Q$6:$Q$3678&lt;&gt;"N/A"),'Diags Raw Data'!$U$6:$U$3678)</f>
        <v>0</v>
      </c>
      <c r="O62" s="449">
        <f t="shared" ref="O62" si="64">IF((M62=0),0,N62/M62)</f>
        <v>0</v>
      </c>
      <c r="P62" s="450">
        <f>SUMIF('Diags Raw Data'!$A$6:$A$3678,"*"&amp;$A62&amp;"*",'Diags Raw Data'!$Z$6:$Z$3678)</f>
        <v>0</v>
      </c>
      <c r="Q62" s="451">
        <f>SUM(SUMIF('Diags Raw Data'!$A$6:$A$3678,"*"&amp;$A62&amp;"*",'Diags Raw Data'!$AA$6:$AA$3678),SUMIF('Diags Raw Data'!$A$6:$A$3678,"*"&amp;$A62&amp;"*",'Diags Raw Data'!$AB$6:$AB$3678))</f>
        <v>0</v>
      </c>
      <c r="R62" s="452">
        <f t="shared" ref="R62" si="65">IF((J62=0),0,P62/J62)</f>
        <v>0</v>
      </c>
      <c r="S62" s="452">
        <f t="shared" ref="S62" si="66">IF((P62=0),0,Q62/P62)</f>
        <v>0</v>
      </c>
      <c r="T62" s="453">
        <f t="shared" ref="T62" si="67">R62*S62</f>
        <v>0</v>
      </c>
      <c r="U62" s="500" t="s">
        <v>484</v>
      </c>
      <c r="V62" s="181"/>
    </row>
    <row r="63" spans="1:22" x14ac:dyDescent="0.25">
      <c r="A63" s="362"/>
      <c r="B63" s="386"/>
      <c r="C63" s="363"/>
      <c r="D63" s="364"/>
      <c r="E63" s="365"/>
      <c r="F63" s="365"/>
      <c r="G63" s="365"/>
      <c r="H63" s="365"/>
      <c r="I63" s="363"/>
      <c r="J63" s="366"/>
      <c r="K63" s="454"/>
      <c r="L63" s="455"/>
      <c r="M63" s="456"/>
      <c r="N63" s="457"/>
      <c r="O63" s="458"/>
      <c r="P63" s="459"/>
      <c r="Q63" s="460"/>
      <c r="R63" s="461"/>
      <c r="S63" s="461"/>
      <c r="T63" s="462"/>
      <c r="U63" s="367"/>
      <c r="V63" s="181"/>
    </row>
    <row r="64" spans="1:22" x14ac:dyDescent="0.25">
      <c r="A64" s="558" t="s">
        <v>517</v>
      </c>
      <c r="B64" s="653"/>
      <c r="C64" s="653"/>
      <c r="D64" s="653"/>
      <c r="E64" s="653"/>
      <c r="F64" s="653"/>
      <c r="G64" s="653"/>
      <c r="H64" s="653"/>
      <c r="I64" s="653"/>
      <c r="J64" s="653"/>
      <c r="K64" s="653"/>
      <c r="L64" s="653"/>
      <c r="M64" s="653"/>
      <c r="N64" s="653"/>
      <c r="O64" s="653"/>
      <c r="P64" s="653"/>
      <c r="Q64" s="653"/>
      <c r="R64" s="653"/>
      <c r="S64" s="653"/>
      <c r="T64" s="653"/>
      <c r="U64" s="654"/>
      <c r="V64" s="181"/>
    </row>
    <row r="65" spans="1:22" ht="15.75" thickBot="1" x14ac:dyDescent="0.3">
      <c r="A65" s="655"/>
      <c r="B65" s="656"/>
      <c r="C65" s="656"/>
      <c r="D65" s="656"/>
      <c r="E65" s="656"/>
      <c r="F65" s="656"/>
      <c r="G65" s="656"/>
      <c r="H65" s="656"/>
      <c r="I65" s="656"/>
      <c r="J65" s="656"/>
      <c r="K65" s="656"/>
      <c r="L65" s="656"/>
      <c r="M65" s="656"/>
      <c r="N65" s="656"/>
      <c r="O65" s="656"/>
      <c r="P65" s="656"/>
      <c r="Q65" s="656"/>
      <c r="R65" s="656"/>
      <c r="S65" s="656"/>
      <c r="T65" s="656"/>
      <c r="U65" s="657"/>
      <c r="V65" s="181"/>
    </row>
    <row r="66" spans="1:22" ht="18.75" x14ac:dyDescent="0.25">
      <c r="A66" s="606" t="s">
        <v>302</v>
      </c>
      <c r="B66" s="607"/>
      <c r="C66" s="607"/>
      <c r="D66" s="607"/>
      <c r="E66" s="607"/>
      <c r="F66" s="608"/>
      <c r="G66" s="376">
        <f>COUNTIF(G7:G63,"Yes")</f>
        <v>56</v>
      </c>
      <c r="H66" s="376">
        <f>COUNTIF(H7:H63,"Yes")</f>
        <v>56</v>
      </c>
      <c r="I66" s="604">
        <f>'Diags Raw Data'!K68</f>
        <v>58</v>
      </c>
      <c r="J66" s="640">
        <f>'Diags Raw Data'!L68</f>
        <v>85</v>
      </c>
      <c r="K66" s="630">
        <f>'Diags Raw Data'!N68</f>
        <v>0.98275862068965514</v>
      </c>
      <c r="L66" s="632">
        <f>'Diags Raw Data'!P68</f>
        <v>0.94827586206896552</v>
      </c>
      <c r="M66" s="634">
        <f>'Diags Raw Data'!R68</f>
        <v>78</v>
      </c>
      <c r="N66" s="626">
        <f>SUM('Diags Raw Data'!T68+'Diags Raw Data'!U68)</f>
        <v>78</v>
      </c>
      <c r="O66" s="658">
        <f>IF((M66=0),0,N66/M66)</f>
        <v>1</v>
      </c>
      <c r="P66" s="660">
        <f>'Diags Raw Data'!Z68</f>
        <v>0</v>
      </c>
      <c r="Q66" s="616">
        <f>SUM('Diags Raw Data'!AA68+'Diags Raw Data'!AB68)</f>
        <v>0</v>
      </c>
      <c r="R66" s="636">
        <f>IF((J66=0),0,P66/J66)</f>
        <v>0</v>
      </c>
      <c r="S66" s="636">
        <f>IF((P66=0),0,Q66/P66)</f>
        <v>0</v>
      </c>
      <c r="T66" s="636">
        <f>R66*S66</f>
        <v>0</v>
      </c>
      <c r="U66" s="638"/>
      <c r="V66" s="181"/>
    </row>
    <row r="67" spans="1:22" ht="19.5" thickBot="1" x14ac:dyDescent="0.3">
      <c r="A67" s="609"/>
      <c r="B67" s="610"/>
      <c r="C67" s="610"/>
      <c r="D67" s="610"/>
      <c r="E67" s="610"/>
      <c r="F67" s="611"/>
      <c r="G67" s="377">
        <f>COUNTIF(G7:G63,"Yes")/COUNTA(A7:A63)</f>
        <v>1</v>
      </c>
      <c r="H67" s="377">
        <f>(COUNTIF(H7:H63,"Yes")/G66)</f>
        <v>1</v>
      </c>
      <c r="I67" s="605"/>
      <c r="J67" s="641"/>
      <c r="K67" s="631"/>
      <c r="L67" s="633"/>
      <c r="M67" s="635"/>
      <c r="N67" s="627"/>
      <c r="O67" s="659"/>
      <c r="P67" s="661"/>
      <c r="Q67" s="617"/>
      <c r="R67" s="637"/>
      <c r="S67" s="637"/>
      <c r="T67" s="637"/>
      <c r="U67" s="639"/>
      <c r="V67" s="181"/>
    </row>
    <row r="68" spans="1:22" x14ac:dyDescent="0.25">
      <c r="A68" s="189"/>
      <c r="B68" s="190"/>
      <c r="C68" s="190"/>
      <c r="D68" s="189"/>
      <c r="E68" s="190"/>
      <c r="F68" s="190"/>
      <c r="G68" s="358"/>
      <c r="H68" s="190"/>
      <c r="I68" s="368"/>
      <c r="J68" s="368"/>
      <c r="K68" s="194"/>
      <c r="L68" s="194"/>
      <c r="M68" s="195"/>
      <c r="N68" s="195"/>
      <c r="O68" s="194"/>
      <c r="P68" s="192"/>
      <c r="Q68" s="192"/>
      <c r="R68" s="198"/>
      <c r="S68" s="198"/>
      <c r="T68" s="199"/>
      <c r="U68" s="189"/>
      <c r="V68" s="181"/>
    </row>
    <row r="69" spans="1:22" x14ac:dyDescent="0.25">
      <c r="V69" s="181"/>
    </row>
    <row r="70" spans="1:22" x14ac:dyDescent="0.25">
      <c r="V70" s="181"/>
    </row>
    <row r="71" spans="1:22" x14ac:dyDescent="0.25">
      <c r="V71" s="181"/>
    </row>
    <row r="72" spans="1:22" x14ac:dyDescent="0.25">
      <c r="V72" s="181"/>
    </row>
    <row r="73" spans="1:22" x14ac:dyDescent="0.25">
      <c r="V73" s="181"/>
    </row>
    <row r="74" spans="1:22" x14ac:dyDescent="0.25">
      <c r="V74" s="181"/>
    </row>
    <row r="75" spans="1:22" x14ac:dyDescent="0.25">
      <c r="V75" s="181"/>
    </row>
    <row r="76" spans="1:22" x14ac:dyDescent="0.25">
      <c r="V76" s="181"/>
    </row>
    <row r="77" spans="1:22" x14ac:dyDescent="0.25">
      <c r="V77" s="181"/>
    </row>
    <row r="78" spans="1:22" x14ac:dyDescent="0.25">
      <c r="V78" s="181"/>
    </row>
    <row r="79" spans="1:22" x14ac:dyDescent="0.25">
      <c r="V79" s="181"/>
    </row>
    <row r="80" spans="1:22" x14ac:dyDescent="0.25">
      <c r="V80" s="181"/>
    </row>
    <row r="81" spans="22:22" x14ac:dyDescent="0.25">
      <c r="V81" s="181"/>
    </row>
    <row r="82" spans="22:22" x14ac:dyDescent="0.25">
      <c r="V82" s="181"/>
    </row>
    <row r="83" spans="22:22" x14ac:dyDescent="0.25">
      <c r="V83" s="181"/>
    </row>
    <row r="84" spans="22:22" x14ac:dyDescent="0.25">
      <c r="V84" s="181"/>
    </row>
    <row r="85" spans="22:22" x14ac:dyDescent="0.25">
      <c r="V85" s="181"/>
    </row>
    <row r="86" spans="22:22" x14ac:dyDescent="0.25">
      <c r="V86" s="181"/>
    </row>
    <row r="87" spans="22:22" x14ac:dyDescent="0.25">
      <c r="V87" s="181"/>
    </row>
    <row r="88" spans="22:22" x14ac:dyDescent="0.25">
      <c r="V88" s="181"/>
    </row>
    <row r="89" spans="22:22" x14ac:dyDescent="0.25">
      <c r="V89" s="181"/>
    </row>
    <row r="90" spans="22:22" x14ac:dyDescent="0.25">
      <c r="V90" s="181"/>
    </row>
    <row r="91" spans="22:22" x14ac:dyDescent="0.25">
      <c r="V91" s="181"/>
    </row>
    <row r="92" spans="22:22" x14ac:dyDescent="0.25">
      <c r="V92" s="181"/>
    </row>
    <row r="93" spans="22:22" x14ac:dyDescent="0.25">
      <c r="V93" s="181"/>
    </row>
    <row r="94" spans="22:22" x14ac:dyDescent="0.25">
      <c r="V94" s="181"/>
    </row>
    <row r="95" spans="22:22" x14ac:dyDescent="0.25">
      <c r="V95" s="181"/>
    </row>
    <row r="96" spans="22:22" x14ac:dyDescent="0.25">
      <c r="V96" s="181"/>
    </row>
    <row r="97" spans="22:22" x14ac:dyDescent="0.25">
      <c r="V97" s="181"/>
    </row>
    <row r="98" spans="22:22" x14ac:dyDescent="0.25">
      <c r="V98" s="181"/>
    </row>
    <row r="99" spans="22:22" x14ac:dyDescent="0.25">
      <c r="V99" s="181"/>
    </row>
    <row r="100" spans="22:22" x14ac:dyDescent="0.25">
      <c r="V100" s="181"/>
    </row>
    <row r="101" spans="22:22" x14ac:dyDescent="0.25">
      <c r="V101" s="181"/>
    </row>
    <row r="102" spans="22:22" x14ac:dyDescent="0.25">
      <c r="V102" s="181"/>
    </row>
    <row r="103" spans="22:22" x14ac:dyDescent="0.25">
      <c r="V103" s="181"/>
    </row>
    <row r="104" spans="22:22" x14ac:dyDescent="0.25">
      <c r="V104" s="181"/>
    </row>
    <row r="105" spans="22:22" x14ac:dyDescent="0.25">
      <c r="V105" s="181"/>
    </row>
    <row r="106" spans="22:22" x14ac:dyDescent="0.25">
      <c r="V106" s="181"/>
    </row>
    <row r="107" spans="22:22" x14ac:dyDescent="0.25">
      <c r="V107" s="181"/>
    </row>
    <row r="108" spans="22:22" x14ac:dyDescent="0.25">
      <c r="V108" s="181"/>
    </row>
    <row r="109" spans="22:22" x14ac:dyDescent="0.25">
      <c r="V109" s="181"/>
    </row>
    <row r="110" spans="22:22" x14ac:dyDescent="0.25">
      <c r="V110" s="181"/>
    </row>
    <row r="111" spans="22:22" x14ac:dyDescent="0.25">
      <c r="V111" s="181"/>
    </row>
    <row r="112" spans="22:22" x14ac:dyDescent="0.25">
      <c r="V112" s="181"/>
    </row>
    <row r="113" spans="1:22" x14ac:dyDescent="0.25">
      <c r="V113" s="181"/>
    </row>
    <row r="114" spans="1:22" x14ac:dyDescent="0.25">
      <c r="V114" s="181"/>
    </row>
    <row r="115" spans="1:22" x14ac:dyDescent="0.25">
      <c r="V115" s="181"/>
    </row>
    <row r="116" spans="1:22" x14ac:dyDescent="0.25">
      <c r="V116" s="181"/>
    </row>
    <row r="117" spans="1:22" x14ac:dyDescent="0.25">
      <c r="V117" s="181"/>
    </row>
    <row r="118" spans="1:22" s="188" customFormat="1" ht="15.75" x14ac:dyDescent="0.25">
      <c r="A118" s="182"/>
      <c r="B118" s="191"/>
      <c r="C118" s="191"/>
      <c r="D118" s="182"/>
      <c r="E118" s="191"/>
      <c r="F118" s="191"/>
      <c r="G118" s="191"/>
      <c r="H118" s="191"/>
      <c r="I118" s="193"/>
      <c r="J118" s="193"/>
      <c r="K118" s="196"/>
      <c r="L118" s="196"/>
      <c r="M118" s="197"/>
      <c r="N118" s="197"/>
      <c r="O118" s="196"/>
      <c r="P118" s="80"/>
      <c r="Q118" s="80"/>
      <c r="R118" s="200"/>
      <c r="S118" s="200"/>
      <c r="T118" s="201"/>
      <c r="U118" s="182"/>
      <c r="V118" s="187"/>
    </row>
    <row r="119" spans="1:22" x14ac:dyDescent="0.25">
      <c r="V119" s="181"/>
    </row>
  </sheetData>
  <sheetProtection insertColumns="0" insertRows="0" deleteRows="0" sort="0"/>
  <autoFilter ref="A6:U67" xr:uid="{00000000-0009-0000-0000-000004000000}"/>
  <mergeCells count="36">
    <mergeCell ref="K5:L5"/>
    <mergeCell ref="A5:J5"/>
    <mergeCell ref="M5:O5"/>
    <mergeCell ref="P5:U5"/>
    <mergeCell ref="A66:F67"/>
    <mergeCell ref="A64:U65"/>
    <mergeCell ref="O66:O67"/>
    <mergeCell ref="P66:P67"/>
    <mergeCell ref="N66:N67"/>
    <mergeCell ref="V2:V3"/>
    <mergeCell ref="A4:U4"/>
    <mergeCell ref="K66:K67"/>
    <mergeCell ref="L66:L67"/>
    <mergeCell ref="M66:M67"/>
    <mergeCell ref="T2:T3"/>
    <mergeCell ref="U2:U3"/>
    <mergeCell ref="R2:R3"/>
    <mergeCell ref="S2:S3"/>
    <mergeCell ref="S66:S67"/>
    <mergeCell ref="T66:T67"/>
    <mergeCell ref="U66:U67"/>
    <mergeCell ref="Q66:Q67"/>
    <mergeCell ref="R66:R67"/>
    <mergeCell ref="I66:I67"/>
    <mergeCell ref="J66:J67"/>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518</v>
      </c>
      <c r="C1" s="36" t="s">
        <v>519</v>
      </c>
      <c r="D1" s="36" t="s">
        <v>520</v>
      </c>
      <c r="E1" s="36" t="s">
        <v>521</v>
      </c>
      <c r="F1" s="36" t="s">
        <v>522</v>
      </c>
      <c r="G1" s="37" t="s">
        <v>523</v>
      </c>
      <c r="H1" s="12"/>
      <c r="I1" s="12"/>
      <c r="J1" s="12"/>
      <c r="K1" s="12"/>
      <c r="L1" s="13"/>
      <c r="M1" s="1"/>
      <c r="N1" s="11"/>
      <c r="X1" s="11"/>
      <c r="AB1" s="662" t="s">
        <v>524</v>
      </c>
      <c r="AM1" s="662" t="s">
        <v>525</v>
      </c>
    </row>
    <row r="2" spans="1:40" s="14" customFormat="1" ht="12" x14ac:dyDescent="0.2">
      <c r="A2" s="35" t="s">
        <v>526</v>
      </c>
      <c r="B2" s="15">
        <v>42994</v>
      </c>
      <c r="C2" s="15">
        <v>43190</v>
      </c>
      <c r="D2" s="16" t="e">
        <f>#REF!</f>
        <v>#REF!</v>
      </c>
      <c r="E2" s="16" t="e">
        <f>#REF!</f>
        <v>#REF!</v>
      </c>
      <c r="F2" s="16">
        <f>(C2-B2)/7</f>
        <v>28</v>
      </c>
      <c r="G2" s="17" t="e">
        <f>E2/F2</f>
        <v>#REF!</v>
      </c>
      <c r="H2" s="18"/>
      <c r="I2" s="18"/>
      <c r="J2" s="18"/>
      <c r="K2" s="18"/>
      <c r="L2" s="19"/>
      <c r="M2" s="20"/>
      <c r="N2" s="21"/>
      <c r="X2" s="21"/>
      <c r="AB2" s="663"/>
      <c r="AM2" s="663"/>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64" t="s">
        <v>527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65"/>
      <c r="B5" s="47" t="s">
        <v>528</v>
      </c>
      <c r="C5" s="47" t="s">
        <v>529</v>
      </c>
      <c r="D5" s="47" t="s">
        <v>530</v>
      </c>
      <c r="E5" s="47" t="s">
        <v>531</v>
      </c>
      <c r="F5" s="47" t="s">
        <v>532</v>
      </c>
      <c r="G5" s="47" t="s">
        <v>533</v>
      </c>
      <c r="H5" s="47" t="s">
        <v>534</v>
      </c>
      <c r="I5" s="47" t="s">
        <v>535</v>
      </c>
      <c r="J5" s="47" t="s">
        <v>536</v>
      </c>
      <c r="K5" s="47" t="s">
        <v>537</v>
      </c>
      <c r="L5" s="47" t="s">
        <v>538</v>
      </c>
      <c r="M5" s="47" t="s">
        <v>539</v>
      </c>
      <c r="N5" s="47" t="s">
        <v>540</v>
      </c>
      <c r="O5" s="47" t="s">
        <v>541</v>
      </c>
      <c r="P5" s="47" t="s">
        <v>542</v>
      </c>
      <c r="Q5" s="47" t="s">
        <v>543</v>
      </c>
      <c r="R5" s="47" t="s">
        <v>544</v>
      </c>
      <c r="S5" s="47" t="s">
        <v>545</v>
      </c>
      <c r="T5" s="47" t="s">
        <v>546</v>
      </c>
      <c r="U5" s="47" t="s">
        <v>547</v>
      </c>
      <c r="V5" s="47" t="s">
        <v>548</v>
      </c>
      <c r="W5" s="47" t="s">
        <v>549</v>
      </c>
      <c r="X5" s="47" t="s">
        <v>550</v>
      </c>
      <c r="Y5" s="47" t="s">
        <v>551</v>
      </c>
      <c r="Z5" s="47" t="s">
        <v>552</v>
      </c>
      <c r="AA5" s="47" t="s">
        <v>553</v>
      </c>
      <c r="AB5" s="47" t="s">
        <v>554</v>
      </c>
      <c r="AC5" s="47" t="s">
        <v>555</v>
      </c>
      <c r="AD5" s="47" t="s">
        <v>556</v>
      </c>
      <c r="AE5" s="47" t="s">
        <v>557</v>
      </c>
      <c r="AF5" s="47" t="s">
        <v>558</v>
      </c>
      <c r="AG5" s="47" t="s">
        <v>559</v>
      </c>
      <c r="AH5" s="47" t="s">
        <v>560</v>
      </c>
      <c r="AI5" s="47" t="s">
        <v>561</v>
      </c>
      <c r="AJ5" s="47" t="s">
        <v>562</v>
      </c>
      <c r="AK5" s="47" t="s">
        <v>563</v>
      </c>
      <c r="AL5" s="66" t="s">
        <v>564</v>
      </c>
      <c r="AM5" s="65" t="s">
        <v>565</v>
      </c>
      <c r="AN5" s="50"/>
    </row>
    <row r="6" spans="1:40" ht="12" x14ac:dyDescent="0.2">
      <c r="A6" s="48" t="s">
        <v>566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567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64" t="s">
        <v>568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66"/>
      <c r="B10" s="32" t="s">
        <v>528</v>
      </c>
      <c r="C10" s="32" t="s">
        <v>529</v>
      </c>
      <c r="D10" s="32" t="s">
        <v>530</v>
      </c>
      <c r="E10" s="32" t="s">
        <v>531</v>
      </c>
      <c r="F10" s="32" t="s">
        <v>532</v>
      </c>
      <c r="G10" s="32" t="s">
        <v>533</v>
      </c>
      <c r="H10" s="32" t="s">
        <v>534</v>
      </c>
      <c r="I10" s="32" t="s">
        <v>535</v>
      </c>
      <c r="J10" s="32" t="s">
        <v>536</v>
      </c>
      <c r="K10" s="32" t="s">
        <v>537</v>
      </c>
      <c r="L10" s="32" t="s">
        <v>538</v>
      </c>
      <c r="M10" s="32" t="s">
        <v>539</v>
      </c>
      <c r="N10" s="32" t="s">
        <v>540</v>
      </c>
      <c r="O10" s="32" t="s">
        <v>541</v>
      </c>
      <c r="P10" s="32" t="s">
        <v>542</v>
      </c>
      <c r="Q10" s="32" t="s">
        <v>543</v>
      </c>
      <c r="R10" s="32" t="s">
        <v>544</v>
      </c>
      <c r="S10" s="32" t="s">
        <v>545</v>
      </c>
      <c r="T10" s="32" t="s">
        <v>546</v>
      </c>
      <c r="U10" s="32" t="s">
        <v>547</v>
      </c>
      <c r="V10" s="32" t="s">
        <v>548</v>
      </c>
      <c r="W10" s="32" t="s">
        <v>549</v>
      </c>
      <c r="X10" s="32" t="s">
        <v>550</v>
      </c>
      <c r="Y10" s="32" t="s">
        <v>551</v>
      </c>
      <c r="Z10" s="32" t="s">
        <v>552</v>
      </c>
      <c r="AA10" s="32" t="s">
        <v>553</v>
      </c>
      <c r="AB10" s="32" t="s">
        <v>554</v>
      </c>
      <c r="AC10" s="32" t="s">
        <v>555</v>
      </c>
      <c r="AD10" s="32" t="s">
        <v>556</v>
      </c>
      <c r="AE10" s="32" t="s">
        <v>557</v>
      </c>
      <c r="AF10" s="32" t="s">
        <v>558</v>
      </c>
      <c r="AG10" s="32" t="s">
        <v>559</v>
      </c>
      <c r="AH10" s="32" t="s">
        <v>560</v>
      </c>
      <c r="AI10" s="32" t="s">
        <v>561</v>
      </c>
      <c r="AJ10" s="64" t="s">
        <v>562</v>
      </c>
      <c r="AK10" s="63" t="s">
        <v>563</v>
      </c>
      <c r="AL10" s="47" t="s">
        <v>564</v>
      </c>
      <c r="AM10" s="72" t="s">
        <v>565</v>
      </c>
      <c r="AN10" s="68"/>
    </row>
    <row r="11" spans="1:40" x14ac:dyDescent="0.25">
      <c r="A11" s="42" t="s">
        <v>566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567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569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570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D10" sqref="D10"/>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571</v>
      </c>
      <c r="B1" s="157" t="s">
        <v>572</v>
      </c>
      <c r="C1" s="158" t="s">
        <v>573</v>
      </c>
      <c r="D1" s="158" t="s">
        <v>574</v>
      </c>
      <c r="E1" s="158" t="s">
        <v>575</v>
      </c>
      <c r="F1" s="158" t="s">
        <v>576</v>
      </c>
      <c r="G1" s="158" t="s">
        <v>577</v>
      </c>
      <c r="H1" s="158" t="s">
        <v>578</v>
      </c>
      <c r="I1" s="158" t="s">
        <v>579</v>
      </c>
      <c r="J1" s="158" t="s">
        <v>580</v>
      </c>
      <c r="K1" s="158" t="s">
        <v>581</v>
      </c>
      <c r="L1" s="158" t="s">
        <v>582</v>
      </c>
      <c r="M1" s="158" t="s">
        <v>583</v>
      </c>
      <c r="N1" s="158" t="s">
        <v>584</v>
      </c>
      <c r="O1" s="158" t="s">
        <v>585</v>
      </c>
      <c r="P1" s="158" t="s">
        <v>586</v>
      </c>
      <c r="Q1" s="158" t="s">
        <v>587</v>
      </c>
      <c r="R1" s="158" t="s">
        <v>588</v>
      </c>
      <c r="S1" s="158" t="s">
        <v>589</v>
      </c>
      <c r="T1" s="158" t="s">
        <v>590</v>
      </c>
      <c r="U1" s="158" t="s">
        <v>591</v>
      </c>
      <c r="V1" s="158" t="s">
        <v>592</v>
      </c>
      <c r="W1" s="158" t="s">
        <v>593</v>
      </c>
      <c r="X1" s="158" t="s">
        <v>594</v>
      </c>
      <c r="Y1" s="158" t="s">
        <v>595</v>
      </c>
      <c r="Z1" s="158" t="s">
        <v>596</v>
      </c>
      <c r="AA1" s="158" t="s">
        <v>597</v>
      </c>
      <c r="AB1" s="158" t="s">
        <v>598</v>
      </c>
      <c r="AC1" s="158" t="s">
        <v>599</v>
      </c>
      <c r="AD1" s="158" t="s">
        <v>600</v>
      </c>
      <c r="AE1" s="158" t="s">
        <v>601</v>
      </c>
      <c r="AF1" s="158" t="s">
        <v>602</v>
      </c>
      <c r="AG1" s="158" t="s">
        <v>603</v>
      </c>
      <c r="AH1" s="158" t="s">
        <v>604</v>
      </c>
      <c r="AI1" s="158" t="s">
        <v>605</v>
      </c>
      <c r="AJ1" s="158" t="s">
        <v>606</v>
      </c>
      <c r="AK1" s="158" t="s">
        <v>607</v>
      </c>
      <c r="AL1" s="158" t="s">
        <v>608</v>
      </c>
      <c r="AM1" s="158" t="s">
        <v>609</v>
      </c>
      <c r="AN1" s="158" t="s">
        <v>610</v>
      </c>
      <c r="AO1" s="158" t="s">
        <v>611</v>
      </c>
      <c r="AP1" s="158" t="s">
        <v>612</v>
      </c>
      <c r="AQ1" s="158" t="s">
        <v>613</v>
      </c>
      <c r="AR1" s="158" t="s">
        <v>614</v>
      </c>
      <c r="AS1" s="158" t="s">
        <v>615</v>
      </c>
      <c r="AT1" s="158" t="s">
        <v>616</v>
      </c>
      <c r="AU1" s="158" t="s">
        <v>617</v>
      </c>
      <c r="AV1" s="158" t="s">
        <v>618</v>
      </c>
      <c r="AW1" s="158" t="s">
        <v>619</v>
      </c>
      <c r="AX1" s="158" t="s">
        <v>620</v>
      </c>
      <c r="AY1" s="158" t="s">
        <v>621</v>
      </c>
      <c r="AZ1" s="158" t="s">
        <v>622</v>
      </c>
      <c r="BA1" s="158" t="s">
        <v>623</v>
      </c>
      <c r="BB1" s="159" t="s">
        <v>624</v>
      </c>
    </row>
    <row r="2" spans="1:54" s="135" customFormat="1" x14ac:dyDescent="0.2">
      <c r="A2" s="151" t="s">
        <v>567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570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568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567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569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625</v>
      </c>
      <c r="B3" s="129" t="s">
        <v>626</v>
      </c>
      <c r="C3" s="129"/>
      <c r="D3" s="218"/>
      <c r="E3" s="129"/>
    </row>
    <row r="4" spans="1:5" x14ac:dyDescent="0.25">
      <c r="A4" s="79" t="s">
        <v>47</v>
      </c>
      <c r="B4">
        <v>0</v>
      </c>
    </row>
    <row r="5" spans="1:5" x14ac:dyDescent="0.25">
      <c r="A5" s="79" t="s">
        <v>508</v>
      </c>
      <c r="B5">
        <v>85</v>
      </c>
      <c r="D5" s="130">
        <f>GETPIVOTDATA("#Tests",$A$3,"ETA","wk-1")/GETPIVOTDATA("#Tests",$A$3)</f>
        <v>0.17</v>
      </c>
      <c r="E5" s="131">
        <f>D5</f>
        <v>0.17</v>
      </c>
    </row>
    <row r="6" spans="1:5" x14ac:dyDescent="0.25">
      <c r="A6" s="79" t="s">
        <v>509</v>
      </c>
      <c r="B6">
        <v>48</v>
      </c>
      <c r="D6" s="130">
        <f>GETPIVOTDATA("#Tests",$A$3,"ETA","wk-2")/GETPIVOTDATA("#Tests",$A$3)</f>
        <v>9.6000000000000002E-2</v>
      </c>
      <c r="E6" s="131">
        <f t="shared" ref="E6:E12" si="0">E5+D6</f>
        <v>0.26600000000000001</v>
      </c>
    </row>
    <row r="7" spans="1:5" x14ac:dyDescent="0.25">
      <c r="A7" s="79" t="s">
        <v>510</v>
      </c>
      <c r="B7">
        <v>96</v>
      </c>
      <c r="D7" s="130">
        <f>GETPIVOTDATA("#Tests",$A$3,"ETA","wk-3")/GETPIVOTDATA("#Tests",$A$3)</f>
        <v>0.192</v>
      </c>
      <c r="E7" s="131">
        <f t="shared" si="0"/>
        <v>0.45800000000000002</v>
      </c>
    </row>
    <row r="8" spans="1:5" x14ac:dyDescent="0.25">
      <c r="A8" s="79" t="s">
        <v>511</v>
      </c>
      <c r="B8">
        <v>79</v>
      </c>
      <c r="D8" s="130">
        <f>GETPIVOTDATA("#Tests",$A$3,"ETA","wk-4")/GETPIVOTDATA("#Tests",$A$3)</f>
        <v>0.158</v>
      </c>
      <c r="E8" s="131">
        <f t="shared" si="0"/>
        <v>0.61599999999999999</v>
      </c>
    </row>
    <row r="9" spans="1:5" x14ac:dyDescent="0.25">
      <c r="A9" s="79" t="s">
        <v>513</v>
      </c>
      <c r="B9">
        <v>82</v>
      </c>
      <c r="D9" s="130">
        <f>GETPIVOTDATA("#Tests",$A$3,"ETA","wk-5")/GETPIVOTDATA("#Tests",$A$3)</f>
        <v>0.16400000000000001</v>
      </c>
      <c r="E9" s="131">
        <f t="shared" si="0"/>
        <v>0.78</v>
      </c>
    </row>
    <row r="10" spans="1:5" x14ac:dyDescent="0.25">
      <c r="A10" s="79" t="s">
        <v>484</v>
      </c>
      <c r="B10">
        <v>60</v>
      </c>
      <c r="D10" s="130">
        <f>GETPIVOTDATA("#Tests",$A$3,"ETA","wk-6")/GETPIVOTDATA("#Tests",$A$3)</f>
        <v>0.12</v>
      </c>
      <c r="E10" s="131">
        <f t="shared" si="0"/>
        <v>0.9</v>
      </c>
    </row>
    <row r="11" spans="1:5" x14ac:dyDescent="0.25">
      <c r="A11" s="79" t="s">
        <v>514</v>
      </c>
      <c r="B11">
        <v>30</v>
      </c>
      <c r="D11" s="130">
        <f>GETPIVOTDATA("#Tests",$A$3,"ETA","wk-7")/GETPIVOTDATA("#Tests",$A$3)</f>
        <v>0.06</v>
      </c>
      <c r="E11" s="131">
        <f t="shared" si="0"/>
        <v>0.96</v>
      </c>
    </row>
    <row r="12" spans="1:5" x14ac:dyDescent="0.25">
      <c r="A12" s="79" t="s">
        <v>512</v>
      </c>
      <c r="B12">
        <v>20</v>
      </c>
      <c r="D12" s="130">
        <f>GETPIVOTDATA("#Tests",$A$3,"ETA","wk-8")/GETPIVOTDATA("#Tests",$A$3)</f>
        <v>0.04</v>
      </c>
      <c r="E12" s="131">
        <f t="shared" si="0"/>
        <v>1</v>
      </c>
    </row>
    <row r="13" spans="1:5" x14ac:dyDescent="0.25">
      <c r="A13" s="79" t="s">
        <v>501</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PK, ArulLakshmi (Arul Lakshmi)</DisplayName>
        <AccountId>3178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E4293DE-A32C-4A17-B47D-1B35926039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 ds:uri="ec5a97c5-2653-49c6-b3a5-07f7dd96f613"/>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Feature Raw Data</vt:lpstr>
      <vt:lpstr>Sub-IP Block Summary</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2024-03-22T19:29:38Z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