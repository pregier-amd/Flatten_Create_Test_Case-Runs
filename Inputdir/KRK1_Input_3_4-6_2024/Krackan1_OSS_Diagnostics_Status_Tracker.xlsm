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alberyao\Desktop\相关资料\"/>
    </mc:Choice>
  </mc:AlternateContent>
  <xr:revisionPtr revIDLastSave="0" documentId="13_ncr:1_{7E6FB344-3F26-4C83-AB68-013522BAE047}" xr6:coauthVersionLast="36" xr6:coauthVersionMax="47" xr10:uidLastSave="{00000000-0000-0000-0000-000000000000}"/>
  <bookViews>
    <workbookView xWindow="-110" yWindow="-110" windowWidth="19420" windowHeight="10420" firstSheet="7" activeTab="7"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NewDelta" sheetId="60" state="hidden" r:id="rId11"/>
    <sheet name="Coverage Plan" sheetId="57" state="hidden" r:id="rId12"/>
  </sheets>
  <definedNames>
    <definedName name="_xlnm._FilterDatabase" localSheetId="6" hidden="1">'Feature Raw Data'!$A$2:$E$187</definedName>
    <definedName name="_xlnm._FilterDatabase" localSheetId="7" hidden="1">'Feature Summary'!$D$1:$D$200</definedName>
    <definedName name="_xlnm._FilterDatabase" localSheetId="4" hidden="1">'Diags Raw Data'!$H$5:$H$131</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5706"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M168" i="55" l="1" a="1"/>
  <c r="M168" i="55"/>
  <c r="F168" i="55"/>
  <c r="E168" i="55"/>
  <c r="D168" i="55" a="1"/>
  <c r="D168" i="55"/>
  <c r="C168" i="55"/>
  <c r="B168" i="55"/>
  <c r="Y121" i="53"/>
  <c r="AD121" i="53"/>
  <c r="Q121" i="53"/>
  <c r="R121" i="53"/>
  <c r="W121" i="53"/>
  <c r="U121" i="53"/>
  <c r="N121" i="53"/>
  <c r="O121" i="53"/>
  <c r="G121" i="53"/>
  <c r="D10" i="55" a="1"/>
  <c r="D10" i="55"/>
  <c r="B8" i="55"/>
  <c r="B7" i="55"/>
  <c r="B9" i="55"/>
  <c r="Q6" i="53"/>
  <c r="U6" i="53"/>
  <c r="Q7" i="53"/>
  <c r="U7" i="53"/>
  <c r="Q8" i="53"/>
  <c r="U8" i="53"/>
  <c r="Q9" i="53"/>
  <c r="U9" i="53"/>
  <c r="Q10" i="53"/>
  <c r="U10" i="53"/>
  <c r="Q11" i="53"/>
  <c r="U11" i="53"/>
  <c r="Q12" i="53"/>
  <c r="U12" i="53"/>
  <c r="Q13" i="53"/>
  <c r="U13" i="53"/>
  <c r="Q14" i="53"/>
  <c r="U14" i="53"/>
  <c r="Q15" i="53"/>
  <c r="U15" i="53"/>
  <c r="Q16" i="53"/>
  <c r="U16" i="53"/>
  <c r="Q17" i="53"/>
  <c r="U17" i="53"/>
  <c r="Q18" i="53"/>
  <c r="U18" i="53"/>
  <c r="Q19" i="53"/>
  <c r="U19" i="53"/>
  <c r="Q20" i="53"/>
  <c r="U20" i="53"/>
  <c r="Q21" i="53"/>
  <c r="U21" i="53"/>
  <c r="Q22" i="53"/>
  <c r="U22" i="53"/>
  <c r="Q23" i="53"/>
  <c r="U23" i="53"/>
  <c r="Q24" i="53"/>
  <c r="U24" i="53"/>
  <c r="Q25" i="53"/>
  <c r="U25" i="53"/>
  <c r="Q26" i="53"/>
  <c r="U26" i="53"/>
  <c r="Q27" i="53"/>
  <c r="U27" i="53"/>
  <c r="Q28" i="53"/>
  <c r="U28" i="53"/>
  <c r="Q29" i="53"/>
  <c r="U29" i="53"/>
  <c r="Q30" i="53"/>
  <c r="U30" i="53"/>
  <c r="Q31" i="53"/>
  <c r="U31" i="53"/>
  <c r="Q32" i="53"/>
  <c r="U32" i="53"/>
  <c r="Q33" i="53"/>
  <c r="U33" i="53"/>
  <c r="Q34" i="53"/>
  <c r="U34" i="53"/>
  <c r="Q35" i="53"/>
  <c r="U35" i="53"/>
  <c r="Q36" i="53"/>
  <c r="U36" i="53"/>
  <c r="Q37" i="53"/>
  <c r="U37" i="53"/>
  <c r="Q38" i="53"/>
  <c r="U38" i="53"/>
  <c r="Q39" i="53"/>
  <c r="U39" i="53"/>
  <c r="Q40" i="53"/>
  <c r="U40" i="53"/>
  <c r="Q41" i="53"/>
  <c r="U41" i="53"/>
  <c r="Q42" i="53"/>
  <c r="U42" i="53"/>
  <c r="Q43" i="53"/>
  <c r="U43" i="53"/>
  <c r="Q44" i="53"/>
  <c r="U44" i="53"/>
  <c r="Q45" i="53"/>
  <c r="U45" i="53"/>
  <c r="Q46" i="53"/>
  <c r="U46" i="53"/>
  <c r="Q47" i="53"/>
  <c r="U47" i="53"/>
  <c r="Q48" i="53"/>
  <c r="U48" i="53"/>
  <c r="Q49" i="53"/>
  <c r="U49" i="53"/>
  <c r="Q50" i="53"/>
  <c r="U50" i="53"/>
  <c r="Q51" i="53"/>
  <c r="U51" i="53"/>
  <c r="Q52" i="53"/>
  <c r="U52" i="53"/>
  <c r="Q53" i="53"/>
  <c r="U53" i="53"/>
  <c r="Q54" i="53"/>
  <c r="U54" i="53"/>
  <c r="Q55" i="53"/>
  <c r="U55" i="53"/>
  <c r="Q56" i="53"/>
  <c r="U56" i="53"/>
  <c r="Q57" i="53"/>
  <c r="U57" i="53"/>
  <c r="Q58" i="53"/>
  <c r="U58" i="53"/>
  <c r="Q59" i="53"/>
  <c r="U59" i="53"/>
  <c r="Q60" i="53"/>
  <c r="U60" i="53"/>
  <c r="Q61" i="53"/>
  <c r="U61" i="53"/>
  <c r="Q62" i="53"/>
  <c r="U62" i="53"/>
  <c r="Q63" i="53"/>
  <c r="U63" i="53"/>
  <c r="Q64" i="53"/>
  <c r="U64" i="53"/>
  <c r="Q65" i="53"/>
  <c r="U65" i="53"/>
  <c r="Q66" i="53"/>
  <c r="U66" i="53"/>
  <c r="Q67" i="53"/>
  <c r="U67" i="53"/>
  <c r="Q68" i="53"/>
  <c r="U68" i="53"/>
  <c r="Q69" i="53"/>
  <c r="U69" i="53"/>
  <c r="Q70" i="53"/>
  <c r="U70" i="53"/>
  <c r="Q71" i="53"/>
  <c r="U71" i="53"/>
  <c r="Q72" i="53"/>
  <c r="U72" i="53"/>
  <c r="Q73" i="53"/>
  <c r="U73" i="53"/>
  <c r="Q74" i="53"/>
  <c r="U74" i="53"/>
  <c r="Q75" i="53"/>
  <c r="U75" i="53"/>
  <c r="Q76" i="53"/>
  <c r="U76" i="53"/>
  <c r="Q77" i="53"/>
  <c r="U77" i="53"/>
  <c r="Q78" i="53"/>
  <c r="U78" i="53"/>
  <c r="Q79" i="53"/>
  <c r="U79" i="53"/>
  <c r="Q80" i="53"/>
  <c r="U80" i="53"/>
  <c r="Q81" i="53"/>
  <c r="U81" i="53"/>
  <c r="Q82" i="53"/>
  <c r="U82" i="53"/>
  <c r="Q83" i="53"/>
  <c r="U83" i="53"/>
  <c r="Q84" i="53"/>
  <c r="U84" i="53"/>
  <c r="Q85" i="53"/>
  <c r="U85" i="53"/>
  <c r="Q86" i="53"/>
  <c r="U86" i="53"/>
  <c r="Q87" i="53"/>
  <c r="U87" i="53"/>
  <c r="Q88" i="53"/>
  <c r="U88" i="53"/>
  <c r="Q89" i="53"/>
  <c r="U89" i="53"/>
  <c r="Q90" i="53"/>
  <c r="U90" i="53"/>
  <c r="Q91" i="53"/>
  <c r="U91" i="53"/>
  <c r="Q92" i="53"/>
  <c r="U92" i="53"/>
  <c r="Q93" i="53"/>
  <c r="U93" i="53"/>
  <c r="Q94" i="53"/>
  <c r="U94" i="53"/>
  <c r="Q95" i="53"/>
  <c r="U95" i="53"/>
  <c r="Q96" i="53"/>
  <c r="U96" i="53"/>
  <c r="Q97" i="53"/>
  <c r="U97" i="53"/>
  <c r="Q98" i="53"/>
  <c r="U98" i="53"/>
  <c r="Q99" i="53"/>
  <c r="U99" i="53"/>
  <c r="Q100" i="53"/>
  <c r="U100" i="53"/>
  <c r="Q101" i="53"/>
  <c r="U101" i="53"/>
  <c r="Q102" i="53"/>
  <c r="U102" i="53"/>
  <c r="Q103" i="53"/>
  <c r="U103" i="53"/>
  <c r="Q104" i="53"/>
  <c r="U104" i="53"/>
  <c r="Q105" i="53"/>
  <c r="U105" i="53"/>
  <c r="Q106" i="53"/>
  <c r="U106" i="53"/>
  <c r="Q107" i="53"/>
  <c r="U107" i="53"/>
  <c r="Q108" i="53"/>
  <c r="U108" i="53"/>
  <c r="Q109" i="53"/>
  <c r="U109" i="53"/>
  <c r="Q110" i="53"/>
  <c r="U110" i="53"/>
  <c r="Q111" i="53"/>
  <c r="U111" i="53"/>
  <c r="Q112" i="53"/>
  <c r="U112" i="53"/>
  <c r="Q113" i="53"/>
  <c r="U113" i="53"/>
  <c r="Q114" i="53"/>
  <c r="U114" i="53"/>
  <c r="Q115" i="53"/>
  <c r="U115" i="53"/>
  <c r="Q116" i="53"/>
  <c r="U116" i="53"/>
  <c r="Q117" i="53"/>
  <c r="U117" i="53"/>
  <c r="Q118" i="53"/>
  <c r="U118" i="53"/>
  <c r="Q119" i="53"/>
  <c r="U119" i="53"/>
  <c r="Q120" i="53"/>
  <c r="U120" i="53"/>
  <c r="Q122" i="53"/>
  <c r="U122" i="53"/>
  <c r="Q123" i="53"/>
  <c r="U123" i="53"/>
  <c r="Q124" i="53"/>
  <c r="U124" i="53"/>
  <c r="Q125" i="53"/>
  <c r="U125" i="53"/>
  <c r="Q126" i="53"/>
  <c r="U126" i="53"/>
  <c r="Q127" i="53"/>
  <c r="U127" i="53"/>
  <c r="Q128" i="53"/>
  <c r="U128" i="53"/>
  <c r="Q129" i="53"/>
  <c r="U129" i="53"/>
  <c r="Q130" i="53"/>
  <c r="U130" i="53"/>
  <c r="Q131" i="53"/>
  <c r="U131" i="53"/>
  <c r="R8" i="53"/>
  <c r="R9" i="53"/>
  <c r="R10" i="53"/>
  <c r="R11" i="53"/>
  <c r="R12" i="53"/>
  <c r="R13" i="53"/>
  <c r="R14" i="53"/>
  <c r="R15" i="53"/>
  <c r="R16" i="53"/>
  <c r="R17" i="53"/>
  <c r="R18" i="53"/>
  <c r="R19" i="53"/>
  <c r="R20" i="53"/>
  <c r="R21" i="53"/>
  <c r="R22" i="53"/>
  <c r="R23" i="53"/>
  <c r="R24" i="53"/>
  <c r="R25" i="53"/>
  <c r="R26" i="53"/>
  <c r="R27" i="53"/>
  <c r="R28" i="53"/>
  <c r="R29" i="53"/>
  <c r="R30" i="53"/>
  <c r="R31" i="53"/>
  <c r="R32" i="53"/>
  <c r="R33" i="53"/>
  <c r="R34" i="53"/>
  <c r="R35" i="53"/>
  <c r="R36" i="53"/>
  <c r="R37" i="53"/>
  <c r="R38" i="53"/>
  <c r="R39" i="53"/>
  <c r="R40" i="53"/>
  <c r="R41" i="53"/>
  <c r="R42" i="53"/>
  <c r="R43" i="53"/>
  <c r="R44" i="53"/>
  <c r="R45" i="53"/>
  <c r="R46" i="53"/>
  <c r="R47" i="53"/>
  <c r="R48" i="53"/>
  <c r="R49" i="53"/>
  <c r="R50" i="53"/>
  <c r="R51" i="53"/>
  <c r="R52" i="53"/>
  <c r="R53" i="53"/>
  <c r="R54" i="53"/>
  <c r="R55" i="53"/>
  <c r="R56" i="53"/>
  <c r="R57" i="53"/>
  <c r="R58" i="53"/>
  <c r="R59" i="53"/>
  <c r="R60" i="53"/>
  <c r="R61" i="53"/>
  <c r="R62" i="53"/>
  <c r="R63" i="53"/>
  <c r="R64" i="53"/>
  <c r="R65" i="53"/>
  <c r="R66" i="53"/>
  <c r="R67" i="53"/>
  <c r="R68" i="53"/>
  <c r="R69" i="53"/>
  <c r="R70" i="53"/>
  <c r="R71" i="53"/>
  <c r="R72" i="53"/>
  <c r="R73" i="53"/>
  <c r="R74" i="53"/>
  <c r="R75" i="53"/>
  <c r="R76" i="53"/>
  <c r="R77" i="53"/>
  <c r="R78" i="53"/>
  <c r="R79" i="53"/>
  <c r="R80" i="53"/>
  <c r="R81" i="53"/>
  <c r="R82" i="53"/>
  <c r="R83" i="53"/>
  <c r="R84" i="53"/>
  <c r="R85" i="53"/>
  <c r="R86" i="53"/>
  <c r="R87" i="53"/>
  <c r="R88" i="53"/>
  <c r="R89" i="53"/>
  <c r="R90" i="53"/>
  <c r="R91" i="53"/>
  <c r="R92" i="53"/>
  <c r="R93" i="53"/>
  <c r="R94" i="53"/>
  <c r="R95" i="53"/>
  <c r="R96" i="53"/>
  <c r="R97" i="53"/>
  <c r="R98" i="53"/>
  <c r="R99" i="53"/>
  <c r="R100" i="53"/>
  <c r="R101" i="53"/>
  <c r="R102" i="53"/>
  <c r="R103" i="53"/>
  <c r="R104" i="53"/>
  <c r="R105" i="53"/>
  <c r="R106" i="53"/>
  <c r="R107" i="53"/>
  <c r="R108" i="53"/>
  <c r="R109" i="53"/>
  <c r="R110" i="53"/>
  <c r="R111" i="53"/>
  <c r="R112" i="53"/>
  <c r="R113" i="53"/>
  <c r="R114" i="53"/>
  <c r="R115" i="53"/>
  <c r="R116" i="53"/>
  <c r="R117" i="53"/>
  <c r="R118" i="53"/>
  <c r="R119" i="53"/>
  <c r="R120" i="53"/>
  <c r="R122" i="53"/>
  <c r="R123" i="53"/>
  <c r="R124" i="53"/>
  <c r="R125" i="53"/>
  <c r="R126" i="53"/>
  <c r="R127" i="53"/>
  <c r="R128" i="53"/>
  <c r="R129" i="53"/>
  <c r="R130" i="53"/>
  <c r="R131" i="53"/>
  <c r="R7" i="53"/>
  <c r="Q142" i="53"/>
  <c r="T142" i="53"/>
  <c r="S142" i="53"/>
  <c r="W2" i="53"/>
  <c r="W7" i="53"/>
  <c r="W8" i="53"/>
  <c r="W9" i="53"/>
  <c r="W10" i="53"/>
  <c r="W11" i="53"/>
  <c r="W12" i="53"/>
  <c r="W13" i="53"/>
  <c r="W14" i="53"/>
  <c r="W15" i="53"/>
  <c r="W16" i="53"/>
  <c r="W17" i="53"/>
  <c r="W18" i="53"/>
  <c r="W19" i="53"/>
  <c r="W20" i="53"/>
  <c r="W21" i="53"/>
  <c r="W22" i="53"/>
  <c r="W23" i="53"/>
  <c r="W24" i="53"/>
  <c r="W25" i="53"/>
  <c r="W26" i="53"/>
  <c r="W27" i="53"/>
  <c r="W28" i="53"/>
  <c r="W29" i="53"/>
  <c r="W30" i="53"/>
  <c r="W31" i="53"/>
  <c r="W32" i="53"/>
  <c r="W33" i="53"/>
  <c r="W34" i="53"/>
  <c r="W35" i="53"/>
  <c r="W36" i="53"/>
  <c r="W37" i="53"/>
  <c r="W38" i="53"/>
  <c r="W39" i="53"/>
  <c r="W40" i="53"/>
  <c r="W41" i="53"/>
  <c r="W42" i="53"/>
  <c r="W43" i="53"/>
  <c r="W44" i="53"/>
  <c r="W45" i="53"/>
  <c r="W46" i="53"/>
  <c r="W47" i="53"/>
  <c r="W48" i="53"/>
  <c r="W49" i="53"/>
  <c r="W50" i="53"/>
  <c r="W51" i="53"/>
  <c r="W52" i="53"/>
  <c r="W53" i="53"/>
  <c r="W54" i="53"/>
  <c r="W55" i="53"/>
  <c r="W56" i="53"/>
  <c r="W57" i="53"/>
  <c r="W58" i="53"/>
  <c r="W59" i="53"/>
  <c r="W60" i="53"/>
  <c r="W61" i="53"/>
  <c r="W62" i="53"/>
  <c r="W63" i="53"/>
  <c r="W64" i="53"/>
  <c r="W65" i="53"/>
  <c r="W66" i="53"/>
  <c r="W67" i="53"/>
  <c r="W68" i="53"/>
  <c r="W69" i="53"/>
  <c r="W70" i="53"/>
  <c r="W71" i="53"/>
  <c r="W72" i="53"/>
  <c r="W73" i="53"/>
  <c r="W74" i="53"/>
  <c r="W75" i="53"/>
  <c r="W76" i="53"/>
  <c r="W77" i="53"/>
  <c r="W78" i="53"/>
  <c r="W79" i="53"/>
  <c r="W80" i="53"/>
  <c r="W81" i="53"/>
  <c r="W82" i="53"/>
  <c r="W83" i="53"/>
  <c r="W84" i="53"/>
  <c r="W85" i="53"/>
  <c r="W86" i="53"/>
  <c r="W87" i="53"/>
  <c r="W88" i="53"/>
  <c r="W89" i="53"/>
  <c r="W90" i="53"/>
  <c r="W91" i="53"/>
  <c r="W92" i="53"/>
  <c r="W93" i="53"/>
  <c r="W94" i="53"/>
  <c r="W95" i="53"/>
  <c r="W96" i="53"/>
  <c r="W97" i="53"/>
  <c r="W98" i="53"/>
  <c r="W99" i="53"/>
  <c r="W100" i="53"/>
  <c r="W101" i="53"/>
  <c r="W102" i="53"/>
  <c r="W103" i="53"/>
  <c r="W104" i="53"/>
  <c r="W105" i="53"/>
  <c r="W106" i="53"/>
  <c r="W107" i="53"/>
  <c r="W108" i="53"/>
  <c r="W109" i="53"/>
  <c r="W110" i="53"/>
  <c r="W111" i="53"/>
  <c r="W112" i="53"/>
  <c r="W113" i="53"/>
  <c r="W114" i="53"/>
  <c r="W115" i="53"/>
  <c r="W116" i="53"/>
  <c r="W117" i="53"/>
  <c r="W118" i="53"/>
  <c r="W119" i="53"/>
  <c r="W120" i="53"/>
  <c r="W122" i="53"/>
  <c r="W123" i="53"/>
  <c r="W124" i="53"/>
  <c r="W125" i="53"/>
  <c r="W126" i="53"/>
  <c r="W127" i="53"/>
  <c r="W128" i="53"/>
  <c r="W129" i="53"/>
  <c r="W130" i="53"/>
  <c r="W131" i="53"/>
  <c r="AF126" i="53"/>
  <c r="L22" i="55" a="1"/>
  <c r="L22" i="55"/>
  <c r="K22" i="55" a="1"/>
  <c r="K22" i="55"/>
  <c r="J142" i="53"/>
  <c r="M142" i="53"/>
  <c r="H22" i="55"/>
  <c r="G22" i="55"/>
  <c r="F22" i="55"/>
  <c r="C22" i="55"/>
  <c r="B22" i="55"/>
  <c r="G7" i="53"/>
  <c r="G8" i="53"/>
  <c r="G9" i="53"/>
  <c r="G10" i="53"/>
  <c r="G11" i="53"/>
  <c r="G12" i="53"/>
  <c r="G13" i="53"/>
  <c r="G14" i="53"/>
  <c r="G15" i="53"/>
  <c r="G16" i="53"/>
  <c r="G17" i="53"/>
  <c r="G18" i="53"/>
  <c r="G19" i="53"/>
  <c r="G20" i="53"/>
  <c r="G21" i="53"/>
  <c r="G22" i="53"/>
  <c r="G23" i="53"/>
  <c r="G24" i="53"/>
  <c r="G25" i="53"/>
  <c r="G26" i="53"/>
  <c r="G27" i="53"/>
  <c r="G28" i="53"/>
  <c r="G29" i="53"/>
  <c r="G30" i="53"/>
  <c r="G31" i="53"/>
  <c r="G32" i="53"/>
  <c r="G33" i="53"/>
  <c r="G34" i="53"/>
  <c r="G35" i="53"/>
  <c r="G36" i="53"/>
  <c r="G37" i="53"/>
  <c r="G38" i="53"/>
  <c r="G39" i="53"/>
  <c r="G40" i="53"/>
  <c r="G41" i="53"/>
  <c r="G42" i="53"/>
  <c r="G43" i="53"/>
  <c r="G44" i="53"/>
  <c r="G45" i="53"/>
  <c r="G46" i="53"/>
  <c r="G47" i="53"/>
  <c r="G48" i="53"/>
  <c r="G49" i="53"/>
  <c r="G50" i="53"/>
  <c r="G51" i="53"/>
  <c r="G52" i="53"/>
  <c r="G53" i="53"/>
  <c r="G54" i="53"/>
  <c r="G55" i="53"/>
  <c r="G56" i="53"/>
  <c r="G57" i="53"/>
  <c r="G58" i="53"/>
  <c r="G59" i="53"/>
  <c r="G60" i="53"/>
  <c r="G61" i="53"/>
  <c r="G62" i="53"/>
  <c r="G63" i="53"/>
  <c r="G64" i="53"/>
  <c r="G65" i="53"/>
  <c r="G66" i="53"/>
  <c r="G67" i="53"/>
  <c r="G68" i="53"/>
  <c r="G69" i="53"/>
  <c r="G70" i="53"/>
  <c r="G71" i="53"/>
  <c r="G72" i="53"/>
  <c r="G73" i="53"/>
  <c r="G74" i="53"/>
  <c r="G75" i="53"/>
  <c r="G76" i="53"/>
  <c r="G77" i="53"/>
  <c r="G78" i="53"/>
  <c r="G79" i="53"/>
  <c r="G80" i="53"/>
  <c r="G81" i="53"/>
  <c r="G82" i="53"/>
  <c r="G83" i="53"/>
  <c r="G84" i="53"/>
  <c r="G85" i="53"/>
  <c r="G86" i="53"/>
  <c r="G87" i="53"/>
  <c r="G88" i="53"/>
  <c r="G89" i="53"/>
  <c r="G90" i="53"/>
  <c r="G91" i="53"/>
  <c r="G92" i="53"/>
  <c r="G93" i="53"/>
  <c r="G94" i="53"/>
  <c r="G95" i="53"/>
  <c r="G96" i="53"/>
  <c r="G97" i="53"/>
  <c r="G98" i="53"/>
  <c r="G99" i="53"/>
  <c r="G100" i="53"/>
  <c r="G101" i="53"/>
  <c r="G102" i="53"/>
  <c r="G103" i="53"/>
  <c r="G104" i="53"/>
  <c r="G105" i="53"/>
  <c r="G106" i="53"/>
  <c r="G107" i="53"/>
  <c r="G108" i="53"/>
  <c r="G109" i="53"/>
  <c r="G110" i="53"/>
  <c r="G111" i="53"/>
  <c r="G112" i="53"/>
  <c r="G113" i="53"/>
  <c r="G114" i="53"/>
  <c r="G115" i="53"/>
  <c r="G116" i="53"/>
  <c r="G117" i="53"/>
  <c r="G118" i="53"/>
  <c r="G119" i="53"/>
  <c r="G120" i="53"/>
  <c r="G122" i="53"/>
  <c r="G123" i="53"/>
  <c r="G124" i="53"/>
  <c r="G125" i="53"/>
  <c r="G126" i="53"/>
  <c r="G127" i="53"/>
  <c r="G128" i="53"/>
  <c r="G129" i="53"/>
  <c r="G130" i="53"/>
  <c r="G131" i="53"/>
  <c r="F7" i="55"/>
  <c r="F118" i="55"/>
  <c r="C118" i="55"/>
  <c r="B118" i="55"/>
  <c r="N7" i="53"/>
  <c r="N8" i="53"/>
  <c r="N9" i="53"/>
  <c r="N10" i="53"/>
  <c r="N11" i="53"/>
  <c r="N12" i="53"/>
  <c r="N13" i="53"/>
  <c r="N14" i="53"/>
  <c r="N15" i="53"/>
  <c r="N16" i="53"/>
  <c r="N17" i="53"/>
  <c r="N18" i="53"/>
  <c r="N19" i="53"/>
  <c r="N20" i="53"/>
  <c r="N21" i="53"/>
  <c r="N22" i="53"/>
  <c r="N23" i="53"/>
  <c r="N24" i="53"/>
  <c r="N25" i="53"/>
  <c r="N26" i="53"/>
  <c r="N27" i="53"/>
  <c r="N28" i="53"/>
  <c r="N29" i="53"/>
  <c r="N30" i="53"/>
  <c r="N31" i="53"/>
  <c r="N32" i="53"/>
  <c r="N33" i="53"/>
  <c r="N34" i="53"/>
  <c r="N35" i="53"/>
  <c r="N36" i="53"/>
  <c r="N37" i="53"/>
  <c r="N38" i="53"/>
  <c r="N39" i="53"/>
  <c r="N40" i="53"/>
  <c r="N41" i="53"/>
  <c r="N42" i="53"/>
  <c r="N43" i="53"/>
  <c r="N44" i="53"/>
  <c r="N45" i="53"/>
  <c r="N46" i="53"/>
  <c r="N47" i="53"/>
  <c r="N48" i="53"/>
  <c r="N49" i="53"/>
  <c r="N50" i="53"/>
  <c r="N51" i="53"/>
  <c r="N52" i="53"/>
  <c r="N53" i="53"/>
  <c r="N54" i="53"/>
  <c r="N55" i="53"/>
  <c r="N56" i="53"/>
  <c r="N57" i="53"/>
  <c r="N58" i="53"/>
  <c r="N59" i="53"/>
  <c r="N60" i="53"/>
  <c r="N61" i="53"/>
  <c r="N62" i="53"/>
  <c r="N63" i="53"/>
  <c r="N64" i="53"/>
  <c r="N65" i="53"/>
  <c r="N66" i="53"/>
  <c r="N67" i="53"/>
  <c r="N68" i="53"/>
  <c r="N69" i="53"/>
  <c r="N70" i="53"/>
  <c r="N71" i="53"/>
  <c r="N72" i="53"/>
  <c r="N73" i="53"/>
  <c r="N74" i="53"/>
  <c r="N75" i="53"/>
  <c r="N76" i="53"/>
  <c r="N77" i="53"/>
  <c r="N78" i="53"/>
  <c r="N79" i="53"/>
  <c r="N80" i="53"/>
  <c r="N81" i="53"/>
  <c r="N82" i="53"/>
  <c r="N83" i="53"/>
  <c r="N84" i="53"/>
  <c r="N85" i="53"/>
  <c r="N86" i="53"/>
  <c r="N87" i="53"/>
  <c r="N88" i="53"/>
  <c r="N89" i="53"/>
  <c r="N90" i="53"/>
  <c r="N91" i="53"/>
  <c r="N92" i="53"/>
  <c r="N93" i="53"/>
  <c r="N94" i="53"/>
  <c r="N95" i="53"/>
  <c r="N96" i="53"/>
  <c r="N97" i="53"/>
  <c r="N98" i="53"/>
  <c r="N99" i="53"/>
  <c r="N100" i="53"/>
  <c r="N101" i="53"/>
  <c r="N102" i="53"/>
  <c r="N103" i="53"/>
  <c r="N104" i="53"/>
  <c r="N105" i="53"/>
  <c r="N106" i="53"/>
  <c r="N107" i="53"/>
  <c r="N108" i="53"/>
  <c r="N109" i="53"/>
  <c r="N110" i="53"/>
  <c r="N111" i="53"/>
  <c r="N112" i="53"/>
  <c r="N113" i="53"/>
  <c r="N114" i="53"/>
  <c r="N115" i="53"/>
  <c r="N116" i="53"/>
  <c r="N117" i="53"/>
  <c r="N118" i="53"/>
  <c r="N119" i="53"/>
  <c r="N120" i="53"/>
  <c r="N122" i="53"/>
  <c r="N123" i="53"/>
  <c r="N124" i="53"/>
  <c r="N125" i="53"/>
  <c r="N126" i="53"/>
  <c r="N127" i="53"/>
  <c r="N128" i="53"/>
  <c r="N129" i="53"/>
  <c r="N130" i="53"/>
  <c r="N131" i="53"/>
  <c r="N6" i="53"/>
  <c r="Y6" i="53"/>
  <c r="AD6" i="53"/>
  <c r="Y7" i="53"/>
  <c r="Y8" i="53"/>
  <c r="Y9" i="53"/>
  <c r="Y10" i="53"/>
  <c r="Y11" i="53"/>
  <c r="Y12" i="53"/>
  <c r="Y13" i="53"/>
  <c r="Y14" i="53"/>
  <c r="Y15" i="53"/>
  <c r="Y16" i="53"/>
  <c r="Y17" i="53"/>
  <c r="Y18" i="53"/>
  <c r="Y19" i="53"/>
  <c r="Y20" i="53"/>
  <c r="Y21" i="53"/>
  <c r="Y22" i="53"/>
  <c r="Y23" i="53"/>
  <c r="Y24" i="53"/>
  <c r="Y25" i="53"/>
  <c r="Y26" i="53"/>
  <c r="Y27" i="53"/>
  <c r="Y28" i="53"/>
  <c r="Y29" i="53"/>
  <c r="Y30" i="53"/>
  <c r="Y31" i="53"/>
  <c r="Y32" i="53"/>
  <c r="Y33" i="53"/>
  <c r="Y34" i="53"/>
  <c r="Y35" i="53"/>
  <c r="Y36" i="53"/>
  <c r="Y37" i="53"/>
  <c r="Y38" i="53"/>
  <c r="Y39" i="53"/>
  <c r="Y40" i="53"/>
  <c r="Y41" i="53"/>
  <c r="Y42" i="53"/>
  <c r="Y43" i="53"/>
  <c r="Y44" i="53"/>
  <c r="Y45" i="53"/>
  <c r="Y46" i="53"/>
  <c r="Y47" i="53"/>
  <c r="Y48" i="53"/>
  <c r="Y49" i="53"/>
  <c r="Y50" i="53"/>
  <c r="Y51" i="53"/>
  <c r="Y52" i="53"/>
  <c r="Y53" i="53"/>
  <c r="Y54" i="53"/>
  <c r="Y55" i="53"/>
  <c r="Y56" i="53"/>
  <c r="Y57" i="53"/>
  <c r="Y58" i="53"/>
  <c r="Y59" i="53"/>
  <c r="Y60" i="53"/>
  <c r="Y61" i="53"/>
  <c r="Y62" i="53"/>
  <c r="Y63" i="53"/>
  <c r="Y64" i="53"/>
  <c r="Y65" i="53"/>
  <c r="Y66" i="53"/>
  <c r="Y67" i="53"/>
  <c r="Y68" i="53"/>
  <c r="Y69" i="53"/>
  <c r="Y70" i="53"/>
  <c r="Y71" i="53"/>
  <c r="Y72" i="53"/>
  <c r="Y73" i="53"/>
  <c r="Y74" i="53"/>
  <c r="Y75" i="53"/>
  <c r="Y76" i="53"/>
  <c r="Y77" i="53"/>
  <c r="Y78" i="53"/>
  <c r="Y79" i="53"/>
  <c r="Y80" i="53"/>
  <c r="Y81" i="53"/>
  <c r="Y82" i="53"/>
  <c r="Y83" i="53"/>
  <c r="Y84" i="53"/>
  <c r="Y85" i="53"/>
  <c r="Y86" i="53"/>
  <c r="Y87" i="53"/>
  <c r="Y88" i="53"/>
  <c r="Y89" i="53"/>
  <c r="Y90" i="53"/>
  <c r="Y91" i="53"/>
  <c r="Y92" i="53"/>
  <c r="Y93" i="53"/>
  <c r="Y94" i="53"/>
  <c r="Y95" i="53"/>
  <c r="Y96" i="53"/>
  <c r="Y97" i="53"/>
  <c r="Y98" i="53"/>
  <c r="Y99" i="53"/>
  <c r="Y100" i="53"/>
  <c r="Y101" i="53"/>
  <c r="Y102" i="53"/>
  <c r="Y103" i="53"/>
  <c r="Y104" i="53"/>
  <c r="Y105" i="53"/>
  <c r="Y106" i="53"/>
  <c r="Y107" i="53"/>
  <c r="Y108" i="53"/>
  <c r="Y109" i="53"/>
  <c r="Y110" i="53"/>
  <c r="Y111" i="53"/>
  <c r="Y112" i="53"/>
  <c r="Y113" i="53"/>
  <c r="Y114" i="53"/>
  <c r="Y115" i="53"/>
  <c r="Y116" i="53"/>
  <c r="Y117" i="53"/>
  <c r="Y118" i="53"/>
  <c r="Y119" i="53"/>
  <c r="Y120" i="53"/>
  <c r="Y122" i="53"/>
  <c r="Y123" i="53"/>
  <c r="Y124" i="53"/>
  <c r="Y125" i="53"/>
  <c r="Y126" i="53"/>
  <c r="Y127" i="53"/>
  <c r="Y128" i="53"/>
  <c r="Y129" i="53"/>
  <c r="Y130" i="53"/>
  <c r="Y131" i="53"/>
  <c r="AD7" i="53"/>
  <c r="AD8" i="53"/>
  <c r="AD9" i="53"/>
  <c r="AD10" i="53"/>
  <c r="AD11" i="53"/>
  <c r="AD12" i="53"/>
  <c r="AD13" i="53"/>
  <c r="AD14" i="53"/>
  <c r="AD15" i="53"/>
  <c r="AD16" i="53"/>
  <c r="AD17" i="53"/>
  <c r="AD18" i="53"/>
  <c r="AD19" i="53"/>
  <c r="AD20" i="53"/>
  <c r="AD21" i="53"/>
  <c r="AD22" i="53"/>
  <c r="AD23" i="53"/>
  <c r="AD24" i="53"/>
  <c r="AD25" i="53"/>
  <c r="AD26" i="53"/>
  <c r="AD27" i="53"/>
  <c r="AD28" i="53"/>
  <c r="AD29" i="53"/>
  <c r="AD30" i="53"/>
  <c r="AD31" i="53"/>
  <c r="AD32" i="53"/>
  <c r="AD33" i="53"/>
  <c r="AD34" i="53"/>
  <c r="AD35" i="53"/>
  <c r="AD36" i="53"/>
  <c r="AD37" i="53"/>
  <c r="AD38" i="53"/>
  <c r="AD39" i="53"/>
  <c r="AD40" i="53"/>
  <c r="AD41" i="53"/>
  <c r="AD42" i="53"/>
  <c r="AD43" i="53"/>
  <c r="AD44" i="53"/>
  <c r="AD45" i="53"/>
  <c r="AD46" i="53"/>
  <c r="AD47" i="53"/>
  <c r="AD48" i="53"/>
  <c r="AD49" i="53"/>
  <c r="AD50" i="53"/>
  <c r="AD51" i="53"/>
  <c r="AD52" i="53"/>
  <c r="AD53" i="53"/>
  <c r="AD54" i="53"/>
  <c r="AD55" i="53"/>
  <c r="AD56" i="53"/>
  <c r="AD57" i="53"/>
  <c r="AD58" i="53"/>
  <c r="AD59" i="53"/>
  <c r="AD60" i="53"/>
  <c r="AD61" i="53"/>
  <c r="AD62" i="53"/>
  <c r="AD63" i="53"/>
  <c r="AD64" i="53"/>
  <c r="AD65" i="53"/>
  <c r="AD66" i="53"/>
  <c r="AD67" i="53"/>
  <c r="AD68" i="53"/>
  <c r="AD69" i="53"/>
  <c r="AD70" i="53"/>
  <c r="AD71" i="53"/>
  <c r="AD72" i="53"/>
  <c r="AD73" i="53"/>
  <c r="AD74" i="53"/>
  <c r="AD75" i="53"/>
  <c r="AD76" i="53"/>
  <c r="AD77" i="53"/>
  <c r="AD78" i="53"/>
  <c r="AD79" i="53"/>
  <c r="AD80" i="53"/>
  <c r="AD81" i="53"/>
  <c r="AD82" i="53"/>
  <c r="AD83" i="53"/>
  <c r="AD84" i="53"/>
  <c r="AD85" i="53"/>
  <c r="AD86" i="53"/>
  <c r="AD87" i="53"/>
  <c r="AD88" i="53"/>
  <c r="AD89" i="53"/>
  <c r="AD90" i="53"/>
  <c r="AD91" i="53"/>
  <c r="AD92" i="53"/>
  <c r="AD93" i="53"/>
  <c r="AD94" i="53"/>
  <c r="AD95" i="53"/>
  <c r="AD96" i="53"/>
  <c r="AD97" i="53"/>
  <c r="AD98" i="53"/>
  <c r="AD99" i="53"/>
  <c r="AD100" i="53"/>
  <c r="AD101" i="53"/>
  <c r="AD102" i="53"/>
  <c r="AD103" i="53"/>
  <c r="AD104" i="53"/>
  <c r="AD105" i="53"/>
  <c r="AD106" i="53"/>
  <c r="AD107" i="53"/>
  <c r="AD108" i="53"/>
  <c r="AD109" i="53"/>
  <c r="AD110" i="53"/>
  <c r="AD111" i="53"/>
  <c r="AD112" i="53"/>
  <c r="AD113" i="53"/>
  <c r="AD114" i="53"/>
  <c r="AD115" i="53"/>
  <c r="AD116" i="53"/>
  <c r="AD117" i="53"/>
  <c r="AD118" i="53"/>
  <c r="AD119" i="53"/>
  <c r="AD120" i="53"/>
  <c r="AD122" i="53"/>
  <c r="AD123" i="53"/>
  <c r="AD124" i="53"/>
  <c r="AD125" i="53"/>
  <c r="AD126" i="53"/>
  <c r="AD127" i="53"/>
  <c r="AD128" i="53"/>
  <c r="AD129" i="53"/>
  <c r="AD130" i="53"/>
  <c r="AD131" i="53"/>
  <c r="C167" i="55"/>
  <c r="C129" i="55"/>
  <c r="C169" i="55"/>
  <c r="AF109" i="53"/>
  <c r="B34" i="59"/>
  <c r="E34" i="59"/>
  <c r="B6" i="59"/>
  <c r="H39" i="59"/>
  <c r="F2" i="60"/>
  <c r="E2" i="60"/>
  <c r="D2" i="60"/>
  <c r="C2" i="60"/>
  <c r="B2" i="60"/>
  <c r="A2" i="60"/>
  <c r="AF7" i="53"/>
  <c r="O26" i="53"/>
  <c r="O27" i="53"/>
  <c r="O10" i="53"/>
  <c r="C7" i="55"/>
  <c r="AF8" i="53"/>
  <c r="AF9" i="53"/>
  <c r="AF10" i="53"/>
  <c r="AF11" i="53"/>
  <c r="AF13" i="53"/>
  <c r="AF14" i="53"/>
  <c r="AF15" i="53"/>
  <c r="AF16" i="53"/>
  <c r="AF17" i="53"/>
  <c r="AF19" i="53"/>
  <c r="AF20" i="53"/>
  <c r="AF31" i="53"/>
  <c r="AF32" i="53"/>
  <c r="AF33" i="53"/>
  <c r="AF34" i="53"/>
  <c r="AF35" i="53"/>
  <c r="AF36" i="53"/>
  <c r="AF38" i="53"/>
  <c r="AF40" i="53"/>
  <c r="AF41" i="53"/>
  <c r="AF42" i="53"/>
  <c r="AF43" i="53"/>
  <c r="AF44" i="53"/>
  <c r="AF45" i="53"/>
  <c r="AF46" i="53"/>
  <c r="AF47" i="53"/>
  <c r="AF48" i="53"/>
  <c r="AF49" i="53"/>
  <c r="AF51" i="53"/>
  <c r="AF52" i="53"/>
  <c r="AF53" i="53"/>
  <c r="AF54" i="53"/>
  <c r="AF55" i="53"/>
  <c r="AF56" i="53"/>
  <c r="AF57" i="53"/>
  <c r="AF58" i="53"/>
  <c r="AF59" i="53"/>
  <c r="AF60" i="53"/>
  <c r="AF61" i="53"/>
  <c r="AF64" i="53"/>
  <c r="AF65" i="53"/>
  <c r="AF66" i="53"/>
  <c r="AF67" i="53"/>
  <c r="AF68" i="53"/>
  <c r="AF69" i="53"/>
  <c r="AF70" i="53"/>
  <c r="AF71" i="53"/>
  <c r="AF72" i="53"/>
  <c r="AF73" i="53"/>
  <c r="AF74" i="53"/>
  <c r="AF75" i="53"/>
  <c r="AF89" i="53"/>
  <c r="AF91" i="53"/>
  <c r="AF92" i="53"/>
  <c r="AF93" i="53"/>
  <c r="AF94" i="53"/>
  <c r="AF95" i="53"/>
  <c r="AF96" i="53"/>
  <c r="AF97" i="53"/>
  <c r="AF98" i="53"/>
  <c r="AF99" i="53"/>
  <c r="AF100" i="53"/>
  <c r="AF101" i="53"/>
  <c r="AF102" i="53"/>
  <c r="AF103" i="53"/>
  <c r="AF110" i="53"/>
  <c r="AF111" i="53"/>
  <c r="AF112" i="53"/>
  <c r="AF113" i="53"/>
  <c r="AF114" i="53"/>
  <c r="AF115" i="53"/>
  <c r="AF116" i="53"/>
  <c r="AF117" i="53"/>
  <c r="AF118" i="53"/>
  <c r="AF119" i="53"/>
  <c r="AF120" i="53"/>
  <c r="AF122" i="53"/>
  <c r="AF123" i="53"/>
  <c r="AF124" i="53"/>
  <c r="AF125" i="53"/>
  <c r="AF130" i="53"/>
  <c r="O96" i="53"/>
  <c r="G195" i="55"/>
  <c r="B21" i="55"/>
  <c r="O43" i="53"/>
  <c r="E43" i="53"/>
  <c r="O24" i="53"/>
  <c r="O23" i="53"/>
  <c r="O22" i="53"/>
  <c r="O12" i="53"/>
  <c r="O13" i="53"/>
  <c r="O8" i="53"/>
  <c r="O9" i="53"/>
  <c r="O16" i="53"/>
  <c r="F106" i="55"/>
  <c r="F107" i="55"/>
  <c r="F108" i="55"/>
  <c r="F109" i="55"/>
  <c r="F110" i="55"/>
  <c r="F111" i="55"/>
  <c r="F112" i="55"/>
  <c r="F113" i="55"/>
  <c r="F114" i="55"/>
  <c r="F115" i="55"/>
  <c r="F116" i="55"/>
  <c r="F117"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4" i="55"/>
  <c r="F165" i="55"/>
  <c r="F166" i="55"/>
  <c r="F167" i="55"/>
  <c r="F169" i="55"/>
  <c r="F170" i="55"/>
  <c r="F171" i="55"/>
  <c r="F172" i="55"/>
  <c r="F173" i="55"/>
  <c r="F174" i="55"/>
  <c r="F175" i="55"/>
  <c r="F176" i="55"/>
  <c r="F177" i="55"/>
  <c r="F178" i="55"/>
  <c r="F179" i="55"/>
  <c r="F180" i="55"/>
  <c r="F181" i="55"/>
  <c r="F182" i="55"/>
  <c r="F183" i="55"/>
  <c r="F184" i="55"/>
  <c r="F185" i="55"/>
  <c r="F186" i="55"/>
  <c r="F187" i="55"/>
  <c r="C106" i="55"/>
  <c r="C107" i="55"/>
  <c r="C108" i="55"/>
  <c r="C109" i="55"/>
  <c r="C110" i="55"/>
  <c r="C111" i="55"/>
  <c r="C112" i="55"/>
  <c r="C113" i="55"/>
  <c r="C114" i="55"/>
  <c r="C115" i="55"/>
  <c r="C116" i="55"/>
  <c r="C117" i="55"/>
  <c r="C119" i="55"/>
  <c r="C120" i="55"/>
  <c r="C121" i="55"/>
  <c r="C122" i="55"/>
  <c r="C123" i="55"/>
  <c r="C124" i="55"/>
  <c r="C125" i="55"/>
  <c r="C126" i="55"/>
  <c r="C127" i="55"/>
  <c r="C128"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C157" i="55"/>
  <c r="C158" i="55"/>
  <c r="C159" i="55"/>
  <c r="C160" i="55"/>
  <c r="C161" i="55"/>
  <c r="C162" i="55"/>
  <c r="C163" i="55"/>
  <c r="C164" i="55"/>
  <c r="C165" i="55"/>
  <c r="C166" i="55"/>
  <c r="C170" i="55"/>
  <c r="C171" i="55"/>
  <c r="C172" i="55"/>
  <c r="C173" i="55"/>
  <c r="C174" i="55"/>
  <c r="C175" i="55"/>
  <c r="C176" i="55"/>
  <c r="C177" i="55"/>
  <c r="C178" i="55"/>
  <c r="C179" i="55"/>
  <c r="C180" i="55"/>
  <c r="C181" i="55"/>
  <c r="C182" i="55"/>
  <c r="C183" i="55"/>
  <c r="C184" i="55"/>
  <c r="C185" i="55"/>
  <c r="C186" i="55"/>
  <c r="C187"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1" i="55"/>
  <c r="B152" i="55"/>
  <c r="B153" i="55"/>
  <c r="B154" i="55"/>
  <c r="B155" i="55"/>
  <c r="B156" i="55"/>
  <c r="B157" i="55"/>
  <c r="B158" i="55"/>
  <c r="B159" i="55"/>
  <c r="B160" i="55"/>
  <c r="B161" i="55"/>
  <c r="B162" i="55"/>
  <c r="B163" i="55"/>
  <c r="B164" i="55"/>
  <c r="B165" i="55"/>
  <c r="B166" i="55"/>
  <c r="B167" i="55"/>
  <c r="B169" i="55"/>
  <c r="B170" i="55"/>
  <c r="B171" i="55"/>
  <c r="B172" i="55"/>
  <c r="B173" i="55"/>
  <c r="B174" i="55"/>
  <c r="B175" i="55"/>
  <c r="B176" i="55"/>
  <c r="B177" i="55"/>
  <c r="B178" i="55"/>
  <c r="B179" i="55"/>
  <c r="B180" i="55"/>
  <c r="B181" i="55"/>
  <c r="B182" i="55"/>
  <c r="B183" i="55"/>
  <c r="B184" i="55"/>
  <c r="B185" i="55"/>
  <c r="B186" i="55"/>
  <c r="B187" i="55"/>
  <c r="B106" i="55"/>
  <c r="B107" i="55"/>
  <c r="B108" i="55"/>
  <c r="B109" i="55"/>
  <c r="B110" i="55"/>
  <c r="B111" i="55"/>
  <c r="B112" i="55"/>
  <c r="B113" i="55"/>
  <c r="B114" i="55"/>
  <c r="B115" i="55"/>
  <c r="B116" i="55"/>
  <c r="B117" i="55"/>
  <c r="B119" i="55"/>
  <c r="E10" i="53"/>
  <c r="E11" i="53"/>
  <c r="E12" i="53"/>
  <c r="E18" i="53"/>
  <c r="E19" i="53"/>
  <c r="E20" i="53"/>
  <c r="E21" i="53"/>
  <c r="E29" i="53"/>
  <c r="E30" i="53"/>
  <c r="E31" i="53"/>
  <c r="E32" i="53"/>
  <c r="E33" i="53"/>
  <c r="E34" i="53"/>
  <c r="E35" i="53"/>
  <c r="E36" i="53"/>
  <c r="E37" i="53"/>
  <c r="E38" i="53"/>
  <c r="E39" i="53"/>
  <c r="E40" i="53"/>
  <c r="E41" i="53"/>
  <c r="E42" i="53"/>
  <c r="E44" i="53"/>
  <c r="E45" i="53"/>
  <c r="E46" i="53"/>
  <c r="E47" i="53"/>
  <c r="E48" i="53"/>
  <c r="E49" i="53"/>
  <c r="E50" i="53"/>
  <c r="E51" i="53"/>
  <c r="E52" i="53"/>
  <c r="E53" i="53"/>
  <c r="E54" i="53"/>
  <c r="E55" i="53"/>
  <c r="E56" i="53"/>
  <c r="E57" i="53"/>
  <c r="E58" i="53"/>
  <c r="E59" i="53"/>
  <c r="E60" i="53"/>
  <c r="E61" i="53"/>
  <c r="E62" i="53"/>
  <c r="E63" i="53"/>
  <c r="E64" i="53"/>
  <c r="E65" i="53"/>
  <c r="E66" i="53"/>
  <c r="E67" i="53"/>
  <c r="E68" i="53"/>
  <c r="E69" i="53"/>
  <c r="E70" i="53"/>
  <c r="E71" i="53"/>
  <c r="E72" i="53"/>
  <c r="E73" i="53"/>
  <c r="E74" i="53"/>
  <c r="E75" i="53"/>
  <c r="E76" i="53"/>
  <c r="E77" i="53"/>
  <c r="E78" i="53"/>
  <c r="E79" i="53"/>
  <c r="E80" i="53"/>
  <c r="E81" i="53"/>
  <c r="E82" i="53"/>
  <c r="E83" i="53"/>
  <c r="E84" i="53"/>
  <c r="E85" i="53"/>
  <c r="E86" i="53"/>
  <c r="E87" i="53"/>
  <c r="E88" i="53"/>
  <c r="E89" i="53"/>
  <c r="E90" i="53"/>
  <c r="E91" i="53"/>
  <c r="E92" i="53"/>
  <c r="E93" i="53"/>
  <c r="E94" i="53"/>
  <c r="E95" i="53"/>
  <c r="E96" i="53"/>
  <c r="E97" i="53"/>
  <c r="E98" i="53"/>
  <c r="E99" i="53"/>
  <c r="E100" i="53"/>
  <c r="E101" i="53"/>
  <c r="E102" i="53"/>
  <c r="E103" i="53"/>
  <c r="E104" i="53"/>
  <c r="E105" i="53"/>
  <c r="E106" i="53"/>
  <c r="E107" i="53"/>
  <c r="E108" i="53"/>
  <c r="E109" i="53"/>
  <c r="E110" i="53"/>
  <c r="E111" i="53"/>
  <c r="E112" i="53"/>
  <c r="E113" i="53"/>
  <c r="E114" i="53"/>
  <c r="E115" i="53"/>
  <c r="E116" i="53"/>
  <c r="E117" i="53"/>
  <c r="E118" i="53"/>
  <c r="E119" i="53"/>
  <c r="E120" i="53"/>
  <c r="E122" i="53"/>
  <c r="E123" i="53"/>
  <c r="E124" i="53"/>
  <c r="E125" i="53"/>
  <c r="E126" i="53"/>
  <c r="E127" i="53"/>
  <c r="E128" i="53"/>
  <c r="E129" i="53"/>
  <c r="E130" i="53"/>
  <c r="E131" i="53"/>
  <c r="E6" i="53"/>
  <c r="B4" i="59"/>
  <c r="S2" i="53"/>
  <c r="N142" i="53"/>
  <c r="J2" i="53"/>
  <c r="O6" i="53"/>
  <c r="K34" i="59"/>
  <c r="C13" i="59"/>
  <c r="L13" i="59"/>
  <c r="C18" i="59"/>
  <c r="L18" i="59"/>
  <c r="D41" i="59"/>
  <c r="D34" i="59"/>
  <c r="D35" i="59"/>
  <c r="D36" i="59"/>
  <c r="D37" i="59"/>
  <c r="D38" i="59"/>
  <c r="D39" i="59"/>
  <c r="D40" i="59"/>
  <c r="D33" i="59"/>
  <c r="D32" i="59"/>
  <c r="D27" i="59"/>
  <c r="D20" i="59"/>
  <c r="D21" i="59"/>
  <c r="D22" i="59"/>
  <c r="D23" i="59"/>
  <c r="D24" i="59"/>
  <c r="D25" i="59"/>
  <c r="D26" i="59"/>
  <c r="D19" i="59"/>
  <c r="D18" i="59"/>
  <c r="O11" i="53"/>
  <c r="O14" i="53"/>
  <c r="O15" i="53"/>
  <c r="O17" i="53"/>
  <c r="O18" i="53"/>
  <c r="O19" i="53"/>
  <c r="O20" i="53"/>
  <c r="O21" i="53"/>
  <c r="O25" i="53"/>
  <c r="O28" i="53"/>
  <c r="O29" i="53"/>
  <c r="O30" i="53"/>
  <c r="O34" i="53"/>
  <c r="O35" i="53"/>
  <c r="O36" i="53"/>
  <c r="O37" i="53"/>
  <c r="O38" i="53"/>
  <c r="O39" i="53"/>
  <c r="O40" i="53"/>
  <c r="O41" i="53"/>
  <c r="O42" i="53"/>
  <c r="O44" i="53"/>
  <c r="O45" i="53"/>
  <c r="O46" i="53"/>
  <c r="O47" i="53"/>
  <c r="O48" i="53"/>
  <c r="O49" i="53"/>
  <c r="O50" i="53"/>
  <c r="O31" i="53"/>
  <c r="O32" i="53"/>
  <c r="O33" i="53"/>
  <c r="O51" i="53"/>
  <c r="O52" i="53"/>
  <c r="O53" i="53"/>
  <c r="O54" i="53"/>
  <c r="O55" i="53"/>
  <c r="O56" i="53"/>
  <c r="O57" i="53"/>
  <c r="O58" i="53"/>
  <c r="O59" i="53"/>
  <c r="O60" i="53"/>
  <c r="O61" i="53"/>
  <c r="O62" i="53"/>
  <c r="O63" i="53"/>
  <c r="O64" i="53"/>
  <c r="O65" i="53"/>
  <c r="O66" i="53"/>
  <c r="O67" i="53"/>
  <c r="O68" i="53"/>
  <c r="O69" i="53"/>
  <c r="O70" i="53"/>
  <c r="O71" i="53"/>
  <c r="O72" i="53"/>
  <c r="O73" i="53"/>
  <c r="O74" i="53"/>
  <c r="O75" i="53"/>
  <c r="O76" i="53"/>
  <c r="O77" i="53"/>
  <c r="O78" i="53"/>
  <c r="O79" i="53"/>
  <c r="O80" i="53"/>
  <c r="O81" i="53"/>
  <c r="O82" i="53"/>
  <c r="O83" i="53"/>
  <c r="O84" i="53"/>
  <c r="O85" i="53"/>
  <c r="O86" i="53"/>
  <c r="O87" i="53"/>
  <c r="O88" i="53"/>
  <c r="O89" i="53"/>
  <c r="O90" i="53"/>
  <c r="O91" i="53"/>
  <c r="O92" i="53"/>
  <c r="O93" i="53"/>
  <c r="O94" i="53"/>
  <c r="O95" i="53"/>
  <c r="O97" i="53"/>
  <c r="O98" i="53"/>
  <c r="O99" i="53"/>
  <c r="O100" i="53"/>
  <c r="O101" i="53"/>
  <c r="O102" i="53"/>
  <c r="O103" i="53"/>
  <c r="O104" i="53"/>
  <c r="O105" i="53"/>
  <c r="O106" i="53"/>
  <c r="O107" i="53"/>
  <c r="O108" i="53"/>
  <c r="O109" i="53"/>
  <c r="O110" i="53"/>
  <c r="O111" i="53"/>
  <c r="O112" i="53"/>
  <c r="O113" i="53"/>
  <c r="O114" i="53"/>
  <c r="O115" i="53"/>
  <c r="O116" i="53"/>
  <c r="O117" i="53"/>
  <c r="O118" i="53"/>
  <c r="O119" i="53"/>
  <c r="O120" i="53"/>
  <c r="O122" i="53"/>
  <c r="O123" i="53"/>
  <c r="O124" i="53"/>
  <c r="O125" i="53"/>
  <c r="O126" i="53"/>
  <c r="O127" i="53"/>
  <c r="O128" i="53"/>
  <c r="O129" i="53"/>
  <c r="O130" i="53"/>
  <c r="O131" i="53"/>
  <c r="D13" i="59"/>
  <c r="D6" i="59"/>
  <c r="D7" i="59"/>
  <c r="D8" i="59"/>
  <c r="D9" i="59"/>
  <c r="D10" i="59"/>
  <c r="D11" i="59"/>
  <c r="D12" i="59"/>
  <c r="D5" i="59"/>
  <c r="D4" i="59"/>
  <c r="E8" i="59"/>
  <c r="AC2" i="53"/>
  <c r="AB2" i="53"/>
  <c r="AA2" i="53"/>
  <c r="Z2" i="53"/>
  <c r="V2" i="53"/>
  <c r="T2" i="53"/>
  <c r="Q2" i="53"/>
  <c r="N2" i="53"/>
  <c r="K2" i="53"/>
  <c r="S13" i="59"/>
  <c r="R13" i="59"/>
  <c r="Q13" i="59"/>
  <c r="P13" i="59"/>
  <c r="K13" i="59"/>
  <c r="J13" i="59"/>
  <c r="I13" i="59"/>
  <c r="H13" i="59"/>
  <c r="E13" i="59"/>
  <c r="B13" i="59"/>
  <c r="V13" i="59"/>
  <c r="S12" i="59"/>
  <c r="R12" i="59"/>
  <c r="Q12" i="59"/>
  <c r="P12" i="59"/>
  <c r="K12" i="59"/>
  <c r="J12" i="59"/>
  <c r="I12" i="59"/>
  <c r="H12" i="59"/>
  <c r="E12" i="59"/>
  <c r="C12" i="59"/>
  <c r="L12" i="59"/>
  <c r="B12" i="59"/>
  <c r="V12" i="59"/>
  <c r="S11" i="59"/>
  <c r="R11" i="59"/>
  <c r="Q11" i="59"/>
  <c r="P11" i="59"/>
  <c r="K11" i="59"/>
  <c r="J11" i="59"/>
  <c r="I11" i="59"/>
  <c r="H11" i="59"/>
  <c r="E11" i="59"/>
  <c r="C11" i="59"/>
  <c r="B11" i="59"/>
  <c r="T11" i="59"/>
  <c r="S10" i="59"/>
  <c r="R10" i="59"/>
  <c r="Q10" i="59"/>
  <c r="P10" i="59"/>
  <c r="K10" i="59"/>
  <c r="J10" i="59"/>
  <c r="I10" i="59"/>
  <c r="H10" i="59"/>
  <c r="E10" i="59"/>
  <c r="C10" i="59"/>
  <c r="N10" i="59"/>
  <c r="B10" i="59"/>
  <c r="F10" i="59"/>
  <c r="S9" i="59"/>
  <c r="R9" i="59"/>
  <c r="Q9" i="59"/>
  <c r="P9" i="59"/>
  <c r="K9" i="59"/>
  <c r="J9" i="59"/>
  <c r="I9" i="59"/>
  <c r="H9" i="59"/>
  <c r="E9" i="59"/>
  <c r="C9" i="59"/>
  <c r="N9" i="59"/>
  <c r="B9" i="59"/>
  <c r="V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S5" i="59"/>
  <c r="R5" i="59"/>
  <c r="Q5" i="59"/>
  <c r="P5" i="59"/>
  <c r="K5" i="59"/>
  <c r="J5" i="59"/>
  <c r="I5" i="59"/>
  <c r="H5" i="59"/>
  <c r="E5" i="59"/>
  <c r="C5" i="59"/>
  <c r="B5" i="59"/>
  <c r="S4" i="59"/>
  <c r="R4" i="59"/>
  <c r="Q4" i="59"/>
  <c r="P4" i="59"/>
  <c r="K4" i="59"/>
  <c r="I4" i="59"/>
  <c r="H4" i="59"/>
  <c r="E4" i="59"/>
  <c r="C4" i="59"/>
  <c r="H10" i="55"/>
  <c r="O7" i="53"/>
  <c r="O142" i="53"/>
  <c r="K142" i="53"/>
  <c r="B103" i="55"/>
  <c r="I38" i="59"/>
  <c r="P38" i="59"/>
  <c r="B13" i="55"/>
  <c r="B14" i="55"/>
  <c r="B15" i="55"/>
  <c r="B16" i="55"/>
  <c r="B17" i="55"/>
  <c r="B18" i="55"/>
  <c r="B19" i="55"/>
  <c r="B20"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4" i="55"/>
  <c r="B105" i="55"/>
  <c r="B10" i="55"/>
  <c r="B11" i="55"/>
  <c r="B12" i="55"/>
  <c r="F105" i="55"/>
  <c r="C105" i="55"/>
  <c r="F104" i="55"/>
  <c r="C104" i="55"/>
  <c r="F103" i="55"/>
  <c r="C103" i="55"/>
  <c r="F14" i="55"/>
  <c r="F16" i="55"/>
  <c r="F24" i="55"/>
  <c r="F30" i="55"/>
  <c r="F32" i="55"/>
  <c r="F38" i="55"/>
  <c r="F40" i="55"/>
  <c r="F46" i="55"/>
  <c r="F48" i="55"/>
  <c r="F54" i="55"/>
  <c r="F56" i="55"/>
  <c r="F62" i="55"/>
  <c r="F64" i="55"/>
  <c r="F69" i="55"/>
  <c r="F71" i="55"/>
  <c r="F77" i="55"/>
  <c r="F79" i="55"/>
  <c r="F85" i="55"/>
  <c r="F87" i="55"/>
  <c r="F93" i="55"/>
  <c r="F95"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70" i="55"/>
  <c r="F72" i="55"/>
  <c r="F73" i="55"/>
  <c r="F74" i="55"/>
  <c r="F75" i="55"/>
  <c r="F76" i="55"/>
  <c r="F78" i="55"/>
  <c r="F80" i="55"/>
  <c r="F81" i="55"/>
  <c r="F82" i="55"/>
  <c r="F83" i="55"/>
  <c r="F84" i="55"/>
  <c r="F86" i="55"/>
  <c r="F88" i="55"/>
  <c r="F89" i="55"/>
  <c r="F90" i="55"/>
  <c r="F91" i="55"/>
  <c r="F92" i="55"/>
  <c r="F94" i="55"/>
  <c r="F96" i="55"/>
  <c r="F97" i="55"/>
  <c r="F98" i="55"/>
  <c r="F99" i="55"/>
  <c r="F100" i="55"/>
  <c r="F102" i="55"/>
  <c r="C15" i="55"/>
  <c r="C16" i="55"/>
  <c r="C17" i="55"/>
  <c r="C18" i="55"/>
  <c r="C19" i="55"/>
  <c r="C20" i="55"/>
  <c r="C21"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9" i="55"/>
  <c r="C10" i="55"/>
  <c r="C11" i="55"/>
  <c r="C12" i="55"/>
  <c r="C13" i="55"/>
  <c r="C14" i="55"/>
  <c r="C8" i="55"/>
  <c r="I13" i="52"/>
  <c r="I12" i="52"/>
  <c r="I11" i="52"/>
  <c r="I10" i="52"/>
  <c r="I9" i="52"/>
  <c r="I8" i="52"/>
  <c r="I7" i="52"/>
  <c r="I6" i="52"/>
  <c r="I5" i="52"/>
  <c r="I4" i="52"/>
  <c r="K21" i="59"/>
  <c r="I22" i="59"/>
  <c r="C21" i="59"/>
  <c r="L21" i="59"/>
  <c r="C41" i="59"/>
  <c r="L41" i="59"/>
  <c r="B33" i="59"/>
  <c r="I19" i="59"/>
  <c r="K41" i="59"/>
  <c r="J41" i="59"/>
  <c r="K40" i="59"/>
  <c r="J40" i="59"/>
  <c r="K39" i="59"/>
  <c r="J39" i="59"/>
  <c r="K38" i="59"/>
  <c r="J38" i="59"/>
  <c r="K37" i="59"/>
  <c r="J37" i="59"/>
  <c r="K36" i="59"/>
  <c r="J36" i="59"/>
  <c r="K35" i="59"/>
  <c r="J35" i="59"/>
  <c r="J34" i="59"/>
  <c r="K33" i="59"/>
  <c r="J33" i="59"/>
  <c r="K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C142" i="53"/>
  <c r="AB142" i="53"/>
  <c r="AA142" i="53"/>
  <c r="Z142" i="53"/>
  <c r="V142" i="53"/>
  <c r="J193" i="55"/>
  <c r="P27" i="59"/>
  <c r="H32" i="59"/>
  <c r="C33" i="59"/>
  <c r="C34" i="59"/>
  <c r="C35" i="59"/>
  <c r="C36" i="59"/>
  <c r="L36" i="59"/>
  <c r="C37" i="59"/>
  <c r="L37" i="59"/>
  <c r="C38" i="59"/>
  <c r="N38" i="59"/>
  <c r="C39" i="59"/>
  <c r="N39" i="59"/>
  <c r="C40" i="59"/>
  <c r="N40" i="59"/>
  <c r="C32" i="59"/>
  <c r="C19" i="59"/>
  <c r="L19" i="59"/>
  <c r="C20" i="59"/>
  <c r="C22" i="59"/>
  <c r="L22" i="59"/>
  <c r="C23" i="59"/>
  <c r="L23" i="59"/>
  <c r="C24" i="59"/>
  <c r="N24" i="59"/>
  <c r="C25" i="59"/>
  <c r="N25" i="59"/>
  <c r="C26" i="59"/>
  <c r="N26" i="59"/>
  <c r="C27" i="59"/>
  <c r="N27" i="59"/>
  <c r="B32" i="59"/>
  <c r="B18" i="59"/>
  <c r="V18" i="59"/>
  <c r="Q19" i="59"/>
  <c r="Q20" i="59"/>
  <c r="B20" i="59"/>
  <c r="T20" i="59"/>
  <c r="P20" i="59"/>
  <c r="Q21" i="59"/>
  <c r="Q22" i="59"/>
  <c r="Q23" i="59"/>
  <c r="Q24" i="59"/>
  <c r="Q25" i="59"/>
  <c r="Q26" i="59"/>
  <c r="Q27" i="59"/>
  <c r="Q18" i="59"/>
  <c r="P19"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c r="B22" i="59"/>
  <c r="F22" i="59"/>
  <c r="B21" i="59"/>
  <c r="F21" i="59"/>
  <c r="B23" i="59"/>
  <c r="F23" i="59"/>
  <c r="B24" i="59"/>
  <c r="T24" i="59"/>
  <c r="B25" i="59"/>
  <c r="T25" i="59"/>
  <c r="B26" i="59"/>
  <c r="F26" i="59"/>
  <c r="B27" i="59"/>
  <c r="V27" i="59"/>
  <c r="E33" i="59"/>
  <c r="E35" i="59"/>
  <c r="E36" i="59"/>
  <c r="E37" i="59"/>
  <c r="E38" i="59"/>
  <c r="E39" i="59"/>
  <c r="E40" i="59"/>
  <c r="E41" i="59"/>
  <c r="Q33" i="59"/>
  <c r="Q34" i="59"/>
  <c r="Q35" i="59"/>
  <c r="Q36" i="59"/>
  <c r="Q37" i="59"/>
  <c r="Q38" i="59"/>
  <c r="Q39" i="59"/>
  <c r="Q40" i="59"/>
  <c r="Q41" i="59"/>
  <c r="Q32" i="59"/>
  <c r="P32" i="59"/>
  <c r="P33" i="59"/>
  <c r="P34" i="59"/>
  <c r="P35" i="59"/>
  <c r="P36" i="59"/>
  <c r="P37" i="59"/>
  <c r="P39" i="59"/>
  <c r="P40" i="59"/>
  <c r="P41" i="59"/>
  <c r="I33" i="59"/>
  <c r="I34" i="59"/>
  <c r="I35" i="59"/>
  <c r="I36" i="59"/>
  <c r="I37" i="59"/>
  <c r="I39" i="59"/>
  <c r="I40" i="59"/>
  <c r="I41" i="59"/>
  <c r="I32" i="59"/>
  <c r="H33" i="59"/>
  <c r="H34" i="59"/>
  <c r="H35" i="59"/>
  <c r="H36" i="59"/>
  <c r="H37" i="59"/>
  <c r="H38" i="59"/>
  <c r="H40" i="59"/>
  <c r="H41" i="59"/>
  <c r="E32" i="59"/>
  <c r="B35" i="59"/>
  <c r="B36" i="59"/>
  <c r="V36" i="59"/>
  <c r="B37" i="59"/>
  <c r="T37" i="59"/>
  <c r="B38" i="59"/>
  <c r="V38" i="59"/>
  <c r="B39" i="59"/>
  <c r="V39" i="59"/>
  <c r="B40" i="59"/>
  <c r="F40" i="59"/>
  <c r="B41" i="59"/>
  <c r="F41" i="59"/>
  <c r="G22" i="59"/>
  <c r="M22" i="59"/>
  <c r="G41" i="59"/>
  <c r="M41" i="59"/>
  <c r="O19" i="59"/>
  <c r="U19" i="59"/>
  <c r="O12" i="59"/>
  <c r="U12" i="59"/>
  <c r="O35" i="59"/>
  <c r="O34" i="59"/>
  <c r="O18" i="59"/>
  <c r="U18" i="59"/>
  <c r="O4" i="59"/>
  <c r="C7" i="26"/>
  <c r="D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L14" i="26"/>
  <c r="O11" i="59"/>
  <c r="U11" i="59"/>
  <c r="O13" i="59"/>
  <c r="U13" i="59"/>
  <c r="O41" i="59"/>
  <c r="U41" i="59"/>
  <c r="O25" i="59"/>
  <c r="U25" i="59"/>
  <c r="O20" i="59"/>
  <c r="U20" i="59"/>
  <c r="O21" i="59"/>
  <c r="U21" i="59"/>
  <c r="O27" i="59"/>
  <c r="U27" i="59"/>
  <c r="O33" i="59"/>
  <c r="U33" i="59"/>
  <c r="AJ12" i="26"/>
  <c r="M193" i="55"/>
  <c r="G21" i="59"/>
  <c r="M21" i="59"/>
  <c r="G13" i="59"/>
  <c r="M13" i="59"/>
  <c r="G25" i="59"/>
  <c r="M25" i="59"/>
  <c r="G37" i="59"/>
  <c r="M37" i="59"/>
  <c r="G8" i="59"/>
  <c r="M8" i="59"/>
  <c r="G39" i="59"/>
  <c r="M39" i="59"/>
  <c r="G26" i="59"/>
  <c r="M26" i="59"/>
  <c r="G23" i="59"/>
  <c r="M23" i="59"/>
  <c r="G40" i="59"/>
  <c r="M40" i="59"/>
  <c r="G24" i="59"/>
  <c r="M24" i="59"/>
  <c r="G12" i="59"/>
  <c r="M12" i="59"/>
  <c r="G38" i="59"/>
  <c r="M38" i="59"/>
  <c r="G36" i="59"/>
  <c r="M36" i="59"/>
  <c r="M2" i="55"/>
  <c r="N8" i="59"/>
  <c r="V8" i="59"/>
  <c r="F8" i="59"/>
  <c r="N11" i="59"/>
  <c r="F4" i="59"/>
  <c r="O7" i="59"/>
  <c r="O5" i="59"/>
  <c r="T5" i="59"/>
  <c r="Y142" i="53"/>
  <c r="O24" i="59"/>
  <c r="U24" i="59"/>
  <c r="O22" i="59"/>
  <c r="U22" i="59"/>
  <c r="G10" i="59"/>
  <c r="M10" i="59"/>
  <c r="G11" i="59"/>
  <c r="M11" i="59"/>
  <c r="Y2" i="53"/>
  <c r="O39" i="59"/>
  <c r="U39" i="59"/>
  <c r="O8" i="59"/>
  <c r="U8" i="59"/>
  <c r="O40" i="59"/>
  <c r="U40" i="59"/>
  <c r="O6" i="59"/>
  <c r="U6" i="59"/>
  <c r="O36" i="59"/>
  <c r="U36" i="59"/>
  <c r="O32" i="59"/>
  <c r="O37" i="59"/>
  <c r="U37" i="59"/>
  <c r="O38" i="59"/>
  <c r="U38" i="59"/>
  <c r="C6" i="26"/>
  <c r="O10" i="59"/>
  <c r="U10" i="59"/>
  <c r="O23" i="59"/>
  <c r="U23" i="59"/>
  <c r="H14" i="26"/>
  <c r="I12" i="26"/>
  <c r="AE12" i="26"/>
  <c r="D12" i="26"/>
  <c r="AB12" i="26"/>
  <c r="X14" i="26"/>
  <c r="AH12" i="26"/>
  <c r="W12" i="26"/>
  <c r="X12" i="26"/>
  <c r="Q14" i="26"/>
  <c r="I14" i="26"/>
  <c r="G12" i="26"/>
  <c r="E12" i="26"/>
  <c r="F14" i="26"/>
  <c r="O9" i="59"/>
  <c r="U9" i="59"/>
  <c r="G19" i="59"/>
  <c r="M19" i="59"/>
  <c r="O26" i="59"/>
  <c r="U26" i="59"/>
  <c r="G27" i="59"/>
  <c r="M27" i="59"/>
  <c r="G9" i="59"/>
  <c r="M9" i="59"/>
  <c r="L8" i="59"/>
  <c r="L11" i="59"/>
  <c r="T8" i="59"/>
  <c r="S14" i="26"/>
  <c r="AK14" i="26"/>
  <c r="AI14" i="26"/>
  <c r="R14" i="26"/>
  <c r="F12" i="26"/>
  <c r="AH14" i="26"/>
  <c r="AA12" i="26"/>
  <c r="P12" i="26"/>
  <c r="O14" i="26"/>
  <c r="AA14" i="26"/>
  <c r="Q12" i="26"/>
  <c r="AK12" i="26"/>
  <c r="U12" i="26"/>
  <c r="AE14" i="26"/>
  <c r="V14" i="26"/>
  <c r="N14" i="26"/>
  <c r="AF12" i="26"/>
  <c r="AL12" i="26"/>
  <c r="AD14" i="26"/>
  <c r="L12" i="26"/>
  <c r="AC14" i="26"/>
  <c r="K14" i="26"/>
  <c r="V12" i="26"/>
  <c r="M12" i="26"/>
  <c r="L14" i="26"/>
  <c r="AF14" i="26"/>
  <c r="U14" i="26"/>
  <c r="Z12" i="26"/>
  <c r="Y14" i="26"/>
  <c r="G14" i="26"/>
  <c r="AG12" i="26"/>
  <c r="F6" i="59"/>
  <c r="F9" i="59"/>
  <c r="G7" i="59"/>
  <c r="M7" i="59"/>
  <c r="G18" i="59"/>
  <c r="M18" i="59"/>
  <c r="G35" i="59"/>
  <c r="L35" i="59"/>
  <c r="G5" i="59"/>
  <c r="L5" i="59"/>
  <c r="G6" i="59"/>
  <c r="L6" i="59"/>
  <c r="G34" i="59"/>
  <c r="G33" i="59"/>
  <c r="G20" i="59"/>
  <c r="M20" i="59"/>
  <c r="G10" i="55"/>
  <c r="G2" i="26"/>
  <c r="AD12" i="26"/>
  <c r="S12" i="26"/>
  <c r="J14" i="26"/>
  <c r="M14" i="26"/>
  <c r="T12" i="26"/>
  <c r="K12" i="26"/>
  <c r="J12" i="26"/>
  <c r="O12" i="26"/>
  <c r="B12" i="26"/>
  <c r="R12" i="26"/>
  <c r="AC12" i="26"/>
  <c r="C12" i="26"/>
  <c r="T14" i="26"/>
  <c r="Y12" i="26"/>
  <c r="AG14" i="26"/>
  <c r="B6" i="26"/>
  <c r="N12" i="26"/>
  <c r="AI12" i="26"/>
  <c r="H12" i="26"/>
  <c r="Z14" i="26"/>
  <c r="P14" i="26"/>
  <c r="AB14" i="26"/>
  <c r="R14" i="59"/>
  <c r="I14" i="59"/>
  <c r="N5" i="59"/>
  <c r="N13" i="59"/>
  <c r="F12" i="59"/>
  <c r="T12" i="59"/>
  <c r="L9" i="59"/>
  <c r="I193" i="55"/>
  <c r="L39" i="59"/>
  <c r="L10" i="59"/>
  <c r="N7" i="59"/>
  <c r="C14" i="59"/>
  <c r="N12" i="59"/>
  <c r="J2" i="55"/>
  <c r="N41" i="59"/>
  <c r="F34" i="59"/>
  <c r="L20" i="59"/>
  <c r="N193" i="55"/>
  <c r="O193" i="55"/>
  <c r="N20" i="59"/>
  <c r="N6" i="59"/>
  <c r="N35" i="59"/>
  <c r="E7" i="26"/>
  <c r="D6" i="26"/>
  <c r="W14" i="26"/>
  <c r="AJ14" i="26"/>
  <c r="F7" i="26"/>
  <c r="G7" i="26"/>
  <c r="E6" i="26"/>
  <c r="D9" i="57"/>
  <c r="D5" i="57"/>
  <c r="D10" i="57"/>
  <c r="D12" i="57"/>
  <c r="D11" i="57"/>
  <c r="D8" i="57"/>
  <c r="D6" i="57"/>
  <c r="D7" i="57"/>
  <c r="N19" i="59"/>
  <c r="L26" i="59"/>
  <c r="N22" i="59"/>
  <c r="N2" i="55"/>
  <c r="N37" i="59"/>
  <c r="S42" i="59"/>
  <c r="Q14" i="59"/>
  <c r="K14" i="59"/>
  <c r="S14" i="59"/>
  <c r="T23" i="59"/>
  <c r="F18" i="59"/>
  <c r="T18" i="59"/>
  <c r="T13" i="59"/>
  <c r="F13" i="59"/>
  <c r="V23" i="59"/>
  <c r="U4" i="59"/>
  <c r="Q2" i="55"/>
  <c r="L40" i="59"/>
  <c r="N4" i="59"/>
  <c r="L24" i="59"/>
  <c r="F27" i="59"/>
  <c r="O2" i="53"/>
  <c r="F37" i="59"/>
  <c r="T27" i="59"/>
  <c r="V37" i="59"/>
  <c r="T10" i="59"/>
  <c r="M33" i="59"/>
  <c r="U34" i="59"/>
  <c r="V5" i="59"/>
  <c r="U35" i="59"/>
  <c r="Q193" i="55"/>
  <c r="AD142" i="53"/>
  <c r="AD2" i="53"/>
  <c r="P2" i="55"/>
  <c r="P193" i="55"/>
  <c r="R2" i="55"/>
  <c r="U32" i="59"/>
  <c r="V4" i="59"/>
  <c r="V6" i="59"/>
  <c r="P14" i="59"/>
  <c r="E14" i="59"/>
  <c r="F7" i="59"/>
  <c r="H14" i="59"/>
  <c r="N14" i="59"/>
  <c r="S28" i="59"/>
  <c r="V40" i="59"/>
  <c r="T7" i="59"/>
  <c r="F20" i="59"/>
  <c r="I2" i="55"/>
  <c r="F35" i="59"/>
  <c r="T19" i="59"/>
  <c r="N18" i="59"/>
  <c r="T9" i="59"/>
  <c r="T22" i="59"/>
  <c r="M35" i="59"/>
  <c r="F5" i="59"/>
  <c r="N21" i="59"/>
  <c r="N36" i="59"/>
  <c r="U7" i="59"/>
  <c r="F19" i="59"/>
  <c r="N23" i="59"/>
  <c r="L7" i="59"/>
  <c r="D14" i="59"/>
  <c r="D28" i="59"/>
  <c r="D42" i="59"/>
  <c r="T35" i="59"/>
  <c r="V26" i="59"/>
  <c r="N34" i="59"/>
  <c r="V34" i="59"/>
  <c r="I42" i="59"/>
  <c r="U5" i="59"/>
  <c r="T26" i="59"/>
  <c r="V22" i="59"/>
  <c r="T4" i="59"/>
  <c r="R28" i="59"/>
  <c r="R42" i="59"/>
  <c r="K28" i="59"/>
  <c r="J28" i="59"/>
  <c r="K42" i="59"/>
  <c r="P42" i="59"/>
  <c r="C28" i="59"/>
  <c r="T36" i="59"/>
  <c r="L27" i="59"/>
  <c r="F36" i="59"/>
  <c r="O2" i="55"/>
  <c r="M6" i="59"/>
  <c r="N32" i="59"/>
  <c r="E42" i="59"/>
  <c r="H42" i="59"/>
  <c r="N33" i="59"/>
  <c r="I28" i="59"/>
  <c r="M34" i="59"/>
  <c r="L25" i="59"/>
  <c r="C42" i="59"/>
  <c r="E28" i="59"/>
  <c r="H28" i="59"/>
  <c r="P28" i="59"/>
  <c r="Q28" i="59"/>
  <c r="V32" i="59"/>
  <c r="F33" i="59"/>
  <c r="T33" i="59"/>
  <c r="T41" i="59"/>
  <c r="V41" i="59"/>
  <c r="T21" i="59"/>
  <c r="F11" i="59"/>
  <c r="V35" i="59"/>
  <c r="V20" i="59"/>
  <c r="F25" i="59"/>
  <c r="B28" i="59"/>
  <c r="T28" i="59"/>
  <c r="T40" i="59"/>
  <c r="V21" i="59"/>
  <c r="V10" i="59"/>
  <c r="V11" i="59"/>
  <c r="V33" i="59"/>
  <c r="V25" i="59"/>
  <c r="T32" i="59"/>
  <c r="B14" i="59"/>
  <c r="M2" i="53"/>
  <c r="V24" i="59"/>
  <c r="T34" i="59"/>
  <c r="G28" i="59"/>
  <c r="M28" i="59"/>
  <c r="T6" i="59"/>
  <c r="O28" i="59"/>
  <c r="U28" i="59"/>
  <c r="F24" i="59"/>
  <c r="L38" i="59"/>
  <c r="L34" i="59"/>
  <c r="O42" i="59"/>
  <c r="M5" i="59"/>
  <c r="T38" i="59"/>
  <c r="F32" i="59"/>
  <c r="V7" i="59"/>
  <c r="O14" i="59"/>
  <c r="L33" i="59"/>
  <c r="B42" i="59"/>
  <c r="F39" i="59"/>
  <c r="F38" i="59"/>
  <c r="Q42" i="59"/>
  <c r="T39" i="59"/>
  <c r="D13" i="57"/>
  <c r="E5" i="57"/>
  <c r="E6" i="57"/>
  <c r="E7" i="57"/>
  <c r="E8" i="57"/>
  <c r="E9" i="57"/>
  <c r="E10" i="57"/>
  <c r="E11" i="57"/>
  <c r="E12" i="57"/>
  <c r="G6" i="26"/>
  <c r="H7" i="26"/>
  <c r="F6" i="26"/>
  <c r="U14" i="59"/>
  <c r="S193" i="55"/>
  <c r="V14" i="59"/>
  <c r="S2" i="55"/>
  <c r="R193" i="55"/>
  <c r="U42" i="59"/>
  <c r="V28" i="59"/>
  <c r="N28" i="59"/>
  <c r="L28" i="59"/>
  <c r="N42" i="59"/>
  <c r="K193" i="55"/>
  <c r="K2" i="55"/>
  <c r="F28" i="59" a="1"/>
  <c r="F28" i="59"/>
  <c r="F14" i="59" a="1"/>
  <c r="F14" i="59"/>
  <c r="L193" i="55"/>
  <c r="F42" i="59" a="1"/>
  <c r="F42" i="59"/>
  <c r="L2" i="55"/>
  <c r="V42" i="59"/>
  <c r="T42" i="59"/>
  <c r="T14" i="59"/>
  <c r="I7" i="26"/>
  <c r="H6" i="26"/>
  <c r="T2" i="55"/>
  <c r="T193" i="55"/>
  <c r="I6" i="26"/>
  <c r="J7" i="26"/>
  <c r="K7" i="26"/>
  <c r="J6" i="26"/>
  <c r="K6" i="26"/>
  <c r="L7" i="26"/>
  <c r="L6" i="26"/>
  <c r="M7" i="26"/>
  <c r="N7" i="26"/>
  <c r="M6" i="26"/>
  <c r="N6" i="26"/>
  <c r="O7" i="26"/>
  <c r="P7" i="26"/>
  <c r="O6" i="26"/>
  <c r="P6" i="26"/>
  <c r="Q7" i="26"/>
  <c r="R7" i="26"/>
  <c r="Q6" i="26"/>
  <c r="S7" i="26"/>
  <c r="R6" i="26"/>
  <c r="S6" i="26"/>
  <c r="T7" i="26"/>
  <c r="T6" i="26"/>
  <c r="U7" i="26"/>
  <c r="V7" i="26"/>
  <c r="U6" i="26"/>
  <c r="W7" i="26"/>
  <c r="V6" i="26"/>
  <c r="W6" i="26"/>
  <c r="X7" i="26"/>
  <c r="X6" i="26"/>
  <c r="Y7" i="26"/>
  <c r="Y6" i="26"/>
  <c r="Z7" i="26"/>
  <c r="Z6" i="26"/>
  <c r="AA7" i="26"/>
  <c r="AA6" i="26"/>
  <c r="AB7" i="26"/>
  <c r="AC7" i="26"/>
  <c r="AB6" i="26"/>
  <c r="AC6" i="26"/>
  <c r="AD7" i="26"/>
  <c r="AD6" i="26"/>
  <c r="AE7" i="26"/>
  <c r="AF7" i="26"/>
  <c r="AE6" i="26"/>
  <c r="AG7" i="26"/>
  <c r="AF6" i="26"/>
  <c r="AH7" i="26"/>
  <c r="AG6" i="26"/>
  <c r="AI7" i="26"/>
  <c r="AH6" i="26"/>
  <c r="AI6" i="26"/>
  <c r="AJ7" i="26"/>
  <c r="AK7" i="26"/>
  <c r="AJ6" i="26"/>
  <c r="AL7" i="26"/>
  <c r="AK6" i="26"/>
  <c r="AM7" i="26"/>
  <c r="AM6" i="26"/>
  <c r="AL6" i="26"/>
  <c r="R6" i="53"/>
  <c r="G32" i="59"/>
  <c r="G42" i="59"/>
  <c r="L42" i="59"/>
  <c r="G4" i="59"/>
  <c r="G14" i="59"/>
  <c r="M14" i="59"/>
  <c r="M42" i="59"/>
  <c r="M4" i="59"/>
  <c r="L4" i="59"/>
  <c r="L32" i="59"/>
  <c r="L14" i="59"/>
  <c r="R142" i="53"/>
  <c r="W142" i="53"/>
  <c r="J32" i="59"/>
  <c r="J42" i="59"/>
  <c r="M32" i="59"/>
  <c r="J4" i="59"/>
  <c r="J14" i="59"/>
  <c r="R2" i="53"/>
  <c r="U142" i="53"/>
  <c r="U2" i="53"/>
  <c r="W6" i="53"/>
  <c r="E8" i="55"/>
  <c r="E9" i="55"/>
  <c r="E7" i="55"/>
  <c r="M106" i="55" a="1"/>
  <c r="M106" i="55"/>
  <c r="M107" i="55" a="1"/>
  <c r="M107" i="55"/>
  <c r="M108" i="55" a="1"/>
  <c r="M108" i="55"/>
  <c r="M109" i="55" a="1"/>
  <c r="M109" i="55"/>
  <c r="M110" i="55" a="1"/>
  <c r="M110" i="55"/>
  <c r="M111" i="55" a="1"/>
  <c r="M111" i="55"/>
  <c r="M112" i="55" a="1"/>
  <c r="M112" i="55"/>
  <c r="M113" i="55" a="1"/>
  <c r="M113" i="55"/>
  <c r="M114" i="55" a="1"/>
  <c r="M114" i="55"/>
  <c r="M115" i="55" a="1"/>
  <c r="M115" i="55"/>
  <c r="M116" i="55" a="1"/>
  <c r="M116" i="55"/>
  <c r="M117" i="55" a="1"/>
  <c r="M117" i="55"/>
  <c r="M118" i="55" a="1"/>
  <c r="M118" i="55"/>
  <c r="M119" i="55" a="1"/>
  <c r="M119" i="55"/>
  <c r="M120" i="55" a="1"/>
  <c r="M120" i="55"/>
  <c r="M121" i="55" a="1"/>
  <c r="M121" i="55"/>
  <c r="M122" i="55" a="1"/>
  <c r="M122" i="55"/>
  <c r="M123" i="55" a="1"/>
  <c r="M123" i="55"/>
  <c r="M124" i="55" a="1"/>
  <c r="M124" i="55"/>
  <c r="M125" i="55" a="1"/>
  <c r="M125" i="55"/>
  <c r="M126" i="55" a="1"/>
  <c r="M126" i="55"/>
  <c r="M127" i="55" a="1"/>
  <c r="M127" i="55"/>
  <c r="M128" i="55" a="1"/>
  <c r="M128" i="55"/>
  <c r="M129" i="55" a="1"/>
  <c r="M129" i="55"/>
  <c r="M130" i="55" a="1"/>
  <c r="M130" i="55"/>
  <c r="M131" i="55" a="1"/>
  <c r="M131" i="55"/>
  <c r="M132" i="55" a="1"/>
  <c r="M132" i="55"/>
  <c r="M133" i="55" a="1"/>
  <c r="M133" i="55"/>
  <c r="M134" i="55" a="1"/>
  <c r="M134" i="55"/>
  <c r="M135" i="55" a="1"/>
  <c r="M135" i="55"/>
  <c r="M136" i="55" a="1"/>
  <c r="M136" i="55"/>
  <c r="M137" i="55" a="1"/>
  <c r="M137" i="55"/>
  <c r="M138" i="55" a="1"/>
  <c r="M138" i="55"/>
  <c r="M139" i="55" a="1"/>
  <c r="M139" i="55"/>
  <c r="M140" i="55" a="1"/>
  <c r="M140" i="55"/>
  <c r="M141" i="55" a="1"/>
  <c r="M141" i="55"/>
  <c r="M142" i="55" a="1"/>
  <c r="M142" i="55"/>
  <c r="M143" i="55" a="1"/>
  <c r="M143" i="55"/>
  <c r="M144" i="55" a="1"/>
  <c r="M144" i="55"/>
  <c r="M145" i="55" a="1"/>
  <c r="M145" i="55"/>
  <c r="M146" i="55" a="1"/>
  <c r="M146" i="55"/>
  <c r="M147" i="55" a="1"/>
  <c r="M147" i="55"/>
  <c r="M148" i="55" a="1"/>
  <c r="M148" i="55"/>
  <c r="M149" i="55" a="1"/>
  <c r="M149" i="55"/>
  <c r="M150" i="55" a="1"/>
  <c r="M150" i="55"/>
  <c r="M151" i="55" a="1"/>
  <c r="M151" i="55"/>
  <c r="M152" i="55" a="1"/>
  <c r="M152" i="55"/>
  <c r="M153" i="55" a="1"/>
  <c r="M153" i="55"/>
  <c r="M154" i="55" a="1"/>
  <c r="M154" i="55"/>
  <c r="M155" i="55" a="1"/>
  <c r="M155" i="55"/>
  <c r="M156" i="55" a="1"/>
  <c r="M156" i="55"/>
  <c r="M157" i="55" a="1"/>
  <c r="M157" i="55"/>
  <c r="M158" i="55" a="1"/>
  <c r="M158" i="55"/>
  <c r="M159" i="55" a="1"/>
  <c r="M159" i="55"/>
  <c r="M160" i="55" a="1"/>
  <c r="M160" i="55"/>
  <c r="M161" i="55" a="1"/>
  <c r="M161" i="55"/>
  <c r="M162" i="55" a="1"/>
  <c r="M162" i="55"/>
  <c r="M163" i="55" a="1"/>
  <c r="M163" i="55"/>
  <c r="M164" i="55" a="1"/>
  <c r="M164" i="55"/>
  <c r="M165" i="55" a="1"/>
  <c r="M165" i="55"/>
  <c r="M166" i="55" a="1"/>
  <c r="M166" i="55"/>
  <c r="M167" i="55" a="1"/>
  <c r="M167" i="55"/>
  <c r="M169" i="55" a="1"/>
  <c r="M169" i="55"/>
  <c r="M170" i="55" a="1"/>
  <c r="M170" i="55"/>
  <c r="M171" i="55" a="1"/>
  <c r="M171" i="55"/>
  <c r="M172" i="55" a="1"/>
  <c r="M172" i="55"/>
  <c r="M173" i="55" a="1"/>
  <c r="M173" i="55"/>
  <c r="M174" i="55" a="1"/>
  <c r="M174" i="55"/>
  <c r="M175" i="55" a="1"/>
  <c r="M175" i="55"/>
  <c r="M176" i="55" a="1"/>
  <c r="M176" i="55"/>
  <c r="M177" i="55" a="1"/>
  <c r="M177" i="55"/>
  <c r="M178" i="55" a="1"/>
  <c r="M178" i="55"/>
  <c r="M179" i="55" a="1"/>
  <c r="M179" i="55"/>
  <c r="M180" i="55" a="1"/>
  <c r="M180" i="55"/>
  <c r="M181" i="55" a="1"/>
  <c r="M181" i="55"/>
  <c r="M182" i="55" a="1"/>
  <c r="M182" i="55"/>
  <c r="M183" i="55" a="1"/>
  <c r="M183" i="55"/>
  <c r="M184" i="55" a="1"/>
  <c r="M184" i="55"/>
  <c r="M185" i="55" a="1"/>
  <c r="M185" i="55"/>
  <c r="M186" i="55" a="1"/>
  <c r="M186" i="55"/>
  <c r="M187" i="55" a="1"/>
  <c r="M187" i="55"/>
  <c r="P22" i="55"/>
  <c r="S22" i="55"/>
  <c r="J22" i="55"/>
  <c r="R22" i="55"/>
  <c r="T22" i="55"/>
  <c r="Q22" i="55"/>
  <c r="N22" i="55" a="1"/>
  <c r="N22" i="55"/>
  <c r="M22" i="55" a="1"/>
  <c r="M22" i="55"/>
  <c r="O22" i="55"/>
  <c r="D20" i="55" a="1"/>
  <c r="D20" i="55"/>
  <c r="J20" i="55"/>
  <c r="K20" i="55" a="1"/>
  <c r="K20" i="55"/>
  <c r="I22" i="55"/>
  <c r="E22" i="55"/>
  <c r="G6" i="53"/>
  <c r="E10" i="55"/>
  <c r="E11" i="55"/>
  <c r="E12" i="55"/>
  <c r="E13" i="55"/>
  <c r="E14" i="55"/>
  <c r="E15" i="55"/>
  <c r="E16" i="55"/>
  <c r="E17" i="55"/>
  <c r="E18" i="55"/>
  <c r="E19" i="55"/>
  <c r="E20" i="55"/>
  <c r="E21"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9" i="55"/>
  <c r="E170" i="55"/>
  <c r="E171" i="55"/>
  <c r="E172" i="55"/>
  <c r="E173" i="55"/>
  <c r="E174" i="55"/>
  <c r="E175" i="55"/>
  <c r="E176" i="55"/>
  <c r="E177" i="55"/>
  <c r="E178" i="55"/>
  <c r="E179" i="55"/>
  <c r="E180" i="55"/>
  <c r="E181" i="55"/>
  <c r="E182" i="55"/>
  <c r="E183" i="55"/>
  <c r="E184" i="55"/>
  <c r="E185" i="55"/>
  <c r="E186" i="55"/>
  <c r="E187" i="55"/>
  <c r="D118" i="55" a="1"/>
  <c r="D118" i="55"/>
  <c r="H118" i="55"/>
  <c r="G118" i="55"/>
  <c r="D167" i="55" a="1"/>
  <c r="D167" i="55"/>
  <c r="D109" i="55" a="1"/>
  <c r="D109" i="55"/>
  <c r="G109" i="55"/>
  <c r="D111" i="55" a="1"/>
  <c r="D111" i="55"/>
  <c r="H111" i="55"/>
  <c r="D112" i="55" a="1"/>
  <c r="D112" i="55"/>
  <c r="H112" i="55"/>
  <c r="D115" i="55" a="1"/>
  <c r="D115" i="55"/>
  <c r="H115" i="55"/>
  <c r="D116" i="55" a="1"/>
  <c r="D116" i="55"/>
  <c r="H116" i="55"/>
  <c r="D119" i="55" a="1"/>
  <c r="D119" i="55"/>
  <c r="H119" i="55"/>
  <c r="D125" i="55" a="1"/>
  <c r="D125" i="55"/>
  <c r="H125" i="55"/>
  <c r="D126" i="55" a="1"/>
  <c r="D126" i="55"/>
  <c r="H126" i="55"/>
  <c r="D127" i="55" a="1"/>
  <c r="D127" i="55"/>
  <c r="G127" i="55"/>
  <c r="D134" i="55" a="1"/>
  <c r="D134" i="55"/>
  <c r="H134" i="55"/>
  <c r="D135" i="55" a="1"/>
  <c r="D135" i="55"/>
  <c r="G135" i="55"/>
  <c r="D140" i="55" a="1"/>
  <c r="D140" i="55"/>
  <c r="H140" i="55"/>
  <c r="D161" i="55" a="1"/>
  <c r="D161" i="55"/>
  <c r="H161" i="55"/>
  <c r="D166" i="55" a="1"/>
  <c r="D166" i="55"/>
  <c r="H166" i="55"/>
  <c r="D170" i="55" a="1"/>
  <c r="D170" i="55"/>
  <c r="G170" i="55"/>
  <c r="D171" i="55" a="1"/>
  <c r="D171" i="55"/>
  <c r="G171" i="55"/>
  <c r="D172" i="55" a="1"/>
  <c r="D172" i="55"/>
  <c r="H172" i="55"/>
  <c r="D173" i="55" a="1"/>
  <c r="D173" i="55"/>
  <c r="H173" i="55"/>
  <c r="D178" i="55" a="1"/>
  <c r="D178" i="55"/>
  <c r="H178" i="55"/>
  <c r="D179" i="55" a="1"/>
  <c r="D179" i="55"/>
  <c r="H179" i="55"/>
  <c r="D180" i="55" a="1"/>
  <c r="D180" i="55"/>
  <c r="H180" i="55"/>
  <c r="D181" i="55" a="1"/>
  <c r="D181" i="55"/>
  <c r="H181" i="55"/>
  <c r="D182" i="55" a="1"/>
  <c r="D182" i="55"/>
  <c r="H182" i="55"/>
  <c r="D183" i="55" a="1"/>
  <c r="D183" i="55"/>
  <c r="H183" i="55"/>
  <c r="D184" i="55" a="1"/>
  <c r="D184" i="55"/>
  <c r="H184" i="55"/>
  <c r="D186" i="55" a="1"/>
  <c r="D186" i="55"/>
  <c r="H186" i="55"/>
  <c r="N95" i="55" a="1"/>
  <c r="N95" i="55"/>
  <c r="M95" i="55" a="1"/>
  <c r="M95" i="55"/>
  <c r="O95" i="55"/>
  <c r="I7" i="55"/>
  <c r="I8" i="55"/>
  <c r="I46" i="55"/>
  <c r="I97" i="55"/>
  <c r="D11" i="55" a="1"/>
  <c r="D11" i="55"/>
  <c r="H11" i="55"/>
  <c r="G20" i="55"/>
  <c r="D21" i="55" a="1"/>
  <c r="D21" i="55"/>
  <c r="G21" i="55"/>
  <c r="D26" i="55" a="1"/>
  <c r="D26" i="55"/>
  <c r="H26" i="55"/>
  <c r="D29" i="55" a="1"/>
  <c r="D29" i="55"/>
  <c r="G29" i="55"/>
  <c r="D30" i="55" a="1"/>
  <c r="D30" i="55"/>
  <c r="H30" i="55"/>
  <c r="D36" i="55" a="1"/>
  <c r="D36" i="55"/>
  <c r="J36" i="55"/>
  <c r="L36" i="55" a="1"/>
  <c r="L36" i="55"/>
  <c r="D37" i="55" a="1"/>
  <c r="D37" i="55"/>
  <c r="G37" i="55"/>
  <c r="D45" i="55" a="1"/>
  <c r="D45" i="55"/>
  <c r="H45" i="55"/>
  <c r="D49" i="55" a="1"/>
  <c r="D49" i="55"/>
  <c r="G49" i="55"/>
  <c r="D52" i="55" a="1"/>
  <c r="D52" i="55"/>
  <c r="G52" i="55"/>
  <c r="D56" i="55" a="1"/>
  <c r="D56" i="55"/>
  <c r="G56" i="55"/>
  <c r="D57" i="55" a="1"/>
  <c r="D57" i="55"/>
  <c r="H57" i="55"/>
  <c r="D60" i="55" a="1"/>
  <c r="D60" i="55"/>
  <c r="J60" i="55"/>
  <c r="L60" i="55" a="1"/>
  <c r="L60" i="55"/>
  <c r="D63" i="55" a="1"/>
  <c r="D63" i="55"/>
  <c r="J63" i="55"/>
  <c r="K63" i="55" a="1"/>
  <c r="K63" i="55"/>
  <c r="D64" i="55" a="1"/>
  <c r="D64" i="55"/>
  <c r="G64" i="55"/>
  <c r="D67" i="55" a="1"/>
  <c r="D67" i="55"/>
  <c r="H67" i="55"/>
  <c r="D69" i="55" a="1"/>
  <c r="D69" i="55"/>
  <c r="H69" i="55"/>
  <c r="D70" i="55" a="1"/>
  <c r="D70" i="55"/>
  <c r="H70" i="55"/>
  <c r="D71" i="55" a="1"/>
  <c r="D71" i="55"/>
  <c r="H71" i="55"/>
  <c r="D75" i="55" a="1"/>
  <c r="D75" i="55"/>
  <c r="H75" i="55"/>
  <c r="D76" i="55" a="1"/>
  <c r="D76" i="55"/>
  <c r="H76" i="55"/>
  <c r="D77" i="55" a="1"/>
  <c r="D77" i="55"/>
  <c r="G77" i="55"/>
  <c r="D78" i="55" a="1"/>
  <c r="D78" i="55"/>
  <c r="H78" i="55"/>
  <c r="D82" i="55" a="1"/>
  <c r="D82" i="55"/>
  <c r="G82" i="55"/>
  <c r="D88" i="55" a="1"/>
  <c r="D88" i="55"/>
  <c r="J88" i="55"/>
  <c r="L88" i="55" a="1"/>
  <c r="L88" i="55"/>
  <c r="D98" i="55" a="1"/>
  <c r="D98" i="55"/>
  <c r="G98" i="55"/>
  <c r="D103" i="55" a="1"/>
  <c r="D103" i="55"/>
  <c r="H103" i="55"/>
  <c r="D104" i="55" a="1"/>
  <c r="D104" i="55"/>
  <c r="J104" i="55"/>
  <c r="K104" i="55" a="1"/>
  <c r="K104" i="55"/>
  <c r="D105" i="55" a="1"/>
  <c r="D105" i="55"/>
  <c r="H105" i="55"/>
  <c r="Q103" i="55"/>
  <c r="I9" i="55"/>
  <c r="I10" i="55"/>
  <c r="I11" i="55"/>
  <c r="I12" i="55"/>
  <c r="I13" i="55"/>
  <c r="I14" i="55"/>
  <c r="I15" i="55"/>
  <c r="I16" i="55"/>
  <c r="I17" i="55"/>
  <c r="I18" i="55"/>
  <c r="I19" i="55"/>
  <c r="I20" i="55"/>
  <c r="I21"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8" i="55"/>
  <c r="I99" i="55"/>
  <c r="I100" i="55"/>
  <c r="I101" i="55"/>
  <c r="I102" i="55"/>
  <c r="I103" i="55"/>
  <c r="I104" i="55"/>
  <c r="I105" i="55"/>
  <c r="Q9" i="55"/>
  <c r="Q10" i="55"/>
  <c r="Q11" i="55"/>
  <c r="Q12" i="55"/>
  <c r="Q13" i="55"/>
  <c r="Q14" i="55"/>
  <c r="Q15" i="55"/>
  <c r="Q16" i="55"/>
  <c r="Q17" i="55"/>
  <c r="Q18" i="55"/>
  <c r="Q19" i="55"/>
  <c r="Q20" i="55"/>
  <c r="Q21" i="55"/>
  <c r="Q23" i="55"/>
  <c r="Q24" i="55"/>
  <c r="Q25" i="55"/>
  <c r="Q26" i="55"/>
  <c r="Q27" i="55"/>
  <c r="Q28" i="55"/>
  <c r="Q29" i="55"/>
  <c r="Q30" i="55"/>
  <c r="Q31" i="55"/>
  <c r="Q32" i="55"/>
  <c r="Q33" i="55"/>
  <c r="Q34" i="55"/>
  <c r="Q35" i="55"/>
  <c r="Q36" i="55"/>
  <c r="P36" i="55"/>
  <c r="S36" i="55"/>
  <c r="Q37" i="55"/>
  <c r="Q38" i="55"/>
  <c r="Q39" i="55"/>
  <c r="Q40" i="55"/>
  <c r="Q41" i="55"/>
  <c r="Q42" i="55"/>
  <c r="Q43" i="55"/>
  <c r="Q44" i="55"/>
  <c r="Q45" i="55"/>
  <c r="Q46" i="55"/>
  <c r="Q47" i="55"/>
  <c r="Q48" i="55"/>
  <c r="Q49" i="55"/>
  <c r="P49" i="55"/>
  <c r="S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P81" i="55"/>
  <c r="S81" i="55"/>
  <c r="Q82" i="55"/>
  <c r="Q83" i="55"/>
  <c r="Q84" i="55"/>
  <c r="Q85" i="55"/>
  <c r="Q86" i="55"/>
  <c r="Q87" i="55"/>
  <c r="Q88" i="55"/>
  <c r="Q89" i="55"/>
  <c r="Q90" i="55"/>
  <c r="Q91" i="55"/>
  <c r="Q92" i="55"/>
  <c r="Q93" i="55"/>
  <c r="Q94" i="55"/>
  <c r="Q95" i="55"/>
  <c r="Q96" i="55"/>
  <c r="Q97" i="55"/>
  <c r="Q98" i="55"/>
  <c r="Q99" i="55"/>
  <c r="Q100" i="55"/>
  <c r="Q101" i="55"/>
  <c r="Q102" i="55"/>
  <c r="Q104" i="55"/>
  <c r="Q105" i="55"/>
  <c r="Q8" i="55"/>
  <c r="Q7" i="55"/>
  <c r="P13" i="55"/>
  <c r="S13" i="55"/>
  <c r="P21" i="55"/>
  <c r="S21" i="55"/>
  <c r="P35" i="55"/>
  <c r="S35" i="55"/>
  <c r="P51" i="55"/>
  <c r="S51" i="55"/>
  <c r="P60" i="55"/>
  <c r="S60" i="55"/>
  <c r="P64" i="55"/>
  <c r="S64" i="55"/>
  <c r="P24" i="55"/>
  <c r="S24" i="55"/>
  <c r="P88" i="55"/>
  <c r="S88" i="55"/>
  <c r="P7" i="55"/>
  <c r="S7" i="55"/>
  <c r="D8" i="55" a="1"/>
  <c r="D8" i="55"/>
  <c r="L8" i="55" a="1"/>
  <c r="L8" i="55"/>
  <c r="P93" i="55"/>
  <c r="S93" i="55"/>
  <c r="P92" i="55"/>
  <c r="S92" i="55"/>
  <c r="P56" i="55"/>
  <c r="S56" i="55"/>
  <c r="P53" i="55"/>
  <c r="S53" i="55"/>
  <c r="P38" i="55"/>
  <c r="S38" i="55"/>
  <c r="P102" i="55"/>
  <c r="S102" i="55"/>
  <c r="P71" i="55"/>
  <c r="S71" i="55"/>
  <c r="P105" i="55"/>
  <c r="S105" i="55"/>
  <c r="P82" i="55"/>
  <c r="S82" i="55"/>
  <c r="P80" i="55"/>
  <c r="S80" i="55"/>
  <c r="P65" i="55"/>
  <c r="S65" i="55"/>
  <c r="P104" i="55"/>
  <c r="S104" i="55"/>
  <c r="P44" i="55"/>
  <c r="S44" i="55"/>
  <c r="P66" i="55"/>
  <c r="S66" i="55"/>
  <c r="P73" i="55"/>
  <c r="S73" i="55"/>
  <c r="P84" i="55"/>
  <c r="S84" i="55"/>
  <c r="P85" i="55"/>
  <c r="S85" i="55"/>
  <c r="P61" i="55"/>
  <c r="S61" i="55"/>
  <c r="P100" i="55"/>
  <c r="S100" i="55"/>
  <c r="P67" i="55"/>
  <c r="S67" i="55"/>
  <c r="P8" i="55"/>
  <c r="S8" i="55"/>
  <c r="N90" i="55" a="1"/>
  <c r="N90" i="55"/>
  <c r="M90" i="55" a="1"/>
  <c r="M90" i="55"/>
  <c r="O90" i="55"/>
  <c r="N67" i="55" a="1"/>
  <c r="N67" i="55"/>
  <c r="M67" i="55" a="1"/>
  <c r="M67" i="55"/>
  <c r="O67" i="55"/>
  <c r="N71" i="55" a="1"/>
  <c r="N71" i="55"/>
  <c r="M71" i="55" a="1"/>
  <c r="M71" i="55"/>
  <c r="O71" i="55"/>
  <c r="N73" i="55" a="1"/>
  <c r="N73" i="55"/>
  <c r="M73" i="55" a="1"/>
  <c r="M73" i="55"/>
  <c r="O73" i="55"/>
  <c r="N13" i="55" a="1"/>
  <c r="N13" i="55"/>
  <c r="M13" i="55" a="1"/>
  <c r="M13" i="55"/>
  <c r="O13" i="55"/>
  <c r="N65" i="55" a="1"/>
  <c r="N65" i="55"/>
  <c r="M65" i="55" a="1"/>
  <c r="M65" i="55"/>
  <c r="O65" i="55"/>
  <c r="M63" i="55" a="1"/>
  <c r="M63" i="55"/>
  <c r="O63" i="55"/>
  <c r="M7" i="55" a="1"/>
  <c r="M7" i="55"/>
  <c r="O7" i="55"/>
  <c r="M66" i="55" a="1"/>
  <c r="M66" i="55"/>
  <c r="O66" i="55"/>
  <c r="N12" i="55" a="1"/>
  <c r="N12" i="55"/>
  <c r="M12" i="55" a="1"/>
  <c r="M12" i="55"/>
  <c r="O12" i="55"/>
  <c r="N102" i="55" a="1"/>
  <c r="N102" i="55"/>
  <c r="M102" i="55" a="1"/>
  <c r="M102" i="55"/>
  <c r="O102" i="55"/>
  <c r="N84" i="55" a="1"/>
  <c r="N84" i="55"/>
  <c r="M84" i="55" a="1"/>
  <c r="M84" i="55"/>
  <c r="O84" i="55"/>
  <c r="N105" i="55" a="1"/>
  <c r="N105" i="55"/>
  <c r="M105" i="55" a="1"/>
  <c r="M105" i="55"/>
  <c r="O105" i="55"/>
  <c r="N64" i="55" a="1"/>
  <c r="N64" i="55"/>
  <c r="M64" i="55" a="1"/>
  <c r="M64" i="55"/>
  <c r="O64" i="55"/>
  <c r="N93" i="55" a="1"/>
  <c r="N93" i="55"/>
  <c r="M93" i="55" a="1"/>
  <c r="M93" i="55"/>
  <c r="O93" i="55"/>
  <c r="N60" i="55" a="1"/>
  <c r="N60" i="55"/>
  <c r="M60" i="55" a="1"/>
  <c r="M60" i="55"/>
  <c r="O60" i="55"/>
  <c r="N97" i="55" a="1"/>
  <c r="N97" i="55"/>
  <c r="M97" i="55" a="1"/>
  <c r="M97" i="55"/>
  <c r="O97" i="55"/>
  <c r="M25" i="55" a="1"/>
  <c r="M25" i="55"/>
  <c r="O25" i="55"/>
  <c r="N24" i="55" a="1"/>
  <c r="N24" i="55"/>
  <c r="M24" i="55" a="1"/>
  <c r="M24" i="55"/>
  <c r="O24" i="55"/>
  <c r="N85" i="55" a="1"/>
  <c r="N85" i="55"/>
  <c r="M85" i="55" a="1"/>
  <c r="M85" i="55"/>
  <c r="O85" i="55"/>
  <c r="N89" i="55" a="1"/>
  <c r="N89" i="55"/>
  <c r="M89" i="55" a="1"/>
  <c r="M89" i="55"/>
  <c r="O89" i="55"/>
  <c r="N53" i="55" a="1"/>
  <c r="N53" i="55"/>
  <c r="M53" i="55" a="1"/>
  <c r="M53" i="55"/>
  <c r="O53" i="55"/>
  <c r="N36" i="55" a="1"/>
  <c r="N36" i="55"/>
  <c r="M36" i="55" a="1"/>
  <c r="M36" i="55"/>
  <c r="O36" i="55"/>
  <c r="N51" i="55" a="1"/>
  <c r="N51" i="55"/>
  <c r="M51" i="55" a="1"/>
  <c r="M51" i="55"/>
  <c r="O51" i="55"/>
  <c r="N104" i="55" a="1"/>
  <c r="N104" i="55"/>
  <c r="M104" i="55" a="1"/>
  <c r="M104" i="55"/>
  <c r="O104" i="55"/>
  <c r="N70" i="55" a="1"/>
  <c r="N70" i="55"/>
  <c r="M70" i="55" a="1"/>
  <c r="M70" i="55"/>
  <c r="O70" i="55"/>
  <c r="N88" i="55" a="1"/>
  <c r="N88" i="55"/>
  <c r="M88" i="55" a="1"/>
  <c r="M88" i="55"/>
  <c r="O88" i="55"/>
  <c r="N98" i="55" a="1"/>
  <c r="N98" i="55"/>
  <c r="M98" i="55" a="1"/>
  <c r="M98" i="55"/>
  <c r="O98" i="55"/>
  <c r="M8" i="55" a="1"/>
  <c r="M8" i="55"/>
  <c r="O8" i="55"/>
  <c r="N28" i="55" a="1"/>
  <c r="N28" i="55"/>
  <c r="M28" i="55" a="1"/>
  <c r="M28" i="55"/>
  <c r="O28" i="55"/>
  <c r="N21" i="55" a="1"/>
  <c r="N21" i="55"/>
  <c r="M21" i="55" a="1"/>
  <c r="M21" i="55"/>
  <c r="O21" i="55"/>
  <c r="N99" i="55" a="1"/>
  <c r="N99" i="55"/>
  <c r="M99" i="55" a="1"/>
  <c r="M99" i="55"/>
  <c r="O99" i="55"/>
  <c r="P52" i="55"/>
  <c r="S52" i="55"/>
  <c r="P25" i="55"/>
  <c r="S25" i="55"/>
  <c r="P97" i="55"/>
  <c r="S97" i="55"/>
  <c r="P89" i="55"/>
  <c r="S89" i="55"/>
  <c r="P103" i="55"/>
  <c r="S103" i="55"/>
  <c r="P28" i="55"/>
  <c r="S28" i="55"/>
  <c r="P63" i="55"/>
  <c r="S63" i="55"/>
  <c r="P12" i="55"/>
  <c r="S12" i="55"/>
  <c r="P95" i="55"/>
  <c r="S95" i="55"/>
  <c r="P70" i="55"/>
  <c r="S70" i="55"/>
  <c r="P90" i="55"/>
  <c r="S90" i="55"/>
  <c r="P99" i="55"/>
  <c r="S99" i="55"/>
  <c r="P46" i="55"/>
  <c r="S46" i="55"/>
  <c r="P17" i="55"/>
  <c r="S17" i="55"/>
  <c r="P48" i="55"/>
  <c r="S48" i="55"/>
  <c r="P98" i="55"/>
  <c r="S98" i="55"/>
  <c r="G125" i="55"/>
  <c r="G26" i="55"/>
  <c r="G116" i="55"/>
  <c r="G126" i="55"/>
  <c r="D124" i="55" a="1"/>
  <c r="D124" i="55"/>
  <c r="H124" i="55"/>
  <c r="G124" i="55"/>
  <c r="H109" i="55"/>
  <c r="D157" i="55" a="1"/>
  <c r="D157" i="55"/>
  <c r="G157" i="55"/>
  <c r="H157" i="55"/>
  <c r="G134" i="55"/>
  <c r="H127" i="55"/>
  <c r="D108" i="55" a="1"/>
  <c r="D108" i="55"/>
  <c r="H108" i="55"/>
  <c r="G108" i="55"/>
  <c r="D133" i="55" a="1"/>
  <c r="D133" i="55"/>
  <c r="H133" i="55"/>
  <c r="G133" i="55"/>
  <c r="D17" i="55" a="1"/>
  <c r="D17" i="55"/>
  <c r="H17" i="55"/>
  <c r="G17" i="55"/>
  <c r="G140" i="55"/>
  <c r="D106" i="55" a="1"/>
  <c r="D106" i="55"/>
  <c r="G106" i="55"/>
  <c r="H106" i="55"/>
  <c r="D113" i="55" a="1"/>
  <c r="D113" i="55"/>
  <c r="G113" i="55"/>
  <c r="H113" i="55"/>
  <c r="D130" i="55" a="1"/>
  <c r="D130" i="55"/>
  <c r="G130" i="55"/>
  <c r="H130" i="55"/>
  <c r="D120" i="55" a="1"/>
  <c r="D120" i="55"/>
  <c r="H120" i="55"/>
  <c r="G120" i="55"/>
  <c r="D128" i="55" a="1"/>
  <c r="D128" i="55"/>
  <c r="G128" i="55"/>
  <c r="H128" i="55"/>
  <c r="D156" i="55" a="1"/>
  <c r="D156" i="55"/>
  <c r="G156" i="55"/>
  <c r="H156" i="55"/>
  <c r="D176" i="55" a="1"/>
  <c r="D176" i="55"/>
  <c r="G176" i="55"/>
  <c r="H176" i="55"/>
  <c r="D154" i="55" a="1"/>
  <c r="D154" i="55"/>
  <c r="G154" i="55"/>
  <c r="H154" i="55"/>
  <c r="H171" i="55"/>
  <c r="G181" i="55"/>
  <c r="G172" i="55"/>
  <c r="D164" i="55" a="1"/>
  <c r="D164" i="55"/>
  <c r="G164" i="55"/>
  <c r="H164" i="55"/>
  <c r="D24" i="55" a="1"/>
  <c r="D24" i="55"/>
  <c r="J24" i="55"/>
  <c r="L24" i="55" a="1"/>
  <c r="L24" i="55"/>
  <c r="K24" i="55" a="1"/>
  <c r="K24" i="55"/>
  <c r="D25" i="55" a="1"/>
  <c r="D25" i="55"/>
  <c r="H25" i="55"/>
  <c r="G25" i="55"/>
  <c r="J25" i="55"/>
  <c r="L25" i="55" a="1"/>
  <c r="L25" i="55"/>
  <c r="D15" i="55" a="1"/>
  <c r="D15" i="55"/>
  <c r="H15" i="55"/>
  <c r="G15" i="55"/>
  <c r="D117" i="55" a="1"/>
  <c r="D117" i="55"/>
  <c r="G117" i="55"/>
  <c r="H117" i="55"/>
  <c r="D137" i="55" a="1"/>
  <c r="D137" i="55"/>
  <c r="G137" i="55"/>
  <c r="H137" i="55"/>
  <c r="D53" i="55" a="1"/>
  <c r="D53" i="55"/>
  <c r="J53" i="55"/>
  <c r="L53" i="55" a="1"/>
  <c r="L53" i="55"/>
  <c r="H53" i="55"/>
  <c r="H24" i="55"/>
  <c r="G24" i="55"/>
  <c r="D136" i="55" a="1"/>
  <c r="D136" i="55"/>
  <c r="H136" i="55"/>
  <c r="G136" i="55"/>
  <c r="K25" i="55" a="1"/>
  <c r="K25" i="55"/>
  <c r="K53" i="55" a="1"/>
  <c r="K53" i="55"/>
  <c r="D107" i="55" a="1"/>
  <c r="D107" i="55"/>
  <c r="H107" i="55"/>
  <c r="D158" i="55" a="1"/>
  <c r="D158" i="55"/>
  <c r="H158" i="55"/>
  <c r="G158" i="55"/>
  <c r="H135" i="55"/>
  <c r="H170" i="55"/>
  <c r="N92" i="55" a="1"/>
  <c r="N92" i="55"/>
  <c r="H52" i="55"/>
  <c r="N43" i="55" a="1"/>
  <c r="N43" i="55"/>
  <c r="M43" i="55" a="1"/>
  <c r="M43" i="55"/>
  <c r="O43" i="55"/>
  <c r="N8" i="55" a="1"/>
  <c r="N8" i="55"/>
  <c r="N14" i="55" a="1"/>
  <c r="N14" i="55"/>
  <c r="N68" i="55" a="1"/>
  <c r="N68" i="55"/>
  <c r="N38" i="55" a="1"/>
  <c r="N38" i="55"/>
  <c r="M38" i="55" a="1"/>
  <c r="M38" i="55"/>
  <c r="O38" i="55"/>
  <c r="H36" i="55"/>
  <c r="G36" i="55"/>
  <c r="N15" i="55" a="1"/>
  <c r="N15" i="55"/>
  <c r="N59" i="55" a="1"/>
  <c r="N59" i="55"/>
  <c r="N42" i="55" a="1"/>
  <c r="N42" i="55"/>
  <c r="G11" i="55"/>
  <c r="N44" i="55" a="1"/>
  <c r="N44" i="55"/>
  <c r="N45" i="55" a="1"/>
  <c r="N45" i="55"/>
  <c r="N33" i="55" a="1"/>
  <c r="N33" i="55"/>
  <c r="N78" i="55" a="1"/>
  <c r="N78" i="55"/>
  <c r="D153" i="55" a="1"/>
  <c r="D153" i="55"/>
  <c r="G153" i="55"/>
  <c r="H153" i="55"/>
  <c r="D12" i="55" a="1"/>
  <c r="D12" i="55"/>
  <c r="G12" i="55"/>
  <c r="H12" i="55"/>
  <c r="J21" i="55"/>
  <c r="L21" i="55" a="1"/>
  <c r="L21" i="55"/>
  <c r="H21" i="55"/>
  <c r="N27" i="55" a="1"/>
  <c r="N27" i="55"/>
  <c r="N83" i="55" a="1"/>
  <c r="N83" i="55"/>
  <c r="M83" i="55" a="1"/>
  <c r="M83" i="55"/>
  <c r="O83" i="55"/>
  <c r="N58" i="55" a="1"/>
  <c r="N58" i="55"/>
  <c r="M58" i="55" a="1"/>
  <c r="M58" i="55"/>
  <c r="O58" i="55"/>
  <c r="N100" i="55" a="1"/>
  <c r="N100" i="55"/>
  <c r="M100" i="55" a="1"/>
  <c r="M100" i="55"/>
  <c r="O100" i="55"/>
  <c r="N101" i="55" a="1"/>
  <c r="N101" i="55"/>
  <c r="N50" i="55" a="1"/>
  <c r="N50" i="55"/>
  <c r="N20" i="55" a="1"/>
  <c r="N20" i="55"/>
  <c r="N77" i="55" a="1"/>
  <c r="N77" i="55"/>
  <c r="N56" i="55" a="1"/>
  <c r="N56" i="55"/>
  <c r="N26" i="55" a="1"/>
  <c r="N26" i="55"/>
  <c r="N17" i="55" a="1"/>
  <c r="N17" i="55"/>
  <c r="N80" i="55" a="1"/>
  <c r="N80" i="55"/>
  <c r="N87" i="55" a="1"/>
  <c r="N87" i="55"/>
  <c r="N61" i="55" a="1"/>
  <c r="N61" i="55"/>
  <c r="N46" i="55" a="1"/>
  <c r="N46" i="55"/>
  <c r="M46" i="55" a="1"/>
  <c r="M46" i="55"/>
  <c r="O46" i="55"/>
  <c r="N69" i="55" a="1"/>
  <c r="N69" i="55"/>
  <c r="D39" i="55" a="1"/>
  <c r="D39" i="55"/>
  <c r="H39" i="55"/>
  <c r="G39" i="55"/>
  <c r="D33" i="55" a="1"/>
  <c r="D33" i="55"/>
  <c r="H33" i="55"/>
  <c r="G33" i="55"/>
  <c r="D141" i="55" a="1"/>
  <c r="D141" i="55"/>
  <c r="H141" i="55"/>
  <c r="G141" i="55"/>
  <c r="D74" i="55" a="1"/>
  <c r="D74" i="55"/>
  <c r="H74" i="55"/>
  <c r="D58" i="55" a="1"/>
  <c r="D58" i="55"/>
  <c r="H58" i="55"/>
  <c r="G58" i="55"/>
  <c r="D44" i="55" a="1"/>
  <c r="D44" i="55"/>
  <c r="H44" i="55"/>
  <c r="G44" i="55"/>
  <c r="D132" i="55" a="1"/>
  <c r="D132" i="55"/>
  <c r="G132" i="55"/>
  <c r="H132" i="55"/>
  <c r="D48" i="55" a="1"/>
  <c r="D48" i="55"/>
  <c r="H48" i="55"/>
  <c r="G48" i="55"/>
  <c r="D152" i="55" a="1"/>
  <c r="D152" i="55"/>
  <c r="H152" i="55"/>
  <c r="G152" i="55"/>
  <c r="N35" i="55" a="1"/>
  <c r="N35" i="55"/>
  <c r="M35" i="55" a="1"/>
  <c r="M35" i="55"/>
  <c r="O35" i="55"/>
  <c r="N81" i="55" a="1"/>
  <c r="N81" i="55"/>
  <c r="N82" i="55" a="1"/>
  <c r="N82" i="55"/>
  <c r="N39" i="55" a="1"/>
  <c r="N39" i="55"/>
  <c r="M39" i="55" a="1"/>
  <c r="M39" i="55"/>
  <c r="O39" i="55"/>
  <c r="N48" i="55" a="1"/>
  <c r="N48" i="55"/>
  <c r="N52" i="55" a="1"/>
  <c r="N52" i="55"/>
  <c r="D175" i="55" a="1"/>
  <c r="D175" i="55"/>
  <c r="H175" i="55"/>
  <c r="G175" i="55"/>
  <c r="D110" i="55" a="1"/>
  <c r="D110" i="55"/>
  <c r="G110" i="55"/>
  <c r="H110" i="55"/>
  <c r="D85" i="55" a="1"/>
  <c r="D85" i="55"/>
  <c r="J85" i="55"/>
  <c r="L85" i="55" a="1"/>
  <c r="L85" i="55"/>
  <c r="G85" i="55"/>
  <c r="K85" i="55" a="1"/>
  <c r="K85" i="55"/>
  <c r="H85" i="55"/>
  <c r="D149" i="55" a="1"/>
  <c r="D149" i="55"/>
  <c r="H149" i="55"/>
  <c r="G149" i="55"/>
  <c r="D129" i="55" a="1"/>
  <c r="D129" i="55"/>
  <c r="G129" i="55"/>
  <c r="H129" i="55"/>
  <c r="D122" i="55" a="1"/>
  <c r="D122" i="55"/>
  <c r="H122" i="55"/>
  <c r="G122" i="55"/>
  <c r="D148" i="55" a="1"/>
  <c r="D148" i="55"/>
  <c r="H148" i="55"/>
  <c r="G148" i="55"/>
  <c r="D19" i="55" a="1"/>
  <c r="D19" i="55"/>
  <c r="H19" i="55"/>
  <c r="G19" i="55"/>
  <c r="D41" i="55" a="1"/>
  <c r="D41" i="55"/>
  <c r="H41" i="55"/>
  <c r="G41" i="55"/>
  <c r="D139" i="55" a="1"/>
  <c r="D139" i="55"/>
  <c r="H139" i="55"/>
  <c r="G139" i="55"/>
  <c r="D40" i="55" a="1"/>
  <c r="D40" i="55"/>
  <c r="H40" i="55"/>
  <c r="G40" i="55"/>
  <c r="D35" i="55" a="1"/>
  <c r="D35" i="55"/>
  <c r="H35" i="55"/>
  <c r="G35" i="55"/>
  <c r="D169" i="55" a="1"/>
  <c r="D169" i="55"/>
  <c r="H169" i="55"/>
  <c r="G169" i="55"/>
  <c r="N40" i="55" a="1"/>
  <c r="N40" i="55"/>
  <c r="N31" i="55" a="1"/>
  <c r="N31" i="55"/>
  <c r="N37" i="55" a="1"/>
  <c r="N37" i="55"/>
  <c r="M37" i="55" a="1"/>
  <c r="M37" i="55"/>
  <c r="O37" i="55"/>
  <c r="N23" i="55" a="1"/>
  <c r="N23" i="55"/>
  <c r="N103" i="55" a="1"/>
  <c r="N103" i="55"/>
  <c r="N94" i="55" a="1"/>
  <c r="N94" i="55"/>
  <c r="N72" i="55" a="1"/>
  <c r="N72" i="55"/>
  <c r="M72" i="55" a="1"/>
  <c r="M72" i="55"/>
  <c r="O72" i="55"/>
  <c r="M82" i="55" a="1"/>
  <c r="M82" i="55"/>
  <c r="O82" i="55"/>
  <c r="H56" i="55"/>
  <c r="H49" i="55"/>
  <c r="N32" i="55" a="1"/>
  <c r="N32" i="55"/>
  <c r="M32" i="55" a="1"/>
  <c r="M32" i="55"/>
  <c r="O32" i="55"/>
  <c r="N49" i="55" a="1"/>
  <c r="N49" i="55"/>
  <c r="N9" i="55" a="1"/>
  <c r="N9" i="55"/>
  <c r="N41" i="55" a="1"/>
  <c r="N41" i="55"/>
  <c r="N47" i="55" a="1"/>
  <c r="N47" i="55"/>
  <c r="P31" i="55"/>
  <c r="S31" i="55"/>
  <c r="P96" i="55"/>
  <c r="S96" i="55"/>
  <c r="G57" i="55"/>
  <c r="P45" i="55"/>
  <c r="S45" i="55"/>
  <c r="P54" i="55"/>
  <c r="S54" i="55"/>
  <c r="N18" i="55" a="1"/>
  <c r="N18" i="55"/>
  <c r="N57" i="55" a="1"/>
  <c r="N57" i="55"/>
  <c r="M57" i="55" a="1"/>
  <c r="M57" i="55"/>
  <c r="O57" i="55"/>
  <c r="N55" i="55" a="1"/>
  <c r="N55" i="55"/>
  <c r="M55" i="55" a="1"/>
  <c r="M55" i="55"/>
  <c r="O55" i="55"/>
  <c r="N10" i="55" a="1"/>
  <c r="N10" i="55"/>
  <c r="N29" i="55" a="1"/>
  <c r="N29" i="55"/>
  <c r="M29" i="55" a="1"/>
  <c r="M29" i="55"/>
  <c r="O29" i="55"/>
  <c r="N34" i="55" a="1"/>
  <c r="N34" i="55"/>
  <c r="M34" i="55" a="1"/>
  <c r="M34" i="55"/>
  <c r="O34" i="55"/>
  <c r="N96" i="55" a="1"/>
  <c r="N96" i="55"/>
  <c r="N11" i="55" a="1"/>
  <c r="N11" i="55"/>
  <c r="N30" i="55" a="1"/>
  <c r="N30" i="55"/>
  <c r="M30" i="55" a="1"/>
  <c r="M30" i="55"/>
  <c r="O30" i="55"/>
  <c r="N7" i="55" a="1"/>
  <c r="N7" i="55"/>
  <c r="M50" i="55" a="1"/>
  <c r="M50" i="55"/>
  <c r="O50" i="55"/>
  <c r="N74" i="55" a="1"/>
  <c r="N74" i="55"/>
  <c r="M80" i="55" a="1"/>
  <c r="M80" i="55"/>
  <c r="O80" i="55"/>
  <c r="N16" i="55" a="1"/>
  <c r="N16" i="55"/>
  <c r="M16" i="55" a="1"/>
  <c r="M16" i="55"/>
  <c r="O16" i="55"/>
  <c r="N54" i="55" a="1"/>
  <c r="N54" i="55"/>
  <c r="N63" i="55" a="1"/>
  <c r="N63" i="55"/>
  <c r="N19" i="55" a="1"/>
  <c r="N19" i="55"/>
  <c r="M19" i="55" a="1"/>
  <c r="M19" i="55"/>
  <c r="O19" i="55"/>
  <c r="M33" i="55" a="1"/>
  <c r="M33" i="55"/>
  <c r="O33" i="55"/>
  <c r="P62" i="55"/>
  <c r="S62" i="55"/>
  <c r="P39" i="55"/>
  <c r="S39" i="55"/>
  <c r="P19" i="55"/>
  <c r="S19" i="55"/>
  <c r="M69" i="55" a="1"/>
  <c r="M69" i="55"/>
  <c r="O69" i="55"/>
  <c r="P86" i="55"/>
  <c r="S86" i="55"/>
  <c r="P94" i="55"/>
  <c r="S94" i="55"/>
  <c r="P79" i="55"/>
  <c r="S79" i="55"/>
  <c r="P101" i="55"/>
  <c r="S101" i="55"/>
  <c r="P78" i="55"/>
  <c r="S78" i="55"/>
  <c r="P59" i="55"/>
  <c r="S59" i="55"/>
  <c r="P75" i="55"/>
  <c r="S75" i="55"/>
  <c r="P87" i="55"/>
  <c r="S87" i="55"/>
  <c r="P76" i="55"/>
  <c r="S76" i="55"/>
  <c r="P68" i="55"/>
  <c r="S68" i="55"/>
  <c r="P77" i="55"/>
  <c r="S77" i="55"/>
  <c r="P69" i="55"/>
  <c r="S69" i="55"/>
  <c r="P72" i="55"/>
  <c r="S72" i="55"/>
  <c r="P74" i="55"/>
  <c r="S74" i="55"/>
  <c r="P14" i="55"/>
  <c r="S14" i="55"/>
  <c r="P50" i="55"/>
  <c r="S50" i="55"/>
  <c r="P23" i="55"/>
  <c r="S23" i="55"/>
  <c r="R85" i="55"/>
  <c r="T85" i="55"/>
  <c r="N62" i="55" a="1"/>
  <c r="N62" i="55"/>
  <c r="M62" i="55" a="1"/>
  <c r="M62" i="55"/>
  <c r="O62" i="55"/>
  <c r="M23" i="55" a="1"/>
  <c r="M23" i="55"/>
  <c r="O23" i="55"/>
  <c r="N75" i="55" a="1"/>
  <c r="N75" i="55"/>
  <c r="M75" i="55" a="1"/>
  <c r="M75" i="55"/>
  <c r="O75" i="55"/>
  <c r="N79" i="55" a="1"/>
  <c r="N79" i="55"/>
  <c r="M79" i="55" a="1"/>
  <c r="M79" i="55"/>
  <c r="O79" i="55"/>
  <c r="N66" i="55" a="1"/>
  <c r="N66" i="55"/>
  <c r="N86" i="55" a="1"/>
  <c r="N86" i="55"/>
  <c r="M86" i="55" a="1"/>
  <c r="M86" i="55"/>
  <c r="O86" i="55"/>
  <c r="N91" i="55" a="1"/>
  <c r="N91" i="55"/>
  <c r="M91" i="55" a="1"/>
  <c r="M91" i="55"/>
  <c r="O91" i="55"/>
  <c r="M47" i="55" a="1"/>
  <c r="M47" i="55"/>
  <c r="O47" i="55"/>
  <c r="P33" i="55"/>
  <c r="S33" i="55"/>
  <c r="P57" i="55"/>
  <c r="S57" i="55"/>
  <c r="P47" i="55"/>
  <c r="S47" i="55"/>
  <c r="P11" i="55"/>
  <c r="S11" i="55"/>
  <c r="G71" i="55"/>
  <c r="P55" i="55"/>
  <c r="S55" i="55"/>
  <c r="P42" i="55"/>
  <c r="S42" i="55"/>
  <c r="P18" i="55"/>
  <c r="S18" i="55"/>
  <c r="P27" i="55"/>
  <c r="S27" i="55"/>
  <c r="P20" i="55"/>
  <c r="S20" i="55"/>
  <c r="P41" i="55"/>
  <c r="S41" i="55"/>
  <c r="M56" i="55" a="1"/>
  <c r="M56" i="55"/>
  <c r="O56" i="55"/>
  <c r="M27" i="55" a="1"/>
  <c r="M27" i="55"/>
  <c r="O27" i="55"/>
  <c r="G30" i="55"/>
  <c r="M31" i="55" a="1"/>
  <c r="M31" i="55"/>
  <c r="O31" i="55"/>
  <c r="N76" i="55" a="1"/>
  <c r="N76" i="55"/>
  <c r="M76" i="55" a="1"/>
  <c r="M76" i="55"/>
  <c r="O76" i="55"/>
  <c r="P9" i="55"/>
  <c r="S9" i="55"/>
  <c r="K21" i="55" a="1"/>
  <c r="K21" i="55"/>
  <c r="P15" i="55"/>
  <c r="S15" i="55"/>
  <c r="P32" i="55"/>
  <c r="S32" i="55"/>
  <c r="J32" i="55"/>
  <c r="R32" i="55"/>
  <c r="T32" i="55"/>
  <c r="L63" i="55" a="1"/>
  <c r="L63" i="55"/>
  <c r="H63" i="55"/>
  <c r="P37" i="55"/>
  <c r="S37" i="55"/>
  <c r="M61" i="55" a="1"/>
  <c r="M61" i="55"/>
  <c r="O61" i="55"/>
  <c r="J71" i="55"/>
  <c r="L71" i="55" a="1"/>
  <c r="L71" i="55"/>
  <c r="H20" i="55"/>
  <c r="H64" i="55"/>
  <c r="P34" i="55"/>
  <c r="S34" i="55"/>
  <c r="H29" i="55"/>
  <c r="K36" i="55" a="1"/>
  <c r="K36" i="55"/>
  <c r="H37" i="55"/>
  <c r="G45" i="55"/>
  <c r="J66" i="55"/>
  <c r="R66" i="55"/>
  <c r="T66" i="55"/>
  <c r="M81" i="55" a="1"/>
  <c r="M81" i="55"/>
  <c r="O81" i="55"/>
  <c r="J95" i="55"/>
  <c r="R95" i="55"/>
  <c r="T95" i="55"/>
  <c r="J52" i="55"/>
  <c r="R52" i="55"/>
  <c r="T52" i="55"/>
  <c r="P43" i="55"/>
  <c r="S43" i="55"/>
  <c r="P40" i="55"/>
  <c r="S40" i="55"/>
  <c r="P29" i="55"/>
  <c r="S29" i="55"/>
  <c r="P30" i="55"/>
  <c r="S30" i="55"/>
  <c r="J54" i="55"/>
  <c r="R54" i="55"/>
  <c r="T54" i="55"/>
  <c r="J67" i="55"/>
  <c r="R67" i="55"/>
  <c r="T67" i="55"/>
  <c r="J99" i="55"/>
  <c r="R99" i="55"/>
  <c r="T99" i="55"/>
  <c r="G60" i="55"/>
  <c r="K60" i="55" a="1"/>
  <c r="K60" i="55"/>
  <c r="H60" i="55"/>
  <c r="G78" i="55"/>
  <c r="R53" i="55"/>
  <c r="T53" i="55"/>
  <c r="J100" i="55"/>
  <c r="R100" i="55"/>
  <c r="T100" i="55"/>
  <c r="J98" i="55"/>
  <c r="R98" i="55"/>
  <c r="T98" i="55"/>
  <c r="P83" i="55"/>
  <c r="S83" i="55"/>
  <c r="J83" i="55"/>
  <c r="R83" i="55"/>
  <c r="T83" i="55"/>
  <c r="J97" i="55"/>
  <c r="R97" i="55"/>
  <c r="T97" i="55"/>
  <c r="P91" i="55"/>
  <c r="S91" i="55"/>
  <c r="J28" i="55"/>
  <c r="R28" i="55"/>
  <c r="T28" i="55"/>
  <c r="R24" i="55"/>
  <c r="T24" i="55"/>
  <c r="R71" i="55"/>
  <c r="T71" i="55"/>
  <c r="P58" i="55"/>
  <c r="S58" i="55"/>
  <c r="J105" i="55"/>
  <c r="R105" i="55"/>
  <c r="T105" i="55"/>
  <c r="J84" i="55"/>
  <c r="R84" i="55"/>
  <c r="T84" i="55"/>
  <c r="P16" i="55"/>
  <c r="S16" i="55"/>
  <c r="J16" i="55"/>
  <c r="R16" i="55"/>
  <c r="T16" i="55"/>
  <c r="P26" i="55"/>
  <c r="S26" i="55"/>
  <c r="J26" i="55"/>
  <c r="R26" i="55"/>
  <c r="T26" i="55"/>
  <c r="J51" i="55"/>
  <c r="R51" i="55"/>
  <c r="T51" i="55"/>
  <c r="J96" i="55"/>
  <c r="R96" i="55"/>
  <c r="T96" i="55"/>
  <c r="J80" i="55"/>
  <c r="R80" i="55"/>
  <c r="T80" i="55"/>
  <c r="J64" i="55"/>
  <c r="R64" i="55"/>
  <c r="T64" i="55"/>
  <c r="J38" i="55"/>
  <c r="R38" i="55"/>
  <c r="T38" i="55"/>
  <c r="J35" i="55"/>
  <c r="R35" i="55"/>
  <c r="T35" i="55"/>
  <c r="P10" i="55"/>
  <c r="S10" i="55"/>
  <c r="J10" i="55"/>
  <c r="R10" i="55"/>
  <c r="T10" i="55"/>
  <c r="J103" i="55"/>
  <c r="R103" i="55"/>
  <c r="T103" i="55"/>
  <c r="J61" i="55"/>
  <c r="R61" i="55"/>
  <c r="T61" i="55"/>
  <c r="J31" i="55"/>
  <c r="R31" i="55"/>
  <c r="T31" i="55"/>
  <c r="J94" i="55"/>
  <c r="R94" i="55"/>
  <c r="T94" i="55"/>
  <c r="J78" i="55"/>
  <c r="R78" i="55"/>
  <c r="T78" i="55"/>
  <c r="R21" i="55"/>
  <c r="T21" i="55"/>
  <c r="R88" i="55"/>
  <c r="T88" i="55"/>
  <c r="J44" i="55"/>
  <c r="R44" i="55"/>
  <c r="T44" i="55"/>
  <c r="R25" i="55"/>
  <c r="T25" i="55"/>
  <c r="R60" i="55"/>
  <c r="T60" i="55"/>
  <c r="J19" i="55"/>
  <c r="R19" i="55"/>
  <c r="T19" i="55"/>
  <c r="J48" i="55"/>
  <c r="R48" i="55"/>
  <c r="T48" i="55"/>
  <c r="J81" i="55"/>
  <c r="R81" i="55"/>
  <c r="T81" i="55"/>
  <c r="R36" i="55"/>
  <c r="T36" i="55"/>
  <c r="J92" i="55"/>
  <c r="R92" i="55"/>
  <c r="T92" i="55"/>
  <c r="J8" i="55"/>
  <c r="R8" i="55"/>
  <c r="T8" i="55"/>
  <c r="J49" i="55"/>
  <c r="R49" i="55"/>
  <c r="T49" i="55"/>
  <c r="J45" i="55"/>
  <c r="R45" i="55"/>
  <c r="T45" i="55"/>
  <c r="J73" i="55"/>
  <c r="R73" i="55"/>
  <c r="T73" i="55"/>
  <c r="J56" i="55"/>
  <c r="R56" i="55"/>
  <c r="T56" i="55"/>
  <c r="M54" i="55" a="1"/>
  <c r="M54" i="55"/>
  <c r="O54" i="55"/>
  <c r="M78" i="55" a="1"/>
  <c r="M78" i="55"/>
  <c r="O78" i="55"/>
  <c r="D47" i="55" a="1"/>
  <c r="D47" i="55"/>
  <c r="G47" i="55"/>
  <c r="H47" i="55"/>
  <c r="D95" i="55" a="1"/>
  <c r="D95" i="55"/>
  <c r="L95" i="55" a="1"/>
  <c r="L95" i="55"/>
  <c r="H95" i="55"/>
  <c r="G95" i="55"/>
  <c r="L105" i="55" a="1"/>
  <c r="L105" i="55"/>
  <c r="G76" i="55"/>
  <c r="D144" i="55" a="1"/>
  <c r="D144" i="55"/>
  <c r="H144" i="55"/>
  <c r="G144" i="55"/>
  <c r="K98" i="55" a="1"/>
  <c r="K98" i="55"/>
  <c r="K67" i="55" a="1"/>
  <c r="K67" i="55"/>
  <c r="L67" i="55" a="1"/>
  <c r="L67" i="55"/>
  <c r="K105" i="55" a="1"/>
  <c r="K105" i="55"/>
  <c r="J82" i="55"/>
  <c r="L82" i="55" a="1"/>
  <c r="L82" i="55"/>
  <c r="H98" i="55"/>
  <c r="L98" i="55" a="1"/>
  <c r="L98" i="55"/>
  <c r="H8" i="55"/>
  <c r="G75" i="55"/>
  <c r="K8" i="55" a="1"/>
  <c r="K8" i="55"/>
  <c r="G105" i="55"/>
  <c r="K88" i="55" a="1"/>
  <c r="K88" i="55"/>
  <c r="K82" i="55" a="1"/>
  <c r="K82" i="55"/>
  <c r="H82" i="55"/>
  <c r="D99" i="55" a="1"/>
  <c r="D99" i="55"/>
  <c r="H99" i="55"/>
  <c r="K99" i="55" a="1"/>
  <c r="K99" i="55"/>
  <c r="D16" i="55" a="1"/>
  <c r="D16" i="55"/>
  <c r="G16" i="55"/>
  <c r="H16" i="55"/>
  <c r="D114" i="55" a="1"/>
  <c r="D114" i="55"/>
  <c r="G114" i="55"/>
  <c r="H114" i="55"/>
  <c r="D102" i="55" a="1"/>
  <c r="D102" i="55"/>
  <c r="H102" i="55"/>
  <c r="J102" i="55"/>
  <c r="L102" i="55" a="1"/>
  <c r="L102" i="55"/>
  <c r="D87" i="55" a="1"/>
  <c r="D87" i="55"/>
  <c r="H87" i="55"/>
  <c r="G87" i="55"/>
  <c r="D31" i="55" a="1"/>
  <c r="D31" i="55"/>
  <c r="G31" i="55"/>
  <c r="H31" i="55"/>
  <c r="J7" i="55"/>
  <c r="R7" i="55"/>
  <c r="T7" i="55"/>
  <c r="J12" i="55"/>
  <c r="R12" i="55"/>
  <c r="T12" i="55"/>
  <c r="J13" i="55"/>
  <c r="R13" i="55"/>
  <c r="T13" i="55"/>
  <c r="J46" i="55"/>
  <c r="R46" i="55"/>
  <c r="T46" i="55"/>
  <c r="J90" i="55"/>
  <c r="R90" i="55"/>
  <c r="T90" i="55"/>
  <c r="J89" i="55"/>
  <c r="R89" i="55"/>
  <c r="T89" i="55"/>
  <c r="J65" i="55"/>
  <c r="R65" i="55"/>
  <c r="T65" i="55"/>
  <c r="R104" i="55"/>
  <c r="T104" i="55"/>
  <c r="R102" i="55"/>
  <c r="T102" i="55"/>
  <c r="J70" i="55"/>
  <c r="R70" i="55"/>
  <c r="T70" i="55"/>
  <c r="M74" i="55" a="1"/>
  <c r="M74" i="55"/>
  <c r="O74" i="55"/>
  <c r="M94" i="55" a="1"/>
  <c r="M94" i="55"/>
  <c r="O94" i="55"/>
  <c r="M52" i="55" a="1"/>
  <c r="M52" i="55"/>
  <c r="O52" i="55"/>
  <c r="M59" i="55" a="1"/>
  <c r="M59" i="55"/>
  <c r="O59" i="55"/>
  <c r="M49" i="55" a="1"/>
  <c r="M49" i="55"/>
  <c r="O49" i="55"/>
  <c r="M96" i="55" a="1"/>
  <c r="M96" i="55"/>
  <c r="O96" i="55"/>
  <c r="M77" i="55" a="1"/>
  <c r="M77" i="55"/>
  <c r="O77" i="55"/>
  <c r="M26" i="55" a="1"/>
  <c r="M26" i="55"/>
  <c r="O26" i="55"/>
  <c r="M40" i="55" a="1"/>
  <c r="M40" i="55"/>
  <c r="O40" i="55"/>
  <c r="M42" i="55" a="1"/>
  <c r="M42" i="55"/>
  <c r="O42" i="55"/>
  <c r="M9" i="55" a="1"/>
  <c r="M9" i="55"/>
  <c r="O9" i="55"/>
  <c r="M45" i="55" a="1"/>
  <c r="M45" i="55"/>
  <c r="O45" i="55"/>
  <c r="R63" i="55"/>
  <c r="T63" i="55"/>
  <c r="J93" i="55"/>
  <c r="R93" i="55"/>
  <c r="T93" i="55"/>
  <c r="D100" i="55" a="1"/>
  <c r="D100" i="55"/>
  <c r="L100" i="55" a="1"/>
  <c r="L100" i="55"/>
  <c r="D66" i="55" a="1"/>
  <c r="D66" i="55"/>
  <c r="K66" i="55" a="1"/>
  <c r="K66" i="55"/>
  <c r="D89" i="55" a="1"/>
  <c r="D89" i="55"/>
  <c r="L89" i="55" a="1"/>
  <c r="L89" i="55"/>
  <c r="K89" i="55" a="1"/>
  <c r="K89" i="55"/>
  <c r="D34" i="55" a="1"/>
  <c r="D34" i="55"/>
  <c r="G34" i="55"/>
  <c r="H34" i="55"/>
  <c r="D150" i="55" a="1"/>
  <c r="D150" i="55"/>
  <c r="G150" i="55"/>
  <c r="H150" i="55"/>
  <c r="G100" i="55"/>
  <c r="K100" i="55" a="1"/>
  <c r="K100" i="55"/>
  <c r="D94" i="55" a="1"/>
  <c r="D94" i="55"/>
  <c r="G94" i="55"/>
  <c r="H94" i="55"/>
  <c r="D79" i="55" a="1"/>
  <c r="D79" i="55"/>
  <c r="G79" i="55"/>
  <c r="H79" i="55"/>
  <c r="D7" i="55" a="1"/>
  <c r="D7" i="55"/>
  <c r="L7" i="55" a="1"/>
  <c r="L7" i="55"/>
  <c r="K7" i="55" a="1"/>
  <c r="K7" i="55"/>
  <c r="D65" i="55" a="1"/>
  <c r="D65" i="55"/>
  <c r="H65" i="55"/>
  <c r="L65" i="55" a="1"/>
  <c r="L65" i="55"/>
  <c r="K65" i="55" a="1"/>
  <c r="K65" i="55"/>
  <c r="G65" i="55"/>
  <c r="D131" i="55" a="1"/>
  <c r="D131" i="55"/>
  <c r="H131" i="55"/>
  <c r="G131" i="55"/>
  <c r="D90" i="55" a="1"/>
  <c r="D90" i="55"/>
  <c r="L90" i="55" a="1"/>
  <c r="L90" i="55"/>
  <c r="H90" i="55"/>
  <c r="K90" i="55" a="1"/>
  <c r="K90" i="55"/>
  <c r="D68" i="55" a="1"/>
  <c r="D68" i="55"/>
  <c r="H68" i="55"/>
  <c r="G68" i="55"/>
  <c r="D121" i="55" a="1"/>
  <c r="D121" i="55"/>
  <c r="H121" i="55"/>
  <c r="G121" i="55"/>
  <c r="G74" i="55"/>
  <c r="H77" i="55"/>
  <c r="K95" i="55" a="1"/>
  <c r="K95" i="55"/>
  <c r="K102" i="55" a="1"/>
  <c r="K102" i="55"/>
  <c r="K71" i="55" a="1"/>
  <c r="K71" i="55"/>
  <c r="D91" i="55" a="1"/>
  <c r="D91" i="55"/>
  <c r="H91" i="55"/>
  <c r="G91" i="55"/>
  <c r="G104" i="55"/>
  <c r="L99" i="55" a="1"/>
  <c r="L99" i="55"/>
  <c r="G99" i="55"/>
  <c r="G102" i="55"/>
  <c r="D32" i="55" a="1"/>
  <c r="D32" i="55"/>
  <c r="G32" i="55"/>
  <c r="H32" i="55"/>
  <c r="D163" i="55" a="1"/>
  <c r="D163" i="55"/>
  <c r="H163" i="55"/>
  <c r="G163" i="55"/>
  <c r="M14" i="55" a="1"/>
  <c r="M14" i="55"/>
  <c r="O14" i="55"/>
  <c r="D81" i="55" a="1"/>
  <c r="D81" i="55"/>
  <c r="H81" i="55"/>
  <c r="G81" i="55"/>
  <c r="D62" i="55" a="1"/>
  <c r="D62" i="55"/>
  <c r="G62" i="55"/>
  <c r="H62" i="55"/>
  <c r="J62" i="55"/>
  <c r="L62" i="55" a="1"/>
  <c r="L62" i="55"/>
  <c r="D54" i="55" a="1"/>
  <c r="D54" i="55"/>
  <c r="G54" i="55"/>
  <c r="H54" i="55"/>
  <c r="D46" i="55" a="1"/>
  <c r="D46" i="55"/>
  <c r="G46" i="55"/>
  <c r="H46" i="55"/>
  <c r="D38" i="55" a="1"/>
  <c r="D38" i="55"/>
  <c r="G38" i="55"/>
  <c r="H38" i="55"/>
  <c r="D13" i="55" a="1"/>
  <c r="D13" i="55"/>
  <c r="K13" i="55" a="1"/>
  <c r="K13" i="55"/>
  <c r="L13" i="55" a="1"/>
  <c r="L13" i="55"/>
  <c r="H13" i="55"/>
  <c r="D162" i="55" a="1"/>
  <c r="D162" i="55"/>
  <c r="H162" i="55"/>
  <c r="G162" i="55"/>
  <c r="D147" i="55" a="1"/>
  <c r="D147" i="55"/>
  <c r="H147" i="55"/>
  <c r="G147" i="55"/>
  <c r="D14" i="55" a="1"/>
  <c r="D14" i="55"/>
  <c r="H14" i="55"/>
  <c r="J14" i="55"/>
  <c r="K14" i="55" a="1"/>
  <c r="K14" i="55"/>
  <c r="D155" i="55" a="1"/>
  <c r="D155" i="55"/>
  <c r="H155" i="55"/>
  <c r="G155" i="55"/>
  <c r="D93" i="55" a="1"/>
  <c r="D93" i="55"/>
  <c r="H93" i="55"/>
  <c r="K93" i="55" a="1"/>
  <c r="K93" i="55"/>
  <c r="G93" i="55"/>
  <c r="L93" i="55" a="1"/>
  <c r="L93" i="55"/>
  <c r="D80" i="55" a="1"/>
  <c r="D80" i="55"/>
  <c r="K80" i="55" a="1"/>
  <c r="K80" i="55"/>
  <c r="H80" i="55"/>
  <c r="G80" i="55"/>
  <c r="D73" i="55" a="1"/>
  <c r="D73" i="55"/>
  <c r="H73" i="55"/>
  <c r="G73" i="55"/>
  <c r="L73" i="55" a="1"/>
  <c r="L73" i="55"/>
  <c r="K73" i="55" a="1"/>
  <c r="K73" i="55"/>
  <c r="D61" i="55" a="1"/>
  <c r="D61" i="55"/>
  <c r="G61" i="55"/>
  <c r="K61" i="55" a="1"/>
  <c r="K61" i="55"/>
  <c r="L61" i="55" a="1"/>
  <c r="L61" i="55"/>
  <c r="H61" i="55"/>
  <c r="D187" i="55" a="1"/>
  <c r="D187" i="55"/>
  <c r="G187" i="55"/>
  <c r="H187" i="55"/>
  <c r="D146" i="55" a="1"/>
  <c r="D146" i="55"/>
  <c r="G146" i="55"/>
  <c r="H146" i="55"/>
  <c r="D97" i="55" a="1"/>
  <c r="D97" i="55"/>
  <c r="K97" i="55" a="1"/>
  <c r="K97" i="55"/>
  <c r="H97" i="55"/>
  <c r="L97" i="55" a="1"/>
  <c r="L97" i="55"/>
  <c r="D86" i="55" a="1"/>
  <c r="D86" i="55"/>
  <c r="G86" i="55"/>
  <c r="J86" i="55"/>
  <c r="L86" i="55" a="1"/>
  <c r="L86" i="55"/>
  <c r="H86" i="55"/>
  <c r="D59" i="55" a="1"/>
  <c r="D59" i="55"/>
  <c r="G59" i="55"/>
  <c r="H59" i="55"/>
  <c r="D50" i="55" a="1"/>
  <c r="D50" i="55"/>
  <c r="J50" i="55"/>
  <c r="L50" i="55" a="1"/>
  <c r="L50" i="55"/>
  <c r="G50" i="55"/>
  <c r="H50" i="55"/>
  <c r="D43" i="55" a="1"/>
  <c r="D43" i="55"/>
  <c r="H43" i="55"/>
  <c r="G43" i="55"/>
  <c r="D185" i="55" a="1"/>
  <c r="D185" i="55"/>
  <c r="G185" i="55"/>
  <c r="H185" i="55"/>
  <c r="D159" i="55" a="1"/>
  <c r="D159" i="55"/>
  <c r="H159" i="55"/>
  <c r="G159" i="55"/>
  <c r="D151" i="55" a="1"/>
  <c r="D151" i="55"/>
  <c r="H151" i="55"/>
  <c r="G151" i="55"/>
  <c r="D96" i="55" a="1"/>
  <c r="D96" i="55"/>
  <c r="G96" i="55"/>
  <c r="H96" i="55"/>
  <c r="D84" i="55" a="1"/>
  <c r="D84" i="55"/>
  <c r="H84" i="55"/>
  <c r="G84" i="55"/>
  <c r="L84" i="55" a="1"/>
  <c r="L84" i="55"/>
  <c r="D42" i="55" a="1"/>
  <c r="D42" i="55"/>
  <c r="H42" i="55"/>
  <c r="G42" i="55"/>
  <c r="J42" i="55"/>
  <c r="K42" i="55" a="1"/>
  <c r="K42" i="55"/>
  <c r="D28" i="55" a="1"/>
  <c r="D28" i="55"/>
  <c r="K28" i="55" a="1"/>
  <c r="K28" i="55"/>
  <c r="H28" i="55"/>
  <c r="G28" i="55"/>
  <c r="L28" i="55" a="1"/>
  <c r="L28" i="55"/>
  <c r="D160" i="55" a="1"/>
  <c r="D160" i="55"/>
  <c r="G160" i="55"/>
  <c r="H160" i="55"/>
  <c r="D145" i="55" a="1"/>
  <c r="D145" i="55"/>
  <c r="G145" i="55"/>
  <c r="H145" i="55"/>
  <c r="D123" i="55" a="1"/>
  <c r="D123" i="55"/>
  <c r="G123" i="55"/>
  <c r="H123" i="55"/>
  <c r="D177" i="55" a="1"/>
  <c r="D177" i="55"/>
  <c r="G177" i="55"/>
  <c r="H177" i="55"/>
  <c r="D83" i="55" a="1"/>
  <c r="D83" i="55"/>
  <c r="G83" i="55"/>
  <c r="K83" i="55" a="1"/>
  <c r="K83" i="55"/>
  <c r="H83" i="55"/>
  <c r="D27" i="55" a="1"/>
  <c r="D27" i="55"/>
  <c r="G27" i="55"/>
  <c r="H27" i="55"/>
  <c r="J27" i="55"/>
  <c r="L27" i="55" a="1"/>
  <c r="L27" i="55"/>
  <c r="D18" i="55" a="1"/>
  <c r="D18" i="55"/>
  <c r="G18" i="55"/>
  <c r="J18" i="55"/>
  <c r="K18" i="55" a="1"/>
  <c r="K18" i="55"/>
  <c r="H18" i="55"/>
  <c r="D143" i="55" a="1"/>
  <c r="D143" i="55"/>
  <c r="H143" i="55"/>
  <c r="G143" i="55"/>
  <c r="D72" i="55" a="1"/>
  <c r="D72" i="55"/>
  <c r="H72" i="55"/>
  <c r="G72" i="55"/>
  <c r="J72" i="55"/>
  <c r="L72" i="55" a="1"/>
  <c r="L72" i="55"/>
  <c r="K72" i="55" a="1"/>
  <c r="K72" i="55"/>
  <c r="D51" i="55" a="1"/>
  <c r="D51" i="55"/>
  <c r="H51" i="55"/>
  <c r="K51" i="55" a="1"/>
  <c r="K51" i="55"/>
  <c r="L51" i="55" a="1"/>
  <c r="L51" i="55"/>
  <c r="G51" i="55"/>
  <c r="D138" i="55" a="1"/>
  <c r="D138" i="55"/>
  <c r="H138" i="55"/>
  <c r="G138" i="55"/>
  <c r="M10" i="55" a="1"/>
  <c r="M10" i="55"/>
  <c r="O10" i="55"/>
  <c r="M18" i="55" a="1"/>
  <c r="M18" i="55"/>
  <c r="O18" i="55"/>
  <c r="D174" i="55" a="1"/>
  <c r="D174" i="55"/>
  <c r="G174" i="55"/>
  <c r="H174" i="55"/>
  <c r="D165" i="55" a="1"/>
  <c r="D165" i="55"/>
  <c r="H165" i="55"/>
  <c r="G165" i="55"/>
  <c r="D142" i="55" a="1"/>
  <c r="D142" i="55"/>
  <c r="G142" i="55"/>
  <c r="H142" i="55"/>
  <c r="M48" i="55" a="1"/>
  <c r="M48" i="55"/>
  <c r="O48" i="55"/>
  <c r="H104" i="55"/>
  <c r="L104" i="55" a="1"/>
  <c r="L104" i="55"/>
  <c r="M92" i="55" a="1"/>
  <c r="M92" i="55"/>
  <c r="O92" i="55"/>
  <c r="J69" i="55"/>
  <c r="R69" i="55"/>
  <c r="T69" i="55"/>
  <c r="R82" i="55"/>
  <c r="T82" i="55"/>
  <c r="M101" i="55" a="1"/>
  <c r="M101" i="55"/>
  <c r="O101" i="55"/>
  <c r="M68" i="55" a="1"/>
  <c r="M68" i="55"/>
  <c r="O68" i="55"/>
  <c r="H100" i="55"/>
  <c r="M87" i="55" a="1"/>
  <c r="M87" i="55"/>
  <c r="O87" i="55"/>
  <c r="J17" i="55"/>
  <c r="R17" i="55"/>
  <c r="T17" i="55"/>
  <c r="M41" i="55" a="1"/>
  <c r="M41" i="55"/>
  <c r="O41" i="55"/>
  <c r="M11" i="55" a="1"/>
  <c r="M11" i="55"/>
  <c r="O11" i="55"/>
  <c r="M20" i="55" a="1"/>
  <c r="M20" i="55"/>
  <c r="O20" i="55"/>
  <c r="M15" i="55" a="1"/>
  <c r="M15" i="55"/>
  <c r="O15" i="55"/>
  <c r="M17" i="55" a="1"/>
  <c r="M17" i="55"/>
  <c r="O17" i="55"/>
  <c r="M44" i="55" a="1"/>
  <c r="M44" i="55"/>
  <c r="O44" i="55"/>
  <c r="M103" i="55" a="1"/>
  <c r="M103" i="55"/>
  <c r="O103" i="55"/>
  <c r="D9" i="55" a="1"/>
  <c r="D9" i="55"/>
  <c r="H9" i="55"/>
  <c r="L96" i="55" a="1"/>
  <c r="L96" i="55"/>
  <c r="J59" i="55"/>
  <c r="L59" i="55" a="1"/>
  <c r="L59" i="55"/>
  <c r="D55" i="55" a="1"/>
  <c r="D55" i="55"/>
  <c r="J55" i="55"/>
  <c r="K55" i="55" a="1"/>
  <c r="K55" i="55"/>
  <c r="L83" i="55" a="1"/>
  <c r="L83" i="55"/>
  <c r="L18" i="55" a="1"/>
  <c r="L18" i="55"/>
  <c r="K96" i="55" a="1"/>
  <c r="K96" i="55"/>
  <c r="J43" i="55"/>
  <c r="K43" i="55" a="1"/>
  <c r="K43" i="55"/>
  <c r="L43" i="55" a="1"/>
  <c r="L43" i="55"/>
  <c r="L42" i="55" a="1"/>
  <c r="L42" i="55"/>
  <c r="J68" i="55"/>
  <c r="R68" i="55"/>
  <c r="T68" i="55"/>
  <c r="R62" i="55"/>
  <c r="T62" i="55"/>
  <c r="J76" i="55"/>
  <c r="R76" i="55"/>
  <c r="T76" i="55"/>
  <c r="J58" i="55"/>
  <c r="R58" i="55"/>
  <c r="T58" i="55"/>
  <c r="J37" i="55"/>
  <c r="R37" i="55"/>
  <c r="T37" i="55"/>
  <c r="J39" i="55"/>
  <c r="R39" i="55"/>
  <c r="T39" i="55"/>
  <c r="R20" i="55"/>
  <c r="T20" i="55"/>
  <c r="R59" i="55"/>
  <c r="T59" i="55"/>
  <c r="K86" i="55" a="1"/>
  <c r="K86" i="55"/>
  <c r="K32" i="55" a="1"/>
  <c r="K32" i="55"/>
  <c r="K68" i="55" a="1"/>
  <c r="K68" i="55"/>
  <c r="L94" i="55" a="1"/>
  <c r="L94" i="55"/>
  <c r="K81" i="55" a="1"/>
  <c r="K81" i="55"/>
  <c r="K50" i="55" a="1"/>
  <c r="K50" i="55"/>
  <c r="L46" i="55" a="1"/>
  <c r="L46" i="55"/>
  <c r="K38" i="55" a="1"/>
  <c r="K38" i="55"/>
  <c r="J77" i="55"/>
  <c r="K77" i="55" a="1"/>
  <c r="K77" i="55"/>
  <c r="K27" i="55" a="1"/>
  <c r="K27" i="55"/>
  <c r="K84" i="55" a="1"/>
  <c r="K84" i="55"/>
  <c r="K59" i="55" a="1"/>
  <c r="K59" i="55"/>
  <c r="J91" i="55"/>
  <c r="K91" i="55" a="1"/>
  <c r="K91" i="55"/>
  <c r="K62" i="55" a="1"/>
  <c r="K62" i="55"/>
  <c r="K46" i="55" a="1"/>
  <c r="K46" i="55"/>
  <c r="L38" i="55" a="1"/>
  <c r="L38" i="55"/>
  <c r="L54" i="55" a="1"/>
  <c r="L54" i="55"/>
  <c r="L55" i="55" a="1"/>
  <c r="L55" i="55"/>
  <c r="L66" i="55" a="1"/>
  <c r="L66" i="55"/>
  <c r="J87" i="55"/>
  <c r="L87" i="55" a="1"/>
  <c r="L87" i="55"/>
  <c r="L80" i="55" a="1"/>
  <c r="L80" i="55"/>
  <c r="L103" i="55" a="1"/>
  <c r="L103" i="55"/>
  <c r="L91" i="55" a="1"/>
  <c r="L91" i="55"/>
  <c r="L32" i="55" a="1"/>
  <c r="L32" i="55"/>
  <c r="J74" i="55"/>
  <c r="L74" i="55" a="1"/>
  <c r="L74" i="55"/>
  <c r="L81" i="55" a="1"/>
  <c r="L81" i="55"/>
  <c r="D101" i="55" a="1"/>
  <c r="D101" i="55"/>
  <c r="J101" i="55"/>
  <c r="L101" i="55" a="1"/>
  <c r="L101" i="55"/>
  <c r="L14" i="55" a="1"/>
  <c r="L14" i="55"/>
  <c r="J34" i="55"/>
  <c r="L34" i="55" a="1"/>
  <c r="L34" i="55"/>
  <c r="L68" i="55" a="1"/>
  <c r="L68" i="55"/>
  <c r="J79" i="55"/>
  <c r="L79" i="55" a="1"/>
  <c r="L79" i="55"/>
  <c r="R86" i="55"/>
  <c r="T86" i="55"/>
  <c r="R77" i="55"/>
  <c r="T77" i="55"/>
  <c r="R101" i="55"/>
  <c r="T101" i="55"/>
  <c r="R79" i="55"/>
  <c r="T79" i="55"/>
  <c r="R87" i="55"/>
  <c r="T87" i="55"/>
  <c r="J75" i="55"/>
  <c r="R75" i="55"/>
  <c r="T75" i="55"/>
  <c r="R14" i="55"/>
  <c r="T14" i="55"/>
  <c r="R72" i="55"/>
  <c r="T72" i="55"/>
  <c r="R74" i="55"/>
  <c r="T74" i="55"/>
  <c r="J23" i="55"/>
  <c r="R23" i="55"/>
  <c r="T23" i="55"/>
  <c r="R27" i="55"/>
  <c r="T27" i="55"/>
  <c r="J57" i="55"/>
  <c r="R57" i="55"/>
  <c r="T57" i="55"/>
  <c r="R50" i="55"/>
  <c r="T50" i="55"/>
  <c r="R42" i="55"/>
  <c r="T42" i="55"/>
  <c r="J11" i="55"/>
  <c r="R11" i="55"/>
  <c r="T11" i="55"/>
  <c r="K79" i="55" a="1"/>
  <c r="K79" i="55"/>
  <c r="J47" i="55"/>
  <c r="R47" i="55"/>
  <c r="T47" i="55"/>
  <c r="J33" i="55"/>
  <c r="R33" i="55"/>
  <c r="T33" i="55"/>
  <c r="R55" i="55"/>
  <c r="T55" i="55"/>
  <c r="R18" i="55"/>
  <c r="T18" i="55"/>
  <c r="J15" i="55"/>
  <c r="R15" i="55"/>
  <c r="T15" i="55"/>
  <c r="J41" i="55"/>
  <c r="R41" i="55"/>
  <c r="T41" i="55"/>
  <c r="J9" i="55"/>
  <c r="R9" i="55"/>
  <c r="T9" i="55"/>
  <c r="K94" i="55" a="1"/>
  <c r="K94" i="55"/>
  <c r="K34" i="55" a="1"/>
  <c r="K34" i="55"/>
  <c r="K54" i="55" a="1"/>
  <c r="K54" i="55"/>
  <c r="K103" i="55" a="1"/>
  <c r="K103" i="55"/>
  <c r="K41" i="55" a="1"/>
  <c r="K41" i="55"/>
  <c r="R34" i="55"/>
  <c r="T34" i="55"/>
  <c r="R91" i="55"/>
  <c r="T91" i="55"/>
  <c r="J40" i="55"/>
  <c r="R40" i="55"/>
  <c r="T40" i="55"/>
  <c r="R43" i="55"/>
  <c r="T43" i="55"/>
  <c r="J29" i="55"/>
  <c r="R29" i="55"/>
  <c r="T29" i="55"/>
  <c r="J30" i="55"/>
  <c r="R30" i="55"/>
  <c r="T30" i="55"/>
  <c r="K17" i="55" a="1"/>
  <c r="K17" i="55"/>
  <c r="K9" i="55" a="1"/>
  <c r="K9" i="55"/>
  <c r="K35" i="55" a="1"/>
  <c r="K35" i="55"/>
  <c r="K49" i="55" a="1"/>
  <c r="K49" i="55"/>
  <c r="K57" i="55" a="1"/>
  <c r="K57" i="55"/>
  <c r="K69" i="55" a="1"/>
  <c r="K69" i="55"/>
  <c r="K40" i="55" a="1"/>
  <c r="K40" i="55"/>
  <c r="K47" i="55" a="1"/>
  <c r="K47" i="55"/>
  <c r="K16" i="55" a="1"/>
  <c r="K16" i="55"/>
  <c r="K10" i="55" a="1"/>
  <c r="K10" i="55"/>
  <c r="K30" i="55" a="1"/>
  <c r="K30" i="55"/>
  <c r="K37" i="55" a="1"/>
  <c r="K37" i="55"/>
  <c r="K19" i="55" a="1"/>
  <c r="K19" i="55"/>
  <c r="K29" i="55" a="1"/>
  <c r="K29" i="55"/>
  <c r="K70" i="55" a="1"/>
  <c r="K70" i="55"/>
  <c r="K101" i="55" a="1"/>
  <c r="K101" i="55"/>
  <c r="K74" i="55" a="1"/>
  <c r="K74" i="55"/>
  <c r="K33" i="55" a="1"/>
  <c r="K33" i="55"/>
  <c r="K44" i="55" a="1"/>
  <c r="K44" i="55"/>
  <c r="K58" i="55" a="1"/>
  <c r="K58" i="55"/>
  <c r="K31" i="55" a="1"/>
  <c r="K31" i="55"/>
  <c r="D23" i="55" a="1"/>
  <c r="D23" i="55"/>
  <c r="K23" i="55" a="1"/>
  <c r="K23" i="55"/>
  <c r="K12" i="55" a="1"/>
  <c r="K12" i="55"/>
  <c r="D92" i="55" a="1"/>
  <c r="D92" i="55"/>
  <c r="K92" i="55" a="1"/>
  <c r="K92" i="55"/>
  <c r="K56" i="55" a="1"/>
  <c r="K56" i="55"/>
  <c r="K52" i="55" a="1"/>
  <c r="K52" i="55"/>
  <c r="K76" i="55" a="1"/>
  <c r="K76" i="55"/>
  <c r="K75" i="55" a="1"/>
  <c r="K75" i="55"/>
  <c r="K48" i="55" a="1"/>
  <c r="K48" i="55"/>
  <c r="K64" i="55" a="1"/>
  <c r="K64" i="55"/>
  <c r="K26" i="55" a="1"/>
  <c r="K26" i="55"/>
  <c r="K11" i="55" a="1"/>
  <c r="K11" i="55"/>
  <c r="K45" i="55" a="1"/>
  <c r="K45" i="55"/>
  <c r="K78" i="55" a="1"/>
  <c r="K78" i="55"/>
  <c r="K39" i="55" a="1"/>
  <c r="K39" i="55"/>
  <c r="K15" i="55" a="1"/>
  <c r="K15" i="55"/>
  <c r="K87" i="55" a="1"/>
  <c r="K87" i="55"/>
  <c r="L12" i="55" a="1"/>
  <c r="L12" i="55"/>
  <c r="L77" i="55" a="1"/>
  <c r="L77" i="55"/>
  <c r="L64" i="55" a="1"/>
  <c r="L64" i="55"/>
  <c r="L48" i="55" a="1"/>
  <c r="L48" i="55"/>
  <c r="L9" i="55" a="1"/>
  <c r="L9" i="55"/>
  <c r="L17" i="55" a="1"/>
  <c r="L17" i="55"/>
  <c r="L58" i="55" a="1"/>
  <c r="L58" i="55"/>
  <c r="L33" i="55" a="1"/>
  <c r="L33" i="55"/>
  <c r="L20" i="55" a="1"/>
  <c r="L20" i="55"/>
  <c r="L76" i="55" a="1"/>
  <c r="L76" i="55"/>
  <c r="L41" i="55" a="1"/>
  <c r="L41" i="55"/>
  <c r="L56" i="55" a="1"/>
  <c r="L56" i="55"/>
  <c r="L37" i="55" a="1"/>
  <c r="L37" i="55"/>
  <c r="L49" i="55" a="1"/>
  <c r="L49" i="55"/>
  <c r="L47" i="55" a="1"/>
  <c r="L47" i="55"/>
  <c r="L15" i="55" a="1"/>
  <c r="L15" i="55"/>
  <c r="L19" i="55" a="1"/>
  <c r="L19" i="55"/>
  <c r="L78" i="55" a="1"/>
  <c r="L78" i="55"/>
  <c r="L44" i="55" a="1"/>
  <c r="L44" i="55"/>
  <c r="L57" i="55" a="1"/>
  <c r="L57" i="55"/>
  <c r="L26" i="55" a="1"/>
  <c r="L26" i="55"/>
  <c r="L69" i="55" a="1"/>
  <c r="L69" i="55"/>
  <c r="L23" i="55" a="1"/>
  <c r="L23" i="55"/>
  <c r="L16" i="55" a="1"/>
  <c r="L16" i="55"/>
  <c r="L45" i="55" a="1"/>
  <c r="L45" i="55"/>
  <c r="L10" i="55" a="1"/>
  <c r="L10" i="55"/>
  <c r="L92" i="55" a="1"/>
  <c r="L92" i="55"/>
  <c r="L35" i="55" a="1"/>
  <c r="L35" i="55"/>
  <c r="L11" i="55" a="1"/>
  <c r="L11" i="55"/>
  <c r="L39" i="55" a="1"/>
  <c r="L39" i="55"/>
  <c r="L31" i="55" a="1"/>
  <c r="L31" i="55"/>
  <c r="L29" i="55" a="1"/>
  <c r="L29" i="55"/>
  <c r="L40" i="55" a="1"/>
  <c r="L40" i="55"/>
  <c r="L52" i="55" a="1"/>
  <c r="L52" i="55"/>
  <c r="L70" i="55" a="1"/>
  <c r="L70" i="55"/>
  <c r="L30" i="55" a="1"/>
  <c r="L30" i="55"/>
  <c r="L75" i="55" a="1"/>
  <c r="L75" i="55"/>
  <c r="G9" i="55"/>
  <c r="G193" i="55"/>
  <c r="G2" i="55"/>
  <c r="G3" i="55"/>
  <c r="G194" i="55"/>
  <c r="H7" i="55"/>
  <c r="H193" i="55"/>
  <c r="H2" i="55"/>
  <c r="H3" i="55"/>
  <c r="H194"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I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K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L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M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N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Q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 ref="E94" authorId="0" shapeId="0" xr:uid="{F5A43083-76EF-4976-B987-4E4CC6BD91E0}">
      <text>
        <r>
          <rPr>
            <sz val="9"/>
            <color indexed="81"/>
            <rFont val="Tahoma"/>
            <family val="2"/>
          </rPr>
          <t>marking/tracking the corrupt data (marked as 'poison')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 ref="B111" authorId="0" shapeId="0" xr:uid="{AD0C6C4A-3444-4F46-AC7F-4BA07FFE1C29}">
      <text>
        <r>
          <rPr>
            <sz val="9"/>
            <color indexed="81"/>
            <rFont val="Tahoma"/>
            <family val="2"/>
          </rPr>
          <t>marking/tracking the corrupt data (marked as 'poison')</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<sst xmlns="http://schemas.openxmlformats.org/spreadsheetml/2006/main" count="3263" uniqueCount="974">
  <si>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</si>
  <si>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</si>
  <si>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</si>
  <si>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</si>
  <si>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</si>
  <si>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</si>
  <si>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</si>
  <si>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</si>
  <si>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</si>
  <si>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</si>
  <si>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</si>
  <si>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</si>
  <si>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</si>
  <si>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</si>
  <si>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</si>
  <si>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</si>
  <si>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</si>
  <si>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</si>
  <si>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</si>
  <si>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</si>
  <si>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</si>
  <si>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</si>
  <si>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</si>
  <si>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</si>
  <si>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</si>
  <si>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</si>
  <si>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</si>
  <si>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</si>
  <si>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</si>
  <si>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</si>
  <si>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</si>
  <si>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</si>
  <si>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</si>
  <si>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</si>
  <si>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</si>
  <si>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</si>
  <si>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</si>
  <si>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</si>
  <si>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</si>
  <si>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</si>
  <si>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</si>
  <si>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</si>
  <si>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</si>
  <si>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</si>
  <si>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</si>
  <si>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</si>
  <si>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</si>
  <si>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</si>
  <si>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</si>
  <si>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</si>
  <si>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</si>
  <si>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</si>
  <si>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</si>
  <si>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</si>
  <si>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</si>
  <si>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</si>
  <si>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</si>
  <si>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</si>
  <si>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</si>
  <si>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</si>
  <si>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</si>
  <si>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</si>
  <si>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</si>
  <si>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</si>
  <si>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</si>
  <si>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</si>
  <si>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</si>
  <si>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</si>
  <si>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</si>
  <si>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</si>
  <si>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</si>
  <si>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</si>
  <si>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</si>
  <si>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</si>
  <si>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</si>
  <si>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</si>
  <si>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</si>
  <si>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</si>
  <si>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</si>
  <si>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</si>
  <si>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</si>
  <si>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</si>
  <si>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</si>
  <si>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</si>
  <si>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</si>
  <si>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</si>
  <si>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</si>
  <si>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</si>
  <si>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</si>
  <si>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</si>
  <si>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</si>
  <si>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</si>
  <si>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</si>
  <si>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</si>
  <si>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</si>
  <si>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</si>
  <si>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</si>
  <si>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</si>
  <si>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</si>
  <si>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</si>
  <si>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</si>
  <si>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</si>
  <si>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</si>
  <si>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</si>
  <si>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</si>
  <si>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</si>
  <si>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</si>
  <si>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</si>
  <si>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</si>
  <si>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</si>
  <si>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</si>
  <si>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</si>
  <si>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</si>
  <si>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</si>
  <si>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</si>
  <si>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</si>
  <si>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</si>
  <si>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</si>
  <si>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</si>
  <si>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</si>
  <si>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</si>
  <si>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</si>
  <si>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</si>
  <si>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</si>
  <si>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</si>
  <si>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</si>
  <si>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</si>
  <si>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</si>
  <si>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</si>
  <si>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</si>
  <si>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</si>
  <si>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</si>
  <si>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</si>
  <si>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</si>
  <si>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</si>
  <si>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</si>
  <si>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</si>
  <si>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</si>
  <si>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</si>
  <si>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</si>
  <si>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</si>
  <si>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</si>
  <si>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</si>
  <si>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</si>
  <si>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</si>
  <si>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</si>
  <si>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</si>
  <si>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</si>
  <si>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</si>
  <si>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</si>
  <si>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</si>
  <si>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</si>
  <si>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</si>
  <si>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</si>
  <si>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</si>
  <si>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</si>
  <si>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</si>
  <si>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</si>
  <si>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</si>
  <si>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</si>
  <si>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</si>
  <si>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</si>
  <si>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</si>
  <si>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</si>
  <si>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</si>
  <si>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</si>
  <si>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</si>
  <si>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</si>
  <si>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</si>
  <si>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</si>
  <si>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</si>
  <si>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</si>
  <si>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</si>
  <si>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</si>
  <si>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</si>
  <si>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</si>
  <si>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</si>
  <si>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</si>
  <si>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</si>
  <si>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</si>
  <si>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</si>
  <si>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</si>
  <si>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</si>
  <si>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</si>
  <si>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</si>
  <si>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</si>
  <si>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</si>
  <si>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</si>
  <si>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</si>
  <si>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</si>
  <si>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</si>
  <si>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</si>
  <si>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</si>
  <si>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</si>
  <si>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</si>
  <si>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</si>
  <si>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</si>
  <si>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</si>
  <si>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</si>
  <si>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</si>
  <si>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</si>
  <si>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</si>
  <si>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</si>
  <si>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</si>
  <si>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</si>
  <si>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</si>
  <si>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</si>
  <si>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</si>
  <si>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</si>
  <si>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</si>
  <si>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</si>
  <si>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</si>
  <si>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</si>
  <si>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</si>
  <si>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</si>
  <si>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</si>
  <si>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</si>
  <si>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</si>
  <si>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</si>
  <si>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</si>
  <si>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</si>
  <si>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</si>
  <si>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</si>
  <si>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</si>
  <si>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</si>
  <si>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</si>
  <si>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</si>
  <si>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</si>
  <si>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</si>
  <si>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</si>
  <si>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</si>
  <si>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</si>
  <si>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</si>
  <si>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</si>
  <si>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</si>
  <si>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</si>
  <si>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</si>
  <si>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</si>
  <si>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</si>
  <si>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</si>
  <si>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</si>
  <si>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</si>
  <si>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</si>
  <si>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</si>
  <si>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</si>
  <si>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</si>
  <si>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</si>
  <si>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</si>
  <si>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</si>
  <si>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</si>
  <si>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</si>
  <si>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</si>
  <si>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Krackan1-OSS-003</t>
  </si>
  <si>
    <t>AQL Command + multi-producer support</t>
  </si>
  <si>
    <t>Albert Yao</t>
  </si>
  <si>
    <t>SDMA</t>
  </si>
  <si>
    <t>Multi-producer support means SDMA may fetch a command which is not ready (because multiple producers can update doorbell) and should wait until the command is valid</t>
  </si>
  <si>
    <t>sdma84.101</t>
  </si>
  <si>
    <t>mCompletionBuffer1 value should be equal to 0</t>
  </si>
  <si>
    <t>WK3</t>
  </si>
  <si>
    <t>Krackan1-OSS-004</t>
  </si>
  <si>
    <t>Atomic Command</t>
  </si>
  <si>
    <t>Atomic Add</t>
  </si>
  <si>
    <t>nsdma177.1</t>
  </si>
  <si>
    <t>Atomic Swap</t>
  </si>
  <si>
    <t>nsdma178.1</t>
  </si>
  <si>
    <t>Atomic CompareSwap</t>
  </si>
  <si>
    <t>nsdma179.1</t>
  </si>
  <si>
    <t>Krackan1-OSS-005</t>
  </si>
  <si>
    <t>Burst NOPs</t>
  </si>
  <si>
    <t>for padding the command buffer</t>
  </si>
  <si>
    <t>sdma65.101</t>
  </si>
  <si>
    <t>Krackan1-OSS-006</t>
  </si>
  <si>
    <t>CGCG enhancement</t>
  </si>
  <si>
    <t>medium grain CGCG control</t>
  </si>
  <si>
    <t>nsdma207.1</t>
  </si>
  <si>
    <t>bEnableIslandPowerGating=1  -tl_cg -tglReadRegisterByPacket=1 -tc_MapAsyncGfxQueuesWithKIQ=1  -tglEnableMCBP=1 -tglShadowContextRegisters -tglShadowPersistentRegisters -tglShadowUConfigRegisters -tc_DefaultCopyUtil=CpDma -gpu_copyengine=tcore -tc_GfxRingRegMode=1 -gfxoff -tc_KiqInMes=1 -tc_NoHP3D=1 -tc_ShadowSetupForProcess=0 -d=1 -skiptextbuffering -disable_libdce -oss_early_init -oss_sdmaengines=sdma0_queue0 -sdma_rb_control=doorbellandpoll -sdma_loops=250</t>
  </si>
  <si>
    <t>Krackan1-OSS-008</t>
  </si>
  <si>
    <t>Command Overlap</t>
  </si>
  <si>
    <t>sdma27.101</t>
  </si>
  <si>
    <t>Krackan1-OSS-009</t>
  </si>
  <si>
    <t>Conditional Execution Command</t>
  </si>
  <si>
    <t>Conditional Exec Fail</t>
  </si>
  <si>
    <t>nsdma27.1</t>
  </si>
  <si>
    <t>Conditional Exec Pass</t>
  </si>
  <si>
    <t>nsdma26.1</t>
  </si>
  <si>
    <t>Krackan1-OSS-010</t>
  </si>
  <si>
    <t>Constant Fill Command</t>
  </si>
  <si>
    <t>Const fill- byte</t>
  </si>
  <si>
    <t>nsdma58.1</t>
  </si>
  <si>
    <t>Const-fill-Dword</t>
  </si>
  <si>
    <t>nsdma59.1</t>
  </si>
  <si>
    <t>Krackan1-OSS-011</t>
  </si>
  <si>
    <t>Context Switch</t>
  </si>
  <si>
    <t>Normal-Preempt</t>
  </si>
  <si>
    <t>de-asserting RB_CNTL.RB_ENABLE</t>
  </si>
  <si>
    <t>nsdma215.1-3</t>
  </si>
  <si>
    <t>1,2sdma_loops(=10)3sdma_loops(=200)</t>
  </si>
  <si>
    <t>Krackan1-OSS-012</t>
  </si>
  <si>
    <t>Copy cmd format to support CUDA API(3D handle)</t>
  </si>
  <si>
    <t>nsdma93.1</t>
  </si>
  <si>
    <t>WK5</t>
  </si>
  <si>
    <t>Krackan1-OSS-013</t>
  </si>
  <si>
    <t>Data Fill MULTI</t>
  </si>
  <si>
    <t>nsdma65.1</t>
  </si>
  <si>
    <t>Krackan1-OSS-014</t>
  </si>
  <si>
    <t>DCC compression/decompression copy</t>
  </si>
  <si>
    <t>nsdma97.1</t>
  </si>
  <si>
    <t>Krackan1-OSS-016</t>
  </si>
  <si>
    <t xml:space="preserve">Enable Host (CPU) access to F32 scratch RAM </t>
  </si>
  <si>
    <t>nsdma81.1</t>
  </si>
  <si>
    <t>Krackan1-OSS-017</t>
  </si>
  <si>
    <t>Fence Command</t>
  </si>
  <si>
    <t>GMC Address</t>
  </si>
  <si>
    <t>nsdma175.1</t>
  </si>
  <si>
    <t>Physical Address</t>
  </si>
  <si>
    <t>nsdma176.1</t>
  </si>
  <si>
    <t>Error NOT Equal: Fence mem not match</t>
  </si>
  <si>
    <t>Krackan1-OSS-020</t>
  </si>
  <si>
    <t>GPUVM TLB Invalidation</t>
  </si>
  <si>
    <t>nsdma205.1</t>
  </si>
  <si>
    <t>vm(delete nogc)</t>
  </si>
  <si>
    <t>LightWeight</t>
  </si>
  <si>
    <t>nsdma206.1</t>
  </si>
  <si>
    <t>Krackan1-OSS-021</t>
  </si>
  <si>
    <t>GCR request support</t>
  </si>
  <si>
    <t>Write-back</t>
  </si>
  <si>
    <t>nsdma66.1</t>
  </si>
  <si>
    <t>Invalidate</t>
  </si>
  <si>
    <t>nsdma67.1</t>
  </si>
  <si>
    <t>Discard</t>
  </si>
  <si>
    <t>nsdma68.1</t>
  </si>
  <si>
    <t>Krackan1-OSS-023</t>
  </si>
  <si>
    <t>Increase max copy size(4M-1G)</t>
  </si>
  <si>
    <t>nsdma1.1</t>
  </si>
  <si>
    <t>Krackan1-OSS-024</t>
  </si>
  <si>
    <t>L2 policy override on normal command</t>
  </si>
  <si>
    <t>nsdma1.2</t>
  </si>
  <si>
    <t>Krackan1-OSS-025</t>
  </si>
  <si>
    <t>Linear Copy</t>
  </si>
  <si>
    <t>Krackan1-OSS-026</t>
  </si>
  <si>
    <t>Linear Backwards Copy</t>
  </si>
  <si>
    <t>nsdma5.1</t>
  </si>
  <si>
    <t>Krackan1-OSS-027</t>
  </si>
  <si>
    <t>Linear Copy Broadcast</t>
  </si>
  <si>
    <t>nsdma4.1</t>
  </si>
  <si>
    <t>Krackan1-OSS-028</t>
  </si>
  <si>
    <t>Linear Sub-Window Copy</t>
  </si>
  <si>
    <t>nsdma7.1-5</t>
  </si>
  <si>
    <t>Krackan1-OSS-029</t>
  </si>
  <si>
    <t>Linear large Sub-Window Copy</t>
  </si>
  <si>
    <t>Krackan1-OSS-031</t>
  </si>
  <si>
    <t>Tiled to Tiled Sub-Window Copy</t>
  </si>
  <si>
    <t>nsdma10.1-10</t>
  </si>
  <si>
    <t>Krackan1-OSS-032</t>
  </si>
  <si>
    <t>Tiled Sub-Window Copy</t>
  </si>
  <si>
    <t>nsdma9.1-5</t>
  </si>
  <si>
    <t>Krackan1-OSS-033</t>
  </si>
  <si>
    <t>Linear to Linear Copy Command</t>
  </si>
  <si>
    <t>Krackan1-OSS-034</t>
  </si>
  <si>
    <t>Linear to Linear sub-window copy</t>
  </si>
  <si>
    <t>Krackan1-OSS-035</t>
  </si>
  <si>
    <t>Linear to Structured / Structured to Linear copy</t>
  </si>
  <si>
    <t>nsdma13.1-2</t>
  </si>
  <si>
    <t xml:space="preserve"> Done executing: it met signal failed with signal (2) and test is Failed_x000D_
</t>
  </si>
  <si>
    <t>Krackan1-OSS-036</t>
  </si>
  <si>
    <t>Linear to Tiled (frame to field) copy</t>
  </si>
  <si>
    <t>nsdma12.1-5</t>
  </si>
  <si>
    <t>Krackan1-OSS-037</t>
  </si>
  <si>
    <t>Linear to Tiled / Tiled to Linear Copy Command</t>
  </si>
  <si>
    <t>L2T</t>
  </si>
  <si>
    <t>nsdma2.1-5</t>
  </si>
  <si>
    <t xml:space="preserve"> Done executing: it met signal failed with signal (2) and test is Failed</t>
  </si>
  <si>
    <t>T2L</t>
  </si>
  <si>
    <t>nsdma3.1-5</t>
  </si>
  <si>
    <t> Done executing: it met signal failed with signal (2) and test is Failed</t>
  </si>
  <si>
    <t>Krackan1-OSS-038</t>
  </si>
  <si>
    <t>Linear to Tiled / Tiled to Linear sub-window copy</t>
  </si>
  <si>
    <t xml:space="preserve">
</t>
  </si>
  <si>
    <t>Krackan1-OSS-039</t>
  </si>
  <si>
    <t>Linear to Tiled copy broadcast</t>
  </si>
  <si>
    <t>nsdma11.1-5</t>
  </si>
  <si>
    <t>Krackan1-OSS-040</t>
  </si>
  <si>
    <t>Mid Command Buffer Preemption</t>
  </si>
  <si>
    <t>nsdma217.1</t>
  </si>
  <si>
    <t>Krackan1-OSS-041</t>
  </si>
  <si>
    <t>Mid Command Preemption</t>
  </si>
  <si>
    <t>Krackan1-OSS-042</t>
  </si>
  <si>
    <t>RB Command Preemption</t>
  </si>
  <si>
    <t>Krackan1-OSS-043</t>
  </si>
  <si>
    <t>Mid-command preemption when time quantum reached</t>
  </si>
  <si>
    <t>nsdma218.1</t>
  </si>
  <si>
    <t>sdma_copysize(=200MiB)</t>
  </si>
  <si>
    <t>Krackan1-OSS-044</t>
  </si>
  <si>
    <t>Memory Increment</t>
  </si>
  <si>
    <t>nsdma160.1</t>
  </si>
  <si>
    <t>WK2</t>
  </si>
  <si>
    <t>Krackan1-OSS-048</t>
  </si>
  <si>
    <t>Physical linear copy</t>
  </si>
  <si>
    <t>nsdma6.1</t>
  </si>
  <si>
    <t>Error NOT Equal: Source and Destination not same</t>
  </si>
  <si>
    <t>Krackan1-OSS-049</t>
  </si>
  <si>
    <t>Poll Memory/Register Command</t>
  </si>
  <si>
    <t>nsdma16.1-10</t>
  </si>
  <si>
    <t>Krackan1-OSS-050</t>
  </si>
  <si>
    <t>Predicated Execution Command</t>
  </si>
  <si>
    <t>nsdma182.1</t>
  </si>
  <si>
    <t>Krackan1-OSS-051</t>
  </si>
  <si>
    <t>RAW dependency check</t>
  </si>
  <si>
    <t>sdma68.1</t>
  </si>
  <si>
    <t>Krackan1-OSS-052</t>
  </si>
  <si>
    <t>Ring Buffer Preemption between contexts</t>
  </si>
  <si>
    <t>nsmda217.1</t>
  </si>
  <si>
    <t>Krackan1-OSS-053</t>
  </si>
  <si>
    <t>Ring Buffer Preemption within a context</t>
  </si>
  <si>
    <t>Krackan1-OSS-055</t>
  </si>
  <si>
    <t>SDMA Master Firewall</t>
  </si>
  <si>
    <t>nsdma222.1-34</t>
  </si>
  <si>
    <t>./db32                   regw32 3f318 0x2</t>
  </si>
  <si>
    <t>Krackan1-OSS-056</t>
  </si>
  <si>
    <t>SDMA Performance - Single Engine</t>
  </si>
  <si>
    <t>nsdma401.1</t>
  </si>
  <si>
    <t>Krackan1-OSS-058</t>
  </si>
  <si>
    <t>SDMA Stress Test - CGCG</t>
  </si>
  <si>
    <t>nsdma412.1</t>
  </si>
  <si>
    <t>bEnableIslandPowerGating=1 -tglReadRegisterByPacket=1 -tc_MapAsyncGfxQueuesWithKIQ=1 -tglEnableMCBP=1 -tglShadowContextRegisters -tglShadowPersistentRegisters -tglShadowUConfigRegisters -tc_DefaultCopyUtil=CpDma -gpu_copyengine=tcore -tc_GfxRingRegMode=1 -gfxoff -tc_KiqInMes=1 -tc_NoHP3D=1 -tc_ShadowSetupForProcess=0 -d=1 -skiptextbuffering -disable_libdce -oss_early_init -oss_sdmaengines=sdma0_queue0 -sdma_rb_control=doorbellandpoll -sdma_loops=250 -tc_EnableAsyncGfxRing=1   -skip_iommu_check=1 -skip_consoleblank_check=1  -log  -pm_cgcg_wa=true</t>
  </si>
  <si>
    <t>TiledCopy must be removed from sdmaPackets</t>
  </si>
  <si>
    <t>Krackan1-OSS-060</t>
  </si>
  <si>
    <t>SDMA Stress Test - VDDGFX</t>
  </si>
  <si>
    <t>nsdma410.1</t>
  </si>
  <si>
    <t>bEnableIslandPowerGating=1 -tglReadRegisterByPacket=1 -tc_MapAsyncGfxQueuesWithKIQ=1 -tglEnableMCBP=1 -tglShadowContextRegisters -tglShadowPersistentRegisters -tglShadowUConfigRegisters -tc_DefaultCopyUtil=CpDma -gpu_copyengine=tcore -tc_GfxRingRegMode=1 -gfxoff -tc_KiqInMes=1 -tc_NoHP3D=1 -tc_ShadowSetupForProcess=0 -d=1 -skiptextbuffering -disable_libdce -oss_early_init -oss_sdmaengines=sdma0_queue0 -sdma_rb_control=doorbellandpoll -sdma_loops=250 -tc_EnableAsyncGfxRing=1   -skip_iommu_check=1 -skip_consoleblank_check=1  -log  -pm_cgcg_wa=true</t>
  </si>
  <si>
    <t>Needs bios  WMH2C28N_Weekly_22_12_2</t>
  </si>
  <si>
    <t>Krackan1-OSS-063</t>
  </si>
  <si>
    <t>SRBM Writes</t>
  </si>
  <si>
    <t>nsdma120.1-6</t>
  </si>
  <si>
    <t>Krackan1-OSS-064</t>
  </si>
  <si>
    <t>Support byte aligned Count in normal tiled copy</t>
  </si>
  <si>
    <t>nsdma2.6</t>
  </si>
  <si>
    <t>WK4</t>
  </si>
  <si>
    <t>Krackan1-OSS-065</t>
  </si>
  <si>
    <t>Support Native TMZ support</t>
  </si>
  <si>
    <t>nsdma152-nsdma159.1</t>
  </si>
  <si>
    <t>vm(delete nogc), tmzmode=tmz</t>
  </si>
  <si>
    <t>need special bios for tmz; data scramble should be closed.</t>
  </si>
  <si>
    <t>Krackan1-OSS-067</t>
  </si>
  <si>
    <t>Poll Register Write Memory</t>
  </si>
  <si>
    <t>nsdma16.3</t>
  </si>
  <si>
    <t>Krackan1-OSS-069</t>
  </si>
  <si>
    <t>Conditional Execution</t>
  </si>
  <si>
    <t>nsdma26.1,nsdma27.1</t>
  </si>
  <si>
    <t>Krackan1-OSS-070</t>
  </si>
  <si>
    <t>Predicated Execution</t>
  </si>
  <si>
    <t>nsdma182.1,nsdma183.1</t>
  </si>
  <si>
    <t>Krackan1-OSS-071</t>
  </si>
  <si>
    <t>Generate PTE/PDE</t>
  </si>
  <si>
    <t>nsdma30.1</t>
  </si>
  <si>
    <t>Krackan1-OSS-072</t>
  </si>
  <si>
    <t>Copy Mask PTE/PDE</t>
  </si>
  <si>
    <t>nsdma201.1</t>
  </si>
  <si>
    <t>Krackan1-OSS-073</t>
  </si>
  <si>
    <t>RMW PTE/PDE</t>
  </si>
  <si>
    <t>nsdma203.1</t>
  </si>
  <si>
    <t>Krackan1-OSS-074</t>
  </si>
  <si>
    <t>Timestamp Commands</t>
  </si>
  <si>
    <t>nsdma56.1,nsdms57.1</t>
  </si>
  <si>
    <t>Error Value Out of Range</t>
  </si>
  <si>
    <t>Krackan1-OSS-075</t>
  </si>
  <si>
    <t>Translation failure RESP MODE[4:0]</t>
  </si>
  <si>
    <t>nsdma126-nsdma134.1</t>
  </si>
  <si>
    <t>Krackan1-OSS-076</t>
  </si>
  <si>
    <t>VM_INVALIDATION</t>
  </si>
  <si>
    <t>nsdma220.1-18</t>
  </si>
  <si>
    <t>Krackan1-OSS-078</t>
  </si>
  <si>
    <t>Trap Command</t>
  </si>
  <si>
    <t>nsdma14.1,nsdma15.1</t>
  </si>
  <si>
    <t>Krackan1-OSS-079</t>
  </si>
  <si>
    <t>VDDGFX power down support</t>
  </si>
  <si>
    <t>nsdma228.1</t>
  </si>
  <si>
    <t>Krackan1-OSS-081</t>
  </si>
  <si>
    <t>Support 8 general purpose HW queue with programmable queue scheduling/priority</t>
  </si>
  <si>
    <t>nsdma213.1-4</t>
  </si>
  <si>
    <t>sdma_loops</t>
  </si>
  <si>
    <t>Krackan1-OSS-082</t>
  </si>
  <si>
    <t>Queue process detection and per-queue reset</t>
  </si>
  <si>
    <t>nsdma216.1-2</t>
  </si>
  <si>
    <t>sdma_loops (=16), oss_sdmaengines(all)</t>
  </si>
  <si>
    <t>Krackan1-OSS-086</t>
  </si>
  <si>
    <t>SDMA doorbell common range, daisy chain doorbell intf among SDMA controllers</t>
  </si>
  <si>
    <t>Krackan1-OSS-087</t>
  </si>
  <si>
    <t>non-recoverable page fault reporting</t>
  </si>
  <si>
    <t>nsdma126-128.1</t>
  </si>
  <si>
    <t>Krackan1-OSS-089</t>
  </si>
  <si>
    <t>Improved ucode exception/interrupt handling enhancement</t>
  </si>
  <si>
    <t>nsdma14.1</t>
  </si>
  <si>
    <t>Krackan1-OSS-091</t>
  </si>
  <si>
    <t xml:space="preserve">Enhanced RB preemption protocol </t>
  </si>
  <si>
    <t>Krackan1-OSS-095</t>
  </si>
  <si>
    <t xml:space="preserve">ucode loading enhacement </t>
  </si>
  <si>
    <t>nsdma801.1</t>
  </si>
  <si>
    <t>This is a utility to load SDMA ucode, so it must be executed before other sdma cases.In addition to this, you can set the halt position of sdma0_f32_cntl and lsdma_f32_cntl to 1,then you can reload ucode .</t>
  </si>
  <si>
    <t>Krackan1-OSS-096</t>
  </si>
  <si>
    <t>WPTR poll enhancement</t>
  </si>
  <si>
    <t>Krackan1-OSS-098</t>
  </si>
  <si>
    <t>Support mid-command boundary on quantum expire</t>
  </si>
  <si>
    <t>sdma_copysize(&gt;=100Mib)</t>
  </si>
  <si>
    <t>Krackan1-OSS-105</t>
  </si>
  <si>
    <t>Change SDMA's interrupt SourceID/RingID</t>
  </si>
  <si>
    <t>Krackan1-OSS-111</t>
  </si>
  <si>
    <t>Const_fill count size expands to 1GB</t>
  </si>
  <si>
    <t>Krackan1-OSS-113</t>
  </si>
  <si>
    <t>Linear Copy(LSDMA)</t>
  </si>
  <si>
    <t>Lite-SDMA</t>
  </si>
  <si>
    <t>nsdma1.101</t>
  </si>
  <si>
    <t>WK1</t>
  </si>
  <si>
    <t>Krackan1-OSS-114</t>
  </si>
  <si>
    <t>Linear Backwards Copy(LSDMA)</t>
  </si>
  <si>
    <t>nsdma5.101</t>
  </si>
  <si>
    <t>Krackan1-OSS-115</t>
  </si>
  <si>
    <t>Linear Copy Broadcast(LSDMA)</t>
  </si>
  <si>
    <t>nsdma4.101</t>
  </si>
  <si>
    <t>Krackan1-OSS-116</t>
  </si>
  <si>
    <t>Linear Sub-Window Copy(LSDMA)</t>
  </si>
  <si>
    <t>nsdma7.101-105</t>
  </si>
  <si>
    <t>Krackan1-OSS-117</t>
  </si>
  <si>
    <t>Linear large Sub-Window Copy(LSDMA)</t>
  </si>
  <si>
    <t>nsdma93.101</t>
  </si>
  <si>
    <t>Krackan1-OSS-119</t>
  </si>
  <si>
    <t>Tiled Copy(LSDMA)</t>
  </si>
  <si>
    <t>Krackan1-OSS-120</t>
  </si>
  <si>
    <t>Tiled to Tiled Sub-Window Copy(LSDMA)</t>
  </si>
  <si>
    <t>nsdma9.101-105</t>
  </si>
  <si>
    <t>Krackan1-OSS-121</t>
  </si>
  <si>
    <t>Tiled Sub-Window Copy(LSDMA)</t>
  </si>
  <si>
    <t>nsdma9.101</t>
  </si>
  <si>
    <t>Krackan1-OSS-122</t>
  </si>
  <si>
    <t>Linear to Linear Copy Command(LSDMA)</t>
  </si>
  <si>
    <t>nsdma10.101-105</t>
  </si>
  <si>
    <t>Krackan1-OSS-124</t>
  </si>
  <si>
    <t>Linear to Structured / Structured to Linear copy(LSDMA)</t>
  </si>
  <si>
    <t>nsdma13.101-102</t>
  </si>
  <si>
    <t>Krackan1-OSS-125</t>
  </si>
  <si>
    <t>Linear to Tiled (frame to field) copy(LSDMA)</t>
  </si>
  <si>
    <t>nsdma12.101-105</t>
  </si>
  <si>
    <t>Krackan1-OSS-126</t>
  </si>
  <si>
    <t>Linear to Tiled / Tiled to Linear Copy Command(LSDMA)</t>
  </si>
  <si>
    <t>nsdma2.101-105, nsdma3.101-105</t>
  </si>
  <si>
    <t>Krackan1-OSS-127</t>
  </si>
  <si>
    <t>Linear to Tiled / Tiled to Linear sub-window copy(LSDMA)</t>
  </si>
  <si>
    <t>nsdma10.101-110</t>
  </si>
  <si>
    <t>Krackan1-OSS-128</t>
  </si>
  <si>
    <t>Linear to Tiled copy broadcast(LSDMA)</t>
  </si>
  <si>
    <t>nsdma11.101-105</t>
  </si>
  <si>
    <t>Krackan1-OSS-129</t>
  </si>
  <si>
    <t>Mid Command Preemption(LSDMA)</t>
  </si>
  <si>
    <t>nsdma217.101</t>
  </si>
  <si>
    <t>Krackan1-OSS-130</t>
  </si>
  <si>
    <t>Mid Command Buffer Preemption(LSDMA)</t>
  </si>
  <si>
    <t>Krackan1-OSS-131</t>
  </si>
  <si>
    <t>RB Command Preemption(LSDMA)</t>
  </si>
  <si>
    <t>nsdma217.101-103</t>
  </si>
  <si>
    <t>sdma_copysize(4KiBx4KiB)</t>
  </si>
  <si>
    <t>Krackan1-OSS-133</t>
  </si>
  <si>
    <t>Structure Buffer Copy(LSDMA)</t>
  </si>
  <si>
    <t>Krackan1-OSS-134</t>
  </si>
  <si>
    <t>Constant Fill Command(LSDMA)</t>
  </si>
  <si>
    <t>nsdma58.101;nsma59.101</t>
  </si>
  <si>
    <t>Krackan1-OSS-135</t>
  </si>
  <si>
    <t>Indirect Buffer Command(LSDMA)</t>
  </si>
  <si>
    <t>nsdma17.101-106</t>
  </si>
  <si>
    <t>Krackan1-OSS-136</t>
  </si>
  <si>
    <t>Fence(LSDMA)</t>
  </si>
  <si>
    <t>nsdma175.101;nsdma176.101</t>
  </si>
  <si>
    <t>Krackan1-OSS-137</t>
  </si>
  <si>
    <t>Trap(LSDMA)</t>
  </si>
  <si>
    <t>nsdma14.101，nsdma15.101</t>
  </si>
  <si>
    <t>Krackan1-OSS-138</t>
  </si>
  <si>
    <t>Memory Increment(LSDMA)</t>
  </si>
  <si>
    <t>nsdma160.101</t>
  </si>
  <si>
    <t>Krackan1-OSS-139</t>
  </si>
  <si>
    <t>Poll Memory/Register(LSDMA)</t>
  </si>
  <si>
    <t>nsdma16.101-110</t>
  </si>
  <si>
    <t>Krackan1-OSS-140</t>
  </si>
  <si>
    <t>Poll Register Write Memory(LSDMA)</t>
  </si>
  <si>
    <t>nsdma16.103</t>
  </si>
  <si>
    <t>Krackan1-OSS-142</t>
  </si>
  <si>
    <t>Conditional Execution(LSDMA)</t>
  </si>
  <si>
    <t>nsdma26.101;nsdma27.101</t>
  </si>
  <si>
    <t>Krackan1-OSS-143</t>
  </si>
  <si>
    <t>Predicated Execution(LSDMA)</t>
  </si>
  <si>
    <t>nsdma182.101;nsdma183.101</t>
  </si>
  <si>
    <t>Krackan1-OSS-144</t>
  </si>
  <si>
    <t>Atomic Command(LSDMA)</t>
  </si>
  <si>
    <t>nsdma177.101;nsdma178.101;nsdma179.101</t>
  </si>
  <si>
    <t>Krackan1-OSS-145</t>
  </si>
  <si>
    <t>VM_INVALIDATION(LSDMA)</t>
  </si>
  <si>
    <t>nsdma220.21-37</t>
  </si>
  <si>
    <t>Krackan1-OSS-146</t>
  </si>
  <si>
    <t>SRBM Write(LSDMA)</t>
  </si>
  <si>
    <t>nsdma120.101-106</t>
  </si>
  <si>
    <t>Krackan1-OSS-147</t>
  </si>
  <si>
    <t>Burst NOP(LSDMA)</t>
  </si>
  <si>
    <t>nsdma223.101-102</t>
  </si>
  <si>
    <t>Krackan1-OSS-148</t>
  </si>
  <si>
    <t>Timestamp(LSDMA)</t>
  </si>
  <si>
    <t>nsdma56.101;nsdma57.101</t>
  </si>
  <si>
    <t>Krackan1-OSS-149</t>
  </si>
  <si>
    <t>Generate PTE/PDE(LSDMA)</t>
  </si>
  <si>
    <t>nsdma30.101</t>
  </si>
  <si>
    <t>Krackan1-OSS-150</t>
  </si>
  <si>
    <t>Copy Mask PTE/PDE(LSDMA)</t>
  </si>
  <si>
    <t>nsmda202.101;nsdma201.101</t>
  </si>
  <si>
    <t>Krackan1-OSS-151</t>
  </si>
  <si>
    <t>RMW PTE/PDE(LSDMA)</t>
  </si>
  <si>
    <t>nsmda203.101</t>
  </si>
  <si>
    <t>Krackan1-OSS-153</t>
  </si>
  <si>
    <t>TMZ Support(LSDMA)</t>
  </si>
  <si>
    <t>nsdma152-nsdma159</t>
  </si>
  <si>
    <t xml:space="preserve"> Legacy </t>
  </si>
  <si>
    <t>2WKs after PSP team eanble tmz lib</t>
  </si>
  <si>
    <t>Krackan1-OSS-154</t>
  </si>
  <si>
    <t xml:space="preserve">Host Access LSDMA scratch ram (LSDMA) </t>
  </si>
  <si>
    <t>nsdma81.101</t>
  </si>
  <si>
    <t>Krackan1-OSS-155</t>
  </si>
  <si>
    <t>AQL Support (LSDMA)</t>
  </si>
  <si>
    <t>nsdma214.101</t>
  </si>
  <si>
    <t>LSDMA_QUEUE0:WaitForIdle timeout! 
It can also cause other lsdma tests to report this error</t>
  </si>
  <si>
    <t>Krackan1-OSS-156</t>
  </si>
  <si>
    <t>(LSDMA) 2 HW Queue</t>
  </si>
  <si>
    <t>Krackan1-OSS-157</t>
  </si>
  <si>
    <t>(LSDMA) PIO Queue support</t>
  </si>
  <si>
    <t>nsdma212.1-2</t>
  </si>
  <si>
    <t>Krackan1-OSS-164</t>
  </si>
  <si>
    <t>Host read</t>
  </si>
  <si>
    <t>HDP</t>
  </si>
  <si>
    <t>hdp2.1-12</t>
  </si>
  <si>
    <t>Failed surface read flags check exp[00000002] read[00000001]</t>
  </si>
  <si>
    <t>Krackan1-OSS-165</t>
  </si>
  <si>
    <t>Host write</t>
  </si>
  <si>
    <t>hdp1.1-12</t>
  </si>
  <si>
    <t>Krackan1-OSS-166</t>
  </si>
  <si>
    <t>HDP RAW Coherency</t>
  </si>
  <si>
    <t>hdp12.1-4</t>
  </si>
  <si>
    <t>Krackan1-OSS-167</t>
  </si>
  <si>
    <t>HDP Cache Stress</t>
  </si>
  <si>
    <t>hdp11.1-4</t>
  </si>
  <si>
    <t>Krackan1-OSS-168</t>
  </si>
  <si>
    <t>Flush Invalidate Cache(HDP)</t>
  </si>
  <si>
    <t>hdp10.1-4</t>
  </si>
  <si>
    <t>Krackan1-OSS-177</t>
  </si>
  <si>
    <t>UTCL2 retry interrupt filter</t>
  </si>
  <si>
    <t>nsdma229.1-2</t>
  </si>
  <si>
    <t>Field [ENABLE] doesn't exist.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</si>
  <si>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</si>
  <si>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</si>
  <si>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</si>
  <si>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</si>
  <si>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IH</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</si>
  <si>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</si>
  <si>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</si>
  <si>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</si>
  <si>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</si>
  <si>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</si>
  <si>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</si>
  <si>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</si>
  <si>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</si>
  <si>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</si>
  <si>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</si>
  <si>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</si>
  <si>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Krackan1-OSS-001</t>
  </si>
  <si>
    <t>Access protection on registers in PSPDEC (security)</t>
  </si>
  <si>
    <t>P2</t>
  </si>
  <si>
    <t>Total # of Features</t>
  </si>
  <si>
    <t>Krackan1-OSS-002</t>
  </si>
  <si>
    <t>Add a new status register</t>
  </si>
  <si>
    <t>Total # of P1</t>
  </si>
  <si>
    <t>Total # of P2</t>
  </si>
  <si>
    <t>Total # of P3</t>
  </si>
  <si>
    <t>Total # of Diagnostics</t>
  </si>
  <si>
    <t>Total # of Driver</t>
  </si>
  <si>
    <t>Krackan1-OSS-007</t>
  </si>
  <si>
    <t>Clock Gated Status</t>
  </si>
  <si>
    <t>Total # of IPSE</t>
  </si>
  <si>
    <t>Total # of N/A</t>
  </si>
  <si>
    <t>Total # of Legacy</t>
  </si>
  <si>
    <t>Total # of Delta</t>
  </si>
  <si>
    <t>Total # of New</t>
  </si>
  <si>
    <t>Krackan1-OSS-015</t>
  </si>
  <si>
    <t>ECC Support</t>
  </si>
  <si>
    <t>Krackan1-OSS-018</t>
  </si>
  <si>
    <t>Force Invalidation Heavy</t>
  </si>
  <si>
    <t>Krackan1-OSS-019</t>
  </si>
  <si>
    <t>Force Invalidation(TLB)</t>
  </si>
  <si>
    <t>Krackan1-OSS-022</t>
  </si>
  <si>
    <t>High throughput invalidation support</t>
  </si>
  <si>
    <t>Krackan1-OSS-030</t>
  </si>
  <si>
    <t>Page Evicition Copy</t>
  </si>
  <si>
    <t>Krackan1-OSS-045</t>
  </si>
  <si>
    <t>Page Eviction Copy</t>
  </si>
  <si>
    <t>Krackan1-OSS-046</t>
  </si>
  <si>
    <t>PAGE_INT_ENABLE</t>
  </si>
  <si>
    <t>Krackan1-OSS-047</t>
  </si>
  <si>
    <t>Parallelize SDMA ucode loading</t>
  </si>
  <si>
    <t>Krackan1-OSS-054</t>
  </si>
  <si>
    <t>SDMA Freeze/Frozen</t>
  </si>
  <si>
    <t>Krackan1-OSS-057</t>
  </si>
  <si>
    <t xml:space="preserve">SDMA security </t>
  </si>
  <si>
    <t>Krackan1-OSS-059</t>
  </si>
  <si>
    <t>SDMA Stress Test - CGLS</t>
  </si>
  <si>
    <t>Krackan1-OSS-061</t>
  </si>
  <si>
    <t>SDMA_GRBM_reg repeater FGCG</t>
  </si>
  <si>
    <t>Krackan1-OSS-062</t>
  </si>
  <si>
    <t>Snoop GB_ADDR_CONFIG write</t>
  </si>
  <si>
    <t>Krackan1-OSS-066</t>
  </si>
  <si>
    <t xml:space="preserve">Support ucode postcode message to SMU </t>
  </si>
  <si>
    <t>Krackan1-OSS-068</t>
  </si>
  <si>
    <t>Poll Dbit Write Memory</t>
  </si>
  <si>
    <t>Krackan1-OSS-077</t>
  </si>
  <si>
    <t>Page Migration</t>
  </si>
  <si>
    <t>Krackan1-OSS-080</t>
  </si>
  <si>
    <t>Multi-thread F32 core</t>
  </si>
  <si>
    <t>Diagnostics/IPSE</t>
  </si>
  <si>
    <t>Krackan1-OSS-083</t>
  </si>
  <si>
    <t>Small copy size enhancement</t>
  </si>
  <si>
    <t>Krackan1-OSS-084</t>
  </si>
  <si>
    <t>standardize idle/busy reporting mechanism to RLC</t>
  </si>
  <si>
    <t>Krackan1-OSS-085</t>
  </si>
  <si>
    <t>PIO mode for CP offload DMA</t>
  </si>
  <si>
    <t>Krackan1-OSS-088</t>
  </si>
  <si>
    <t>UTCL1 enhancement and support</t>
  </si>
  <si>
    <t>Krackan1-OSS-090</t>
  </si>
  <si>
    <t>save/restore effeciency enhancement (change in RLC, no SDMA change)</t>
  </si>
  <si>
    <t>Krackan1-OSS-092</t>
  </si>
  <si>
    <t>SDMA reset enhancement</t>
  </si>
  <si>
    <t>Krackan1-OSS-093</t>
  </si>
  <si>
    <t>Unify CE, update to GFX11 addrlib</t>
  </si>
  <si>
    <t>Krackan1-OSS-094</t>
  </si>
  <si>
    <t>split GRBM master &amp; F32 read dma_reg (MMIO) path</t>
  </si>
  <si>
    <t>Krackan1-OSS-097</t>
  </si>
  <si>
    <t>Upgrade 4KB firewalls with range check, add RESTORE flag to the new firewall registers in rdl file for RLC to do save/restore.</t>
  </si>
  <si>
    <t>Krackan1-OSS-099</t>
  </si>
  <si>
    <t>Support quantum expire carryover</t>
  </si>
  <si>
    <t>Krackan1-OSS-100</t>
  </si>
  <si>
    <t>Report SRIOV reg violation using SDMA_RSMU_sec_intr interface and REG_TYPE enhancement</t>
  </si>
  <si>
    <t>Krackan1-OSS-101</t>
  </si>
  <si>
    <t>Simplify ucode idle checking logic to save power</t>
  </si>
  <si>
    <t>Krackan1-OSS-102</t>
  </si>
  <si>
    <t>F32 controls dma_register's clock</t>
  </si>
  <si>
    <t>Krackan1-OSS-103</t>
  </si>
  <si>
    <t>Support 3-5 cycle SRAM LS recover time</t>
  </si>
  <si>
    <t>Krackan1-OSS-104</t>
  </si>
  <si>
    <t>Wait for 256B reads/writes and send to CH back-to-back</t>
  </si>
  <si>
    <t>Krackan1-OSS-106</t>
  </si>
  <si>
    <t>Move SDMAx_F32_CNTL to HYPDEC space</t>
  </si>
  <si>
    <t>Krackan1-OSS-107</t>
  </si>
  <si>
    <t>Connect to gc_ih_gasket instead of rsmu_gc</t>
  </si>
  <si>
    <t>Krackan1-OSS-108</t>
  </si>
  <si>
    <t>Gate F32 clock when SDMA is idle.</t>
  </si>
  <si>
    <t>Krackan1-OSS-109</t>
  </si>
  <si>
    <t>RAS: support poison data propagation/consumption</t>
  </si>
  <si>
    <t>Krackan1-OSS-110</t>
  </si>
  <si>
    <t>SDMA can only send one outstanding IH interrupt</t>
  </si>
  <si>
    <t>Krackan1-OSS-112</t>
  </si>
  <si>
    <t>GFX DCS support</t>
  </si>
  <si>
    <t>Krackan1-OSS-118</t>
  </si>
  <si>
    <t>Tiled Copy</t>
  </si>
  <si>
    <t>Krackan1-OSS-123</t>
  </si>
  <si>
    <t>Krackan1-OSS-132</t>
  </si>
  <si>
    <t>Structure Buffer Copy</t>
  </si>
  <si>
    <t>Indirect Buffer Command</t>
  </si>
  <si>
    <t>Fence</t>
  </si>
  <si>
    <t>Trap</t>
  </si>
  <si>
    <t>Poll Memory/Register</t>
  </si>
  <si>
    <t>Krackan1-OSS-141</t>
  </si>
  <si>
    <t>SRBM Write</t>
  </si>
  <si>
    <t>Burst NOP</t>
  </si>
  <si>
    <t>Timestamp</t>
  </si>
  <si>
    <t>Krackan1-OSS-152</t>
  </si>
  <si>
    <t xml:space="preserve">Freeze(LSDMA) </t>
  </si>
  <si>
    <t>Krackan1-OSS-158</t>
  </si>
  <si>
    <t>Krackan1-OSS-159</t>
  </si>
  <si>
    <t>Change LSDMA's interrupt SourceID/RingID</t>
  </si>
  <si>
    <t>Krackan1-OSS-160</t>
  </si>
  <si>
    <t>Krackan1-OSS-161</t>
  </si>
  <si>
    <t>F32 clock MGCG</t>
  </si>
  <si>
    <t>IPSE/Diagnoistics</t>
  </si>
  <si>
    <t>Krackan1-OSS-162</t>
  </si>
  <si>
    <t>PGMEM (HDP)</t>
  </si>
  <si>
    <t>Krackan1-OSS-163</t>
  </si>
  <si>
    <t>Atomic Command (HDP)</t>
  </si>
  <si>
    <t>Krackan1-OSS-169</t>
  </si>
  <si>
    <t>HDP Performance</t>
  </si>
  <si>
    <t>Krackan1-OSS-170</t>
  </si>
  <si>
    <t>replace read cache w/ read buffer</t>
  </si>
  <si>
    <t>Krackan1-OSS-171</t>
  </si>
  <si>
    <t>Start the hysteresis counter from the last SRAM(in the daisy chain)’s rising edge of ROP, instead of falling edge of DS/SD. Use hysterisis counter instead of using ROP to cover SD/DS enter/exit time.</t>
  </si>
  <si>
    <t>Krackan1-OSS-172</t>
  </si>
  <si>
    <t>Krackan1-OSS-173</t>
  </si>
  <si>
    <t>Tie HDP-&gt;MMHUB memlog to 1</t>
  </si>
  <si>
    <t>Krackan1-OSS-174</t>
  </si>
  <si>
    <t>Change HDP_MISC_CNTL.{FED_ENABLE/ATOMIC_FED_ENABLE} default value to 0.</t>
  </si>
  <si>
    <t>Krackan1-OSS-175</t>
  </si>
  <si>
    <t xml:space="preserve">RAS: support poison propagation </t>
  </si>
  <si>
    <t>Krackan1-OSS-176</t>
  </si>
  <si>
    <t>OSSSYS Firewall</t>
  </si>
  <si>
    <t>Krackan1-OSS-178</t>
  </si>
  <si>
    <t>PGMEM (IH)</t>
  </si>
  <si>
    <t>Krackan1-OSS-179</t>
  </si>
  <si>
    <t>interrupt storm filtering</t>
  </si>
  <si>
    <t>Krackan1-OSS-180</t>
  </si>
  <si>
    <t>Start the hysteresis counter from the last SRAM(in the daisy chain)’s rising edge of ROP, instead of falling edge of DS/SD.</t>
  </si>
  <si>
    <t>Krackan1-OSS-181</t>
  </si>
  <si>
    <t>Remove ring2 to save area, since only 2 IH rings are enough. Test 2 IH rings</t>
  </si>
  <si>
    <t>Krackan1-OSS-182</t>
  </si>
  <si>
    <t>Krackan1-OSS-183</t>
  </si>
  <si>
    <t>Implement SEM_MAILBOX register inside IH</t>
  </si>
  <si>
    <t>Krackan1-OSS-184</t>
  </si>
  <si>
    <t>gc_ih_gasket support</t>
  </si>
  <si>
    <t>Krackan1-OSS-185</t>
  </si>
  <si>
    <t>MCD-&gt;GCD cross die interrupt support</t>
  </si>
  <si>
    <t>Krackan1-OSS-186</t>
  </si>
  <si>
    <t xml:space="preserve">LSDMA: Zstate support </t>
  </si>
  <si>
    <t>P1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</si>
  <si>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</si>
  <si>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</si>
  <si>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</si>
  <si>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</si>
  <si>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</si>
  <si>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WK2(2wks after mall enabled</t>
  </si>
  <si>
    <t>WK10(2Wks after PMM enable cgcg</t>
  </si>
  <si>
    <t>wk6</t>
  </si>
  <si>
    <t>Cannot cover</t>
  </si>
  <si>
    <t>{=SUMPRODUCT(--(ISNUMBER(SEARCH($A24,'Diags Raw Data'!$A$6:$A$3786))),--('Diags Raw Data'!$P$6:$P$3786&lt;&gt;"N/A"),'Diags Raw Data'!$S$6:$S$3786)+SUMPRODUCT(--(ISNUMBER(SEARCH($A24,'Diags Raw Data'!$A$6:$A$3786))),--('Diags Raw Data'!$P$6:$P$3786&lt;&gt;"N/A"),'Diags Raw Data'!$T$6:$T$3786)}</t>
  </si>
  <si>
    <t>WK6</t>
  </si>
  <si>
    <t>Wk5</t>
  </si>
  <si>
    <t>wk5</t>
  </si>
  <si>
    <t>WK7</t>
  </si>
  <si>
    <t>4Wks</t>
  </si>
  <si>
    <t>2 Wks after PMM enabled VDDGFX</t>
  </si>
  <si>
    <t>2 Wks after PMM enabled CGCG</t>
  </si>
  <si>
    <t>2Wks after PSP enabled PSP</t>
  </si>
  <si>
    <t>WK8</t>
  </si>
  <si>
    <t>Cannot cover explicitly, implicitly covered though.Utc-l1 is covered, but the enhancement part is not.</t>
  </si>
  <si>
    <t xml:space="preserve">Cannot verify from software </t>
  </si>
  <si>
    <t>too small granularity  to cover</t>
  </si>
  <si>
    <t>virtuallization#Not POR</t>
  </si>
  <si>
    <t>thermal related.can't cover power saving</t>
  </si>
  <si>
    <t>Cannot verify from software </t>
  </si>
  <si>
    <t>IPSE/FET doesn't want us to test</t>
  </si>
  <si>
    <t>YEs</t>
  </si>
  <si>
    <t>2Wks</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</si>
  <si>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</si>
  <si>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</si>
  <si>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</si>
  <si>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</si>
  <si>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</si>
  <si>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</si>
  <si>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</si>
  <si>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</si>
  <si>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</si>
  <si>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</si>
  <si>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</si>
  <si>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</si>
  <si>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</si>
  <si>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</si>
  <si>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</si>
  <si>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</si>
  <si>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</si>
  <si>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</si>
  <si>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</si>
  <si>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</si>
  <si>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</si>
  <si>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</si>
  <si>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</si>
  <si>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</si>
  <si>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</si>
  <si>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</si>
  <si>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</si>
  <si>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</si>
  <si>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</si>
  <si>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</si>
  <si>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</si>
  <si>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</si>
  <si>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</si>
  <si>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</si>
  <si>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</si>
  <si>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</si>
  <si>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</si>
  <si>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</si>
  <si>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</si>
  <si>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</si>
  <si>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</si>
  <si>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</si>
  <si>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</si>
  <si>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</si>
  <si>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</si>
  <si>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</si>
  <si>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</si>
  <si>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</si>
  <si>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</si>
  <si>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</si>
  <si>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</si>
  <si>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</si>
  <si>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</si>
  <si>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</si>
  <si>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</si>
  <si>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</si>
  <si>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</si>
  <si>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</si>
  <si>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</si>
  <si>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</si>
  <si>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</si>
  <si>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</si>
  <si>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</si>
  <si>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</si>
  <si>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</si>
  <si>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</si>
  <si>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</si>
  <si>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</si>
  <si>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</si>
  <si>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</si>
  <si>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</si>
  <si>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</si>
  <si>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</si>
  <si>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</si>
  <si>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</si>
  <si>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</si>
  <si>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</si>
  <si>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</si>
  <si>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</si>
  <si>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</si>
  <si>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</si>
  <si>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</si>
  <si>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</si>
  <si>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</si>
  <si>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</si>
  <si>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</si>
  <si>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</si>
  <si>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</si>
  <si>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</si>
  <si>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</si>
  <si>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</si>
  <si>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</si>
  <si>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</si>
  <si>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</si>
  <si>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</si>
  <si>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</si>
  <si>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</si>
  <si>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</si>
  <si>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</si>
  <si>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</si>
  <si>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</si>
  <si>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</si>
  <si>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</si>
  <si>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</si>
  <si>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</si>
  <si>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</si>
  <si>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</si>
  <si>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</si>
  <si>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Total new</t>
  </si>
  <si>
    <t>Total delta</t>
  </si>
  <si>
    <t>Pass new</t>
  </si>
  <si>
    <t>Pass delta</t>
  </si>
  <si>
    <t>Waive new</t>
  </si>
  <si>
    <t>Waive delta</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</si>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</sst>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b/>
      <sz val="10"/>
      <name val="Calibri"/>
      <family val="2"/>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CE4D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4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0" xfId="0" applyFont="1" applyFill="1" applyBorder="1" applyAlignment="1" applyProtection="1">
      <alignment vertical="center" wrapText="1"/>
      <protection locked="0"/>
    </xf>
    <xf numFmtId="0" fontId="18" fillId="54" borderId="10" xfId="0" applyFont="1" applyFill="1" applyBorder="1" applyAlignment="1" applyProtection="1">
      <alignment vertical="center"/>
      <protection locked="0"/>
    </xf>
    <xf numFmtId="0" fontId="18" fillId="54" borderId="10" xfId="0" applyFont="1" applyFill="1" applyBorder="1" applyAlignment="1" applyProtection="1">
      <alignment horizontal="center" vertical="center"/>
      <protection locked="0"/>
    </xf>
    <xf numFmtId="0" fontId="18" fillId="54" borderId="10" xfId="0" applyFont="1" applyFill="1" applyBorder="1" applyAlignment="1">
      <alignment horizontal="center" vertical="center"/>
    </xf>
    <xf numFmtId="43" fontId="18" fillId="54" borderId="57" xfId="44" applyFont="1" applyFill="1" applyBorder="1" applyAlignment="1" applyProtection="1">
      <alignment horizontal="center" vertical="center"/>
      <protection locked="0"/>
    </xf>
    <xf numFmtId="9" fontId="18" fillId="54" borderId="13" xfId="0" applyNumberFormat="1" applyFont="1" applyFill="1" applyBorder="1" applyAlignment="1" applyProtection="1">
      <alignment horizontal="center" vertical="center"/>
      <protection locked="0"/>
    </xf>
    <xf numFmtId="9" fontId="18" fillId="54" borderId="14" xfId="42" applyFont="1" applyFill="1" applyBorder="1" applyAlignment="1">
      <alignment horizontal="center" vertical="center"/>
    </xf>
    <xf numFmtId="1" fontId="18" fillId="54" borderId="10" xfId="0" applyNumberFormat="1" applyFont="1" applyFill="1" applyBorder="1" applyAlignment="1" applyProtection="1">
      <alignment horizontal="center" vertical="center"/>
      <protection locked="0"/>
    </xf>
    <xf numFmtId="1" fontId="18" fillId="54" borderId="57" xfId="0" applyNumberFormat="1" applyFont="1" applyFill="1" applyBorder="1" applyAlignment="1" applyProtection="1">
      <alignment vertical="center"/>
      <protection locked="0"/>
    </xf>
    <xf numFmtId="0" fontId="18" fillId="54" borderId="14" xfId="0" applyFont="1" applyFill="1" applyBorder="1" applyAlignment="1" applyProtection="1">
      <alignment vertical="center"/>
      <protection locked="0"/>
    </xf>
    <xf numFmtId="0" fontId="0" fillId="54" borderId="0" xfId="0" applyFill="1" applyAlignment="1" applyProtection="1">
      <alignment vertical="center"/>
      <protection locked="0"/>
    </xf>
    <xf numFmtId="0" fontId="18" fillId="55" borderId="10" xfId="0" applyFont="1" applyFill="1" applyBorder="1" applyAlignment="1" applyProtection="1">
      <alignment vertical="center" wrapText="1"/>
      <protection locked="0"/>
    </xf>
    <xf numFmtId="0" fontId="18" fillId="55" borderId="10" xfId="0" applyFont="1" applyFill="1" applyBorder="1" applyAlignment="1" applyProtection="1">
      <alignment vertical="center"/>
      <protection locked="0"/>
    </xf>
    <xf numFmtId="0" fontId="18" fillId="55" borderId="10" xfId="0" applyFont="1" applyFill="1" applyBorder="1" applyAlignment="1" applyProtection="1">
      <alignment horizontal="center" vertical="center"/>
      <protection locked="0"/>
    </xf>
    <xf numFmtId="1" fontId="18" fillId="55" borderId="10" xfId="0" applyNumberFormat="1" applyFont="1" applyFill="1" applyBorder="1" applyAlignment="1" applyProtection="1">
      <alignment horizontal="center" vertical="center"/>
      <protection locked="0"/>
    </xf>
    <xf numFmtId="1" fontId="18" fillId="55" borderId="57" xfId="0" applyNumberFormat="1" applyFont="1" applyFill="1" applyBorder="1" applyAlignment="1" applyProtection="1">
      <alignment vertical="center"/>
      <protection locked="0"/>
    </xf>
    <xf numFmtId="0" fontId="18" fillId="55" borderId="14" xfId="0" applyFont="1" applyFill="1" applyBorder="1" applyAlignment="1" applyProtection="1">
      <alignment vertical="center"/>
      <protection locked="0"/>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6" fillId="56" borderId="12" xfId="0" applyFont="1" applyFill="1" applyBorder="1" applyAlignment="1">
      <alignment horizontal="center" vertical="top" wrapText="1" readingOrder="1"/>
    </xf>
    <xf numFmtId="0" fontId="18" fillId="57" borderId="10" xfId="0" applyFont="1" applyFill="1" applyBorder="1" applyAlignment="1">
      <alignment horizontal="center" vertical="center" wrapText="1" readingOrder="1"/>
    </xf>
    <xf numFmtId="0" fontId="0" fillId="52" borderId="16" xfId="0" applyFill="1" applyBorder="1" applyAlignment="1" applyProtection="1">
      <alignment horizontal="left" vertical="center" wrapText="1"/>
      <protection locked="0"/>
    </xf>
    <xf numFmtId="0" fontId="18" fillId="52" borderId="10" xfId="0" applyFont="1" applyFill="1" applyBorder="1" applyAlignment="1" applyProtection="1">
      <alignment horizontal="left" vertical="center" wrapText="1"/>
      <protection locked="0"/>
    </xf>
    <xf numFmtId="0" fontId="18" fillId="54" borderId="10" xfId="0" applyFont="1" applyFill="1" applyBorder="1" applyAlignment="1" applyProtection="1">
      <alignment horizontal="left" vertical="center" wrapText="1"/>
      <protection locked="0"/>
    </xf>
    <xf numFmtId="0" fontId="0" fillId="52" borderId="16" xfId="0" applyFill="1" applyBorder="1" applyAlignment="1" applyProtection="1">
      <alignment wrapText="1"/>
      <protection locked="0"/>
    </xf>
    <xf numFmtId="1" fontId="18" fillId="58" borderId="16" xfId="0" applyNumberFormat="1" applyFont="1" applyFill="1" applyBorder="1" applyAlignment="1">
      <alignment horizontal="center" vertical="center"/>
    </xf>
    <xf numFmtId="0" fontId="18" fillId="54" borderId="10" xfId="0" applyFont="1" applyFill="1" applyBorder="1" applyAlignment="1" applyProtection="1">
      <alignment horizontal="center" vertical="center" wrapText="1"/>
      <protection locked="0"/>
    </xf>
    <xf numFmtId="1" fontId="18" fillId="52" borderId="57" xfId="0" applyNumberFormat="1" applyFont="1" applyFill="1" applyBorder="1" applyAlignment="1" applyProtection="1">
      <alignmen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79"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7" xfId="11" applyFont="1" applyFill="1" applyBorder="1" applyAlignment="1" applyProtection="1">
      <alignment horizontal="center" vertical="center"/>
      <protection locked="0"/>
    </xf>
    <xf numFmtId="0" fontId="37" fillId="40" borderId="62" xfId="11" applyFont="1" applyFill="1" applyBorder="1" applyAlignment="1" applyProtection="1">
      <alignment horizontal="center" vertical="center"/>
      <protection locked="0"/>
    </xf>
    <xf numFmtId="0" fontId="37" fillId="40" borderId="6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0" borderId="0" xfId="0" applyBorder="1" applyAlignment="1" applyProtection="1">
      <alignment vertical="center" wrapText="1"/>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7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B7" sqref="B7:D7"/>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48</v>
      </c>
      <c r="B1" s="607" t="s">
        <v>49</v>
      </c>
      <c r="C1" s="608"/>
      <c r="D1" s="608"/>
      <c r="E1" s="167" t="s">
        <v>50</v>
      </c>
      <c r="F1" s="167" t="s">
        <v>51</v>
      </c>
      <c r="G1" s="110" t="s">
        <v>52</v>
      </c>
    </row>
    <row r="2" spans="1:7">
      <c r="A2" s="116" t="s">
        <v>53</v>
      </c>
      <c r="B2" s="609" t="s">
        <v>54</v>
      </c>
      <c r="C2" s="610"/>
      <c r="D2" s="610"/>
      <c r="E2" s="293" t="s">
        <v>55</v>
      </c>
      <c r="F2" s="293" t="s">
        <v>56</v>
      </c>
      <c r="G2" s="325" t="s">
        <v>57</v>
      </c>
    </row>
    <row r="3" spans="1:7" s="81" customFormat="1">
      <c r="A3" s="201" t="s">
        <v>58</v>
      </c>
      <c r="B3" s="616" t="s">
        <v>59</v>
      </c>
      <c r="C3" s="617"/>
      <c r="D3" s="618"/>
      <c r="E3" s="80" t="s">
        <v>55</v>
      </c>
      <c r="F3" s="80" t="s">
        <v>56</v>
      </c>
      <c r="G3" s="326" t="s">
        <v>57</v>
      </c>
    </row>
    <row r="4" spans="1:7">
      <c r="A4" s="201" t="s">
        <v>60</v>
      </c>
      <c r="B4" s="613" t="s">
        <v>61</v>
      </c>
      <c r="C4" s="614"/>
      <c r="D4" s="615"/>
      <c r="E4" s="80" t="s">
        <v>62</v>
      </c>
      <c r="F4" s="80" t="s">
        <v>56</v>
      </c>
      <c r="G4" s="326" t="s">
        <v>57</v>
      </c>
    </row>
    <row r="5" spans="1:7">
      <c r="A5" s="117" t="s">
        <v>63</v>
      </c>
      <c r="B5" s="613" t="s">
        <v>64</v>
      </c>
      <c r="C5" s="614"/>
      <c r="D5" s="615"/>
      <c r="E5" s="80" t="s">
        <v>62</v>
      </c>
      <c r="F5" s="80" t="s">
        <v>56</v>
      </c>
      <c r="G5" s="326" t="s">
        <v>57</v>
      </c>
    </row>
    <row r="6" spans="1:7">
      <c r="A6" s="117" t="s">
        <v>65</v>
      </c>
      <c r="B6" s="613" t="s">
        <v>66</v>
      </c>
      <c r="C6" s="614"/>
      <c r="D6" s="615"/>
      <c r="E6" s="80" t="s">
        <v>67</v>
      </c>
      <c r="F6" s="80" t="s">
        <v>56</v>
      </c>
      <c r="G6" s="85"/>
    </row>
    <row r="7" spans="1:7" ht="15" thickBot="1">
      <c r="A7" s="118" t="s">
        <v>68</v>
      </c>
      <c r="B7" s="611" t="s">
        <v>69</v>
      </c>
      <c r="C7" s="612"/>
      <c r="D7" s="612"/>
      <c r="E7" s="86" t="s">
        <v>67</v>
      </c>
      <c r="F7" s="86"/>
      <c r="G7" s="87"/>
    </row>
    <row r="8" spans="1:7" s="84" customFormat="1" ht="15" thickBot="1">
      <c r="A8" s="115" t="s">
        <v>48</v>
      </c>
      <c r="B8" s="433" t="s">
        <v>1</v>
      </c>
      <c r="C8" s="167" t="s">
        <v>70</v>
      </c>
      <c r="D8" s="167" t="s">
        <v>49</v>
      </c>
      <c r="E8" s="167" t="s">
        <v>50</v>
      </c>
      <c r="F8" s="167" t="s">
        <v>51</v>
      </c>
      <c r="G8" s="110" t="s">
        <v>52</v>
      </c>
    </row>
    <row r="9" spans="1:7" ht="101.45">
      <c r="A9" s="584" t="s">
        <v>53</v>
      </c>
      <c r="B9" s="581" t="s">
        <v>71</v>
      </c>
      <c r="C9" s="332" t="s">
        <v>72</v>
      </c>
      <c r="D9" s="94" t="s">
        <v>73</v>
      </c>
      <c r="E9" s="94" t="s">
        <v>55</v>
      </c>
      <c r="F9" s="94" t="s">
        <v>74</v>
      </c>
      <c r="G9" s="434" t="s">
        <v>75</v>
      </c>
    </row>
    <row r="10" spans="1:7" ht="57.95">
      <c r="A10" s="585"/>
      <c r="B10" s="582"/>
      <c r="C10" s="328" t="s">
        <v>76</v>
      </c>
      <c r="D10" s="82" t="s">
        <v>77</v>
      </c>
      <c r="E10" s="82" t="s">
        <v>55</v>
      </c>
      <c r="F10" s="82" t="s">
        <v>74</v>
      </c>
      <c r="G10" s="320" t="s">
        <v>78</v>
      </c>
    </row>
    <row r="11" spans="1:7" ht="43.5">
      <c r="A11" s="585"/>
      <c r="B11" s="582"/>
      <c r="C11" s="328" t="s">
        <v>79</v>
      </c>
      <c r="D11" s="82" t="s">
        <v>80</v>
      </c>
      <c r="E11" s="82" t="s">
        <v>81</v>
      </c>
      <c r="F11" s="82" t="s">
        <v>74</v>
      </c>
      <c r="G11" s="95" t="s">
        <v>82</v>
      </c>
    </row>
    <row r="12" spans="1:7" ht="116.1">
      <c r="A12" s="585"/>
      <c r="B12" s="582"/>
      <c r="C12" s="328" t="s">
        <v>83</v>
      </c>
      <c r="D12" s="347" t="s">
        <v>84</v>
      </c>
      <c r="E12" s="82" t="s">
        <v>81</v>
      </c>
      <c r="F12" s="82" t="s">
        <v>74</v>
      </c>
      <c r="G12" s="320" t="s">
        <v>85</v>
      </c>
    </row>
    <row r="13" spans="1:7" ht="29.1">
      <c r="A13" s="585"/>
      <c r="B13" s="582"/>
      <c r="C13" s="328" t="s">
        <v>86</v>
      </c>
      <c r="D13" s="82" t="s">
        <v>87</v>
      </c>
      <c r="E13" s="82" t="s">
        <v>81</v>
      </c>
      <c r="F13" s="82" t="s">
        <v>74</v>
      </c>
      <c r="G13" s="95" t="s">
        <v>88</v>
      </c>
    </row>
    <row r="14" spans="1:7" ht="29.1">
      <c r="A14" s="585"/>
      <c r="B14" s="582"/>
      <c r="C14" s="328" t="s">
        <v>89</v>
      </c>
      <c r="D14" s="82" t="s">
        <v>90</v>
      </c>
      <c r="E14" s="82" t="s">
        <v>81</v>
      </c>
      <c r="F14" s="82" t="s">
        <v>74</v>
      </c>
      <c r="G14" s="95" t="s">
        <v>88</v>
      </c>
    </row>
    <row r="15" spans="1:7">
      <c r="A15" s="585"/>
      <c r="B15" s="582"/>
      <c r="C15" s="121" t="s">
        <v>91</v>
      </c>
      <c r="D15" s="82" t="s">
        <v>92</v>
      </c>
      <c r="E15" s="82" t="s">
        <v>55</v>
      </c>
      <c r="F15" s="82" t="s">
        <v>74</v>
      </c>
      <c r="G15" s="95" t="s">
        <v>93</v>
      </c>
    </row>
    <row r="16" spans="1:7" ht="57.95">
      <c r="A16" s="585"/>
      <c r="B16" s="582"/>
      <c r="C16" s="328" t="s">
        <v>94</v>
      </c>
      <c r="D16" s="347" t="s">
        <v>95</v>
      </c>
      <c r="E16" s="82" t="s">
        <v>81</v>
      </c>
      <c r="F16" s="82" t="s">
        <v>74</v>
      </c>
      <c r="G16" s="320" t="s">
        <v>96</v>
      </c>
    </row>
    <row r="17" spans="1:7" ht="29.1">
      <c r="A17" s="585"/>
      <c r="B17" s="582"/>
      <c r="C17" s="328" t="s">
        <v>97</v>
      </c>
      <c r="D17" s="82" t="s">
        <v>98</v>
      </c>
      <c r="E17" s="82" t="s">
        <v>81</v>
      </c>
      <c r="F17" s="82" t="s">
        <v>74</v>
      </c>
      <c r="G17" s="95" t="s">
        <v>99</v>
      </c>
    </row>
    <row r="18" spans="1:7" ht="43.5">
      <c r="A18" s="585"/>
      <c r="B18" s="582"/>
      <c r="C18" s="328" t="s">
        <v>100</v>
      </c>
      <c r="D18" s="82" t="s">
        <v>101</v>
      </c>
      <c r="E18" s="82" t="s">
        <v>81</v>
      </c>
      <c r="F18" s="82" t="s">
        <v>74</v>
      </c>
      <c r="G18" s="95" t="s">
        <v>102</v>
      </c>
    </row>
    <row r="19" spans="1:7">
      <c r="A19" s="585"/>
      <c r="B19" s="582"/>
      <c r="C19" s="328" t="s">
        <v>103</v>
      </c>
      <c r="D19" s="82" t="s">
        <v>104</v>
      </c>
      <c r="E19" s="82" t="s">
        <v>81</v>
      </c>
      <c r="F19" s="82" t="s">
        <v>74</v>
      </c>
      <c r="G19" s="95" t="s">
        <v>105</v>
      </c>
    </row>
    <row r="20" spans="1:7" ht="102" thickBot="1">
      <c r="A20" s="585"/>
      <c r="B20" s="583"/>
      <c r="C20" s="435" t="s">
        <v>1</v>
      </c>
      <c r="D20" s="549" t="s">
        <v>106</v>
      </c>
      <c r="E20" s="391" t="s">
        <v>81</v>
      </c>
      <c r="F20" s="391" t="s">
        <v>74</v>
      </c>
      <c r="G20" s="436" t="s">
        <v>107</v>
      </c>
    </row>
    <row r="21" spans="1:7" ht="43.5">
      <c r="A21" s="585"/>
      <c r="B21" s="598" t="s">
        <v>108</v>
      </c>
      <c r="C21" s="329" t="s">
        <v>109</v>
      </c>
      <c r="D21" s="105" t="s">
        <v>110</v>
      </c>
      <c r="E21" s="105" t="s">
        <v>81</v>
      </c>
      <c r="F21" s="105" t="s">
        <v>111</v>
      </c>
      <c r="G21" s="168" t="s">
        <v>112</v>
      </c>
    </row>
    <row r="22" spans="1:7" ht="29.1">
      <c r="A22" s="585"/>
      <c r="B22" s="599"/>
      <c r="C22" s="330" t="s">
        <v>113</v>
      </c>
      <c r="D22" s="440" t="s">
        <v>114</v>
      </c>
      <c r="E22" s="440" t="s">
        <v>81</v>
      </c>
      <c r="F22" s="440" t="s">
        <v>111</v>
      </c>
      <c r="G22" s="441" t="s">
        <v>115</v>
      </c>
    </row>
    <row r="23" spans="1:7" ht="15" thickBot="1">
      <c r="A23" s="585"/>
      <c r="B23" s="600"/>
      <c r="C23" s="442" t="s">
        <v>116</v>
      </c>
      <c r="D23" s="107" t="s">
        <v>117</v>
      </c>
      <c r="E23" s="107" t="s">
        <v>81</v>
      </c>
      <c r="F23" s="107" t="s">
        <v>111</v>
      </c>
      <c r="G23" s="108" t="s">
        <v>118</v>
      </c>
    </row>
    <row r="24" spans="1:7" ht="30" customHeight="1">
      <c r="A24" s="585"/>
      <c r="B24" s="601" t="s">
        <v>119</v>
      </c>
      <c r="C24" s="437" t="s">
        <v>120</v>
      </c>
      <c r="D24" s="438" t="s">
        <v>121</v>
      </c>
      <c r="E24" s="438" t="s">
        <v>81</v>
      </c>
      <c r="F24" s="438" t="s">
        <v>74</v>
      </c>
      <c r="G24" s="439" t="s">
        <v>122</v>
      </c>
    </row>
    <row r="25" spans="1:7" ht="30" customHeight="1">
      <c r="A25" s="585"/>
      <c r="B25" s="602"/>
      <c r="C25" s="330" t="s">
        <v>123</v>
      </c>
      <c r="D25" s="109" t="s">
        <v>124</v>
      </c>
      <c r="E25" s="109" t="s">
        <v>81</v>
      </c>
      <c r="F25" s="109" t="s">
        <v>125</v>
      </c>
      <c r="G25" s="619" t="s">
        <v>126</v>
      </c>
    </row>
    <row r="26" spans="1:7" ht="29.1">
      <c r="A26" s="585"/>
      <c r="B26" s="602"/>
      <c r="C26" s="274" t="s">
        <v>127</v>
      </c>
      <c r="D26" s="109" t="s">
        <v>128</v>
      </c>
      <c r="E26" s="109" t="s">
        <v>81</v>
      </c>
      <c r="F26" s="109" t="s">
        <v>125</v>
      </c>
      <c r="G26" s="620"/>
    </row>
    <row r="27" spans="1:7">
      <c r="A27" s="585"/>
      <c r="B27" s="602"/>
      <c r="C27" s="330" t="s">
        <v>30</v>
      </c>
      <c r="D27" s="109" t="s">
        <v>129</v>
      </c>
      <c r="E27" s="109" t="s">
        <v>81</v>
      </c>
      <c r="F27" s="109" t="s">
        <v>125</v>
      </c>
      <c r="G27" s="620"/>
    </row>
    <row r="28" spans="1:7">
      <c r="A28" s="585"/>
      <c r="B28" s="602"/>
      <c r="C28" s="330" t="s">
        <v>130</v>
      </c>
      <c r="D28" s="109" t="s">
        <v>131</v>
      </c>
      <c r="E28" s="109" t="s">
        <v>81</v>
      </c>
      <c r="F28" s="109" t="s">
        <v>125</v>
      </c>
      <c r="G28" s="620"/>
    </row>
    <row r="29" spans="1:7">
      <c r="A29" s="585"/>
      <c r="B29" s="602"/>
      <c r="C29" s="330" t="s">
        <v>35</v>
      </c>
      <c r="D29" s="109" t="s">
        <v>132</v>
      </c>
      <c r="E29" s="109" t="s">
        <v>81</v>
      </c>
      <c r="F29" s="109" t="s">
        <v>125</v>
      </c>
      <c r="G29" s="620"/>
    </row>
    <row r="30" spans="1:7">
      <c r="A30" s="585"/>
      <c r="B30" s="602"/>
      <c r="C30" s="330" t="s">
        <v>133</v>
      </c>
      <c r="D30" s="109" t="s">
        <v>134</v>
      </c>
      <c r="E30" s="109" t="s">
        <v>81</v>
      </c>
      <c r="F30" s="109" t="s">
        <v>125</v>
      </c>
      <c r="G30" s="620"/>
    </row>
    <row r="31" spans="1:7">
      <c r="A31" s="585"/>
      <c r="B31" s="602"/>
      <c r="C31" s="274" t="s">
        <v>135</v>
      </c>
      <c r="D31" s="109" t="s">
        <v>136</v>
      </c>
      <c r="E31" s="109" t="s">
        <v>81</v>
      </c>
      <c r="F31" s="109" t="s">
        <v>125</v>
      </c>
      <c r="G31" s="620"/>
    </row>
    <row r="32" spans="1:7" ht="29.45" thickBot="1">
      <c r="A32" s="585"/>
      <c r="B32" s="603"/>
      <c r="C32" s="331" t="s">
        <v>137</v>
      </c>
      <c r="D32" s="104" t="s">
        <v>138</v>
      </c>
      <c r="E32" s="104" t="s">
        <v>81</v>
      </c>
      <c r="F32" s="104" t="s">
        <v>125</v>
      </c>
      <c r="G32" s="621"/>
    </row>
    <row r="33" spans="1:7" ht="29.1">
      <c r="A33" s="585"/>
      <c r="B33" s="604" t="s">
        <v>139</v>
      </c>
      <c r="C33" s="309" t="s">
        <v>127</v>
      </c>
      <c r="D33" s="272" t="s">
        <v>140</v>
      </c>
      <c r="E33" s="272" t="s">
        <v>81</v>
      </c>
      <c r="F33" s="272" t="s">
        <v>141</v>
      </c>
      <c r="G33" s="273" t="s">
        <v>142</v>
      </c>
    </row>
    <row r="34" spans="1:7">
      <c r="A34" s="585"/>
      <c r="B34" s="605"/>
      <c r="C34" s="328" t="s">
        <v>30</v>
      </c>
      <c r="D34" s="83" t="s">
        <v>143</v>
      </c>
      <c r="E34" s="83" t="s">
        <v>81</v>
      </c>
      <c r="F34" s="83" t="s">
        <v>141</v>
      </c>
      <c r="G34" s="99"/>
    </row>
    <row r="35" spans="1:7">
      <c r="A35" s="585"/>
      <c r="B35" s="605"/>
      <c r="C35" s="328" t="s">
        <v>130</v>
      </c>
      <c r="D35" s="83" t="s">
        <v>144</v>
      </c>
      <c r="E35" s="83" t="s">
        <v>81</v>
      </c>
      <c r="F35" s="83" t="s">
        <v>141</v>
      </c>
      <c r="G35" s="99" t="s">
        <v>145</v>
      </c>
    </row>
    <row r="36" spans="1:7">
      <c r="A36" s="585"/>
      <c r="B36" s="605"/>
      <c r="C36" s="328" t="s">
        <v>35</v>
      </c>
      <c r="D36" s="83" t="s">
        <v>146</v>
      </c>
      <c r="E36" s="83" t="s">
        <v>81</v>
      </c>
      <c r="F36" s="83" t="s">
        <v>141</v>
      </c>
      <c r="G36" s="113"/>
    </row>
    <row r="37" spans="1:7">
      <c r="A37" s="585"/>
      <c r="B37" s="605"/>
      <c r="C37" s="328" t="s">
        <v>133</v>
      </c>
      <c r="D37" s="83" t="s">
        <v>147</v>
      </c>
      <c r="E37" s="83" t="s">
        <v>81</v>
      </c>
      <c r="F37" s="83" t="s">
        <v>141</v>
      </c>
      <c r="G37" s="99" t="s">
        <v>148</v>
      </c>
    </row>
    <row r="38" spans="1:7">
      <c r="A38" s="585"/>
      <c r="B38" s="605"/>
      <c r="C38" s="275" t="s">
        <v>135</v>
      </c>
      <c r="D38" s="83" t="s">
        <v>149</v>
      </c>
      <c r="E38" s="83" t="s">
        <v>81</v>
      </c>
      <c r="F38" s="83" t="s">
        <v>141</v>
      </c>
      <c r="G38" s="99"/>
    </row>
    <row r="39" spans="1:7" ht="29.1">
      <c r="A39" s="585"/>
      <c r="B39" s="605"/>
      <c r="C39" s="330" t="s">
        <v>150</v>
      </c>
      <c r="D39" s="83" t="s">
        <v>151</v>
      </c>
      <c r="E39" s="83" t="s">
        <v>81</v>
      </c>
      <c r="F39" s="83" t="s">
        <v>141</v>
      </c>
      <c r="G39" s="99"/>
    </row>
    <row r="40" spans="1:7" ht="29.1">
      <c r="A40" s="585"/>
      <c r="B40" s="605"/>
      <c r="C40" s="275" t="s">
        <v>152</v>
      </c>
      <c r="D40" s="83" t="s">
        <v>153</v>
      </c>
      <c r="E40" s="83" t="s">
        <v>55</v>
      </c>
      <c r="F40" s="83" t="s">
        <v>141</v>
      </c>
      <c r="G40" s="99" t="s">
        <v>154</v>
      </c>
    </row>
    <row r="41" spans="1:7" ht="29.45" thickBot="1">
      <c r="A41" s="585"/>
      <c r="B41" s="606"/>
      <c r="C41" s="327" t="s">
        <v>155</v>
      </c>
      <c r="D41" s="100" t="s">
        <v>156</v>
      </c>
      <c r="E41" s="100" t="s">
        <v>81</v>
      </c>
      <c r="F41" s="100" t="s">
        <v>141</v>
      </c>
      <c r="G41" s="101" t="s">
        <v>157</v>
      </c>
    </row>
    <row r="42" spans="1:7" ht="131.1" thickBot="1">
      <c r="A42" s="584" t="s">
        <v>58</v>
      </c>
      <c r="B42" s="443" t="s">
        <v>158</v>
      </c>
      <c r="C42" s="332" t="s">
        <v>83</v>
      </c>
      <c r="D42" s="444" t="s">
        <v>159</v>
      </c>
      <c r="E42" s="444" t="s">
        <v>81</v>
      </c>
      <c r="F42" s="444" t="s">
        <v>74</v>
      </c>
      <c r="G42" s="445" t="s">
        <v>160</v>
      </c>
    </row>
    <row r="43" spans="1:7" ht="15" customHeight="1">
      <c r="A43" s="585"/>
      <c r="B43" s="589" t="s">
        <v>161</v>
      </c>
      <c r="C43" s="306" t="s">
        <v>162</v>
      </c>
      <c r="D43" s="294" t="s">
        <v>163</v>
      </c>
      <c r="E43" s="294" t="s">
        <v>62</v>
      </c>
      <c r="F43" s="294" t="s">
        <v>74</v>
      </c>
      <c r="G43" s="277" t="s">
        <v>164</v>
      </c>
    </row>
    <row r="44" spans="1:7" ht="29.1">
      <c r="A44" s="585"/>
      <c r="B44" s="590"/>
      <c r="C44" s="307" t="s">
        <v>123</v>
      </c>
      <c r="D44" s="295" t="s">
        <v>165</v>
      </c>
      <c r="E44" s="295" t="s">
        <v>62</v>
      </c>
      <c r="F44" s="295" t="s">
        <v>74</v>
      </c>
      <c r="G44" s="278" t="s">
        <v>164</v>
      </c>
    </row>
    <row r="45" spans="1:7" ht="29.1">
      <c r="A45" s="585"/>
      <c r="B45" s="590"/>
      <c r="C45" s="307" t="s">
        <v>100</v>
      </c>
      <c r="D45" s="295" t="s">
        <v>166</v>
      </c>
      <c r="E45" s="295" t="s">
        <v>62</v>
      </c>
      <c r="F45" s="295" t="s">
        <v>74</v>
      </c>
      <c r="G45" s="278" t="s">
        <v>167</v>
      </c>
    </row>
    <row r="46" spans="1:7">
      <c r="A46" s="585"/>
      <c r="B46" s="590"/>
      <c r="C46" s="307" t="s">
        <v>168</v>
      </c>
      <c r="D46" s="295" t="s">
        <v>169</v>
      </c>
      <c r="E46" s="295" t="s">
        <v>62</v>
      </c>
      <c r="F46" s="295" t="s">
        <v>74</v>
      </c>
      <c r="G46" s="278" t="s">
        <v>164</v>
      </c>
    </row>
    <row r="47" spans="1:7" ht="15" thickBot="1">
      <c r="A47" s="585"/>
      <c r="B47" s="591"/>
      <c r="C47" s="308" t="s">
        <v>170</v>
      </c>
      <c r="D47" s="296" t="s">
        <v>171</v>
      </c>
      <c r="E47" s="295" t="s">
        <v>62</v>
      </c>
      <c r="F47" s="296" t="s">
        <v>74</v>
      </c>
      <c r="G47" s="279" t="s">
        <v>164</v>
      </c>
    </row>
    <row r="48" spans="1:7" ht="29.1">
      <c r="A48" s="585"/>
      <c r="B48" s="592" t="s">
        <v>172</v>
      </c>
      <c r="C48" s="303" t="s">
        <v>127</v>
      </c>
      <c r="D48" s="297" t="s">
        <v>173</v>
      </c>
      <c r="E48" s="297" t="s">
        <v>62</v>
      </c>
      <c r="F48" s="297" t="s">
        <v>125</v>
      </c>
      <c r="G48" s="622" t="s">
        <v>174</v>
      </c>
    </row>
    <row r="49" spans="1:7" ht="29.1">
      <c r="A49" s="585"/>
      <c r="B49" s="592"/>
      <c r="C49" s="304" t="s">
        <v>30</v>
      </c>
      <c r="D49" s="280" t="s">
        <v>175</v>
      </c>
      <c r="E49" s="280" t="s">
        <v>62</v>
      </c>
      <c r="F49" s="280" t="s">
        <v>125</v>
      </c>
      <c r="G49" s="623"/>
    </row>
    <row r="50" spans="1:7" ht="29.1">
      <c r="A50" s="585"/>
      <c r="B50" s="592"/>
      <c r="C50" s="304" t="s">
        <v>130</v>
      </c>
      <c r="D50" s="280" t="s">
        <v>176</v>
      </c>
      <c r="E50" s="280" t="s">
        <v>62</v>
      </c>
      <c r="F50" s="280" t="s">
        <v>125</v>
      </c>
      <c r="G50" s="623"/>
    </row>
    <row r="51" spans="1:7">
      <c r="A51" s="585"/>
      <c r="B51" s="592"/>
      <c r="C51" s="304" t="s">
        <v>35</v>
      </c>
      <c r="D51" s="280" t="s">
        <v>177</v>
      </c>
      <c r="E51" s="280" t="s">
        <v>62</v>
      </c>
      <c r="F51" s="280" t="s">
        <v>125</v>
      </c>
      <c r="G51" s="623"/>
    </row>
    <row r="52" spans="1:7">
      <c r="A52" s="585"/>
      <c r="B52" s="592"/>
      <c r="C52" s="304" t="s">
        <v>133</v>
      </c>
      <c r="D52" s="280" t="s">
        <v>178</v>
      </c>
      <c r="E52" s="280" t="s">
        <v>62</v>
      </c>
      <c r="F52" s="280" t="s">
        <v>125</v>
      </c>
      <c r="G52" s="623"/>
    </row>
    <row r="53" spans="1:7">
      <c r="A53" s="585"/>
      <c r="B53" s="592"/>
      <c r="C53" s="304" t="s">
        <v>179</v>
      </c>
      <c r="D53" s="280" t="s">
        <v>180</v>
      </c>
      <c r="E53" s="280" t="s">
        <v>62</v>
      </c>
      <c r="F53" s="280" t="s">
        <v>125</v>
      </c>
      <c r="G53" s="623"/>
    </row>
    <row r="54" spans="1:7">
      <c r="A54" s="585"/>
      <c r="B54" s="592"/>
      <c r="C54" s="304" t="s">
        <v>135</v>
      </c>
      <c r="D54" s="280" t="s">
        <v>181</v>
      </c>
      <c r="E54" s="280" t="s">
        <v>62</v>
      </c>
      <c r="F54" s="280" t="s">
        <v>125</v>
      </c>
      <c r="G54" s="623"/>
    </row>
    <row r="55" spans="1:7" ht="29.45" thickBot="1">
      <c r="A55" s="585"/>
      <c r="B55" s="593"/>
      <c r="C55" s="305" t="s">
        <v>182</v>
      </c>
      <c r="D55" s="298" t="s">
        <v>183</v>
      </c>
      <c r="E55" s="298" t="s">
        <v>62</v>
      </c>
      <c r="F55" s="298" t="s">
        <v>125</v>
      </c>
      <c r="G55" s="624"/>
    </row>
    <row r="56" spans="1:7" ht="29.1">
      <c r="A56" s="585"/>
      <c r="B56" s="594" t="s">
        <v>139</v>
      </c>
      <c r="C56" s="430" t="s">
        <v>127</v>
      </c>
      <c r="D56" s="431" t="s">
        <v>184</v>
      </c>
      <c r="E56" s="431" t="s">
        <v>62</v>
      </c>
      <c r="F56" s="431" t="s">
        <v>141</v>
      </c>
      <c r="G56" s="432" t="s">
        <v>164</v>
      </c>
    </row>
    <row r="57" spans="1:7">
      <c r="A57" s="585"/>
      <c r="B57" s="595"/>
      <c r="C57" s="301" t="s">
        <v>30</v>
      </c>
      <c r="D57" s="299" t="s">
        <v>185</v>
      </c>
      <c r="E57" s="299" t="s">
        <v>62</v>
      </c>
      <c r="F57" s="299" t="s">
        <v>141</v>
      </c>
      <c r="G57" s="276" t="s">
        <v>164</v>
      </c>
    </row>
    <row r="58" spans="1:7" ht="29.1">
      <c r="A58" s="585"/>
      <c r="B58" s="595"/>
      <c r="C58" s="301" t="s">
        <v>130</v>
      </c>
      <c r="D58" s="299" t="s">
        <v>186</v>
      </c>
      <c r="E58" s="299" t="s">
        <v>62</v>
      </c>
      <c r="F58" s="299" t="s">
        <v>141</v>
      </c>
      <c r="G58" s="276" t="s">
        <v>164</v>
      </c>
    </row>
    <row r="59" spans="1:7">
      <c r="A59" s="585"/>
      <c r="B59" s="595"/>
      <c r="C59" s="301" t="s">
        <v>35</v>
      </c>
      <c r="D59" s="299" t="s">
        <v>187</v>
      </c>
      <c r="E59" s="299" t="s">
        <v>62</v>
      </c>
      <c r="F59" s="299" t="s">
        <v>141</v>
      </c>
      <c r="G59" s="276" t="s">
        <v>164</v>
      </c>
    </row>
    <row r="60" spans="1:7">
      <c r="A60" s="585"/>
      <c r="B60" s="595"/>
      <c r="C60" s="301" t="s">
        <v>133</v>
      </c>
      <c r="D60" s="299" t="s">
        <v>188</v>
      </c>
      <c r="E60" s="299" t="s">
        <v>62</v>
      </c>
      <c r="F60" s="299" t="s">
        <v>141</v>
      </c>
      <c r="G60" s="276" t="s">
        <v>164</v>
      </c>
    </row>
    <row r="61" spans="1:7">
      <c r="A61" s="585"/>
      <c r="B61" s="595"/>
      <c r="C61" s="301" t="s">
        <v>179</v>
      </c>
      <c r="D61" s="299" t="s">
        <v>189</v>
      </c>
      <c r="E61" s="299" t="s">
        <v>62</v>
      </c>
      <c r="F61" s="299" t="s">
        <v>141</v>
      </c>
      <c r="G61" s="276" t="s">
        <v>164</v>
      </c>
    </row>
    <row r="62" spans="1:7">
      <c r="A62" s="585"/>
      <c r="B62" s="595"/>
      <c r="C62" s="301" t="s">
        <v>135</v>
      </c>
      <c r="D62" s="299" t="s">
        <v>190</v>
      </c>
      <c r="E62" s="299" t="s">
        <v>62</v>
      </c>
      <c r="F62" s="299" t="s">
        <v>141</v>
      </c>
      <c r="G62" s="276" t="s">
        <v>164</v>
      </c>
    </row>
    <row r="63" spans="1:7" ht="15" thickBot="1">
      <c r="A63" s="597"/>
      <c r="B63" s="596"/>
      <c r="C63" s="302" t="s">
        <v>182</v>
      </c>
      <c r="D63" s="300" t="s">
        <v>191</v>
      </c>
      <c r="E63" s="300" t="s">
        <v>62</v>
      </c>
      <c r="F63" s="300" t="s">
        <v>141</v>
      </c>
      <c r="G63" s="281" t="s">
        <v>164</v>
      </c>
    </row>
    <row r="64" spans="1:7" ht="116.1">
      <c r="A64" s="585" t="s">
        <v>60</v>
      </c>
      <c r="B64" s="586" t="s">
        <v>192</v>
      </c>
      <c r="C64" s="329" t="s">
        <v>72</v>
      </c>
      <c r="D64" s="283" t="s">
        <v>193</v>
      </c>
      <c r="E64" s="283" t="s">
        <v>55</v>
      </c>
      <c r="F64" s="283" t="s">
        <v>74</v>
      </c>
      <c r="G64" s="446" t="s">
        <v>194</v>
      </c>
    </row>
    <row r="65" spans="1:7" ht="57.95">
      <c r="A65" s="585"/>
      <c r="B65" s="587"/>
      <c r="C65" s="330" t="s">
        <v>76</v>
      </c>
      <c r="D65" s="284" t="s">
        <v>77</v>
      </c>
      <c r="E65" s="284" t="s">
        <v>55</v>
      </c>
      <c r="F65" s="284" t="s">
        <v>74</v>
      </c>
      <c r="G65" s="448" t="s">
        <v>195</v>
      </c>
    </row>
    <row r="66" spans="1:7">
      <c r="A66" s="585"/>
      <c r="B66" s="587"/>
      <c r="C66" s="330" t="s">
        <v>91</v>
      </c>
      <c r="D66" s="284" t="s">
        <v>92</v>
      </c>
      <c r="E66" s="284" t="s">
        <v>55</v>
      </c>
      <c r="F66" s="284" t="s">
        <v>74</v>
      </c>
      <c r="G66" s="285" t="s">
        <v>196</v>
      </c>
    </row>
    <row r="67" spans="1:7" ht="29.1">
      <c r="A67" s="585"/>
      <c r="B67" s="587"/>
      <c r="C67" s="330" t="s">
        <v>197</v>
      </c>
      <c r="D67" s="284" t="s">
        <v>198</v>
      </c>
      <c r="E67" s="284" t="s">
        <v>55</v>
      </c>
      <c r="F67" s="284" t="s">
        <v>74</v>
      </c>
      <c r="G67" s="285" t="s">
        <v>199</v>
      </c>
    </row>
    <row r="68" spans="1:7">
      <c r="A68" s="585"/>
      <c r="B68" s="587"/>
      <c r="C68" s="330" t="s">
        <v>1</v>
      </c>
      <c r="D68" s="284" t="s">
        <v>200</v>
      </c>
      <c r="E68" s="284" t="s">
        <v>55</v>
      </c>
      <c r="F68" s="284" t="s">
        <v>74</v>
      </c>
      <c r="G68" s="285" t="s">
        <v>201</v>
      </c>
    </row>
    <row r="69" spans="1:7" ht="15" thickBot="1">
      <c r="A69" s="585"/>
      <c r="B69" s="588"/>
      <c r="C69" s="331" t="s">
        <v>202</v>
      </c>
      <c r="D69" s="286" t="s">
        <v>203</v>
      </c>
      <c r="E69" s="286" t="s">
        <v>55</v>
      </c>
      <c r="F69" s="286" t="s">
        <v>74</v>
      </c>
      <c r="G69" s="287"/>
    </row>
    <row r="70" spans="1:7" ht="130.5">
      <c r="A70" s="584" t="s">
        <v>63</v>
      </c>
      <c r="B70" s="581" t="s">
        <v>71</v>
      </c>
      <c r="C70" s="339" t="s">
        <v>72</v>
      </c>
      <c r="D70" s="282" t="s">
        <v>204</v>
      </c>
      <c r="E70" s="282" t="s">
        <v>55</v>
      </c>
      <c r="F70" s="282" t="s">
        <v>74</v>
      </c>
      <c r="G70" s="447" t="s">
        <v>205</v>
      </c>
    </row>
    <row r="71" spans="1:7">
      <c r="A71" s="585"/>
      <c r="B71" s="582"/>
      <c r="C71" s="121" t="s">
        <v>76</v>
      </c>
      <c r="D71" s="82" t="s">
        <v>77</v>
      </c>
      <c r="E71" s="82" t="s">
        <v>55</v>
      </c>
      <c r="F71" s="82" t="s">
        <v>74</v>
      </c>
      <c r="G71" s="95" t="s">
        <v>164</v>
      </c>
    </row>
    <row r="72" spans="1:7">
      <c r="A72" s="585"/>
      <c r="B72" s="582"/>
      <c r="C72" s="121" t="s">
        <v>91</v>
      </c>
      <c r="D72" s="82" t="s">
        <v>92</v>
      </c>
      <c r="E72" s="82" t="s">
        <v>55</v>
      </c>
      <c r="F72" s="82" t="s">
        <v>74</v>
      </c>
      <c r="G72" s="95" t="s">
        <v>206</v>
      </c>
    </row>
    <row r="73" spans="1:7">
      <c r="A73" s="585"/>
      <c r="B73" s="582"/>
      <c r="C73" s="121" t="s">
        <v>207</v>
      </c>
      <c r="D73" s="82" t="s">
        <v>208</v>
      </c>
      <c r="E73" s="82" t="s">
        <v>81</v>
      </c>
      <c r="F73" s="82" t="s">
        <v>74</v>
      </c>
      <c r="G73" s="95" t="s">
        <v>164</v>
      </c>
    </row>
    <row r="74" spans="1:7" ht="60" customHeight="1">
      <c r="A74" s="585"/>
      <c r="B74" s="582"/>
      <c r="C74" s="121" t="s">
        <v>83</v>
      </c>
      <c r="D74" s="82" t="s">
        <v>209</v>
      </c>
      <c r="E74" s="82" t="s">
        <v>81</v>
      </c>
      <c r="F74" s="82" t="s">
        <v>74</v>
      </c>
      <c r="G74" s="95" t="s">
        <v>164</v>
      </c>
    </row>
    <row r="75" spans="1:7">
      <c r="A75" s="585"/>
      <c r="B75" s="582"/>
      <c r="C75" s="121" t="s">
        <v>1</v>
      </c>
      <c r="D75" s="82" t="s">
        <v>200</v>
      </c>
      <c r="E75" s="82" t="s">
        <v>81</v>
      </c>
      <c r="F75" s="82" t="s">
        <v>74</v>
      </c>
      <c r="G75" s="95" t="s">
        <v>164</v>
      </c>
    </row>
    <row r="76" spans="1:7" ht="87">
      <c r="A76" s="585"/>
      <c r="B76" s="582"/>
      <c r="C76" s="121" t="s">
        <v>210</v>
      </c>
      <c r="D76" s="82" t="s">
        <v>211</v>
      </c>
      <c r="E76" s="82" t="s">
        <v>55</v>
      </c>
      <c r="F76" s="82" t="s">
        <v>74</v>
      </c>
      <c r="G76" s="320" t="s">
        <v>212</v>
      </c>
    </row>
    <row r="77" spans="1:7" ht="87">
      <c r="A77" s="585"/>
      <c r="B77" s="582"/>
      <c r="C77" s="121" t="s">
        <v>213</v>
      </c>
      <c r="D77" s="82" t="s">
        <v>214</v>
      </c>
      <c r="E77" s="82" t="s">
        <v>55</v>
      </c>
      <c r="F77" s="82" t="s">
        <v>74</v>
      </c>
      <c r="G77" s="320" t="s">
        <v>215</v>
      </c>
    </row>
    <row r="78" spans="1:7" ht="29.1">
      <c r="A78" s="585"/>
      <c r="B78" s="582"/>
      <c r="C78" s="121" t="s">
        <v>100</v>
      </c>
      <c r="D78" s="82" t="s">
        <v>166</v>
      </c>
      <c r="E78" s="82" t="s">
        <v>81</v>
      </c>
      <c r="F78" s="82" t="s">
        <v>74</v>
      </c>
      <c r="G78" s="95" t="s">
        <v>167</v>
      </c>
    </row>
    <row r="79" spans="1:7" ht="29.45" thickBot="1">
      <c r="A79" s="585"/>
      <c r="B79" s="583"/>
      <c r="C79" s="122" t="s">
        <v>216</v>
      </c>
      <c r="D79" s="96" t="s">
        <v>217</v>
      </c>
      <c r="E79" s="96" t="s">
        <v>55</v>
      </c>
      <c r="F79" s="96" t="s">
        <v>74</v>
      </c>
      <c r="G79" s="97" t="s">
        <v>218</v>
      </c>
    </row>
    <row r="80" spans="1:7" ht="29.1">
      <c r="A80" s="585"/>
      <c r="B80" s="625" t="s">
        <v>108</v>
      </c>
      <c r="C80" s="123" t="s">
        <v>109</v>
      </c>
      <c r="D80" s="105" t="s">
        <v>219</v>
      </c>
      <c r="E80" s="105" t="s">
        <v>55</v>
      </c>
      <c r="F80" s="105" t="s">
        <v>220</v>
      </c>
      <c r="G80" s="106" t="s">
        <v>218</v>
      </c>
    </row>
    <row r="81" spans="1:7" ht="29.45" thickBot="1">
      <c r="A81" s="585"/>
      <c r="B81" s="626"/>
      <c r="C81" s="124" t="s">
        <v>116</v>
      </c>
      <c r="D81" s="107" t="s">
        <v>221</v>
      </c>
      <c r="E81" s="107" t="s">
        <v>55</v>
      </c>
      <c r="F81" s="107" t="s">
        <v>220</v>
      </c>
      <c r="G81" s="108" t="s">
        <v>218</v>
      </c>
    </row>
    <row r="82" spans="1:7" ht="29.1">
      <c r="A82" s="585"/>
      <c r="B82" s="627" t="s">
        <v>119</v>
      </c>
      <c r="C82" s="125" t="s">
        <v>222</v>
      </c>
      <c r="D82" s="102" t="s">
        <v>223</v>
      </c>
      <c r="E82" s="102" t="s">
        <v>55</v>
      </c>
      <c r="F82" s="102" t="s">
        <v>74</v>
      </c>
      <c r="G82" s="103" t="s">
        <v>218</v>
      </c>
    </row>
    <row r="83" spans="1:7" ht="29.1">
      <c r="A83" s="585"/>
      <c r="B83" s="628"/>
      <c r="C83" s="127" t="s">
        <v>224</v>
      </c>
      <c r="D83" s="109" t="s">
        <v>225</v>
      </c>
      <c r="E83" s="109" t="s">
        <v>55</v>
      </c>
      <c r="F83" s="109" t="s">
        <v>220</v>
      </c>
      <c r="G83" s="114" t="s">
        <v>218</v>
      </c>
    </row>
    <row r="84" spans="1:7" ht="29.45" thickBot="1">
      <c r="A84" s="585"/>
      <c r="B84" s="629"/>
      <c r="C84" s="128" t="s">
        <v>182</v>
      </c>
      <c r="D84" s="119" t="s">
        <v>226</v>
      </c>
      <c r="E84" s="119" t="s">
        <v>55</v>
      </c>
      <c r="F84" s="119" t="s">
        <v>220</v>
      </c>
      <c r="G84" s="120" t="s">
        <v>218</v>
      </c>
    </row>
    <row r="85" spans="1:7" ht="29.1">
      <c r="A85" s="585"/>
      <c r="B85" s="630" t="s">
        <v>139</v>
      </c>
      <c r="C85" s="126" t="s">
        <v>227</v>
      </c>
      <c r="D85" s="111" t="s">
        <v>228</v>
      </c>
      <c r="E85" s="111" t="s">
        <v>55</v>
      </c>
      <c r="F85" s="111" t="s">
        <v>220</v>
      </c>
      <c r="G85" s="112" t="s">
        <v>218</v>
      </c>
    </row>
    <row r="86" spans="1:7" ht="29.1">
      <c r="A86" s="585"/>
      <c r="B86" s="631"/>
      <c r="C86" s="98" t="s">
        <v>224</v>
      </c>
      <c r="D86" s="83" t="s">
        <v>229</v>
      </c>
      <c r="E86" s="83" t="s">
        <v>55</v>
      </c>
      <c r="F86" s="83" t="s">
        <v>220</v>
      </c>
      <c r="G86" s="99" t="s">
        <v>218</v>
      </c>
    </row>
    <row r="87" spans="1:7" ht="29.1">
      <c r="A87" s="585"/>
      <c r="B87" s="631"/>
      <c r="C87" s="98" t="s">
        <v>179</v>
      </c>
      <c r="D87" s="83" t="s">
        <v>230</v>
      </c>
      <c r="E87" s="83" t="s">
        <v>55</v>
      </c>
      <c r="F87" s="83" t="s">
        <v>220</v>
      </c>
      <c r="G87" s="99" t="s">
        <v>218</v>
      </c>
    </row>
    <row r="88" spans="1:7" ht="29.1">
      <c r="A88" s="585"/>
      <c r="B88" s="631"/>
      <c r="C88" s="98" t="s">
        <v>135</v>
      </c>
      <c r="D88" s="83" t="s">
        <v>231</v>
      </c>
      <c r="E88" s="83" t="s">
        <v>55</v>
      </c>
      <c r="F88" s="83" t="s">
        <v>220</v>
      </c>
      <c r="G88" s="99" t="s">
        <v>218</v>
      </c>
    </row>
    <row r="89" spans="1:7" ht="45" customHeight="1">
      <c r="A89" s="585"/>
      <c r="B89" s="631"/>
      <c r="C89" s="98" t="s">
        <v>182</v>
      </c>
      <c r="D89" s="83" t="s">
        <v>232</v>
      </c>
      <c r="E89" s="83" t="s">
        <v>55</v>
      </c>
      <c r="F89" s="83" t="s">
        <v>220</v>
      </c>
      <c r="G89" s="99" t="s">
        <v>218</v>
      </c>
    </row>
    <row r="90" spans="1:7" ht="29.45" thickBot="1">
      <c r="A90" s="597"/>
      <c r="B90" s="632"/>
      <c r="C90" s="327"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9" activePane="bottomRight" state="frozen"/>
      <selection pane="bottomRight" activeCell="E13" sqref="E13"/>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ht="15" thickBot="1">
      <c r="A1" s="412" t="s">
        <v>0</v>
      </c>
      <c r="B1" s="417" t="s">
        <v>235</v>
      </c>
      <c r="C1" s="413" t="s">
        <v>236</v>
      </c>
    </row>
    <row r="2" spans="1:3">
      <c r="A2" s="414">
        <v>43807</v>
      </c>
      <c r="B2" s="418" t="s">
        <v>237</v>
      </c>
      <c r="C2" s="422" t="s">
        <v>11</v>
      </c>
    </row>
    <row r="3" spans="1:3" ht="29.1">
      <c r="A3" s="415">
        <v>43937</v>
      </c>
      <c r="B3" s="419" t="s">
        <v>238</v>
      </c>
      <c r="C3" s="338" t="s">
        <v>11</v>
      </c>
    </row>
    <row r="4" spans="1:3">
      <c r="A4" s="415">
        <v>43941</v>
      </c>
      <c r="B4" s="420" t="s">
        <v>239</v>
      </c>
      <c r="C4" s="338" t="s">
        <v>11</v>
      </c>
    </row>
    <row r="5" spans="1:3">
      <c r="A5" s="415">
        <v>43942</v>
      </c>
      <c r="B5" s="420" t="s">
        <v>240</v>
      </c>
      <c r="C5" s="338" t="s">
        <v>11</v>
      </c>
    </row>
    <row r="6" spans="1:3">
      <c r="A6" s="415">
        <v>43963</v>
      </c>
      <c r="B6" s="420" t="s">
        <v>241</v>
      </c>
      <c r="C6" s="338" t="s">
        <v>11</v>
      </c>
    </row>
    <row r="7" spans="1:3">
      <c r="A7" s="415">
        <v>43990</v>
      </c>
      <c r="B7" s="420" t="s">
        <v>242</v>
      </c>
      <c r="C7" s="338" t="s">
        <v>11</v>
      </c>
    </row>
    <row r="8" spans="1:3" ht="29.1">
      <c r="A8" s="415">
        <v>44104</v>
      </c>
      <c r="B8" s="419" t="s">
        <v>243</v>
      </c>
      <c r="C8" s="338" t="s">
        <v>244</v>
      </c>
    </row>
    <row r="9" spans="1:3" ht="145.5" thickBot="1">
      <c r="A9" s="416">
        <v>44128</v>
      </c>
      <c r="B9" s="421" t="s">
        <v>245</v>
      </c>
      <c r="C9" s="423"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G151"/>
  <sheetViews>
    <sheetView zoomScaleNormal="100" workbookViewId="0" xr3:uid="{842E5F09-E766-5B8D-85AF-A39847EA96FD}">
      <pane xSplit="2" ySplit="5" topLeftCell="F125" activePane="bottomRight" state="frozen"/>
      <selection pane="bottomRight" activeCell="B127" sqref="B127"/>
      <selection pane="bottomLeft" activeCell="A4" sqref="A4"/>
      <selection pane="topRight" activeCell="C1" sqref="C1"/>
    </sheetView>
  </sheetViews>
  <sheetFormatPr defaultColWidth="9.140625" defaultRowHeight="14.45"/>
  <cols>
    <col min="1" max="1" width="16.85546875" style="172" customWidth="1"/>
    <col min="2" max="2" width="33.42578125" style="170" customWidth="1"/>
    <col min="3" max="3" width="29.7109375" style="170" customWidth="1"/>
    <col min="4" max="4" width="14.140625" style="173" customWidth="1"/>
    <col min="5" max="5" width="25.7109375" style="170" customWidth="1"/>
    <col min="6" max="6" width="57.140625" style="170" customWidth="1"/>
    <col min="7" max="7" width="9.85546875" style="170" customWidth="1"/>
    <col min="8" max="8" width="16.28515625" style="173" customWidth="1"/>
    <col min="9" max="9" width="17.42578125" style="170" customWidth="1"/>
    <col min="10" max="10" width="8.28515625" style="170" customWidth="1"/>
    <col min="11" max="11" width="17.28515625" style="170" customWidth="1"/>
    <col min="12" max="12" width="11.140625" style="170" customWidth="1"/>
    <col min="13" max="13" width="12.5703125" style="170" customWidth="1"/>
    <col min="14" max="14" width="11.7109375" style="170" customWidth="1"/>
    <col min="15" max="15" width="15" style="170" customWidth="1"/>
    <col min="16" max="16" width="10.42578125" style="170" customWidth="1"/>
    <col min="17" max="17" width="30.140625" style="175" customWidth="1"/>
    <col min="18" max="18" width="11.5703125" style="175" customWidth="1"/>
    <col min="19" max="19" width="7.140625" style="174" customWidth="1"/>
    <col min="20" max="20" width="9.28515625" style="174" customWidth="1"/>
    <col min="21" max="21" width="6.42578125" style="174" customWidth="1"/>
    <col min="22" max="22" width="9.42578125" style="174" customWidth="1"/>
    <col min="23" max="23" width="13.5703125" style="174" customWidth="1"/>
    <col min="24" max="24" width="45.7109375" style="175" customWidth="1"/>
    <col min="25" max="25" width="11.5703125" style="175" customWidth="1"/>
    <col min="26" max="26" width="7.140625" style="174" customWidth="1"/>
    <col min="27" max="27" width="10.140625" style="174" customWidth="1"/>
    <col min="28" max="28" width="6.42578125" style="174" customWidth="1"/>
    <col min="29" max="29" width="7" style="174" customWidth="1"/>
    <col min="30" max="30" width="13.5703125" style="174" customWidth="1"/>
    <col min="31" max="31" width="45.7109375" style="170" customWidth="1"/>
    <col min="32" max="32" width="29.140625" style="170" customWidth="1"/>
    <col min="33" max="33" width="60.7109375" style="170" customWidth="1"/>
    <col min="34" max="16384" width="9.140625" style="170"/>
  </cols>
  <sheetData>
    <row r="1" spans="1:33" ht="18.95" thickBot="1">
      <c r="A1" s="639" t="s">
        <v>246</v>
      </c>
      <c r="B1" s="640"/>
      <c r="C1" s="640"/>
      <c r="D1" s="640"/>
      <c r="E1" s="640"/>
      <c r="F1" s="640"/>
      <c r="G1" s="640"/>
      <c r="H1" s="640"/>
      <c r="I1" s="640"/>
      <c r="J1" s="640"/>
      <c r="K1" s="640"/>
      <c r="L1" s="640"/>
      <c r="M1" s="640"/>
      <c r="N1" s="640"/>
      <c r="O1" s="640"/>
      <c r="P1" s="640"/>
      <c r="Q1" s="640"/>
      <c r="R1" s="640"/>
      <c r="S1" s="640"/>
      <c r="T1" s="640"/>
      <c r="U1" s="640"/>
      <c r="V1" s="640"/>
      <c r="W1" s="640"/>
      <c r="X1" s="640"/>
      <c r="Y1" s="640"/>
      <c r="Z1" s="640"/>
      <c r="AA1" s="640"/>
      <c r="AB1" s="640"/>
      <c r="AC1" s="640"/>
      <c r="AD1" s="640"/>
      <c r="AE1" s="640"/>
      <c r="AF1" s="640"/>
      <c r="AG1" s="641"/>
    </row>
    <row r="2" spans="1:33" ht="18.95" thickBot="1">
      <c r="A2" s="642" t="s">
        <v>247</v>
      </c>
      <c r="B2" s="643"/>
      <c r="C2" s="643"/>
      <c r="D2" s="643"/>
      <c r="E2" s="643"/>
      <c r="F2" s="643"/>
      <c r="G2" s="643"/>
      <c r="H2" s="643"/>
      <c r="I2" s="644"/>
      <c r="J2" s="396">
        <f>SUM(J6:J139)</f>
        <v>126</v>
      </c>
      <c r="K2" s="396">
        <f>SUM(K6:K139)</f>
        <v>390</v>
      </c>
      <c r="L2" s="397"/>
      <c r="M2" s="480">
        <f>SUMPRODUCT(J6:J139,M6:M139)/J142</f>
        <v>1</v>
      </c>
      <c r="N2" s="481">
        <f>SUM(N6:N139)</f>
        <v>390</v>
      </c>
      <c r="O2" s="482">
        <f>SUMPRODUCT(J6:J139,O6:O139)/J142</f>
        <v>1</v>
      </c>
      <c r="P2" s="398"/>
      <c r="Q2" s="399">
        <f t="shared" ref="Q2:V2" si="0">SUM(Q6:Q139)</f>
        <v>390</v>
      </c>
      <c r="R2" s="483">
        <f t="shared" si="0"/>
        <v>390</v>
      </c>
      <c r="S2" s="483">
        <f t="shared" si="0"/>
        <v>226</v>
      </c>
      <c r="T2" s="483">
        <f t="shared" si="0"/>
        <v>0</v>
      </c>
      <c r="U2" s="483">
        <f t="shared" si="0"/>
        <v>164</v>
      </c>
      <c r="V2" s="483">
        <f t="shared" si="0"/>
        <v>0</v>
      </c>
      <c r="W2" s="484">
        <f>IF((Q142=0),0,((S142+T142)/Q142*100%))</f>
        <v>0.57948717948717954</v>
      </c>
      <c r="X2" s="400"/>
      <c r="Y2" s="499">
        <f>SUM(Y6:Y139)</f>
        <v>0</v>
      </c>
      <c r="Z2" s="500">
        <f>SUM(Z6:Z139)</f>
        <v>0</v>
      </c>
      <c r="AA2" s="500">
        <f>SUM(AA6:AA139)</f>
        <v>0</v>
      </c>
      <c r="AB2" s="500">
        <f>SUM(AB6:AB139)</f>
        <v>0</v>
      </c>
      <c r="AC2" s="500">
        <f>SUM(AC6:AC139)</f>
        <v>0</v>
      </c>
      <c r="AD2" s="487">
        <f>IF((Y142=0),0,((Z142+AA142)/Y142*100%))</f>
        <v>0</v>
      </c>
      <c r="AE2" s="401"/>
      <c r="AF2" s="401"/>
      <c r="AG2" s="402"/>
    </row>
    <row r="3" spans="1:33" ht="19.5" customHeight="1">
      <c r="A3" s="639" t="s">
        <v>248</v>
      </c>
      <c r="B3" s="640"/>
      <c r="C3" s="640"/>
      <c r="D3" s="640"/>
      <c r="E3" s="640"/>
      <c r="F3" s="640"/>
      <c r="G3" s="640"/>
      <c r="H3" s="640"/>
      <c r="I3" s="640"/>
      <c r="J3" s="640"/>
      <c r="K3" s="640"/>
      <c r="L3" s="640"/>
      <c r="M3" s="640"/>
      <c r="N3" s="640"/>
      <c r="O3" s="640"/>
      <c r="P3" s="640"/>
      <c r="Q3" s="640"/>
      <c r="R3" s="640"/>
      <c r="S3" s="640"/>
      <c r="T3" s="640"/>
      <c r="U3" s="640"/>
      <c r="V3" s="640"/>
      <c r="W3" s="640"/>
      <c r="X3" s="640"/>
      <c r="Y3" s="640"/>
      <c r="Z3" s="640"/>
      <c r="AA3" s="640"/>
      <c r="AB3" s="640"/>
      <c r="AC3" s="640"/>
      <c r="AD3" s="640"/>
      <c r="AE3" s="640"/>
      <c r="AF3" s="640"/>
      <c r="AG3" s="641"/>
    </row>
    <row r="4" spans="1:33" ht="31.5" customHeight="1">
      <c r="A4" s="645"/>
      <c r="B4" s="646"/>
      <c r="C4" s="646"/>
      <c r="D4" s="646"/>
      <c r="E4" s="646"/>
      <c r="F4" s="646"/>
      <c r="G4" s="646"/>
      <c r="H4" s="646"/>
      <c r="I4" s="646"/>
      <c r="J4" s="646"/>
      <c r="K4" s="646"/>
      <c r="L4" s="647"/>
      <c r="M4" s="648" t="s">
        <v>249</v>
      </c>
      <c r="N4" s="649"/>
      <c r="O4" s="650"/>
      <c r="P4" s="655" t="s">
        <v>250</v>
      </c>
      <c r="Q4" s="656"/>
      <c r="R4" s="656"/>
      <c r="S4" s="656"/>
      <c r="T4" s="656"/>
      <c r="U4" s="656"/>
      <c r="V4" s="656"/>
      <c r="W4" s="656"/>
      <c r="X4" s="657"/>
      <c r="Y4" s="651" t="s">
        <v>251</v>
      </c>
      <c r="Z4" s="652"/>
      <c r="AA4" s="652"/>
      <c r="AB4" s="652"/>
      <c r="AC4" s="652"/>
      <c r="AD4" s="653"/>
      <c r="AE4" s="653"/>
      <c r="AF4" s="653"/>
      <c r="AG4" s="654"/>
    </row>
    <row r="5" spans="1:33" s="171" customFormat="1" ht="15">
      <c r="A5" s="348" t="s">
        <v>72</v>
      </c>
      <c r="B5" s="349" t="s">
        <v>76</v>
      </c>
      <c r="C5" s="349" t="s">
        <v>79</v>
      </c>
      <c r="D5" s="350" t="s">
        <v>83</v>
      </c>
      <c r="E5" s="349" t="s">
        <v>86</v>
      </c>
      <c r="F5" s="349" t="s">
        <v>89</v>
      </c>
      <c r="G5" s="349" t="s">
        <v>91</v>
      </c>
      <c r="H5" s="349" t="s">
        <v>94</v>
      </c>
      <c r="I5" s="349" t="s">
        <v>97</v>
      </c>
      <c r="J5" s="351" t="s">
        <v>100</v>
      </c>
      <c r="K5" s="351" t="s">
        <v>103</v>
      </c>
      <c r="L5" s="548" t="s">
        <v>1</v>
      </c>
      <c r="M5" s="360" t="s">
        <v>109</v>
      </c>
      <c r="N5" s="353" t="s">
        <v>113</v>
      </c>
      <c r="O5" s="361" t="s">
        <v>116</v>
      </c>
      <c r="P5" s="359" t="s">
        <v>120</v>
      </c>
      <c r="Q5" s="354" t="s">
        <v>123</v>
      </c>
      <c r="R5" s="354" t="s">
        <v>127</v>
      </c>
      <c r="S5" s="355" t="s">
        <v>30</v>
      </c>
      <c r="T5" s="355" t="s">
        <v>130</v>
      </c>
      <c r="U5" s="355" t="s">
        <v>35</v>
      </c>
      <c r="V5" s="355" t="s">
        <v>133</v>
      </c>
      <c r="W5" s="355" t="s">
        <v>135</v>
      </c>
      <c r="X5" s="356" t="s">
        <v>137</v>
      </c>
      <c r="Y5" s="357" t="s">
        <v>127</v>
      </c>
      <c r="Z5" s="355" t="s">
        <v>30</v>
      </c>
      <c r="AA5" s="355" t="s">
        <v>130</v>
      </c>
      <c r="AB5" s="355" t="s">
        <v>35</v>
      </c>
      <c r="AC5" s="355" t="s">
        <v>133</v>
      </c>
      <c r="AD5" s="355" t="s">
        <v>135</v>
      </c>
      <c r="AE5" s="349" t="s">
        <v>150</v>
      </c>
      <c r="AF5" s="349" t="s">
        <v>152</v>
      </c>
      <c r="AG5" s="352" t="s">
        <v>155</v>
      </c>
    </row>
    <row r="6" spans="1:33" ht="45">
      <c r="A6" s="335" t="s">
        <v>252</v>
      </c>
      <c r="B6" s="577" t="s">
        <v>253</v>
      </c>
      <c r="C6" s="449" t="s">
        <v>254</v>
      </c>
      <c r="D6" s="358" t="s">
        <v>255</v>
      </c>
      <c r="E6" s="457" t="str">
        <f>B6</f>
        <v>AQL Command + multi-producer support</v>
      </c>
      <c r="F6" s="457" t="s">
        <v>256</v>
      </c>
      <c r="G6" s="553" t="str">
        <f>VLOOKUP(A6,'Feature Raw Data'!$A$3:$C$4084,3,FALSE)</f>
        <v>P2</v>
      </c>
      <c r="H6" s="457" t="s">
        <v>257</v>
      </c>
      <c r="I6" s="449"/>
      <c r="J6" s="358">
        <v>1</v>
      </c>
      <c r="K6" s="358">
        <v>1</v>
      </c>
      <c r="L6" s="427" t="s">
        <v>33</v>
      </c>
      <c r="M6" s="469">
        <v>1</v>
      </c>
      <c r="N6" s="470">
        <f>K6</f>
        <v>1</v>
      </c>
      <c r="O6" s="471">
        <f>IF((N6=0),0,(N6/K6))</f>
        <v>1</v>
      </c>
      <c r="P6" s="450" t="s">
        <v>45</v>
      </c>
      <c r="Q6" s="358">
        <f>K6</f>
        <v>1</v>
      </c>
      <c r="R6" s="488">
        <f>SUM(S6:V6)</f>
        <v>1</v>
      </c>
      <c r="S6" s="488"/>
      <c r="T6" s="488"/>
      <c r="U6" s="488">
        <f>Q6-S6</f>
        <v>1</v>
      </c>
      <c r="V6" s="488"/>
      <c r="W6" s="501">
        <f>IF((R6=0),0,((S6+T6)/R6*100%))</f>
        <v>0</v>
      </c>
      <c r="X6" s="451" t="s">
        <v>258</v>
      </c>
      <c r="Y6" s="578">
        <f>SUM(Z6:AC6)</f>
        <v>0</v>
      </c>
      <c r="Z6" s="488"/>
      <c r="AA6" s="488"/>
      <c r="AB6" s="488"/>
      <c r="AC6" s="488"/>
      <c r="AD6" s="489">
        <f>IF((Y6=0),0,(Z6+AA6)/Y6)</f>
        <v>0</v>
      </c>
      <c r="AE6" s="449"/>
      <c r="AF6" s="452" t="s">
        <v>259</v>
      </c>
      <c r="AG6" s="453"/>
    </row>
    <row r="7" spans="1:33" ht="15">
      <c r="A7" s="335" t="s">
        <v>260</v>
      </c>
      <c r="B7" s="577" t="s">
        <v>261</v>
      </c>
      <c r="C7" s="449" t="s">
        <v>254</v>
      </c>
      <c r="D7" s="323" t="s">
        <v>255</v>
      </c>
      <c r="E7" s="457" t="s">
        <v>262</v>
      </c>
      <c r="F7" s="457"/>
      <c r="G7" s="553" t="str">
        <f>VLOOKUP(A7,'Feature Raw Data'!$A$3:$C$4084,3,FALSE)</f>
        <v>P2</v>
      </c>
      <c r="H7" s="457" t="s">
        <v>263</v>
      </c>
      <c r="I7" s="322"/>
      <c r="J7" s="323">
        <v>1</v>
      </c>
      <c r="K7" s="323">
        <v>1</v>
      </c>
      <c r="L7" s="428" t="s">
        <v>33</v>
      </c>
      <c r="M7" s="472">
        <v>1</v>
      </c>
      <c r="N7" s="470">
        <f t="shared" ref="N7:N70" si="1">K7</f>
        <v>1</v>
      </c>
      <c r="O7" s="474">
        <f>IF((N7=0),0,(N7/K7))</f>
        <v>1</v>
      </c>
      <c r="P7" s="454" t="s">
        <v>45</v>
      </c>
      <c r="Q7" s="358">
        <f t="shared" ref="Q7:Q70" si="2">K7</f>
        <v>1</v>
      </c>
      <c r="R7" s="488">
        <f>Q7</f>
        <v>1</v>
      </c>
      <c r="S7" s="488">
        <v>1</v>
      </c>
      <c r="T7" s="491"/>
      <c r="U7" s="488">
        <f t="shared" ref="U7:U70" si="3">Q7-S7</f>
        <v>0</v>
      </c>
      <c r="V7" s="491"/>
      <c r="W7" s="501">
        <f t="shared" ref="W7:W70" si="4">IF((R7=0),0,((S7+T7)/R7*100%))</f>
        <v>1</v>
      </c>
      <c r="X7" s="455"/>
      <c r="Y7" s="578">
        <f t="shared" ref="Y7:Y70" si="5">SUM(Z7:AC7)</f>
        <v>0</v>
      </c>
      <c r="Z7" s="488"/>
      <c r="AA7" s="491"/>
      <c r="AB7" s="491"/>
      <c r="AC7" s="491"/>
      <c r="AD7" s="489">
        <f t="shared" ref="AD7:AD70" si="6">IF((Y7=0),0,(Z7+AA7)/Y7)</f>
        <v>0</v>
      </c>
      <c r="AE7" s="322"/>
      <c r="AF7" s="452" t="str">
        <f>VLOOKUP(A7,'Feature Summary'!$A$7:$U$4086,21,FALSE)</f>
        <v>WK4</v>
      </c>
      <c r="AG7" s="324"/>
    </row>
    <row r="8" spans="1:33" ht="15">
      <c r="A8" s="335" t="s">
        <v>260</v>
      </c>
      <c r="B8" s="577" t="s">
        <v>261</v>
      </c>
      <c r="C8" s="449" t="s">
        <v>254</v>
      </c>
      <c r="D8" s="323" t="s">
        <v>255</v>
      </c>
      <c r="E8" s="457" t="s">
        <v>264</v>
      </c>
      <c r="F8" s="457"/>
      <c r="G8" s="553" t="str">
        <f>VLOOKUP(A8,'Feature Raw Data'!$A$3:$C$4084,3,FALSE)</f>
        <v>P2</v>
      </c>
      <c r="H8" s="457" t="s">
        <v>265</v>
      </c>
      <c r="I8" s="322"/>
      <c r="J8" s="323">
        <v>1</v>
      </c>
      <c r="K8" s="323">
        <v>1</v>
      </c>
      <c r="L8" s="428" t="s">
        <v>33</v>
      </c>
      <c r="M8" s="472">
        <v>1</v>
      </c>
      <c r="N8" s="470">
        <f t="shared" si="1"/>
        <v>1</v>
      </c>
      <c r="O8" s="474">
        <f t="shared" ref="O8:O9" si="7">IF((N8=0),0,(N8/K8))</f>
        <v>1</v>
      </c>
      <c r="P8" s="450" t="s">
        <v>45</v>
      </c>
      <c r="Q8" s="358">
        <f t="shared" si="2"/>
        <v>1</v>
      </c>
      <c r="R8" s="488">
        <f t="shared" ref="R8:R71" si="8">Q8</f>
        <v>1</v>
      </c>
      <c r="S8" s="488">
        <v>1</v>
      </c>
      <c r="T8" s="491"/>
      <c r="U8" s="488">
        <f t="shared" si="3"/>
        <v>0</v>
      </c>
      <c r="V8" s="491"/>
      <c r="W8" s="501">
        <f t="shared" si="4"/>
        <v>1</v>
      </c>
      <c r="X8" s="455"/>
      <c r="Y8" s="578">
        <f t="shared" si="5"/>
        <v>0</v>
      </c>
      <c r="Z8" s="488"/>
      <c r="AA8" s="491"/>
      <c r="AB8" s="491"/>
      <c r="AC8" s="491"/>
      <c r="AD8" s="489">
        <f t="shared" si="6"/>
        <v>0</v>
      </c>
      <c r="AE8" s="322"/>
      <c r="AF8" s="452" t="str">
        <f>VLOOKUP(A8,'Feature Summary'!$A$7:$U$4086,21,FALSE)</f>
        <v>WK4</v>
      </c>
      <c r="AG8" s="324"/>
    </row>
    <row r="9" spans="1:33" ht="15">
      <c r="A9" s="335" t="s">
        <v>260</v>
      </c>
      <c r="B9" s="577" t="s">
        <v>261</v>
      </c>
      <c r="C9" s="449" t="s">
        <v>254</v>
      </c>
      <c r="D9" s="323" t="s">
        <v>255</v>
      </c>
      <c r="E9" s="457" t="s">
        <v>266</v>
      </c>
      <c r="F9" s="457"/>
      <c r="G9" s="553" t="str">
        <f>VLOOKUP(A9,'Feature Raw Data'!$A$3:$C$4084,3,FALSE)</f>
        <v>P2</v>
      </c>
      <c r="H9" s="457" t="s">
        <v>267</v>
      </c>
      <c r="I9" s="322"/>
      <c r="J9" s="323">
        <v>1</v>
      </c>
      <c r="K9" s="323">
        <v>1</v>
      </c>
      <c r="L9" s="428" t="s">
        <v>33</v>
      </c>
      <c r="M9" s="472">
        <v>1</v>
      </c>
      <c r="N9" s="470">
        <f t="shared" si="1"/>
        <v>1</v>
      </c>
      <c r="O9" s="474">
        <f t="shared" si="7"/>
        <v>1</v>
      </c>
      <c r="P9" s="454" t="s">
        <v>45</v>
      </c>
      <c r="Q9" s="358">
        <f t="shared" si="2"/>
        <v>1</v>
      </c>
      <c r="R9" s="488">
        <f t="shared" si="8"/>
        <v>1</v>
      </c>
      <c r="S9" s="488">
        <v>1</v>
      </c>
      <c r="T9" s="491"/>
      <c r="U9" s="488">
        <f t="shared" si="3"/>
        <v>0</v>
      </c>
      <c r="V9" s="491"/>
      <c r="W9" s="501">
        <f t="shared" si="4"/>
        <v>1</v>
      </c>
      <c r="X9" s="455"/>
      <c r="Y9" s="578">
        <f t="shared" si="5"/>
        <v>0</v>
      </c>
      <c r="Z9" s="488"/>
      <c r="AA9" s="491"/>
      <c r="AB9" s="491"/>
      <c r="AC9" s="491"/>
      <c r="AD9" s="489">
        <f t="shared" si="6"/>
        <v>0</v>
      </c>
      <c r="AE9" s="322"/>
      <c r="AF9" s="452" t="str">
        <f>VLOOKUP(A9,'Feature Summary'!$A$7:$U$4086,21,FALSE)</f>
        <v>WK4</v>
      </c>
      <c r="AG9" s="324"/>
    </row>
    <row r="10" spans="1:33" ht="15">
      <c r="A10" s="335" t="s">
        <v>268</v>
      </c>
      <c r="B10" s="577" t="s">
        <v>269</v>
      </c>
      <c r="C10" s="449" t="s">
        <v>254</v>
      </c>
      <c r="D10" s="323" t="s">
        <v>255</v>
      </c>
      <c r="E10" s="457" t="str">
        <f t="shared" ref="E10:E67" si="9">B10</f>
        <v>Burst NOPs</v>
      </c>
      <c r="F10" s="457" t="s">
        <v>270</v>
      </c>
      <c r="G10" s="553" t="str">
        <f>VLOOKUP(A10,'Feature Raw Data'!$A$3:$C$4084,3,FALSE)</f>
        <v>P2</v>
      </c>
      <c r="H10" s="457" t="s">
        <v>271</v>
      </c>
      <c r="I10" s="322"/>
      <c r="J10" s="323">
        <v>1</v>
      </c>
      <c r="K10" s="323">
        <v>1</v>
      </c>
      <c r="L10" s="428" t="s">
        <v>33</v>
      </c>
      <c r="M10" s="472">
        <v>1</v>
      </c>
      <c r="N10" s="470">
        <f t="shared" si="1"/>
        <v>1</v>
      </c>
      <c r="O10" s="474">
        <f>IF((N10=0),0,(N10/K10))</f>
        <v>1</v>
      </c>
      <c r="P10" s="450" t="s">
        <v>45</v>
      </c>
      <c r="Q10" s="358">
        <f t="shared" si="2"/>
        <v>1</v>
      </c>
      <c r="R10" s="488">
        <f t="shared" si="8"/>
        <v>1</v>
      </c>
      <c r="S10" s="488">
        <v>1</v>
      </c>
      <c r="T10" s="491"/>
      <c r="U10" s="488">
        <f t="shared" si="3"/>
        <v>0</v>
      </c>
      <c r="V10" s="491"/>
      <c r="W10" s="501">
        <f t="shared" si="4"/>
        <v>1</v>
      </c>
      <c r="X10" s="455"/>
      <c r="Y10" s="578">
        <f t="shared" si="5"/>
        <v>0</v>
      </c>
      <c r="Z10" s="488"/>
      <c r="AA10" s="491"/>
      <c r="AB10" s="491"/>
      <c r="AC10" s="491"/>
      <c r="AD10" s="489">
        <f t="shared" si="6"/>
        <v>0</v>
      </c>
      <c r="AE10" s="322"/>
      <c r="AF10" s="452" t="str">
        <f>VLOOKUP(A10,'Feature Summary'!$A$7:$U$4086,21,FALSE)</f>
        <v>WK4</v>
      </c>
      <c r="AG10" s="324"/>
    </row>
    <row r="11" spans="1:33" s="560" customFormat="1" ht="15">
      <c r="A11" s="335" t="s">
        <v>272</v>
      </c>
      <c r="B11" s="577" t="s">
        <v>273</v>
      </c>
      <c r="C11" s="449" t="s">
        <v>254</v>
      </c>
      <c r="D11" s="552" t="s">
        <v>255</v>
      </c>
      <c r="E11" s="457" t="str">
        <f t="shared" si="9"/>
        <v>CGCG enhancement</v>
      </c>
      <c r="F11" s="457" t="s">
        <v>274</v>
      </c>
      <c r="G11" s="553" t="str">
        <f>VLOOKUP(A11,'Feature Raw Data'!$A$3:$C$4084,3,FALSE)</f>
        <v>P2</v>
      </c>
      <c r="H11" s="550" t="s">
        <v>275</v>
      </c>
      <c r="I11" s="551" t="s">
        <v>276</v>
      </c>
      <c r="J11" s="552">
        <v>1</v>
      </c>
      <c r="K11" s="552">
        <v>1</v>
      </c>
      <c r="L11" s="554" t="s">
        <v>33</v>
      </c>
      <c r="M11" s="555">
        <v>1</v>
      </c>
      <c r="N11" s="470">
        <f t="shared" si="1"/>
        <v>1</v>
      </c>
      <c r="O11" s="474">
        <f t="shared" ref="O11:O66" si="10">IF((N11=0),0,(N11/K11))</f>
        <v>1</v>
      </c>
      <c r="P11" s="454" t="s">
        <v>44</v>
      </c>
      <c r="Q11" s="358">
        <f t="shared" si="2"/>
        <v>1</v>
      </c>
      <c r="R11" s="488">
        <f t="shared" si="8"/>
        <v>1</v>
      </c>
      <c r="S11" s="488"/>
      <c r="T11" s="491"/>
      <c r="U11" s="488">
        <f t="shared" si="3"/>
        <v>1</v>
      </c>
      <c r="V11" s="491"/>
      <c r="W11" s="501">
        <f t="shared" si="4"/>
        <v>0</v>
      </c>
      <c r="X11" s="558"/>
      <c r="Y11" s="578">
        <f t="shared" si="5"/>
        <v>0</v>
      </c>
      <c r="Z11" s="488"/>
      <c r="AA11" s="557"/>
      <c r="AB11" s="557"/>
      <c r="AC11" s="557"/>
      <c r="AD11" s="489">
        <f t="shared" si="6"/>
        <v>0</v>
      </c>
      <c r="AE11" s="550"/>
      <c r="AF11" s="452" t="str">
        <f>VLOOKUP(A11,'Feature Summary'!$A$7:$U$4086,21,FALSE)</f>
        <v>WK4</v>
      </c>
      <c r="AG11" s="559"/>
    </row>
    <row r="12" spans="1:33" ht="15">
      <c r="A12" s="335" t="s">
        <v>277</v>
      </c>
      <c r="B12" s="577" t="s">
        <v>278</v>
      </c>
      <c r="C12" s="449" t="s">
        <v>254</v>
      </c>
      <c r="D12" s="323" t="s">
        <v>255</v>
      </c>
      <c r="E12" s="457" t="str">
        <f t="shared" si="9"/>
        <v>Command Overlap</v>
      </c>
      <c r="F12" s="457"/>
      <c r="G12" s="553" t="str">
        <f>VLOOKUP(A12,'Feature Raw Data'!$A$3:$C$4084,3,FALSE)</f>
        <v>P2</v>
      </c>
      <c r="H12" s="457" t="s">
        <v>279</v>
      </c>
      <c r="I12" s="322"/>
      <c r="J12" s="323">
        <v>1</v>
      </c>
      <c r="K12" s="323">
        <v>1</v>
      </c>
      <c r="L12" s="428" t="s">
        <v>33</v>
      </c>
      <c r="M12" s="472">
        <v>1</v>
      </c>
      <c r="N12" s="470">
        <f t="shared" si="1"/>
        <v>1</v>
      </c>
      <c r="O12" s="556">
        <f t="shared" si="10"/>
        <v>1</v>
      </c>
      <c r="P12" s="454" t="s">
        <v>45</v>
      </c>
      <c r="Q12" s="358">
        <f t="shared" si="2"/>
        <v>1</v>
      </c>
      <c r="R12" s="488">
        <f t="shared" si="8"/>
        <v>1</v>
      </c>
      <c r="S12" s="488">
        <v>1</v>
      </c>
      <c r="T12" s="491"/>
      <c r="U12" s="488">
        <f t="shared" si="3"/>
        <v>0</v>
      </c>
      <c r="V12" s="491"/>
      <c r="W12" s="501">
        <f t="shared" si="4"/>
        <v>1</v>
      </c>
      <c r="X12" s="455"/>
      <c r="Y12" s="578">
        <f t="shared" si="5"/>
        <v>0</v>
      </c>
      <c r="Z12" s="488"/>
      <c r="AA12" s="491"/>
      <c r="AB12" s="491"/>
      <c r="AC12" s="491"/>
      <c r="AD12" s="489">
        <f t="shared" si="6"/>
        <v>0</v>
      </c>
      <c r="AE12" s="322"/>
      <c r="AF12" s="452" t="s">
        <v>259</v>
      </c>
      <c r="AG12" s="324"/>
    </row>
    <row r="13" spans="1:33" ht="15">
      <c r="A13" s="335" t="s">
        <v>280</v>
      </c>
      <c r="B13" s="577" t="s">
        <v>281</v>
      </c>
      <c r="C13" s="449" t="s">
        <v>254</v>
      </c>
      <c r="D13" s="323" t="s">
        <v>255</v>
      </c>
      <c r="E13" s="457" t="s">
        <v>282</v>
      </c>
      <c r="F13" s="457"/>
      <c r="G13" s="553" t="str">
        <f>VLOOKUP(A13,'Feature Raw Data'!$A$3:$C$4084,3,FALSE)</f>
        <v>P2</v>
      </c>
      <c r="H13" s="457" t="s">
        <v>283</v>
      </c>
      <c r="I13" s="322"/>
      <c r="J13" s="323">
        <v>1</v>
      </c>
      <c r="K13" s="323">
        <v>1</v>
      </c>
      <c r="L13" s="428" t="s">
        <v>33</v>
      </c>
      <c r="M13" s="472">
        <v>1</v>
      </c>
      <c r="N13" s="470">
        <f t="shared" si="1"/>
        <v>1</v>
      </c>
      <c r="O13" s="556">
        <f t="shared" si="10"/>
        <v>1</v>
      </c>
      <c r="P13" s="454" t="s">
        <v>45</v>
      </c>
      <c r="Q13" s="358">
        <f t="shared" si="2"/>
        <v>1</v>
      </c>
      <c r="R13" s="488">
        <f t="shared" si="8"/>
        <v>1</v>
      </c>
      <c r="S13" s="488">
        <v>1</v>
      </c>
      <c r="T13" s="491"/>
      <c r="U13" s="488">
        <f t="shared" si="3"/>
        <v>0</v>
      </c>
      <c r="V13" s="491"/>
      <c r="W13" s="501">
        <f t="shared" si="4"/>
        <v>1</v>
      </c>
      <c r="X13" s="455"/>
      <c r="Y13" s="578">
        <f t="shared" si="5"/>
        <v>0</v>
      </c>
      <c r="Z13" s="488"/>
      <c r="AA13" s="491"/>
      <c r="AB13" s="491"/>
      <c r="AC13" s="491"/>
      <c r="AD13" s="489">
        <f t="shared" si="6"/>
        <v>0</v>
      </c>
      <c r="AE13" s="322"/>
      <c r="AF13" s="452" t="str">
        <f>VLOOKUP(A13,'Feature Summary'!$A$7:$U$4086,21,FALSE)</f>
        <v>WK4</v>
      </c>
      <c r="AG13" s="324"/>
    </row>
    <row r="14" spans="1:33" s="560" customFormat="1" ht="15">
      <c r="A14" s="335" t="s">
        <v>280</v>
      </c>
      <c r="B14" s="577" t="s">
        <v>281</v>
      </c>
      <c r="C14" s="449" t="s">
        <v>254</v>
      </c>
      <c r="D14" s="552" t="s">
        <v>255</v>
      </c>
      <c r="E14" s="424" t="s">
        <v>284</v>
      </c>
      <c r="F14" s="457"/>
      <c r="G14" s="553" t="str">
        <f>VLOOKUP(A14,'Feature Raw Data'!$A$3:$C$4084,3,FALSE)</f>
        <v>P2</v>
      </c>
      <c r="H14" s="550" t="s">
        <v>285</v>
      </c>
      <c r="I14" s="322"/>
      <c r="J14" s="552">
        <v>1</v>
      </c>
      <c r="K14" s="552">
        <v>1</v>
      </c>
      <c r="L14" s="554" t="s">
        <v>33</v>
      </c>
      <c r="M14" s="555">
        <v>1</v>
      </c>
      <c r="N14" s="470">
        <f t="shared" si="1"/>
        <v>1</v>
      </c>
      <c r="O14" s="474">
        <f>IF((N14=0),0,(N14/K14))</f>
        <v>1</v>
      </c>
      <c r="P14" s="454" t="s">
        <v>45</v>
      </c>
      <c r="Q14" s="358">
        <f t="shared" si="2"/>
        <v>1</v>
      </c>
      <c r="R14" s="488">
        <f t="shared" si="8"/>
        <v>1</v>
      </c>
      <c r="S14" s="488">
        <v>1</v>
      </c>
      <c r="T14" s="557"/>
      <c r="U14" s="488">
        <f t="shared" si="3"/>
        <v>0</v>
      </c>
      <c r="V14" s="557"/>
      <c r="W14" s="501">
        <f t="shared" si="4"/>
        <v>1</v>
      </c>
      <c r="X14" s="558"/>
      <c r="Y14" s="578">
        <f t="shared" si="5"/>
        <v>0</v>
      </c>
      <c r="Z14" s="488"/>
      <c r="AA14" s="557"/>
      <c r="AB14" s="557"/>
      <c r="AC14" s="557"/>
      <c r="AD14" s="489">
        <f t="shared" si="6"/>
        <v>0</v>
      </c>
      <c r="AE14" s="551"/>
      <c r="AF14" s="452" t="str">
        <f>VLOOKUP(A14,'Feature Summary'!$A$7:$U$4086,21,FALSE)</f>
        <v>WK4</v>
      </c>
      <c r="AG14" s="559"/>
    </row>
    <row r="15" spans="1:33" ht="15">
      <c r="A15" s="335" t="s">
        <v>286</v>
      </c>
      <c r="B15" s="577" t="s">
        <v>287</v>
      </c>
      <c r="C15" s="449" t="s">
        <v>254</v>
      </c>
      <c r="D15" s="323" t="s">
        <v>255</v>
      </c>
      <c r="E15" s="457" t="s">
        <v>288</v>
      </c>
      <c r="F15" s="457"/>
      <c r="G15" s="553" t="str">
        <f>VLOOKUP(A15,'Feature Raw Data'!$A$3:$C$4084,3,FALSE)</f>
        <v>P2</v>
      </c>
      <c r="H15" s="457" t="s">
        <v>289</v>
      </c>
      <c r="I15" s="322"/>
      <c r="J15" s="323">
        <v>1</v>
      </c>
      <c r="K15" s="323">
        <v>1</v>
      </c>
      <c r="L15" s="428" t="s">
        <v>33</v>
      </c>
      <c r="M15" s="472">
        <v>1</v>
      </c>
      <c r="N15" s="470">
        <f t="shared" si="1"/>
        <v>1</v>
      </c>
      <c r="O15" s="474">
        <f t="shared" si="10"/>
        <v>1</v>
      </c>
      <c r="P15" s="454" t="s">
        <v>45</v>
      </c>
      <c r="Q15" s="358">
        <f t="shared" si="2"/>
        <v>1</v>
      </c>
      <c r="R15" s="488">
        <f t="shared" si="8"/>
        <v>1</v>
      </c>
      <c r="S15" s="488">
        <v>1</v>
      </c>
      <c r="T15" s="491"/>
      <c r="U15" s="488">
        <f t="shared" si="3"/>
        <v>0</v>
      </c>
      <c r="V15" s="491"/>
      <c r="W15" s="501">
        <f t="shared" si="4"/>
        <v>1</v>
      </c>
      <c r="X15" s="455"/>
      <c r="Y15" s="578">
        <f t="shared" si="5"/>
        <v>0</v>
      </c>
      <c r="Z15" s="488"/>
      <c r="AA15" s="491"/>
      <c r="AB15" s="491"/>
      <c r="AC15" s="491"/>
      <c r="AD15" s="489">
        <f t="shared" si="6"/>
        <v>0</v>
      </c>
      <c r="AE15" s="322"/>
      <c r="AF15" s="452" t="str">
        <f>VLOOKUP(A15,'Feature Summary'!$A$7:$U$4086,21,FALSE)</f>
        <v>WK4</v>
      </c>
      <c r="AG15" s="324"/>
    </row>
    <row r="16" spans="1:33" ht="15">
      <c r="A16" s="335" t="s">
        <v>286</v>
      </c>
      <c r="B16" s="577" t="s">
        <v>287</v>
      </c>
      <c r="C16" s="449" t="s">
        <v>254</v>
      </c>
      <c r="D16" s="323" t="s">
        <v>255</v>
      </c>
      <c r="E16" s="457" t="s">
        <v>290</v>
      </c>
      <c r="F16" s="457"/>
      <c r="G16" s="553" t="str">
        <f>VLOOKUP(A16,'Feature Raw Data'!$A$3:$C$4084,3,FALSE)</f>
        <v>P2</v>
      </c>
      <c r="H16" s="457" t="s">
        <v>291</v>
      </c>
      <c r="I16" s="322"/>
      <c r="J16" s="323">
        <v>1</v>
      </c>
      <c r="K16" s="323">
        <v>1</v>
      </c>
      <c r="L16" s="428" t="s">
        <v>33</v>
      </c>
      <c r="M16" s="472">
        <v>1</v>
      </c>
      <c r="N16" s="470">
        <f t="shared" si="1"/>
        <v>1</v>
      </c>
      <c r="O16" s="474">
        <f t="shared" si="10"/>
        <v>1</v>
      </c>
      <c r="P16" s="454" t="s">
        <v>45</v>
      </c>
      <c r="Q16" s="358">
        <f t="shared" si="2"/>
        <v>1</v>
      </c>
      <c r="R16" s="488">
        <f t="shared" si="8"/>
        <v>1</v>
      </c>
      <c r="S16" s="488">
        <v>1</v>
      </c>
      <c r="T16" s="491"/>
      <c r="U16" s="488">
        <f t="shared" si="3"/>
        <v>0</v>
      </c>
      <c r="V16" s="491"/>
      <c r="W16" s="501">
        <f t="shared" si="4"/>
        <v>1</v>
      </c>
      <c r="X16" s="455"/>
      <c r="Y16" s="578">
        <f t="shared" si="5"/>
        <v>0</v>
      </c>
      <c r="Z16" s="488"/>
      <c r="AA16" s="491"/>
      <c r="AB16" s="491"/>
      <c r="AC16" s="491"/>
      <c r="AD16" s="489">
        <f t="shared" si="6"/>
        <v>0</v>
      </c>
      <c r="AE16" s="322"/>
      <c r="AF16" s="452" t="str">
        <f>VLOOKUP(A16,'Feature Summary'!$A$7:$U$4086,21,FALSE)</f>
        <v>WK4</v>
      </c>
      <c r="AG16" s="324"/>
    </row>
    <row r="17" spans="1:33" s="560" customFormat="1" ht="45">
      <c r="A17" s="335" t="s">
        <v>292</v>
      </c>
      <c r="B17" s="577" t="s">
        <v>293</v>
      </c>
      <c r="C17" s="449" t="s">
        <v>254</v>
      </c>
      <c r="D17" s="552" t="s">
        <v>255</v>
      </c>
      <c r="E17" s="457" t="s">
        <v>294</v>
      </c>
      <c r="F17" s="550" t="s">
        <v>295</v>
      </c>
      <c r="G17" s="553" t="str">
        <f>VLOOKUP(A17,'Feature Raw Data'!$A$3:$C$4084,3,FALSE)</f>
        <v>P2</v>
      </c>
      <c r="H17" s="550" t="s">
        <v>296</v>
      </c>
      <c r="I17" s="550" t="s">
        <v>297</v>
      </c>
      <c r="J17" s="552">
        <v>1</v>
      </c>
      <c r="K17" s="552">
        <v>3</v>
      </c>
      <c r="L17" s="554" t="s">
        <v>33</v>
      </c>
      <c r="M17" s="555">
        <v>1</v>
      </c>
      <c r="N17" s="470">
        <f t="shared" si="1"/>
        <v>3</v>
      </c>
      <c r="O17" s="474">
        <f t="shared" si="10"/>
        <v>1</v>
      </c>
      <c r="P17" s="454" t="s">
        <v>45</v>
      </c>
      <c r="Q17" s="358">
        <f t="shared" si="2"/>
        <v>3</v>
      </c>
      <c r="R17" s="488">
        <f t="shared" si="8"/>
        <v>3</v>
      </c>
      <c r="S17" s="488"/>
      <c r="T17" s="491"/>
      <c r="U17" s="488">
        <f t="shared" si="3"/>
        <v>3</v>
      </c>
      <c r="V17" s="491"/>
      <c r="W17" s="501">
        <f t="shared" si="4"/>
        <v>0</v>
      </c>
      <c r="X17" s="558"/>
      <c r="Y17" s="578">
        <f t="shared" si="5"/>
        <v>0</v>
      </c>
      <c r="Z17" s="488"/>
      <c r="AA17" s="557"/>
      <c r="AB17" s="557"/>
      <c r="AC17" s="557"/>
      <c r="AD17" s="489">
        <f t="shared" si="6"/>
        <v>0</v>
      </c>
      <c r="AE17" s="550"/>
      <c r="AF17" s="452" t="str">
        <f>VLOOKUP(A17,'Feature Summary'!$A$7:$U$4086,21,FALSE)</f>
        <v>WK4</v>
      </c>
      <c r="AG17" s="559"/>
    </row>
    <row r="18" spans="1:33" ht="30">
      <c r="A18" s="335" t="s">
        <v>298</v>
      </c>
      <c r="B18" s="577" t="s">
        <v>299</v>
      </c>
      <c r="C18" s="449" t="s">
        <v>254</v>
      </c>
      <c r="D18" s="323" t="s">
        <v>255</v>
      </c>
      <c r="E18" s="322" t="str">
        <f t="shared" si="9"/>
        <v>Copy cmd format to support CUDA API(3D handle)</v>
      </c>
      <c r="F18" s="457"/>
      <c r="G18" s="553" t="str">
        <f>VLOOKUP(A18,'Feature Raw Data'!$A$3:$C$4084,3,FALSE)</f>
        <v>P2</v>
      </c>
      <c r="H18" s="457" t="s">
        <v>300</v>
      </c>
      <c r="I18" s="322"/>
      <c r="J18" s="323">
        <v>1</v>
      </c>
      <c r="K18" s="323">
        <v>1</v>
      </c>
      <c r="L18" s="428" t="s">
        <v>33</v>
      </c>
      <c r="M18" s="472">
        <v>1</v>
      </c>
      <c r="N18" s="470">
        <f t="shared" si="1"/>
        <v>1</v>
      </c>
      <c r="O18" s="474">
        <f t="shared" si="10"/>
        <v>1</v>
      </c>
      <c r="P18" s="454" t="s">
        <v>45</v>
      </c>
      <c r="Q18" s="358">
        <f t="shared" si="2"/>
        <v>1</v>
      </c>
      <c r="R18" s="488">
        <f t="shared" si="8"/>
        <v>1</v>
      </c>
      <c r="S18" s="488">
        <v>1</v>
      </c>
      <c r="T18" s="491"/>
      <c r="U18" s="488">
        <f t="shared" si="3"/>
        <v>0</v>
      </c>
      <c r="V18" s="491"/>
      <c r="W18" s="501">
        <f t="shared" si="4"/>
        <v>1</v>
      </c>
      <c r="X18" s="455"/>
      <c r="Y18" s="578">
        <f t="shared" si="5"/>
        <v>0</v>
      </c>
      <c r="Z18" s="488"/>
      <c r="AA18" s="491"/>
      <c r="AB18" s="491"/>
      <c r="AC18" s="491"/>
      <c r="AD18" s="489">
        <f t="shared" si="6"/>
        <v>0</v>
      </c>
      <c r="AE18" s="322"/>
      <c r="AF18" s="452" t="s">
        <v>301</v>
      </c>
      <c r="AG18" s="324"/>
    </row>
    <row r="19" spans="1:33" s="560" customFormat="1" ht="15">
      <c r="A19" s="335" t="s">
        <v>302</v>
      </c>
      <c r="B19" s="577" t="s">
        <v>303</v>
      </c>
      <c r="C19" s="449" t="s">
        <v>254</v>
      </c>
      <c r="D19" s="552" t="s">
        <v>255</v>
      </c>
      <c r="E19" s="457" t="str">
        <f t="shared" si="9"/>
        <v>Data Fill MULTI</v>
      </c>
      <c r="F19" s="550"/>
      <c r="G19" s="553" t="str">
        <f>VLOOKUP(A19,'Feature Raw Data'!$A$3:$C$4084,3,FALSE)</f>
        <v>P2</v>
      </c>
      <c r="H19" s="550" t="s">
        <v>304</v>
      </c>
      <c r="I19" s="322"/>
      <c r="J19" s="552">
        <v>1</v>
      </c>
      <c r="K19" s="552">
        <v>1</v>
      </c>
      <c r="L19" s="554" t="s">
        <v>33</v>
      </c>
      <c r="M19" s="555">
        <v>1</v>
      </c>
      <c r="N19" s="470">
        <f t="shared" si="1"/>
        <v>1</v>
      </c>
      <c r="O19" s="474">
        <f t="shared" si="10"/>
        <v>1</v>
      </c>
      <c r="P19" s="454" t="s">
        <v>45</v>
      </c>
      <c r="Q19" s="358">
        <f t="shared" si="2"/>
        <v>1</v>
      </c>
      <c r="R19" s="488">
        <f t="shared" si="8"/>
        <v>1</v>
      </c>
      <c r="S19" s="488">
        <v>1</v>
      </c>
      <c r="T19" s="557"/>
      <c r="U19" s="488">
        <f t="shared" si="3"/>
        <v>0</v>
      </c>
      <c r="V19" s="557"/>
      <c r="W19" s="501">
        <f t="shared" si="4"/>
        <v>1</v>
      </c>
      <c r="X19" s="558"/>
      <c r="Y19" s="578">
        <f t="shared" si="5"/>
        <v>0</v>
      </c>
      <c r="Z19" s="488"/>
      <c r="AA19" s="557"/>
      <c r="AB19" s="557"/>
      <c r="AC19" s="557"/>
      <c r="AD19" s="489">
        <f t="shared" si="6"/>
        <v>0</v>
      </c>
      <c r="AE19" s="551"/>
      <c r="AF19" s="452" t="str">
        <f>VLOOKUP(A19,'Feature Summary'!$A$7:$U$4086,21,FALSE)</f>
        <v>WK4</v>
      </c>
      <c r="AG19" s="559"/>
    </row>
    <row r="20" spans="1:33" ht="30">
      <c r="A20" s="335" t="s">
        <v>305</v>
      </c>
      <c r="B20" s="577" t="s">
        <v>306</v>
      </c>
      <c r="C20" s="449" t="s">
        <v>254</v>
      </c>
      <c r="D20" s="323" t="s">
        <v>255</v>
      </c>
      <c r="E20" s="322" t="str">
        <f t="shared" si="9"/>
        <v>DCC compression/decompression copy</v>
      </c>
      <c r="F20" s="322"/>
      <c r="G20" s="553" t="str">
        <f>VLOOKUP(A20,'Feature Raw Data'!$A$3:$C$4084,3,FALSE)</f>
        <v>P2</v>
      </c>
      <c r="H20" s="457" t="s">
        <v>307</v>
      </c>
      <c r="I20" s="322"/>
      <c r="J20" s="323">
        <v>1</v>
      </c>
      <c r="K20" s="323">
        <v>1</v>
      </c>
      <c r="L20" s="428" t="s">
        <v>33</v>
      </c>
      <c r="M20" s="472">
        <v>1</v>
      </c>
      <c r="N20" s="470">
        <f t="shared" si="1"/>
        <v>1</v>
      </c>
      <c r="O20" s="474">
        <f t="shared" si="10"/>
        <v>1</v>
      </c>
      <c r="P20" s="454" t="s">
        <v>45</v>
      </c>
      <c r="Q20" s="358">
        <f t="shared" si="2"/>
        <v>1</v>
      </c>
      <c r="R20" s="488">
        <f t="shared" si="8"/>
        <v>1</v>
      </c>
      <c r="S20" s="488">
        <v>1</v>
      </c>
      <c r="T20" s="491"/>
      <c r="U20" s="488">
        <f t="shared" si="3"/>
        <v>0</v>
      </c>
      <c r="V20" s="491"/>
      <c r="W20" s="501">
        <f t="shared" si="4"/>
        <v>1</v>
      </c>
      <c r="X20" s="455"/>
      <c r="Y20" s="578">
        <f t="shared" si="5"/>
        <v>0</v>
      </c>
      <c r="Z20" s="488"/>
      <c r="AA20" s="491"/>
      <c r="AB20" s="491"/>
      <c r="AC20" s="491"/>
      <c r="AD20" s="489">
        <f t="shared" si="6"/>
        <v>0</v>
      </c>
      <c r="AE20" s="322"/>
      <c r="AF20" s="452" t="str">
        <f>VLOOKUP(A20,'Feature Summary'!$A$7:$U$4086,21,FALSE)</f>
        <v>WK4</v>
      </c>
      <c r="AG20" s="324"/>
    </row>
    <row r="21" spans="1:33" ht="30">
      <c r="A21" s="335" t="s">
        <v>308</v>
      </c>
      <c r="B21" s="577" t="s">
        <v>309</v>
      </c>
      <c r="C21" s="449" t="s">
        <v>254</v>
      </c>
      <c r="D21" s="323" t="s">
        <v>255</v>
      </c>
      <c r="E21" s="457" t="str">
        <f t="shared" si="9"/>
        <v xml:space="preserve">Enable Host (CPU) access to F32 scratch RAM </v>
      </c>
      <c r="F21" s="322"/>
      <c r="G21" s="553" t="str">
        <f>VLOOKUP(A21,'Feature Raw Data'!$A$3:$C$4084,3,FALSE)</f>
        <v>P2</v>
      </c>
      <c r="H21" s="457" t="s">
        <v>310</v>
      </c>
      <c r="I21" s="322"/>
      <c r="J21" s="323">
        <v>1</v>
      </c>
      <c r="K21" s="323">
        <v>1</v>
      </c>
      <c r="L21" s="428" t="s">
        <v>33</v>
      </c>
      <c r="M21" s="472">
        <v>1</v>
      </c>
      <c r="N21" s="470">
        <f t="shared" si="1"/>
        <v>1</v>
      </c>
      <c r="O21" s="474">
        <f t="shared" si="10"/>
        <v>1</v>
      </c>
      <c r="P21" s="454" t="s">
        <v>45</v>
      </c>
      <c r="Q21" s="358">
        <f t="shared" si="2"/>
        <v>1</v>
      </c>
      <c r="R21" s="488">
        <f t="shared" si="8"/>
        <v>1</v>
      </c>
      <c r="S21" s="488">
        <v>1</v>
      </c>
      <c r="T21" s="491"/>
      <c r="U21" s="488">
        <f t="shared" si="3"/>
        <v>0</v>
      </c>
      <c r="V21" s="491"/>
      <c r="W21" s="501">
        <f t="shared" si="4"/>
        <v>1</v>
      </c>
      <c r="X21" s="455"/>
      <c r="Y21" s="578">
        <f t="shared" si="5"/>
        <v>0</v>
      </c>
      <c r="Z21" s="488"/>
      <c r="AA21" s="491"/>
      <c r="AB21" s="491"/>
      <c r="AC21" s="491"/>
      <c r="AD21" s="489">
        <f t="shared" si="6"/>
        <v>0</v>
      </c>
      <c r="AE21" s="322"/>
      <c r="AF21" s="452" t="s">
        <v>301</v>
      </c>
      <c r="AG21" s="324"/>
    </row>
    <row r="22" spans="1:33" ht="15">
      <c r="A22" s="335" t="s">
        <v>311</v>
      </c>
      <c r="B22" s="577" t="s">
        <v>312</v>
      </c>
      <c r="C22" s="449" t="s">
        <v>254</v>
      </c>
      <c r="D22" s="323" t="s">
        <v>255</v>
      </c>
      <c r="E22" s="457" t="s">
        <v>313</v>
      </c>
      <c r="F22" s="322"/>
      <c r="G22" s="553" t="str">
        <f>VLOOKUP(A22,'Feature Raw Data'!$A$3:$C$4084,3,FALSE)</f>
        <v>P2</v>
      </c>
      <c r="H22" s="457" t="s">
        <v>314</v>
      </c>
      <c r="I22" s="322"/>
      <c r="J22" s="323">
        <v>1</v>
      </c>
      <c r="K22" s="323">
        <v>1</v>
      </c>
      <c r="L22" s="428" t="s">
        <v>33</v>
      </c>
      <c r="M22" s="472">
        <v>1</v>
      </c>
      <c r="N22" s="470">
        <f t="shared" si="1"/>
        <v>1</v>
      </c>
      <c r="O22" s="474">
        <f t="shared" si="10"/>
        <v>1</v>
      </c>
      <c r="P22" s="454" t="s">
        <v>45</v>
      </c>
      <c r="Q22" s="358">
        <f t="shared" si="2"/>
        <v>1</v>
      </c>
      <c r="R22" s="488">
        <f t="shared" si="8"/>
        <v>1</v>
      </c>
      <c r="S22" s="488">
        <v>1</v>
      </c>
      <c r="T22" s="491"/>
      <c r="U22" s="488">
        <f t="shared" si="3"/>
        <v>0</v>
      </c>
      <c r="V22" s="491"/>
      <c r="W22" s="501">
        <f t="shared" si="4"/>
        <v>1</v>
      </c>
      <c r="X22" s="455"/>
      <c r="Y22" s="578">
        <f t="shared" si="5"/>
        <v>0</v>
      </c>
      <c r="Z22" s="488"/>
      <c r="AA22" s="491"/>
      <c r="AB22" s="491"/>
      <c r="AC22" s="491"/>
      <c r="AD22" s="489">
        <f t="shared" si="6"/>
        <v>0</v>
      </c>
      <c r="AE22" s="322"/>
      <c r="AF22" s="452" t="s">
        <v>259</v>
      </c>
      <c r="AG22" s="324"/>
    </row>
    <row r="23" spans="1:33" s="567" customFormat="1" ht="15">
      <c r="A23" s="335" t="s">
        <v>311</v>
      </c>
      <c r="B23" s="577" t="s">
        <v>312</v>
      </c>
      <c r="C23" s="449" t="s">
        <v>254</v>
      </c>
      <c r="D23" s="563" t="s">
        <v>255</v>
      </c>
      <c r="E23" s="457" t="s">
        <v>315</v>
      </c>
      <c r="F23" s="322"/>
      <c r="G23" s="553" t="str">
        <f>VLOOKUP(A23,'Feature Raw Data'!$A$3:$C$4084,3,FALSE)</f>
        <v>P2</v>
      </c>
      <c r="H23" s="561" t="s">
        <v>316</v>
      </c>
      <c r="I23" s="322"/>
      <c r="J23" s="563">
        <v>1</v>
      </c>
      <c r="K23" s="323">
        <v>1</v>
      </c>
      <c r="L23" s="428" t="s">
        <v>33</v>
      </c>
      <c r="M23" s="472">
        <v>1</v>
      </c>
      <c r="N23" s="470">
        <f t="shared" si="1"/>
        <v>1</v>
      </c>
      <c r="O23" s="474">
        <f t="shared" si="10"/>
        <v>1</v>
      </c>
      <c r="P23" s="454" t="s">
        <v>45</v>
      </c>
      <c r="Q23" s="358">
        <f t="shared" si="2"/>
        <v>1</v>
      </c>
      <c r="R23" s="488">
        <f t="shared" si="8"/>
        <v>1</v>
      </c>
      <c r="S23" s="488"/>
      <c r="T23" s="491"/>
      <c r="U23" s="488">
        <f t="shared" si="3"/>
        <v>1</v>
      </c>
      <c r="V23" s="491"/>
      <c r="W23" s="501">
        <f t="shared" si="4"/>
        <v>0</v>
      </c>
      <c r="X23" s="565" t="s">
        <v>317</v>
      </c>
      <c r="Y23" s="578">
        <f t="shared" si="5"/>
        <v>0</v>
      </c>
      <c r="Z23" s="488"/>
      <c r="AA23" s="564"/>
      <c r="AB23" s="564"/>
      <c r="AC23" s="564"/>
      <c r="AD23" s="489">
        <f t="shared" si="6"/>
        <v>0</v>
      </c>
      <c r="AE23" s="562"/>
      <c r="AF23" s="452" t="s">
        <v>259</v>
      </c>
      <c r="AG23" s="566"/>
    </row>
    <row r="24" spans="1:33" s="560" customFormat="1" ht="15">
      <c r="A24" s="335" t="s">
        <v>318</v>
      </c>
      <c r="B24" s="577" t="s">
        <v>319</v>
      </c>
      <c r="C24" s="449" t="s">
        <v>254</v>
      </c>
      <c r="D24" s="552" t="s">
        <v>255</v>
      </c>
      <c r="E24" s="457" t="s">
        <v>33</v>
      </c>
      <c r="F24" s="550"/>
      <c r="G24" s="553" t="str">
        <f>VLOOKUP(A24,'Feature Raw Data'!$A$3:$C$4084,3,FALSE)</f>
        <v>P2</v>
      </c>
      <c r="H24" s="550" t="s">
        <v>320</v>
      </c>
      <c r="I24" s="551" t="s">
        <v>321</v>
      </c>
      <c r="J24" s="552">
        <v>1</v>
      </c>
      <c r="K24" s="552">
        <v>1</v>
      </c>
      <c r="L24" s="554" t="s">
        <v>33</v>
      </c>
      <c r="M24" s="555">
        <v>1</v>
      </c>
      <c r="N24" s="470">
        <f t="shared" si="1"/>
        <v>1</v>
      </c>
      <c r="O24" s="474">
        <f t="shared" si="10"/>
        <v>1</v>
      </c>
      <c r="P24" s="454" t="s">
        <v>45</v>
      </c>
      <c r="Q24" s="358">
        <f t="shared" si="2"/>
        <v>1</v>
      </c>
      <c r="R24" s="488">
        <f t="shared" si="8"/>
        <v>1</v>
      </c>
      <c r="S24" s="488"/>
      <c r="T24" s="491"/>
      <c r="U24" s="488">
        <f t="shared" si="3"/>
        <v>1</v>
      </c>
      <c r="V24" s="491"/>
      <c r="W24" s="501">
        <f t="shared" si="4"/>
        <v>0</v>
      </c>
      <c r="X24" s="558"/>
      <c r="Y24" s="578">
        <f t="shared" si="5"/>
        <v>0</v>
      </c>
      <c r="Z24" s="488"/>
      <c r="AA24" s="557"/>
      <c r="AB24" s="557"/>
      <c r="AC24" s="557"/>
      <c r="AD24" s="489">
        <f t="shared" si="6"/>
        <v>0</v>
      </c>
      <c r="AE24" s="551"/>
      <c r="AF24" s="452" t="s">
        <v>301</v>
      </c>
      <c r="AG24" s="559"/>
    </row>
    <row r="25" spans="1:33" ht="15">
      <c r="A25" s="335" t="s">
        <v>318</v>
      </c>
      <c r="B25" s="577" t="s">
        <v>319</v>
      </c>
      <c r="C25" s="449" t="s">
        <v>254</v>
      </c>
      <c r="D25" s="323" t="s">
        <v>255</v>
      </c>
      <c r="E25" s="457" t="s">
        <v>322</v>
      </c>
      <c r="F25" s="457"/>
      <c r="G25" s="553" t="str">
        <f>VLOOKUP(A25,'Feature Raw Data'!$A$3:$C$4084,3,FALSE)</f>
        <v>P2</v>
      </c>
      <c r="H25" s="457" t="s">
        <v>323</v>
      </c>
      <c r="I25" s="551" t="s">
        <v>321</v>
      </c>
      <c r="J25" s="323">
        <v>1</v>
      </c>
      <c r="K25" s="323">
        <v>1</v>
      </c>
      <c r="L25" s="428" t="s">
        <v>33</v>
      </c>
      <c r="M25" s="472">
        <v>1</v>
      </c>
      <c r="N25" s="470">
        <f t="shared" si="1"/>
        <v>1</v>
      </c>
      <c r="O25" s="474">
        <f t="shared" si="10"/>
        <v>1</v>
      </c>
      <c r="P25" s="454" t="s">
        <v>45</v>
      </c>
      <c r="Q25" s="358">
        <f t="shared" si="2"/>
        <v>1</v>
      </c>
      <c r="R25" s="488">
        <f t="shared" si="8"/>
        <v>1</v>
      </c>
      <c r="S25" s="488"/>
      <c r="T25" s="491"/>
      <c r="U25" s="488">
        <f t="shared" si="3"/>
        <v>1</v>
      </c>
      <c r="V25" s="491"/>
      <c r="W25" s="501">
        <f t="shared" si="4"/>
        <v>0</v>
      </c>
      <c r="X25" s="455"/>
      <c r="Y25" s="578">
        <f t="shared" si="5"/>
        <v>0</v>
      </c>
      <c r="Z25" s="488"/>
      <c r="AA25" s="491"/>
      <c r="AB25" s="491"/>
      <c r="AC25" s="491"/>
      <c r="AD25" s="489">
        <f t="shared" si="6"/>
        <v>0</v>
      </c>
      <c r="AE25" s="551"/>
      <c r="AF25" s="452" t="s">
        <v>301</v>
      </c>
      <c r="AG25" s="324"/>
    </row>
    <row r="26" spans="1:33" ht="15">
      <c r="A26" s="335" t="s">
        <v>324</v>
      </c>
      <c r="B26" s="577" t="s">
        <v>325</v>
      </c>
      <c r="C26" s="449" t="s">
        <v>254</v>
      </c>
      <c r="D26" s="323" t="s">
        <v>255</v>
      </c>
      <c r="E26" s="457" t="s">
        <v>326</v>
      </c>
      <c r="F26" s="457"/>
      <c r="G26" s="553" t="str">
        <f>VLOOKUP(A26,'Feature Raw Data'!$A$3:$C$4084,3,FALSE)</f>
        <v>P2</v>
      </c>
      <c r="H26" s="457" t="s">
        <v>327</v>
      </c>
      <c r="I26" s="322"/>
      <c r="J26" s="323">
        <v>1</v>
      </c>
      <c r="K26" s="323">
        <v>1</v>
      </c>
      <c r="L26" s="428" t="s">
        <v>33</v>
      </c>
      <c r="M26" s="472">
        <v>1</v>
      </c>
      <c r="N26" s="470">
        <f t="shared" si="1"/>
        <v>1</v>
      </c>
      <c r="O26" s="474">
        <f t="shared" si="10"/>
        <v>1</v>
      </c>
      <c r="P26" s="454" t="s">
        <v>45</v>
      </c>
      <c r="Q26" s="358">
        <f t="shared" si="2"/>
        <v>1</v>
      </c>
      <c r="R26" s="488">
        <f t="shared" si="8"/>
        <v>1</v>
      </c>
      <c r="S26" s="488">
        <v>1</v>
      </c>
      <c r="T26" s="491"/>
      <c r="U26" s="488">
        <f t="shared" si="3"/>
        <v>0</v>
      </c>
      <c r="V26" s="491"/>
      <c r="W26" s="501">
        <f t="shared" si="4"/>
        <v>1</v>
      </c>
      <c r="X26" s="455"/>
      <c r="Y26" s="578">
        <f t="shared" si="5"/>
        <v>0</v>
      </c>
      <c r="Z26" s="488"/>
      <c r="AA26" s="491"/>
      <c r="AB26" s="491"/>
      <c r="AC26" s="491"/>
      <c r="AD26" s="489">
        <f t="shared" si="6"/>
        <v>0</v>
      </c>
      <c r="AE26" s="322"/>
      <c r="AF26" s="452" t="s">
        <v>301</v>
      </c>
      <c r="AG26" s="324"/>
    </row>
    <row r="27" spans="1:33" ht="15">
      <c r="A27" s="335" t="s">
        <v>324</v>
      </c>
      <c r="B27" s="577" t="s">
        <v>325</v>
      </c>
      <c r="C27" s="449" t="s">
        <v>254</v>
      </c>
      <c r="D27" s="323" t="s">
        <v>255</v>
      </c>
      <c r="E27" s="457" t="s">
        <v>328</v>
      </c>
      <c r="F27" s="457"/>
      <c r="G27" s="553" t="str">
        <f>VLOOKUP(A27,'Feature Raw Data'!$A$3:$C$4084,3,FALSE)</f>
        <v>P2</v>
      </c>
      <c r="H27" s="457" t="s">
        <v>329</v>
      </c>
      <c r="I27" s="322"/>
      <c r="J27" s="323">
        <v>1</v>
      </c>
      <c r="K27" s="323">
        <v>1</v>
      </c>
      <c r="L27" s="428" t="s">
        <v>33</v>
      </c>
      <c r="M27" s="472">
        <v>1</v>
      </c>
      <c r="N27" s="470">
        <f t="shared" si="1"/>
        <v>1</v>
      </c>
      <c r="O27" s="474">
        <f t="shared" si="10"/>
        <v>1</v>
      </c>
      <c r="P27" s="454" t="s">
        <v>45</v>
      </c>
      <c r="Q27" s="358">
        <f t="shared" si="2"/>
        <v>1</v>
      </c>
      <c r="R27" s="488">
        <f t="shared" si="8"/>
        <v>1</v>
      </c>
      <c r="S27" s="488">
        <v>1</v>
      </c>
      <c r="T27" s="491"/>
      <c r="U27" s="488">
        <f t="shared" si="3"/>
        <v>0</v>
      </c>
      <c r="V27" s="491"/>
      <c r="W27" s="501">
        <f t="shared" si="4"/>
        <v>1</v>
      </c>
      <c r="X27" s="455"/>
      <c r="Y27" s="578">
        <f t="shared" si="5"/>
        <v>0</v>
      </c>
      <c r="Z27" s="488"/>
      <c r="AA27" s="491"/>
      <c r="AB27" s="491"/>
      <c r="AC27" s="491"/>
      <c r="AD27" s="489">
        <f t="shared" si="6"/>
        <v>0</v>
      </c>
      <c r="AE27" s="322"/>
      <c r="AF27" s="452" t="s">
        <v>301</v>
      </c>
      <c r="AG27" s="324"/>
    </row>
    <row r="28" spans="1:33" s="560" customFormat="1" ht="15">
      <c r="A28" s="335" t="s">
        <v>324</v>
      </c>
      <c r="B28" s="577" t="s">
        <v>325</v>
      </c>
      <c r="C28" s="449" t="s">
        <v>254</v>
      </c>
      <c r="D28" s="552" t="s">
        <v>255</v>
      </c>
      <c r="E28" s="457" t="s">
        <v>330</v>
      </c>
      <c r="F28" s="550"/>
      <c r="G28" s="553" t="str">
        <f>VLOOKUP(A28,'Feature Raw Data'!$A$3:$C$4084,3,FALSE)</f>
        <v>P2</v>
      </c>
      <c r="H28" s="550" t="s">
        <v>331</v>
      </c>
      <c r="I28" s="551"/>
      <c r="J28" s="552">
        <v>1</v>
      </c>
      <c r="K28" s="552">
        <v>1</v>
      </c>
      <c r="L28" s="554" t="s">
        <v>33</v>
      </c>
      <c r="M28" s="555">
        <v>1</v>
      </c>
      <c r="N28" s="470">
        <f t="shared" si="1"/>
        <v>1</v>
      </c>
      <c r="O28" s="474">
        <f t="shared" si="10"/>
        <v>1</v>
      </c>
      <c r="P28" s="454" t="s">
        <v>45</v>
      </c>
      <c r="Q28" s="358">
        <f t="shared" si="2"/>
        <v>1</v>
      </c>
      <c r="R28" s="488">
        <f t="shared" si="8"/>
        <v>1</v>
      </c>
      <c r="S28" s="488">
        <v>1</v>
      </c>
      <c r="T28" s="491"/>
      <c r="U28" s="488">
        <f t="shared" si="3"/>
        <v>0</v>
      </c>
      <c r="V28" s="491"/>
      <c r="W28" s="501">
        <f t="shared" si="4"/>
        <v>1</v>
      </c>
      <c r="X28" s="558"/>
      <c r="Y28" s="578">
        <f t="shared" si="5"/>
        <v>0</v>
      </c>
      <c r="Z28" s="488"/>
      <c r="AA28" s="557"/>
      <c r="AB28" s="557"/>
      <c r="AC28" s="557"/>
      <c r="AD28" s="489">
        <f t="shared" si="6"/>
        <v>0</v>
      </c>
      <c r="AE28" s="551"/>
      <c r="AF28" s="452" t="s">
        <v>301</v>
      </c>
      <c r="AG28" s="559"/>
    </row>
    <row r="29" spans="1:33" ht="15">
      <c r="A29" s="335" t="s">
        <v>332</v>
      </c>
      <c r="B29" s="577" t="s">
        <v>333</v>
      </c>
      <c r="C29" s="449" t="s">
        <v>254</v>
      </c>
      <c r="D29" s="323" t="s">
        <v>255</v>
      </c>
      <c r="E29" s="457" t="str">
        <f t="shared" si="9"/>
        <v>Increase max copy size(4M-1G)</v>
      </c>
      <c r="F29" s="322"/>
      <c r="G29" s="553" t="str">
        <f>VLOOKUP(A29,'Feature Raw Data'!$A$3:$C$4084,3,FALSE)</f>
        <v>P2</v>
      </c>
      <c r="H29" s="575" t="s">
        <v>334</v>
      </c>
      <c r="I29" s="322"/>
      <c r="J29" s="323">
        <v>1</v>
      </c>
      <c r="K29" s="323">
        <v>1</v>
      </c>
      <c r="L29" s="428" t="s">
        <v>33</v>
      </c>
      <c r="M29" s="472">
        <v>1</v>
      </c>
      <c r="N29" s="470">
        <f t="shared" si="1"/>
        <v>1</v>
      </c>
      <c r="O29" s="474">
        <f t="shared" si="10"/>
        <v>1</v>
      </c>
      <c r="P29" s="454" t="s">
        <v>45</v>
      </c>
      <c r="Q29" s="358">
        <f t="shared" si="2"/>
        <v>1</v>
      </c>
      <c r="R29" s="488">
        <f t="shared" si="8"/>
        <v>1</v>
      </c>
      <c r="S29" s="488">
        <v>1</v>
      </c>
      <c r="T29" s="491"/>
      <c r="U29" s="488">
        <f t="shared" si="3"/>
        <v>0</v>
      </c>
      <c r="V29" s="491"/>
      <c r="W29" s="501">
        <f t="shared" si="4"/>
        <v>1</v>
      </c>
      <c r="X29" s="455"/>
      <c r="Y29" s="578">
        <f t="shared" si="5"/>
        <v>0</v>
      </c>
      <c r="Z29" s="488"/>
      <c r="AA29" s="491"/>
      <c r="AB29" s="491"/>
      <c r="AC29" s="491"/>
      <c r="AD29" s="489">
        <f t="shared" si="6"/>
        <v>0</v>
      </c>
      <c r="AE29" s="322"/>
      <c r="AF29" s="452" t="s">
        <v>301</v>
      </c>
      <c r="AG29" s="324"/>
    </row>
    <row r="30" spans="1:33" s="560" customFormat="1" ht="30">
      <c r="A30" s="335" t="s">
        <v>335</v>
      </c>
      <c r="B30" s="577" t="s">
        <v>336</v>
      </c>
      <c r="C30" s="449" t="s">
        <v>254</v>
      </c>
      <c r="D30" s="552" t="s">
        <v>255</v>
      </c>
      <c r="E30" s="457" t="str">
        <f t="shared" si="9"/>
        <v>L2 policy override on normal command</v>
      </c>
      <c r="F30" s="550"/>
      <c r="G30" s="553" t="str">
        <f>VLOOKUP(A30,'Feature Raw Data'!$A$3:$C$4084,3,FALSE)</f>
        <v>P2</v>
      </c>
      <c r="H30" s="576" t="s">
        <v>337</v>
      </c>
      <c r="I30" s="551"/>
      <c r="J30" s="552">
        <v>1</v>
      </c>
      <c r="K30" s="552">
        <v>1</v>
      </c>
      <c r="L30" s="554" t="s">
        <v>33</v>
      </c>
      <c r="M30" s="555">
        <v>1</v>
      </c>
      <c r="N30" s="470">
        <f t="shared" si="1"/>
        <v>1</v>
      </c>
      <c r="O30" s="474">
        <f t="shared" si="10"/>
        <v>1</v>
      </c>
      <c r="P30" s="454" t="s">
        <v>45</v>
      </c>
      <c r="Q30" s="358">
        <f t="shared" si="2"/>
        <v>1</v>
      </c>
      <c r="R30" s="488">
        <f t="shared" si="8"/>
        <v>1</v>
      </c>
      <c r="S30" s="488">
        <v>1</v>
      </c>
      <c r="T30" s="557"/>
      <c r="U30" s="488">
        <f t="shared" si="3"/>
        <v>0</v>
      </c>
      <c r="V30" s="557"/>
      <c r="W30" s="501">
        <f t="shared" si="4"/>
        <v>1</v>
      </c>
      <c r="X30" s="558"/>
      <c r="Y30" s="578">
        <f t="shared" si="5"/>
        <v>0</v>
      </c>
      <c r="Z30" s="488"/>
      <c r="AA30" s="557"/>
      <c r="AB30" s="557"/>
      <c r="AC30" s="557"/>
      <c r="AD30" s="489">
        <f t="shared" si="6"/>
        <v>0</v>
      </c>
      <c r="AE30" s="551"/>
      <c r="AF30" s="452" t="s">
        <v>301</v>
      </c>
      <c r="AG30" s="559"/>
    </row>
    <row r="31" spans="1:33" ht="15">
      <c r="A31" s="335" t="s">
        <v>338</v>
      </c>
      <c r="B31" s="577" t="s">
        <v>339</v>
      </c>
      <c r="C31" s="449" t="s">
        <v>254</v>
      </c>
      <c r="D31" s="323" t="s">
        <v>255</v>
      </c>
      <c r="E31" s="457" t="str">
        <f t="shared" si="9"/>
        <v>Linear Copy</v>
      </c>
      <c r="F31" s="322"/>
      <c r="G31" s="553" t="str">
        <f>VLOOKUP(A31,'Feature Raw Data'!$A$3:$C$4084,3,FALSE)</f>
        <v>P2</v>
      </c>
      <c r="H31" s="575" t="s">
        <v>334</v>
      </c>
      <c r="I31" s="322"/>
      <c r="J31" s="323">
        <v>1</v>
      </c>
      <c r="K31" s="323">
        <v>1</v>
      </c>
      <c r="L31" s="428" t="s">
        <v>33</v>
      </c>
      <c r="M31" s="472">
        <v>1</v>
      </c>
      <c r="N31" s="470">
        <f t="shared" si="1"/>
        <v>1</v>
      </c>
      <c r="O31" s="474">
        <f>IF((N31=0),0,(N31/K31))</f>
        <v>1</v>
      </c>
      <c r="P31" s="454" t="s">
        <v>45</v>
      </c>
      <c r="Q31" s="358">
        <f t="shared" si="2"/>
        <v>1</v>
      </c>
      <c r="R31" s="488">
        <f t="shared" si="8"/>
        <v>1</v>
      </c>
      <c r="S31" s="488">
        <v>1</v>
      </c>
      <c r="T31" s="491"/>
      <c r="U31" s="488">
        <f t="shared" si="3"/>
        <v>0</v>
      </c>
      <c r="V31" s="491"/>
      <c r="W31" s="501">
        <f t="shared" si="4"/>
        <v>1</v>
      </c>
      <c r="X31" s="455"/>
      <c r="Y31" s="578">
        <f t="shared" si="5"/>
        <v>0</v>
      </c>
      <c r="Z31" s="488"/>
      <c r="AA31" s="491"/>
      <c r="AB31" s="491"/>
      <c r="AC31" s="491"/>
      <c r="AD31" s="489">
        <f t="shared" si="6"/>
        <v>0</v>
      </c>
      <c r="AE31" s="322"/>
      <c r="AF31" s="452" t="str">
        <f>VLOOKUP(A31,'Feature Summary'!$A$7:$U$4086,21,FALSE)</f>
        <v>WK4</v>
      </c>
      <c r="AG31" s="324"/>
    </row>
    <row r="32" spans="1:33" ht="15">
      <c r="A32" s="335" t="s">
        <v>340</v>
      </c>
      <c r="B32" s="577" t="s">
        <v>341</v>
      </c>
      <c r="C32" s="449" t="s">
        <v>254</v>
      </c>
      <c r="D32" s="323" t="s">
        <v>255</v>
      </c>
      <c r="E32" s="457" t="str">
        <f t="shared" si="9"/>
        <v>Linear Backwards Copy</v>
      </c>
      <c r="F32" s="322"/>
      <c r="G32" s="553" t="str">
        <f>VLOOKUP(A32,'Feature Raw Data'!$A$3:$C$4084,3,FALSE)</f>
        <v>P2</v>
      </c>
      <c r="H32" s="575" t="s">
        <v>342</v>
      </c>
      <c r="I32" s="322"/>
      <c r="J32" s="323">
        <v>1</v>
      </c>
      <c r="K32" s="323">
        <v>1</v>
      </c>
      <c r="L32" s="428" t="s">
        <v>33</v>
      </c>
      <c r="M32" s="472">
        <v>1</v>
      </c>
      <c r="N32" s="470">
        <f t="shared" si="1"/>
        <v>1</v>
      </c>
      <c r="O32" s="474">
        <f>IF((N32=0),0,(N32/K32))</f>
        <v>1</v>
      </c>
      <c r="P32" s="454" t="s">
        <v>45</v>
      </c>
      <c r="Q32" s="358">
        <f t="shared" si="2"/>
        <v>1</v>
      </c>
      <c r="R32" s="488">
        <f t="shared" si="8"/>
        <v>1</v>
      </c>
      <c r="S32" s="488">
        <v>1</v>
      </c>
      <c r="T32" s="491"/>
      <c r="U32" s="488">
        <f t="shared" si="3"/>
        <v>0</v>
      </c>
      <c r="V32" s="491"/>
      <c r="W32" s="501">
        <f t="shared" si="4"/>
        <v>1</v>
      </c>
      <c r="X32" s="455"/>
      <c r="Y32" s="578">
        <f t="shared" si="5"/>
        <v>0</v>
      </c>
      <c r="Z32" s="488"/>
      <c r="AA32" s="491"/>
      <c r="AB32" s="491"/>
      <c r="AC32" s="491"/>
      <c r="AD32" s="489">
        <f t="shared" si="6"/>
        <v>0</v>
      </c>
      <c r="AE32" s="322"/>
      <c r="AF32" s="452" t="str">
        <f>VLOOKUP(A32,'Feature Summary'!$A$7:$U$4086,21,FALSE)</f>
        <v>WK4</v>
      </c>
      <c r="AG32" s="324"/>
    </row>
    <row r="33" spans="1:33" ht="15">
      <c r="A33" s="335" t="s">
        <v>343</v>
      </c>
      <c r="B33" s="577" t="s">
        <v>344</v>
      </c>
      <c r="C33" s="449" t="s">
        <v>254</v>
      </c>
      <c r="D33" s="323" t="s">
        <v>255</v>
      </c>
      <c r="E33" s="457" t="str">
        <f t="shared" si="9"/>
        <v>Linear Copy Broadcast</v>
      </c>
      <c r="F33" s="322"/>
      <c r="G33" s="553" t="str">
        <f>VLOOKUP(A33,'Feature Raw Data'!$A$3:$C$4084,3,FALSE)</f>
        <v>P2</v>
      </c>
      <c r="H33" s="575" t="s">
        <v>345</v>
      </c>
      <c r="I33" s="322"/>
      <c r="J33" s="323">
        <v>1</v>
      </c>
      <c r="K33" s="323">
        <v>1</v>
      </c>
      <c r="L33" s="428" t="s">
        <v>33</v>
      </c>
      <c r="M33" s="472">
        <v>1</v>
      </c>
      <c r="N33" s="470">
        <f t="shared" si="1"/>
        <v>1</v>
      </c>
      <c r="O33" s="474">
        <f>IF((N33=0),0,(N33/K33))</f>
        <v>1</v>
      </c>
      <c r="P33" s="454" t="s">
        <v>45</v>
      </c>
      <c r="Q33" s="358">
        <f t="shared" si="2"/>
        <v>1</v>
      </c>
      <c r="R33" s="488">
        <f t="shared" si="8"/>
        <v>1</v>
      </c>
      <c r="S33" s="488">
        <v>1</v>
      </c>
      <c r="T33" s="491"/>
      <c r="U33" s="488">
        <f t="shared" si="3"/>
        <v>0</v>
      </c>
      <c r="V33" s="491"/>
      <c r="W33" s="501">
        <f t="shared" si="4"/>
        <v>1</v>
      </c>
      <c r="X33" s="455"/>
      <c r="Y33" s="578">
        <f t="shared" si="5"/>
        <v>0</v>
      </c>
      <c r="Z33" s="488"/>
      <c r="AA33" s="491"/>
      <c r="AB33" s="491"/>
      <c r="AC33" s="491"/>
      <c r="AD33" s="489">
        <f t="shared" si="6"/>
        <v>0</v>
      </c>
      <c r="AE33" s="322"/>
      <c r="AF33" s="452" t="str">
        <f>VLOOKUP(A33,'Feature Summary'!$A$7:$U$4086,21,FALSE)</f>
        <v>WK1</v>
      </c>
      <c r="AG33" s="324"/>
    </row>
    <row r="34" spans="1:33" ht="15">
      <c r="A34" s="335" t="s">
        <v>346</v>
      </c>
      <c r="B34" s="577" t="s">
        <v>347</v>
      </c>
      <c r="C34" s="449" t="s">
        <v>254</v>
      </c>
      <c r="D34" s="323" t="s">
        <v>255</v>
      </c>
      <c r="E34" s="457" t="str">
        <f t="shared" si="9"/>
        <v>Linear Sub-Window Copy</v>
      </c>
      <c r="F34" s="457"/>
      <c r="G34" s="553" t="str">
        <f>VLOOKUP(A34,'Feature Raw Data'!$A$3:$C$4084,3,FALSE)</f>
        <v>P2</v>
      </c>
      <c r="H34" s="575" t="s">
        <v>348</v>
      </c>
      <c r="I34" s="322"/>
      <c r="J34" s="323">
        <v>1</v>
      </c>
      <c r="K34" s="323">
        <v>5</v>
      </c>
      <c r="L34" s="428" t="s">
        <v>33</v>
      </c>
      <c r="M34" s="472">
        <v>1</v>
      </c>
      <c r="N34" s="470">
        <f t="shared" si="1"/>
        <v>5</v>
      </c>
      <c r="O34" s="474">
        <f t="shared" si="10"/>
        <v>1</v>
      </c>
      <c r="P34" s="454" t="s">
        <v>45</v>
      </c>
      <c r="Q34" s="358">
        <f t="shared" si="2"/>
        <v>5</v>
      </c>
      <c r="R34" s="488">
        <f t="shared" si="8"/>
        <v>5</v>
      </c>
      <c r="S34" s="488">
        <v>5</v>
      </c>
      <c r="T34" s="491"/>
      <c r="U34" s="488">
        <f t="shared" si="3"/>
        <v>0</v>
      </c>
      <c r="V34" s="491"/>
      <c r="W34" s="501">
        <f t="shared" si="4"/>
        <v>1</v>
      </c>
      <c r="X34" s="455"/>
      <c r="Y34" s="578">
        <f t="shared" si="5"/>
        <v>0</v>
      </c>
      <c r="Z34" s="488"/>
      <c r="AA34" s="491"/>
      <c r="AB34" s="491"/>
      <c r="AC34" s="491"/>
      <c r="AD34" s="489">
        <f t="shared" si="6"/>
        <v>0</v>
      </c>
      <c r="AE34" s="322"/>
      <c r="AF34" s="452" t="str">
        <f>VLOOKUP(A34,'Feature Summary'!$A$7:$U$4086,21,FALSE)</f>
        <v>WK2</v>
      </c>
      <c r="AG34" s="324"/>
    </row>
    <row r="35" spans="1:33" s="560" customFormat="1" ht="15">
      <c r="A35" s="335" t="s">
        <v>349</v>
      </c>
      <c r="B35" s="577" t="s">
        <v>350</v>
      </c>
      <c r="C35" s="449" t="s">
        <v>254</v>
      </c>
      <c r="D35" s="552" t="s">
        <v>255</v>
      </c>
      <c r="E35" s="457" t="str">
        <f t="shared" si="9"/>
        <v>Linear large Sub-Window Copy</v>
      </c>
      <c r="F35" s="550"/>
      <c r="G35" s="553" t="str">
        <f>VLOOKUP(A35,'Feature Raw Data'!$A$3:$C$4084,3,FALSE)</f>
        <v>P2</v>
      </c>
      <c r="H35" s="576" t="s">
        <v>300</v>
      </c>
      <c r="I35" s="551"/>
      <c r="J35" s="552">
        <v>1</v>
      </c>
      <c r="K35" s="552">
        <v>1</v>
      </c>
      <c r="L35" s="554" t="s">
        <v>33</v>
      </c>
      <c r="M35" s="555">
        <v>1</v>
      </c>
      <c r="N35" s="470">
        <f t="shared" si="1"/>
        <v>1</v>
      </c>
      <c r="O35" s="474">
        <f t="shared" si="10"/>
        <v>1</v>
      </c>
      <c r="P35" s="454" t="s">
        <v>45</v>
      </c>
      <c r="Q35" s="358">
        <f t="shared" si="2"/>
        <v>1</v>
      </c>
      <c r="R35" s="488">
        <f t="shared" si="8"/>
        <v>1</v>
      </c>
      <c r="S35" s="488">
        <v>1</v>
      </c>
      <c r="T35" s="557"/>
      <c r="U35" s="488">
        <f t="shared" si="3"/>
        <v>0</v>
      </c>
      <c r="V35" s="557"/>
      <c r="W35" s="501">
        <f t="shared" si="4"/>
        <v>1</v>
      </c>
      <c r="X35" s="558"/>
      <c r="Y35" s="578">
        <f t="shared" si="5"/>
        <v>0</v>
      </c>
      <c r="Z35" s="488"/>
      <c r="AA35" s="557"/>
      <c r="AB35" s="557"/>
      <c r="AC35" s="557"/>
      <c r="AD35" s="489">
        <f t="shared" si="6"/>
        <v>0</v>
      </c>
      <c r="AE35" s="551"/>
      <c r="AF35" s="452" t="str">
        <f>VLOOKUP(A35,'Feature Summary'!$A$7:$U$4086,21,FALSE)</f>
        <v>WK4</v>
      </c>
      <c r="AG35" s="559"/>
    </row>
    <row r="36" spans="1:33" s="560" customFormat="1" ht="15">
      <c r="A36" s="335" t="s">
        <v>351</v>
      </c>
      <c r="B36" s="577" t="s">
        <v>352</v>
      </c>
      <c r="C36" s="449" t="s">
        <v>254</v>
      </c>
      <c r="D36" s="552" t="s">
        <v>255</v>
      </c>
      <c r="E36" s="457" t="str">
        <f t="shared" si="9"/>
        <v>Tiled to Tiled Sub-Window Copy</v>
      </c>
      <c r="F36" s="551"/>
      <c r="G36" s="553" t="str">
        <f>VLOOKUP(A36,'Feature Raw Data'!$A$3:$C$4084,3,FALSE)</f>
        <v>P2</v>
      </c>
      <c r="H36" s="576" t="s">
        <v>353</v>
      </c>
      <c r="I36" s="551"/>
      <c r="J36" s="552">
        <v>1</v>
      </c>
      <c r="K36" s="552">
        <v>10</v>
      </c>
      <c r="L36" s="554" t="s">
        <v>33</v>
      </c>
      <c r="M36" s="555">
        <v>1</v>
      </c>
      <c r="N36" s="470">
        <f t="shared" si="1"/>
        <v>10</v>
      </c>
      <c r="O36" s="474">
        <f t="shared" si="10"/>
        <v>1</v>
      </c>
      <c r="P36" s="454" t="s">
        <v>45</v>
      </c>
      <c r="Q36" s="358">
        <f t="shared" si="2"/>
        <v>10</v>
      </c>
      <c r="R36" s="488">
        <f t="shared" si="8"/>
        <v>10</v>
      </c>
      <c r="S36" s="488">
        <v>10</v>
      </c>
      <c r="T36" s="557"/>
      <c r="U36" s="488">
        <f t="shared" si="3"/>
        <v>0</v>
      </c>
      <c r="V36" s="557"/>
      <c r="W36" s="501">
        <f t="shared" si="4"/>
        <v>1</v>
      </c>
      <c r="X36" s="558"/>
      <c r="Y36" s="578">
        <f t="shared" si="5"/>
        <v>0</v>
      </c>
      <c r="Z36" s="488"/>
      <c r="AA36" s="557"/>
      <c r="AB36" s="557"/>
      <c r="AC36" s="557"/>
      <c r="AD36" s="489">
        <f t="shared" si="6"/>
        <v>0</v>
      </c>
      <c r="AE36" s="551"/>
      <c r="AF36" s="452" t="str">
        <f>VLOOKUP(A36,'Feature Summary'!$A$7:$U$4086,21,FALSE)</f>
        <v>WK5</v>
      </c>
      <c r="AG36" s="559"/>
    </row>
    <row r="37" spans="1:33" ht="15">
      <c r="A37" s="335" t="s">
        <v>354</v>
      </c>
      <c r="B37" s="577" t="s">
        <v>355</v>
      </c>
      <c r="C37" s="449" t="s">
        <v>254</v>
      </c>
      <c r="D37" s="323" t="s">
        <v>255</v>
      </c>
      <c r="E37" s="457" t="str">
        <f t="shared" si="9"/>
        <v>Tiled Sub-Window Copy</v>
      </c>
      <c r="F37" s="457"/>
      <c r="G37" s="553" t="str">
        <f>VLOOKUP(A37,'Feature Raw Data'!$A$3:$C$4084,3,FALSE)</f>
        <v>P2</v>
      </c>
      <c r="H37" s="575" t="s">
        <v>356</v>
      </c>
      <c r="I37" s="322"/>
      <c r="J37" s="323">
        <v>1</v>
      </c>
      <c r="K37" s="323">
        <v>5</v>
      </c>
      <c r="L37" s="428" t="s">
        <v>33</v>
      </c>
      <c r="M37" s="472">
        <v>1</v>
      </c>
      <c r="N37" s="470">
        <f t="shared" si="1"/>
        <v>5</v>
      </c>
      <c r="O37" s="474">
        <f t="shared" si="10"/>
        <v>1</v>
      </c>
      <c r="P37" s="454" t="s">
        <v>45</v>
      </c>
      <c r="Q37" s="358">
        <f t="shared" si="2"/>
        <v>5</v>
      </c>
      <c r="R37" s="488">
        <f t="shared" si="8"/>
        <v>5</v>
      </c>
      <c r="S37" s="488">
        <v>5</v>
      </c>
      <c r="T37" s="491"/>
      <c r="U37" s="488">
        <f t="shared" si="3"/>
        <v>0</v>
      </c>
      <c r="V37" s="491"/>
      <c r="W37" s="501">
        <f t="shared" si="4"/>
        <v>1</v>
      </c>
      <c r="X37" s="455"/>
      <c r="Y37" s="578">
        <f t="shared" si="5"/>
        <v>0</v>
      </c>
      <c r="Z37" s="488"/>
      <c r="AA37" s="491"/>
      <c r="AB37" s="491"/>
      <c r="AC37" s="491"/>
      <c r="AD37" s="489">
        <f t="shared" si="6"/>
        <v>0</v>
      </c>
      <c r="AE37" s="322"/>
      <c r="AF37" s="452" t="s">
        <v>301</v>
      </c>
      <c r="AG37" s="324"/>
    </row>
    <row r="38" spans="1:33" s="560" customFormat="1" ht="15">
      <c r="A38" s="335" t="s">
        <v>357</v>
      </c>
      <c r="B38" s="577" t="s">
        <v>358</v>
      </c>
      <c r="C38" s="449" t="s">
        <v>254</v>
      </c>
      <c r="D38" s="552" t="s">
        <v>255</v>
      </c>
      <c r="E38" s="457" t="str">
        <f t="shared" si="9"/>
        <v>Linear to Linear Copy Command</v>
      </c>
      <c r="F38" s="550"/>
      <c r="G38" s="553" t="str">
        <f>VLOOKUP(A38,'Feature Raw Data'!$A$3:$C$4084,3,FALSE)</f>
        <v>P2</v>
      </c>
      <c r="H38" s="576" t="s">
        <v>334</v>
      </c>
      <c r="I38" s="551"/>
      <c r="J38" s="552">
        <v>1</v>
      </c>
      <c r="K38" s="552">
        <v>1</v>
      </c>
      <c r="L38" s="554" t="s">
        <v>33</v>
      </c>
      <c r="M38" s="555">
        <v>1</v>
      </c>
      <c r="N38" s="470">
        <f t="shared" si="1"/>
        <v>1</v>
      </c>
      <c r="O38" s="474">
        <f t="shared" si="10"/>
        <v>1</v>
      </c>
      <c r="P38" s="454" t="s">
        <v>45</v>
      </c>
      <c r="Q38" s="358">
        <f t="shared" si="2"/>
        <v>1</v>
      </c>
      <c r="R38" s="488">
        <f t="shared" si="8"/>
        <v>1</v>
      </c>
      <c r="S38" s="488">
        <v>1</v>
      </c>
      <c r="T38" s="557"/>
      <c r="U38" s="488">
        <f t="shared" si="3"/>
        <v>0</v>
      </c>
      <c r="V38" s="557"/>
      <c r="W38" s="501">
        <f t="shared" si="4"/>
        <v>1</v>
      </c>
      <c r="X38" s="558"/>
      <c r="Y38" s="578">
        <f t="shared" si="5"/>
        <v>0</v>
      </c>
      <c r="Z38" s="488"/>
      <c r="AA38" s="557"/>
      <c r="AB38" s="557"/>
      <c r="AC38" s="557"/>
      <c r="AD38" s="489">
        <f t="shared" si="6"/>
        <v>0</v>
      </c>
      <c r="AE38" s="551"/>
      <c r="AF38" s="452" t="str">
        <f>VLOOKUP(A38,'Feature Summary'!$A$7:$U$4086,21,FALSE)</f>
        <v>WK5</v>
      </c>
      <c r="AG38" s="559"/>
    </row>
    <row r="39" spans="1:33" ht="15">
      <c r="A39" s="335" t="s">
        <v>359</v>
      </c>
      <c r="B39" s="577" t="s">
        <v>360</v>
      </c>
      <c r="C39" s="449" t="s">
        <v>254</v>
      </c>
      <c r="D39" s="323" t="s">
        <v>255</v>
      </c>
      <c r="E39" s="457" t="str">
        <f t="shared" si="9"/>
        <v>Linear to Linear sub-window copy</v>
      </c>
      <c r="F39" s="322"/>
      <c r="G39" s="553" t="str">
        <f>VLOOKUP(A39,'Feature Raw Data'!$A$3:$C$4084,3,FALSE)</f>
        <v>P2</v>
      </c>
      <c r="H39" s="575" t="s">
        <v>348</v>
      </c>
      <c r="I39" s="322"/>
      <c r="J39" s="323">
        <v>1</v>
      </c>
      <c r="K39" s="323">
        <v>5</v>
      </c>
      <c r="L39" s="428" t="s">
        <v>33</v>
      </c>
      <c r="M39" s="472">
        <v>1</v>
      </c>
      <c r="N39" s="470">
        <f t="shared" si="1"/>
        <v>5</v>
      </c>
      <c r="O39" s="474">
        <f t="shared" si="10"/>
        <v>1</v>
      </c>
      <c r="P39" s="454" t="s">
        <v>45</v>
      </c>
      <c r="Q39" s="358">
        <f t="shared" si="2"/>
        <v>5</v>
      </c>
      <c r="R39" s="488">
        <f t="shared" si="8"/>
        <v>5</v>
      </c>
      <c r="S39" s="488">
        <v>5</v>
      </c>
      <c r="T39" s="491"/>
      <c r="U39" s="488">
        <f t="shared" si="3"/>
        <v>0</v>
      </c>
      <c r="V39" s="491"/>
      <c r="W39" s="501">
        <f t="shared" si="4"/>
        <v>1</v>
      </c>
      <c r="X39" s="455"/>
      <c r="Y39" s="578">
        <f t="shared" si="5"/>
        <v>0</v>
      </c>
      <c r="Z39" s="488"/>
      <c r="AA39" s="491"/>
      <c r="AB39" s="491"/>
      <c r="AC39" s="491"/>
      <c r="AD39" s="489">
        <f t="shared" si="6"/>
        <v>0</v>
      </c>
      <c r="AE39" s="322"/>
      <c r="AF39" s="452" t="s">
        <v>259</v>
      </c>
      <c r="AG39" s="324"/>
    </row>
    <row r="40" spans="1:33" s="560" customFormat="1" ht="45">
      <c r="A40" s="335" t="s">
        <v>361</v>
      </c>
      <c r="B40" s="577" t="s">
        <v>362</v>
      </c>
      <c r="C40" s="449" t="s">
        <v>254</v>
      </c>
      <c r="D40" s="552" t="s">
        <v>255</v>
      </c>
      <c r="E40" s="457" t="str">
        <f t="shared" si="9"/>
        <v>Linear to Structured / Structured to Linear copy</v>
      </c>
      <c r="F40" s="551"/>
      <c r="G40" s="553" t="str">
        <f>VLOOKUP(A40,'Feature Raw Data'!$A$3:$C$4084,3,FALSE)</f>
        <v>P2</v>
      </c>
      <c r="H40" s="576" t="s">
        <v>363</v>
      </c>
      <c r="I40" s="551"/>
      <c r="J40" s="552">
        <v>1</v>
      </c>
      <c r="K40" s="552">
        <v>2</v>
      </c>
      <c r="L40" s="554" t="s">
        <v>33</v>
      </c>
      <c r="M40" s="472">
        <v>1</v>
      </c>
      <c r="N40" s="470">
        <f t="shared" si="1"/>
        <v>2</v>
      </c>
      <c r="O40" s="474">
        <f t="shared" si="10"/>
        <v>1</v>
      </c>
      <c r="P40" s="454" t="s">
        <v>45</v>
      </c>
      <c r="Q40" s="358">
        <f t="shared" si="2"/>
        <v>2</v>
      </c>
      <c r="R40" s="488">
        <f t="shared" si="8"/>
        <v>2</v>
      </c>
      <c r="S40" s="488"/>
      <c r="T40" s="557"/>
      <c r="U40" s="488">
        <f t="shared" si="3"/>
        <v>2</v>
      </c>
      <c r="V40" s="557"/>
      <c r="W40" s="501">
        <f t="shared" si="4"/>
        <v>0</v>
      </c>
      <c r="X40" s="580" t="s">
        <v>364</v>
      </c>
      <c r="Y40" s="578">
        <f t="shared" si="5"/>
        <v>0</v>
      </c>
      <c r="Z40" s="488"/>
      <c r="AA40" s="557"/>
      <c r="AB40" s="557"/>
      <c r="AC40" s="557"/>
      <c r="AD40" s="489">
        <f t="shared" si="6"/>
        <v>0</v>
      </c>
      <c r="AE40" s="551"/>
      <c r="AF40" s="452" t="str">
        <f>VLOOKUP(A40,'Feature Summary'!$A$7:$U$4086,21,FALSE)</f>
        <v>WK1</v>
      </c>
      <c r="AG40" s="559"/>
    </row>
    <row r="41" spans="1:33" ht="45">
      <c r="A41" s="335" t="s">
        <v>365</v>
      </c>
      <c r="B41" s="577" t="s">
        <v>366</v>
      </c>
      <c r="C41" s="449" t="s">
        <v>254</v>
      </c>
      <c r="D41" s="323" t="s">
        <v>255</v>
      </c>
      <c r="E41" s="457" t="str">
        <f t="shared" si="9"/>
        <v>Linear to Tiled (frame to field) copy</v>
      </c>
      <c r="F41" s="322"/>
      <c r="G41" s="553" t="str">
        <f>VLOOKUP(A41,'Feature Raw Data'!$A$3:$C$4084,3,FALSE)</f>
        <v>P2</v>
      </c>
      <c r="H41" s="575" t="s">
        <v>367</v>
      </c>
      <c r="I41" s="322"/>
      <c r="J41" s="323">
        <v>1</v>
      </c>
      <c r="K41" s="323">
        <v>5</v>
      </c>
      <c r="L41" s="428" t="s">
        <v>33</v>
      </c>
      <c r="M41" s="472">
        <v>1</v>
      </c>
      <c r="N41" s="470">
        <f t="shared" si="1"/>
        <v>5</v>
      </c>
      <c r="O41" s="474">
        <f t="shared" si="10"/>
        <v>1</v>
      </c>
      <c r="P41" s="454" t="s">
        <v>45</v>
      </c>
      <c r="Q41" s="358">
        <f t="shared" si="2"/>
        <v>5</v>
      </c>
      <c r="R41" s="488">
        <f t="shared" si="8"/>
        <v>5</v>
      </c>
      <c r="S41" s="488"/>
      <c r="T41" s="491"/>
      <c r="U41" s="488">
        <f t="shared" si="3"/>
        <v>5</v>
      </c>
      <c r="V41" s="491"/>
      <c r="W41" s="501">
        <f t="shared" si="4"/>
        <v>0</v>
      </c>
      <c r="X41" s="580" t="s">
        <v>364</v>
      </c>
      <c r="Y41" s="578">
        <f t="shared" si="5"/>
        <v>0</v>
      </c>
      <c r="Z41" s="488"/>
      <c r="AA41" s="491"/>
      <c r="AB41" s="491"/>
      <c r="AC41" s="491"/>
      <c r="AD41" s="489">
        <f t="shared" si="6"/>
        <v>0</v>
      </c>
      <c r="AE41" s="322"/>
      <c r="AF41" s="452" t="str">
        <f>VLOOKUP(A41,'Feature Summary'!$A$7:$U$4086,21,FALSE)</f>
        <v>WK4</v>
      </c>
      <c r="AG41" s="324"/>
    </row>
    <row r="42" spans="1:33" s="560" customFormat="1" ht="30">
      <c r="A42" s="335" t="s">
        <v>368</v>
      </c>
      <c r="B42" s="577" t="s">
        <v>369</v>
      </c>
      <c r="C42" s="449" t="s">
        <v>254</v>
      </c>
      <c r="D42" s="552" t="s">
        <v>255</v>
      </c>
      <c r="E42" s="457" t="str">
        <f t="shared" si="9"/>
        <v>Linear to Tiled / Tiled to Linear Copy Command</v>
      </c>
      <c r="F42" s="550" t="s">
        <v>370</v>
      </c>
      <c r="G42" s="553" t="str">
        <f>VLOOKUP(A42,'Feature Raw Data'!$A$3:$C$4084,3,FALSE)</f>
        <v>P2</v>
      </c>
      <c r="H42" s="576" t="s">
        <v>371</v>
      </c>
      <c r="I42" s="551"/>
      <c r="J42" s="552">
        <v>1</v>
      </c>
      <c r="K42" s="552">
        <v>5</v>
      </c>
      <c r="L42" s="554" t="s">
        <v>33</v>
      </c>
      <c r="M42" s="472">
        <v>1</v>
      </c>
      <c r="N42" s="470">
        <f t="shared" si="1"/>
        <v>5</v>
      </c>
      <c r="O42" s="474">
        <f t="shared" si="10"/>
        <v>1</v>
      </c>
      <c r="P42" s="454" t="s">
        <v>45</v>
      </c>
      <c r="Q42" s="358">
        <f t="shared" si="2"/>
        <v>5</v>
      </c>
      <c r="R42" s="488">
        <f t="shared" si="8"/>
        <v>5</v>
      </c>
      <c r="S42" s="488"/>
      <c r="T42" s="557"/>
      <c r="U42" s="488">
        <f t="shared" si="3"/>
        <v>5</v>
      </c>
      <c r="V42" s="557"/>
      <c r="W42" s="501">
        <f t="shared" si="4"/>
        <v>0</v>
      </c>
      <c r="X42" s="558" t="s">
        <v>372</v>
      </c>
      <c r="Y42" s="578">
        <f t="shared" si="5"/>
        <v>0</v>
      </c>
      <c r="Z42" s="488"/>
      <c r="AA42" s="557"/>
      <c r="AB42" s="557"/>
      <c r="AC42" s="557"/>
      <c r="AD42" s="489">
        <f t="shared" si="6"/>
        <v>0</v>
      </c>
      <c r="AE42" s="551"/>
      <c r="AF42" s="452" t="str">
        <f>VLOOKUP(A42,'Feature Summary'!$A$7:$U$4086,21,FALSE)</f>
        <v>WK5</v>
      </c>
      <c r="AG42" s="559"/>
    </row>
    <row r="43" spans="1:33" s="560" customFormat="1" ht="30">
      <c r="A43" s="335" t="s">
        <v>368</v>
      </c>
      <c r="B43" s="577" t="s">
        <v>369</v>
      </c>
      <c r="C43" s="449" t="s">
        <v>254</v>
      </c>
      <c r="D43" s="552" t="s">
        <v>255</v>
      </c>
      <c r="E43" s="457" t="str">
        <f t="shared" si="9"/>
        <v>Linear to Tiled / Tiled to Linear Copy Command</v>
      </c>
      <c r="F43" s="550" t="s">
        <v>373</v>
      </c>
      <c r="G43" s="553" t="str">
        <f>VLOOKUP(A43,'Feature Raw Data'!$A$3:$C$4084,3,FALSE)</f>
        <v>P2</v>
      </c>
      <c r="H43" s="576" t="s">
        <v>374</v>
      </c>
      <c r="I43" s="551"/>
      <c r="J43" s="552">
        <v>1</v>
      </c>
      <c r="K43" s="552">
        <v>5</v>
      </c>
      <c r="L43" s="554" t="s">
        <v>33</v>
      </c>
      <c r="M43" s="472">
        <v>1</v>
      </c>
      <c r="N43" s="470">
        <f t="shared" si="1"/>
        <v>5</v>
      </c>
      <c r="O43" s="474">
        <f t="shared" si="10"/>
        <v>1</v>
      </c>
      <c r="P43" s="454" t="s">
        <v>45</v>
      </c>
      <c r="Q43" s="358">
        <f t="shared" si="2"/>
        <v>5</v>
      </c>
      <c r="R43" s="488">
        <f t="shared" si="8"/>
        <v>5</v>
      </c>
      <c r="S43" s="488"/>
      <c r="T43" s="557"/>
      <c r="U43" s="488">
        <f t="shared" si="3"/>
        <v>5</v>
      </c>
      <c r="V43" s="557"/>
      <c r="W43" s="501">
        <f t="shared" si="4"/>
        <v>0</v>
      </c>
      <c r="X43" s="558" t="s">
        <v>375</v>
      </c>
      <c r="Y43" s="578">
        <f t="shared" si="5"/>
        <v>0</v>
      </c>
      <c r="Z43" s="488"/>
      <c r="AA43" s="557"/>
      <c r="AB43" s="557"/>
      <c r="AC43" s="557"/>
      <c r="AD43" s="489">
        <f t="shared" si="6"/>
        <v>0</v>
      </c>
      <c r="AE43" s="551"/>
      <c r="AF43" s="452" t="str">
        <f>VLOOKUP(A43,'Feature Summary'!$A$7:$U$4086,21,FALSE)</f>
        <v>WK5</v>
      </c>
      <c r="AG43" s="559"/>
    </row>
    <row r="44" spans="1:33" ht="30">
      <c r="A44" s="335" t="s">
        <v>376</v>
      </c>
      <c r="B44" s="577" t="s">
        <v>377</v>
      </c>
      <c r="C44" s="449" t="s">
        <v>254</v>
      </c>
      <c r="D44" s="323" t="s">
        <v>255</v>
      </c>
      <c r="E44" s="457" t="str">
        <f t="shared" si="9"/>
        <v>Linear to Tiled / Tiled to Linear sub-window copy</v>
      </c>
      <c r="F44" s="457"/>
      <c r="G44" s="553" t="str">
        <f>VLOOKUP(A44,'Feature Raw Data'!$A$3:$C$4084,3,FALSE)</f>
        <v>P2</v>
      </c>
      <c r="H44" s="575" t="s">
        <v>348</v>
      </c>
      <c r="I44" s="322"/>
      <c r="J44" s="323">
        <v>1</v>
      </c>
      <c r="K44" s="323">
        <v>5</v>
      </c>
      <c r="L44" s="428" t="s">
        <v>33</v>
      </c>
      <c r="M44" s="472">
        <v>1</v>
      </c>
      <c r="N44" s="470">
        <f t="shared" si="1"/>
        <v>5</v>
      </c>
      <c r="O44" s="474">
        <f t="shared" si="10"/>
        <v>1</v>
      </c>
      <c r="P44" s="454" t="s">
        <v>45</v>
      </c>
      <c r="Q44" s="358">
        <f t="shared" si="2"/>
        <v>5</v>
      </c>
      <c r="R44" s="488">
        <f t="shared" si="8"/>
        <v>5</v>
      </c>
      <c r="S44" s="488">
        <v>5</v>
      </c>
      <c r="T44" s="491"/>
      <c r="U44" s="488">
        <f t="shared" si="3"/>
        <v>0</v>
      </c>
      <c r="V44" s="491"/>
      <c r="W44" s="501">
        <f t="shared" si="4"/>
        <v>1</v>
      </c>
      <c r="X44" s="580" t="s">
        <v>378</v>
      </c>
      <c r="Y44" s="578">
        <f t="shared" si="5"/>
        <v>0</v>
      </c>
      <c r="Z44" s="488"/>
      <c r="AA44" s="491"/>
      <c r="AB44" s="491"/>
      <c r="AC44" s="491"/>
      <c r="AD44" s="489">
        <f t="shared" si="6"/>
        <v>0</v>
      </c>
      <c r="AE44" s="322"/>
      <c r="AF44" s="452" t="str">
        <f>VLOOKUP(A44,'Feature Summary'!$A$7:$U$4086,21,FALSE)</f>
        <v>WK5</v>
      </c>
      <c r="AG44" s="324"/>
    </row>
    <row r="45" spans="1:33" s="560" customFormat="1" ht="15">
      <c r="A45" s="335" t="s">
        <v>379</v>
      </c>
      <c r="B45" s="577" t="s">
        <v>380</v>
      </c>
      <c r="C45" s="449" t="s">
        <v>254</v>
      </c>
      <c r="D45" s="552" t="s">
        <v>255</v>
      </c>
      <c r="E45" s="457" t="str">
        <f t="shared" si="9"/>
        <v>Linear to Tiled copy broadcast</v>
      </c>
      <c r="F45" s="550"/>
      <c r="G45" s="553" t="str">
        <f>VLOOKUP(A45,'Feature Raw Data'!$A$3:$C$4084,3,FALSE)</f>
        <v>P2</v>
      </c>
      <c r="H45" s="576" t="s">
        <v>381</v>
      </c>
      <c r="I45" s="551"/>
      <c r="J45" s="552">
        <v>1</v>
      </c>
      <c r="K45" s="552">
        <v>5</v>
      </c>
      <c r="L45" s="554" t="s">
        <v>33</v>
      </c>
      <c r="M45" s="472">
        <v>1</v>
      </c>
      <c r="N45" s="470">
        <f t="shared" si="1"/>
        <v>5</v>
      </c>
      <c r="O45" s="474">
        <f t="shared" si="10"/>
        <v>1</v>
      </c>
      <c r="P45" s="454" t="s">
        <v>45</v>
      </c>
      <c r="Q45" s="358">
        <f t="shared" si="2"/>
        <v>5</v>
      </c>
      <c r="R45" s="488">
        <f t="shared" si="8"/>
        <v>5</v>
      </c>
      <c r="S45" s="488"/>
      <c r="T45" s="557"/>
      <c r="U45" s="488">
        <f t="shared" si="3"/>
        <v>5</v>
      </c>
      <c r="V45" s="557"/>
      <c r="W45" s="501">
        <f t="shared" si="4"/>
        <v>0</v>
      </c>
      <c r="X45" s="558" t="s">
        <v>372</v>
      </c>
      <c r="Y45" s="578">
        <f t="shared" si="5"/>
        <v>0</v>
      </c>
      <c r="Z45" s="488"/>
      <c r="AA45" s="557"/>
      <c r="AB45" s="557"/>
      <c r="AC45" s="557"/>
      <c r="AD45" s="489">
        <f t="shared" si="6"/>
        <v>0</v>
      </c>
      <c r="AE45" s="551"/>
      <c r="AF45" s="452" t="str">
        <f>VLOOKUP(A45,'Feature Summary'!$A$7:$U$4086,21,FALSE)</f>
        <v>Wk5</v>
      </c>
      <c r="AG45" s="559"/>
    </row>
    <row r="46" spans="1:33" ht="15">
      <c r="A46" s="335" t="s">
        <v>382</v>
      </c>
      <c r="B46" s="577" t="s">
        <v>383</v>
      </c>
      <c r="C46" s="449" t="s">
        <v>254</v>
      </c>
      <c r="D46" s="323" t="s">
        <v>255</v>
      </c>
      <c r="E46" s="457" t="str">
        <f t="shared" si="9"/>
        <v>Mid Command Buffer Preemption</v>
      </c>
      <c r="F46" s="457"/>
      <c r="G46" s="553" t="str">
        <f>VLOOKUP(A46,'Feature Raw Data'!$A$3:$C$4084,3,FALSE)</f>
        <v>P2</v>
      </c>
      <c r="H46" s="575" t="s">
        <v>384</v>
      </c>
      <c r="I46" s="322"/>
      <c r="J46" s="323">
        <v>1</v>
      </c>
      <c r="K46" s="323">
        <v>1</v>
      </c>
      <c r="L46" s="428" t="s">
        <v>33</v>
      </c>
      <c r="M46" s="472">
        <v>1</v>
      </c>
      <c r="N46" s="470">
        <f t="shared" si="1"/>
        <v>1</v>
      </c>
      <c r="O46" s="474">
        <f t="shared" si="10"/>
        <v>1</v>
      </c>
      <c r="P46" s="454" t="s">
        <v>45</v>
      </c>
      <c r="Q46" s="358">
        <f t="shared" si="2"/>
        <v>1</v>
      </c>
      <c r="R46" s="488">
        <f t="shared" si="8"/>
        <v>1</v>
      </c>
      <c r="S46" s="488">
        <v>1</v>
      </c>
      <c r="T46" s="491"/>
      <c r="U46" s="488">
        <f t="shared" si="3"/>
        <v>0</v>
      </c>
      <c r="V46" s="491"/>
      <c r="W46" s="501">
        <f t="shared" si="4"/>
        <v>1</v>
      </c>
      <c r="X46" s="455"/>
      <c r="Y46" s="578">
        <f t="shared" si="5"/>
        <v>0</v>
      </c>
      <c r="Z46" s="488"/>
      <c r="AA46" s="491"/>
      <c r="AB46" s="491"/>
      <c r="AC46" s="491"/>
      <c r="AD46" s="489">
        <f t="shared" si="6"/>
        <v>0</v>
      </c>
      <c r="AE46" s="322"/>
      <c r="AF46" s="452" t="str">
        <f>VLOOKUP(A46,'Feature Summary'!$A$7:$U$4086,21,FALSE)</f>
        <v>wk5</v>
      </c>
      <c r="AG46" s="324"/>
    </row>
    <row r="47" spans="1:33" s="560" customFormat="1" ht="15">
      <c r="A47" s="335" t="s">
        <v>385</v>
      </c>
      <c r="B47" s="577" t="s">
        <v>386</v>
      </c>
      <c r="C47" s="449" t="s">
        <v>254</v>
      </c>
      <c r="D47" s="552" t="s">
        <v>255</v>
      </c>
      <c r="E47" s="457" t="str">
        <f t="shared" si="9"/>
        <v>Mid Command Preemption</v>
      </c>
      <c r="F47" s="550"/>
      <c r="G47" s="553" t="str">
        <f>VLOOKUP(A47,'Feature Raw Data'!$A$3:$C$4084,3,FALSE)</f>
        <v>P2</v>
      </c>
      <c r="H47" s="575" t="s">
        <v>384</v>
      </c>
      <c r="I47" s="551"/>
      <c r="J47" s="552">
        <v>1</v>
      </c>
      <c r="K47" s="552">
        <v>1</v>
      </c>
      <c r="L47" s="554" t="s">
        <v>33</v>
      </c>
      <c r="M47" s="472">
        <v>1</v>
      </c>
      <c r="N47" s="470">
        <f t="shared" si="1"/>
        <v>1</v>
      </c>
      <c r="O47" s="474">
        <f t="shared" si="10"/>
        <v>1</v>
      </c>
      <c r="P47" s="454" t="s">
        <v>45</v>
      </c>
      <c r="Q47" s="358">
        <f t="shared" si="2"/>
        <v>1</v>
      </c>
      <c r="R47" s="488">
        <f t="shared" si="8"/>
        <v>1</v>
      </c>
      <c r="S47" s="488">
        <v>1</v>
      </c>
      <c r="T47" s="557"/>
      <c r="U47" s="488">
        <f t="shared" si="3"/>
        <v>0</v>
      </c>
      <c r="V47" s="557"/>
      <c r="W47" s="501">
        <f t="shared" si="4"/>
        <v>1</v>
      </c>
      <c r="X47" s="558"/>
      <c r="Y47" s="578">
        <f t="shared" si="5"/>
        <v>0</v>
      </c>
      <c r="Z47" s="488"/>
      <c r="AA47" s="557"/>
      <c r="AB47" s="557"/>
      <c r="AC47" s="557"/>
      <c r="AD47" s="489">
        <f t="shared" si="6"/>
        <v>0</v>
      </c>
      <c r="AE47" s="551"/>
      <c r="AF47" s="452" t="str">
        <f>VLOOKUP(A47,'Feature Summary'!$A$7:$U$4086,21,FALSE)</f>
        <v>WK5</v>
      </c>
      <c r="AG47" s="559"/>
    </row>
    <row r="48" spans="1:33" ht="15">
      <c r="A48" s="335" t="s">
        <v>387</v>
      </c>
      <c r="B48" s="577" t="s">
        <v>388</v>
      </c>
      <c r="C48" s="449" t="s">
        <v>254</v>
      </c>
      <c r="D48" s="323" t="s">
        <v>255</v>
      </c>
      <c r="E48" s="457" t="str">
        <f t="shared" si="9"/>
        <v>RB Command Preemption</v>
      </c>
      <c r="F48" s="457"/>
      <c r="G48" s="553" t="str">
        <f>VLOOKUP(A48,'Feature Raw Data'!$A$3:$C$4084,3,FALSE)</f>
        <v>P2</v>
      </c>
      <c r="H48" s="575" t="s">
        <v>384</v>
      </c>
      <c r="I48" s="322"/>
      <c r="J48" s="323">
        <v>1</v>
      </c>
      <c r="K48" s="323">
        <v>1</v>
      </c>
      <c r="L48" s="428" t="s">
        <v>33</v>
      </c>
      <c r="M48" s="472">
        <v>1</v>
      </c>
      <c r="N48" s="470">
        <f t="shared" si="1"/>
        <v>1</v>
      </c>
      <c r="O48" s="474">
        <f t="shared" si="10"/>
        <v>1</v>
      </c>
      <c r="P48" s="454" t="s">
        <v>45</v>
      </c>
      <c r="Q48" s="358">
        <f t="shared" si="2"/>
        <v>1</v>
      </c>
      <c r="R48" s="488">
        <f t="shared" si="8"/>
        <v>1</v>
      </c>
      <c r="S48" s="488">
        <v>1</v>
      </c>
      <c r="T48" s="491"/>
      <c r="U48" s="488">
        <f t="shared" si="3"/>
        <v>0</v>
      </c>
      <c r="V48" s="491"/>
      <c r="W48" s="501">
        <f t="shared" si="4"/>
        <v>1</v>
      </c>
      <c r="X48" s="455"/>
      <c r="Y48" s="578">
        <f t="shared" si="5"/>
        <v>0</v>
      </c>
      <c r="Z48" s="488"/>
      <c r="AA48" s="491"/>
      <c r="AB48" s="491"/>
      <c r="AC48" s="491"/>
      <c r="AD48" s="489">
        <f t="shared" si="6"/>
        <v>0</v>
      </c>
      <c r="AE48" s="322"/>
      <c r="AF48" s="452" t="str">
        <f>VLOOKUP(A48,'Feature Summary'!$A$7:$U$4086,21,FALSE)</f>
        <v>WK5</v>
      </c>
      <c r="AG48" s="324"/>
    </row>
    <row r="49" spans="1:33" s="560" customFormat="1" ht="30">
      <c r="A49" s="335" t="s">
        <v>389</v>
      </c>
      <c r="B49" s="577" t="s">
        <v>390</v>
      </c>
      <c r="C49" s="449" t="s">
        <v>254</v>
      </c>
      <c r="D49" s="552" t="s">
        <v>255</v>
      </c>
      <c r="E49" s="457" t="str">
        <f t="shared" si="9"/>
        <v>Mid-command preemption when time quantum reached</v>
      </c>
      <c r="F49" s="551"/>
      <c r="G49" s="553" t="str">
        <f>VLOOKUP(A49,'Feature Raw Data'!$A$3:$C$4084,3,FALSE)</f>
        <v>P2</v>
      </c>
      <c r="H49" s="576" t="s">
        <v>391</v>
      </c>
      <c r="I49" s="579" t="s">
        <v>392</v>
      </c>
      <c r="J49" s="552">
        <v>1</v>
      </c>
      <c r="K49" s="552">
        <v>1</v>
      </c>
      <c r="L49" s="554" t="s">
        <v>33</v>
      </c>
      <c r="M49" s="472">
        <v>1</v>
      </c>
      <c r="N49" s="470">
        <f t="shared" si="1"/>
        <v>1</v>
      </c>
      <c r="O49" s="474">
        <f t="shared" si="10"/>
        <v>1</v>
      </c>
      <c r="P49" s="454" t="s">
        <v>45</v>
      </c>
      <c r="Q49" s="358">
        <f t="shared" si="2"/>
        <v>1</v>
      </c>
      <c r="R49" s="488">
        <f t="shared" si="8"/>
        <v>1</v>
      </c>
      <c r="S49" s="488"/>
      <c r="T49" s="557"/>
      <c r="U49" s="488">
        <f t="shared" si="3"/>
        <v>1</v>
      </c>
      <c r="V49" s="557"/>
      <c r="W49" s="501">
        <f t="shared" si="4"/>
        <v>0</v>
      </c>
      <c r="X49" s="558"/>
      <c r="Y49" s="578">
        <f t="shared" si="5"/>
        <v>0</v>
      </c>
      <c r="Z49" s="488"/>
      <c r="AA49" s="557"/>
      <c r="AB49" s="557"/>
      <c r="AC49" s="557"/>
      <c r="AD49" s="489">
        <f t="shared" si="6"/>
        <v>0</v>
      </c>
      <c r="AE49" s="551"/>
      <c r="AF49" s="452" t="str">
        <f>VLOOKUP(A49,'Feature Summary'!$A$7:$U$4086,21,FALSE)</f>
        <v>WK5</v>
      </c>
      <c r="AG49" s="559"/>
    </row>
    <row r="50" spans="1:33" ht="15">
      <c r="A50" s="335" t="s">
        <v>393</v>
      </c>
      <c r="B50" s="577" t="s">
        <v>394</v>
      </c>
      <c r="C50" s="449" t="s">
        <v>254</v>
      </c>
      <c r="D50" s="323" t="s">
        <v>255</v>
      </c>
      <c r="E50" s="457" t="str">
        <f t="shared" si="9"/>
        <v>Memory Increment</v>
      </c>
      <c r="F50" s="322"/>
      <c r="G50" s="553" t="str">
        <f>VLOOKUP(A50,'Feature Raw Data'!$A$3:$C$4084,3,FALSE)</f>
        <v>P2</v>
      </c>
      <c r="H50" s="575" t="s">
        <v>395</v>
      </c>
      <c r="I50" s="322"/>
      <c r="J50" s="323">
        <v>1</v>
      </c>
      <c r="K50" s="323">
        <v>1</v>
      </c>
      <c r="L50" s="428" t="s">
        <v>33</v>
      </c>
      <c r="M50" s="472">
        <v>1</v>
      </c>
      <c r="N50" s="470">
        <f t="shared" si="1"/>
        <v>1</v>
      </c>
      <c r="O50" s="474">
        <f t="shared" si="10"/>
        <v>1</v>
      </c>
      <c r="P50" s="454" t="s">
        <v>45</v>
      </c>
      <c r="Q50" s="358">
        <f t="shared" si="2"/>
        <v>1</v>
      </c>
      <c r="R50" s="488">
        <f t="shared" si="8"/>
        <v>1</v>
      </c>
      <c r="S50" s="488">
        <v>1</v>
      </c>
      <c r="T50" s="491"/>
      <c r="U50" s="488">
        <f t="shared" si="3"/>
        <v>0</v>
      </c>
      <c r="V50" s="491"/>
      <c r="W50" s="501">
        <f t="shared" si="4"/>
        <v>1</v>
      </c>
      <c r="X50" s="455"/>
      <c r="Y50" s="578">
        <f t="shared" si="5"/>
        <v>0</v>
      </c>
      <c r="Z50" s="488"/>
      <c r="AA50" s="491"/>
      <c r="AB50" s="491"/>
      <c r="AC50" s="491"/>
      <c r="AD50" s="489">
        <f t="shared" si="6"/>
        <v>0</v>
      </c>
      <c r="AE50" s="322"/>
      <c r="AF50" s="452" t="s">
        <v>396</v>
      </c>
      <c r="AG50" s="324"/>
    </row>
    <row r="51" spans="1:33" ht="15">
      <c r="A51" s="335" t="s">
        <v>397</v>
      </c>
      <c r="B51" s="577" t="s">
        <v>398</v>
      </c>
      <c r="C51" s="449" t="s">
        <v>254</v>
      </c>
      <c r="D51" s="323" t="s">
        <v>255</v>
      </c>
      <c r="E51" s="457" t="str">
        <f t="shared" si="9"/>
        <v>Physical linear copy</v>
      </c>
      <c r="F51" s="322"/>
      <c r="G51" s="553" t="str">
        <f>VLOOKUP(A51,'Feature Raw Data'!$A$3:$C$4084,3,FALSE)</f>
        <v>P2</v>
      </c>
      <c r="H51" s="575" t="s">
        <v>399</v>
      </c>
      <c r="I51" s="322"/>
      <c r="J51" s="323">
        <v>1</v>
      </c>
      <c r="K51" s="323">
        <v>1</v>
      </c>
      <c r="L51" s="428" t="s">
        <v>33</v>
      </c>
      <c r="M51" s="472">
        <v>1</v>
      </c>
      <c r="N51" s="470">
        <f t="shared" si="1"/>
        <v>1</v>
      </c>
      <c r="O51" s="474">
        <f t="shared" si="10"/>
        <v>1</v>
      </c>
      <c r="P51" s="454" t="s">
        <v>45</v>
      </c>
      <c r="Q51" s="358">
        <f t="shared" si="2"/>
        <v>1</v>
      </c>
      <c r="R51" s="488">
        <f t="shared" si="8"/>
        <v>1</v>
      </c>
      <c r="S51" s="488"/>
      <c r="T51" s="491"/>
      <c r="U51" s="488">
        <f t="shared" si="3"/>
        <v>1</v>
      </c>
      <c r="V51" s="491"/>
      <c r="W51" s="501">
        <f t="shared" si="4"/>
        <v>0</v>
      </c>
      <c r="X51" s="455" t="s">
        <v>400</v>
      </c>
      <c r="Y51" s="578">
        <f t="shared" si="5"/>
        <v>0</v>
      </c>
      <c r="Z51" s="488"/>
      <c r="AA51" s="491"/>
      <c r="AB51" s="491"/>
      <c r="AC51" s="491"/>
      <c r="AD51" s="489">
        <f t="shared" si="6"/>
        <v>0</v>
      </c>
      <c r="AE51" s="322"/>
      <c r="AF51" s="452" t="str">
        <f>VLOOKUP(A51,'Feature Summary'!$A$7:$U$4086,21,FALSE)</f>
        <v>WK5</v>
      </c>
      <c r="AG51" s="324"/>
    </row>
    <row r="52" spans="1:33" ht="15">
      <c r="A52" s="335" t="s">
        <v>401</v>
      </c>
      <c r="B52" s="577" t="s">
        <v>402</v>
      </c>
      <c r="C52" s="449" t="s">
        <v>254</v>
      </c>
      <c r="D52" s="323" t="s">
        <v>255</v>
      </c>
      <c r="E52" s="457" t="str">
        <f t="shared" si="9"/>
        <v>Poll Memory/Register Command</v>
      </c>
      <c r="F52" s="322"/>
      <c r="G52" s="553" t="str">
        <f>VLOOKUP(A52,'Feature Raw Data'!$A$3:$C$4084,3,FALSE)</f>
        <v>P2</v>
      </c>
      <c r="H52" s="575" t="s">
        <v>403</v>
      </c>
      <c r="I52" s="322"/>
      <c r="J52" s="323">
        <v>1</v>
      </c>
      <c r="K52" s="323">
        <v>10</v>
      </c>
      <c r="L52" s="428" t="s">
        <v>33</v>
      </c>
      <c r="M52" s="472">
        <v>1</v>
      </c>
      <c r="N52" s="470">
        <f t="shared" si="1"/>
        <v>10</v>
      </c>
      <c r="O52" s="474">
        <f t="shared" si="10"/>
        <v>1</v>
      </c>
      <c r="P52" s="454" t="s">
        <v>45</v>
      </c>
      <c r="Q52" s="358">
        <f t="shared" si="2"/>
        <v>10</v>
      </c>
      <c r="R52" s="488">
        <f t="shared" si="8"/>
        <v>10</v>
      </c>
      <c r="S52" s="488">
        <v>10</v>
      </c>
      <c r="T52" s="491"/>
      <c r="U52" s="488">
        <f t="shared" si="3"/>
        <v>0</v>
      </c>
      <c r="V52" s="491"/>
      <c r="W52" s="501">
        <f t="shared" si="4"/>
        <v>1</v>
      </c>
      <c r="X52" s="455"/>
      <c r="Y52" s="578">
        <f t="shared" si="5"/>
        <v>0</v>
      </c>
      <c r="Z52" s="488"/>
      <c r="AA52" s="491"/>
      <c r="AB52" s="491"/>
      <c r="AC52" s="491"/>
      <c r="AD52" s="489">
        <f t="shared" si="6"/>
        <v>0</v>
      </c>
      <c r="AE52" s="322"/>
      <c r="AF52" s="452" t="str">
        <f>VLOOKUP(A52,'Feature Summary'!$A$7:$U$4086,21,FALSE)</f>
        <v>4Wks</v>
      </c>
      <c r="AG52" s="324"/>
    </row>
    <row r="53" spans="1:33" ht="15">
      <c r="A53" s="335" t="s">
        <v>404</v>
      </c>
      <c r="B53" s="577" t="s">
        <v>405</v>
      </c>
      <c r="C53" s="449" t="s">
        <v>254</v>
      </c>
      <c r="D53" s="323" t="s">
        <v>255</v>
      </c>
      <c r="E53" s="457" t="str">
        <f t="shared" si="9"/>
        <v>Predicated Execution Command</v>
      </c>
      <c r="F53" s="322"/>
      <c r="G53" s="553" t="str">
        <f>VLOOKUP(A53,'Feature Raw Data'!$A$3:$C$4084,3,FALSE)</f>
        <v>P2</v>
      </c>
      <c r="H53" s="575" t="s">
        <v>406</v>
      </c>
      <c r="I53" s="322"/>
      <c r="J53" s="323">
        <v>1</v>
      </c>
      <c r="K53" s="323">
        <v>1</v>
      </c>
      <c r="L53" s="428" t="s">
        <v>33</v>
      </c>
      <c r="M53" s="472">
        <v>1</v>
      </c>
      <c r="N53" s="470">
        <f t="shared" si="1"/>
        <v>1</v>
      </c>
      <c r="O53" s="474">
        <f t="shared" si="10"/>
        <v>1</v>
      </c>
      <c r="P53" s="454" t="s">
        <v>45</v>
      </c>
      <c r="Q53" s="358">
        <f t="shared" si="2"/>
        <v>1</v>
      </c>
      <c r="R53" s="488">
        <f t="shared" si="8"/>
        <v>1</v>
      </c>
      <c r="S53" s="488">
        <v>1</v>
      </c>
      <c r="T53" s="491"/>
      <c r="U53" s="488">
        <f t="shared" si="3"/>
        <v>0</v>
      </c>
      <c r="V53" s="491"/>
      <c r="W53" s="501">
        <f t="shared" si="4"/>
        <v>1</v>
      </c>
      <c r="X53" s="455"/>
      <c r="Y53" s="578">
        <f t="shared" si="5"/>
        <v>0</v>
      </c>
      <c r="Z53" s="488"/>
      <c r="AA53" s="491"/>
      <c r="AB53" s="491"/>
      <c r="AC53" s="491"/>
      <c r="AD53" s="489">
        <f t="shared" si="6"/>
        <v>0</v>
      </c>
      <c r="AE53" s="322"/>
      <c r="AF53" s="452" t="str">
        <f>VLOOKUP(A53,'Feature Summary'!$A$7:$U$4086,21,FALSE)</f>
        <v>WK5</v>
      </c>
      <c r="AG53" s="324"/>
    </row>
    <row r="54" spans="1:33" ht="15">
      <c r="A54" s="335" t="s">
        <v>407</v>
      </c>
      <c r="B54" s="577" t="s">
        <v>408</v>
      </c>
      <c r="C54" s="449" t="s">
        <v>254</v>
      </c>
      <c r="D54" s="323" t="s">
        <v>255</v>
      </c>
      <c r="E54" s="457" t="str">
        <f t="shared" si="9"/>
        <v>RAW dependency check</v>
      </c>
      <c r="F54" s="322"/>
      <c r="G54" s="553" t="str">
        <f>VLOOKUP(A54,'Feature Raw Data'!$A$3:$C$4084,3,FALSE)</f>
        <v>P2</v>
      </c>
      <c r="H54" s="575" t="s">
        <v>409</v>
      </c>
      <c r="I54" s="322"/>
      <c r="J54" s="323">
        <v>1</v>
      </c>
      <c r="K54" s="323">
        <v>1</v>
      </c>
      <c r="L54" s="428" t="s">
        <v>33</v>
      </c>
      <c r="M54" s="472">
        <v>1</v>
      </c>
      <c r="N54" s="470">
        <f t="shared" si="1"/>
        <v>1</v>
      </c>
      <c r="O54" s="474">
        <f t="shared" si="10"/>
        <v>1</v>
      </c>
      <c r="P54" s="454" t="s">
        <v>45</v>
      </c>
      <c r="Q54" s="358">
        <f t="shared" si="2"/>
        <v>1</v>
      </c>
      <c r="R54" s="488">
        <f t="shared" si="8"/>
        <v>1</v>
      </c>
      <c r="S54" s="488">
        <v>1</v>
      </c>
      <c r="T54" s="491"/>
      <c r="U54" s="488">
        <f t="shared" si="3"/>
        <v>0</v>
      </c>
      <c r="V54" s="491"/>
      <c r="W54" s="501">
        <f t="shared" si="4"/>
        <v>1</v>
      </c>
      <c r="X54" s="455"/>
      <c r="Y54" s="578">
        <f t="shared" si="5"/>
        <v>0</v>
      </c>
      <c r="Z54" s="488"/>
      <c r="AA54" s="491"/>
      <c r="AB54" s="491"/>
      <c r="AC54" s="491"/>
      <c r="AD54" s="489">
        <f t="shared" si="6"/>
        <v>0</v>
      </c>
      <c r="AE54" s="322"/>
      <c r="AF54" s="452" t="str">
        <f>VLOOKUP(A54,'Feature Summary'!$A$7:$U$4086,21,FALSE)</f>
        <v>WK4</v>
      </c>
      <c r="AG54" s="324"/>
    </row>
    <row r="55" spans="1:33" ht="30">
      <c r="A55" s="335" t="s">
        <v>410</v>
      </c>
      <c r="B55" s="577" t="s">
        <v>411</v>
      </c>
      <c r="C55" s="449" t="s">
        <v>254</v>
      </c>
      <c r="D55" s="323" t="s">
        <v>255</v>
      </c>
      <c r="E55" s="457" t="str">
        <f t="shared" si="9"/>
        <v>Ring Buffer Preemption between contexts</v>
      </c>
      <c r="F55" s="322"/>
      <c r="G55" s="553" t="str">
        <f>VLOOKUP(A55,'Feature Raw Data'!$A$3:$C$4084,3,FALSE)</f>
        <v>P2</v>
      </c>
      <c r="H55" s="575" t="s">
        <v>412</v>
      </c>
      <c r="I55" s="322"/>
      <c r="J55" s="323">
        <v>1</v>
      </c>
      <c r="K55" s="323">
        <v>1</v>
      </c>
      <c r="L55" s="428" t="s">
        <v>33</v>
      </c>
      <c r="M55" s="472">
        <v>1</v>
      </c>
      <c r="N55" s="470">
        <f t="shared" si="1"/>
        <v>1</v>
      </c>
      <c r="O55" s="474">
        <f t="shared" si="10"/>
        <v>1</v>
      </c>
      <c r="P55" s="454" t="s">
        <v>45</v>
      </c>
      <c r="Q55" s="358">
        <f t="shared" si="2"/>
        <v>1</v>
      </c>
      <c r="R55" s="488">
        <f t="shared" si="8"/>
        <v>1</v>
      </c>
      <c r="S55" s="488">
        <v>1</v>
      </c>
      <c r="T55" s="491"/>
      <c r="U55" s="488">
        <f t="shared" si="3"/>
        <v>0</v>
      </c>
      <c r="V55" s="491"/>
      <c r="W55" s="501">
        <f t="shared" si="4"/>
        <v>1</v>
      </c>
      <c r="X55" s="455"/>
      <c r="Y55" s="578">
        <f t="shared" si="5"/>
        <v>0</v>
      </c>
      <c r="Z55" s="488"/>
      <c r="AA55" s="491"/>
      <c r="AB55" s="491"/>
      <c r="AC55" s="491"/>
      <c r="AD55" s="489">
        <f t="shared" si="6"/>
        <v>0</v>
      </c>
      <c r="AE55" s="322"/>
      <c r="AF55" s="452" t="str">
        <f>VLOOKUP(A55,'Feature Summary'!$A$7:$U$4086,21,FALSE)</f>
        <v>WK4</v>
      </c>
      <c r="AG55" s="324"/>
    </row>
    <row r="56" spans="1:33" ht="30">
      <c r="A56" s="335" t="s">
        <v>413</v>
      </c>
      <c r="B56" s="577" t="s">
        <v>414</v>
      </c>
      <c r="C56" s="449" t="s">
        <v>254</v>
      </c>
      <c r="D56" s="323" t="s">
        <v>255</v>
      </c>
      <c r="E56" s="457" t="str">
        <f t="shared" si="9"/>
        <v>Ring Buffer Preemption within a context</v>
      </c>
      <c r="F56" s="322"/>
      <c r="G56" s="553" t="str">
        <f>VLOOKUP(A56,'Feature Raw Data'!$A$3:$C$4084,3,FALSE)</f>
        <v>P2</v>
      </c>
      <c r="H56" s="575" t="s">
        <v>384</v>
      </c>
      <c r="I56" s="322"/>
      <c r="J56" s="323">
        <v>1</v>
      </c>
      <c r="K56" s="323">
        <v>1</v>
      </c>
      <c r="L56" s="428" t="s">
        <v>33</v>
      </c>
      <c r="M56" s="472">
        <v>1</v>
      </c>
      <c r="N56" s="470">
        <f t="shared" si="1"/>
        <v>1</v>
      </c>
      <c r="O56" s="474">
        <f t="shared" si="10"/>
        <v>1</v>
      </c>
      <c r="P56" s="454" t="s">
        <v>45</v>
      </c>
      <c r="Q56" s="358">
        <f t="shared" si="2"/>
        <v>1</v>
      </c>
      <c r="R56" s="488">
        <f t="shared" si="8"/>
        <v>1</v>
      </c>
      <c r="S56" s="488">
        <v>1</v>
      </c>
      <c r="T56" s="491"/>
      <c r="U56" s="488">
        <f t="shared" si="3"/>
        <v>0</v>
      </c>
      <c r="V56" s="491"/>
      <c r="W56" s="501">
        <f t="shared" si="4"/>
        <v>1</v>
      </c>
      <c r="X56" s="455"/>
      <c r="Y56" s="578">
        <f t="shared" si="5"/>
        <v>0</v>
      </c>
      <c r="Z56" s="488"/>
      <c r="AA56" s="491"/>
      <c r="AB56" s="491"/>
      <c r="AC56" s="491"/>
      <c r="AD56" s="489">
        <f t="shared" si="6"/>
        <v>0</v>
      </c>
      <c r="AE56" s="322"/>
      <c r="AF56" s="452" t="str">
        <f>VLOOKUP(A56,'Feature Summary'!$A$7:$U$4086,21,FALSE)</f>
        <v>WK5</v>
      </c>
      <c r="AG56" s="324"/>
    </row>
    <row r="57" spans="1:33" ht="15">
      <c r="A57" s="335" t="s">
        <v>415</v>
      </c>
      <c r="B57" s="577" t="s">
        <v>416</v>
      </c>
      <c r="C57" s="449" t="s">
        <v>254</v>
      </c>
      <c r="D57" s="323" t="s">
        <v>255</v>
      </c>
      <c r="E57" s="457" t="str">
        <f t="shared" si="9"/>
        <v>SDMA Master Firewall</v>
      </c>
      <c r="F57" s="322"/>
      <c r="G57" s="553" t="str">
        <f>VLOOKUP(A57,'Feature Raw Data'!$A$3:$C$4084,3,FALSE)</f>
        <v>P2</v>
      </c>
      <c r="H57" s="575" t="s">
        <v>417</v>
      </c>
      <c r="I57" s="322"/>
      <c r="J57" s="323">
        <v>1</v>
      </c>
      <c r="K57" s="323">
        <v>34</v>
      </c>
      <c r="L57" s="428" t="s">
        <v>33</v>
      </c>
      <c r="M57" s="472">
        <v>1</v>
      </c>
      <c r="N57" s="470">
        <f t="shared" si="1"/>
        <v>34</v>
      </c>
      <c r="O57" s="474">
        <f t="shared" si="10"/>
        <v>1</v>
      </c>
      <c r="P57" s="454" t="s">
        <v>45</v>
      </c>
      <c r="Q57" s="358">
        <f t="shared" si="2"/>
        <v>34</v>
      </c>
      <c r="R57" s="488">
        <f t="shared" si="8"/>
        <v>34</v>
      </c>
      <c r="S57" s="488">
        <v>24</v>
      </c>
      <c r="T57" s="491"/>
      <c r="U57" s="488">
        <f t="shared" si="3"/>
        <v>10</v>
      </c>
      <c r="V57" s="491"/>
      <c r="W57" s="501">
        <f t="shared" si="4"/>
        <v>0.70588235294117652</v>
      </c>
      <c r="X57" s="455"/>
      <c r="Y57" s="578">
        <f t="shared" si="5"/>
        <v>0</v>
      </c>
      <c r="Z57" s="488"/>
      <c r="AA57" s="491"/>
      <c r="AB57" s="491"/>
      <c r="AC57" s="491"/>
      <c r="AD57" s="489">
        <f t="shared" si="6"/>
        <v>0</v>
      </c>
      <c r="AE57" s="457" t="s">
        <v>418</v>
      </c>
      <c r="AF57" s="452" t="str">
        <f>VLOOKUP(A57,'Feature Summary'!$A$7:$U$4086,21,FALSE)</f>
        <v>WK5</v>
      </c>
      <c r="AG57" s="324"/>
    </row>
    <row r="58" spans="1:33" ht="15">
      <c r="A58" s="335" t="s">
        <v>419</v>
      </c>
      <c r="B58" s="577" t="s">
        <v>420</v>
      </c>
      <c r="C58" s="449" t="s">
        <v>254</v>
      </c>
      <c r="D58" s="323" t="s">
        <v>255</v>
      </c>
      <c r="E58" s="457" t="str">
        <f t="shared" si="9"/>
        <v>SDMA Performance - Single Engine</v>
      </c>
      <c r="F58" s="322"/>
      <c r="G58" s="553" t="str">
        <f>VLOOKUP(A58,'Feature Raw Data'!$A$3:$C$4084,3,FALSE)</f>
        <v>P2</v>
      </c>
      <c r="H58" s="575" t="s">
        <v>421</v>
      </c>
      <c r="I58" s="322"/>
      <c r="J58" s="323">
        <v>1</v>
      </c>
      <c r="K58" s="323">
        <v>1</v>
      </c>
      <c r="L58" s="428" t="s">
        <v>33</v>
      </c>
      <c r="M58" s="472">
        <v>1</v>
      </c>
      <c r="N58" s="470">
        <f t="shared" si="1"/>
        <v>1</v>
      </c>
      <c r="O58" s="474">
        <f t="shared" si="10"/>
        <v>1</v>
      </c>
      <c r="P58" s="454" t="s">
        <v>45</v>
      </c>
      <c r="Q58" s="358">
        <f t="shared" si="2"/>
        <v>1</v>
      </c>
      <c r="R58" s="488">
        <f t="shared" si="8"/>
        <v>1</v>
      </c>
      <c r="S58" s="488">
        <v>1</v>
      </c>
      <c r="T58" s="491"/>
      <c r="U58" s="488">
        <f t="shared" si="3"/>
        <v>0</v>
      </c>
      <c r="V58" s="491"/>
      <c r="W58" s="501">
        <f t="shared" si="4"/>
        <v>1</v>
      </c>
      <c r="X58" s="455"/>
      <c r="Y58" s="578">
        <f t="shared" si="5"/>
        <v>0</v>
      </c>
      <c r="Z58" s="488"/>
      <c r="AA58" s="491"/>
      <c r="AB58" s="491"/>
      <c r="AC58" s="491"/>
      <c r="AD58" s="489">
        <f t="shared" si="6"/>
        <v>0</v>
      </c>
      <c r="AE58" s="322"/>
      <c r="AF58" s="452" t="str">
        <f>VLOOKUP(A58,'Feature Summary'!$A$7:$U$4086,21,FALSE)</f>
        <v>4Wks</v>
      </c>
      <c r="AG58" s="324"/>
    </row>
    <row r="59" spans="1:33" ht="15">
      <c r="A59" s="335" t="s">
        <v>422</v>
      </c>
      <c r="B59" s="577" t="s">
        <v>423</v>
      </c>
      <c r="C59" s="449" t="s">
        <v>254</v>
      </c>
      <c r="D59" s="323" t="s">
        <v>255</v>
      </c>
      <c r="E59" s="457" t="str">
        <f t="shared" si="9"/>
        <v>SDMA Stress Test - CGCG</v>
      </c>
      <c r="F59" s="322"/>
      <c r="G59" s="553" t="str">
        <f>VLOOKUP(A59,'Feature Raw Data'!$A$3:$C$4084,3,FALSE)</f>
        <v>P2</v>
      </c>
      <c r="H59" s="575" t="s">
        <v>424</v>
      </c>
      <c r="I59" s="322" t="s">
        <v>425</v>
      </c>
      <c r="J59" s="323">
        <v>1</v>
      </c>
      <c r="K59" s="323">
        <v>1</v>
      </c>
      <c r="L59" s="428" t="s">
        <v>33</v>
      </c>
      <c r="M59" s="472">
        <v>1</v>
      </c>
      <c r="N59" s="470">
        <f t="shared" si="1"/>
        <v>1</v>
      </c>
      <c r="O59" s="474">
        <f t="shared" si="10"/>
        <v>1</v>
      </c>
      <c r="P59" s="454" t="s">
        <v>44</v>
      </c>
      <c r="Q59" s="358">
        <f t="shared" si="2"/>
        <v>1</v>
      </c>
      <c r="R59" s="488">
        <f t="shared" si="8"/>
        <v>1</v>
      </c>
      <c r="S59" s="488"/>
      <c r="T59" s="491"/>
      <c r="U59" s="488">
        <f t="shared" si="3"/>
        <v>1</v>
      </c>
      <c r="V59" s="491"/>
      <c r="W59" s="501">
        <f t="shared" si="4"/>
        <v>0</v>
      </c>
      <c r="X59" s="455"/>
      <c r="Y59" s="578">
        <f t="shared" si="5"/>
        <v>0</v>
      </c>
      <c r="Z59" s="488"/>
      <c r="AA59" s="491"/>
      <c r="AB59" s="491"/>
      <c r="AC59" s="491"/>
      <c r="AD59" s="489">
        <f t="shared" si="6"/>
        <v>0</v>
      </c>
      <c r="AE59" s="322" t="s">
        <v>426</v>
      </c>
      <c r="AF59" s="452" t="str">
        <f>VLOOKUP(A59,'Feature Summary'!$A$7:$U$4086,21,FALSE)</f>
        <v>WK4</v>
      </c>
      <c r="AG59" s="324"/>
    </row>
    <row r="60" spans="1:33" ht="15">
      <c r="A60" s="335" t="s">
        <v>427</v>
      </c>
      <c r="B60" s="577" t="s">
        <v>428</v>
      </c>
      <c r="C60" s="449" t="s">
        <v>254</v>
      </c>
      <c r="D60" s="323" t="s">
        <v>255</v>
      </c>
      <c r="E60" s="457" t="str">
        <f t="shared" si="9"/>
        <v>SDMA Stress Test - VDDGFX</v>
      </c>
      <c r="F60" s="322"/>
      <c r="G60" s="553" t="str">
        <f>VLOOKUP(A60,'Feature Raw Data'!$A$3:$C$4084,3,FALSE)</f>
        <v>P2</v>
      </c>
      <c r="H60" s="575" t="s">
        <v>429</v>
      </c>
      <c r="I60" s="322" t="s">
        <v>430</v>
      </c>
      <c r="J60" s="323">
        <v>1</v>
      </c>
      <c r="K60" s="323">
        <v>1</v>
      </c>
      <c r="L60" s="428" t="s">
        <v>33</v>
      </c>
      <c r="M60" s="472">
        <v>1</v>
      </c>
      <c r="N60" s="470">
        <f t="shared" si="1"/>
        <v>1</v>
      </c>
      <c r="O60" s="474">
        <f t="shared" si="10"/>
        <v>1</v>
      </c>
      <c r="P60" s="454" t="s">
        <v>44</v>
      </c>
      <c r="Q60" s="358">
        <f t="shared" si="2"/>
        <v>1</v>
      </c>
      <c r="R60" s="488">
        <f t="shared" si="8"/>
        <v>1</v>
      </c>
      <c r="S60" s="488"/>
      <c r="T60" s="491"/>
      <c r="U60" s="488">
        <f t="shared" si="3"/>
        <v>1</v>
      </c>
      <c r="V60" s="491"/>
      <c r="W60" s="501">
        <f t="shared" si="4"/>
        <v>0</v>
      </c>
      <c r="X60" s="455"/>
      <c r="Y60" s="578">
        <f t="shared" si="5"/>
        <v>0</v>
      </c>
      <c r="Z60" s="488"/>
      <c r="AA60" s="491"/>
      <c r="AB60" s="491"/>
      <c r="AC60" s="491"/>
      <c r="AD60" s="489">
        <f t="shared" si="6"/>
        <v>0</v>
      </c>
      <c r="AE60" s="322" t="s">
        <v>431</v>
      </c>
      <c r="AF60" s="452" t="str">
        <f>VLOOKUP(A60,'Feature Summary'!$A$7:$U$4086,21,FALSE)</f>
        <v>2 Wks after PMM enabled VDDGFX</v>
      </c>
      <c r="AG60" s="324"/>
    </row>
    <row r="61" spans="1:33" ht="15">
      <c r="A61" s="335" t="s">
        <v>432</v>
      </c>
      <c r="B61" s="577" t="s">
        <v>433</v>
      </c>
      <c r="C61" s="449" t="s">
        <v>254</v>
      </c>
      <c r="D61" s="323" t="s">
        <v>255</v>
      </c>
      <c r="E61" s="457" t="str">
        <f t="shared" si="9"/>
        <v>SRBM Writes</v>
      </c>
      <c r="F61" s="322"/>
      <c r="G61" s="553" t="str">
        <f>VLOOKUP(A61,'Feature Raw Data'!$A$3:$C$4084,3,FALSE)</f>
        <v>P2</v>
      </c>
      <c r="H61" s="575" t="s">
        <v>434</v>
      </c>
      <c r="I61" s="322"/>
      <c r="J61" s="323">
        <v>1</v>
      </c>
      <c r="K61" s="323">
        <v>6</v>
      </c>
      <c r="L61" s="428" t="s">
        <v>33</v>
      </c>
      <c r="M61" s="472">
        <v>1</v>
      </c>
      <c r="N61" s="470">
        <f t="shared" si="1"/>
        <v>6</v>
      </c>
      <c r="O61" s="474">
        <f t="shared" si="10"/>
        <v>1</v>
      </c>
      <c r="P61" s="454" t="s">
        <v>45</v>
      </c>
      <c r="Q61" s="358">
        <f t="shared" si="2"/>
        <v>6</v>
      </c>
      <c r="R61" s="488">
        <f t="shared" si="8"/>
        <v>6</v>
      </c>
      <c r="S61" s="488">
        <v>6</v>
      </c>
      <c r="T61" s="491"/>
      <c r="U61" s="488">
        <f t="shared" si="3"/>
        <v>0</v>
      </c>
      <c r="V61" s="491"/>
      <c r="W61" s="501">
        <f t="shared" si="4"/>
        <v>1</v>
      </c>
      <c r="X61" s="455"/>
      <c r="Y61" s="578">
        <f t="shared" si="5"/>
        <v>0</v>
      </c>
      <c r="Z61" s="488"/>
      <c r="AA61" s="491"/>
      <c r="AB61" s="491"/>
      <c r="AC61" s="491"/>
      <c r="AD61" s="489">
        <f t="shared" si="6"/>
        <v>0</v>
      </c>
      <c r="AE61" s="322"/>
      <c r="AF61" s="452" t="str">
        <f>VLOOKUP(A61,'Feature Summary'!$A$7:$U$4086,21,FALSE)</f>
        <v>2 Wks after PMM enabled VDDGFX</v>
      </c>
      <c r="AG61" s="324"/>
    </row>
    <row r="62" spans="1:33" ht="30">
      <c r="A62" s="335" t="s">
        <v>435</v>
      </c>
      <c r="B62" s="577" t="s">
        <v>436</v>
      </c>
      <c r="C62" s="449" t="s">
        <v>254</v>
      </c>
      <c r="D62" s="323" t="s">
        <v>255</v>
      </c>
      <c r="E62" s="457" t="str">
        <f t="shared" si="9"/>
        <v>Support byte aligned Count in normal tiled copy</v>
      </c>
      <c r="F62" s="322"/>
      <c r="G62" s="553" t="str">
        <f>VLOOKUP(A62,'Feature Raw Data'!$A$3:$C$4084,3,FALSE)</f>
        <v>P2</v>
      </c>
      <c r="H62" s="575" t="s">
        <v>437</v>
      </c>
      <c r="I62" s="322"/>
      <c r="J62" s="323">
        <v>1</v>
      </c>
      <c r="K62" s="323">
        <v>1</v>
      </c>
      <c r="L62" s="428" t="s">
        <v>33</v>
      </c>
      <c r="M62" s="472">
        <v>1</v>
      </c>
      <c r="N62" s="470">
        <f t="shared" si="1"/>
        <v>1</v>
      </c>
      <c r="O62" s="474">
        <f t="shared" si="10"/>
        <v>1</v>
      </c>
      <c r="P62" s="454" t="s">
        <v>45</v>
      </c>
      <c r="Q62" s="358">
        <f t="shared" si="2"/>
        <v>1</v>
      </c>
      <c r="R62" s="488">
        <f t="shared" si="8"/>
        <v>1</v>
      </c>
      <c r="S62" s="488"/>
      <c r="T62" s="491"/>
      <c r="U62" s="488">
        <f t="shared" si="3"/>
        <v>1</v>
      </c>
      <c r="V62" s="491"/>
      <c r="W62" s="501">
        <f t="shared" si="4"/>
        <v>0</v>
      </c>
      <c r="X62" s="455"/>
      <c r="Y62" s="578">
        <f t="shared" si="5"/>
        <v>0</v>
      </c>
      <c r="Z62" s="488"/>
      <c r="AA62" s="491"/>
      <c r="AB62" s="491"/>
      <c r="AC62" s="491"/>
      <c r="AD62" s="489">
        <f t="shared" si="6"/>
        <v>0</v>
      </c>
      <c r="AE62" s="322"/>
      <c r="AF62" s="452" t="s">
        <v>438</v>
      </c>
      <c r="AG62" s="324"/>
    </row>
    <row r="63" spans="1:33" ht="30">
      <c r="A63" s="335" t="s">
        <v>439</v>
      </c>
      <c r="B63" s="577" t="s">
        <v>440</v>
      </c>
      <c r="C63" s="449" t="s">
        <v>254</v>
      </c>
      <c r="D63" s="323" t="s">
        <v>255</v>
      </c>
      <c r="E63" s="457" t="str">
        <f t="shared" si="9"/>
        <v>Support Native TMZ support</v>
      </c>
      <c r="F63" s="322"/>
      <c r="G63" s="553" t="str">
        <f>VLOOKUP(A63,'Feature Raw Data'!$A$3:$C$4084,3,FALSE)</f>
        <v>P2</v>
      </c>
      <c r="H63" s="575" t="s">
        <v>441</v>
      </c>
      <c r="I63" s="322" t="s">
        <v>442</v>
      </c>
      <c r="J63" s="323">
        <v>1</v>
      </c>
      <c r="K63" s="323">
        <v>8</v>
      </c>
      <c r="L63" s="428" t="s">
        <v>33</v>
      </c>
      <c r="M63" s="472">
        <v>1</v>
      </c>
      <c r="N63" s="470">
        <f t="shared" si="1"/>
        <v>8</v>
      </c>
      <c r="O63" s="474">
        <f t="shared" si="10"/>
        <v>1</v>
      </c>
      <c r="P63" s="454" t="s">
        <v>44</v>
      </c>
      <c r="Q63" s="358">
        <f t="shared" si="2"/>
        <v>8</v>
      </c>
      <c r="R63" s="488">
        <f t="shared" si="8"/>
        <v>8</v>
      </c>
      <c r="S63" s="488"/>
      <c r="T63" s="491"/>
      <c r="U63" s="488">
        <f t="shared" si="3"/>
        <v>8</v>
      </c>
      <c r="V63" s="491"/>
      <c r="W63" s="501">
        <f t="shared" si="4"/>
        <v>0</v>
      </c>
      <c r="X63" s="455"/>
      <c r="Y63" s="578">
        <f t="shared" si="5"/>
        <v>0</v>
      </c>
      <c r="Z63" s="488"/>
      <c r="AA63" s="491"/>
      <c r="AB63" s="491"/>
      <c r="AC63" s="491"/>
      <c r="AD63" s="489">
        <f t="shared" si="6"/>
        <v>0</v>
      </c>
      <c r="AE63" s="457" t="s">
        <v>443</v>
      </c>
      <c r="AF63" s="452" t="s">
        <v>438</v>
      </c>
      <c r="AG63" s="324"/>
    </row>
    <row r="64" spans="1:33" ht="15">
      <c r="A64" s="335" t="s">
        <v>444</v>
      </c>
      <c r="B64" s="577" t="s">
        <v>445</v>
      </c>
      <c r="C64" s="449" t="s">
        <v>254</v>
      </c>
      <c r="D64" s="323" t="s">
        <v>255</v>
      </c>
      <c r="E64" s="457" t="str">
        <f t="shared" si="9"/>
        <v>Poll Register Write Memory</v>
      </c>
      <c r="F64" s="322"/>
      <c r="G64" s="553" t="str">
        <f>VLOOKUP(A64,'Feature Raw Data'!$A$3:$C$4084,3,FALSE)</f>
        <v>P2</v>
      </c>
      <c r="H64" s="575" t="s">
        <v>446</v>
      </c>
      <c r="I64" s="322"/>
      <c r="J64" s="323">
        <v>1</v>
      </c>
      <c r="K64" s="323">
        <v>1</v>
      </c>
      <c r="L64" s="428" t="s">
        <v>33</v>
      </c>
      <c r="M64" s="472">
        <v>1</v>
      </c>
      <c r="N64" s="470">
        <f t="shared" si="1"/>
        <v>1</v>
      </c>
      <c r="O64" s="474">
        <f t="shared" si="10"/>
        <v>1</v>
      </c>
      <c r="P64" s="454" t="s">
        <v>45</v>
      </c>
      <c r="Q64" s="358">
        <f t="shared" si="2"/>
        <v>1</v>
      </c>
      <c r="R64" s="488">
        <f t="shared" si="8"/>
        <v>1</v>
      </c>
      <c r="S64" s="488">
        <v>1</v>
      </c>
      <c r="T64" s="491"/>
      <c r="U64" s="488">
        <f t="shared" si="3"/>
        <v>0</v>
      </c>
      <c r="V64" s="491"/>
      <c r="W64" s="501">
        <f t="shared" si="4"/>
        <v>1</v>
      </c>
      <c r="X64" s="455"/>
      <c r="Y64" s="578">
        <f t="shared" si="5"/>
        <v>0</v>
      </c>
      <c r="Z64" s="488"/>
      <c r="AA64" s="491"/>
      <c r="AB64" s="491"/>
      <c r="AC64" s="491"/>
      <c r="AD64" s="489">
        <f t="shared" si="6"/>
        <v>0</v>
      </c>
      <c r="AE64" s="322"/>
      <c r="AF64" s="452" t="str">
        <f>VLOOKUP(A64,'Feature Summary'!$A$7:$U$4086,21,FALSE)</f>
        <v>WK5</v>
      </c>
      <c r="AG64" s="324"/>
    </row>
    <row r="65" spans="1:33" ht="30">
      <c r="A65" s="335" t="s">
        <v>447</v>
      </c>
      <c r="B65" s="577" t="s">
        <v>448</v>
      </c>
      <c r="C65" s="449" t="s">
        <v>254</v>
      </c>
      <c r="D65" s="323" t="s">
        <v>255</v>
      </c>
      <c r="E65" s="457" t="str">
        <f t="shared" si="9"/>
        <v>Conditional Execution</v>
      </c>
      <c r="F65" s="322"/>
      <c r="G65" s="553" t="str">
        <f>VLOOKUP(A65,'Feature Raw Data'!$A$3:$C$4084,3,FALSE)</f>
        <v>P2</v>
      </c>
      <c r="H65" s="575" t="s">
        <v>449</v>
      </c>
      <c r="I65" s="322"/>
      <c r="J65" s="323">
        <v>1</v>
      </c>
      <c r="K65" s="323">
        <v>2</v>
      </c>
      <c r="L65" s="428" t="s">
        <v>33</v>
      </c>
      <c r="M65" s="472">
        <v>1</v>
      </c>
      <c r="N65" s="470">
        <f t="shared" si="1"/>
        <v>2</v>
      </c>
      <c r="O65" s="474">
        <f t="shared" si="10"/>
        <v>1</v>
      </c>
      <c r="P65" s="454" t="s">
        <v>45</v>
      </c>
      <c r="Q65" s="358">
        <f t="shared" si="2"/>
        <v>2</v>
      </c>
      <c r="R65" s="488">
        <f t="shared" si="8"/>
        <v>2</v>
      </c>
      <c r="S65" s="488">
        <v>2</v>
      </c>
      <c r="T65" s="491"/>
      <c r="U65" s="488">
        <f t="shared" si="3"/>
        <v>0</v>
      </c>
      <c r="V65" s="491"/>
      <c r="W65" s="501">
        <f t="shared" si="4"/>
        <v>1</v>
      </c>
      <c r="X65" s="455"/>
      <c r="Y65" s="578">
        <f t="shared" si="5"/>
        <v>0</v>
      </c>
      <c r="Z65" s="488"/>
      <c r="AA65" s="491"/>
      <c r="AB65" s="491"/>
      <c r="AC65" s="491"/>
      <c r="AD65" s="489">
        <f t="shared" si="6"/>
        <v>0</v>
      </c>
      <c r="AE65" s="322"/>
      <c r="AF65" s="452" t="str">
        <f>VLOOKUP(A65,'Feature Summary'!$A$7:$U$4086,21,FALSE)</f>
        <v>4Wks</v>
      </c>
      <c r="AG65" s="324"/>
    </row>
    <row r="66" spans="1:33" ht="30">
      <c r="A66" s="335" t="s">
        <v>450</v>
      </c>
      <c r="B66" s="577" t="s">
        <v>451</v>
      </c>
      <c r="C66" s="449" t="s">
        <v>254</v>
      </c>
      <c r="D66" s="323" t="s">
        <v>255</v>
      </c>
      <c r="E66" s="457" t="str">
        <f t="shared" si="9"/>
        <v>Predicated Execution</v>
      </c>
      <c r="F66" s="322"/>
      <c r="G66" s="553" t="str">
        <f>VLOOKUP(A66,'Feature Raw Data'!$A$3:$C$4084,3,FALSE)</f>
        <v>P2</v>
      </c>
      <c r="H66" s="575" t="s">
        <v>452</v>
      </c>
      <c r="I66" s="322"/>
      <c r="J66" s="323">
        <v>1</v>
      </c>
      <c r="K66" s="323">
        <v>2</v>
      </c>
      <c r="L66" s="428" t="s">
        <v>33</v>
      </c>
      <c r="M66" s="472">
        <v>1</v>
      </c>
      <c r="N66" s="470">
        <f t="shared" si="1"/>
        <v>2</v>
      </c>
      <c r="O66" s="474">
        <f t="shared" si="10"/>
        <v>1</v>
      </c>
      <c r="P66" s="454" t="s">
        <v>45</v>
      </c>
      <c r="Q66" s="358">
        <f t="shared" si="2"/>
        <v>2</v>
      </c>
      <c r="R66" s="488">
        <f t="shared" si="8"/>
        <v>2</v>
      </c>
      <c r="S66" s="488">
        <v>2</v>
      </c>
      <c r="T66" s="491"/>
      <c r="U66" s="488">
        <f t="shared" si="3"/>
        <v>0</v>
      </c>
      <c r="V66" s="491"/>
      <c r="W66" s="501">
        <f t="shared" si="4"/>
        <v>1</v>
      </c>
      <c r="X66" s="455"/>
      <c r="Y66" s="578">
        <f t="shared" si="5"/>
        <v>0</v>
      </c>
      <c r="Z66" s="488"/>
      <c r="AA66" s="491"/>
      <c r="AB66" s="491"/>
      <c r="AC66" s="491"/>
      <c r="AD66" s="489">
        <f t="shared" si="6"/>
        <v>0</v>
      </c>
      <c r="AE66" s="322"/>
      <c r="AF66" s="452" t="str">
        <f>VLOOKUP(A66,'Feature Summary'!$A$7:$U$4086,21,FALSE)</f>
        <v>WK5</v>
      </c>
      <c r="AG66" s="324"/>
    </row>
    <row r="67" spans="1:33" ht="15">
      <c r="A67" s="335" t="s">
        <v>453</v>
      </c>
      <c r="B67" s="577" t="s">
        <v>454</v>
      </c>
      <c r="C67" s="449" t="s">
        <v>254</v>
      </c>
      <c r="D67" s="323" t="s">
        <v>255</v>
      </c>
      <c r="E67" s="457" t="str">
        <f t="shared" si="9"/>
        <v>Generate PTE/PDE</v>
      </c>
      <c r="F67" s="322"/>
      <c r="G67" s="553" t="str">
        <f>VLOOKUP(A67,'Feature Raw Data'!$A$3:$C$4084,3,FALSE)</f>
        <v>P2</v>
      </c>
      <c r="H67" s="575" t="s">
        <v>455</v>
      </c>
      <c r="I67" s="322"/>
      <c r="J67" s="323">
        <v>1</v>
      </c>
      <c r="K67" s="323">
        <v>1</v>
      </c>
      <c r="L67" s="428" t="s">
        <v>33</v>
      </c>
      <c r="M67" s="472">
        <v>1</v>
      </c>
      <c r="N67" s="470">
        <f t="shared" si="1"/>
        <v>1</v>
      </c>
      <c r="O67" s="474">
        <f t="shared" ref="O67:O113" si="11">IF((N67=0),0,(N67/K67))</f>
        <v>1</v>
      </c>
      <c r="P67" s="454" t="s">
        <v>45</v>
      </c>
      <c r="Q67" s="358">
        <f t="shared" si="2"/>
        <v>1</v>
      </c>
      <c r="R67" s="488">
        <f t="shared" si="8"/>
        <v>1</v>
      </c>
      <c r="S67" s="488">
        <v>1</v>
      </c>
      <c r="T67" s="491"/>
      <c r="U67" s="488">
        <f t="shared" si="3"/>
        <v>0</v>
      </c>
      <c r="V67" s="491"/>
      <c r="W67" s="501">
        <f t="shared" si="4"/>
        <v>1</v>
      </c>
      <c r="X67" s="455"/>
      <c r="Y67" s="578">
        <f t="shared" si="5"/>
        <v>0</v>
      </c>
      <c r="Z67" s="488"/>
      <c r="AA67" s="491"/>
      <c r="AB67" s="491"/>
      <c r="AC67" s="491"/>
      <c r="AD67" s="489">
        <f t="shared" si="6"/>
        <v>0</v>
      </c>
      <c r="AE67" s="322"/>
      <c r="AF67" s="452" t="str">
        <f>VLOOKUP(A67,'Feature Summary'!$A$7:$U$4086,21,FALSE)</f>
        <v>WK5</v>
      </c>
      <c r="AG67" s="324"/>
    </row>
    <row r="68" spans="1:33" ht="15">
      <c r="A68" s="335" t="s">
        <v>456</v>
      </c>
      <c r="B68" s="577" t="s">
        <v>457</v>
      </c>
      <c r="C68" s="449" t="s">
        <v>254</v>
      </c>
      <c r="D68" s="323" t="s">
        <v>255</v>
      </c>
      <c r="E68" s="457" t="str">
        <f t="shared" ref="E68:E114" si="12">B68</f>
        <v>Copy Mask PTE/PDE</v>
      </c>
      <c r="F68" s="322"/>
      <c r="G68" s="553" t="str">
        <f>VLOOKUP(A68,'Feature Raw Data'!$A$3:$C$4084,3,FALSE)</f>
        <v>P2</v>
      </c>
      <c r="H68" s="575" t="s">
        <v>458</v>
      </c>
      <c r="I68" s="322"/>
      <c r="J68" s="323">
        <v>1</v>
      </c>
      <c r="K68" s="323">
        <v>1</v>
      </c>
      <c r="L68" s="428" t="s">
        <v>33</v>
      </c>
      <c r="M68" s="472">
        <v>1</v>
      </c>
      <c r="N68" s="470">
        <f t="shared" si="1"/>
        <v>1</v>
      </c>
      <c r="O68" s="474">
        <f t="shared" si="11"/>
        <v>1</v>
      </c>
      <c r="P68" s="454" t="s">
        <v>45</v>
      </c>
      <c r="Q68" s="358">
        <f t="shared" si="2"/>
        <v>1</v>
      </c>
      <c r="R68" s="488">
        <f t="shared" si="8"/>
        <v>1</v>
      </c>
      <c r="S68" s="488">
        <v>1</v>
      </c>
      <c r="T68" s="491"/>
      <c r="U68" s="488">
        <f t="shared" si="3"/>
        <v>0</v>
      </c>
      <c r="V68" s="491"/>
      <c r="W68" s="501">
        <f t="shared" si="4"/>
        <v>1</v>
      </c>
      <c r="X68" s="455"/>
      <c r="Y68" s="578">
        <f t="shared" si="5"/>
        <v>0</v>
      </c>
      <c r="Z68" s="488"/>
      <c r="AA68" s="491"/>
      <c r="AB68" s="491"/>
      <c r="AC68" s="491"/>
      <c r="AD68" s="489">
        <f t="shared" si="6"/>
        <v>0</v>
      </c>
      <c r="AE68" s="322"/>
      <c r="AF68" s="452" t="str">
        <f>VLOOKUP(A68,'Feature Summary'!$A$7:$U$4086,21,FALSE)</f>
        <v>WK5</v>
      </c>
      <c r="AG68" s="324"/>
    </row>
    <row r="69" spans="1:33" ht="15">
      <c r="A69" s="335" t="s">
        <v>459</v>
      </c>
      <c r="B69" s="577" t="s">
        <v>460</v>
      </c>
      <c r="C69" s="449" t="s">
        <v>254</v>
      </c>
      <c r="D69" s="323" t="s">
        <v>255</v>
      </c>
      <c r="E69" s="457" t="str">
        <f t="shared" si="12"/>
        <v>RMW PTE/PDE</v>
      </c>
      <c r="F69" s="322"/>
      <c r="G69" s="553" t="str">
        <f>VLOOKUP(A69,'Feature Raw Data'!$A$3:$C$4084,3,FALSE)</f>
        <v>P2</v>
      </c>
      <c r="H69" s="575" t="s">
        <v>461</v>
      </c>
      <c r="I69" s="322"/>
      <c r="J69" s="323">
        <v>1</v>
      </c>
      <c r="K69" s="323">
        <v>1</v>
      </c>
      <c r="L69" s="428" t="s">
        <v>33</v>
      </c>
      <c r="M69" s="472">
        <v>1</v>
      </c>
      <c r="N69" s="470">
        <f t="shared" si="1"/>
        <v>1</v>
      </c>
      <c r="O69" s="474">
        <f t="shared" si="11"/>
        <v>1</v>
      </c>
      <c r="P69" s="454" t="s">
        <v>45</v>
      </c>
      <c r="Q69" s="358">
        <f t="shared" si="2"/>
        <v>1</v>
      </c>
      <c r="R69" s="488">
        <f t="shared" si="8"/>
        <v>1</v>
      </c>
      <c r="S69" s="488">
        <v>1</v>
      </c>
      <c r="T69" s="491"/>
      <c r="U69" s="488">
        <f t="shared" si="3"/>
        <v>0</v>
      </c>
      <c r="V69" s="491"/>
      <c r="W69" s="501">
        <f t="shared" si="4"/>
        <v>1</v>
      </c>
      <c r="X69" s="455"/>
      <c r="Y69" s="578">
        <f t="shared" si="5"/>
        <v>0</v>
      </c>
      <c r="Z69" s="488"/>
      <c r="AA69" s="491"/>
      <c r="AB69" s="491"/>
      <c r="AC69" s="491"/>
      <c r="AD69" s="489">
        <f t="shared" si="6"/>
        <v>0</v>
      </c>
      <c r="AE69" s="322"/>
      <c r="AF69" s="452" t="str">
        <f>VLOOKUP(A69,'Feature Summary'!$A$7:$U$4086,21,FALSE)</f>
        <v>WK4</v>
      </c>
      <c r="AG69" s="324"/>
    </row>
    <row r="70" spans="1:33" ht="30">
      <c r="A70" s="335" t="s">
        <v>462</v>
      </c>
      <c r="B70" s="577" t="s">
        <v>463</v>
      </c>
      <c r="C70" s="449" t="s">
        <v>254</v>
      </c>
      <c r="D70" s="323" t="s">
        <v>255</v>
      </c>
      <c r="E70" s="457" t="str">
        <f t="shared" si="12"/>
        <v>Timestamp Commands</v>
      </c>
      <c r="F70" s="322"/>
      <c r="G70" s="553" t="str">
        <f>VLOOKUP(A70,'Feature Raw Data'!$A$3:$C$4084,3,FALSE)</f>
        <v>P2</v>
      </c>
      <c r="H70" s="575" t="s">
        <v>464</v>
      </c>
      <c r="I70" s="322"/>
      <c r="J70" s="323">
        <v>1</v>
      </c>
      <c r="K70" s="323">
        <v>2</v>
      </c>
      <c r="L70" s="428" t="s">
        <v>33</v>
      </c>
      <c r="M70" s="472">
        <v>1</v>
      </c>
      <c r="N70" s="470">
        <f t="shared" si="1"/>
        <v>2</v>
      </c>
      <c r="O70" s="474">
        <f t="shared" si="11"/>
        <v>1</v>
      </c>
      <c r="P70" s="454" t="s">
        <v>45</v>
      </c>
      <c r="Q70" s="358">
        <f t="shared" si="2"/>
        <v>2</v>
      </c>
      <c r="R70" s="488">
        <f t="shared" si="8"/>
        <v>2</v>
      </c>
      <c r="S70" s="488">
        <v>1</v>
      </c>
      <c r="T70" s="491"/>
      <c r="U70" s="488">
        <f t="shared" si="3"/>
        <v>1</v>
      </c>
      <c r="V70" s="491"/>
      <c r="W70" s="501">
        <f t="shared" si="4"/>
        <v>0.5</v>
      </c>
      <c r="X70" s="455" t="s">
        <v>465</v>
      </c>
      <c r="Y70" s="578">
        <f t="shared" si="5"/>
        <v>0</v>
      </c>
      <c r="Z70" s="488"/>
      <c r="AA70" s="491"/>
      <c r="AB70" s="491"/>
      <c r="AC70" s="491"/>
      <c r="AD70" s="489">
        <f t="shared" si="6"/>
        <v>0</v>
      </c>
      <c r="AE70" s="322"/>
      <c r="AF70" s="452" t="str">
        <f>VLOOKUP(A70,'Feature Summary'!$A$7:$U$4086,21,FALSE)</f>
        <v>WK4</v>
      </c>
      <c r="AG70" s="324"/>
    </row>
    <row r="71" spans="1:33" ht="30">
      <c r="A71" s="335" t="s">
        <v>466</v>
      </c>
      <c r="B71" s="577" t="s">
        <v>467</v>
      </c>
      <c r="C71" s="449" t="s">
        <v>254</v>
      </c>
      <c r="D71" s="323" t="s">
        <v>255</v>
      </c>
      <c r="E71" s="457" t="str">
        <f t="shared" si="12"/>
        <v>Translation failure RESP MODE[4:0]</v>
      </c>
      <c r="F71" s="322"/>
      <c r="G71" s="553" t="str">
        <f>VLOOKUP(A71,'Feature Raw Data'!$A$3:$C$4084,3,FALSE)</f>
        <v>P2</v>
      </c>
      <c r="H71" s="575" t="s">
        <v>468</v>
      </c>
      <c r="I71" s="322" t="s">
        <v>321</v>
      </c>
      <c r="J71" s="323">
        <v>1</v>
      </c>
      <c r="K71" s="323">
        <v>9</v>
      </c>
      <c r="L71" s="428" t="s">
        <v>33</v>
      </c>
      <c r="M71" s="472">
        <v>1</v>
      </c>
      <c r="N71" s="470">
        <f t="shared" ref="N71:N131" si="13">K71</f>
        <v>9</v>
      </c>
      <c r="O71" s="474">
        <f t="shared" si="11"/>
        <v>1</v>
      </c>
      <c r="P71" s="454" t="s">
        <v>45</v>
      </c>
      <c r="Q71" s="358">
        <f t="shared" ref="Q71:Q131" si="14">K71</f>
        <v>9</v>
      </c>
      <c r="R71" s="488">
        <f t="shared" si="8"/>
        <v>9</v>
      </c>
      <c r="S71" s="488"/>
      <c r="T71" s="491"/>
      <c r="U71" s="488">
        <f t="shared" ref="U71:U131" si="15">Q71-S71</f>
        <v>9</v>
      </c>
      <c r="V71" s="491"/>
      <c r="W71" s="501">
        <f t="shared" ref="W71:W131" si="16">IF((R71=0),0,((S71+T71)/R71*100%))</f>
        <v>0</v>
      </c>
      <c r="X71" s="455"/>
      <c r="Y71" s="578">
        <f t="shared" ref="Y71:Y131" si="17">SUM(Z71:AC71)</f>
        <v>0</v>
      </c>
      <c r="Z71" s="488"/>
      <c r="AA71" s="491"/>
      <c r="AB71" s="491"/>
      <c r="AC71" s="491"/>
      <c r="AD71" s="489">
        <f t="shared" ref="AD71:AD131" si="18">IF((Y71=0),0,(Z71+AA71)/Y71)</f>
        <v>0</v>
      </c>
      <c r="AE71" s="322"/>
      <c r="AF71" s="452" t="str">
        <f>VLOOKUP(A71,'Feature Summary'!$A$7:$U$4086,21,FALSE)</f>
        <v>WK4</v>
      </c>
      <c r="AG71" s="324"/>
    </row>
    <row r="72" spans="1:33" ht="15">
      <c r="A72" s="335" t="s">
        <v>469</v>
      </c>
      <c r="B72" s="577" t="s">
        <v>470</v>
      </c>
      <c r="C72" s="449" t="s">
        <v>254</v>
      </c>
      <c r="D72" s="323" t="s">
        <v>255</v>
      </c>
      <c r="E72" s="457" t="str">
        <f t="shared" si="12"/>
        <v>VM_INVALIDATION</v>
      </c>
      <c r="F72" s="322"/>
      <c r="G72" s="553" t="str">
        <f>VLOOKUP(A72,'Feature Raw Data'!$A$3:$C$4084,3,FALSE)</f>
        <v>P2</v>
      </c>
      <c r="H72" s="575" t="s">
        <v>471</v>
      </c>
      <c r="I72" s="322" t="s">
        <v>321</v>
      </c>
      <c r="J72" s="323">
        <v>1</v>
      </c>
      <c r="K72" s="323">
        <v>18</v>
      </c>
      <c r="L72" s="428" t="s">
        <v>33</v>
      </c>
      <c r="M72" s="472">
        <v>1</v>
      </c>
      <c r="N72" s="470">
        <f t="shared" si="13"/>
        <v>18</v>
      </c>
      <c r="O72" s="474">
        <f t="shared" si="11"/>
        <v>1</v>
      </c>
      <c r="P72" s="454" t="s">
        <v>45</v>
      </c>
      <c r="Q72" s="358">
        <f t="shared" si="14"/>
        <v>18</v>
      </c>
      <c r="R72" s="488">
        <f t="shared" ref="R72:R131" si="19">Q72</f>
        <v>18</v>
      </c>
      <c r="S72" s="488"/>
      <c r="T72" s="491"/>
      <c r="U72" s="488">
        <f t="shared" si="15"/>
        <v>18</v>
      </c>
      <c r="V72" s="491"/>
      <c r="W72" s="501">
        <f t="shared" si="16"/>
        <v>0</v>
      </c>
      <c r="X72" s="455"/>
      <c r="Y72" s="578">
        <f t="shared" si="17"/>
        <v>0</v>
      </c>
      <c r="Z72" s="488"/>
      <c r="AA72" s="491"/>
      <c r="AB72" s="491"/>
      <c r="AC72" s="491"/>
      <c r="AD72" s="489">
        <f t="shared" si="18"/>
        <v>0</v>
      </c>
      <c r="AE72" s="322"/>
      <c r="AF72" s="452" t="str">
        <f>VLOOKUP(A72,'Feature Summary'!$A$7:$U$4086,21,FALSE)</f>
        <v>WK4</v>
      </c>
      <c r="AG72" s="324"/>
    </row>
    <row r="73" spans="1:33" ht="30">
      <c r="A73" s="335" t="s">
        <v>472</v>
      </c>
      <c r="B73" s="577" t="s">
        <v>473</v>
      </c>
      <c r="C73" s="449" t="s">
        <v>254</v>
      </c>
      <c r="D73" s="323" t="s">
        <v>255</v>
      </c>
      <c r="E73" s="457" t="str">
        <f t="shared" si="12"/>
        <v>Trap Command</v>
      </c>
      <c r="F73" s="322"/>
      <c r="G73" s="553" t="str">
        <f>VLOOKUP(A73,'Feature Raw Data'!$A$3:$C$4084,3,FALSE)</f>
        <v>P2</v>
      </c>
      <c r="H73" s="575" t="s">
        <v>474</v>
      </c>
      <c r="I73" s="322"/>
      <c r="J73" s="323">
        <v>1</v>
      </c>
      <c r="K73" s="323">
        <v>2</v>
      </c>
      <c r="L73" s="428" t="s">
        <v>33</v>
      </c>
      <c r="M73" s="472">
        <v>1</v>
      </c>
      <c r="N73" s="470">
        <f t="shared" si="13"/>
        <v>2</v>
      </c>
      <c r="O73" s="474">
        <f t="shared" si="11"/>
        <v>1</v>
      </c>
      <c r="P73" s="454" t="s">
        <v>45</v>
      </c>
      <c r="Q73" s="358">
        <f t="shared" si="14"/>
        <v>2</v>
      </c>
      <c r="R73" s="488">
        <f t="shared" si="19"/>
        <v>2</v>
      </c>
      <c r="S73" s="488">
        <v>2</v>
      </c>
      <c r="T73" s="491"/>
      <c r="U73" s="488">
        <f t="shared" si="15"/>
        <v>0</v>
      </c>
      <c r="V73" s="491"/>
      <c r="W73" s="501">
        <f t="shared" si="16"/>
        <v>1</v>
      </c>
      <c r="X73" s="455"/>
      <c r="Y73" s="578">
        <f t="shared" si="17"/>
        <v>0</v>
      </c>
      <c r="Z73" s="488"/>
      <c r="AA73" s="491"/>
      <c r="AB73" s="491"/>
      <c r="AC73" s="491"/>
      <c r="AD73" s="489">
        <f t="shared" si="18"/>
        <v>0</v>
      </c>
      <c r="AE73" s="322"/>
      <c r="AF73" s="452" t="str">
        <f>VLOOKUP(A73,'Feature Summary'!$A$7:$U$4086,21,FALSE)</f>
        <v>WK5</v>
      </c>
      <c r="AG73" s="324"/>
    </row>
    <row r="74" spans="1:33" ht="15">
      <c r="A74" s="335" t="s">
        <v>475</v>
      </c>
      <c r="B74" s="577" t="s">
        <v>476</v>
      </c>
      <c r="C74" s="449" t="s">
        <v>254</v>
      </c>
      <c r="D74" s="323" t="s">
        <v>255</v>
      </c>
      <c r="E74" s="457" t="str">
        <f t="shared" si="12"/>
        <v>VDDGFX power down support</v>
      </c>
      <c r="F74" s="322"/>
      <c r="G74" s="553" t="str">
        <f>VLOOKUP(A74,'Feature Raw Data'!$A$3:$C$4084,3,FALSE)</f>
        <v>P2</v>
      </c>
      <c r="H74" s="575" t="s">
        <v>477</v>
      </c>
      <c r="I74" s="322" t="s">
        <v>430</v>
      </c>
      <c r="J74" s="323">
        <v>1</v>
      </c>
      <c r="K74" s="323">
        <v>1</v>
      </c>
      <c r="L74" s="428" t="s">
        <v>33</v>
      </c>
      <c r="M74" s="472">
        <v>1</v>
      </c>
      <c r="N74" s="470">
        <f t="shared" si="13"/>
        <v>1</v>
      </c>
      <c r="O74" s="474">
        <f t="shared" si="11"/>
        <v>1</v>
      </c>
      <c r="P74" s="454" t="s">
        <v>44</v>
      </c>
      <c r="Q74" s="358">
        <f t="shared" si="14"/>
        <v>1</v>
      </c>
      <c r="R74" s="488">
        <f t="shared" si="19"/>
        <v>1</v>
      </c>
      <c r="S74" s="488"/>
      <c r="T74" s="491"/>
      <c r="U74" s="488">
        <f t="shared" si="15"/>
        <v>1</v>
      </c>
      <c r="V74" s="491"/>
      <c r="W74" s="501">
        <f t="shared" si="16"/>
        <v>0</v>
      </c>
      <c r="X74" s="455"/>
      <c r="Y74" s="578">
        <f t="shared" si="17"/>
        <v>0</v>
      </c>
      <c r="Z74" s="488"/>
      <c r="AA74" s="491"/>
      <c r="AB74" s="491"/>
      <c r="AC74" s="491"/>
      <c r="AD74" s="489">
        <f t="shared" si="18"/>
        <v>0</v>
      </c>
      <c r="AE74" s="457"/>
      <c r="AF74" s="452" t="str">
        <f>VLOOKUP(A74,'Feature Summary'!$A$7:$U$4086,21,FALSE)</f>
        <v>WK5</v>
      </c>
      <c r="AG74" s="324"/>
    </row>
    <row r="75" spans="1:33" ht="45">
      <c r="A75" s="335" t="s">
        <v>478</v>
      </c>
      <c r="B75" s="577" t="s">
        <v>479</v>
      </c>
      <c r="C75" s="449" t="s">
        <v>254</v>
      </c>
      <c r="D75" s="323" t="s">
        <v>255</v>
      </c>
      <c r="E75" s="457" t="str">
        <f t="shared" si="12"/>
        <v>Support 8 general purpose HW queue with programmable queue scheduling/priority</v>
      </c>
      <c r="F75" s="322"/>
      <c r="G75" s="553" t="str">
        <f>VLOOKUP(A75,'Feature Raw Data'!$A$3:$C$4084,3,FALSE)</f>
        <v>P2</v>
      </c>
      <c r="H75" s="575" t="s">
        <v>480</v>
      </c>
      <c r="I75" s="322" t="s">
        <v>481</v>
      </c>
      <c r="J75" s="323">
        <v>1</v>
      </c>
      <c r="K75" s="323">
        <v>4</v>
      </c>
      <c r="L75" s="428" t="s">
        <v>33</v>
      </c>
      <c r="M75" s="472">
        <v>1</v>
      </c>
      <c r="N75" s="470">
        <f t="shared" si="13"/>
        <v>4</v>
      </c>
      <c r="O75" s="474">
        <f t="shared" si="11"/>
        <v>1</v>
      </c>
      <c r="P75" s="454" t="s">
        <v>45</v>
      </c>
      <c r="Q75" s="358">
        <f t="shared" si="14"/>
        <v>4</v>
      </c>
      <c r="R75" s="488">
        <f t="shared" si="19"/>
        <v>4</v>
      </c>
      <c r="S75" s="488"/>
      <c r="T75" s="491"/>
      <c r="U75" s="488">
        <f t="shared" si="15"/>
        <v>4</v>
      </c>
      <c r="V75" s="491"/>
      <c r="W75" s="501">
        <f t="shared" si="16"/>
        <v>0</v>
      </c>
      <c r="X75" s="455"/>
      <c r="Y75" s="578">
        <f t="shared" si="17"/>
        <v>0</v>
      </c>
      <c r="Z75" s="488"/>
      <c r="AA75" s="491"/>
      <c r="AB75" s="491"/>
      <c r="AC75" s="491"/>
      <c r="AD75" s="489">
        <f t="shared" si="18"/>
        <v>0</v>
      </c>
      <c r="AE75" s="457"/>
      <c r="AF75" s="452" t="str">
        <f>VLOOKUP(A75,'Feature Summary'!$A$7:$U$4086,21,FALSE)</f>
        <v>WK2</v>
      </c>
      <c r="AG75" s="324"/>
    </row>
    <row r="76" spans="1:33" ht="30">
      <c r="A76" s="335" t="s">
        <v>482</v>
      </c>
      <c r="B76" s="577" t="s">
        <v>483</v>
      </c>
      <c r="C76" s="449" t="s">
        <v>254</v>
      </c>
      <c r="D76" s="323" t="s">
        <v>255</v>
      </c>
      <c r="E76" s="457" t="str">
        <f t="shared" si="12"/>
        <v>Queue process detection and per-queue reset</v>
      </c>
      <c r="F76" s="322"/>
      <c r="G76" s="553" t="str">
        <f>VLOOKUP(A76,'Feature Raw Data'!$A$3:$C$4084,3,FALSE)</f>
        <v>P2</v>
      </c>
      <c r="H76" s="575" t="s">
        <v>484</v>
      </c>
      <c r="I76" s="322" t="s">
        <v>485</v>
      </c>
      <c r="J76" s="323">
        <v>1</v>
      </c>
      <c r="K76" s="323">
        <v>2</v>
      </c>
      <c r="L76" s="428" t="s">
        <v>33</v>
      </c>
      <c r="M76" s="472">
        <v>1</v>
      </c>
      <c r="N76" s="470">
        <f t="shared" si="13"/>
        <v>2</v>
      </c>
      <c r="O76" s="474">
        <f t="shared" si="11"/>
        <v>1</v>
      </c>
      <c r="P76" s="454" t="s">
        <v>45</v>
      </c>
      <c r="Q76" s="358">
        <f t="shared" si="14"/>
        <v>2</v>
      </c>
      <c r="R76" s="488">
        <f t="shared" si="19"/>
        <v>2</v>
      </c>
      <c r="S76" s="488"/>
      <c r="T76" s="491"/>
      <c r="U76" s="488">
        <f t="shared" si="15"/>
        <v>2</v>
      </c>
      <c r="V76" s="491"/>
      <c r="W76" s="501">
        <f t="shared" si="16"/>
        <v>0</v>
      </c>
      <c r="X76" s="455"/>
      <c r="Y76" s="578">
        <f t="shared" si="17"/>
        <v>0</v>
      </c>
      <c r="Z76" s="488"/>
      <c r="AA76" s="491"/>
      <c r="AB76" s="491"/>
      <c r="AC76" s="491"/>
      <c r="AD76" s="489">
        <f t="shared" si="18"/>
        <v>0</v>
      </c>
      <c r="AE76" s="457"/>
      <c r="AF76" s="452" t="s">
        <v>396</v>
      </c>
      <c r="AG76" s="324"/>
    </row>
    <row r="77" spans="1:33" ht="45">
      <c r="A77" s="335" t="s">
        <v>486</v>
      </c>
      <c r="B77" s="577" t="s">
        <v>487</v>
      </c>
      <c r="C77" s="449" t="s">
        <v>254</v>
      </c>
      <c r="D77" s="323" t="s">
        <v>255</v>
      </c>
      <c r="E77" s="457" t="str">
        <f t="shared" si="12"/>
        <v>SDMA doorbell common range, daisy chain doorbell intf among SDMA controllers</v>
      </c>
      <c r="F77" s="322"/>
      <c r="G77" s="553" t="str">
        <f>VLOOKUP(A77,'Feature Raw Data'!$A$3:$C$4084,3,FALSE)</f>
        <v>P2</v>
      </c>
      <c r="H77" s="575" t="s">
        <v>334</v>
      </c>
      <c r="I77" s="322"/>
      <c r="J77" s="323">
        <v>1</v>
      </c>
      <c r="K77" s="323">
        <v>1</v>
      </c>
      <c r="L77" s="428" t="s">
        <v>33</v>
      </c>
      <c r="M77" s="472">
        <v>1</v>
      </c>
      <c r="N77" s="470">
        <f t="shared" si="13"/>
        <v>1</v>
      </c>
      <c r="O77" s="474">
        <f t="shared" si="11"/>
        <v>1</v>
      </c>
      <c r="P77" s="454" t="s">
        <v>45</v>
      </c>
      <c r="Q77" s="358">
        <f t="shared" si="14"/>
        <v>1</v>
      </c>
      <c r="R77" s="488">
        <f t="shared" si="19"/>
        <v>1</v>
      </c>
      <c r="S77" s="488">
        <v>1</v>
      </c>
      <c r="T77" s="491"/>
      <c r="U77" s="488">
        <f t="shared" si="15"/>
        <v>0</v>
      </c>
      <c r="V77" s="491"/>
      <c r="W77" s="501">
        <f t="shared" si="16"/>
        <v>1</v>
      </c>
      <c r="X77" s="455"/>
      <c r="Y77" s="578">
        <f t="shared" si="17"/>
        <v>0</v>
      </c>
      <c r="Z77" s="488"/>
      <c r="AA77" s="491"/>
      <c r="AB77" s="491"/>
      <c r="AC77" s="491"/>
      <c r="AD77" s="489">
        <f t="shared" si="18"/>
        <v>0</v>
      </c>
      <c r="AE77" s="322"/>
      <c r="AF77" s="452" t="s">
        <v>396</v>
      </c>
      <c r="AG77" s="324"/>
    </row>
    <row r="78" spans="1:33" ht="30">
      <c r="A78" s="335" t="s">
        <v>488</v>
      </c>
      <c r="B78" s="577" t="s">
        <v>489</v>
      </c>
      <c r="C78" s="449" t="s">
        <v>254</v>
      </c>
      <c r="D78" s="323" t="s">
        <v>255</v>
      </c>
      <c r="E78" s="457" t="str">
        <f t="shared" si="12"/>
        <v>non-recoverable page fault reporting</v>
      </c>
      <c r="F78" s="322"/>
      <c r="G78" s="553" t="str">
        <f>VLOOKUP(A78,'Feature Raw Data'!$A$3:$C$4084,3,FALSE)</f>
        <v>P2</v>
      </c>
      <c r="H78" s="575" t="s">
        <v>490</v>
      </c>
      <c r="I78" s="322" t="s">
        <v>321</v>
      </c>
      <c r="J78" s="323">
        <v>1</v>
      </c>
      <c r="K78" s="323">
        <v>3</v>
      </c>
      <c r="L78" s="428" t="s">
        <v>33</v>
      </c>
      <c r="M78" s="472">
        <v>1</v>
      </c>
      <c r="N78" s="470">
        <f t="shared" si="13"/>
        <v>3</v>
      </c>
      <c r="O78" s="474">
        <f t="shared" si="11"/>
        <v>1</v>
      </c>
      <c r="P78" s="454" t="s">
        <v>45</v>
      </c>
      <c r="Q78" s="358">
        <f t="shared" si="14"/>
        <v>3</v>
      </c>
      <c r="R78" s="488">
        <f t="shared" si="19"/>
        <v>3</v>
      </c>
      <c r="S78" s="488"/>
      <c r="T78" s="491"/>
      <c r="U78" s="488">
        <f t="shared" si="15"/>
        <v>3</v>
      </c>
      <c r="V78" s="491"/>
      <c r="W78" s="501">
        <f t="shared" si="16"/>
        <v>0</v>
      </c>
      <c r="X78" s="455"/>
      <c r="Y78" s="578">
        <f t="shared" si="17"/>
        <v>0</v>
      </c>
      <c r="Z78" s="488"/>
      <c r="AA78" s="491"/>
      <c r="AB78" s="491"/>
      <c r="AC78" s="491"/>
      <c r="AD78" s="489">
        <f t="shared" si="18"/>
        <v>0</v>
      </c>
      <c r="AE78" s="322"/>
      <c r="AF78" s="452" t="s">
        <v>301</v>
      </c>
      <c r="AG78" s="324"/>
    </row>
    <row r="79" spans="1:33" ht="45">
      <c r="A79" s="335" t="s">
        <v>491</v>
      </c>
      <c r="B79" s="577" t="s">
        <v>492</v>
      </c>
      <c r="C79" s="449" t="s">
        <v>254</v>
      </c>
      <c r="D79" s="323" t="s">
        <v>255</v>
      </c>
      <c r="E79" s="457" t="str">
        <f t="shared" si="12"/>
        <v>Improved ucode exception/interrupt handling enhancement</v>
      </c>
      <c r="F79" s="322"/>
      <c r="G79" s="553" t="str">
        <f>VLOOKUP(A79,'Feature Raw Data'!$A$3:$C$4084,3,FALSE)</f>
        <v>P2</v>
      </c>
      <c r="H79" s="575" t="s">
        <v>493</v>
      </c>
      <c r="I79" s="322"/>
      <c r="J79" s="323">
        <v>1</v>
      </c>
      <c r="K79" s="323">
        <v>1</v>
      </c>
      <c r="L79" s="428" t="s">
        <v>33</v>
      </c>
      <c r="M79" s="472">
        <v>1</v>
      </c>
      <c r="N79" s="470">
        <f t="shared" si="13"/>
        <v>1</v>
      </c>
      <c r="O79" s="474">
        <f t="shared" si="11"/>
        <v>1</v>
      </c>
      <c r="P79" s="454" t="s">
        <v>45</v>
      </c>
      <c r="Q79" s="358">
        <f t="shared" si="14"/>
        <v>1</v>
      </c>
      <c r="R79" s="488">
        <f t="shared" si="19"/>
        <v>1</v>
      </c>
      <c r="S79" s="488">
        <v>1</v>
      </c>
      <c r="T79" s="491"/>
      <c r="U79" s="488">
        <f t="shared" si="15"/>
        <v>0</v>
      </c>
      <c r="V79" s="491"/>
      <c r="W79" s="501">
        <f t="shared" si="16"/>
        <v>1</v>
      </c>
      <c r="X79" s="455"/>
      <c r="Y79" s="578">
        <f t="shared" si="17"/>
        <v>0</v>
      </c>
      <c r="Z79" s="488"/>
      <c r="AA79" s="491"/>
      <c r="AB79" s="491"/>
      <c r="AC79" s="491"/>
      <c r="AD79" s="489">
        <f t="shared" si="18"/>
        <v>0</v>
      </c>
      <c r="AE79" s="322"/>
      <c r="AF79" s="452" t="s">
        <v>301</v>
      </c>
      <c r="AG79" s="324"/>
    </row>
    <row r="80" spans="1:33" ht="15">
      <c r="A80" s="335" t="s">
        <v>494</v>
      </c>
      <c r="B80" s="577" t="s">
        <v>495</v>
      </c>
      <c r="C80" s="449" t="s">
        <v>254</v>
      </c>
      <c r="D80" s="323" t="s">
        <v>255</v>
      </c>
      <c r="E80" s="457" t="str">
        <f t="shared" si="12"/>
        <v xml:space="preserve">Enhanced RB preemption protocol </v>
      </c>
      <c r="F80" s="322"/>
      <c r="G80" s="553" t="str">
        <f>VLOOKUP(A80,'Feature Raw Data'!$A$3:$C$4084,3,FALSE)</f>
        <v>P2</v>
      </c>
      <c r="H80" s="575" t="s">
        <v>384</v>
      </c>
      <c r="I80" s="322"/>
      <c r="J80" s="323">
        <v>1</v>
      </c>
      <c r="K80" s="323">
        <v>1</v>
      </c>
      <c r="L80" s="428" t="s">
        <v>33</v>
      </c>
      <c r="M80" s="472">
        <v>1</v>
      </c>
      <c r="N80" s="470">
        <f t="shared" si="13"/>
        <v>1</v>
      </c>
      <c r="O80" s="474">
        <f t="shared" si="11"/>
        <v>1</v>
      </c>
      <c r="P80" s="454" t="s">
        <v>45</v>
      </c>
      <c r="Q80" s="358">
        <f t="shared" si="14"/>
        <v>1</v>
      </c>
      <c r="R80" s="488">
        <f t="shared" si="19"/>
        <v>1</v>
      </c>
      <c r="S80" s="488">
        <v>1</v>
      </c>
      <c r="T80" s="491"/>
      <c r="U80" s="488">
        <f t="shared" si="15"/>
        <v>0</v>
      </c>
      <c r="V80" s="491"/>
      <c r="W80" s="501">
        <f t="shared" si="16"/>
        <v>1</v>
      </c>
      <c r="X80" s="455"/>
      <c r="Y80" s="578">
        <f t="shared" si="17"/>
        <v>0</v>
      </c>
      <c r="Z80" s="488"/>
      <c r="AA80" s="491"/>
      <c r="AB80" s="491"/>
      <c r="AC80" s="491"/>
      <c r="AD80" s="489">
        <f t="shared" si="18"/>
        <v>0</v>
      </c>
      <c r="AE80" s="322"/>
      <c r="AF80" s="452" t="s">
        <v>259</v>
      </c>
      <c r="AG80" s="324"/>
    </row>
    <row r="81" spans="1:33" ht="75">
      <c r="A81" s="335" t="s">
        <v>496</v>
      </c>
      <c r="B81" s="577" t="s">
        <v>497</v>
      </c>
      <c r="C81" s="449" t="s">
        <v>254</v>
      </c>
      <c r="D81" s="323" t="s">
        <v>255</v>
      </c>
      <c r="E81" s="457" t="str">
        <f t="shared" si="12"/>
        <v xml:space="preserve">ucode loading enhacement </v>
      </c>
      <c r="F81" s="322"/>
      <c r="G81" s="553" t="str">
        <f>VLOOKUP(A81,'Feature Raw Data'!$A$3:$C$4084,3,FALSE)</f>
        <v>P2</v>
      </c>
      <c r="H81" s="575" t="s">
        <v>498</v>
      </c>
      <c r="I81" s="322"/>
      <c r="J81" s="323">
        <v>1</v>
      </c>
      <c r="K81" s="323">
        <v>1</v>
      </c>
      <c r="L81" s="428" t="s">
        <v>33</v>
      </c>
      <c r="M81" s="472">
        <v>1</v>
      </c>
      <c r="N81" s="470">
        <f t="shared" si="13"/>
        <v>1</v>
      </c>
      <c r="O81" s="474">
        <f t="shared" si="11"/>
        <v>1</v>
      </c>
      <c r="P81" s="454" t="s">
        <v>45</v>
      </c>
      <c r="Q81" s="358">
        <f t="shared" si="14"/>
        <v>1</v>
      </c>
      <c r="R81" s="488">
        <f t="shared" si="19"/>
        <v>1</v>
      </c>
      <c r="S81" s="488"/>
      <c r="T81" s="491"/>
      <c r="U81" s="488">
        <f t="shared" si="15"/>
        <v>1</v>
      </c>
      <c r="V81" s="491"/>
      <c r="W81" s="501">
        <f t="shared" si="16"/>
        <v>0</v>
      </c>
      <c r="X81" s="455"/>
      <c r="Y81" s="578">
        <f t="shared" si="17"/>
        <v>0</v>
      </c>
      <c r="Z81" s="488"/>
      <c r="AA81" s="491"/>
      <c r="AB81" s="491"/>
      <c r="AC81" s="491"/>
      <c r="AD81" s="489">
        <f t="shared" si="18"/>
        <v>0</v>
      </c>
      <c r="AE81" s="457" t="s">
        <v>499</v>
      </c>
      <c r="AF81" s="452" t="s">
        <v>438</v>
      </c>
      <c r="AG81" s="324"/>
    </row>
    <row r="82" spans="1:33" ht="15">
      <c r="A82" s="335" t="s">
        <v>500</v>
      </c>
      <c r="B82" s="577" t="s">
        <v>501</v>
      </c>
      <c r="C82" s="449" t="s">
        <v>254</v>
      </c>
      <c r="D82" s="323" t="s">
        <v>255</v>
      </c>
      <c r="E82" s="457" t="str">
        <f t="shared" si="12"/>
        <v>WPTR poll enhancement</v>
      </c>
      <c r="F82" s="322"/>
      <c r="G82" s="553" t="str">
        <f>VLOOKUP(A82,'Feature Raw Data'!$A$3:$C$4084,3,FALSE)</f>
        <v>P2</v>
      </c>
      <c r="H82" s="575" t="s">
        <v>334</v>
      </c>
      <c r="I82" s="322"/>
      <c r="J82" s="323">
        <v>1</v>
      </c>
      <c r="K82" s="323">
        <v>1</v>
      </c>
      <c r="L82" s="428" t="s">
        <v>33</v>
      </c>
      <c r="M82" s="472">
        <v>1</v>
      </c>
      <c r="N82" s="470">
        <f t="shared" si="13"/>
        <v>1</v>
      </c>
      <c r="O82" s="474">
        <f t="shared" si="11"/>
        <v>1</v>
      </c>
      <c r="P82" s="454" t="s">
        <v>45</v>
      </c>
      <c r="Q82" s="358">
        <f t="shared" si="14"/>
        <v>1</v>
      </c>
      <c r="R82" s="488">
        <f t="shared" si="19"/>
        <v>1</v>
      </c>
      <c r="S82" s="488">
        <v>1</v>
      </c>
      <c r="T82" s="491"/>
      <c r="U82" s="488">
        <f t="shared" si="15"/>
        <v>0</v>
      </c>
      <c r="V82" s="491"/>
      <c r="W82" s="501">
        <f t="shared" si="16"/>
        <v>1</v>
      </c>
      <c r="X82" s="455"/>
      <c r="Y82" s="578">
        <f t="shared" si="17"/>
        <v>0</v>
      </c>
      <c r="Z82" s="488"/>
      <c r="AA82" s="491"/>
      <c r="AB82" s="491"/>
      <c r="AC82" s="491"/>
      <c r="AD82" s="489">
        <f t="shared" si="18"/>
        <v>0</v>
      </c>
      <c r="AE82" s="322"/>
      <c r="AF82" s="452" t="s">
        <v>301</v>
      </c>
      <c r="AG82" s="324"/>
    </row>
    <row r="83" spans="1:33" ht="30">
      <c r="A83" s="335" t="s">
        <v>502</v>
      </c>
      <c r="B83" s="574" t="s">
        <v>503</v>
      </c>
      <c r="C83" s="449" t="s">
        <v>254</v>
      </c>
      <c r="D83" s="323" t="s">
        <v>255</v>
      </c>
      <c r="E83" s="457" t="str">
        <f t="shared" si="12"/>
        <v>Support mid-command boundary on quantum expire</v>
      </c>
      <c r="F83" s="322"/>
      <c r="G83" s="553" t="str">
        <f>VLOOKUP(A83,'Feature Raw Data'!$A$3:$C$4084,3,FALSE)</f>
        <v>P2</v>
      </c>
      <c r="H83" s="575" t="s">
        <v>391</v>
      </c>
      <c r="I83" s="323" t="s">
        <v>504</v>
      </c>
      <c r="J83" s="323">
        <v>1</v>
      </c>
      <c r="K83" s="323">
        <v>1</v>
      </c>
      <c r="L83" s="428" t="s">
        <v>33</v>
      </c>
      <c r="M83" s="472">
        <v>1</v>
      </c>
      <c r="N83" s="470">
        <f t="shared" si="13"/>
        <v>1</v>
      </c>
      <c r="O83" s="474">
        <f t="shared" si="11"/>
        <v>1</v>
      </c>
      <c r="P83" s="454" t="s">
        <v>45</v>
      </c>
      <c r="Q83" s="358">
        <f t="shared" si="14"/>
        <v>1</v>
      </c>
      <c r="R83" s="488">
        <f t="shared" si="19"/>
        <v>1</v>
      </c>
      <c r="S83" s="488"/>
      <c r="T83" s="491"/>
      <c r="U83" s="488">
        <f t="shared" si="15"/>
        <v>1</v>
      </c>
      <c r="V83" s="491"/>
      <c r="W83" s="501">
        <f t="shared" si="16"/>
        <v>0</v>
      </c>
      <c r="X83" s="455"/>
      <c r="Y83" s="578">
        <f t="shared" si="17"/>
        <v>0</v>
      </c>
      <c r="Z83" s="488"/>
      <c r="AA83" s="491"/>
      <c r="AB83" s="491"/>
      <c r="AC83" s="491"/>
      <c r="AD83" s="489">
        <f t="shared" si="18"/>
        <v>0</v>
      </c>
      <c r="AE83" s="322"/>
      <c r="AF83" s="452" t="s">
        <v>438</v>
      </c>
      <c r="AG83" s="324"/>
    </row>
    <row r="84" spans="1:33" ht="30">
      <c r="A84" s="335" t="s">
        <v>505</v>
      </c>
      <c r="B84" s="577" t="s">
        <v>506</v>
      </c>
      <c r="C84" s="449" t="s">
        <v>254</v>
      </c>
      <c r="D84" s="323" t="s">
        <v>255</v>
      </c>
      <c r="E84" s="457" t="str">
        <f t="shared" si="12"/>
        <v>Change SDMA's interrupt SourceID/RingID</v>
      </c>
      <c r="F84" s="322"/>
      <c r="G84" s="553" t="str">
        <f>VLOOKUP(A84,'Feature Raw Data'!$A$3:$C$4084,3,FALSE)</f>
        <v>P2</v>
      </c>
      <c r="H84" s="575" t="s">
        <v>493</v>
      </c>
      <c r="I84" s="322"/>
      <c r="J84" s="323">
        <v>1</v>
      </c>
      <c r="K84" s="323">
        <v>1</v>
      </c>
      <c r="L84" s="428" t="s">
        <v>33</v>
      </c>
      <c r="M84" s="472">
        <v>1</v>
      </c>
      <c r="N84" s="470">
        <f t="shared" si="13"/>
        <v>1</v>
      </c>
      <c r="O84" s="474">
        <f t="shared" si="11"/>
        <v>1</v>
      </c>
      <c r="P84" s="454" t="s">
        <v>45</v>
      </c>
      <c r="Q84" s="358">
        <f t="shared" si="14"/>
        <v>1</v>
      </c>
      <c r="R84" s="488">
        <f t="shared" si="19"/>
        <v>1</v>
      </c>
      <c r="S84" s="488">
        <v>1</v>
      </c>
      <c r="T84" s="491"/>
      <c r="U84" s="488">
        <f t="shared" si="15"/>
        <v>0</v>
      </c>
      <c r="V84" s="491"/>
      <c r="W84" s="501">
        <f t="shared" si="16"/>
        <v>1</v>
      </c>
      <c r="X84" s="455"/>
      <c r="Y84" s="578">
        <f t="shared" si="17"/>
        <v>0</v>
      </c>
      <c r="Z84" s="488"/>
      <c r="AA84" s="491"/>
      <c r="AB84" s="491"/>
      <c r="AC84" s="491"/>
      <c r="AD84" s="489">
        <f t="shared" si="18"/>
        <v>0</v>
      </c>
      <c r="AE84" s="322"/>
      <c r="AF84" s="452" t="s">
        <v>259</v>
      </c>
      <c r="AG84" s="324"/>
    </row>
    <row r="85" spans="1:33" ht="15">
      <c r="A85" s="335" t="s">
        <v>507</v>
      </c>
      <c r="B85" s="577" t="s">
        <v>508</v>
      </c>
      <c r="C85" s="449" t="s">
        <v>254</v>
      </c>
      <c r="D85" s="323" t="s">
        <v>255</v>
      </c>
      <c r="E85" s="457" t="str">
        <f t="shared" si="12"/>
        <v>Const_fill count size expands to 1GB</v>
      </c>
      <c r="F85" s="322"/>
      <c r="G85" s="553" t="str">
        <f>VLOOKUP(A85,'Feature Raw Data'!$A$3:$C$4084,3,FALSE)</f>
        <v>P2</v>
      </c>
      <c r="H85" s="575" t="s">
        <v>291</v>
      </c>
      <c r="I85" s="322"/>
      <c r="J85" s="323">
        <v>1</v>
      </c>
      <c r="K85" s="323">
        <v>1</v>
      </c>
      <c r="L85" s="428" t="s">
        <v>33</v>
      </c>
      <c r="M85" s="472">
        <v>1</v>
      </c>
      <c r="N85" s="470">
        <f t="shared" si="13"/>
        <v>1</v>
      </c>
      <c r="O85" s="474">
        <f t="shared" si="11"/>
        <v>1</v>
      </c>
      <c r="P85" s="454" t="s">
        <v>45</v>
      </c>
      <c r="Q85" s="358">
        <f t="shared" si="14"/>
        <v>1</v>
      </c>
      <c r="R85" s="488">
        <f t="shared" si="19"/>
        <v>1</v>
      </c>
      <c r="S85" s="488">
        <v>1</v>
      </c>
      <c r="T85" s="491"/>
      <c r="U85" s="488">
        <f t="shared" si="15"/>
        <v>0</v>
      </c>
      <c r="V85" s="491"/>
      <c r="W85" s="501">
        <f t="shared" si="16"/>
        <v>1</v>
      </c>
      <c r="X85" s="455"/>
      <c r="Y85" s="578">
        <f t="shared" si="17"/>
        <v>0</v>
      </c>
      <c r="Z85" s="488"/>
      <c r="AA85" s="491"/>
      <c r="AB85" s="491"/>
      <c r="AC85" s="491"/>
      <c r="AD85" s="489">
        <f t="shared" si="18"/>
        <v>0</v>
      </c>
      <c r="AE85" s="322"/>
      <c r="AF85" s="452" t="s">
        <v>301</v>
      </c>
      <c r="AG85" s="324"/>
    </row>
    <row r="86" spans="1:33" ht="15">
      <c r="A86" s="335" t="s">
        <v>509</v>
      </c>
      <c r="B86" s="577" t="s">
        <v>510</v>
      </c>
      <c r="C86" s="449" t="s">
        <v>254</v>
      </c>
      <c r="D86" s="323" t="s">
        <v>511</v>
      </c>
      <c r="E86" s="457" t="str">
        <f t="shared" si="12"/>
        <v>Linear Copy(LSDMA)</v>
      </c>
      <c r="F86" s="322"/>
      <c r="G86" s="553" t="str">
        <f>VLOOKUP(A86,'Feature Raw Data'!$A$3:$C$4084,3,FALSE)</f>
        <v>P2</v>
      </c>
      <c r="H86" s="575" t="s">
        <v>512</v>
      </c>
      <c r="I86" s="322"/>
      <c r="J86" s="323">
        <v>1</v>
      </c>
      <c r="K86" s="323">
        <v>1</v>
      </c>
      <c r="L86" s="428" t="s">
        <v>33</v>
      </c>
      <c r="M86" s="472">
        <v>1</v>
      </c>
      <c r="N86" s="470">
        <f t="shared" si="13"/>
        <v>1</v>
      </c>
      <c r="O86" s="474">
        <f t="shared" si="11"/>
        <v>1</v>
      </c>
      <c r="P86" s="454" t="s">
        <v>45</v>
      </c>
      <c r="Q86" s="358">
        <f t="shared" si="14"/>
        <v>1</v>
      </c>
      <c r="R86" s="488">
        <f t="shared" si="19"/>
        <v>1</v>
      </c>
      <c r="S86" s="488">
        <v>1</v>
      </c>
      <c r="T86" s="491"/>
      <c r="U86" s="488">
        <f t="shared" si="15"/>
        <v>0</v>
      </c>
      <c r="V86" s="491"/>
      <c r="W86" s="501">
        <f t="shared" si="16"/>
        <v>1</v>
      </c>
      <c r="X86" s="455"/>
      <c r="Y86" s="578">
        <f t="shared" si="17"/>
        <v>0</v>
      </c>
      <c r="Z86" s="488"/>
      <c r="AA86" s="491"/>
      <c r="AB86" s="491"/>
      <c r="AC86" s="491"/>
      <c r="AD86" s="489">
        <f t="shared" si="18"/>
        <v>0</v>
      </c>
      <c r="AE86" s="322"/>
      <c r="AF86" s="452" t="s">
        <v>513</v>
      </c>
      <c r="AG86" s="324"/>
    </row>
    <row r="87" spans="1:33" ht="15">
      <c r="A87" s="335" t="s">
        <v>514</v>
      </c>
      <c r="B87" s="577" t="s">
        <v>515</v>
      </c>
      <c r="C87" s="449" t="s">
        <v>254</v>
      </c>
      <c r="D87" s="323" t="s">
        <v>511</v>
      </c>
      <c r="E87" s="457" t="str">
        <f t="shared" si="12"/>
        <v>Linear Backwards Copy(LSDMA)</v>
      </c>
      <c r="F87" s="322"/>
      <c r="G87" s="553" t="str">
        <f>VLOOKUP(A87,'Feature Raw Data'!$A$3:$C$4084,3,FALSE)</f>
        <v>P2</v>
      </c>
      <c r="H87" s="575" t="s">
        <v>516</v>
      </c>
      <c r="I87" s="322"/>
      <c r="J87" s="323">
        <v>1</v>
      </c>
      <c r="K87" s="323">
        <v>1</v>
      </c>
      <c r="L87" s="428" t="s">
        <v>33</v>
      </c>
      <c r="M87" s="472">
        <v>1</v>
      </c>
      <c r="N87" s="470">
        <f t="shared" si="13"/>
        <v>1</v>
      </c>
      <c r="O87" s="474">
        <f t="shared" si="11"/>
        <v>1</v>
      </c>
      <c r="P87" s="454" t="s">
        <v>45</v>
      </c>
      <c r="Q87" s="358">
        <f t="shared" si="14"/>
        <v>1</v>
      </c>
      <c r="R87" s="488">
        <f t="shared" si="19"/>
        <v>1</v>
      </c>
      <c r="S87" s="488">
        <v>1</v>
      </c>
      <c r="T87" s="491"/>
      <c r="U87" s="488">
        <f t="shared" si="15"/>
        <v>0</v>
      </c>
      <c r="V87" s="491"/>
      <c r="W87" s="501">
        <f t="shared" si="16"/>
        <v>1</v>
      </c>
      <c r="X87" s="455"/>
      <c r="Y87" s="578">
        <f t="shared" si="17"/>
        <v>0</v>
      </c>
      <c r="Z87" s="488"/>
      <c r="AA87" s="491"/>
      <c r="AB87" s="491"/>
      <c r="AC87" s="491"/>
      <c r="AD87" s="489">
        <f t="shared" si="18"/>
        <v>0</v>
      </c>
      <c r="AE87" s="322"/>
      <c r="AF87" s="452" t="s">
        <v>396</v>
      </c>
      <c r="AG87" s="324"/>
    </row>
    <row r="88" spans="1:33" ht="15">
      <c r="A88" s="335" t="s">
        <v>517</v>
      </c>
      <c r="B88" s="577" t="s">
        <v>518</v>
      </c>
      <c r="C88" s="449" t="s">
        <v>254</v>
      </c>
      <c r="D88" s="323" t="s">
        <v>511</v>
      </c>
      <c r="E88" s="457" t="str">
        <f t="shared" si="12"/>
        <v>Linear Copy Broadcast(LSDMA)</v>
      </c>
      <c r="F88" s="322"/>
      <c r="G88" s="553" t="str">
        <f>VLOOKUP(A88,'Feature Raw Data'!$A$3:$C$4084,3,FALSE)</f>
        <v>P2</v>
      </c>
      <c r="H88" s="575" t="s">
        <v>519</v>
      </c>
      <c r="I88" s="322"/>
      <c r="J88" s="323">
        <v>1</v>
      </c>
      <c r="K88" s="323">
        <v>1</v>
      </c>
      <c r="L88" s="428" t="s">
        <v>33</v>
      </c>
      <c r="M88" s="472">
        <v>1</v>
      </c>
      <c r="N88" s="470">
        <f t="shared" si="13"/>
        <v>1</v>
      </c>
      <c r="O88" s="474">
        <f t="shared" si="11"/>
        <v>1</v>
      </c>
      <c r="P88" s="454" t="s">
        <v>45</v>
      </c>
      <c r="Q88" s="358">
        <f t="shared" si="14"/>
        <v>1</v>
      </c>
      <c r="R88" s="488">
        <f t="shared" si="19"/>
        <v>1</v>
      </c>
      <c r="S88" s="488">
        <v>1</v>
      </c>
      <c r="T88" s="491"/>
      <c r="U88" s="488">
        <f t="shared" si="15"/>
        <v>0</v>
      </c>
      <c r="V88" s="491"/>
      <c r="W88" s="501">
        <f t="shared" si="16"/>
        <v>1</v>
      </c>
      <c r="X88" s="455"/>
      <c r="Y88" s="578">
        <f t="shared" si="17"/>
        <v>0</v>
      </c>
      <c r="Z88" s="488"/>
      <c r="AA88" s="491"/>
      <c r="AB88" s="491"/>
      <c r="AC88" s="491"/>
      <c r="AD88" s="489">
        <f t="shared" si="18"/>
        <v>0</v>
      </c>
      <c r="AE88" s="322"/>
      <c r="AF88" s="452" t="s">
        <v>396</v>
      </c>
      <c r="AG88" s="324"/>
    </row>
    <row r="89" spans="1:33" ht="15">
      <c r="A89" s="335" t="s">
        <v>520</v>
      </c>
      <c r="B89" s="577" t="s">
        <v>521</v>
      </c>
      <c r="C89" s="449" t="s">
        <v>254</v>
      </c>
      <c r="D89" s="323" t="s">
        <v>511</v>
      </c>
      <c r="E89" s="457" t="str">
        <f t="shared" si="12"/>
        <v>Linear Sub-Window Copy(LSDMA)</v>
      </c>
      <c r="F89" s="322"/>
      <c r="G89" s="553" t="str">
        <f>VLOOKUP(A89,'Feature Raw Data'!$A$3:$C$4084,3,FALSE)</f>
        <v>P2</v>
      </c>
      <c r="H89" s="575" t="s">
        <v>522</v>
      </c>
      <c r="I89" s="322"/>
      <c r="J89" s="323">
        <v>1</v>
      </c>
      <c r="K89" s="323">
        <v>5</v>
      </c>
      <c r="L89" s="428" t="s">
        <v>33</v>
      </c>
      <c r="M89" s="472">
        <v>1</v>
      </c>
      <c r="N89" s="470">
        <f t="shared" si="13"/>
        <v>5</v>
      </c>
      <c r="O89" s="474">
        <f t="shared" si="11"/>
        <v>1</v>
      </c>
      <c r="P89" s="454" t="s">
        <v>45</v>
      </c>
      <c r="Q89" s="358">
        <f t="shared" si="14"/>
        <v>5</v>
      </c>
      <c r="R89" s="488">
        <f t="shared" si="19"/>
        <v>5</v>
      </c>
      <c r="S89" s="488">
        <v>5</v>
      </c>
      <c r="T89" s="491"/>
      <c r="U89" s="488">
        <f t="shared" si="15"/>
        <v>0</v>
      </c>
      <c r="V89" s="491"/>
      <c r="W89" s="501">
        <f t="shared" si="16"/>
        <v>1</v>
      </c>
      <c r="X89" s="455"/>
      <c r="Y89" s="578">
        <f t="shared" si="17"/>
        <v>0</v>
      </c>
      <c r="Z89" s="488"/>
      <c r="AA89" s="491"/>
      <c r="AB89" s="491"/>
      <c r="AC89" s="491"/>
      <c r="AD89" s="489">
        <f t="shared" si="18"/>
        <v>0</v>
      </c>
      <c r="AE89" s="322"/>
      <c r="AF89" s="452" t="str">
        <f>VLOOKUP(A89,'Feature Summary'!$A$7:$U$4086,21,FALSE)</f>
        <v>WK4</v>
      </c>
      <c r="AG89" s="324"/>
    </row>
    <row r="90" spans="1:33" ht="30">
      <c r="A90" s="335" t="s">
        <v>523</v>
      </c>
      <c r="B90" s="577" t="s">
        <v>524</v>
      </c>
      <c r="C90" s="449" t="s">
        <v>254</v>
      </c>
      <c r="D90" s="323" t="s">
        <v>511</v>
      </c>
      <c r="E90" s="457" t="str">
        <f t="shared" si="12"/>
        <v>Linear large Sub-Window Copy(LSDMA)</v>
      </c>
      <c r="F90" s="322"/>
      <c r="G90" s="553" t="str">
        <f>VLOOKUP(A90,'Feature Raw Data'!$A$3:$C$4084,3,FALSE)</f>
        <v>P2</v>
      </c>
      <c r="H90" s="575" t="s">
        <v>525</v>
      </c>
      <c r="I90" s="322"/>
      <c r="J90" s="323">
        <v>1</v>
      </c>
      <c r="K90" s="323">
        <v>1</v>
      </c>
      <c r="L90" s="428" t="s">
        <v>33</v>
      </c>
      <c r="M90" s="472">
        <v>1</v>
      </c>
      <c r="N90" s="470">
        <f t="shared" si="13"/>
        <v>1</v>
      </c>
      <c r="O90" s="474">
        <f t="shared" si="11"/>
        <v>1</v>
      </c>
      <c r="P90" s="454" t="s">
        <v>45</v>
      </c>
      <c r="Q90" s="358">
        <f t="shared" si="14"/>
        <v>1</v>
      </c>
      <c r="R90" s="488">
        <f t="shared" si="19"/>
        <v>1</v>
      </c>
      <c r="S90" s="488">
        <v>1</v>
      </c>
      <c r="T90" s="491"/>
      <c r="U90" s="488">
        <f t="shared" si="15"/>
        <v>0</v>
      </c>
      <c r="V90" s="491"/>
      <c r="W90" s="501">
        <f t="shared" si="16"/>
        <v>1</v>
      </c>
      <c r="X90" s="455"/>
      <c r="Y90" s="578">
        <f t="shared" si="17"/>
        <v>0</v>
      </c>
      <c r="Z90" s="488"/>
      <c r="AA90" s="491"/>
      <c r="AB90" s="491"/>
      <c r="AC90" s="491"/>
      <c r="AD90" s="489">
        <f t="shared" si="18"/>
        <v>0</v>
      </c>
      <c r="AE90" s="322"/>
      <c r="AF90" s="452" t="s">
        <v>259</v>
      </c>
      <c r="AG90" s="324"/>
    </row>
    <row r="91" spans="1:33" ht="15">
      <c r="A91" s="335" t="s">
        <v>526</v>
      </c>
      <c r="B91" s="577" t="s">
        <v>527</v>
      </c>
      <c r="C91" s="449" t="s">
        <v>254</v>
      </c>
      <c r="D91" s="323" t="s">
        <v>511</v>
      </c>
      <c r="E91" s="457" t="str">
        <f t="shared" si="12"/>
        <v>Tiled Copy(LSDMA)</v>
      </c>
      <c r="F91" s="322"/>
      <c r="G91" s="553" t="str">
        <f>VLOOKUP(A91,'Feature Raw Data'!$A$3:$C$4084,3,FALSE)</f>
        <v>P2</v>
      </c>
      <c r="H91" s="575" t="s">
        <v>522</v>
      </c>
      <c r="I91" s="322"/>
      <c r="J91" s="323">
        <v>1</v>
      </c>
      <c r="K91" s="323">
        <v>5</v>
      </c>
      <c r="L91" s="428" t="s">
        <v>33</v>
      </c>
      <c r="M91" s="472">
        <v>1</v>
      </c>
      <c r="N91" s="470">
        <f t="shared" si="13"/>
        <v>5</v>
      </c>
      <c r="O91" s="474">
        <f t="shared" si="11"/>
        <v>1</v>
      </c>
      <c r="P91" s="454" t="s">
        <v>45</v>
      </c>
      <c r="Q91" s="358">
        <f t="shared" si="14"/>
        <v>5</v>
      </c>
      <c r="R91" s="488">
        <f t="shared" si="19"/>
        <v>5</v>
      </c>
      <c r="S91" s="488">
        <v>5</v>
      </c>
      <c r="T91" s="491"/>
      <c r="U91" s="488">
        <f t="shared" si="15"/>
        <v>0</v>
      </c>
      <c r="V91" s="491"/>
      <c r="W91" s="501">
        <f t="shared" si="16"/>
        <v>1</v>
      </c>
      <c r="X91" s="455"/>
      <c r="Y91" s="578">
        <f t="shared" si="17"/>
        <v>0</v>
      </c>
      <c r="Z91" s="488"/>
      <c r="AA91" s="491"/>
      <c r="AB91" s="491"/>
      <c r="AC91" s="491"/>
      <c r="AD91" s="489">
        <f t="shared" si="18"/>
        <v>0</v>
      </c>
      <c r="AE91" s="322"/>
      <c r="AF91" s="452" t="str">
        <f>VLOOKUP(A91,'Feature Summary'!$A$7:$U$4086,21,FALSE)</f>
        <v>WK4</v>
      </c>
      <c r="AG91" s="324"/>
    </row>
    <row r="92" spans="1:33" ht="30">
      <c r="A92" s="335" t="s">
        <v>528</v>
      </c>
      <c r="B92" s="577" t="s">
        <v>529</v>
      </c>
      <c r="C92" s="449" t="s">
        <v>254</v>
      </c>
      <c r="D92" s="323" t="s">
        <v>511</v>
      </c>
      <c r="E92" s="457" t="str">
        <f t="shared" si="12"/>
        <v>Tiled to Tiled Sub-Window Copy(LSDMA)</v>
      </c>
      <c r="F92" s="322"/>
      <c r="G92" s="553" t="str">
        <f>VLOOKUP(A92,'Feature Raw Data'!$A$3:$C$4084,3,FALSE)</f>
        <v>P2</v>
      </c>
      <c r="H92" s="575" t="s">
        <v>530</v>
      </c>
      <c r="I92" s="322"/>
      <c r="J92" s="323">
        <v>1</v>
      </c>
      <c r="K92" s="323">
        <v>5</v>
      </c>
      <c r="L92" s="428" t="s">
        <v>33</v>
      </c>
      <c r="M92" s="472">
        <v>1</v>
      </c>
      <c r="N92" s="470">
        <f t="shared" si="13"/>
        <v>5</v>
      </c>
      <c r="O92" s="474">
        <f t="shared" si="11"/>
        <v>1</v>
      </c>
      <c r="P92" s="454" t="s">
        <v>45</v>
      </c>
      <c r="Q92" s="358">
        <f t="shared" si="14"/>
        <v>5</v>
      </c>
      <c r="R92" s="488">
        <f t="shared" si="19"/>
        <v>5</v>
      </c>
      <c r="S92" s="488">
        <v>5</v>
      </c>
      <c r="T92" s="491"/>
      <c r="U92" s="488">
        <f t="shared" si="15"/>
        <v>0</v>
      </c>
      <c r="V92" s="491"/>
      <c r="W92" s="501">
        <f t="shared" si="16"/>
        <v>1</v>
      </c>
      <c r="X92" s="455"/>
      <c r="Y92" s="578">
        <f t="shared" si="17"/>
        <v>0</v>
      </c>
      <c r="Z92" s="488"/>
      <c r="AA92" s="491"/>
      <c r="AB92" s="491"/>
      <c r="AC92" s="491"/>
      <c r="AD92" s="489">
        <f t="shared" si="18"/>
        <v>0</v>
      </c>
      <c r="AE92" s="322"/>
      <c r="AF92" s="452" t="str">
        <f>VLOOKUP(A92,'Feature Summary'!$A$7:$U$4086,21,FALSE)</f>
        <v>WK4</v>
      </c>
      <c r="AG92" s="324"/>
    </row>
    <row r="93" spans="1:33" ht="15">
      <c r="A93" s="335" t="s">
        <v>531</v>
      </c>
      <c r="B93" s="577" t="s">
        <v>532</v>
      </c>
      <c r="C93" s="449" t="s">
        <v>254</v>
      </c>
      <c r="D93" s="323" t="s">
        <v>511</v>
      </c>
      <c r="E93" s="457" t="str">
        <f t="shared" si="12"/>
        <v>Tiled Sub-Window Copy(LSDMA)</v>
      </c>
      <c r="F93" s="322"/>
      <c r="G93" s="553" t="str">
        <f>VLOOKUP(A93,'Feature Raw Data'!$A$3:$C$4084,3,FALSE)</f>
        <v>P2</v>
      </c>
      <c r="H93" s="575" t="s">
        <v>533</v>
      </c>
      <c r="I93" s="322"/>
      <c r="J93" s="323">
        <v>1</v>
      </c>
      <c r="K93" s="323">
        <v>1</v>
      </c>
      <c r="L93" s="428" t="s">
        <v>33</v>
      </c>
      <c r="M93" s="472">
        <v>1</v>
      </c>
      <c r="N93" s="470">
        <f t="shared" si="13"/>
        <v>1</v>
      </c>
      <c r="O93" s="474">
        <f t="shared" si="11"/>
        <v>1</v>
      </c>
      <c r="P93" s="454" t="s">
        <v>45</v>
      </c>
      <c r="Q93" s="358">
        <f t="shared" si="14"/>
        <v>1</v>
      </c>
      <c r="R93" s="488">
        <f t="shared" si="19"/>
        <v>1</v>
      </c>
      <c r="S93" s="488">
        <v>1</v>
      </c>
      <c r="T93" s="491"/>
      <c r="U93" s="488">
        <f t="shared" si="15"/>
        <v>0</v>
      </c>
      <c r="V93" s="491"/>
      <c r="W93" s="501">
        <f t="shared" si="16"/>
        <v>1</v>
      </c>
      <c r="X93" s="455"/>
      <c r="Y93" s="578">
        <f t="shared" si="17"/>
        <v>0</v>
      </c>
      <c r="Z93" s="488"/>
      <c r="AA93" s="491"/>
      <c r="AB93" s="491"/>
      <c r="AC93" s="491"/>
      <c r="AD93" s="489">
        <f t="shared" si="18"/>
        <v>0</v>
      </c>
      <c r="AE93" s="322"/>
      <c r="AF93" s="452" t="str">
        <f>VLOOKUP(A93,'Feature Summary'!$A$7:$U$4086,21,FALSE)</f>
        <v>WK4</v>
      </c>
      <c r="AG93" s="324"/>
    </row>
    <row r="94" spans="1:33" ht="30">
      <c r="A94" s="335" t="s">
        <v>534</v>
      </c>
      <c r="B94" s="577" t="s">
        <v>535</v>
      </c>
      <c r="C94" s="449" t="s">
        <v>254</v>
      </c>
      <c r="D94" s="323" t="s">
        <v>511</v>
      </c>
      <c r="E94" s="457" t="str">
        <f t="shared" si="12"/>
        <v>Linear to Linear Copy Command(LSDMA)</v>
      </c>
      <c r="F94" s="322"/>
      <c r="G94" s="553" t="str">
        <f>VLOOKUP(A94,'Feature Raw Data'!$A$3:$C$4084,3,FALSE)</f>
        <v>P2</v>
      </c>
      <c r="H94" s="575" t="s">
        <v>536</v>
      </c>
      <c r="I94" s="322"/>
      <c r="J94" s="323">
        <v>1</v>
      </c>
      <c r="K94" s="323">
        <v>5</v>
      </c>
      <c r="L94" s="428" t="s">
        <v>33</v>
      </c>
      <c r="M94" s="472">
        <v>1</v>
      </c>
      <c r="N94" s="470">
        <f t="shared" si="13"/>
        <v>5</v>
      </c>
      <c r="O94" s="474">
        <f t="shared" si="11"/>
        <v>1</v>
      </c>
      <c r="P94" s="454" t="s">
        <v>45</v>
      </c>
      <c r="Q94" s="358">
        <f t="shared" si="14"/>
        <v>5</v>
      </c>
      <c r="R94" s="488">
        <f t="shared" si="19"/>
        <v>5</v>
      </c>
      <c r="S94" s="488">
        <v>5</v>
      </c>
      <c r="T94" s="491"/>
      <c r="U94" s="488">
        <f t="shared" si="15"/>
        <v>0</v>
      </c>
      <c r="V94" s="491"/>
      <c r="W94" s="501">
        <f t="shared" si="16"/>
        <v>1</v>
      </c>
      <c r="X94" s="455"/>
      <c r="Y94" s="578">
        <f t="shared" si="17"/>
        <v>0</v>
      </c>
      <c r="Z94" s="488"/>
      <c r="AA94" s="491"/>
      <c r="AB94" s="491"/>
      <c r="AC94" s="491"/>
      <c r="AD94" s="489">
        <f t="shared" si="18"/>
        <v>0</v>
      </c>
      <c r="AE94" s="322"/>
      <c r="AF94" s="452" t="str">
        <f>VLOOKUP(A94,'Feature Summary'!$A$7:$U$4086,21,FALSE)</f>
        <v>WK4</v>
      </c>
      <c r="AG94" s="324"/>
    </row>
    <row r="95" spans="1:33" ht="30">
      <c r="A95" s="335" t="s">
        <v>537</v>
      </c>
      <c r="B95" s="577" t="s">
        <v>538</v>
      </c>
      <c r="C95" s="449" t="s">
        <v>254</v>
      </c>
      <c r="D95" s="323" t="s">
        <v>511</v>
      </c>
      <c r="E95" s="457" t="str">
        <f t="shared" si="12"/>
        <v>Linear to Structured / Structured to Linear copy(LSDMA)</v>
      </c>
      <c r="F95" s="322"/>
      <c r="G95" s="553" t="str">
        <f>VLOOKUP(A95,'Feature Raw Data'!$A$3:$C$4084,3,FALSE)</f>
        <v>P2</v>
      </c>
      <c r="H95" s="575" t="s">
        <v>539</v>
      </c>
      <c r="I95" s="322"/>
      <c r="J95" s="323">
        <v>1</v>
      </c>
      <c r="K95" s="323">
        <v>2</v>
      </c>
      <c r="L95" s="428" t="s">
        <v>33</v>
      </c>
      <c r="M95" s="472">
        <v>1</v>
      </c>
      <c r="N95" s="470">
        <f t="shared" si="13"/>
        <v>2</v>
      </c>
      <c r="O95" s="474">
        <f t="shared" si="11"/>
        <v>1</v>
      </c>
      <c r="P95" s="454" t="s">
        <v>45</v>
      </c>
      <c r="Q95" s="358">
        <f t="shared" si="14"/>
        <v>2</v>
      </c>
      <c r="R95" s="488">
        <f t="shared" si="19"/>
        <v>2</v>
      </c>
      <c r="S95" s="488"/>
      <c r="T95" s="491"/>
      <c r="U95" s="488">
        <f t="shared" si="15"/>
        <v>2</v>
      </c>
      <c r="V95" s="491"/>
      <c r="W95" s="501">
        <f t="shared" si="16"/>
        <v>0</v>
      </c>
      <c r="X95" s="455"/>
      <c r="Y95" s="578">
        <f t="shared" si="17"/>
        <v>0</v>
      </c>
      <c r="Z95" s="488"/>
      <c r="AA95" s="491"/>
      <c r="AB95" s="491"/>
      <c r="AC95" s="491"/>
      <c r="AD95" s="489">
        <f t="shared" si="18"/>
        <v>0</v>
      </c>
      <c r="AE95" s="322"/>
      <c r="AF95" s="452" t="str">
        <f>VLOOKUP(A95,'Feature Summary'!$A$7:$U$4086,21,FALSE)</f>
        <v>WK4</v>
      </c>
      <c r="AG95" s="324"/>
    </row>
    <row r="96" spans="1:33" ht="30">
      <c r="A96" s="335" t="s">
        <v>540</v>
      </c>
      <c r="B96" s="577" t="s">
        <v>541</v>
      </c>
      <c r="C96" s="449" t="s">
        <v>254</v>
      </c>
      <c r="D96" s="323" t="s">
        <v>511</v>
      </c>
      <c r="E96" s="457" t="str">
        <f t="shared" si="12"/>
        <v>Linear to Tiled (frame to field) copy(LSDMA)</v>
      </c>
      <c r="F96" s="322"/>
      <c r="G96" s="553" t="str">
        <f>VLOOKUP(A96,'Feature Raw Data'!$A$3:$C$4084,3,FALSE)</f>
        <v>P2</v>
      </c>
      <c r="H96" s="575" t="s">
        <v>542</v>
      </c>
      <c r="I96" s="322"/>
      <c r="J96" s="323">
        <v>1</v>
      </c>
      <c r="K96" s="323">
        <v>5</v>
      </c>
      <c r="L96" s="428" t="s">
        <v>33</v>
      </c>
      <c r="M96" s="472">
        <v>1</v>
      </c>
      <c r="N96" s="470">
        <f t="shared" si="13"/>
        <v>5</v>
      </c>
      <c r="O96" s="474">
        <f t="shared" si="11"/>
        <v>1</v>
      </c>
      <c r="P96" s="454" t="s">
        <v>45</v>
      </c>
      <c r="Q96" s="358">
        <f t="shared" si="14"/>
        <v>5</v>
      </c>
      <c r="R96" s="488">
        <f t="shared" si="19"/>
        <v>5</v>
      </c>
      <c r="S96" s="488"/>
      <c r="T96" s="491"/>
      <c r="U96" s="488">
        <f t="shared" si="15"/>
        <v>5</v>
      </c>
      <c r="V96" s="491"/>
      <c r="W96" s="501">
        <f t="shared" si="16"/>
        <v>0</v>
      </c>
      <c r="X96" s="455"/>
      <c r="Y96" s="578">
        <f t="shared" si="17"/>
        <v>0</v>
      </c>
      <c r="Z96" s="488"/>
      <c r="AA96" s="491"/>
      <c r="AB96" s="491"/>
      <c r="AC96" s="491"/>
      <c r="AD96" s="489">
        <f t="shared" si="18"/>
        <v>0</v>
      </c>
      <c r="AE96" s="322"/>
      <c r="AF96" s="452" t="str">
        <f>VLOOKUP(A96,'Feature Summary'!$A$7:$U$4086,21,FALSE)</f>
        <v>WK4</v>
      </c>
      <c r="AG96" s="324"/>
    </row>
    <row r="97" spans="1:33" ht="30">
      <c r="A97" s="335" t="s">
        <v>543</v>
      </c>
      <c r="B97" s="577" t="s">
        <v>544</v>
      </c>
      <c r="C97" s="449" t="s">
        <v>254</v>
      </c>
      <c r="D97" s="323" t="s">
        <v>511</v>
      </c>
      <c r="E97" s="457" t="str">
        <f t="shared" si="12"/>
        <v>Linear to Tiled / Tiled to Linear Copy Command(LSDMA)</v>
      </c>
      <c r="F97" s="322"/>
      <c r="G97" s="553" t="str">
        <f>VLOOKUP(A97,'Feature Raw Data'!$A$3:$C$4084,3,FALSE)</f>
        <v>P2</v>
      </c>
      <c r="H97" s="575" t="s">
        <v>545</v>
      </c>
      <c r="I97" s="322"/>
      <c r="J97" s="323">
        <v>1</v>
      </c>
      <c r="K97" s="323">
        <v>10</v>
      </c>
      <c r="L97" s="428" t="s">
        <v>33</v>
      </c>
      <c r="M97" s="472">
        <v>1</v>
      </c>
      <c r="N97" s="470">
        <f t="shared" si="13"/>
        <v>10</v>
      </c>
      <c r="O97" s="474">
        <f t="shared" si="11"/>
        <v>1</v>
      </c>
      <c r="P97" s="454" t="s">
        <v>45</v>
      </c>
      <c r="Q97" s="358">
        <f t="shared" si="14"/>
        <v>10</v>
      </c>
      <c r="R97" s="488">
        <f t="shared" si="19"/>
        <v>10</v>
      </c>
      <c r="S97" s="488"/>
      <c r="T97" s="491"/>
      <c r="U97" s="488">
        <f t="shared" si="15"/>
        <v>10</v>
      </c>
      <c r="V97" s="491"/>
      <c r="W97" s="501">
        <f t="shared" si="16"/>
        <v>0</v>
      </c>
      <c r="X97" s="455"/>
      <c r="Y97" s="578">
        <f t="shared" si="17"/>
        <v>0</v>
      </c>
      <c r="Z97" s="488"/>
      <c r="AA97" s="491"/>
      <c r="AB97" s="491"/>
      <c r="AC97" s="491"/>
      <c r="AD97" s="489">
        <f t="shared" si="18"/>
        <v>0</v>
      </c>
      <c r="AE97" s="322"/>
      <c r="AF97" s="452" t="str">
        <f>VLOOKUP(A97,'Feature Summary'!$A$7:$U$4086,21,FALSE)</f>
        <v>WK4</v>
      </c>
      <c r="AG97" s="324"/>
    </row>
    <row r="98" spans="1:33" ht="30">
      <c r="A98" s="335" t="s">
        <v>546</v>
      </c>
      <c r="B98" s="577" t="s">
        <v>547</v>
      </c>
      <c r="C98" s="449" t="s">
        <v>254</v>
      </c>
      <c r="D98" s="323" t="s">
        <v>511</v>
      </c>
      <c r="E98" s="457" t="str">
        <f t="shared" si="12"/>
        <v>Linear to Tiled / Tiled to Linear sub-window copy(LSDMA)</v>
      </c>
      <c r="F98" s="322"/>
      <c r="G98" s="553" t="str">
        <f>VLOOKUP(A98,'Feature Raw Data'!$A$3:$C$4084,3,FALSE)</f>
        <v>P2</v>
      </c>
      <c r="H98" s="575" t="s">
        <v>548</v>
      </c>
      <c r="I98" s="322"/>
      <c r="J98" s="323">
        <v>1</v>
      </c>
      <c r="K98" s="323">
        <v>10</v>
      </c>
      <c r="L98" s="428" t="s">
        <v>33</v>
      </c>
      <c r="M98" s="472">
        <v>1</v>
      </c>
      <c r="N98" s="470">
        <f t="shared" si="13"/>
        <v>10</v>
      </c>
      <c r="O98" s="474">
        <f t="shared" si="11"/>
        <v>1</v>
      </c>
      <c r="P98" s="454" t="s">
        <v>45</v>
      </c>
      <c r="Q98" s="358">
        <f t="shared" si="14"/>
        <v>10</v>
      </c>
      <c r="R98" s="488">
        <f t="shared" si="19"/>
        <v>10</v>
      </c>
      <c r="S98" s="488">
        <v>10</v>
      </c>
      <c r="T98" s="491"/>
      <c r="U98" s="488">
        <f t="shared" si="15"/>
        <v>0</v>
      </c>
      <c r="V98" s="491"/>
      <c r="W98" s="501">
        <f t="shared" si="16"/>
        <v>1</v>
      </c>
      <c r="X98" s="455"/>
      <c r="Y98" s="578">
        <f t="shared" si="17"/>
        <v>0</v>
      </c>
      <c r="Z98" s="488"/>
      <c r="AA98" s="491"/>
      <c r="AB98" s="491"/>
      <c r="AC98" s="491"/>
      <c r="AD98" s="489">
        <f t="shared" si="18"/>
        <v>0</v>
      </c>
      <c r="AE98" s="322"/>
      <c r="AF98" s="452" t="str">
        <f>VLOOKUP(A98,'Feature Summary'!$A$7:$U$4086,21,FALSE)</f>
        <v>WK4</v>
      </c>
      <c r="AG98" s="324"/>
    </row>
    <row r="99" spans="1:33" ht="30">
      <c r="A99" s="335" t="s">
        <v>549</v>
      </c>
      <c r="B99" s="577" t="s">
        <v>550</v>
      </c>
      <c r="C99" s="449" t="s">
        <v>254</v>
      </c>
      <c r="D99" s="323" t="s">
        <v>511</v>
      </c>
      <c r="E99" s="457" t="str">
        <f t="shared" si="12"/>
        <v>Linear to Tiled copy broadcast(LSDMA)</v>
      </c>
      <c r="F99" s="322"/>
      <c r="G99" s="553" t="str">
        <f>VLOOKUP(A99,'Feature Raw Data'!$A$3:$C$4084,3,FALSE)</f>
        <v>P2</v>
      </c>
      <c r="H99" s="575" t="s">
        <v>551</v>
      </c>
      <c r="I99" s="322"/>
      <c r="J99" s="323">
        <v>1</v>
      </c>
      <c r="K99" s="323">
        <v>5</v>
      </c>
      <c r="L99" s="428" t="s">
        <v>33</v>
      </c>
      <c r="M99" s="472">
        <v>1</v>
      </c>
      <c r="N99" s="470">
        <f t="shared" si="13"/>
        <v>5</v>
      </c>
      <c r="O99" s="474">
        <f t="shared" si="11"/>
        <v>1</v>
      </c>
      <c r="P99" s="454" t="s">
        <v>45</v>
      </c>
      <c r="Q99" s="358">
        <f t="shared" si="14"/>
        <v>5</v>
      </c>
      <c r="R99" s="488">
        <f t="shared" si="19"/>
        <v>5</v>
      </c>
      <c r="S99" s="488"/>
      <c r="T99" s="491"/>
      <c r="U99" s="488">
        <f t="shared" si="15"/>
        <v>5</v>
      </c>
      <c r="V99" s="491"/>
      <c r="W99" s="501">
        <f t="shared" si="16"/>
        <v>0</v>
      </c>
      <c r="X99" s="455"/>
      <c r="Y99" s="578">
        <f t="shared" si="17"/>
        <v>0</v>
      </c>
      <c r="Z99" s="488"/>
      <c r="AA99" s="491"/>
      <c r="AB99" s="491"/>
      <c r="AC99" s="491"/>
      <c r="AD99" s="489">
        <f t="shared" si="18"/>
        <v>0</v>
      </c>
      <c r="AE99" s="322"/>
      <c r="AF99" s="452" t="str">
        <f>VLOOKUP(A99,'Feature Summary'!$A$7:$U$4086,21,FALSE)</f>
        <v>WK4</v>
      </c>
      <c r="AG99" s="324"/>
    </row>
    <row r="100" spans="1:33" ht="15">
      <c r="A100" s="335" t="s">
        <v>552</v>
      </c>
      <c r="B100" s="577" t="s">
        <v>553</v>
      </c>
      <c r="C100" s="449" t="s">
        <v>254</v>
      </c>
      <c r="D100" s="323" t="s">
        <v>511</v>
      </c>
      <c r="E100" s="457" t="str">
        <f t="shared" si="12"/>
        <v>Mid Command Preemption(LSDMA)</v>
      </c>
      <c r="F100" s="322"/>
      <c r="G100" s="553" t="str">
        <f>VLOOKUP(A100,'Feature Raw Data'!$A$3:$C$4084,3,FALSE)</f>
        <v>P2</v>
      </c>
      <c r="H100" s="575" t="s">
        <v>554</v>
      </c>
      <c r="I100" s="322"/>
      <c r="J100" s="323">
        <v>1</v>
      </c>
      <c r="K100" s="323">
        <v>1</v>
      </c>
      <c r="L100" s="428" t="s">
        <v>33</v>
      </c>
      <c r="M100" s="472">
        <v>1</v>
      </c>
      <c r="N100" s="470">
        <f t="shared" si="13"/>
        <v>1</v>
      </c>
      <c r="O100" s="474">
        <f t="shared" si="11"/>
        <v>1</v>
      </c>
      <c r="P100" s="454" t="s">
        <v>45</v>
      </c>
      <c r="Q100" s="358">
        <f t="shared" si="14"/>
        <v>1</v>
      </c>
      <c r="R100" s="488">
        <f t="shared" si="19"/>
        <v>1</v>
      </c>
      <c r="S100" s="488">
        <v>1</v>
      </c>
      <c r="T100" s="491"/>
      <c r="U100" s="488">
        <f t="shared" si="15"/>
        <v>0</v>
      </c>
      <c r="V100" s="491"/>
      <c r="W100" s="501">
        <f t="shared" si="16"/>
        <v>1</v>
      </c>
      <c r="X100" s="455"/>
      <c r="Y100" s="578">
        <f t="shared" si="17"/>
        <v>0</v>
      </c>
      <c r="Z100" s="488"/>
      <c r="AA100" s="491"/>
      <c r="AB100" s="491"/>
      <c r="AC100" s="491"/>
      <c r="AD100" s="489">
        <f t="shared" si="18"/>
        <v>0</v>
      </c>
      <c r="AE100" s="322"/>
      <c r="AF100" s="452" t="str">
        <f>VLOOKUP(A100,'Feature Summary'!$A$7:$U$4086,21,FALSE)</f>
        <v>WK4</v>
      </c>
      <c r="AG100" s="324"/>
    </row>
    <row r="101" spans="1:33" ht="30">
      <c r="A101" s="335" t="s">
        <v>555</v>
      </c>
      <c r="B101" s="577" t="s">
        <v>556</v>
      </c>
      <c r="C101" s="449" t="s">
        <v>254</v>
      </c>
      <c r="D101" s="323" t="s">
        <v>511</v>
      </c>
      <c r="E101" s="457" t="str">
        <f t="shared" si="12"/>
        <v>Mid Command Buffer Preemption(LSDMA)</v>
      </c>
      <c r="F101" s="322"/>
      <c r="G101" s="553" t="str">
        <f>VLOOKUP(A101,'Feature Raw Data'!$A$3:$C$4084,3,FALSE)</f>
        <v>P2</v>
      </c>
      <c r="H101" s="575" t="s">
        <v>554</v>
      </c>
      <c r="I101" s="322"/>
      <c r="J101" s="323">
        <v>1</v>
      </c>
      <c r="K101" s="323">
        <v>1</v>
      </c>
      <c r="L101" s="428" t="s">
        <v>33</v>
      </c>
      <c r="M101" s="472">
        <v>1</v>
      </c>
      <c r="N101" s="470">
        <f t="shared" si="13"/>
        <v>1</v>
      </c>
      <c r="O101" s="474">
        <f t="shared" si="11"/>
        <v>1</v>
      </c>
      <c r="P101" s="454" t="s">
        <v>45</v>
      </c>
      <c r="Q101" s="358">
        <f t="shared" si="14"/>
        <v>1</v>
      </c>
      <c r="R101" s="488">
        <f t="shared" si="19"/>
        <v>1</v>
      </c>
      <c r="S101" s="488">
        <v>1</v>
      </c>
      <c r="T101" s="491"/>
      <c r="U101" s="488">
        <f t="shared" si="15"/>
        <v>0</v>
      </c>
      <c r="V101" s="491"/>
      <c r="W101" s="501">
        <f t="shared" si="16"/>
        <v>1</v>
      </c>
      <c r="X101" s="455"/>
      <c r="Y101" s="578">
        <f t="shared" si="17"/>
        <v>0</v>
      </c>
      <c r="Z101" s="488"/>
      <c r="AA101" s="491"/>
      <c r="AB101" s="491"/>
      <c r="AC101" s="491"/>
      <c r="AD101" s="489">
        <f t="shared" si="18"/>
        <v>0</v>
      </c>
      <c r="AE101" s="322"/>
      <c r="AF101" s="452" t="str">
        <f>VLOOKUP(A101,'Feature Summary'!$A$7:$U$4086,21,FALSE)</f>
        <v>WK4</v>
      </c>
      <c r="AG101" s="324"/>
    </row>
    <row r="102" spans="1:33" ht="30">
      <c r="A102" s="335" t="s">
        <v>557</v>
      </c>
      <c r="B102" s="577" t="s">
        <v>558</v>
      </c>
      <c r="C102" s="449" t="s">
        <v>254</v>
      </c>
      <c r="D102" s="323" t="s">
        <v>511</v>
      </c>
      <c r="E102" s="457" t="str">
        <f t="shared" si="12"/>
        <v>RB Command Preemption(LSDMA)</v>
      </c>
      <c r="F102" s="322"/>
      <c r="G102" s="553" t="str">
        <f>VLOOKUP(A102,'Feature Raw Data'!$A$3:$C$4084,3,FALSE)</f>
        <v>P2</v>
      </c>
      <c r="H102" s="575" t="s">
        <v>559</v>
      </c>
      <c r="I102" s="322" t="s">
        <v>560</v>
      </c>
      <c r="J102" s="323">
        <v>1</v>
      </c>
      <c r="K102" s="323">
        <v>3</v>
      </c>
      <c r="L102" s="428" t="s">
        <v>33</v>
      </c>
      <c r="M102" s="472">
        <v>1</v>
      </c>
      <c r="N102" s="470">
        <f t="shared" si="13"/>
        <v>3</v>
      </c>
      <c r="O102" s="474">
        <f t="shared" si="11"/>
        <v>1</v>
      </c>
      <c r="P102" s="454" t="s">
        <v>45</v>
      </c>
      <c r="Q102" s="358">
        <f t="shared" si="14"/>
        <v>3</v>
      </c>
      <c r="R102" s="488">
        <f t="shared" si="19"/>
        <v>3</v>
      </c>
      <c r="S102" s="488">
        <v>3</v>
      </c>
      <c r="T102" s="491"/>
      <c r="U102" s="488">
        <f t="shared" si="15"/>
        <v>0</v>
      </c>
      <c r="V102" s="491"/>
      <c r="W102" s="501">
        <f t="shared" si="16"/>
        <v>1</v>
      </c>
      <c r="X102" s="455"/>
      <c r="Y102" s="578">
        <f t="shared" si="17"/>
        <v>0</v>
      </c>
      <c r="Z102" s="488"/>
      <c r="AA102" s="491"/>
      <c r="AB102" s="491"/>
      <c r="AC102" s="491"/>
      <c r="AD102" s="489">
        <f t="shared" si="18"/>
        <v>0</v>
      </c>
      <c r="AE102" s="322"/>
      <c r="AF102" s="452" t="str">
        <f>VLOOKUP(A102,'Feature Summary'!$A$7:$U$4086,21,FALSE)</f>
        <v>WK4</v>
      </c>
      <c r="AG102" s="324"/>
    </row>
    <row r="103" spans="1:33" ht="15">
      <c r="A103" s="335" t="s">
        <v>561</v>
      </c>
      <c r="B103" s="577" t="s">
        <v>562</v>
      </c>
      <c r="C103" s="449" t="s">
        <v>254</v>
      </c>
      <c r="D103" s="323" t="s">
        <v>511</v>
      </c>
      <c r="E103" s="457" t="str">
        <f t="shared" si="12"/>
        <v>Structure Buffer Copy(LSDMA)</v>
      </c>
      <c r="F103" s="322"/>
      <c r="G103" s="553" t="str">
        <f>VLOOKUP(A103,'Feature Raw Data'!$A$3:$C$4084,3,FALSE)</f>
        <v>P2</v>
      </c>
      <c r="H103" s="575" t="s">
        <v>539</v>
      </c>
      <c r="I103" s="322"/>
      <c r="J103" s="323">
        <v>1</v>
      </c>
      <c r="K103" s="323">
        <v>2</v>
      </c>
      <c r="L103" s="428" t="s">
        <v>33</v>
      </c>
      <c r="M103" s="472">
        <v>1</v>
      </c>
      <c r="N103" s="470">
        <f t="shared" si="13"/>
        <v>2</v>
      </c>
      <c r="O103" s="474">
        <f t="shared" si="11"/>
        <v>1</v>
      </c>
      <c r="P103" s="454" t="s">
        <v>45</v>
      </c>
      <c r="Q103" s="358">
        <f t="shared" si="14"/>
        <v>2</v>
      </c>
      <c r="R103" s="488">
        <f t="shared" si="19"/>
        <v>2</v>
      </c>
      <c r="S103" s="488"/>
      <c r="T103" s="491"/>
      <c r="U103" s="488">
        <f t="shared" si="15"/>
        <v>2</v>
      </c>
      <c r="V103" s="491"/>
      <c r="W103" s="501">
        <f t="shared" si="16"/>
        <v>0</v>
      </c>
      <c r="X103" s="455"/>
      <c r="Y103" s="578">
        <f t="shared" si="17"/>
        <v>0</v>
      </c>
      <c r="Z103" s="488"/>
      <c r="AA103" s="491"/>
      <c r="AB103" s="491"/>
      <c r="AC103" s="491"/>
      <c r="AD103" s="489">
        <f t="shared" si="18"/>
        <v>0</v>
      </c>
      <c r="AE103" s="322"/>
      <c r="AF103" s="452" t="str">
        <f>VLOOKUP(A103,'Feature Summary'!$A$7:$U$4086,21,FALSE)</f>
        <v>WK4</v>
      </c>
      <c r="AG103" s="324"/>
    </row>
    <row r="104" spans="1:33" ht="30">
      <c r="A104" s="335" t="s">
        <v>563</v>
      </c>
      <c r="B104" s="577" t="s">
        <v>564</v>
      </c>
      <c r="C104" s="449" t="s">
        <v>254</v>
      </c>
      <c r="D104" s="323" t="s">
        <v>511</v>
      </c>
      <c r="E104" s="457" t="str">
        <f t="shared" si="12"/>
        <v>Constant Fill Command(LSDMA)</v>
      </c>
      <c r="F104" s="322"/>
      <c r="G104" s="553" t="str">
        <f>VLOOKUP(A104,'Feature Raw Data'!$A$3:$C$4084,3,FALSE)</f>
        <v>P2</v>
      </c>
      <c r="H104" s="575" t="s">
        <v>565</v>
      </c>
      <c r="I104" s="322"/>
      <c r="J104" s="323">
        <v>1</v>
      </c>
      <c r="K104" s="323">
        <v>2</v>
      </c>
      <c r="L104" s="428" t="s">
        <v>33</v>
      </c>
      <c r="M104" s="472">
        <v>1</v>
      </c>
      <c r="N104" s="470">
        <f t="shared" si="13"/>
        <v>2</v>
      </c>
      <c r="O104" s="474">
        <f t="shared" si="11"/>
        <v>1</v>
      </c>
      <c r="P104" s="454" t="s">
        <v>45</v>
      </c>
      <c r="Q104" s="358">
        <f t="shared" si="14"/>
        <v>2</v>
      </c>
      <c r="R104" s="488">
        <f t="shared" si="19"/>
        <v>2</v>
      </c>
      <c r="S104" s="488">
        <v>2</v>
      </c>
      <c r="T104" s="491"/>
      <c r="U104" s="488">
        <f t="shared" si="15"/>
        <v>0</v>
      </c>
      <c r="V104" s="491"/>
      <c r="W104" s="501">
        <f t="shared" si="16"/>
        <v>1</v>
      </c>
      <c r="X104" s="455"/>
      <c r="Y104" s="578">
        <f t="shared" si="17"/>
        <v>0</v>
      </c>
      <c r="Z104" s="488"/>
      <c r="AA104" s="491"/>
      <c r="AB104" s="491"/>
      <c r="AC104" s="491"/>
      <c r="AD104" s="489">
        <f t="shared" si="18"/>
        <v>0</v>
      </c>
      <c r="AE104" s="322"/>
      <c r="AF104" s="452" t="s">
        <v>438</v>
      </c>
      <c r="AG104" s="324"/>
    </row>
    <row r="105" spans="1:33" ht="15">
      <c r="A105" s="335" t="s">
        <v>566</v>
      </c>
      <c r="B105" s="577" t="s">
        <v>567</v>
      </c>
      <c r="C105" s="449" t="s">
        <v>254</v>
      </c>
      <c r="D105" s="323" t="s">
        <v>511</v>
      </c>
      <c r="E105" s="457" t="str">
        <f t="shared" si="12"/>
        <v>Indirect Buffer Command(LSDMA)</v>
      </c>
      <c r="F105" s="322"/>
      <c r="G105" s="553" t="str">
        <f>VLOOKUP(A105,'Feature Raw Data'!$A$3:$C$4084,3,FALSE)</f>
        <v>P2</v>
      </c>
      <c r="H105" s="575" t="s">
        <v>568</v>
      </c>
      <c r="I105" s="323" t="s">
        <v>321</v>
      </c>
      <c r="J105" s="323">
        <v>1</v>
      </c>
      <c r="K105" s="323">
        <v>6</v>
      </c>
      <c r="L105" s="428" t="s">
        <v>33</v>
      </c>
      <c r="M105" s="472">
        <v>1</v>
      </c>
      <c r="N105" s="470">
        <f t="shared" si="13"/>
        <v>6</v>
      </c>
      <c r="O105" s="474">
        <f t="shared" si="11"/>
        <v>1</v>
      </c>
      <c r="P105" s="454" t="s">
        <v>45</v>
      </c>
      <c r="Q105" s="358">
        <f t="shared" si="14"/>
        <v>6</v>
      </c>
      <c r="R105" s="488">
        <f t="shared" si="19"/>
        <v>6</v>
      </c>
      <c r="S105" s="488"/>
      <c r="T105" s="491"/>
      <c r="U105" s="488">
        <f t="shared" si="15"/>
        <v>6</v>
      </c>
      <c r="V105" s="491"/>
      <c r="W105" s="501">
        <f t="shared" si="16"/>
        <v>0</v>
      </c>
      <c r="X105" s="455"/>
      <c r="Y105" s="578">
        <f t="shared" si="17"/>
        <v>0</v>
      </c>
      <c r="Z105" s="488"/>
      <c r="AA105" s="491"/>
      <c r="AB105" s="491"/>
      <c r="AC105" s="491"/>
      <c r="AD105" s="489">
        <f t="shared" si="18"/>
        <v>0</v>
      </c>
      <c r="AE105" s="457"/>
      <c r="AF105" s="452" t="s">
        <v>438</v>
      </c>
      <c r="AG105" s="324"/>
    </row>
    <row r="106" spans="1:33" ht="30">
      <c r="A106" s="335" t="s">
        <v>569</v>
      </c>
      <c r="B106" s="577" t="s">
        <v>570</v>
      </c>
      <c r="C106" s="449" t="s">
        <v>254</v>
      </c>
      <c r="D106" s="323" t="s">
        <v>511</v>
      </c>
      <c r="E106" s="457" t="str">
        <f t="shared" si="12"/>
        <v>Fence(LSDMA)</v>
      </c>
      <c r="F106" s="322"/>
      <c r="G106" s="553" t="str">
        <f>VLOOKUP(A106,'Feature Raw Data'!$A$3:$C$4084,3,FALSE)</f>
        <v>P2</v>
      </c>
      <c r="H106" s="575" t="s">
        <v>571</v>
      </c>
      <c r="I106" s="322"/>
      <c r="J106" s="323">
        <v>1</v>
      </c>
      <c r="K106" s="323">
        <v>2</v>
      </c>
      <c r="L106" s="428" t="s">
        <v>33</v>
      </c>
      <c r="M106" s="472">
        <v>1</v>
      </c>
      <c r="N106" s="470">
        <f t="shared" si="13"/>
        <v>2</v>
      </c>
      <c r="O106" s="474">
        <f t="shared" si="11"/>
        <v>1</v>
      </c>
      <c r="P106" s="454" t="s">
        <v>45</v>
      </c>
      <c r="Q106" s="358">
        <f t="shared" si="14"/>
        <v>2</v>
      </c>
      <c r="R106" s="488">
        <f t="shared" si="19"/>
        <v>2</v>
      </c>
      <c r="S106" s="488">
        <v>2</v>
      </c>
      <c r="T106" s="491"/>
      <c r="U106" s="488">
        <f t="shared" si="15"/>
        <v>0</v>
      </c>
      <c r="V106" s="491"/>
      <c r="W106" s="501">
        <f t="shared" si="16"/>
        <v>1</v>
      </c>
      <c r="X106" s="455"/>
      <c r="Y106" s="578">
        <f t="shared" si="17"/>
        <v>0</v>
      </c>
      <c r="Z106" s="488"/>
      <c r="AA106" s="491"/>
      <c r="AB106" s="491"/>
      <c r="AC106" s="491"/>
      <c r="AD106" s="489">
        <f t="shared" si="18"/>
        <v>0</v>
      </c>
      <c r="AE106" s="322"/>
      <c r="AF106" s="452" t="s">
        <v>438</v>
      </c>
      <c r="AG106" s="324"/>
    </row>
    <row r="107" spans="1:33" ht="30">
      <c r="A107" s="335" t="s">
        <v>572</v>
      </c>
      <c r="B107" s="577" t="s">
        <v>573</v>
      </c>
      <c r="C107" s="449" t="s">
        <v>254</v>
      </c>
      <c r="D107" s="323" t="s">
        <v>511</v>
      </c>
      <c r="E107" s="457" t="str">
        <f t="shared" si="12"/>
        <v>Trap(LSDMA)</v>
      </c>
      <c r="F107" s="322"/>
      <c r="G107" s="553" t="str">
        <f>VLOOKUP(A107,'Feature Raw Data'!$A$3:$C$4084,3,FALSE)</f>
        <v>P2</v>
      </c>
      <c r="H107" s="575" t="s">
        <v>574</v>
      </c>
      <c r="I107" s="322"/>
      <c r="J107" s="323">
        <v>1</v>
      </c>
      <c r="K107" s="323">
        <v>2</v>
      </c>
      <c r="L107" s="428" t="s">
        <v>33</v>
      </c>
      <c r="M107" s="472">
        <v>1</v>
      </c>
      <c r="N107" s="470">
        <f t="shared" si="13"/>
        <v>2</v>
      </c>
      <c r="O107" s="474">
        <f t="shared" si="11"/>
        <v>1</v>
      </c>
      <c r="P107" s="454" t="s">
        <v>45</v>
      </c>
      <c r="Q107" s="358">
        <f t="shared" si="14"/>
        <v>2</v>
      </c>
      <c r="R107" s="488">
        <f t="shared" si="19"/>
        <v>2</v>
      </c>
      <c r="S107" s="488">
        <v>2</v>
      </c>
      <c r="T107" s="491"/>
      <c r="U107" s="488">
        <f t="shared" si="15"/>
        <v>0</v>
      </c>
      <c r="V107" s="491"/>
      <c r="W107" s="501">
        <f t="shared" si="16"/>
        <v>1</v>
      </c>
      <c r="X107" s="455"/>
      <c r="Y107" s="578">
        <f t="shared" si="17"/>
        <v>0</v>
      </c>
      <c r="Z107" s="488"/>
      <c r="AA107" s="491"/>
      <c r="AB107" s="491"/>
      <c r="AC107" s="491"/>
      <c r="AD107" s="489">
        <f t="shared" si="18"/>
        <v>0</v>
      </c>
      <c r="AE107" s="322"/>
      <c r="AF107" s="452" t="s">
        <v>438</v>
      </c>
      <c r="AG107" s="324"/>
    </row>
    <row r="108" spans="1:33" ht="15">
      <c r="A108" s="335" t="s">
        <v>575</v>
      </c>
      <c r="B108" s="577" t="s">
        <v>576</v>
      </c>
      <c r="C108" s="449" t="s">
        <v>254</v>
      </c>
      <c r="D108" s="323" t="s">
        <v>511</v>
      </c>
      <c r="E108" s="457" t="str">
        <f t="shared" si="12"/>
        <v>Memory Increment(LSDMA)</v>
      </c>
      <c r="F108" s="322"/>
      <c r="G108" s="553" t="str">
        <f>VLOOKUP(A108,'Feature Raw Data'!$A$3:$C$4084,3,FALSE)</f>
        <v>P2</v>
      </c>
      <c r="H108" s="575" t="s">
        <v>577</v>
      </c>
      <c r="I108" s="322"/>
      <c r="J108" s="323">
        <v>1</v>
      </c>
      <c r="K108" s="323">
        <v>1</v>
      </c>
      <c r="L108" s="428" t="s">
        <v>33</v>
      </c>
      <c r="M108" s="472">
        <v>1</v>
      </c>
      <c r="N108" s="470">
        <f t="shared" si="13"/>
        <v>1</v>
      </c>
      <c r="O108" s="474">
        <f t="shared" si="11"/>
        <v>1</v>
      </c>
      <c r="P108" s="454" t="s">
        <v>45</v>
      </c>
      <c r="Q108" s="358">
        <f t="shared" si="14"/>
        <v>1</v>
      </c>
      <c r="R108" s="488">
        <f t="shared" si="19"/>
        <v>1</v>
      </c>
      <c r="S108" s="488">
        <v>1</v>
      </c>
      <c r="T108" s="491"/>
      <c r="U108" s="488">
        <f t="shared" si="15"/>
        <v>0</v>
      </c>
      <c r="V108" s="491"/>
      <c r="W108" s="501">
        <f t="shared" si="16"/>
        <v>1</v>
      </c>
      <c r="X108" s="455"/>
      <c r="Y108" s="578">
        <f t="shared" si="17"/>
        <v>0</v>
      </c>
      <c r="Z108" s="488"/>
      <c r="AA108" s="491"/>
      <c r="AB108" s="491"/>
      <c r="AC108" s="491"/>
      <c r="AD108" s="489">
        <f t="shared" si="18"/>
        <v>0</v>
      </c>
      <c r="AE108" s="322"/>
      <c r="AF108" s="452" t="s">
        <v>438</v>
      </c>
      <c r="AG108" s="324"/>
    </row>
    <row r="109" spans="1:33" ht="15">
      <c r="A109" s="335" t="s">
        <v>578</v>
      </c>
      <c r="B109" s="577" t="s">
        <v>579</v>
      </c>
      <c r="C109" s="449" t="s">
        <v>254</v>
      </c>
      <c r="D109" s="323" t="s">
        <v>511</v>
      </c>
      <c r="E109" s="457" t="str">
        <f t="shared" si="12"/>
        <v>Poll Memory/Register(LSDMA)</v>
      </c>
      <c r="F109" s="322"/>
      <c r="G109" s="553" t="str">
        <f>VLOOKUP(A109,'Feature Raw Data'!$A$3:$C$4084,3,FALSE)</f>
        <v>P2</v>
      </c>
      <c r="H109" s="575" t="s">
        <v>580</v>
      </c>
      <c r="I109" s="322"/>
      <c r="J109" s="323">
        <v>1</v>
      </c>
      <c r="K109" s="323">
        <v>10</v>
      </c>
      <c r="L109" s="428" t="s">
        <v>33</v>
      </c>
      <c r="M109" s="472">
        <v>1</v>
      </c>
      <c r="N109" s="470">
        <f t="shared" si="13"/>
        <v>10</v>
      </c>
      <c r="O109" s="474">
        <f t="shared" si="11"/>
        <v>1</v>
      </c>
      <c r="P109" s="454" t="s">
        <v>45</v>
      </c>
      <c r="Q109" s="358">
        <f t="shared" si="14"/>
        <v>10</v>
      </c>
      <c r="R109" s="488">
        <f t="shared" si="19"/>
        <v>10</v>
      </c>
      <c r="S109" s="488">
        <v>10</v>
      </c>
      <c r="T109" s="491"/>
      <c r="U109" s="488">
        <f t="shared" si="15"/>
        <v>0</v>
      </c>
      <c r="V109" s="491"/>
      <c r="W109" s="501">
        <f t="shared" si="16"/>
        <v>1</v>
      </c>
      <c r="X109" s="455"/>
      <c r="Y109" s="578">
        <f t="shared" si="17"/>
        <v>0</v>
      </c>
      <c r="Z109" s="488"/>
      <c r="AA109" s="491"/>
      <c r="AB109" s="491"/>
      <c r="AC109" s="491"/>
      <c r="AD109" s="489">
        <f t="shared" si="18"/>
        <v>0</v>
      </c>
      <c r="AE109" s="322"/>
      <c r="AF109" s="452" t="str">
        <f>VLOOKUP(A109,'Feature Summary'!$A$7:$U$4086,21,FALSE)</f>
        <v>WK4</v>
      </c>
      <c r="AG109" s="324"/>
    </row>
    <row r="110" spans="1:33" ht="30">
      <c r="A110" s="335" t="s">
        <v>581</v>
      </c>
      <c r="B110" s="577" t="s">
        <v>582</v>
      </c>
      <c r="C110" s="449" t="s">
        <v>254</v>
      </c>
      <c r="D110" s="323" t="s">
        <v>511</v>
      </c>
      <c r="E110" s="457" t="str">
        <f t="shared" si="12"/>
        <v>Poll Register Write Memory(LSDMA)</v>
      </c>
      <c r="F110" s="322"/>
      <c r="G110" s="553" t="str">
        <f>VLOOKUP(A110,'Feature Raw Data'!$A$3:$C$4084,3,FALSE)</f>
        <v>P2</v>
      </c>
      <c r="H110" s="575" t="s">
        <v>583</v>
      </c>
      <c r="I110" s="322"/>
      <c r="J110" s="323">
        <v>1</v>
      </c>
      <c r="K110" s="323">
        <v>1</v>
      </c>
      <c r="L110" s="428" t="s">
        <v>33</v>
      </c>
      <c r="M110" s="472">
        <v>1</v>
      </c>
      <c r="N110" s="470">
        <f t="shared" si="13"/>
        <v>1</v>
      </c>
      <c r="O110" s="474">
        <f t="shared" si="11"/>
        <v>1</v>
      </c>
      <c r="P110" s="454" t="s">
        <v>45</v>
      </c>
      <c r="Q110" s="358">
        <f t="shared" si="14"/>
        <v>1</v>
      </c>
      <c r="R110" s="488">
        <f t="shared" si="19"/>
        <v>1</v>
      </c>
      <c r="S110" s="488">
        <v>1</v>
      </c>
      <c r="T110" s="491"/>
      <c r="U110" s="488">
        <f t="shared" si="15"/>
        <v>0</v>
      </c>
      <c r="V110" s="491"/>
      <c r="W110" s="501">
        <f t="shared" si="16"/>
        <v>1</v>
      </c>
      <c r="X110" s="455"/>
      <c r="Y110" s="578">
        <f t="shared" si="17"/>
        <v>0</v>
      </c>
      <c r="Z110" s="488"/>
      <c r="AA110" s="491"/>
      <c r="AB110" s="491"/>
      <c r="AC110" s="491"/>
      <c r="AD110" s="489">
        <f t="shared" si="18"/>
        <v>0</v>
      </c>
      <c r="AE110" s="322"/>
      <c r="AF110" s="452" t="str">
        <f>VLOOKUP(A110,'Feature Summary'!$A$7:$U$4086,21,FALSE)</f>
        <v>WK4</v>
      </c>
      <c r="AG110" s="324"/>
    </row>
    <row r="111" spans="1:33" ht="30">
      <c r="A111" s="335" t="s">
        <v>584</v>
      </c>
      <c r="B111" s="577" t="s">
        <v>585</v>
      </c>
      <c r="C111" s="449" t="s">
        <v>254</v>
      </c>
      <c r="D111" s="323" t="s">
        <v>511</v>
      </c>
      <c r="E111" s="457" t="str">
        <f t="shared" si="12"/>
        <v>Conditional Execution(LSDMA)</v>
      </c>
      <c r="F111" s="322"/>
      <c r="G111" s="553" t="str">
        <f>VLOOKUP(A111,'Feature Raw Data'!$A$3:$C$4084,3,FALSE)</f>
        <v>P2</v>
      </c>
      <c r="H111" s="575" t="s">
        <v>586</v>
      </c>
      <c r="I111" s="322"/>
      <c r="J111" s="323">
        <v>1</v>
      </c>
      <c r="K111" s="323">
        <v>2</v>
      </c>
      <c r="L111" s="428" t="s">
        <v>33</v>
      </c>
      <c r="M111" s="472">
        <v>1</v>
      </c>
      <c r="N111" s="470">
        <f t="shared" si="13"/>
        <v>2</v>
      </c>
      <c r="O111" s="474">
        <f t="shared" si="11"/>
        <v>1</v>
      </c>
      <c r="P111" s="454" t="s">
        <v>45</v>
      </c>
      <c r="Q111" s="358">
        <f t="shared" si="14"/>
        <v>2</v>
      </c>
      <c r="R111" s="488">
        <f t="shared" si="19"/>
        <v>2</v>
      </c>
      <c r="S111" s="488">
        <v>2</v>
      </c>
      <c r="T111" s="491"/>
      <c r="U111" s="488">
        <f t="shared" si="15"/>
        <v>0</v>
      </c>
      <c r="V111" s="491"/>
      <c r="W111" s="501">
        <f t="shared" si="16"/>
        <v>1</v>
      </c>
      <c r="X111" s="455"/>
      <c r="Y111" s="578">
        <f t="shared" si="17"/>
        <v>0</v>
      </c>
      <c r="Z111" s="488"/>
      <c r="AA111" s="491"/>
      <c r="AB111" s="491"/>
      <c r="AC111" s="491"/>
      <c r="AD111" s="489">
        <f t="shared" si="18"/>
        <v>0</v>
      </c>
      <c r="AE111" s="322"/>
      <c r="AF111" s="452" t="str">
        <f>VLOOKUP(A111,'Feature Summary'!$A$7:$U$4086,21,FALSE)</f>
        <v>WK2</v>
      </c>
      <c r="AG111" s="324"/>
    </row>
    <row r="112" spans="1:33" ht="30">
      <c r="A112" s="335" t="s">
        <v>587</v>
      </c>
      <c r="B112" s="577" t="s">
        <v>588</v>
      </c>
      <c r="C112" s="449" t="s">
        <v>254</v>
      </c>
      <c r="D112" s="323" t="s">
        <v>511</v>
      </c>
      <c r="E112" s="457" t="str">
        <f t="shared" si="12"/>
        <v>Predicated Execution(LSDMA)</v>
      </c>
      <c r="F112" s="322"/>
      <c r="G112" s="553" t="str">
        <f>VLOOKUP(A112,'Feature Raw Data'!$A$3:$C$4084,3,FALSE)</f>
        <v>P2</v>
      </c>
      <c r="H112" s="575" t="s">
        <v>589</v>
      </c>
      <c r="I112" s="322"/>
      <c r="J112" s="323">
        <v>1</v>
      </c>
      <c r="K112" s="323">
        <v>2</v>
      </c>
      <c r="L112" s="428" t="s">
        <v>33</v>
      </c>
      <c r="M112" s="472">
        <v>1</v>
      </c>
      <c r="N112" s="470">
        <f t="shared" si="13"/>
        <v>2</v>
      </c>
      <c r="O112" s="474">
        <f t="shared" si="11"/>
        <v>1</v>
      </c>
      <c r="P112" s="454" t="s">
        <v>45</v>
      </c>
      <c r="Q112" s="358">
        <f t="shared" si="14"/>
        <v>2</v>
      </c>
      <c r="R112" s="488">
        <f t="shared" si="19"/>
        <v>2</v>
      </c>
      <c r="S112" s="488">
        <v>2</v>
      </c>
      <c r="T112" s="491"/>
      <c r="U112" s="488">
        <f t="shared" si="15"/>
        <v>0</v>
      </c>
      <c r="V112" s="491"/>
      <c r="W112" s="501">
        <f t="shared" si="16"/>
        <v>1</v>
      </c>
      <c r="X112" s="455"/>
      <c r="Y112" s="578">
        <f t="shared" si="17"/>
        <v>0</v>
      </c>
      <c r="Z112" s="488"/>
      <c r="AA112" s="491"/>
      <c r="AB112" s="491"/>
      <c r="AC112" s="491"/>
      <c r="AD112" s="489">
        <f t="shared" si="18"/>
        <v>0</v>
      </c>
      <c r="AE112" s="322"/>
      <c r="AF112" s="452" t="str">
        <f>VLOOKUP(A112,'Feature Summary'!$A$7:$U$4086,21,FALSE)</f>
        <v>WK4</v>
      </c>
      <c r="AG112" s="324"/>
    </row>
    <row r="113" spans="1:33" ht="45">
      <c r="A113" s="335" t="s">
        <v>590</v>
      </c>
      <c r="B113" s="577" t="s">
        <v>591</v>
      </c>
      <c r="C113" s="449" t="s">
        <v>254</v>
      </c>
      <c r="D113" s="323" t="s">
        <v>511</v>
      </c>
      <c r="E113" s="457" t="str">
        <f t="shared" si="12"/>
        <v>Atomic Command(LSDMA)</v>
      </c>
      <c r="F113" s="322"/>
      <c r="G113" s="553" t="str">
        <f>VLOOKUP(A113,'Feature Raw Data'!$A$3:$C$4084,3,FALSE)</f>
        <v>P2</v>
      </c>
      <c r="H113" s="575" t="s">
        <v>592</v>
      </c>
      <c r="I113" s="322"/>
      <c r="J113" s="323">
        <v>1</v>
      </c>
      <c r="K113" s="323">
        <v>3</v>
      </c>
      <c r="L113" s="428" t="s">
        <v>33</v>
      </c>
      <c r="M113" s="472">
        <v>1</v>
      </c>
      <c r="N113" s="470">
        <f t="shared" si="13"/>
        <v>3</v>
      </c>
      <c r="O113" s="474">
        <f t="shared" si="11"/>
        <v>1</v>
      </c>
      <c r="P113" s="454" t="s">
        <v>45</v>
      </c>
      <c r="Q113" s="358">
        <f t="shared" si="14"/>
        <v>3</v>
      </c>
      <c r="R113" s="488">
        <f t="shared" si="19"/>
        <v>3</v>
      </c>
      <c r="S113" s="488">
        <v>3</v>
      </c>
      <c r="T113" s="491"/>
      <c r="U113" s="488">
        <f t="shared" si="15"/>
        <v>0</v>
      </c>
      <c r="V113" s="491"/>
      <c r="W113" s="501">
        <f t="shared" si="16"/>
        <v>1</v>
      </c>
      <c r="X113" s="455"/>
      <c r="Y113" s="578">
        <f t="shared" si="17"/>
        <v>0</v>
      </c>
      <c r="Z113" s="488"/>
      <c r="AA113" s="491"/>
      <c r="AB113" s="491"/>
      <c r="AC113" s="491"/>
      <c r="AD113" s="489">
        <f t="shared" si="18"/>
        <v>0</v>
      </c>
      <c r="AE113" s="322"/>
      <c r="AF113" s="452" t="str">
        <f>VLOOKUP(A113,'Feature Summary'!$A$7:$U$4086,21,FALSE)</f>
        <v>WK4</v>
      </c>
      <c r="AG113" s="324"/>
    </row>
    <row r="114" spans="1:33" ht="15">
      <c r="A114" s="335" t="s">
        <v>593</v>
      </c>
      <c r="B114" s="577" t="s">
        <v>594</v>
      </c>
      <c r="C114" s="449" t="s">
        <v>254</v>
      </c>
      <c r="D114" s="323" t="s">
        <v>511</v>
      </c>
      <c r="E114" s="457" t="str">
        <f t="shared" si="12"/>
        <v>VM_INVALIDATION(LSDMA)</v>
      </c>
      <c r="F114" s="322"/>
      <c r="G114" s="553" t="str">
        <f>VLOOKUP(A114,'Feature Raw Data'!$A$3:$C$4084,3,FALSE)</f>
        <v>P2</v>
      </c>
      <c r="H114" s="575" t="s">
        <v>595</v>
      </c>
      <c r="I114" s="322" t="s">
        <v>321</v>
      </c>
      <c r="J114" s="323">
        <v>1</v>
      </c>
      <c r="K114" s="323">
        <v>17</v>
      </c>
      <c r="L114" s="428" t="s">
        <v>33</v>
      </c>
      <c r="M114" s="472">
        <v>1</v>
      </c>
      <c r="N114" s="470">
        <f t="shared" si="13"/>
        <v>17</v>
      </c>
      <c r="O114" s="474">
        <f t="shared" ref="O114:O131" si="20">IF((N114=0),0,(N114/K114))</f>
        <v>1</v>
      </c>
      <c r="P114" s="454" t="s">
        <v>45</v>
      </c>
      <c r="Q114" s="358">
        <f t="shared" si="14"/>
        <v>17</v>
      </c>
      <c r="R114" s="488">
        <f t="shared" si="19"/>
        <v>17</v>
      </c>
      <c r="S114" s="488"/>
      <c r="T114" s="491"/>
      <c r="U114" s="488">
        <f t="shared" si="15"/>
        <v>17</v>
      </c>
      <c r="V114" s="491"/>
      <c r="W114" s="501">
        <f t="shared" si="16"/>
        <v>0</v>
      </c>
      <c r="X114" s="455"/>
      <c r="Y114" s="578">
        <f t="shared" si="17"/>
        <v>0</v>
      </c>
      <c r="Z114" s="488"/>
      <c r="AA114" s="491"/>
      <c r="AB114" s="491"/>
      <c r="AC114" s="491"/>
      <c r="AD114" s="489">
        <f t="shared" si="18"/>
        <v>0</v>
      </c>
      <c r="AE114" s="322"/>
      <c r="AF114" s="452" t="str">
        <f>VLOOKUP(A114,'Feature Summary'!$A$7:$U$4086,21,FALSE)</f>
        <v>WK4</v>
      </c>
      <c r="AG114" s="324"/>
    </row>
    <row r="115" spans="1:33" ht="30">
      <c r="A115" s="335" t="s">
        <v>596</v>
      </c>
      <c r="B115" s="577" t="s">
        <v>597</v>
      </c>
      <c r="C115" s="449" t="s">
        <v>254</v>
      </c>
      <c r="D115" s="323" t="s">
        <v>511</v>
      </c>
      <c r="E115" s="457" t="str">
        <f t="shared" ref="E115:E131" si="21">B115</f>
        <v>SRBM Write(LSDMA)</v>
      </c>
      <c r="F115" s="322"/>
      <c r="G115" s="553" t="str">
        <f>VLOOKUP(A115,'Feature Raw Data'!$A$3:$C$4084,3,FALSE)</f>
        <v>P2</v>
      </c>
      <c r="H115" s="575" t="s">
        <v>598</v>
      </c>
      <c r="I115" s="322"/>
      <c r="J115" s="323">
        <v>1</v>
      </c>
      <c r="K115" s="323">
        <v>6</v>
      </c>
      <c r="L115" s="428" t="s">
        <v>33</v>
      </c>
      <c r="M115" s="472">
        <v>1</v>
      </c>
      <c r="N115" s="470">
        <f t="shared" si="13"/>
        <v>6</v>
      </c>
      <c r="O115" s="474">
        <f t="shared" si="20"/>
        <v>1</v>
      </c>
      <c r="P115" s="454" t="s">
        <v>45</v>
      </c>
      <c r="Q115" s="358">
        <f t="shared" si="14"/>
        <v>6</v>
      </c>
      <c r="R115" s="488">
        <f t="shared" si="19"/>
        <v>6</v>
      </c>
      <c r="S115" s="488">
        <v>6</v>
      </c>
      <c r="T115" s="491"/>
      <c r="U115" s="488">
        <f t="shared" si="15"/>
        <v>0</v>
      </c>
      <c r="V115" s="491"/>
      <c r="W115" s="501">
        <f t="shared" si="16"/>
        <v>1</v>
      </c>
      <c r="X115" s="455"/>
      <c r="Y115" s="578">
        <f t="shared" si="17"/>
        <v>0</v>
      </c>
      <c r="Z115" s="488"/>
      <c r="AA115" s="491"/>
      <c r="AB115" s="491"/>
      <c r="AC115" s="491"/>
      <c r="AD115" s="489">
        <f t="shared" si="18"/>
        <v>0</v>
      </c>
      <c r="AE115" s="322"/>
      <c r="AF115" s="452" t="str">
        <f>VLOOKUP(A115,'Feature Summary'!$A$7:$U$4086,21,FALSE)</f>
        <v>WK4</v>
      </c>
      <c r="AG115" s="324"/>
    </row>
    <row r="116" spans="1:33" ht="30">
      <c r="A116" s="335" t="s">
        <v>599</v>
      </c>
      <c r="B116" s="577" t="s">
        <v>600</v>
      </c>
      <c r="C116" s="449" t="s">
        <v>254</v>
      </c>
      <c r="D116" s="323" t="s">
        <v>511</v>
      </c>
      <c r="E116" s="457" t="str">
        <f t="shared" si="21"/>
        <v>Burst NOP(LSDMA)</v>
      </c>
      <c r="F116" s="322"/>
      <c r="G116" s="553" t="str">
        <f>VLOOKUP(A116,'Feature Raw Data'!$A$3:$C$4084,3,FALSE)</f>
        <v>P2</v>
      </c>
      <c r="H116" s="575" t="s">
        <v>601</v>
      </c>
      <c r="I116" s="322"/>
      <c r="J116" s="323">
        <v>1</v>
      </c>
      <c r="K116" s="323">
        <v>2</v>
      </c>
      <c r="L116" s="428" t="s">
        <v>33</v>
      </c>
      <c r="M116" s="472">
        <v>1</v>
      </c>
      <c r="N116" s="470">
        <f t="shared" si="13"/>
        <v>2</v>
      </c>
      <c r="O116" s="474">
        <f t="shared" si="20"/>
        <v>1</v>
      </c>
      <c r="P116" s="454" t="s">
        <v>45</v>
      </c>
      <c r="Q116" s="358">
        <f t="shared" si="14"/>
        <v>2</v>
      </c>
      <c r="R116" s="488">
        <f t="shared" si="19"/>
        <v>2</v>
      </c>
      <c r="S116" s="488">
        <v>2</v>
      </c>
      <c r="T116" s="491"/>
      <c r="U116" s="488">
        <f t="shared" si="15"/>
        <v>0</v>
      </c>
      <c r="V116" s="491"/>
      <c r="W116" s="501">
        <f t="shared" si="16"/>
        <v>1</v>
      </c>
      <c r="X116" s="455"/>
      <c r="Y116" s="578">
        <f t="shared" si="17"/>
        <v>0</v>
      </c>
      <c r="Z116" s="488"/>
      <c r="AA116" s="491"/>
      <c r="AB116" s="491"/>
      <c r="AC116" s="491"/>
      <c r="AD116" s="489">
        <f t="shared" si="18"/>
        <v>0</v>
      </c>
      <c r="AE116" s="322"/>
      <c r="AF116" s="452" t="str">
        <f>VLOOKUP(A116,'Feature Summary'!$A$7:$U$4086,21,FALSE)</f>
        <v>WK4</v>
      </c>
      <c r="AG116" s="324"/>
    </row>
    <row r="117" spans="1:33" ht="30">
      <c r="A117" s="335" t="s">
        <v>602</v>
      </c>
      <c r="B117" s="577" t="s">
        <v>603</v>
      </c>
      <c r="C117" s="449" t="s">
        <v>254</v>
      </c>
      <c r="D117" s="323" t="s">
        <v>511</v>
      </c>
      <c r="E117" s="457" t="str">
        <f t="shared" si="21"/>
        <v>Timestamp(LSDMA)</v>
      </c>
      <c r="F117" s="322"/>
      <c r="G117" s="553" t="str">
        <f>VLOOKUP(A117,'Feature Raw Data'!$A$3:$C$4084,3,FALSE)</f>
        <v>P2</v>
      </c>
      <c r="H117" s="575" t="s">
        <v>604</v>
      </c>
      <c r="I117" s="322"/>
      <c r="J117" s="323">
        <v>1</v>
      </c>
      <c r="K117" s="323">
        <v>2</v>
      </c>
      <c r="L117" s="428" t="s">
        <v>33</v>
      </c>
      <c r="M117" s="472">
        <v>1</v>
      </c>
      <c r="N117" s="470">
        <f t="shared" si="13"/>
        <v>2</v>
      </c>
      <c r="O117" s="474">
        <f t="shared" si="20"/>
        <v>1</v>
      </c>
      <c r="P117" s="454" t="s">
        <v>45</v>
      </c>
      <c r="Q117" s="358">
        <f t="shared" si="14"/>
        <v>2</v>
      </c>
      <c r="R117" s="488">
        <f t="shared" si="19"/>
        <v>2</v>
      </c>
      <c r="S117" s="488">
        <v>1</v>
      </c>
      <c r="T117" s="491"/>
      <c r="U117" s="488">
        <f t="shared" si="15"/>
        <v>1</v>
      </c>
      <c r="V117" s="491"/>
      <c r="W117" s="501">
        <f t="shared" si="16"/>
        <v>0.5</v>
      </c>
      <c r="X117" s="455"/>
      <c r="Y117" s="578">
        <f t="shared" si="17"/>
        <v>0</v>
      </c>
      <c r="Z117" s="488"/>
      <c r="AA117" s="491"/>
      <c r="AB117" s="491"/>
      <c r="AC117" s="491"/>
      <c r="AD117" s="489">
        <f t="shared" si="18"/>
        <v>0</v>
      </c>
      <c r="AE117" s="322"/>
      <c r="AF117" s="452" t="str">
        <f>VLOOKUP(A117,'Feature Summary'!$A$7:$U$4086,21,FALSE)</f>
        <v>WK4</v>
      </c>
      <c r="AG117" s="324"/>
    </row>
    <row r="118" spans="1:33" ht="15">
      <c r="A118" s="335" t="s">
        <v>605</v>
      </c>
      <c r="B118" s="577" t="s">
        <v>606</v>
      </c>
      <c r="C118" s="449" t="s">
        <v>254</v>
      </c>
      <c r="D118" s="323" t="s">
        <v>511</v>
      </c>
      <c r="E118" s="457" t="str">
        <f t="shared" si="21"/>
        <v>Generate PTE/PDE(LSDMA)</v>
      </c>
      <c r="F118" s="322"/>
      <c r="G118" s="553" t="str">
        <f>VLOOKUP(A118,'Feature Raw Data'!$A$3:$C$4084,3,FALSE)</f>
        <v>P2</v>
      </c>
      <c r="H118" s="575" t="s">
        <v>607</v>
      </c>
      <c r="I118" s="322"/>
      <c r="J118" s="323">
        <v>1</v>
      </c>
      <c r="K118" s="323">
        <v>1</v>
      </c>
      <c r="L118" s="428" t="s">
        <v>33</v>
      </c>
      <c r="M118" s="472">
        <v>1</v>
      </c>
      <c r="N118" s="470">
        <f t="shared" si="13"/>
        <v>1</v>
      </c>
      <c r="O118" s="474">
        <f t="shared" si="20"/>
        <v>1</v>
      </c>
      <c r="P118" s="454" t="s">
        <v>45</v>
      </c>
      <c r="Q118" s="358">
        <f t="shared" si="14"/>
        <v>1</v>
      </c>
      <c r="R118" s="488">
        <f t="shared" si="19"/>
        <v>1</v>
      </c>
      <c r="S118" s="488">
        <v>1</v>
      </c>
      <c r="T118" s="491"/>
      <c r="U118" s="488">
        <f t="shared" si="15"/>
        <v>0</v>
      </c>
      <c r="V118" s="491"/>
      <c r="W118" s="501">
        <f t="shared" si="16"/>
        <v>1</v>
      </c>
      <c r="X118" s="455"/>
      <c r="Y118" s="578">
        <f t="shared" si="17"/>
        <v>0</v>
      </c>
      <c r="Z118" s="488"/>
      <c r="AA118" s="491"/>
      <c r="AB118" s="491"/>
      <c r="AC118" s="491"/>
      <c r="AD118" s="489">
        <f t="shared" si="18"/>
        <v>0</v>
      </c>
      <c r="AE118" s="322"/>
      <c r="AF118" s="452" t="str">
        <f>VLOOKUP(A118,'Feature Summary'!$A$7:$U$4086,21,FALSE)</f>
        <v>WK4</v>
      </c>
      <c r="AG118" s="324"/>
    </row>
    <row r="119" spans="1:33" ht="30">
      <c r="A119" s="335" t="s">
        <v>608</v>
      </c>
      <c r="B119" s="577" t="s">
        <v>609</v>
      </c>
      <c r="C119" s="449" t="s">
        <v>254</v>
      </c>
      <c r="D119" s="323" t="s">
        <v>511</v>
      </c>
      <c r="E119" s="457" t="str">
        <f t="shared" si="21"/>
        <v>Copy Mask PTE/PDE(LSDMA)</v>
      </c>
      <c r="F119" s="322"/>
      <c r="G119" s="553" t="str">
        <f>VLOOKUP(A119,'Feature Raw Data'!$A$3:$C$4084,3,FALSE)</f>
        <v>P2</v>
      </c>
      <c r="H119" s="575" t="s">
        <v>610</v>
      </c>
      <c r="I119" s="322"/>
      <c r="J119" s="323">
        <v>1</v>
      </c>
      <c r="K119" s="323">
        <v>2</v>
      </c>
      <c r="L119" s="428" t="s">
        <v>33</v>
      </c>
      <c r="M119" s="472">
        <v>1</v>
      </c>
      <c r="N119" s="470">
        <f t="shared" si="13"/>
        <v>2</v>
      </c>
      <c r="O119" s="474">
        <f t="shared" si="20"/>
        <v>1</v>
      </c>
      <c r="P119" s="454" t="s">
        <v>45</v>
      </c>
      <c r="Q119" s="358">
        <f t="shared" si="14"/>
        <v>2</v>
      </c>
      <c r="R119" s="488">
        <f t="shared" si="19"/>
        <v>2</v>
      </c>
      <c r="S119" s="488">
        <v>2</v>
      </c>
      <c r="T119" s="491"/>
      <c r="U119" s="488">
        <f t="shared" si="15"/>
        <v>0</v>
      </c>
      <c r="V119" s="491"/>
      <c r="W119" s="501">
        <f t="shared" si="16"/>
        <v>1</v>
      </c>
      <c r="X119" s="455"/>
      <c r="Y119" s="578">
        <f t="shared" si="17"/>
        <v>0</v>
      </c>
      <c r="Z119" s="488"/>
      <c r="AA119" s="491"/>
      <c r="AB119" s="491"/>
      <c r="AC119" s="491"/>
      <c r="AD119" s="489">
        <f t="shared" si="18"/>
        <v>0</v>
      </c>
      <c r="AE119" s="322"/>
      <c r="AF119" s="452" t="str">
        <f>VLOOKUP(A119,'Feature Summary'!$A$7:$U$4086,21,FALSE)</f>
        <v>WK5</v>
      </c>
      <c r="AG119" s="324"/>
    </row>
    <row r="120" spans="1:33" ht="15">
      <c r="A120" s="335" t="s">
        <v>611</v>
      </c>
      <c r="B120" s="577" t="s">
        <v>612</v>
      </c>
      <c r="C120" s="449" t="s">
        <v>254</v>
      </c>
      <c r="D120" s="323" t="s">
        <v>511</v>
      </c>
      <c r="E120" s="457" t="str">
        <f t="shared" si="21"/>
        <v>RMW PTE/PDE(LSDMA)</v>
      </c>
      <c r="F120" s="322"/>
      <c r="G120" s="553" t="str">
        <f>VLOOKUP(A120,'Feature Raw Data'!$A$3:$C$4084,3,FALSE)</f>
        <v>P2</v>
      </c>
      <c r="H120" s="575" t="s">
        <v>613</v>
      </c>
      <c r="I120" s="322"/>
      <c r="J120" s="323">
        <v>1</v>
      </c>
      <c r="K120" s="323">
        <v>1</v>
      </c>
      <c r="L120" s="428" t="s">
        <v>33</v>
      </c>
      <c r="M120" s="472">
        <v>1</v>
      </c>
      <c r="N120" s="470">
        <f t="shared" si="13"/>
        <v>1</v>
      </c>
      <c r="O120" s="474">
        <f t="shared" si="20"/>
        <v>1</v>
      </c>
      <c r="P120" s="454" t="s">
        <v>45</v>
      </c>
      <c r="Q120" s="358">
        <f t="shared" si="14"/>
        <v>1</v>
      </c>
      <c r="R120" s="488">
        <f t="shared" si="19"/>
        <v>1</v>
      </c>
      <c r="S120" s="488">
        <v>1</v>
      </c>
      <c r="T120" s="491"/>
      <c r="U120" s="488">
        <f t="shared" si="15"/>
        <v>0</v>
      </c>
      <c r="V120" s="491"/>
      <c r="W120" s="501">
        <f t="shared" si="16"/>
        <v>1</v>
      </c>
      <c r="X120" s="455"/>
      <c r="Y120" s="578">
        <f t="shared" si="17"/>
        <v>0</v>
      </c>
      <c r="Z120" s="488"/>
      <c r="AA120" s="491"/>
      <c r="AB120" s="491"/>
      <c r="AC120" s="491"/>
      <c r="AD120" s="489">
        <f t="shared" si="18"/>
        <v>0</v>
      </c>
      <c r="AE120" s="322"/>
      <c r="AF120" s="452" t="str">
        <f>VLOOKUP(A120,'Feature Summary'!$A$7:$U$4086,21,FALSE)</f>
        <v>WK5</v>
      </c>
      <c r="AG120" s="324"/>
    </row>
    <row r="121" spans="1:33" ht="30">
      <c r="A121" s="335" t="s">
        <v>614</v>
      </c>
      <c r="B121" s="577" t="s">
        <v>615</v>
      </c>
      <c r="C121" s="449" t="s">
        <v>254</v>
      </c>
      <c r="D121" s="323" t="s">
        <v>511</v>
      </c>
      <c r="E121" s="457" t="s">
        <v>615</v>
      </c>
      <c r="F121" s="322"/>
      <c r="G121" s="553" t="str">
        <f>VLOOKUP(A121,'Feature Raw Data'!$A$3:$C$4084,3,FALSE)</f>
        <v>P2</v>
      </c>
      <c r="H121" s="575" t="s">
        <v>616</v>
      </c>
      <c r="I121" s="322" t="s">
        <v>442</v>
      </c>
      <c r="J121" s="323">
        <v>1</v>
      </c>
      <c r="K121" s="323">
        <v>8</v>
      </c>
      <c r="L121" s="428" t="s">
        <v>617</v>
      </c>
      <c r="M121" s="472">
        <v>1</v>
      </c>
      <c r="N121" s="470">
        <f t="shared" ref="N121" si="22">K121</f>
        <v>8</v>
      </c>
      <c r="O121" s="474">
        <f t="shared" ref="O121" si="23">IF((N121=0),0,(N121/K121))</f>
        <v>1</v>
      </c>
      <c r="P121" s="454" t="s">
        <v>44</v>
      </c>
      <c r="Q121" s="358">
        <f t="shared" ref="Q121" si="24">K121</f>
        <v>8</v>
      </c>
      <c r="R121" s="488">
        <f t="shared" ref="R121" si="25">Q121</f>
        <v>8</v>
      </c>
      <c r="S121" s="488"/>
      <c r="T121" s="491"/>
      <c r="U121" s="488">
        <f t="shared" ref="U121" si="26">Q121-S121</f>
        <v>8</v>
      </c>
      <c r="V121" s="491"/>
      <c r="W121" s="501">
        <f t="shared" ref="W121" si="27">IF((R121=0),0,((S121+T121)/R121*100%))</f>
        <v>0</v>
      </c>
      <c r="X121" s="455"/>
      <c r="Y121" s="578">
        <f t="shared" ref="Y121" si="28">SUM(Z121:AC121)</f>
        <v>0</v>
      </c>
      <c r="Z121" s="488"/>
      <c r="AA121" s="491"/>
      <c r="AB121" s="491"/>
      <c r="AC121" s="491"/>
      <c r="AD121" s="489">
        <f t="shared" ref="AD121" si="29">IF((Y121=0),0,(Z121+AA121)/Y121)</f>
        <v>0</v>
      </c>
      <c r="AE121" s="457" t="s">
        <v>443</v>
      </c>
      <c r="AF121" s="452" t="s">
        <v>618</v>
      </c>
      <c r="AG121" s="324"/>
    </row>
    <row r="122" spans="1:33" ht="30">
      <c r="A122" s="335" t="s">
        <v>619</v>
      </c>
      <c r="B122" s="577" t="s">
        <v>620</v>
      </c>
      <c r="C122" s="449" t="s">
        <v>254</v>
      </c>
      <c r="D122" s="323" t="s">
        <v>511</v>
      </c>
      <c r="E122" s="457" t="str">
        <f t="shared" si="21"/>
        <v xml:space="preserve">Host Access LSDMA scratch ram (LSDMA) </v>
      </c>
      <c r="F122" s="322"/>
      <c r="G122" s="553" t="str">
        <f>VLOOKUP(A122,'Feature Raw Data'!$A$3:$C$4084,3,FALSE)</f>
        <v>P2</v>
      </c>
      <c r="H122" s="575" t="s">
        <v>621</v>
      </c>
      <c r="I122" s="322"/>
      <c r="J122" s="323">
        <v>1</v>
      </c>
      <c r="K122" s="323">
        <v>1</v>
      </c>
      <c r="L122" s="428" t="s">
        <v>33</v>
      </c>
      <c r="M122" s="472">
        <v>1</v>
      </c>
      <c r="N122" s="470">
        <f t="shared" si="13"/>
        <v>1</v>
      </c>
      <c r="O122" s="474">
        <f t="shared" si="20"/>
        <v>1</v>
      </c>
      <c r="P122" s="454" t="s">
        <v>45</v>
      </c>
      <c r="Q122" s="358">
        <f t="shared" si="14"/>
        <v>1</v>
      </c>
      <c r="R122" s="488">
        <f t="shared" si="19"/>
        <v>1</v>
      </c>
      <c r="S122" s="488">
        <v>1</v>
      </c>
      <c r="T122" s="491"/>
      <c r="U122" s="488">
        <f t="shared" si="15"/>
        <v>0</v>
      </c>
      <c r="V122" s="491"/>
      <c r="W122" s="501">
        <f t="shared" si="16"/>
        <v>1</v>
      </c>
      <c r="X122" s="455"/>
      <c r="Y122" s="578">
        <f t="shared" si="17"/>
        <v>0</v>
      </c>
      <c r="Z122" s="488"/>
      <c r="AA122" s="491"/>
      <c r="AB122" s="491"/>
      <c r="AC122" s="491"/>
      <c r="AD122" s="489">
        <f t="shared" si="18"/>
        <v>0</v>
      </c>
      <c r="AE122" s="322"/>
      <c r="AF122" s="452" t="str">
        <f>VLOOKUP(A122,'Feature Summary'!$A$7:$U$4086,21,FALSE)</f>
        <v>WK5</v>
      </c>
      <c r="AG122" s="324"/>
    </row>
    <row r="123" spans="1:33" ht="45">
      <c r="A123" s="335" t="s">
        <v>622</v>
      </c>
      <c r="B123" s="577" t="s">
        <v>623</v>
      </c>
      <c r="C123" s="449" t="s">
        <v>254</v>
      </c>
      <c r="D123" s="323" t="s">
        <v>511</v>
      </c>
      <c r="E123" s="457" t="str">
        <f t="shared" si="21"/>
        <v>AQL Support (LSDMA)</v>
      </c>
      <c r="F123" s="322"/>
      <c r="G123" s="553" t="str">
        <f>VLOOKUP(A123,'Feature Raw Data'!$A$3:$C$4084,3,FALSE)</f>
        <v>P2</v>
      </c>
      <c r="H123" s="575" t="s">
        <v>624</v>
      </c>
      <c r="I123" s="322"/>
      <c r="J123" s="323">
        <v>1</v>
      </c>
      <c r="K123" s="323">
        <v>1</v>
      </c>
      <c r="L123" s="428" t="s">
        <v>33</v>
      </c>
      <c r="M123" s="472">
        <v>1</v>
      </c>
      <c r="N123" s="470">
        <f t="shared" si="13"/>
        <v>1</v>
      </c>
      <c r="O123" s="474">
        <f t="shared" si="20"/>
        <v>1</v>
      </c>
      <c r="P123" s="454" t="s">
        <v>45</v>
      </c>
      <c r="Q123" s="358">
        <f t="shared" si="14"/>
        <v>1</v>
      </c>
      <c r="R123" s="488">
        <f t="shared" si="19"/>
        <v>1</v>
      </c>
      <c r="S123" s="488"/>
      <c r="T123" s="491"/>
      <c r="U123" s="488">
        <f t="shared" si="15"/>
        <v>1</v>
      </c>
      <c r="V123" s="491"/>
      <c r="W123" s="501">
        <f t="shared" si="16"/>
        <v>0</v>
      </c>
      <c r="X123" s="580" t="s">
        <v>625</v>
      </c>
      <c r="Y123" s="578">
        <f t="shared" si="17"/>
        <v>0</v>
      </c>
      <c r="Z123" s="488"/>
      <c r="AA123" s="491"/>
      <c r="AB123" s="491"/>
      <c r="AC123" s="491"/>
      <c r="AD123" s="489">
        <f t="shared" si="18"/>
        <v>0</v>
      </c>
      <c r="AE123" s="322"/>
      <c r="AF123" s="452" t="str">
        <f>VLOOKUP(A123,'Feature Summary'!$A$7:$U$4086,21,FALSE)</f>
        <v>WK5</v>
      </c>
      <c r="AG123" s="324"/>
    </row>
    <row r="124" spans="1:33" ht="15">
      <c r="A124" s="335" t="s">
        <v>626</v>
      </c>
      <c r="B124" s="577" t="s">
        <v>627</v>
      </c>
      <c r="C124" s="449" t="s">
        <v>254</v>
      </c>
      <c r="D124" s="323" t="s">
        <v>511</v>
      </c>
      <c r="E124" s="457" t="str">
        <f t="shared" si="21"/>
        <v>(LSDMA) 2 HW Queue</v>
      </c>
      <c r="F124" s="322"/>
      <c r="G124" s="553" t="str">
        <f>VLOOKUP(A124,'Feature Raw Data'!$A$3:$C$4084,3,FALSE)</f>
        <v>P2</v>
      </c>
      <c r="H124" s="575" t="s">
        <v>512</v>
      </c>
      <c r="I124" s="322"/>
      <c r="J124" s="323">
        <v>1</v>
      </c>
      <c r="K124" s="323">
        <v>1</v>
      </c>
      <c r="L124" s="428" t="s">
        <v>33</v>
      </c>
      <c r="M124" s="472">
        <v>1</v>
      </c>
      <c r="N124" s="470">
        <f t="shared" si="13"/>
        <v>1</v>
      </c>
      <c r="O124" s="474">
        <f t="shared" si="20"/>
        <v>1</v>
      </c>
      <c r="P124" s="454" t="s">
        <v>45</v>
      </c>
      <c r="Q124" s="358">
        <f t="shared" si="14"/>
        <v>1</v>
      </c>
      <c r="R124" s="488">
        <f t="shared" si="19"/>
        <v>1</v>
      </c>
      <c r="S124" s="488">
        <v>1</v>
      </c>
      <c r="T124" s="491"/>
      <c r="U124" s="488">
        <f t="shared" si="15"/>
        <v>0</v>
      </c>
      <c r="V124" s="491"/>
      <c r="W124" s="501">
        <f t="shared" si="16"/>
        <v>1</v>
      </c>
      <c r="X124" s="455"/>
      <c r="Y124" s="578">
        <f t="shared" si="17"/>
        <v>0</v>
      </c>
      <c r="Z124" s="488"/>
      <c r="AA124" s="491"/>
      <c r="AB124" s="491"/>
      <c r="AC124" s="491"/>
      <c r="AD124" s="489">
        <f t="shared" si="18"/>
        <v>0</v>
      </c>
      <c r="AE124" s="322"/>
      <c r="AF124" s="452" t="str">
        <f>VLOOKUP(A124,'Feature Summary'!$A$7:$U$4086,21,FALSE)</f>
        <v>WK5</v>
      </c>
      <c r="AG124" s="324"/>
    </row>
    <row r="125" spans="1:33" ht="15">
      <c r="A125" s="335" t="s">
        <v>628</v>
      </c>
      <c r="B125" s="577" t="s">
        <v>629</v>
      </c>
      <c r="C125" s="449" t="s">
        <v>254</v>
      </c>
      <c r="D125" s="323" t="s">
        <v>511</v>
      </c>
      <c r="E125" s="457" t="str">
        <f t="shared" si="21"/>
        <v>(LSDMA) PIO Queue support</v>
      </c>
      <c r="F125" s="322"/>
      <c r="G125" s="553" t="str">
        <f>VLOOKUP(A125,'Feature Raw Data'!$A$3:$C$4084,3,FALSE)</f>
        <v>P2</v>
      </c>
      <c r="H125" s="575" t="s">
        <v>630</v>
      </c>
      <c r="I125" s="322"/>
      <c r="J125" s="323">
        <v>1</v>
      </c>
      <c r="K125" s="323">
        <v>2</v>
      </c>
      <c r="L125" s="428" t="s">
        <v>33</v>
      </c>
      <c r="M125" s="472">
        <v>1</v>
      </c>
      <c r="N125" s="470">
        <f t="shared" si="13"/>
        <v>2</v>
      </c>
      <c r="O125" s="474">
        <f t="shared" si="20"/>
        <v>1</v>
      </c>
      <c r="P125" s="454" t="s">
        <v>45</v>
      </c>
      <c r="Q125" s="358">
        <f t="shared" si="14"/>
        <v>2</v>
      </c>
      <c r="R125" s="488">
        <f t="shared" si="19"/>
        <v>2</v>
      </c>
      <c r="S125" s="488">
        <v>2</v>
      </c>
      <c r="T125" s="491"/>
      <c r="U125" s="488">
        <f t="shared" si="15"/>
        <v>0</v>
      </c>
      <c r="V125" s="491"/>
      <c r="W125" s="501">
        <f t="shared" si="16"/>
        <v>1</v>
      </c>
      <c r="X125" s="455"/>
      <c r="Y125" s="578">
        <f t="shared" si="17"/>
        <v>0</v>
      </c>
      <c r="Z125" s="488"/>
      <c r="AA125" s="491"/>
      <c r="AB125" s="491"/>
      <c r="AC125" s="491"/>
      <c r="AD125" s="489">
        <f t="shared" si="18"/>
        <v>0</v>
      </c>
      <c r="AE125" s="322"/>
      <c r="AF125" s="452" t="str">
        <f>VLOOKUP(A125,'Feature Summary'!$A$7:$U$4086,21,FALSE)</f>
        <v>WK5</v>
      </c>
      <c r="AG125" s="324"/>
    </row>
    <row r="126" spans="1:33" ht="15">
      <c r="A126" s="335" t="s">
        <v>631</v>
      </c>
      <c r="B126" s="577" t="s">
        <v>632</v>
      </c>
      <c r="C126" s="449" t="s">
        <v>254</v>
      </c>
      <c r="D126" s="323" t="s">
        <v>633</v>
      </c>
      <c r="E126" s="457" t="str">
        <f t="shared" si="21"/>
        <v>Host read</v>
      </c>
      <c r="F126" s="322"/>
      <c r="G126" s="553" t="str">
        <f>VLOOKUP(A126,'Feature Raw Data'!$A$3:$C$4084,3,FALSE)</f>
        <v>P2</v>
      </c>
      <c r="H126" s="575" t="s">
        <v>634</v>
      </c>
      <c r="I126" s="322"/>
      <c r="J126" s="323">
        <v>1</v>
      </c>
      <c r="K126" s="323">
        <v>12</v>
      </c>
      <c r="L126" s="428" t="s">
        <v>33</v>
      </c>
      <c r="M126" s="472">
        <v>1</v>
      </c>
      <c r="N126" s="470">
        <f t="shared" si="13"/>
        <v>12</v>
      </c>
      <c r="O126" s="474">
        <f t="shared" si="20"/>
        <v>1</v>
      </c>
      <c r="P126" s="454" t="s">
        <v>45</v>
      </c>
      <c r="Q126" s="358">
        <f t="shared" si="14"/>
        <v>12</v>
      </c>
      <c r="R126" s="488">
        <f t="shared" si="19"/>
        <v>12</v>
      </c>
      <c r="S126" s="488">
        <v>8</v>
      </c>
      <c r="T126" s="491"/>
      <c r="U126" s="488">
        <f t="shared" si="15"/>
        <v>4</v>
      </c>
      <c r="V126" s="491"/>
      <c r="W126" s="501">
        <f t="shared" si="16"/>
        <v>0.66666666666666663</v>
      </c>
      <c r="X126" s="455" t="s">
        <v>635</v>
      </c>
      <c r="Y126" s="578">
        <f t="shared" si="17"/>
        <v>0</v>
      </c>
      <c r="Z126" s="488"/>
      <c r="AA126" s="491"/>
      <c r="AB126" s="491"/>
      <c r="AC126" s="491"/>
      <c r="AD126" s="489">
        <f t="shared" si="18"/>
        <v>0</v>
      </c>
      <c r="AE126" s="322"/>
      <c r="AF126" s="452" t="str">
        <f>VLOOKUP(A126,'Feature Summary'!$A$7:$U$4086,21,FALSE)</f>
        <v>2Wks</v>
      </c>
      <c r="AG126" s="324"/>
    </row>
    <row r="127" spans="1:33" ht="15">
      <c r="A127" s="335" t="s">
        <v>636</v>
      </c>
      <c r="B127" s="577" t="s">
        <v>637</v>
      </c>
      <c r="C127" s="449" t="s">
        <v>254</v>
      </c>
      <c r="D127" s="323" t="s">
        <v>633</v>
      </c>
      <c r="E127" s="457" t="str">
        <f t="shared" si="21"/>
        <v>Host write</v>
      </c>
      <c r="F127" s="322"/>
      <c r="G127" s="553" t="str">
        <f>VLOOKUP(A127,'Feature Raw Data'!$A$3:$C$4084,3,FALSE)</f>
        <v>P2</v>
      </c>
      <c r="H127" s="575" t="s">
        <v>638</v>
      </c>
      <c r="I127" s="322"/>
      <c r="J127" s="323">
        <v>1</v>
      </c>
      <c r="K127" s="323">
        <v>12</v>
      </c>
      <c r="L127" s="428" t="s">
        <v>33</v>
      </c>
      <c r="M127" s="472">
        <v>1</v>
      </c>
      <c r="N127" s="470">
        <f t="shared" si="13"/>
        <v>12</v>
      </c>
      <c r="O127" s="474">
        <f t="shared" si="20"/>
        <v>1</v>
      </c>
      <c r="P127" s="454" t="s">
        <v>45</v>
      </c>
      <c r="Q127" s="358">
        <f t="shared" si="14"/>
        <v>12</v>
      </c>
      <c r="R127" s="488">
        <f t="shared" si="19"/>
        <v>12</v>
      </c>
      <c r="S127" s="488">
        <v>4</v>
      </c>
      <c r="T127" s="491"/>
      <c r="U127" s="488">
        <f t="shared" si="15"/>
        <v>8</v>
      </c>
      <c r="V127" s="491"/>
      <c r="W127" s="501">
        <f t="shared" si="16"/>
        <v>0.33333333333333331</v>
      </c>
      <c r="X127" s="455"/>
      <c r="Y127" s="578">
        <f t="shared" si="17"/>
        <v>0</v>
      </c>
      <c r="Z127" s="488"/>
      <c r="AA127" s="491"/>
      <c r="AB127" s="491"/>
      <c r="AC127" s="491"/>
      <c r="AD127" s="489">
        <f t="shared" si="18"/>
        <v>0</v>
      </c>
      <c r="AE127" s="322"/>
      <c r="AF127" s="452" t="s">
        <v>396</v>
      </c>
      <c r="AG127" s="324"/>
    </row>
    <row r="128" spans="1:33" ht="15">
      <c r="A128" s="335" t="s">
        <v>639</v>
      </c>
      <c r="B128" s="577" t="s">
        <v>640</v>
      </c>
      <c r="C128" s="449" t="s">
        <v>254</v>
      </c>
      <c r="D128" s="323" t="s">
        <v>633</v>
      </c>
      <c r="E128" s="457" t="str">
        <f t="shared" si="21"/>
        <v>HDP RAW Coherency</v>
      </c>
      <c r="F128" s="322"/>
      <c r="G128" s="553" t="str">
        <f>VLOOKUP(A128,'Feature Raw Data'!$A$3:$C$4084,3,FALSE)</f>
        <v>P2</v>
      </c>
      <c r="H128" s="575" t="s">
        <v>641</v>
      </c>
      <c r="I128" s="322"/>
      <c r="J128" s="323">
        <v>1</v>
      </c>
      <c r="K128" s="323">
        <v>4</v>
      </c>
      <c r="L128" s="428" t="s">
        <v>33</v>
      </c>
      <c r="M128" s="472">
        <v>1</v>
      </c>
      <c r="N128" s="470">
        <f t="shared" si="13"/>
        <v>4</v>
      </c>
      <c r="O128" s="474">
        <f t="shared" si="20"/>
        <v>1</v>
      </c>
      <c r="P128" s="454" t="s">
        <v>45</v>
      </c>
      <c r="Q128" s="358">
        <f t="shared" si="14"/>
        <v>4</v>
      </c>
      <c r="R128" s="488">
        <f t="shared" si="19"/>
        <v>4</v>
      </c>
      <c r="S128" s="488">
        <v>4</v>
      </c>
      <c r="T128" s="491"/>
      <c r="U128" s="488">
        <f t="shared" si="15"/>
        <v>0</v>
      </c>
      <c r="V128" s="491"/>
      <c r="W128" s="501">
        <f t="shared" si="16"/>
        <v>1</v>
      </c>
      <c r="X128" s="455"/>
      <c r="Y128" s="578">
        <f t="shared" si="17"/>
        <v>0</v>
      </c>
      <c r="Z128" s="488"/>
      <c r="AA128" s="491"/>
      <c r="AB128" s="491"/>
      <c r="AC128" s="491"/>
      <c r="AD128" s="489">
        <f t="shared" si="18"/>
        <v>0</v>
      </c>
      <c r="AE128" s="322"/>
      <c r="AF128" s="452" t="s">
        <v>396</v>
      </c>
      <c r="AG128" s="324"/>
    </row>
    <row r="129" spans="1:33" ht="15">
      <c r="A129" s="335" t="s">
        <v>642</v>
      </c>
      <c r="B129" s="577" t="s">
        <v>643</v>
      </c>
      <c r="C129" s="449" t="s">
        <v>254</v>
      </c>
      <c r="D129" s="323" t="s">
        <v>633</v>
      </c>
      <c r="E129" s="457" t="str">
        <f t="shared" si="21"/>
        <v>HDP Cache Stress</v>
      </c>
      <c r="F129" s="322"/>
      <c r="G129" s="553" t="str">
        <f>VLOOKUP(A129,'Feature Raw Data'!$A$3:$C$4084,3,FALSE)</f>
        <v>P2</v>
      </c>
      <c r="H129" s="575" t="s">
        <v>644</v>
      </c>
      <c r="I129" s="322"/>
      <c r="J129" s="323">
        <v>1</v>
      </c>
      <c r="K129" s="323">
        <v>4</v>
      </c>
      <c r="L129" s="428" t="s">
        <v>33</v>
      </c>
      <c r="M129" s="472">
        <v>1</v>
      </c>
      <c r="N129" s="470">
        <f t="shared" si="13"/>
        <v>4</v>
      </c>
      <c r="O129" s="474">
        <f t="shared" si="20"/>
        <v>1</v>
      </c>
      <c r="P129" s="454" t="s">
        <v>45</v>
      </c>
      <c r="Q129" s="358">
        <f t="shared" si="14"/>
        <v>4</v>
      </c>
      <c r="R129" s="488">
        <f t="shared" si="19"/>
        <v>4</v>
      </c>
      <c r="S129" s="488">
        <v>4</v>
      </c>
      <c r="T129" s="491"/>
      <c r="U129" s="488">
        <f t="shared" si="15"/>
        <v>0</v>
      </c>
      <c r="V129" s="491"/>
      <c r="W129" s="501">
        <f t="shared" si="16"/>
        <v>1</v>
      </c>
      <c r="X129" s="455"/>
      <c r="Y129" s="578">
        <f t="shared" si="17"/>
        <v>0</v>
      </c>
      <c r="Z129" s="488"/>
      <c r="AA129" s="491"/>
      <c r="AB129" s="491"/>
      <c r="AC129" s="491"/>
      <c r="AD129" s="489">
        <f t="shared" si="18"/>
        <v>0</v>
      </c>
      <c r="AE129" s="322"/>
      <c r="AF129" s="452" t="s">
        <v>396</v>
      </c>
      <c r="AG129" s="324"/>
    </row>
    <row r="130" spans="1:33" ht="15">
      <c r="A130" s="335" t="s">
        <v>645</v>
      </c>
      <c r="B130" s="577" t="s">
        <v>646</v>
      </c>
      <c r="C130" s="449" t="s">
        <v>254</v>
      </c>
      <c r="D130" s="323" t="s">
        <v>633</v>
      </c>
      <c r="E130" s="457" t="str">
        <f t="shared" si="21"/>
        <v>Flush Invalidate Cache(HDP)</v>
      </c>
      <c r="F130" s="322"/>
      <c r="G130" s="553" t="str">
        <f>VLOOKUP(A130,'Feature Raw Data'!$A$3:$C$4084,3,FALSE)</f>
        <v>P2</v>
      </c>
      <c r="H130" s="575" t="s">
        <v>647</v>
      </c>
      <c r="I130" s="322"/>
      <c r="J130" s="323">
        <v>1</v>
      </c>
      <c r="K130" s="323">
        <v>4</v>
      </c>
      <c r="L130" s="428" t="s">
        <v>33</v>
      </c>
      <c r="M130" s="472">
        <v>1</v>
      </c>
      <c r="N130" s="470">
        <f t="shared" si="13"/>
        <v>4</v>
      </c>
      <c r="O130" s="474">
        <f t="shared" si="20"/>
        <v>1</v>
      </c>
      <c r="P130" s="454" t="s">
        <v>45</v>
      </c>
      <c r="Q130" s="358">
        <f t="shared" si="14"/>
        <v>4</v>
      </c>
      <c r="R130" s="488">
        <f t="shared" si="19"/>
        <v>4</v>
      </c>
      <c r="S130" s="488">
        <v>4</v>
      </c>
      <c r="T130" s="491"/>
      <c r="U130" s="488">
        <f t="shared" si="15"/>
        <v>0</v>
      </c>
      <c r="V130" s="491"/>
      <c r="W130" s="501">
        <f t="shared" si="16"/>
        <v>1</v>
      </c>
      <c r="X130" s="455"/>
      <c r="Y130" s="578">
        <f t="shared" si="17"/>
        <v>0</v>
      </c>
      <c r="Z130" s="488"/>
      <c r="AA130" s="491"/>
      <c r="AB130" s="491"/>
      <c r="AC130" s="491"/>
      <c r="AD130" s="489">
        <f t="shared" si="18"/>
        <v>0</v>
      </c>
      <c r="AE130" s="322"/>
      <c r="AF130" s="452" t="str">
        <f>VLOOKUP(A130,'Feature Summary'!$A$7:$U$4086,21,FALSE)</f>
        <v>WK4</v>
      </c>
      <c r="AG130" s="324"/>
    </row>
    <row r="131" spans="1:33" ht="15">
      <c r="A131" s="335" t="s">
        <v>648</v>
      </c>
      <c r="B131" s="577" t="s">
        <v>649</v>
      </c>
      <c r="C131" s="449" t="s">
        <v>254</v>
      </c>
      <c r="D131" s="323" t="s">
        <v>255</v>
      </c>
      <c r="E131" s="457" t="str">
        <f t="shared" si="21"/>
        <v>UTCL2 retry interrupt filter</v>
      </c>
      <c r="F131" s="322"/>
      <c r="G131" s="553" t="str">
        <f>VLOOKUP(A131,'Feature Raw Data'!$A$3:$C$4084,3,FALSE)</f>
        <v>P2</v>
      </c>
      <c r="H131" s="575" t="s">
        <v>650</v>
      </c>
      <c r="I131" s="322"/>
      <c r="J131" s="323">
        <v>1</v>
      </c>
      <c r="K131" s="323">
        <v>2</v>
      </c>
      <c r="L131" s="428" t="s">
        <v>33</v>
      </c>
      <c r="M131" s="472">
        <v>1</v>
      </c>
      <c r="N131" s="470">
        <f t="shared" si="13"/>
        <v>2</v>
      </c>
      <c r="O131" s="474">
        <f t="shared" si="20"/>
        <v>1</v>
      </c>
      <c r="P131" s="454" t="s">
        <v>45</v>
      </c>
      <c r="Q131" s="358">
        <f t="shared" si="14"/>
        <v>2</v>
      </c>
      <c r="R131" s="488">
        <f t="shared" si="19"/>
        <v>2</v>
      </c>
      <c r="S131" s="488"/>
      <c r="T131" s="491"/>
      <c r="U131" s="488">
        <f t="shared" si="15"/>
        <v>2</v>
      </c>
      <c r="V131" s="491"/>
      <c r="W131" s="501">
        <f t="shared" si="16"/>
        <v>0</v>
      </c>
      <c r="X131" s="455" t="s">
        <v>651</v>
      </c>
      <c r="Y131" s="578">
        <f t="shared" si="17"/>
        <v>0</v>
      </c>
      <c r="Z131" s="488"/>
      <c r="AA131" s="491"/>
      <c r="AB131" s="491"/>
      <c r="AC131" s="491"/>
      <c r="AD131" s="489">
        <f t="shared" si="18"/>
        <v>0</v>
      </c>
      <c r="AE131" s="322"/>
      <c r="AF131" s="452" t="s">
        <v>301</v>
      </c>
      <c r="AG131" s="324"/>
    </row>
    <row r="132" spans="1:33" ht="15">
      <c r="A132" s="321"/>
      <c r="B132" s="322"/>
      <c r="C132" s="322"/>
      <c r="D132" s="323"/>
      <c r="E132" s="322"/>
      <c r="F132" s="322"/>
      <c r="G132" s="322"/>
      <c r="H132" s="575"/>
      <c r="I132" s="322"/>
      <c r="J132" s="323"/>
      <c r="K132" s="323"/>
      <c r="L132" s="428"/>
      <c r="M132" s="472"/>
      <c r="N132" s="473"/>
      <c r="O132" s="474"/>
      <c r="P132" s="454"/>
      <c r="Q132" s="323"/>
      <c r="R132" s="491"/>
      <c r="S132" s="491"/>
      <c r="T132" s="491"/>
      <c r="U132" s="491"/>
      <c r="V132" s="491"/>
      <c r="W132" s="502"/>
      <c r="X132" s="455"/>
      <c r="Y132" s="490"/>
      <c r="Z132" s="491"/>
      <c r="AA132" s="491"/>
      <c r="AB132" s="491"/>
      <c r="AC132" s="491"/>
      <c r="AD132" s="492"/>
      <c r="AE132" s="322"/>
      <c r="AF132" s="456"/>
      <c r="AG132" s="324"/>
    </row>
    <row r="133" spans="1:33">
      <c r="A133" s="321"/>
      <c r="B133" s="322"/>
      <c r="C133" s="322"/>
      <c r="D133" s="323"/>
      <c r="E133" s="322"/>
      <c r="F133" s="322"/>
      <c r="G133" s="322"/>
      <c r="H133" s="424"/>
      <c r="I133" s="322"/>
      <c r="J133" s="323"/>
      <c r="K133" s="323"/>
      <c r="L133" s="428"/>
      <c r="M133" s="472"/>
      <c r="N133" s="473"/>
      <c r="O133" s="474"/>
      <c r="P133" s="454"/>
      <c r="Q133" s="323"/>
      <c r="R133" s="491"/>
      <c r="S133" s="491"/>
      <c r="T133" s="491"/>
      <c r="U133" s="491"/>
      <c r="V133" s="491"/>
      <c r="W133" s="502"/>
      <c r="X133" s="455"/>
      <c r="Y133" s="490"/>
      <c r="Z133" s="491"/>
      <c r="AA133" s="491"/>
      <c r="AB133" s="491"/>
      <c r="AC133" s="491"/>
      <c r="AD133" s="492"/>
      <c r="AE133" s="322"/>
      <c r="AF133" s="456"/>
      <c r="AG133" s="324"/>
    </row>
    <row r="134" spans="1:33" ht="15">
      <c r="A134" s="321"/>
      <c r="B134" s="322"/>
      <c r="C134" s="322"/>
      <c r="D134" s="323"/>
      <c r="E134" s="322"/>
      <c r="F134" s="322"/>
      <c r="G134" s="322"/>
      <c r="H134" s="424"/>
      <c r="I134" s="322"/>
      <c r="J134" s="323"/>
      <c r="K134" s="323"/>
      <c r="L134" s="428"/>
      <c r="M134" s="472"/>
      <c r="N134" s="473"/>
      <c r="O134" s="474"/>
      <c r="P134" s="454"/>
      <c r="Q134" s="323"/>
      <c r="R134" s="491"/>
      <c r="S134" s="491"/>
      <c r="T134" s="491"/>
      <c r="U134" s="491"/>
      <c r="V134" s="491"/>
      <c r="W134" s="502"/>
      <c r="X134" s="455"/>
      <c r="Y134" s="490"/>
      <c r="Z134" s="491"/>
      <c r="AA134" s="491"/>
      <c r="AB134" s="491"/>
      <c r="AC134" s="491"/>
      <c r="AD134" s="492"/>
      <c r="AE134" s="322"/>
      <c r="AF134" s="456"/>
      <c r="AG134" s="324"/>
    </row>
    <row r="135" spans="1:33" ht="15">
      <c r="A135" s="321"/>
      <c r="B135" s="322"/>
      <c r="C135" s="322"/>
      <c r="D135" s="323"/>
      <c r="E135" s="322"/>
      <c r="F135" s="322"/>
      <c r="G135" s="322"/>
      <c r="H135" s="424"/>
      <c r="I135" s="322"/>
      <c r="J135" s="323"/>
      <c r="K135" s="323"/>
      <c r="L135" s="428"/>
      <c r="M135" s="472"/>
      <c r="N135" s="473"/>
      <c r="O135" s="474"/>
      <c r="P135" s="454"/>
      <c r="Q135" s="323"/>
      <c r="R135" s="491"/>
      <c r="S135" s="491"/>
      <c r="T135" s="491"/>
      <c r="U135" s="491"/>
      <c r="V135" s="491"/>
      <c r="W135" s="502"/>
      <c r="X135" s="455"/>
      <c r="Y135" s="490"/>
      <c r="Z135" s="491"/>
      <c r="AA135" s="491"/>
      <c r="AB135" s="491"/>
      <c r="AC135" s="491"/>
      <c r="AD135" s="492"/>
      <c r="AE135" s="322"/>
      <c r="AF135" s="456"/>
      <c r="AG135" s="324"/>
    </row>
    <row r="136" spans="1:33" ht="15">
      <c r="A136" s="321"/>
      <c r="B136" s="322"/>
      <c r="C136" s="322"/>
      <c r="D136" s="323"/>
      <c r="E136" s="322"/>
      <c r="F136" s="322"/>
      <c r="G136" s="322"/>
      <c r="H136" s="424"/>
      <c r="I136" s="322"/>
      <c r="J136" s="323"/>
      <c r="K136" s="323"/>
      <c r="L136" s="428"/>
      <c r="M136" s="472"/>
      <c r="N136" s="473"/>
      <c r="O136" s="474"/>
      <c r="P136" s="454"/>
      <c r="Q136" s="323"/>
      <c r="R136" s="491"/>
      <c r="S136" s="491"/>
      <c r="T136" s="491"/>
      <c r="U136" s="491"/>
      <c r="V136" s="491"/>
      <c r="W136" s="502"/>
      <c r="X136" s="455"/>
      <c r="Y136" s="490"/>
      <c r="Z136" s="491"/>
      <c r="AA136" s="491"/>
      <c r="AB136" s="491"/>
      <c r="AC136" s="491"/>
      <c r="AD136" s="492"/>
      <c r="AE136" s="322"/>
      <c r="AF136" s="456"/>
      <c r="AG136" s="324"/>
    </row>
    <row r="137" spans="1:33">
      <c r="A137" s="365"/>
      <c r="B137" s="366"/>
      <c r="C137" s="366"/>
      <c r="D137" s="368"/>
      <c r="E137" s="366"/>
      <c r="F137" s="366"/>
      <c r="G137" s="367"/>
      <c r="H137" s="425"/>
      <c r="I137" s="366"/>
      <c r="J137" s="366"/>
      <c r="K137" s="368"/>
      <c r="L137" s="369"/>
      <c r="M137" s="475"/>
      <c r="N137" s="476"/>
      <c r="O137" s="474"/>
      <c r="P137" s="375"/>
      <c r="Q137" s="376"/>
      <c r="R137" s="503"/>
      <c r="S137" s="504"/>
      <c r="T137" s="504"/>
      <c r="U137" s="504"/>
      <c r="V137" s="504"/>
      <c r="W137" s="505"/>
      <c r="X137" s="377"/>
      <c r="Y137" s="493"/>
      <c r="Z137" s="494"/>
      <c r="AA137" s="494"/>
      <c r="AB137" s="494"/>
      <c r="AC137" s="494"/>
      <c r="AD137" s="495"/>
      <c r="AE137" s="381"/>
      <c r="AF137" s="381"/>
      <c r="AG137" s="384"/>
    </row>
    <row r="138" spans="1:33">
      <c r="A138" s="365"/>
      <c r="B138" s="366"/>
      <c r="C138" s="366"/>
      <c r="D138" s="368"/>
      <c r="E138" s="366"/>
      <c r="F138" s="366"/>
      <c r="G138" s="367"/>
      <c r="H138" s="425"/>
      <c r="I138" s="366"/>
      <c r="J138" s="366"/>
      <c r="K138" s="368"/>
      <c r="L138" s="369"/>
      <c r="M138" s="475"/>
      <c r="N138" s="476"/>
      <c r="O138" s="474"/>
      <c r="P138" s="375"/>
      <c r="Q138" s="376"/>
      <c r="R138" s="503"/>
      <c r="S138" s="504"/>
      <c r="T138" s="504"/>
      <c r="U138" s="504"/>
      <c r="V138" s="504"/>
      <c r="W138" s="505"/>
      <c r="X138" s="377"/>
      <c r="Y138" s="493"/>
      <c r="Z138" s="494"/>
      <c r="AA138" s="494"/>
      <c r="AB138" s="494"/>
      <c r="AC138" s="494"/>
      <c r="AD138" s="495"/>
      <c r="AE138" s="381"/>
      <c r="AF138" s="381"/>
      <c r="AG138" s="384"/>
    </row>
    <row r="139" spans="1:33" ht="15" thickBot="1">
      <c r="A139" s="370"/>
      <c r="B139" s="371"/>
      <c r="C139" s="371"/>
      <c r="D139" s="373"/>
      <c r="E139" s="371"/>
      <c r="F139" s="371"/>
      <c r="G139" s="372"/>
      <c r="H139" s="426"/>
      <c r="I139" s="371"/>
      <c r="J139" s="371"/>
      <c r="K139" s="373"/>
      <c r="L139" s="374"/>
      <c r="M139" s="477"/>
      <c r="N139" s="478"/>
      <c r="O139" s="479"/>
      <c r="P139" s="378"/>
      <c r="Q139" s="379"/>
      <c r="R139" s="506"/>
      <c r="S139" s="507"/>
      <c r="T139" s="507"/>
      <c r="U139" s="507"/>
      <c r="V139" s="507"/>
      <c r="W139" s="508"/>
      <c r="X139" s="380"/>
      <c r="Y139" s="496"/>
      <c r="Z139" s="497"/>
      <c r="AA139" s="497"/>
      <c r="AB139" s="497"/>
      <c r="AC139" s="497"/>
      <c r="AD139" s="498"/>
      <c r="AE139" s="382"/>
      <c r="AF139" s="382"/>
      <c r="AG139" s="385"/>
    </row>
    <row r="140" spans="1:33">
      <c r="A140" s="633" t="s">
        <v>652</v>
      </c>
      <c r="B140" s="634"/>
      <c r="C140" s="634"/>
      <c r="D140" s="634"/>
      <c r="E140" s="634"/>
      <c r="F140" s="634"/>
      <c r="G140" s="634"/>
      <c r="H140" s="634"/>
      <c r="I140" s="634"/>
      <c r="J140" s="634"/>
      <c r="K140" s="634"/>
      <c r="L140" s="634"/>
      <c r="M140" s="634"/>
      <c r="N140" s="634"/>
      <c r="O140" s="634"/>
      <c r="P140" s="634"/>
      <c r="Q140" s="634"/>
      <c r="R140" s="634"/>
      <c r="S140" s="634"/>
      <c r="T140" s="634"/>
      <c r="U140" s="634"/>
      <c r="V140" s="634"/>
      <c r="W140" s="634"/>
      <c r="X140" s="634"/>
      <c r="Y140" s="634"/>
      <c r="Z140" s="634"/>
      <c r="AA140" s="634"/>
      <c r="AB140" s="634"/>
      <c r="AC140" s="634"/>
      <c r="AD140" s="634"/>
      <c r="AE140" s="634"/>
      <c r="AF140" s="634"/>
      <c r="AG140" s="635"/>
    </row>
    <row r="141" spans="1:33" ht="15" thickBot="1">
      <c r="A141" s="636"/>
      <c r="B141" s="637"/>
      <c r="C141" s="637"/>
      <c r="D141" s="637"/>
      <c r="E141" s="637"/>
      <c r="F141" s="637"/>
      <c r="G141" s="637"/>
      <c r="H141" s="637"/>
      <c r="I141" s="637"/>
      <c r="J141" s="637"/>
      <c r="K141" s="637"/>
      <c r="L141" s="637"/>
      <c r="M141" s="637"/>
      <c r="N141" s="637"/>
      <c r="O141" s="637"/>
      <c r="P141" s="637"/>
      <c r="Q141" s="637"/>
      <c r="R141" s="637"/>
      <c r="S141" s="637"/>
      <c r="T141" s="637"/>
      <c r="U141" s="637"/>
      <c r="V141" s="637"/>
      <c r="W141" s="637"/>
      <c r="X141" s="637"/>
      <c r="Y141" s="637"/>
      <c r="Z141" s="637"/>
      <c r="AA141" s="637"/>
      <c r="AB141" s="637"/>
      <c r="AC141" s="637"/>
      <c r="AD141" s="637"/>
      <c r="AE141" s="637"/>
      <c r="AF141" s="637"/>
      <c r="AG141" s="638"/>
    </row>
    <row r="142" spans="1:33" ht="18.95" thickBot="1">
      <c r="A142" s="642" t="s">
        <v>247</v>
      </c>
      <c r="B142" s="643"/>
      <c r="C142" s="643"/>
      <c r="D142" s="643"/>
      <c r="E142" s="643"/>
      <c r="F142" s="643"/>
      <c r="G142" s="643"/>
      <c r="H142" s="643"/>
      <c r="I142" s="644"/>
      <c r="J142" s="396">
        <f>SUM(J6:J139)</f>
        <v>126</v>
      </c>
      <c r="K142" s="396">
        <f>SUM(K6:K139)</f>
        <v>390</v>
      </c>
      <c r="L142" s="397"/>
      <c r="M142" s="480">
        <f>SUMPRODUCT(J6:J139,M6:M139)/J142</f>
        <v>1</v>
      </c>
      <c r="N142" s="481">
        <f>SUM(N6:N139)</f>
        <v>390</v>
      </c>
      <c r="O142" s="482">
        <f>SUMPRODUCT(J6:J139,O6:O139)/J142</f>
        <v>1</v>
      </c>
      <c r="P142" s="398"/>
      <c r="Q142" s="399">
        <f t="shared" ref="Q142:V142" si="30">SUM(Q6:Q139)</f>
        <v>390</v>
      </c>
      <c r="R142" s="483">
        <f t="shared" si="30"/>
        <v>390</v>
      </c>
      <c r="S142" s="483">
        <f t="shared" si="30"/>
        <v>226</v>
      </c>
      <c r="T142" s="399">
        <f t="shared" si="30"/>
        <v>0</v>
      </c>
      <c r="U142" s="399">
        <f t="shared" si="30"/>
        <v>164</v>
      </c>
      <c r="V142" s="399">
        <f t="shared" si="30"/>
        <v>0</v>
      </c>
      <c r="W142" s="484">
        <f>IF((R142=0),0,((S142+T142)/R142*100%))</f>
        <v>0.57948717948717954</v>
      </c>
      <c r="X142" s="400"/>
      <c r="Y142" s="485">
        <f>SUM(Y6:Y139)</f>
        <v>0</v>
      </c>
      <c r="Z142" s="486">
        <f>SUM(Z6:Z139)</f>
        <v>0</v>
      </c>
      <c r="AA142" s="486">
        <f>SUM(AA6:AA139)</f>
        <v>0</v>
      </c>
      <c r="AB142" s="486">
        <f>SUM(AB6:AB139)</f>
        <v>0</v>
      </c>
      <c r="AC142" s="486">
        <f>SUM(AC6:AC139)</f>
        <v>0</v>
      </c>
      <c r="AD142" s="487">
        <f>IF((Y142=0),0,((Z142+AA142)/Y142*100%))</f>
        <v>0</v>
      </c>
      <c r="AE142" s="401"/>
      <c r="AF142" s="401"/>
      <c r="AG142" s="402"/>
    </row>
    <row r="144" spans="1:33">
      <c r="K144" s="170" t="s">
        <v>653</v>
      </c>
    </row>
    <row r="145" ht="15"/>
    <row r="146" ht="15"/>
    <row r="147" ht="15"/>
    <row r="148" ht="15"/>
    <row r="149" ht="15"/>
    <row r="150" ht="15"/>
    <row r="151" ht="15"/>
  </sheetData>
  <sheetProtection insertColumns="0" insertRows="0" deleteRows="0" sort="0"/>
  <mergeCells count="9">
    <mergeCell ref="A140:AG141"/>
    <mergeCell ref="A1:AG1"/>
    <mergeCell ref="A3:AG3"/>
    <mergeCell ref="A2:I2"/>
    <mergeCell ref="A142:I142"/>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P137:P139</xm:sqref>
        </x14:dataValidation>
        <x14:dataValidation type="list" allowBlank="1" showInputMessage="1" showErrorMessage="1" xr:uid="{237AC15D-702E-46B4-89E7-DAB1EF5DAEB1}">
          <x14:formula1>
            <xm:f>'List Options'!$E$1:$E$7</xm:f>
          </x14:formula1>
          <xm:sqref>P6:P136</xm:sqref>
        </x14:dataValidation>
        <x14:dataValidation type="list" allowBlank="1" showInputMessage="1" showErrorMessage="1" xr:uid="{5513F172-4253-4807-A8CE-34D720193895}">
          <x14:formula1>
            <xm:f>'List Options'!$G$1:$G$3</xm:f>
          </x14:formula1>
          <xm:sqref>L6:L139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F11" sqref="F11"/>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58" t="s">
        <v>654</v>
      </c>
      <c r="B1" s="659"/>
      <c r="C1" s="659"/>
      <c r="D1" s="659"/>
      <c r="E1" s="659"/>
      <c r="F1" s="659"/>
      <c r="G1" s="659"/>
      <c r="H1" s="659"/>
      <c r="I1" s="659"/>
      <c r="J1" s="659"/>
      <c r="K1" s="659"/>
      <c r="L1" s="659"/>
      <c r="M1" s="659"/>
      <c r="N1" s="659"/>
      <c r="O1" s="659"/>
      <c r="P1" s="659"/>
      <c r="Q1" s="659"/>
      <c r="R1" s="659"/>
      <c r="S1" s="659"/>
      <c r="T1" s="659"/>
      <c r="U1" s="659"/>
      <c r="V1" s="660"/>
    </row>
    <row r="2" spans="1:22" ht="15" thickBot="1">
      <c r="A2" s="216" t="s">
        <v>655</v>
      </c>
      <c r="B2" s="661" t="s">
        <v>161</v>
      </c>
      <c r="C2" s="661"/>
      <c r="D2" s="661"/>
      <c r="E2" s="661"/>
      <c r="F2" s="661"/>
      <c r="G2" s="662" t="s">
        <v>172</v>
      </c>
      <c r="H2" s="663"/>
      <c r="I2" s="663"/>
      <c r="J2" s="663"/>
      <c r="K2" s="663"/>
      <c r="L2" s="663"/>
      <c r="M2" s="663"/>
      <c r="N2" s="664"/>
      <c r="O2" s="665" t="s">
        <v>139</v>
      </c>
      <c r="P2" s="666"/>
      <c r="Q2" s="666"/>
      <c r="R2" s="666"/>
      <c r="S2" s="666"/>
      <c r="T2" s="666"/>
      <c r="U2" s="666"/>
      <c r="V2" s="667"/>
    </row>
    <row r="3" spans="1:22" s="249" customFormat="1" ht="15" thickBot="1">
      <c r="A3" s="253" t="s">
        <v>83</v>
      </c>
      <c r="B3" s="310" t="s">
        <v>162</v>
      </c>
      <c r="C3" s="311" t="s">
        <v>123</v>
      </c>
      <c r="D3" s="312" t="s">
        <v>100</v>
      </c>
      <c r="E3" s="312" t="s">
        <v>168</v>
      </c>
      <c r="F3" s="313" t="s">
        <v>170</v>
      </c>
      <c r="G3" s="314" t="s">
        <v>127</v>
      </c>
      <c r="H3" s="315" t="s">
        <v>30</v>
      </c>
      <c r="I3" s="315" t="s">
        <v>130</v>
      </c>
      <c r="J3" s="315" t="s">
        <v>35</v>
      </c>
      <c r="K3" s="315" t="s">
        <v>133</v>
      </c>
      <c r="L3" s="315" t="s">
        <v>179</v>
      </c>
      <c r="M3" s="315" t="s">
        <v>135</v>
      </c>
      <c r="N3" s="316" t="s">
        <v>182</v>
      </c>
      <c r="O3" s="317" t="s">
        <v>127</v>
      </c>
      <c r="P3" s="318" t="s">
        <v>30</v>
      </c>
      <c r="Q3" s="318" t="s">
        <v>130</v>
      </c>
      <c r="R3" s="318" t="s">
        <v>35</v>
      </c>
      <c r="S3" s="318" t="s">
        <v>133</v>
      </c>
      <c r="T3" s="318" t="s">
        <v>179</v>
      </c>
      <c r="U3" s="318" t="s">
        <v>135</v>
      </c>
      <c r="V3" s="319" t="s">
        <v>182</v>
      </c>
    </row>
    <row r="4" spans="1:22">
      <c r="A4" s="333" t="s">
        <v>255</v>
      </c>
      <c r="B4" s="250">
        <f>SUMIFS('Diags Raw Data'!$K$6:$K$4756,'Diags Raw Data'!$D$6:$D$4756,$A4)</f>
        <v>215</v>
      </c>
      <c r="C4" s="240">
        <f>SUMIFS('Diags Raw Data'!$Q$6:$Q$4756,'Diags Raw Data'!$D$6:$D$4756,$A4)</f>
        <v>215</v>
      </c>
      <c r="D4" s="240">
        <f>SUMIFS('Diags Raw Data'!$J$6:$J$4756,'Diags Raw Data'!$D$6:$D$4756,$A4)</f>
        <v>81</v>
      </c>
      <c r="E4" s="240">
        <f>SUMIFS('Diags Raw Data'!$N$6:$N$4756,'Diags Raw Data'!$D$6:$D$4756,$A4)</f>
        <v>215</v>
      </c>
      <c r="F4" s="246">
        <f>IF(NOT($B4=0), E4/$B4, "---")</f>
        <v>1</v>
      </c>
      <c r="G4" s="218">
        <f>SUMIFS('Diags Raw Data'!$R$6:$R$4756,'Diags Raw Data'!$D$6:$D$4756,$A4)</f>
        <v>215</v>
      </c>
      <c r="H4" s="219">
        <f>SUMIFS('Diags Raw Data'!$S$6:$S$4756,'Diags Raw Data'!$D$6:$D$4756,$A4)</f>
        <v>120</v>
      </c>
      <c r="I4" s="221">
        <f>SUMIFS('Diags Raw Data'!$T$6:$T$4756,'Diags Raw Data'!$D$6:$D$4756,$A4)</f>
        <v>0</v>
      </c>
      <c r="J4" s="219">
        <f>SUMIFS('Diags Raw Data'!$U$6:$U$4756,'Diags Raw Data'!$D$6:$D$4756,$A4)</f>
        <v>95</v>
      </c>
      <c r="K4" s="221">
        <f>SUMIFS('Diags Raw Data'!$V$6:$V$4756,'Diags Raw Data'!$D$6:$D$4756,$A4)</f>
        <v>0</v>
      </c>
      <c r="L4" s="220">
        <f>IF(NOT($C4=0), G4/$C4, "---")</f>
        <v>1</v>
      </c>
      <c r="M4" s="222">
        <f>IF(NOT($G4=0), (H4+I4)/$G4, "---")</f>
        <v>0.55813953488372092</v>
      </c>
      <c r="N4" s="224">
        <f>IF(NOT($C4=0), (H4+I4)/$C4, "---")</f>
        <v>0.55813953488372092</v>
      </c>
      <c r="O4" s="211">
        <f>SUMIFS('Diags Raw Data'!$Y$6:$Y$4756,'Diags Raw Data'!$D$6:$D$4756,$A4)</f>
        <v>0</v>
      </c>
      <c r="P4" s="208">
        <f>SUMIFS('Diags Raw Data'!$Z$6:$Z$4756,'Diags Raw Data'!$D$6:$D$4756,$A4)</f>
        <v>0</v>
      </c>
      <c r="Q4" s="210">
        <f>SUMIFS('Diags Raw Data'!$AA$6:$AA$4756,'Diags Raw Data'!$D$6:$D$4756,$A4)</f>
        <v>0</v>
      </c>
      <c r="R4" s="208">
        <f>SUMIFS('Diags Raw Data'!$AB$6:$AB$4756,'Diags Raw Data'!$D$6:$D$4756,$A4)</f>
        <v>0</v>
      </c>
      <c r="S4" s="210">
        <f>SUMIFS('Diags Raw Data'!$AC$6:$AC$4756,'Diags Raw Data'!$D$6:$D$4756,$A4)</f>
        <v>0</v>
      </c>
      <c r="T4" s="209">
        <f>IF(NOT($B4=0), O4/$B4, "---")</f>
        <v>0</v>
      </c>
      <c r="U4" s="223" t="str">
        <f>IF(NOT($O4=0), (P4+Q4)/$O4, "---")</f>
        <v>---</v>
      </c>
      <c r="V4" s="239">
        <f>IF(NOT($B4=0), (P4+Q4)/$B4, "---")</f>
        <v>0</v>
      </c>
    </row>
    <row r="5" spans="1:22">
      <c r="A5" s="333" t="s">
        <v>656</v>
      </c>
      <c r="B5" s="251">
        <f>SUMIFS('Diags Raw Data'!$K$6:$K$4756,'Diags Raw Data'!$D$6:$D$4756,$A5)</f>
        <v>0</v>
      </c>
      <c r="C5" s="241">
        <f>SUMIFS('Diags Raw Data'!$Q$6:$Q$4756,'Diags Raw Data'!$D$6:$D$4756,$A5)</f>
        <v>0</v>
      </c>
      <c r="D5" s="241">
        <f>SUMIFS('Diags Raw Data'!$J$6:$J$4756,'Diags Raw Data'!$D$6:$D$4756,$A5)</f>
        <v>0</v>
      </c>
      <c r="E5" s="241">
        <f>SUMIFS('Diags Raw Data'!$N$6:$N$4756,'Diags Raw Data'!$D$6:$D$4756,$A5)</f>
        <v>0</v>
      </c>
      <c r="F5" s="247" t="str">
        <f t="shared" ref="F5:F12" si="0">IF(NOT($B5=0), E5/$B5, "---")</f>
        <v>---</v>
      </c>
      <c r="G5" s="229">
        <f>SUMIFS('Diags Raw Data'!$R$6:$R$4756,'Diags Raw Data'!$D$6:$D$4756,$A5)</f>
        <v>0</v>
      </c>
      <c r="H5" s="225">
        <f>SUMIFS('Diags Raw Data'!$S$6:$S$4756,'Diags Raw Data'!$D$6:$D$4756,$A5)</f>
        <v>0</v>
      </c>
      <c r="I5" s="226">
        <f>SUMIFS('Diags Raw Data'!$T$6:$T$4756,'Diags Raw Data'!$D$6:$D$4756,$A5)</f>
        <v>0</v>
      </c>
      <c r="J5" s="225">
        <f>SUMIFS('Diags Raw Data'!$U$6:$U$4756,'Diags Raw Data'!$D$6:$D$4756,$A5)</f>
        <v>0</v>
      </c>
      <c r="K5" s="226">
        <f>SUMIFS('Diags Raw Data'!$V$6:$V$4756,'Diags Raw Data'!$D$6:$D$4756,$A5)</f>
        <v>0</v>
      </c>
      <c r="L5" s="242" t="str">
        <f t="shared" ref="L5:L13" si="1">IF(NOT($C5=0), G5/$C5, "---")</f>
        <v>---</v>
      </c>
      <c r="M5" s="227" t="str">
        <f t="shared" ref="M5:M13" si="2">IF(NOT($G5=0), (H5+I5)/$G5, "---")</f>
        <v>---</v>
      </c>
      <c r="N5" s="236" t="str">
        <f t="shared" ref="N5:N12" si="3">IF(NOT($C5=0), (H5+I5)/$C5, "---")</f>
        <v>---</v>
      </c>
      <c r="O5" s="212">
        <f>SUMIFS('Diags Raw Data'!$Y$6:$Y$4756,'Diags Raw Data'!$D$6:$D$4756,$A5)</f>
        <v>0</v>
      </c>
      <c r="P5" s="202">
        <f>SUMIFS('Diags Raw Data'!$Z$6:$Z$4756,'Diags Raw Data'!$D$6:$D$4756,$A5)</f>
        <v>0</v>
      </c>
      <c r="Q5" s="204">
        <f>SUMIFS('Diags Raw Data'!$AA$6:$AA$4756,'Diags Raw Data'!$D$6:$D$4756,$A5)</f>
        <v>0</v>
      </c>
      <c r="R5" s="202">
        <f>SUMIFS('Diags Raw Data'!$AB$6:$AB$4756,'Diags Raw Data'!$D$6:$D$4756,$A5)</f>
        <v>0</v>
      </c>
      <c r="S5" s="204">
        <f>SUMIFS('Diags Raw Data'!$AC$6:$AC$4756,'Diags Raw Data'!$D$6:$D$4756,$A5)</f>
        <v>0</v>
      </c>
      <c r="T5" s="203" t="str">
        <f t="shared" ref="T5:T13" si="4">IF(NOT($B5=0), O5/$B5, "---")</f>
        <v>---</v>
      </c>
      <c r="U5" s="228" t="str">
        <f t="shared" ref="U5:U8" si="5">IF(NOT($O5=0), (P5+Q5)/$O5, "---")</f>
        <v>---</v>
      </c>
      <c r="V5" s="230" t="str">
        <f t="shared" ref="V5:V13" si="6">IF(NOT($B5=0), (P5+Q5)/$B5, "---")</f>
        <v>---</v>
      </c>
    </row>
    <row r="6" spans="1:22">
      <c r="A6" s="333" t="s">
        <v>511</v>
      </c>
      <c r="B6" s="251">
        <f>SUMIFS('Diags Raw Data'!$K$6:$K$4756,'Diags Raw Data'!$D$6:$D$4756,$A6)</f>
        <v>139</v>
      </c>
      <c r="C6" s="241">
        <f>SUMIFS('Diags Raw Data'!$Q$6:$Q$4756,'Diags Raw Data'!$D$6:$D$4756,$A6)</f>
        <v>139</v>
      </c>
      <c r="D6" s="241">
        <f>SUMIFS('Diags Raw Data'!$J$6:$J$4756,'Diags Raw Data'!$D$6:$D$4756,$A6)</f>
        <v>40</v>
      </c>
      <c r="E6" s="241">
        <f>SUMIFS('Diags Raw Data'!$N$6:$N$4756,'Diags Raw Data'!$D$6:$D$4756,$A6)</f>
        <v>139</v>
      </c>
      <c r="F6" s="247">
        <f t="shared" si="0"/>
        <v>1</v>
      </c>
      <c r="G6" s="229">
        <f>SUMIFS('Diags Raw Data'!$R$6:$R$4756,'Diags Raw Data'!$D$6:$D$4756,$A6)</f>
        <v>139</v>
      </c>
      <c r="H6" s="225">
        <f>SUMIFS('Diags Raw Data'!$S$6:$S$4756,'Diags Raw Data'!$D$6:$D$4756,$A6)</f>
        <v>82</v>
      </c>
      <c r="I6" s="226">
        <f>SUMIFS('Diags Raw Data'!$T$6:$T$4756,'Diags Raw Data'!$D$6:$D$4756,$A6)</f>
        <v>0</v>
      </c>
      <c r="J6" s="225">
        <f>SUMIFS('Diags Raw Data'!$U$6:$U$4756,'Diags Raw Data'!$D$6:$D$4756,$A6)</f>
        <v>57</v>
      </c>
      <c r="K6" s="226">
        <f>SUMIFS('Diags Raw Data'!$V$6:$V$4756,'Diags Raw Data'!$D$6:$D$4756,$A6)</f>
        <v>0</v>
      </c>
      <c r="L6" s="242">
        <f t="shared" si="1"/>
        <v>1</v>
      </c>
      <c r="M6" s="227">
        <f t="shared" si="2"/>
        <v>0.58992805755395683</v>
      </c>
      <c r="N6" s="236">
        <f t="shared" si="3"/>
        <v>0.58992805755395683</v>
      </c>
      <c r="O6" s="212">
        <f>SUMIFS('Diags Raw Data'!$Y$6:$Y$4756,'Diags Raw Data'!$D$6:$D$4756,$A6)</f>
        <v>0</v>
      </c>
      <c r="P6" s="202">
        <f>SUMIFS('Diags Raw Data'!$Z$6:$Z$4756,'Diags Raw Data'!$D$6:$D$4756,$A6)</f>
        <v>0</v>
      </c>
      <c r="Q6" s="204">
        <f>SUMIFS('Diags Raw Data'!$AA$6:$AA$4756,'Diags Raw Data'!$D$6:$D$4756,$A6)</f>
        <v>0</v>
      </c>
      <c r="R6" s="202">
        <f>SUMIFS('Diags Raw Data'!$AB$6:$AB$4756,'Diags Raw Data'!$D$6:$D$4756,$A6)</f>
        <v>0</v>
      </c>
      <c r="S6" s="204">
        <f>SUMIFS('Diags Raw Data'!$AC$6:$AC$4756,'Diags Raw Data'!$D$6:$D$4756,$A6)</f>
        <v>0</v>
      </c>
      <c r="T6" s="203">
        <f t="shared" si="4"/>
        <v>0</v>
      </c>
      <c r="U6" s="228" t="str">
        <f t="shared" si="5"/>
        <v>---</v>
      </c>
      <c r="V6" s="230">
        <f t="shared" si="6"/>
        <v>0</v>
      </c>
    </row>
    <row r="7" spans="1:22">
      <c r="A7" s="333" t="s">
        <v>633</v>
      </c>
      <c r="B7" s="251">
        <f>SUMIFS('Diags Raw Data'!$K$6:$K$4756,'Diags Raw Data'!$D$6:$D$4756,$A7)</f>
        <v>36</v>
      </c>
      <c r="C7" s="241">
        <f>SUMIFS('Diags Raw Data'!$Q$6:$Q$4756,'Diags Raw Data'!$D$6:$D$4756,$A7)</f>
        <v>36</v>
      </c>
      <c r="D7" s="241">
        <f>SUMIFS('Diags Raw Data'!$J$6:$J$4756,'Diags Raw Data'!$D$6:$D$4756,$A7)</f>
        <v>5</v>
      </c>
      <c r="E7" s="241">
        <f>SUMIFS('Diags Raw Data'!$N$6:$N$4756,'Diags Raw Data'!$D$6:$D$4756,$A7)</f>
        <v>36</v>
      </c>
      <c r="F7" s="247">
        <f t="shared" si="0"/>
        <v>1</v>
      </c>
      <c r="G7" s="229">
        <f>SUMIFS('Diags Raw Data'!$R$6:$R$4756,'Diags Raw Data'!$D$6:$D$4756,$A7)</f>
        <v>36</v>
      </c>
      <c r="H7" s="225">
        <f>SUMIFS('Diags Raw Data'!$S$6:$S$4756,'Diags Raw Data'!$D$6:$D$4756,$A7)</f>
        <v>24</v>
      </c>
      <c r="I7" s="226">
        <f>SUMIFS('Diags Raw Data'!$T$6:$T$4756,'Diags Raw Data'!$D$6:$D$4756,$A7)</f>
        <v>0</v>
      </c>
      <c r="J7" s="225">
        <f>SUMIFS('Diags Raw Data'!$U$6:$U$4756,'Diags Raw Data'!$D$6:$D$4756,$A7)</f>
        <v>12</v>
      </c>
      <c r="K7" s="226">
        <f>SUMIFS('Diags Raw Data'!$V$6:$V$4756,'Diags Raw Data'!$D$6:$D$4756,$A7)</f>
        <v>0</v>
      </c>
      <c r="L7" s="242">
        <f t="shared" si="1"/>
        <v>1</v>
      </c>
      <c r="M7" s="227">
        <f t="shared" si="2"/>
        <v>0.66666666666666663</v>
      </c>
      <c r="N7" s="236">
        <f t="shared" si="3"/>
        <v>0.66666666666666663</v>
      </c>
      <c r="O7" s="212">
        <f>SUMIFS('Diags Raw Data'!$Y$6:$Y$4756,'Diags Raw Data'!$D$6:$D$4756,$A7)</f>
        <v>0</v>
      </c>
      <c r="P7" s="202">
        <f>SUMIFS('Diags Raw Data'!$Z$6:$Z$4756,'Diags Raw Data'!$D$6:$D$4756,$A7)</f>
        <v>0</v>
      </c>
      <c r="Q7" s="204">
        <f>SUMIFS('Diags Raw Data'!$AA$6:$AA$4756,'Diags Raw Data'!$D$6:$D$4756,$A7)</f>
        <v>0</v>
      </c>
      <c r="R7" s="202">
        <f>SUMIFS('Diags Raw Data'!$AB$6:$AB$4756,'Diags Raw Data'!$D$6:$D$4756,$A7)</f>
        <v>0</v>
      </c>
      <c r="S7" s="204">
        <f>SUMIFS('Diags Raw Data'!$AC$6:$AC$4756,'Diags Raw Data'!$D$6:$D$4756,$A7)</f>
        <v>0</v>
      </c>
      <c r="T7" s="203">
        <f t="shared" si="4"/>
        <v>0</v>
      </c>
      <c r="U7" s="228" t="str">
        <f t="shared" si="5"/>
        <v>---</v>
      </c>
      <c r="V7" s="230">
        <f t="shared" si="6"/>
        <v>0</v>
      </c>
    </row>
    <row r="8" spans="1:22">
      <c r="A8" s="333" t="s">
        <v>657</v>
      </c>
      <c r="B8" s="251">
        <f>SUMIFS('Diags Raw Data'!$K$6:$K$4756,'Diags Raw Data'!$D$6:$D$4756,$A8)</f>
        <v>0</v>
      </c>
      <c r="C8" s="241">
        <f>SUMIFS('Diags Raw Data'!$Q$6:$Q$4756,'Diags Raw Data'!$D$6:$D$4756,$A8)</f>
        <v>0</v>
      </c>
      <c r="D8" s="241">
        <f>SUMIFS('Diags Raw Data'!$J$6:$J$4756,'Diags Raw Data'!$D$6:$D$4756,$A8)</f>
        <v>0</v>
      </c>
      <c r="E8" s="241">
        <f>SUMIFS('Diags Raw Data'!$N$6:$N$4756,'Diags Raw Data'!$D$6:$D$4756,$A8)</f>
        <v>0</v>
      </c>
      <c r="F8" s="247" t="str">
        <f t="shared" si="0"/>
        <v>---</v>
      </c>
      <c r="G8" s="229">
        <f>SUMIFS('Diags Raw Data'!$R$6:$R$4756,'Diags Raw Data'!$D$6:$D$4756,$A8)</f>
        <v>0</v>
      </c>
      <c r="H8" s="225">
        <f>SUMIFS('Diags Raw Data'!$S$6:$S$4756,'Diags Raw Data'!$D$6:$D$4756,$A8)</f>
        <v>0</v>
      </c>
      <c r="I8" s="226">
        <f>SUMIFS('Diags Raw Data'!$T$6:$T$4756,'Diags Raw Data'!$D$6:$D$4756,$A8)</f>
        <v>0</v>
      </c>
      <c r="J8" s="225">
        <f>SUMIFS('Diags Raw Data'!$U$6:$U$4756,'Diags Raw Data'!$D$6:$D$4756,$A8)</f>
        <v>0</v>
      </c>
      <c r="K8" s="226">
        <f>SUMIFS('Diags Raw Data'!$V$6:$V$4756,'Diags Raw Data'!$D$6:$D$4756,$A8)</f>
        <v>0</v>
      </c>
      <c r="L8" s="242" t="str">
        <f t="shared" si="1"/>
        <v>---</v>
      </c>
      <c r="M8" s="227" t="str">
        <f t="shared" si="2"/>
        <v>---</v>
      </c>
      <c r="N8" s="236" t="str">
        <f t="shared" si="3"/>
        <v>---</v>
      </c>
      <c r="O8" s="212">
        <f>SUMIFS('Diags Raw Data'!$Y$6:$Y$4756,'Diags Raw Data'!$D$6:$D$4756,$A8)</f>
        <v>0</v>
      </c>
      <c r="P8" s="202">
        <f>SUMIFS('Diags Raw Data'!$Z$6:$Z$4756,'Diags Raw Data'!$D$6:$D$4756,$A8)</f>
        <v>0</v>
      </c>
      <c r="Q8" s="204">
        <f>SUMIFS('Diags Raw Data'!$AA$6:$AA$4756,'Diags Raw Data'!$D$6:$D$4756,$A8)</f>
        <v>0</v>
      </c>
      <c r="R8" s="202">
        <f>SUMIFS('Diags Raw Data'!$AB$6:$AB$4756,'Diags Raw Data'!$D$6:$D$4756,$A8)</f>
        <v>0</v>
      </c>
      <c r="S8" s="204">
        <f>SUMIFS('Diags Raw Data'!$AC$6:$AC$4756,'Diags Raw Data'!$D$6:$D$4756,$A8)</f>
        <v>0</v>
      </c>
      <c r="T8" s="203" t="str">
        <f t="shared" si="4"/>
        <v>---</v>
      </c>
      <c r="U8" s="228" t="str">
        <f t="shared" si="5"/>
        <v>---</v>
      </c>
      <c r="V8" s="230" t="str">
        <f t="shared" si="6"/>
        <v>---</v>
      </c>
    </row>
    <row r="9" spans="1:22">
      <c r="A9" s="333" t="s">
        <v>658</v>
      </c>
      <c r="B9" s="251">
        <f>SUMIFS('Diags Raw Data'!$K$6:$K$4756,'Diags Raw Data'!$D$6:$D$4756,$A9)</f>
        <v>0</v>
      </c>
      <c r="C9" s="241">
        <f>SUMIFS('Diags Raw Data'!$Q$6:$Q$4756,'Diags Raw Data'!$D$6:$D$4756,$A9)</f>
        <v>0</v>
      </c>
      <c r="D9" s="241">
        <f>SUMIFS('Diags Raw Data'!$J$6:$J$4756,'Diags Raw Data'!$D$6:$D$4756,$A9)</f>
        <v>0</v>
      </c>
      <c r="E9" s="241">
        <f>SUMIFS('Diags Raw Data'!$N$6:$N$4756,'Diags Raw Data'!$D$6:$D$4756,$A9)</f>
        <v>0</v>
      </c>
      <c r="F9" s="247" t="str">
        <f t="shared" si="0"/>
        <v>---</v>
      </c>
      <c r="G9" s="229">
        <f>SUMIFS('Diags Raw Data'!$R$6:$R$4756,'Diags Raw Data'!$D$6:$D$4756,$A9)</f>
        <v>0</v>
      </c>
      <c r="H9" s="225">
        <f>SUMIFS('Diags Raw Data'!$S$6:$S$4756,'Diags Raw Data'!$D$6:$D$4756,$A9)</f>
        <v>0</v>
      </c>
      <c r="I9" s="226">
        <f>SUMIFS('Diags Raw Data'!$T$6:$T$4756,'Diags Raw Data'!$D$6:$D$4756,$A9)</f>
        <v>0</v>
      </c>
      <c r="J9" s="225">
        <f>SUMIFS('Diags Raw Data'!$U$6:$U$4756,'Diags Raw Data'!$D$6:$D$4756,$A9)</f>
        <v>0</v>
      </c>
      <c r="K9" s="226">
        <f>SUMIFS('Diags Raw Data'!$V$6:$V$4756,'Diags Raw Data'!$D$6:$D$4756,$A9)</f>
        <v>0</v>
      </c>
      <c r="L9" s="242" t="str">
        <f t="shared" si="1"/>
        <v>---</v>
      </c>
      <c r="M9" s="227" t="str">
        <f t="shared" si="2"/>
        <v>---</v>
      </c>
      <c r="N9" s="236" t="str">
        <f t="shared" si="3"/>
        <v>---</v>
      </c>
      <c r="O9" s="212">
        <f>SUMIFS('Diags Raw Data'!$Y$6:$Y$4756,'Diags Raw Data'!$D$6:$D$4756,$A9)</f>
        <v>0</v>
      </c>
      <c r="P9" s="202">
        <f>SUMIFS('Diags Raw Data'!$Z$6:$Z$4756,'Diags Raw Data'!$D$6:$D$4756,$A9)</f>
        <v>0</v>
      </c>
      <c r="Q9" s="204">
        <f>SUMIFS('Diags Raw Data'!$AA$6:$AA$4756,'Diags Raw Data'!$D$6:$D$4756,$A9)</f>
        <v>0</v>
      </c>
      <c r="R9" s="202">
        <f>SUMIFS('Diags Raw Data'!$AB$6:$AB$4756,'Diags Raw Data'!$D$6:$D$4756,$A9)</f>
        <v>0</v>
      </c>
      <c r="S9" s="204">
        <f>SUMIFS('Diags Raw Data'!$AC$6:$AC$4756,'Diags Raw Data'!$D$6:$D$4756,$A9)</f>
        <v>0</v>
      </c>
      <c r="T9" s="203" t="str">
        <f t="shared" si="4"/>
        <v>---</v>
      </c>
      <c r="U9" s="228" t="str">
        <f>IF(NOT($O9=0), (P9+Q9)/$O9, "---")</f>
        <v>---</v>
      </c>
      <c r="V9" s="230" t="str">
        <f t="shared" si="6"/>
        <v>---</v>
      </c>
    </row>
    <row r="10" spans="1:22">
      <c r="A10" s="333" t="s">
        <v>659</v>
      </c>
      <c r="B10" s="251">
        <f>SUMIFS('Diags Raw Data'!$K$6:$K$4756,'Diags Raw Data'!$D$6:$D$4756,$A10)</f>
        <v>0</v>
      </c>
      <c r="C10" s="241">
        <f>SUMIFS('Diags Raw Data'!$Q$6:$Q$4756,'Diags Raw Data'!$D$6:$D$4756,$A10)</f>
        <v>0</v>
      </c>
      <c r="D10" s="241">
        <f>SUMIFS('Diags Raw Data'!$J$6:$J$4756,'Diags Raw Data'!$D$6:$D$4756,$A10)</f>
        <v>0</v>
      </c>
      <c r="E10" s="241">
        <f>SUMIFS('Diags Raw Data'!$N$6:$N$4756,'Diags Raw Data'!$D$6:$D$4756,$A10)</f>
        <v>0</v>
      </c>
      <c r="F10" s="247" t="str">
        <f>IF(NOT($B10=0), E10/$B10, "---")</f>
        <v>---</v>
      </c>
      <c r="G10" s="229">
        <f>SUMIFS('Diags Raw Data'!$R$6:$R$4756,'Diags Raw Data'!$D$6:$D$4756,$A10)</f>
        <v>0</v>
      </c>
      <c r="H10" s="225">
        <f>SUMIFS('Diags Raw Data'!$S$6:$S$4756,'Diags Raw Data'!$D$6:$D$4756,$A10)</f>
        <v>0</v>
      </c>
      <c r="I10" s="226">
        <f>SUMIFS('Diags Raw Data'!$T$6:$T$4756,'Diags Raw Data'!$D$6:$D$4756,$A10)</f>
        <v>0</v>
      </c>
      <c r="J10" s="225">
        <f>SUMIFS('Diags Raw Data'!$U$6:$U$4756,'Diags Raw Data'!$D$6:$D$4756,$A10)</f>
        <v>0</v>
      </c>
      <c r="K10" s="226">
        <f>SUMIFS('Diags Raw Data'!$V$6:$V$4756,'Diags Raw Data'!$D$6:$D$4756,$A10)</f>
        <v>0</v>
      </c>
      <c r="L10" s="242" t="str">
        <f t="shared" si="1"/>
        <v>---</v>
      </c>
      <c r="M10" s="227" t="str">
        <f t="shared" si="2"/>
        <v>---</v>
      </c>
      <c r="N10" s="236" t="str">
        <f t="shared" si="3"/>
        <v>---</v>
      </c>
      <c r="O10" s="212">
        <f>SUMIFS('Diags Raw Data'!$Y$6:$Y$4756,'Diags Raw Data'!$D$6:$D$4756,$A10)</f>
        <v>0</v>
      </c>
      <c r="P10" s="202">
        <f>SUMIFS('Diags Raw Data'!$Z$6:$Z$4756,'Diags Raw Data'!$D$6:$D$4756,$A10)</f>
        <v>0</v>
      </c>
      <c r="Q10" s="204">
        <f>SUMIFS('Diags Raw Data'!$AA$6:$AA$4756,'Diags Raw Data'!$D$6:$D$4756,$A10)</f>
        <v>0</v>
      </c>
      <c r="R10" s="202">
        <f>SUMIFS('Diags Raw Data'!$AB$6:$AB$4756,'Diags Raw Data'!$D$6:$D$4756,$A10)</f>
        <v>0</v>
      </c>
      <c r="S10" s="204">
        <f>SUMIFS('Diags Raw Data'!$AC$6:$AC$4756,'Diags Raw Data'!$D$6:$D$4756,$A10)</f>
        <v>0</v>
      </c>
      <c r="T10" s="203" t="str">
        <f t="shared" si="4"/>
        <v>---</v>
      </c>
      <c r="U10" s="228" t="str">
        <f t="shared" ref="U10:U13" si="7">IF(NOT($O10=0), (P10+Q10)/$O10, "---")</f>
        <v>---</v>
      </c>
      <c r="V10" s="230" t="str">
        <f t="shared" si="6"/>
        <v>---</v>
      </c>
    </row>
    <row r="11" spans="1:22">
      <c r="A11" s="333" t="s">
        <v>660</v>
      </c>
      <c r="B11" s="251">
        <f>SUMIFS('Diags Raw Data'!$K$6:$K$4756,'Diags Raw Data'!$D$6:$D$4756,$A11)</f>
        <v>0</v>
      </c>
      <c r="C11" s="241">
        <f>SUMIFS('Diags Raw Data'!$Q$6:$Q$4756,'Diags Raw Data'!$D$6:$D$4756,$A11)</f>
        <v>0</v>
      </c>
      <c r="D11" s="241">
        <f>SUMIFS('Diags Raw Data'!$J$6:$J$4756,'Diags Raw Data'!$D$6:$D$4756,$A11)</f>
        <v>0</v>
      </c>
      <c r="E11" s="241">
        <f>SUMIFS('Diags Raw Data'!$N$6:$N$4756,'Diags Raw Data'!$D$6:$D$4756,$A11)</f>
        <v>0</v>
      </c>
      <c r="F11" s="247" t="str">
        <f t="shared" si="0"/>
        <v>---</v>
      </c>
      <c r="G11" s="229">
        <f>SUMIFS('Diags Raw Data'!$R$6:$R$4756,'Diags Raw Data'!$D$6:$D$4756,$A11)</f>
        <v>0</v>
      </c>
      <c r="H11" s="225">
        <f>SUMIFS('Diags Raw Data'!$S$6:$S$4756,'Diags Raw Data'!$D$6:$D$4756,$A11)</f>
        <v>0</v>
      </c>
      <c r="I11" s="226">
        <f>SUMIFS('Diags Raw Data'!$T$6:$T$4756,'Diags Raw Data'!$D$6:$D$4756,$A11)</f>
        <v>0</v>
      </c>
      <c r="J11" s="225">
        <f>SUMIFS('Diags Raw Data'!$U$6:$U$4756,'Diags Raw Data'!$D$6:$D$4756,$A11)</f>
        <v>0</v>
      </c>
      <c r="K11" s="226">
        <f>SUMIFS('Diags Raw Data'!$V$6:$V$4756,'Diags Raw Data'!$D$6:$D$4756,$A11)</f>
        <v>0</v>
      </c>
      <c r="L11" s="242" t="str">
        <f t="shared" si="1"/>
        <v>---</v>
      </c>
      <c r="M11" s="227" t="str">
        <f t="shared" si="2"/>
        <v>---</v>
      </c>
      <c r="N11" s="236" t="str">
        <f t="shared" si="3"/>
        <v>---</v>
      </c>
      <c r="O11" s="212">
        <f>SUMIFS('Diags Raw Data'!$Y$6:$Y$4756,'Diags Raw Data'!$D$6:$D$4756,$A11)</f>
        <v>0</v>
      </c>
      <c r="P11" s="202">
        <f>SUMIFS('Diags Raw Data'!$Z$6:$Z$4756,'Diags Raw Data'!$D$6:$D$4756,$A11)</f>
        <v>0</v>
      </c>
      <c r="Q11" s="204">
        <f>SUMIFS('Diags Raw Data'!$AA$6:$AA$4756,'Diags Raw Data'!$D$6:$D$4756,$A11)</f>
        <v>0</v>
      </c>
      <c r="R11" s="202">
        <f>SUMIFS('Diags Raw Data'!$AB$6:$AB$4756,'Diags Raw Data'!$D$6:$D$4756,$A11)</f>
        <v>0</v>
      </c>
      <c r="S11" s="204">
        <f>SUMIFS('Diags Raw Data'!$AC$6:$AC$4756,'Diags Raw Data'!$D$6:$D$4756,$A11)</f>
        <v>0</v>
      </c>
      <c r="T11" s="203" t="str">
        <f t="shared" si="4"/>
        <v>---</v>
      </c>
      <c r="U11" s="228" t="str">
        <f t="shared" si="7"/>
        <v>---</v>
      </c>
      <c r="V11" s="230" t="str">
        <f t="shared" si="6"/>
        <v>---</v>
      </c>
    </row>
    <row r="12" spans="1:22">
      <c r="A12" s="333" t="s">
        <v>661</v>
      </c>
      <c r="B12" s="251">
        <f>SUMIFS('Diags Raw Data'!$K$6:$K$4756,'Diags Raw Data'!$D$6:$D$4756,$A12)</f>
        <v>0</v>
      </c>
      <c r="C12" s="241">
        <f>SUMIFS('Diags Raw Data'!$Q$6:$Q$4756,'Diags Raw Data'!$D$6:$D$4756,$A12)</f>
        <v>0</v>
      </c>
      <c r="D12" s="241">
        <f>SUMIFS('Diags Raw Data'!$J$6:$J$4756,'Diags Raw Data'!$D$6:$D$4756,$A12)</f>
        <v>0</v>
      </c>
      <c r="E12" s="241">
        <f>SUMIFS('Diags Raw Data'!$N$6:$N$4756,'Diags Raw Data'!$D$6:$D$4756,$A12)</f>
        <v>0</v>
      </c>
      <c r="F12" s="247" t="str">
        <f t="shared" si="0"/>
        <v>---</v>
      </c>
      <c r="G12" s="229">
        <f>SUMIFS('Diags Raw Data'!$R$6:$R$4756,'Diags Raw Data'!$D$6:$D$4756,$A12)</f>
        <v>0</v>
      </c>
      <c r="H12" s="225">
        <f>SUMIFS('Diags Raw Data'!$S$6:$S$4756,'Diags Raw Data'!$D$6:$D$4756,$A12)</f>
        <v>0</v>
      </c>
      <c r="I12" s="226">
        <f>SUMIFS('Diags Raw Data'!$T$6:$T$4756,'Diags Raw Data'!$D$6:$D$4756,$A12)</f>
        <v>0</v>
      </c>
      <c r="J12" s="225">
        <f>SUMIFS('Diags Raw Data'!$U$6:$U$4756,'Diags Raw Data'!$D$6:$D$4756,$A12)</f>
        <v>0</v>
      </c>
      <c r="K12" s="226">
        <f>SUMIFS('Diags Raw Data'!$V$6:$V$4756,'Diags Raw Data'!$D$6:$D$4756,$A12)</f>
        <v>0</v>
      </c>
      <c r="L12" s="242" t="str">
        <f t="shared" si="1"/>
        <v>---</v>
      </c>
      <c r="M12" s="227" t="str">
        <f t="shared" si="2"/>
        <v>---</v>
      </c>
      <c r="N12" s="236" t="str">
        <f t="shared" si="3"/>
        <v>---</v>
      </c>
      <c r="O12" s="212">
        <f>SUMIFS('Diags Raw Data'!$Y$6:$Y$4756,'Diags Raw Data'!$D$6:$D$4756,$A12)</f>
        <v>0</v>
      </c>
      <c r="P12" s="202">
        <f>SUMIFS('Diags Raw Data'!$Z$6:$Z$4756,'Diags Raw Data'!$D$6:$D$4756,$A12)</f>
        <v>0</v>
      </c>
      <c r="Q12" s="204">
        <f>SUMIFS('Diags Raw Data'!$AA$6:$AA$4756,'Diags Raw Data'!$D$6:$D$4756,$A12)</f>
        <v>0</v>
      </c>
      <c r="R12" s="202">
        <f>SUMIFS('Diags Raw Data'!$AB$6:$AB$4756,'Diags Raw Data'!$D$6:$D$4756,$A12)</f>
        <v>0</v>
      </c>
      <c r="S12" s="204">
        <f>SUMIFS('Diags Raw Data'!$AC$6:$AC$4756,'Diags Raw Data'!$D$6:$D$4756,$A12)</f>
        <v>0</v>
      </c>
      <c r="T12" s="203" t="str">
        <f t="shared" si="4"/>
        <v>---</v>
      </c>
      <c r="U12" s="228" t="str">
        <f t="shared" si="7"/>
        <v>---</v>
      </c>
      <c r="V12" s="230" t="str">
        <f t="shared" si="6"/>
        <v>---</v>
      </c>
    </row>
    <row r="13" spans="1:22" ht="15" thickBot="1">
      <c r="A13" s="334" t="s">
        <v>662</v>
      </c>
      <c r="B13" s="252">
        <f>SUMIFS('Diags Raw Data'!$K$6:$K$4756,'Diags Raw Data'!$D$6:$D$4756,$A13)</f>
        <v>0</v>
      </c>
      <c r="C13" s="243">
        <f>SUMIFS('Diags Raw Data'!$Q$6:$Q$4756,'Diags Raw Data'!$D$6:$D$4756,$A13)</f>
        <v>0</v>
      </c>
      <c r="D13" s="243">
        <f>SUMIFS('Diags Raw Data'!$J$6:$J$4756,'Diags Raw Data'!$D$6:$D$4756,$A13)</f>
        <v>0</v>
      </c>
      <c r="E13" s="243">
        <f>SUMIFS('Diags Raw Data'!$N$6:$N$4756,'Diags Raw Data'!$D$6:$D$4756,$A13)</f>
        <v>0</v>
      </c>
      <c r="F13" s="248" t="str">
        <f>IF(NOT($B13=0), E13/$B13, "---")</f>
        <v>---</v>
      </c>
      <c r="G13" s="231">
        <f>SUMIFS('Diags Raw Data'!$R$6:$R$4756,'Diags Raw Data'!$D$6:$D$4756,$A13)</f>
        <v>0</v>
      </c>
      <c r="H13" s="232">
        <f>SUMIFS('Diags Raw Data'!$S$6:$S$4756,'Diags Raw Data'!$D$6:$D$4756,$A13)</f>
        <v>0</v>
      </c>
      <c r="I13" s="233">
        <f>SUMIFS('Diags Raw Data'!$T$6:$T$4756,'Diags Raw Data'!$D$6:$D$4756,$A13)</f>
        <v>0</v>
      </c>
      <c r="J13" s="232">
        <f>SUMIFS('Diags Raw Data'!$U$6:$U$4756,'Diags Raw Data'!$D$6:$D$4756,$A13)</f>
        <v>0</v>
      </c>
      <c r="K13" s="233">
        <f>SUMIFS('Diags Raw Data'!$V$6:$V$4756,'Diags Raw Data'!$D$6:$D$4756,$A13)</f>
        <v>0</v>
      </c>
      <c r="L13" s="244" t="str">
        <f t="shared" si="1"/>
        <v>---</v>
      </c>
      <c r="M13" s="234" t="str">
        <f t="shared" si="2"/>
        <v>---</v>
      </c>
      <c r="N13" s="237" t="str">
        <f>IF(NOT($C13=0), (H13+I13)/$C13, "---")</f>
        <v>---</v>
      </c>
      <c r="O13" s="213">
        <f>SUMIFS('Diags Raw Data'!$Y$6:$Y$4756,'Diags Raw Data'!$D$6:$D$4756,$A13)</f>
        <v>0</v>
      </c>
      <c r="P13" s="205">
        <f>SUMIFS('Diags Raw Data'!$Z$6:$Z$4756,'Diags Raw Data'!$D$6:$D$4756,$A13)</f>
        <v>0</v>
      </c>
      <c r="Q13" s="207">
        <f>SUMIFS('Diags Raw Data'!$AA$6:$AA$4756,'Diags Raw Data'!$D$6:$D$4756,$A13)</f>
        <v>0</v>
      </c>
      <c r="R13" s="205">
        <f>SUMIFS('Diags Raw Data'!$AB$6:$AB$4756,'Diags Raw Data'!$D$6:$D$4756,$A13)</f>
        <v>0</v>
      </c>
      <c r="S13" s="207">
        <f>SUMIFS('Diags Raw Data'!$AC$6:$AC$4756,'Diags Raw Data'!$D$6:$D$4756,$A13)</f>
        <v>0</v>
      </c>
      <c r="T13" s="206" t="str">
        <f t="shared" si="4"/>
        <v>---</v>
      </c>
      <c r="U13" s="238" t="str">
        <f t="shared" si="7"/>
        <v>---</v>
      </c>
      <c r="V13" s="235" t="str">
        <f t="shared" si="6"/>
        <v>---</v>
      </c>
    </row>
    <row r="14" spans="1:22" ht="15.95" thickBot="1">
      <c r="A14" s="271" t="s">
        <v>663</v>
      </c>
      <c r="B14" s="255">
        <f>SUM(B4:B13)</f>
        <v>390</v>
      </c>
      <c r="C14" s="256">
        <f>SUM(C4:C13)</f>
        <v>390</v>
      </c>
      <c r="D14" s="256">
        <f>SUM(D4:D13)</f>
        <v>126</v>
      </c>
      <c r="E14" s="256">
        <f>SUM(E4:E13)</f>
        <v>390</v>
      </c>
      <c r="F14" s="257" cm="1">
        <f t="array" ref="F14">SUMPRODUCT(--(ISNUMBER(SEARCH("New",'Diags Raw Data'!$L$6:$L$4756))),'Diags Raw Data'!$J$6:$J$4756,'Diags Raw Data'!$O$6:$O$4756)/D14+SUMPRODUCT(--(ISNUMBER(SEARCH("Delta",'Diags Raw Data'!$L$6:$L$4756))),'Diags Raw Data'!$J$6:$J$4756,'Diags Raw Data'!$O$6:$O$4756)/D14+SUMPRODUCT(--(ISNUMBER(SEARCH("Legacy",'Diags Raw Data'!$L$6:$L$4756))),'Diags Raw Data'!$J$6:$J$4756,'Diags Raw Data'!$O$6:$O$4756)/D14</f>
        <v>1</v>
      </c>
      <c r="G14" s="258">
        <f>SUM(G4:G13)</f>
        <v>390</v>
      </c>
      <c r="H14" s="259">
        <f>SUM(H4:H13)</f>
        <v>226</v>
      </c>
      <c r="I14" s="260">
        <f>SUM(I4:I13)</f>
        <v>0</v>
      </c>
      <c r="J14" s="259">
        <f>SUM(J4:J13)</f>
        <v>164</v>
      </c>
      <c r="K14" s="260">
        <f>SUM(K4:K13)</f>
        <v>0</v>
      </c>
      <c r="L14" s="261">
        <f>IF(NOT($C14=0), G14/$C14, "---")</f>
        <v>1</v>
      </c>
      <c r="M14" s="262">
        <f>IF(NOT($G14=0), (H14+I14)/$G14, "---")</f>
        <v>0.57948717948717954</v>
      </c>
      <c r="N14" s="263">
        <f>IF(NOT($C14=0), (H14+I14)/$C14, "---")</f>
        <v>0.57948717948717954</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 thickBot="1"/>
    <row r="16" spans="1:22" ht="15" thickBot="1">
      <c r="A16" s="214" t="s">
        <v>664</v>
      </c>
      <c r="B16" s="661" t="s">
        <v>161</v>
      </c>
      <c r="C16" s="661"/>
      <c r="D16" s="661"/>
      <c r="E16" s="661"/>
      <c r="F16" s="661"/>
      <c r="G16" s="662" t="s">
        <v>172</v>
      </c>
      <c r="H16" s="663"/>
      <c r="I16" s="663"/>
      <c r="J16" s="663"/>
      <c r="K16" s="663"/>
      <c r="L16" s="663"/>
      <c r="M16" s="663"/>
      <c r="N16" s="664"/>
      <c r="O16" s="665" t="s">
        <v>139</v>
      </c>
      <c r="P16" s="666"/>
      <c r="Q16" s="666"/>
      <c r="R16" s="666"/>
      <c r="S16" s="666"/>
      <c r="T16" s="666"/>
      <c r="U16" s="666"/>
      <c r="V16" s="667"/>
    </row>
    <row r="17" spans="1:22" s="249" customFormat="1" ht="15" thickBot="1">
      <c r="A17" s="253" t="s">
        <v>83</v>
      </c>
      <c r="B17" s="310" t="s">
        <v>162</v>
      </c>
      <c r="C17" s="311" t="s">
        <v>123</v>
      </c>
      <c r="D17" s="312" t="s">
        <v>100</v>
      </c>
      <c r="E17" s="312" t="s">
        <v>168</v>
      </c>
      <c r="F17" s="313" t="s">
        <v>170</v>
      </c>
      <c r="G17" s="314" t="s">
        <v>127</v>
      </c>
      <c r="H17" s="315" t="s">
        <v>30</v>
      </c>
      <c r="I17" s="315" t="s">
        <v>130</v>
      </c>
      <c r="J17" s="315" t="s">
        <v>35</v>
      </c>
      <c r="K17" s="315" t="s">
        <v>133</v>
      </c>
      <c r="L17" s="315" t="s">
        <v>179</v>
      </c>
      <c r="M17" s="315" t="s">
        <v>135</v>
      </c>
      <c r="N17" s="316" t="s">
        <v>182</v>
      </c>
      <c r="O17" s="317" t="s">
        <v>127</v>
      </c>
      <c r="P17" s="318" t="s">
        <v>30</v>
      </c>
      <c r="Q17" s="318" t="s">
        <v>130</v>
      </c>
      <c r="R17" s="318" t="s">
        <v>35</v>
      </c>
      <c r="S17" s="318" t="s">
        <v>133</v>
      </c>
      <c r="T17" s="318" t="s">
        <v>179</v>
      </c>
      <c r="U17" s="318" t="s">
        <v>135</v>
      </c>
      <c r="V17" s="319" t="s">
        <v>182</v>
      </c>
    </row>
    <row r="18" spans="1:22">
      <c r="A18" s="333" t="s">
        <v>255</v>
      </c>
      <c r="B18" s="250">
        <f>SUMIFS('Diags Raw Data'!$K$6:$K$4756,'Diags Raw Data'!$D$6:$D$4756,$A18,'Diags Raw Data'!$L$6:$L$4756,"New")+SUMIFS('Diags Raw Data'!$K$6:$K$4756,'Diags Raw Data'!$D$6:$D$4756,$A18,'Diags Raw Data'!$L$6:$L$4756,"Delta")</f>
        <v>0</v>
      </c>
      <c r="C18" s="240">
        <f>SUMIFS('Diags Raw Data'!$Q$6:$Q$4756,'Diags Raw Data'!$D$6:$D$4756,$A18,'Diags Raw Data'!$L$6:$L$4756,"New")+SUMIFS('Diags Raw Data'!$Q$6:$Q$4756,'Diags Raw Data'!$D$6:$D$4756,$A18,'Diags Raw Data'!$L$6:$L$4756,"Delta")</f>
        <v>0</v>
      </c>
      <c r="D18" s="240">
        <f>SUMIFS('Diags Raw Data'!$J$6:$J$4756,'Diags Raw Data'!$D$6:$D$4756,$A18,'Diags Raw Data'!$L$6:$L$4756,"New")+SUMIFS('Diags Raw Data'!$J$6:$J$4756,'Diags Raw Data'!$D$6:$D$4756,$A18,'Diags Raw Data'!$L$6:$L$4756,"Delta")</f>
        <v>0</v>
      </c>
      <c r="E18" s="240">
        <f>SUMIFS('Diags Raw Data'!$N$6:$N$4756,'Diags Raw Data'!$D$6:$D$4756,$A18,'Diags Raw Data'!$L$6:$L$4756,"New")+SUMIFS('Diags Raw Data'!$N$6:$N$4756,'Diags Raw Data'!$D$6:$D$4756,$A18,'Diags Raw Data'!$L$6:$L$4756,"Delta")</f>
        <v>0</v>
      </c>
      <c r="F18" s="246" t="str">
        <f t="shared" ref="F18:F27" si="8">IF(NOT($B18=0), E18/$B18, "---")</f>
        <v>---</v>
      </c>
      <c r="G18" s="218">
        <f>SUMIFS('Diags Raw Data'!$R$6:$R$4756,'Diags Raw Data'!$D$6:$D$4756,$A18,'Diags Raw Data'!$L$6:$L$4756,"New")+SUMIFS('Diags Raw Data'!$R$6:$R$4756,'Diags Raw Data'!$D$6:$D$4756,$A18,'Diags Raw Data'!$L$6:$L$4756,"Delta")</f>
        <v>0</v>
      </c>
      <c r="H18" s="219">
        <f>SUMIFS('Diags Raw Data'!$S$6:$S$4756,'Diags Raw Data'!$D$6:$D$4756,$A18,'Diags Raw Data'!$L$6:$L$4756,"New")+SUMIFS('Diags Raw Data'!$S$6:$S$4756,'Diags Raw Data'!$D$6:$D$4756,$A18,'Diags Raw Data'!$L$6:$L$4756,"Delta")</f>
        <v>0</v>
      </c>
      <c r="I18" s="219">
        <f>SUMIFS('Diags Raw Data'!$T$6:$T$4756,'Diags Raw Data'!$D$6:$D$4756,$A18,'Diags Raw Data'!$L$6:$L$4756,"New")+SUMIFS('Diags Raw Data'!$T$6:$T$4756,'Diags Raw Data'!$D$6:$D$4756,$A18,'Diags Raw Data'!$L$6:$L$4756,"Delta")</f>
        <v>0</v>
      </c>
      <c r="J18" s="219">
        <f>SUMIFS('Diags Raw Data'!$U$6:$U$4756,'Diags Raw Data'!$D$6:$D$4756,$A18,'Diags Raw Data'!$L$6:$L$4756,"New")+SUMIFS('Diags Raw Data'!$U$6:$U$4756,'Diags Raw Data'!$D$6:$D$4756,$A18,'Diags Raw Data'!$L$6:$L$4756,"Delta")</f>
        <v>0</v>
      </c>
      <c r="K18" s="219">
        <f>SUMIFS('Diags Raw Data'!$V$6:$V$4756,'Diags Raw Data'!$D$6:$D$4756,$A18,'Diags Raw Data'!$L$6:$L$4756,"New")+SUMIFS('Diags Raw Data'!$V$6:$V$4756,'Diags Raw Data'!$D$6:$D$4756,$A18,'Diags Raw Data'!$L$6:$L$4756,"Delta")</f>
        <v>0</v>
      </c>
      <c r="L18" s="220" t="str">
        <f>IF(NOT($C18=0), G18/$C18, "---")</f>
        <v>---</v>
      </c>
      <c r="M18" s="222" t="str">
        <f>IF(NOT($G18=0), (H18+I18)/$G18, "---")</f>
        <v>---</v>
      </c>
      <c r="N18" s="224" t="str">
        <f>IF(NOT($C18=0), (H18+I18)/$C18, "---")</f>
        <v>---</v>
      </c>
      <c r="O18" s="211">
        <f>SUMIFS('Diags Raw Data'!$Y$6:$Y$4756,'Diags Raw Data'!$D$6:$D$4756,$A18,'Diags Raw Data'!$L$6:$L$4756,"New")+SUMIFS('Diags Raw Data'!$Y$6:$Y$4756,'Diags Raw Data'!$D$6:$D$4756,$A18,'Diags Raw Data'!$L$6:$L$4756,"Delta")</f>
        <v>0</v>
      </c>
      <c r="P18" s="208">
        <f>SUMIFS('Diags Raw Data'!$Z$6:$Z$4756,'Diags Raw Data'!$D$6:$D$4756,$A18,'Diags Raw Data'!$L$6:$L$4756,"New")+SUMIFS('Diags Raw Data'!$Z$6:$Z$4756,'Diags Raw Data'!$D$6:$D$4756,$A18,'Diags Raw Data'!$L$6:$L$4756,"Delta")</f>
        <v>0</v>
      </c>
      <c r="Q18" s="208">
        <f>SUMIFS('Diags Raw Data'!$AA$6:$AA$4756,'Diags Raw Data'!$D$6:$D$4756,$A18,'Diags Raw Data'!$L$6:$L$4756,"New")+SUMIFS('Diags Raw Data'!$AA$6:$AA$4756,'Diags Raw Data'!$D$6:$D$4756,$A18,'Diags Raw Data'!$L$6:$L$4756,"Delta")</f>
        <v>0</v>
      </c>
      <c r="R18" s="208">
        <f>SUMIFS('Diags Raw Data'!$AB$6:$AB$4756,'Diags Raw Data'!$D$6:$D$4756,$A18,'Diags Raw Data'!$L$6:$L$4756,"New")+SUMIFS('Diags Raw Data'!$AB$6:$AB$4756,'Diags Raw Data'!$D$6:$D$4756,$A18,'Diags Raw Data'!$L$6:$L$4756,"Delta")</f>
        <v>0</v>
      </c>
      <c r="S18" s="208">
        <f>SUMIFS('Diags Raw Data'!$AC$6:$AC$4756,'Diags Raw Data'!$D$6:$D$4756,$A18,'Diags Raw Data'!$L$6:$L$4756,"New")+SUMIFS('Diags Raw Data'!$AC$6:$AC$4756,'Diags Raw Data'!$D$6:$D$4756,$A18,'Diags Raw Data'!$L$6:$L$4756,"Delta")</f>
        <v>0</v>
      </c>
      <c r="T18" s="209" t="str">
        <f>IF(NOT($B18=0), O18/$B18, "---")</f>
        <v>---</v>
      </c>
      <c r="U18" s="223" t="str">
        <f>IF(NOT($O18=0), (P18+Q18)/$O18, "---")</f>
        <v>---</v>
      </c>
      <c r="V18" s="239" t="str">
        <f>IF(NOT($B18=0), (P18+Q18)/$B18, "---")</f>
        <v>---</v>
      </c>
    </row>
    <row r="19" spans="1:22">
      <c r="A19" s="333" t="s">
        <v>656</v>
      </c>
      <c r="B19" s="251">
        <f>SUMIFS('Diags Raw Data'!$K$6:$K$4756,'Diags Raw Data'!$D$6:$D$4756,$A19,'Diags Raw Data'!$L$6:$L$4756,"New")+SUMIFS('Diags Raw Data'!$K$6:$K$4756,'Diags Raw Data'!$D$6:$D$4756,$A19,'Diags Raw Data'!$L$6:$L$4756,"Delta")</f>
        <v>0</v>
      </c>
      <c r="C19" s="241">
        <f>SUMIFS('Diags Raw Data'!$Q$6:$Q$4756,'Diags Raw Data'!$D$6:$D$4756,$A19,'Diags Raw Data'!$L$6:$L$4756,"New")+SUMIFS('Diags Raw Data'!$Q$6:$Q$4756,'Diags Raw Data'!$D$6:$D$4756,$A19,'Diags Raw Data'!$L$6:$L$4756,"Delta")</f>
        <v>0</v>
      </c>
      <c r="D19" s="241">
        <f>SUMIFS('Diags Raw Data'!$J$6:$J$4756,'Diags Raw Data'!$D$6:$D$4756,$A19,'Diags Raw Data'!$L$6:$L$4756,"New")+SUMIFS('Diags Raw Data'!$J$6:$J$4756,'Diags Raw Data'!$D$6:$D$4756,$A19,'Diags Raw Data'!$L$6:$L$4756,"Delta")</f>
        <v>0</v>
      </c>
      <c r="E19" s="241">
        <f>SUMIFS('Diags Raw Data'!$N$6:$N$4756,'Diags Raw Data'!$D$6:$D$4756,$A19,'Diags Raw Data'!$L$6:$L$4756,"New")+SUMIFS('Diags Raw Data'!$N$6:$N$4756,'Diags Raw Data'!$D$6:$D$4756,$A19,'Diags Raw Data'!$L$6:$L$4756,"Delta")</f>
        <v>0</v>
      </c>
      <c r="F19" s="247" t="str">
        <f t="shared" si="8"/>
        <v>---</v>
      </c>
      <c r="G19" s="229">
        <f>SUMIFS('Diags Raw Data'!$R$6:$R$4756,'Diags Raw Data'!$D$6:$D$4756,$A19,'Diags Raw Data'!$L$6:$L$4756,"New")+SUMIFS('Diags Raw Data'!$R$6:$R$4756,'Diags Raw Data'!$D$6:$D$4756,$A19,'Diags Raw Data'!$L$6:$L$4756,"Delta")</f>
        <v>0</v>
      </c>
      <c r="H19" s="225">
        <f>SUMIFS('Diags Raw Data'!$S$6:$S$4756,'Diags Raw Data'!$D$6:$D$4756,$A19,'Diags Raw Data'!$L$6:$L$4756,"New")+SUMIFS('Diags Raw Data'!$S$6:$S$4756,'Diags Raw Data'!$D$6:$D$4756,$A19,'Diags Raw Data'!$L$6:$L$4756,"Delta")</f>
        <v>0</v>
      </c>
      <c r="I19" s="225">
        <f>SUMIFS('Diags Raw Data'!$T$6:$T$4756,'Diags Raw Data'!$D$6:$D$4756,$A19,'Diags Raw Data'!$L$6:$L$4756,"New")+SUMIFS('Diags Raw Data'!$T$6:$T$4756,'Diags Raw Data'!$D$6:$D$4756,$A19,'Diags Raw Data'!$L$6:$L$4756,"Delta")</f>
        <v>0</v>
      </c>
      <c r="J19" s="225">
        <f>SUMIFS('Diags Raw Data'!$U$6:$U$4756,'Diags Raw Data'!$D$6:$D$4756,$A19,'Diags Raw Data'!$L$6:$L$4756,"New")+SUMIFS('Diags Raw Data'!$U$6:$U$4756,'Diags Raw Data'!$D$6:$D$4756,$A19,'Diags Raw Data'!$L$6:$L$4756,"Delta")</f>
        <v>0</v>
      </c>
      <c r="K19" s="225">
        <f>SUMIFS('Diags Raw Data'!$V$6:$V$4756,'Diags Raw Data'!$D$6:$D$4756,$A19,'Diags Raw Data'!$L$6:$L$4756,"New")+SUMIFS('Diags Raw Data'!$V$6:$V$4756,'Diags Raw Data'!$D$6:$D$4756,$A19,'Diags Raw Data'!$L$6:$L$4756,"Delta")</f>
        <v>0</v>
      </c>
      <c r="L19" s="242" t="str">
        <f>IF(NOT($C19=0), G19/$C19, "---")</f>
        <v>---</v>
      </c>
      <c r="M19" s="227" t="str">
        <f>IF(NOT($G19=0), (H19+I19)/$G19, "---")</f>
        <v>---</v>
      </c>
      <c r="N19" s="236" t="str">
        <f>IF(NOT($C19=0), (H19+I19)/$C19, "---")</f>
        <v>---</v>
      </c>
      <c r="O19" s="212">
        <f>SUMIFS('Diags Raw Data'!$Y$6:$Y$4756,'Diags Raw Data'!$D$6:$D$4756,$A19,'Diags Raw Data'!$L$6:$L$4756,"New")+SUMIFS('Diags Raw Data'!$Y$6:$Y$4756,'Diags Raw Data'!$D$6:$D$4756,$A19,'Diags Raw Data'!$L$6:$L$4756,"Delta")</f>
        <v>0</v>
      </c>
      <c r="P19" s="202">
        <f>SUMIFS('Diags Raw Data'!$Z$6:$Z$4756,'Diags Raw Data'!$D$6:$D$4756,$A19,'Diags Raw Data'!$L$6:$L$4756,"New")+SUMIFS('Diags Raw Data'!$Z$6:$Z$4756,'Diags Raw Data'!$D$6:$D$4756,$A19,'Diags Raw Data'!$L$6:$L$4756,"Delta")</f>
        <v>0</v>
      </c>
      <c r="Q19" s="202">
        <f>SUMIFS('Diags Raw Data'!$AA$6:$AA$4756,'Diags Raw Data'!$D$6:$D$4756,$A19,'Diags Raw Data'!$L$6:$L$4756,"New")+SUMIFS('Diags Raw Data'!$AA$6:$AA$4756,'Diags Raw Data'!$D$6:$D$4756,$A19,'Diags Raw Data'!$L$6:$L$4756,"Delta")</f>
        <v>0</v>
      </c>
      <c r="R19" s="202">
        <f>SUMIFS('Diags Raw Data'!$AB$6:$AB$4756,'Diags Raw Data'!$D$6:$D$4756,$A19,'Diags Raw Data'!$L$6:$L$4756,"New")+SUMIFS('Diags Raw Data'!$AB$6:$AB$4756,'Diags Raw Data'!$D$6:$D$4756,$A19,'Diags Raw Data'!$L$6:$L$4756,"Delta")</f>
        <v>0</v>
      </c>
      <c r="S19" s="202">
        <f>SUMIFS('Diags Raw Data'!$AC$6:$AC$4756,'Diags Raw Data'!$D$6:$D$4756,$A19,'Diags Raw Data'!$L$6:$L$4756,"New")+SUMIFS('Diags Raw Data'!$AC$6:$AC$4756,'Diags Raw Data'!$D$6:$D$4756,$A19,'Diags Raw Data'!$L$6:$L$4756,"Delta")</f>
        <v>0</v>
      </c>
      <c r="T19" s="203" t="str">
        <f>IF(NOT($B19=0), O19/$B19, "---")</f>
        <v>---</v>
      </c>
      <c r="U19" s="228" t="str">
        <f>IF(NOT($O19=0), (P19+Q19)/$O19, "---")</f>
        <v>---</v>
      </c>
      <c r="V19" s="230" t="str">
        <f t="shared" ref="V19:V28" si="9">IF(NOT($B19=0), (P19+Q19)/$B19, "---")</f>
        <v>---</v>
      </c>
    </row>
    <row r="20" spans="1:22">
      <c r="A20" s="333" t="s">
        <v>511</v>
      </c>
      <c r="B20" s="251">
        <f>SUMIFS('Diags Raw Data'!$K$6:$K$4756,'Diags Raw Data'!$D$6:$D$4756,$A20,'Diags Raw Data'!$L$6:$L$4756,"New")+SUMIFS('Diags Raw Data'!$K$6:$K$4756,'Diags Raw Data'!$D$6:$D$4756,$A20,'Diags Raw Data'!$L$6:$L$4756,"Delta")</f>
        <v>0</v>
      </c>
      <c r="C20" s="241">
        <f>SUMIFS('Diags Raw Data'!$Q$6:$Q$4756,'Diags Raw Data'!$D$6:$D$4756,$A20,'Diags Raw Data'!$L$6:$L$4756,"New")+SUMIFS('Diags Raw Data'!$Q$6:$Q$4756,'Diags Raw Data'!$D$6:$D$4756,$A20,'Diags Raw Data'!$L$6:$L$4756,"Delta")</f>
        <v>0</v>
      </c>
      <c r="D20" s="241">
        <f>SUMIFS('Diags Raw Data'!$J$6:$J$4756,'Diags Raw Data'!$D$6:$D$4756,$A20,'Diags Raw Data'!$L$6:$L$4756,"New")+SUMIFS('Diags Raw Data'!$J$6:$J$4756,'Diags Raw Data'!$D$6:$D$4756,$A20,'Diags Raw Data'!$L$6:$L$4756,"Delta")</f>
        <v>0</v>
      </c>
      <c r="E20" s="241">
        <f>SUMIFS('Diags Raw Data'!$N$6:$N$4756,'Diags Raw Data'!$D$6:$D$4756,$A20,'Diags Raw Data'!$L$6:$L$4756,"New")+SUMIFS('Diags Raw Data'!$N$6:$N$4756,'Diags Raw Data'!$D$6:$D$4756,$A20,'Diags Raw Data'!$L$6:$L$4756,"Delta")</f>
        <v>0</v>
      </c>
      <c r="F20" s="247" t="str">
        <f>IF(NOT($B20=0), E20/$B20, "---")</f>
        <v>---</v>
      </c>
      <c r="G20" s="229">
        <f>SUMIFS('Diags Raw Data'!$R$6:$R$4756,'Diags Raw Data'!$D$6:$D$4756,$A20,'Diags Raw Data'!$L$6:$L$4756,"New")+SUMIFS('Diags Raw Data'!$R$6:$R$4756,'Diags Raw Data'!$D$6:$D$4756,$A20,'Diags Raw Data'!$L$6:$L$4756,"Delta")</f>
        <v>0</v>
      </c>
      <c r="H20" s="225">
        <f>SUMIFS('Diags Raw Data'!$S$6:$S$4756,'Diags Raw Data'!$D$6:$D$4756,$A20,'Diags Raw Data'!$L$6:$L$4756,"New")+SUMIFS('Diags Raw Data'!$S$6:$S$4756,'Diags Raw Data'!$D$6:$D$4756,$A20,'Diags Raw Data'!$L$6:$L$4756,"Delta")</f>
        <v>0</v>
      </c>
      <c r="I20" s="225">
        <f>SUMIFS('Diags Raw Data'!$T$6:$T$4756,'Diags Raw Data'!$D$6:$D$4756,$A20,'Diags Raw Data'!$L$6:$L$4756,"New")+SUMIFS('Diags Raw Data'!$T$6:$T$4756,'Diags Raw Data'!$D$6:$D$4756,$A20,'Diags Raw Data'!$L$6:$L$4756,"Delta")</f>
        <v>0</v>
      </c>
      <c r="J20" s="225">
        <f>SUMIFS('Diags Raw Data'!$U$6:$U$4756,'Diags Raw Data'!$D$6:$D$4756,$A20,'Diags Raw Data'!$L$6:$L$4756,"New")+SUMIFS('Diags Raw Data'!$U$6:$U$4756,'Diags Raw Data'!$D$6:$D$4756,$A20,'Diags Raw Data'!$L$6:$L$4756,"Delta")</f>
        <v>0</v>
      </c>
      <c r="K20" s="225">
        <f>SUMIFS('Diags Raw Data'!$V$6:$V$4756,'Diags Raw Data'!$D$6:$D$4756,$A20,'Diags Raw Data'!$L$6:$L$4756,"New")+SUMIFS('Diags Raw Data'!$V$6:$V$4756,'Diags Raw Data'!$D$6:$D$4756,$A20,'Diags Raw Data'!$L$6:$L$4756,"Delta")</f>
        <v>0</v>
      </c>
      <c r="L20" s="242" t="str">
        <f t="shared" ref="L20:L27" si="10">IF(NOT($C20=0), G20/$C20, "---")</f>
        <v>---</v>
      </c>
      <c r="M20" s="227" t="str">
        <f>IF(NOT($G20=0), (H20+I20)/$G20, "---")</f>
        <v>---</v>
      </c>
      <c r="N20" s="236" t="str">
        <f t="shared" ref="N20:N27" si="11">IF(NOT($C20=0), (H20+I20)/$C20, "---")</f>
        <v>---</v>
      </c>
      <c r="O20" s="212">
        <f>SUMIFS('Diags Raw Data'!$Y$6:$Y$4756,'Diags Raw Data'!$D$6:$D$4756,$A20,'Diags Raw Data'!$L$6:$L$4756,"New")+SUMIFS('Diags Raw Data'!$Y$6:$Y$4756,'Diags Raw Data'!$D$6:$D$4756,$A20,'Diags Raw Data'!$L$6:$L$4756,"Delta")</f>
        <v>0</v>
      </c>
      <c r="P20" s="202">
        <f>SUMIFS('Diags Raw Data'!$Z$6:$Z$4756,'Diags Raw Data'!$D$6:$D$4756,$A20,'Diags Raw Data'!$L$6:$L$4756,"New")+SUMIFS('Diags Raw Data'!$Z$6:$Z$4756,'Diags Raw Data'!$D$6:$D$4756,$A20,'Diags Raw Data'!$L$6:$L$4756,"Delta")</f>
        <v>0</v>
      </c>
      <c r="Q20" s="202">
        <f>SUMIFS('Diags Raw Data'!$AA$6:$AA$4756,'Diags Raw Data'!$D$6:$D$4756,$A20,'Diags Raw Data'!$L$6:$L$4756,"New")+SUMIFS('Diags Raw Data'!$AA$6:$AA$4756,'Diags Raw Data'!$D$6:$D$4756,$A20,'Diags Raw Data'!$L$6:$L$4756,"Delta")</f>
        <v>0</v>
      </c>
      <c r="R20" s="202">
        <f>SUMIFS('Diags Raw Data'!$AB$6:$AB$4756,'Diags Raw Data'!$D$6:$D$4756,$A20,'Diags Raw Data'!$L$6:$L$4756,"New")+SUMIFS('Diags Raw Data'!$AB$6:$AB$4756,'Diags Raw Data'!$D$6:$D$4756,$A20,'Diags Raw Data'!$L$6:$L$4756,"Delta")</f>
        <v>0</v>
      </c>
      <c r="S20" s="202">
        <f>SUMIFS('Diags Raw Data'!$AC$6:$AC$4756,'Diags Raw Data'!$D$6:$D$4756,$A20,'Diags Raw Data'!$L$6:$L$4756,"New")+SUMIFS('Diags Raw Data'!$AC$6:$AC$4756,'Diags Raw Data'!$D$6:$D$4756,$A20,'Diags Raw Data'!$L$6:$L$4756,"Delta")</f>
        <v>0</v>
      </c>
      <c r="T20" s="203" t="str">
        <f t="shared" ref="T20:T27" si="12">IF(NOT($B20=0), O20/$B20, "---")</f>
        <v>---</v>
      </c>
      <c r="U20" s="228" t="str">
        <f t="shared" ref="U20:U28" si="13">IF(NOT($O20=0), (P20+Q20)/$O20, "---")</f>
        <v>---</v>
      </c>
      <c r="V20" s="230" t="str">
        <f>IF(NOT($B20=0), (P20+Q20)/$B20, "---")</f>
        <v>---</v>
      </c>
    </row>
    <row r="21" spans="1:22">
      <c r="A21" s="333" t="s">
        <v>633</v>
      </c>
      <c r="B21" s="251">
        <f>SUMIFS('Diags Raw Data'!$K$6:$K$4756,'Diags Raw Data'!$D$6:$D$4756,$A21,'Diags Raw Data'!$L$6:$L$4756,"New")+SUMIFS('Diags Raw Data'!$K$6:$K$4756,'Diags Raw Data'!$D$6:$D$4756,$A21,'Diags Raw Data'!$L$6:$L$4756,"Delta")</f>
        <v>0</v>
      </c>
      <c r="C21" s="241">
        <f>SUMIFS('Diags Raw Data'!$Q$6:$Q$4756,'Diags Raw Data'!$D$6:$D$4756,$A21,'Diags Raw Data'!$L$6:$L$4756,"New")+SUMIFS('Diags Raw Data'!$Q$6:$Q$4756,'Diags Raw Data'!$D$6:$D$4756,$A21,'Diags Raw Data'!$L$6:$L$4756,"Delta")</f>
        <v>0</v>
      </c>
      <c r="D21" s="241">
        <f>SUMIFS('Diags Raw Data'!$J$6:$J$4756,'Diags Raw Data'!$D$6:$D$4756,$A21,'Diags Raw Data'!$L$6:$L$4756,"New")+SUMIFS('Diags Raw Data'!$J$6:$J$4756,'Diags Raw Data'!$D$6:$D$4756,$A21,'Diags Raw Data'!$L$6:$L$4756,"Delta")</f>
        <v>0</v>
      </c>
      <c r="E21" s="241">
        <f>SUMIFS('Diags Raw Data'!$N$6:$N$4756,'Diags Raw Data'!$D$6:$D$4756,$A21,'Diags Raw Data'!$L$6:$L$4756,"New")+SUMIFS('Diags Raw Data'!$N$6:$N$4756,'Diags Raw Data'!$D$6:$D$4756,$A21,'Diags Raw Data'!$L$6:$L$4756,"Delta")</f>
        <v>0</v>
      </c>
      <c r="F21" s="247" t="str">
        <f t="shared" si="8"/>
        <v>---</v>
      </c>
      <c r="G21" s="229">
        <f>SUMIFS('Diags Raw Data'!$R$6:$R$4756,'Diags Raw Data'!$D$6:$D$4756,$A21,'Diags Raw Data'!$L$6:$L$4756,"New")+SUMIFS('Diags Raw Data'!$R$6:$R$4756,'Diags Raw Data'!$D$6:$D$4756,$A21,'Diags Raw Data'!$L$6:$L$4756,"Delta")</f>
        <v>0</v>
      </c>
      <c r="H21" s="225">
        <f>SUMIFS('Diags Raw Data'!$S$6:$S$4756,'Diags Raw Data'!$D$6:$D$4756,$A21,'Diags Raw Data'!$L$6:$L$4756,"New")+SUMIFS('Diags Raw Data'!$S$6:$S$4756,'Diags Raw Data'!$D$6:$D$4756,$A21,'Diags Raw Data'!$L$6:$L$4756,"Delta")</f>
        <v>0</v>
      </c>
      <c r="I21" s="225">
        <f>SUMIFS('Diags Raw Data'!$T$6:$T$4756,'Diags Raw Data'!$D$6:$D$4756,$A21,'Diags Raw Data'!$L$6:$L$4756,"New")+SUMIFS('Diags Raw Data'!$T$6:$T$4756,'Diags Raw Data'!$D$6:$D$4756,$A21,'Diags Raw Data'!$L$6:$L$4756,"Delta")</f>
        <v>0</v>
      </c>
      <c r="J21" s="225">
        <f>SUMIFS('Diags Raw Data'!$U$6:$U$4756,'Diags Raw Data'!$D$6:$D$4756,$A21,'Diags Raw Data'!$L$6:$L$4756,"New")+SUMIFS('Diags Raw Data'!$U$6:$U$4756,'Diags Raw Data'!$D$6:$D$4756,$A21,'Diags Raw Data'!$L$6:$L$4756,"Delta")</f>
        <v>0</v>
      </c>
      <c r="K21" s="225">
        <f>SUMIFS('Diags Raw Data'!$V$6:$V$4756,'Diags Raw Data'!$D$6:$D$4756,$A21,'Diags Raw Data'!$L$6:$L$4756,"New")+SUMIFS('Diags Raw Data'!$V$6:$V$4756,'Diags Raw Data'!$D$6:$D$4756,$A21,'Diags Raw Data'!$L$6:$L$4756,"Delta")</f>
        <v>0</v>
      </c>
      <c r="L21" s="242" t="str">
        <f t="shared" si="10"/>
        <v>---</v>
      </c>
      <c r="M21" s="227" t="str">
        <f t="shared" ref="M21:M28" si="14">IF(NOT($G21=0), (H21+I21)/$G21, "---")</f>
        <v>---</v>
      </c>
      <c r="N21" s="236" t="str">
        <f>IF(NOT($C21=0), (H21+I21)/$C21, "---")</f>
        <v>---</v>
      </c>
      <c r="O21" s="212">
        <f>SUMIFS('Diags Raw Data'!$Y$6:$Y$4756,'Diags Raw Data'!$D$6:$D$4756,$A21,'Diags Raw Data'!$L$6:$L$4756,"New")+SUMIFS('Diags Raw Data'!$Y$6:$Y$4756,'Diags Raw Data'!$D$6:$D$4756,$A21,'Diags Raw Data'!$L$6:$L$4756,"Delta")</f>
        <v>0</v>
      </c>
      <c r="P21" s="202">
        <f>SUMIFS('Diags Raw Data'!$Z$6:$Z$4756,'Diags Raw Data'!$D$6:$D$4756,$A21,'Diags Raw Data'!$L$6:$L$4756,"New")+SUMIFS('Diags Raw Data'!$Z$6:$Z$4756,'Diags Raw Data'!$D$6:$D$4756,$A21,'Diags Raw Data'!$L$6:$L$4756,"Delta")</f>
        <v>0</v>
      </c>
      <c r="Q21" s="202">
        <f>SUMIFS('Diags Raw Data'!$AA$6:$AA$4756,'Diags Raw Data'!$D$6:$D$4756,$A21,'Diags Raw Data'!$L$6:$L$4756,"New")+SUMIFS('Diags Raw Data'!$AA$6:$AA$4756,'Diags Raw Data'!$D$6:$D$4756,$A21,'Diags Raw Data'!$L$6:$L$4756,"Delta")</f>
        <v>0</v>
      </c>
      <c r="R21" s="202">
        <f>SUMIFS('Diags Raw Data'!$AB$6:$AB$4756,'Diags Raw Data'!$D$6:$D$4756,$A21,'Diags Raw Data'!$L$6:$L$4756,"New")+SUMIFS('Diags Raw Data'!$AB$6:$AB$4756,'Diags Raw Data'!$D$6:$D$4756,$A21,'Diags Raw Data'!$L$6:$L$4756,"Delta")</f>
        <v>0</v>
      </c>
      <c r="S21" s="202">
        <f>SUMIFS('Diags Raw Data'!$AC$6:$AC$4756,'Diags Raw Data'!$D$6:$D$4756,$A21,'Diags Raw Data'!$L$6:$L$4756,"New")+SUMIFS('Diags Raw Data'!$AC$6:$AC$4756,'Diags Raw Data'!$D$6:$D$4756,$A21,'Diags Raw Data'!$L$6:$L$4756,"Delta")</f>
        <v>0</v>
      </c>
      <c r="T21" s="203" t="str">
        <f t="shared" si="12"/>
        <v>---</v>
      </c>
      <c r="U21" s="228" t="str">
        <f t="shared" si="13"/>
        <v>---</v>
      </c>
      <c r="V21" s="230" t="str">
        <f>IF(NOT($B21=0), (P21+Q21)/$B21, "---")</f>
        <v>---</v>
      </c>
    </row>
    <row r="22" spans="1:22">
      <c r="A22" s="333" t="s">
        <v>657</v>
      </c>
      <c r="B22" s="251">
        <f>SUMIFS('Diags Raw Data'!$K$6:$K$4756,'Diags Raw Data'!$D$6:$D$4756,$A22,'Diags Raw Data'!$L$6:$L$4756,"New")+SUMIFS('Diags Raw Data'!$K$6:$K$4756,'Diags Raw Data'!$D$6:$D$4756,$A22,'Diags Raw Data'!$L$6:$L$4756,"Delta")</f>
        <v>0</v>
      </c>
      <c r="C22" s="241">
        <f>SUMIFS('Diags Raw Data'!$Q$6:$Q$4756,'Diags Raw Data'!$D$6:$D$4756,$A22,'Diags Raw Data'!$L$6:$L$4756,"New")+SUMIFS('Diags Raw Data'!$Q$6:$Q$4756,'Diags Raw Data'!$D$6:$D$4756,$A22,'Diags Raw Data'!$L$6:$L$4756,"Delta")</f>
        <v>0</v>
      </c>
      <c r="D22" s="241">
        <f>SUMIFS('Diags Raw Data'!$J$6:$J$4756,'Diags Raw Data'!$D$6:$D$4756,$A22,'Diags Raw Data'!$L$6:$L$4756,"New")+SUMIFS('Diags Raw Data'!$J$6:$J$4756,'Diags Raw Data'!$D$6:$D$4756,$A22,'Diags Raw Data'!$L$6:$L$4756,"Delta")</f>
        <v>0</v>
      </c>
      <c r="E22" s="241">
        <f>SUMIFS('Diags Raw Data'!$N$6:$N$4756,'Diags Raw Data'!$D$6:$D$4756,$A22,'Diags Raw Data'!$L$6:$L$4756,"New")+SUMIFS('Diags Raw Data'!$N$6:$N$4756,'Diags Raw Data'!$D$6:$D$4756,$A22,'Diags Raw Data'!$L$6:$L$4756,"Delta")</f>
        <v>0</v>
      </c>
      <c r="F22" s="247" t="str">
        <f>IF(NOT($B22=0), E22/$B22, "---")</f>
        <v>---</v>
      </c>
      <c r="G22" s="229">
        <f>SUMIFS('Diags Raw Data'!$R$6:$R$4756,'Diags Raw Data'!$D$6:$D$4756,$A22,'Diags Raw Data'!$L$6:$L$4756,"New")+SUMIFS('Diags Raw Data'!$R$6:$R$4756,'Diags Raw Data'!$D$6:$D$4756,$A22,'Diags Raw Data'!$L$6:$L$4756,"Delta")</f>
        <v>0</v>
      </c>
      <c r="H22" s="225">
        <f>SUMIFS('Diags Raw Data'!$S$6:$S$4756,'Diags Raw Data'!$D$6:$D$4756,$A22,'Diags Raw Data'!$L$6:$L$4756,"New")+SUMIFS('Diags Raw Data'!$S$6:$S$4756,'Diags Raw Data'!$D$6:$D$4756,$A22,'Diags Raw Data'!$L$6:$L$4756,"Delta")</f>
        <v>0</v>
      </c>
      <c r="I22" s="225">
        <f>SUMIFS('Diags Raw Data'!$T$6:$T$4756,'Diags Raw Data'!$D$6:$D$4756,$A22,'Diags Raw Data'!$L$6:$L$4756,"New")+SUMIFS('Diags Raw Data'!$T$6:$T$4756,'Diags Raw Data'!$D$6:$D$4756,$A22,'Diags Raw Data'!$L$6:$L$4756,"Delta")</f>
        <v>0</v>
      </c>
      <c r="J22" s="225">
        <f>SUMIFS('Diags Raw Data'!$U$6:$U$4756,'Diags Raw Data'!$D$6:$D$4756,$A22,'Diags Raw Data'!$L$6:$L$4756,"New")+SUMIFS('Diags Raw Data'!$U$6:$U$4756,'Diags Raw Data'!$D$6:$D$4756,$A22,'Diags Raw Data'!$L$6:$L$4756,"Delta")</f>
        <v>0</v>
      </c>
      <c r="K22" s="225">
        <f>SUMIFS('Diags Raw Data'!$V$6:$V$4756,'Diags Raw Data'!$D$6:$D$4756,$A22,'Diags Raw Data'!$L$6:$L$4756,"New")+SUMIFS('Diags Raw Data'!$V$6:$V$4756,'Diags Raw Data'!$D$6:$D$4756,$A22,'Diags Raw Data'!$L$6:$L$4756,"Delta")</f>
        <v>0</v>
      </c>
      <c r="L22" s="242" t="str">
        <f t="shared" si="10"/>
        <v>---</v>
      </c>
      <c r="M22" s="227" t="str">
        <f t="shared" si="14"/>
        <v>---</v>
      </c>
      <c r="N22" s="236" t="str">
        <f t="shared" si="11"/>
        <v>---</v>
      </c>
      <c r="O22" s="212">
        <f>SUMIFS('Diags Raw Data'!$Y$6:$Y$4756,'Diags Raw Data'!$D$6:$D$4756,$A22,'Diags Raw Data'!$L$6:$L$4756,"New")+SUMIFS('Diags Raw Data'!$Y$6:$Y$4756,'Diags Raw Data'!$D$6:$D$4756,$A22,'Diags Raw Data'!$L$6:$L$4756,"Delta")</f>
        <v>0</v>
      </c>
      <c r="P22" s="202">
        <f>SUMIFS('Diags Raw Data'!$Z$6:$Z$4756,'Diags Raw Data'!$D$6:$D$4756,$A22,'Diags Raw Data'!$L$6:$L$4756,"New")+SUMIFS('Diags Raw Data'!$Z$6:$Z$4756,'Diags Raw Data'!$D$6:$D$4756,$A22,'Diags Raw Data'!$L$6:$L$4756,"Delta")</f>
        <v>0</v>
      </c>
      <c r="Q22" s="202">
        <f>SUMIFS('Diags Raw Data'!$AA$6:$AA$4756,'Diags Raw Data'!$D$6:$D$4756,$A22,'Diags Raw Data'!$L$6:$L$4756,"New")+SUMIFS('Diags Raw Data'!$AA$6:$AA$4756,'Diags Raw Data'!$D$6:$D$4756,$A22,'Diags Raw Data'!$L$6:$L$4756,"Delta")</f>
        <v>0</v>
      </c>
      <c r="R22" s="202">
        <f>SUMIFS('Diags Raw Data'!$AB$6:$AB$4756,'Diags Raw Data'!$D$6:$D$4756,$A22,'Diags Raw Data'!$L$6:$L$4756,"New")+SUMIFS('Diags Raw Data'!$AB$6:$AB$4756,'Diags Raw Data'!$D$6:$D$4756,$A22,'Diags Raw Data'!$L$6:$L$4756,"Delta")</f>
        <v>0</v>
      </c>
      <c r="S22" s="202">
        <f>SUMIFS('Diags Raw Data'!$AC$6:$AC$4756,'Diags Raw Data'!$D$6:$D$4756,$A22,'Diags Raw Data'!$L$6:$L$4756,"New")+SUMIFS('Diags Raw Data'!$AC$6:$AC$4756,'Diags Raw Data'!$D$6:$D$4756,$A22,'Diags Raw Data'!$L$6:$L$4756,"Delta")</f>
        <v>0</v>
      </c>
      <c r="T22" s="203" t="str">
        <f t="shared" si="12"/>
        <v>---</v>
      </c>
      <c r="U22" s="228" t="str">
        <f t="shared" si="13"/>
        <v>---</v>
      </c>
      <c r="V22" s="230" t="str">
        <f t="shared" si="9"/>
        <v>---</v>
      </c>
    </row>
    <row r="23" spans="1:22">
      <c r="A23" s="333" t="s">
        <v>658</v>
      </c>
      <c r="B23" s="251">
        <f>SUMIFS('Diags Raw Data'!$K$6:$K$4756,'Diags Raw Data'!$D$6:$D$4756,$A23,'Diags Raw Data'!$L$6:$L$4756,"New")+SUMIFS('Diags Raw Data'!$K$6:$K$4756,'Diags Raw Data'!$D$6:$D$4756,$A23,'Diags Raw Data'!$L$6:$L$4756,"Delta")</f>
        <v>0</v>
      </c>
      <c r="C23" s="241">
        <f>SUMIFS('Diags Raw Data'!$Q$6:$Q$4756,'Diags Raw Data'!$D$6:$D$4756,$A23,'Diags Raw Data'!$L$6:$L$4756,"New")+SUMIFS('Diags Raw Data'!$Q$6:$Q$4756,'Diags Raw Data'!$D$6:$D$4756,$A23,'Diags Raw Data'!$L$6:$L$4756,"Delta")</f>
        <v>0</v>
      </c>
      <c r="D23" s="241">
        <f>SUMIFS('Diags Raw Data'!$J$6:$J$4756,'Diags Raw Data'!$D$6:$D$4756,$A23,'Diags Raw Data'!$L$6:$L$4756,"New")+SUMIFS('Diags Raw Data'!$J$6:$J$4756,'Diags Raw Data'!$D$6:$D$4756,$A23,'Diags Raw Data'!$L$6:$L$4756,"Delta")</f>
        <v>0</v>
      </c>
      <c r="E23" s="241">
        <f>SUMIFS('Diags Raw Data'!$N$6:$N$4756,'Diags Raw Data'!$D$6:$D$4756,$A23,'Diags Raw Data'!$L$6:$L$4756,"New")+SUMIFS('Diags Raw Data'!$N$6:$N$4756,'Diags Raw Data'!$D$6:$D$4756,$A23,'Diags Raw Data'!$L$6:$L$4756,"Delta")</f>
        <v>0</v>
      </c>
      <c r="F23" s="247" t="str">
        <f t="shared" si="8"/>
        <v>---</v>
      </c>
      <c r="G23" s="229">
        <f>SUMIFS('Diags Raw Data'!$R$6:$R$4756,'Diags Raw Data'!$D$6:$D$4756,$A23,'Diags Raw Data'!$L$6:$L$4756,"New")+SUMIFS('Diags Raw Data'!$R$6:$R$4756,'Diags Raw Data'!$D$6:$D$4756,$A23,'Diags Raw Data'!$L$6:$L$4756,"Delta")</f>
        <v>0</v>
      </c>
      <c r="H23" s="225">
        <f>SUMIFS('Diags Raw Data'!$S$6:$S$4756,'Diags Raw Data'!$D$6:$D$4756,$A23,'Diags Raw Data'!$L$6:$L$4756,"New")+SUMIFS('Diags Raw Data'!$S$6:$S$4756,'Diags Raw Data'!$D$6:$D$4756,$A23,'Diags Raw Data'!$L$6:$L$4756,"Delta")</f>
        <v>0</v>
      </c>
      <c r="I23" s="225">
        <f>SUMIFS('Diags Raw Data'!$T$6:$T$4756,'Diags Raw Data'!$D$6:$D$4756,$A23,'Diags Raw Data'!$L$6:$L$4756,"New")+SUMIFS('Diags Raw Data'!$T$6:$T$4756,'Diags Raw Data'!$D$6:$D$4756,$A23,'Diags Raw Data'!$L$6:$L$4756,"Delta")</f>
        <v>0</v>
      </c>
      <c r="J23" s="225">
        <f>SUMIFS('Diags Raw Data'!$U$6:$U$4756,'Diags Raw Data'!$D$6:$D$4756,$A23,'Diags Raw Data'!$L$6:$L$4756,"New")+SUMIFS('Diags Raw Data'!$U$6:$U$4756,'Diags Raw Data'!$D$6:$D$4756,$A23,'Diags Raw Data'!$L$6:$L$4756,"Delta")</f>
        <v>0</v>
      </c>
      <c r="K23" s="225">
        <f>SUMIFS('Diags Raw Data'!$V$6:$V$4756,'Diags Raw Data'!$D$6:$D$4756,$A23,'Diags Raw Data'!$L$6:$L$4756,"New")+SUMIFS('Diags Raw Data'!$V$6:$V$4756,'Diags Raw Data'!$D$6:$D$4756,$A23,'Diags Raw Data'!$L$6:$L$4756,"Delta")</f>
        <v>0</v>
      </c>
      <c r="L23" s="242" t="str">
        <f t="shared" si="10"/>
        <v>---</v>
      </c>
      <c r="M23" s="227" t="str">
        <f t="shared" si="14"/>
        <v>---</v>
      </c>
      <c r="N23" s="236" t="str">
        <f t="shared" si="11"/>
        <v>---</v>
      </c>
      <c r="O23" s="212">
        <f>SUMIFS('Diags Raw Data'!$Y$6:$Y$4756,'Diags Raw Data'!$D$6:$D$4756,$A23,'Diags Raw Data'!$L$6:$L$4756,"New")+SUMIFS('Diags Raw Data'!$Y$6:$Y$4756,'Diags Raw Data'!$D$6:$D$4756,$A23,'Diags Raw Data'!$L$6:$L$4756,"Delta")</f>
        <v>0</v>
      </c>
      <c r="P23" s="202">
        <f>SUMIFS('Diags Raw Data'!$Z$6:$Z$4756,'Diags Raw Data'!$D$6:$D$4756,$A23,'Diags Raw Data'!$L$6:$L$4756,"New")+SUMIFS('Diags Raw Data'!$Z$6:$Z$4756,'Diags Raw Data'!$D$6:$D$4756,$A23,'Diags Raw Data'!$L$6:$L$4756,"Delta")</f>
        <v>0</v>
      </c>
      <c r="Q23" s="202">
        <f>SUMIFS('Diags Raw Data'!$AA$6:$AA$4756,'Diags Raw Data'!$D$6:$D$4756,$A23,'Diags Raw Data'!$L$6:$L$4756,"New")+SUMIFS('Diags Raw Data'!$AA$6:$AA$4756,'Diags Raw Data'!$D$6:$D$4756,$A23,'Diags Raw Data'!$L$6:$L$4756,"Delta")</f>
        <v>0</v>
      </c>
      <c r="R23" s="202">
        <f>SUMIFS('Diags Raw Data'!$AB$6:$AB$4756,'Diags Raw Data'!$D$6:$D$4756,$A23,'Diags Raw Data'!$L$6:$L$4756,"New")+SUMIFS('Diags Raw Data'!$AB$6:$AB$4756,'Diags Raw Data'!$D$6:$D$4756,$A23,'Diags Raw Data'!$L$6:$L$4756,"Delta")</f>
        <v>0</v>
      </c>
      <c r="S23" s="202">
        <f>SUMIFS('Diags Raw Data'!$AC$6:$AC$4756,'Diags Raw Data'!$D$6:$D$4756,$A23,'Diags Raw Data'!$L$6:$L$4756,"New")+SUMIFS('Diags Raw Data'!$AC$6:$AC$4756,'Diags Raw Data'!$D$6:$D$4756,$A23,'Diags Raw Data'!$L$6:$L$4756,"Delta")</f>
        <v>0</v>
      </c>
      <c r="T23" s="203" t="str">
        <f t="shared" si="12"/>
        <v>---</v>
      </c>
      <c r="U23" s="228" t="str">
        <f t="shared" si="13"/>
        <v>---</v>
      </c>
      <c r="V23" s="230" t="str">
        <f t="shared" si="9"/>
        <v>---</v>
      </c>
    </row>
    <row r="24" spans="1:22">
      <c r="A24" s="333" t="s">
        <v>659</v>
      </c>
      <c r="B24" s="251">
        <f>SUMIFS('Diags Raw Data'!$K$6:$K$4756,'Diags Raw Data'!$D$6:$D$4756,$A24,'Diags Raw Data'!$L$6:$L$4756,"New")+SUMIFS('Diags Raw Data'!$K$6:$K$4756,'Diags Raw Data'!$D$6:$D$4756,$A24,'Diags Raw Data'!$L$6:$L$4756,"Delta")</f>
        <v>0</v>
      </c>
      <c r="C24" s="241">
        <f>SUMIFS('Diags Raw Data'!$Q$6:$Q$4756,'Diags Raw Data'!$D$6:$D$4756,$A24,'Diags Raw Data'!$L$6:$L$4756,"New")+SUMIFS('Diags Raw Data'!$Q$6:$Q$4756,'Diags Raw Data'!$D$6:$D$4756,$A24,'Diags Raw Data'!$L$6:$L$4756,"Delta")</f>
        <v>0</v>
      </c>
      <c r="D24" s="241">
        <f>SUMIFS('Diags Raw Data'!$J$6:$J$4756,'Diags Raw Data'!$D$6:$D$4756,$A24,'Diags Raw Data'!$L$6:$L$4756,"New")+SUMIFS('Diags Raw Data'!$J$6:$J$4756,'Diags Raw Data'!$D$6:$D$4756,$A24,'Diags Raw Data'!$L$6:$L$4756,"Delta")</f>
        <v>0</v>
      </c>
      <c r="E24" s="241">
        <f>SUMIFS('Diags Raw Data'!$N$6:$N$4756,'Diags Raw Data'!$D$6:$D$4756,$A24,'Diags Raw Data'!$L$6:$L$4756,"New")+SUMIFS('Diags Raw Data'!$N$6:$N$4756,'Diags Raw Data'!$D$6:$D$4756,$A24,'Diags Raw Data'!$L$6:$L$4756,"Delta")</f>
        <v>0</v>
      </c>
      <c r="F24" s="247" t="str">
        <f t="shared" si="8"/>
        <v>---</v>
      </c>
      <c r="G24" s="229">
        <f>SUMIFS('Diags Raw Data'!$R$6:$R$4756,'Diags Raw Data'!$D$6:$D$4756,$A24,'Diags Raw Data'!$L$6:$L$4756,"New")+SUMIFS('Diags Raw Data'!$R$6:$R$4756,'Diags Raw Data'!$D$6:$D$4756,$A24,'Diags Raw Data'!$L$6:$L$4756,"Delta")</f>
        <v>0</v>
      </c>
      <c r="H24" s="225">
        <f>SUMIFS('Diags Raw Data'!$S$6:$S$4756,'Diags Raw Data'!$D$6:$D$4756,$A24,'Diags Raw Data'!$L$6:$L$4756,"New")+SUMIFS('Diags Raw Data'!$S$6:$S$4756,'Diags Raw Data'!$D$6:$D$4756,$A24,'Diags Raw Data'!$L$6:$L$4756,"Delta")</f>
        <v>0</v>
      </c>
      <c r="I24" s="225">
        <f>SUMIFS('Diags Raw Data'!$T$6:$T$4756,'Diags Raw Data'!$D$6:$D$4756,$A24,'Diags Raw Data'!$L$6:$L$4756,"New")+SUMIFS('Diags Raw Data'!$T$6:$T$4756,'Diags Raw Data'!$D$6:$D$4756,$A24,'Diags Raw Data'!$L$6:$L$4756,"Delta")</f>
        <v>0</v>
      </c>
      <c r="J24" s="225">
        <f>SUMIFS('Diags Raw Data'!$U$6:$U$4756,'Diags Raw Data'!$D$6:$D$4756,$A24,'Diags Raw Data'!$L$6:$L$4756,"New")+SUMIFS('Diags Raw Data'!$U$6:$U$4756,'Diags Raw Data'!$D$6:$D$4756,$A24,'Diags Raw Data'!$L$6:$L$4756,"Delta")</f>
        <v>0</v>
      </c>
      <c r="K24" s="225">
        <f>SUMIFS('Diags Raw Data'!$V$6:$V$4756,'Diags Raw Data'!$D$6:$D$4756,$A24,'Diags Raw Data'!$L$6:$L$4756,"New")+SUMIFS('Diags Raw Data'!$V$6:$V$4756,'Diags Raw Data'!$D$6:$D$4756,$A24,'Diags Raw Data'!$L$6:$L$4756,"Delta")</f>
        <v>0</v>
      </c>
      <c r="L24" s="242" t="str">
        <f t="shared" si="10"/>
        <v>---</v>
      </c>
      <c r="M24" s="227" t="str">
        <f t="shared" si="14"/>
        <v>---</v>
      </c>
      <c r="N24" s="236" t="str">
        <f t="shared" si="11"/>
        <v>---</v>
      </c>
      <c r="O24" s="212">
        <f>SUMIFS('Diags Raw Data'!$Y$6:$Y$4756,'Diags Raw Data'!$D$6:$D$4756,$A24,'Diags Raw Data'!$L$6:$L$4756,"New")+SUMIFS('Diags Raw Data'!$Y$6:$Y$4756,'Diags Raw Data'!$D$6:$D$4756,$A24,'Diags Raw Data'!$L$6:$L$4756,"Delta")</f>
        <v>0</v>
      </c>
      <c r="P24" s="202">
        <f>SUMIFS('Diags Raw Data'!$Z$6:$Z$4756,'Diags Raw Data'!$D$6:$D$4756,$A24,'Diags Raw Data'!$L$6:$L$4756,"New")+SUMIFS('Diags Raw Data'!$Z$6:$Z$4756,'Diags Raw Data'!$D$6:$D$4756,$A24,'Diags Raw Data'!$L$6:$L$4756,"Delta")</f>
        <v>0</v>
      </c>
      <c r="Q24" s="202">
        <f>SUMIFS('Diags Raw Data'!$AA$6:$AA$4756,'Diags Raw Data'!$D$6:$D$4756,$A24,'Diags Raw Data'!$L$6:$L$4756,"New")+SUMIFS('Diags Raw Data'!$AA$6:$AA$4756,'Diags Raw Data'!$D$6:$D$4756,$A24,'Diags Raw Data'!$L$6:$L$4756,"Delta")</f>
        <v>0</v>
      </c>
      <c r="R24" s="202">
        <f>SUMIFS('Diags Raw Data'!$AB$6:$AB$4756,'Diags Raw Data'!$D$6:$D$4756,$A24,'Diags Raw Data'!$L$6:$L$4756,"New")+SUMIFS('Diags Raw Data'!$AB$6:$AB$4756,'Diags Raw Data'!$D$6:$D$4756,$A24,'Diags Raw Data'!$L$6:$L$4756,"Delta")</f>
        <v>0</v>
      </c>
      <c r="S24" s="202">
        <f>SUMIFS('Diags Raw Data'!$AC$6:$AC$4756,'Diags Raw Data'!$D$6:$D$4756,$A24,'Diags Raw Data'!$L$6:$L$4756,"New")+SUMIFS('Diags Raw Data'!$AC$6:$AC$4756,'Diags Raw Data'!$D$6:$D$4756,$A24,'Diags Raw Data'!$L$6:$L$4756,"Delta")</f>
        <v>0</v>
      </c>
      <c r="T24" s="203" t="str">
        <f t="shared" si="12"/>
        <v>---</v>
      </c>
      <c r="U24" s="228" t="str">
        <f t="shared" si="13"/>
        <v>---</v>
      </c>
      <c r="V24" s="230" t="str">
        <f t="shared" si="9"/>
        <v>---</v>
      </c>
    </row>
    <row r="25" spans="1:22">
      <c r="A25" s="333" t="s">
        <v>660</v>
      </c>
      <c r="B25" s="251">
        <f>SUMIFS('Diags Raw Data'!$K$6:$K$4756,'Diags Raw Data'!$D$6:$D$4756,$A25,'Diags Raw Data'!$L$6:$L$4756,"New")+SUMIFS('Diags Raw Data'!$K$6:$K$4756,'Diags Raw Data'!$D$6:$D$4756,$A25,'Diags Raw Data'!$L$6:$L$4756,"Delta")</f>
        <v>0</v>
      </c>
      <c r="C25" s="241">
        <f>SUMIFS('Diags Raw Data'!$Q$6:$Q$4756,'Diags Raw Data'!$D$6:$D$4756,$A25,'Diags Raw Data'!$L$6:$L$4756,"New")+SUMIFS('Diags Raw Data'!$Q$6:$Q$4756,'Diags Raw Data'!$D$6:$D$4756,$A25,'Diags Raw Data'!$L$6:$L$4756,"Delta")</f>
        <v>0</v>
      </c>
      <c r="D25" s="241">
        <f>SUMIFS('Diags Raw Data'!$J$6:$J$4756,'Diags Raw Data'!$D$6:$D$4756,$A25,'Diags Raw Data'!$L$6:$L$4756,"New")+SUMIFS('Diags Raw Data'!$J$6:$J$4756,'Diags Raw Data'!$D$6:$D$4756,$A25,'Diags Raw Data'!$L$6:$L$4756,"Delta")</f>
        <v>0</v>
      </c>
      <c r="E25" s="241">
        <f>SUMIFS('Diags Raw Data'!$N$6:$N$4756,'Diags Raw Data'!$D$6:$D$4756,$A25,'Diags Raw Data'!$L$6:$L$4756,"New")+SUMIFS('Diags Raw Data'!$N$6:$N$4756,'Diags Raw Data'!$D$6:$D$4756,$A25,'Diags Raw Data'!$L$6:$L$4756,"Delta")</f>
        <v>0</v>
      </c>
      <c r="F25" s="247" t="str">
        <f t="shared" si="8"/>
        <v>---</v>
      </c>
      <c r="G25" s="229">
        <f>SUMIFS('Diags Raw Data'!$R$6:$R$4756,'Diags Raw Data'!$D$6:$D$4756,$A25,'Diags Raw Data'!$L$6:$L$4756,"New")+SUMIFS('Diags Raw Data'!$R$6:$R$4756,'Diags Raw Data'!$D$6:$D$4756,$A25,'Diags Raw Data'!$L$6:$L$4756,"Delta")</f>
        <v>0</v>
      </c>
      <c r="H25" s="225">
        <f>SUMIFS('Diags Raw Data'!$S$6:$S$4756,'Diags Raw Data'!$D$6:$D$4756,$A25,'Diags Raw Data'!$L$6:$L$4756,"New")+SUMIFS('Diags Raw Data'!$S$6:$S$4756,'Diags Raw Data'!$D$6:$D$4756,$A25,'Diags Raw Data'!$L$6:$L$4756,"Delta")</f>
        <v>0</v>
      </c>
      <c r="I25" s="225">
        <f>SUMIFS('Diags Raw Data'!$T$6:$T$4756,'Diags Raw Data'!$D$6:$D$4756,$A25,'Diags Raw Data'!$L$6:$L$4756,"New")+SUMIFS('Diags Raw Data'!$T$6:$T$4756,'Diags Raw Data'!$D$6:$D$4756,$A25,'Diags Raw Data'!$L$6:$L$4756,"Delta")</f>
        <v>0</v>
      </c>
      <c r="J25" s="225">
        <f>SUMIFS('Diags Raw Data'!$U$6:$U$4756,'Diags Raw Data'!$D$6:$D$4756,$A25,'Diags Raw Data'!$L$6:$L$4756,"New")+SUMIFS('Diags Raw Data'!$U$6:$U$4756,'Diags Raw Data'!$D$6:$D$4756,$A25,'Diags Raw Data'!$L$6:$L$4756,"Delta")</f>
        <v>0</v>
      </c>
      <c r="K25" s="225">
        <f>SUMIFS('Diags Raw Data'!$V$6:$V$4756,'Diags Raw Data'!$D$6:$D$4756,$A25,'Diags Raw Data'!$L$6:$L$4756,"New")+SUMIFS('Diags Raw Data'!$V$6:$V$4756,'Diags Raw Data'!$D$6:$D$4756,$A25,'Diags Raw Data'!$L$6:$L$4756,"Delta")</f>
        <v>0</v>
      </c>
      <c r="L25" s="242" t="str">
        <f t="shared" si="10"/>
        <v>---</v>
      </c>
      <c r="M25" s="227" t="str">
        <f>IF(NOT($G25=0), (H25+I25)/$G25, "---")</f>
        <v>---</v>
      </c>
      <c r="N25" s="236" t="str">
        <f t="shared" si="11"/>
        <v>---</v>
      </c>
      <c r="O25" s="212">
        <f>SUMIFS('Diags Raw Data'!$Y$6:$Y$4756,'Diags Raw Data'!$D$6:$D$4756,$A25,'Diags Raw Data'!$L$6:$L$4756,"New")+SUMIFS('Diags Raw Data'!$Y$6:$Y$4756,'Diags Raw Data'!$D$6:$D$4756,$A25,'Diags Raw Data'!$L$6:$L$4756,"Delta")</f>
        <v>0</v>
      </c>
      <c r="P25" s="202">
        <f>SUMIFS('Diags Raw Data'!$Z$6:$Z$4756,'Diags Raw Data'!$D$6:$D$4756,$A25,'Diags Raw Data'!$L$6:$L$4756,"New")+SUMIFS('Diags Raw Data'!$Z$6:$Z$4756,'Diags Raw Data'!$D$6:$D$4756,$A25,'Diags Raw Data'!$L$6:$L$4756,"Delta")</f>
        <v>0</v>
      </c>
      <c r="Q25" s="202">
        <f>SUMIFS('Diags Raw Data'!$AA$6:$AA$4756,'Diags Raw Data'!$D$6:$D$4756,$A25,'Diags Raw Data'!$L$6:$L$4756,"New")+SUMIFS('Diags Raw Data'!$AA$6:$AA$4756,'Diags Raw Data'!$D$6:$D$4756,$A25,'Diags Raw Data'!$L$6:$L$4756,"Delta")</f>
        <v>0</v>
      </c>
      <c r="R25" s="202">
        <f>SUMIFS('Diags Raw Data'!$AB$6:$AB$4756,'Diags Raw Data'!$D$6:$D$4756,$A25,'Diags Raw Data'!$L$6:$L$4756,"New")+SUMIFS('Diags Raw Data'!$AB$6:$AB$4756,'Diags Raw Data'!$D$6:$D$4756,$A25,'Diags Raw Data'!$L$6:$L$4756,"Delta")</f>
        <v>0</v>
      </c>
      <c r="S25" s="202">
        <f>SUMIFS('Diags Raw Data'!$AC$6:$AC$4756,'Diags Raw Data'!$D$6:$D$4756,$A25,'Diags Raw Data'!$L$6:$L$4756,"New")+SUMIFS('Diags Raw Data'!$AC$6:$AC$4756,'Diags Raw Data'!$D$6:$D$4756,$A25,'Diags Raw Data'!$L$6:$L$4756,"Delta")</f>
        <v>0</v>
      </c>
      <c r="T25" s="203" t="str">
        <f t="shared" si="12"/>
        <v>---</v>
      </c>
      <c r="U25" s="228" t="str">
        <f t="shared" si="13"/>
        <v>---</v>
      </c>
      <c r="V25" s="230" t="str">
        <f t="shared" si="9"/>
        <v>---</v>
      </c>
    </row>
    <row r="26" spans="1:22">
      <c r="A26" s="333" t="s">
        <v>661</v>
      </c>
      <c r="B26" s="251">
        <f>SUMIFS('Diags Raw Data'!$K$6:$K$4756,'Diags Raw Data'!$D$6:$D$4756,$A26,'Diags Raw Data'!$L$6:$L$4756,"New")+SUMIFS('Diags Raw Data'!$K$6:$K$4756,'Diags Raw Data'!$D$6:$D$4756,$A26,'Diags Raw Data'!$L$6:$L$4756,"Delta")</f>
        <v>0</v>
      </c>
      <c r="C26" s="241">
        <f>SUMIFS('Diags Raw Data'!$Q$6:$Q$4756,'Diags Raw Data'!$D$6:$D$4756,$A26,'Diags Raw Data'!$L$6:$L$4756,"New")+SUMIFS('Diags Raw Data'!$Q$6:$Q$4756,'Diags Raw Data'!$D$6:$D$4756,$A26,'Diags Raw Data'!$L$6:$L$4756,"Delta")</f>
        <v>0</v>
      </c>
      <c r="D26" s="241">
        <f>SUMIFS('Diags Raw Data'!$J$6:$J$4756,'Diags Raw Data'!$D$6:$D$4756,$A26,'Diags Raw Data'!$L$6:$L$4756,"New")+SUMIFS('Diags Raw Data'!$J$6:$J$4756,'Diags Raw Data'!$D$6:$D$4756,$A26,'Diags Raw Data'!$L$6:$L$4756,"Delta")</f>
        <v>0</v>
      </c>
      <c r="E26" s="241">
        <f>SUMIFS('Diags Raw Data'!$N$6:$N$4756,'Diags Raw Data'!$D$6:$D$4756,$A26,'Diags Raw Data'!$L$6:$L$4756,"New")+SUMIFS('Diags Raw Data'!$N$6:$N$4756,'Diags Raw Data'!$D$6:$D$4756,$A26,'Diags Raw Data'!$L$6:$L$4756,"Delta")</f>
        <v>0</v>
      </c>
      <c r="F26" s="247" t="str">
        <f t="shared" si="8"/>
        <v>---</v>
      </c>
      <c r="G26" s="229">
        <f>SUMIFS('Diags Raw Data'!$R$6:$R$4756,'Diags Raw Data'!$D$6:$D$4756,$A26,'Diags Raw Data'!$L$6:$L$4756,"New")+SUMIFS('Diags Raw Data'!$R$6:$R$4756,'Diags Raw Data'!$D$6:$D$4756,$A26,'Diags Raw Data'!$L$6:$L$4756,"Delta")</f>
        <v>0</v>
      </c>
      <c r="H26" s="225">
        <f>SUMIFS('Diags Raw Data'!$S$6:$S$4756,'Diags Raw Data'!$D$6:$D$4756,$A26,'Diags Raw Data'!$L$6:$L$4756,"New")+SUMIFS('Diags Raw Data'!$S$6:$S$4756,'Diags Raw Data'!$D$6:$D$4756,$A26,'Diags Raw Data'!$L$6:$L$4756,"Delta")</f>
        <v>0</v>
      </c>
      <c r="I26" s="225">
        <f>SUMIFS('Diags Raw Data'!$T$6:$T$4756,'Diags Raw Data'!$D$6:$D$4756,$A26,'Diags Raw Data'!$L$6:$L$4756,"New")+SUMIFS('Diags Raw Data'!$T$6:$T$4756,'Diags Raw Data'!$D$6:$D$4756,$A26,'Diags Raw Data'!$L$6:$L$4756,"Delta")</f>
        <v>0</v>
      </c>
      <c r="J26" s="225">
        <f>SUMIFS('Diags Raw Data'!$U$6:$U$4756,'Diags Raw Data'!$D$6:$D$4756,$A26,'Diags Raw Data'!$L$6:$L$4756,"New")+SUMIFS('Diags Raw Data'!$U$6:$U$4756,'Diags Raw Data'!$D$6:$D$4756,$A26,'Diags Raw Data'!$L$6:$L$4756,"Delta")</f>
        <v>0</v>
      </c>
      <c r="K26" s="225">
        <f>SUMIFS('Diags Raw Data'!$V$6:$V$4756,'Diags Raw Data'!$D$6:$D$4756,$A26,'Diags Raw Data'!$L$6:$L$4756,"New")+SUMIFS('Diags Raw Data'!$V$6:$V$4756,'Diags Raw Data'!$D$6:$D$4756,$A26,'Diags Raw Data'!$L$6:$L$4756,"Delta")</f>
        <v>0</v>
      </c>
      <c r="L26" s="242" t="str">
        <f t="shared" si="10"/>
        <v>---</v>
      </c>
      <c r="M26" s="227" t="str">
        <f t="shared" si="14"/>
        <v>---</v>
      </c>
      <c r="N26" s="236" t="str">
        <f t="shared" si="11"/>
        <v>---</v>
      </c>
      <c r="O26" s="212">
        <f>SUMIFS('Diags Raw Data'!$Y$6:$Y$4756,'Diags Raw Data'!$D$6:$D$4756,$A26,'Diags Raw Data'!$L$6:$L$4756,"New")+SUMIFS('Diags Raw Data'!$Y$6:$Y$4756,'Diags Raw Data'!$D$6:$D$4756,$A26,'Diags Raw Data'!$L$6:$L$4756,"Delta")</f>
        <v>0</v>
      </c>
      <c r="P26" s="202">
        <f>SUMIFS('Diags Raw Data'!$Z$6:$Z$4756,'Diags Raw Data'!$D$6:$D$4756,$A26,'Diags Raw Data'!$L$6:$L$4756,"New")+SUMIFS('Diags Raw Data'!$Z$6:$Z$4756,'Diags Raw Data'!$D$6:$D$4756,$A26,'Diags Raw Data'!$L$6:$L$4756,"Delta")</f>
        <v>0</v>
      </c>
      <c r="Q26" s="202">
        <f>SUMIFS('Diags Raw Data'!$AA$6:$AA$4756,'Diags Raw Data'!$D$6:$D$4756,$A26,'Diags Raw Data'!$L$6:$L$4756,"New")+SUMIFS('Diags Raw Data'!$AA$6:$AA$4756,'Diags Raw Data'!$D$6:$D$4756,$A26,'Diags Raw Data'!$L$6:$L$4756,"Delta")</f>
        <v>0</v>
      </c>
      <c r="R26" s="202">
        <f>SUMIFS('Diags Raw Data'!$AB$6:$AB$4756,'Diags Raw Data'!$D$6:$D$4756,$A26,'Diags Raw Data'!$L$6:$L$4756,"New")+SUMIFS('Diags Raw Data'!$AB$6:$AB$4756,'Diags Raw Data'!$D$6:$D$4756,$A26,'Diags Raw Data'!$L$6:$L$4756,"Delta")</f>
        <v>0</v>
      </c>
      <c r="S26" s="202">
        <f>SUMIFS('Diags Raw Data'!$AC$6:$AC$4756,'Diags Raw Data'!$D$6:$D$4756,$A26,'Diags Raw Data'!$L$6:$L$4756,"New")+SUMIFS('Diags Raw Data'!$AC$6:$AC$4756,'Diags Raw Data'!$D$6:$D$4756,$A26,'Diags Raw Data'!$L$6:$L$4756,"Delta")</f>
        <v>0</v>
      </c>
      <c r="T26" s="203" t="str">
        <f t="shared" si="12"/>
        <v>---</v>
      </c>
      <c r="U26" s="228" t="str">
        <f t="shared" si="13"/>
        <v>---</v>
      </c>
      <c r="V26" s="230" t="str">
        <f t="shared" si="9"/>
        <v>---</v>
      </c>
    </row>
    <row r="27" spans="1:22" ht="15" thickBot="1">
      <c r="A27" s="334" t="s">
        <v>662</v>
      </c>
      <c r="B27" s="252">
        <f>SUMIFS('Diags Raw Data'!$K$6:$K$4756,'Diags Raw Data'!$D$6:$D$4756,$A27,'Diags Raw Data'!$L$6:$L$4756,"New")+SUMIFS('Diags Raw Data'!$K$6:$K$4756,'Diags Raw Data'!$D$6:$D$4756,$A27,'Diags Raw Data'!$L$6:$L$4756,"Delta")</f>
        <v>0</v>
      </c>
      <c r="C27" s="243">
        <f>SUMIFS('Diags Raw Data'!$Q$6:$Q$4756,'Diags Raw Data'!$D$6:$D$4756,$A27,'Diags Raw Data'!$L$6:$L$4756,"New")+SUMIFS('Diags Raw Data'!$Q$6:$Q$4756,'Diags Raw Data'!$D$6:$D$4756,$A27,'Diags Raw Data'!$L$6:$L$4756,"Delta")</f>
        <v>0</v>
      </c>
      <c r="D27" s="243">
        <f>SUMIFS('Diags Raw Data'!$J$6:$J$4756,'Diags Raw Data'!$D$6:$D$4756,$A27,'Diags Raw Data'!$L$6:$L$4756,"New")+SUMIFS('Diags Raw Data'!$J$6:$J$4756,'Diags Raw Data'!$D$6:$D$4756,$A27,'Diags Raw Data'!$L$6:$L$4756,"Delta")</f>
        <v>0</v>
      </c>
      <c r="E27" s="243">
        <f>SUMIFS('Diags Raw Data'!$N$6:$N$4756,'Diags Raw Data'!$D$6:$D$4756,$A27,'Diags Raw Data'!$L$6:$L$4756,"New")+SUMIFS('Diags Raw Data'!$N$6:$N$4756,'Diags Raw Data'!$D$6:$D$4756,$A27,'Diags Raw Data'!$L$6:$L$4756,"Delta")</f>
        <v>0</v>
      </c>
      <c r="F27" s="248" t="str">
        <f t="shared" si="8"/>
        <v>---</v>
      </c>
      <c r="G27" s="231">
        <f>SUMIFS('Diags Raw Data'!$R$6:$R$4756,'Diags Raw Data'!$D$6:$D$4756,$A27,'Diags Raw Data'!$L$6:$L$4756,"New")+SUMIFS('Diags Raw Data'!$R$6:$R$4756,'Diags Raw Data'!$D$6:$D$4756,$A27,'Diags Raw Data'!$L$6:$L$4756,"Delta")</f>
        <v>0</v>
      </c>
      <c r="H27" s="232">
        <f>SUMIFS('Diags Raw Data'!$S$6:$S$4756,'Diags Raw Data'!$D$6:$D$4756,$A27,'Diags Raw Data'!$L$6:$L$4756,"New")+SUMIFS('Diags Raw Data'!$S$6:$S$4756,'Diags Raw Data'!$D$6:$D$4756,$A27,'Diags Raw Data'!$L$6:$L$4756,"Delta")</f>
        <v>0</v>
      </c>
      <c r="I27" s="232">
        <f>SUMIFS('Diags Raw Data'!$T$6:$T$4756,'Diags Raw Data'!$D$6:$D$4756,$A27,'Diags Raw Data'!$L$6:$L$4756,"New")+SUMIFS('Diags Raw Data'!$T$6:$T$4756,'Diags Raw Data'!$D$6:$D$4756,$A27,'Diags Raw Data'!$L$6:$L$4756,"Delta")</f>
        <v>0</v>
      </c>
      <c r="J27" s="232">
        <f>SUMIFS('Diags Raw Data'!$U$6:$U$4756,'Diags Raw Data'!$D$6:$D$4756,$A27,'Diags Raw Data'!$L$6:$L$4756,"New")+SUMIFS('Diags Raw Data'!$U$6:$U$4756,'Diags Raw Data'!$D$6:$D$4756,$A27,'Diags Raw Data'!$L$6:$L$4756,"Delta")</f>
        <v>0</v>
      </c>
      <c r="K27" s="232">
        <f>SUMIFS('Diags Raw Data'!$V$6:$V$4756,'Diags Raw Data'!$D$6:$D$4756,$A27,'Diags Raw Data'!$L$6:$L$4756,"New")+SUMIFS('Diags Raw Data'!$V$6:$V$4756,'Diags Raw Data'!$D$6:$D$4756,$A27,'Diags Raw Data'!$L$6:$L$4756,"Delta")</f>
        <v>0</v>
      </c>
      <c r="L27" s="244" t="str">
        <f t="shared" si="10"/>
        <v>---</v>
      </c>
      <c r="M27" s="234" t="str">
        <f t="shared" si="14"/>
        <v>---</v>
      </c>
      <c r="N27" s="237" t="str">
        <f t="shared" si="11"/>
        <v>---</v>
      </c>
      <c r="O27" s="213">
        <f>SUMIFS('Diags Raw Data'!$Y$6:$Y$4756,'Diags Raw Data'!$D$6:$D$4756,$A27,'Diags Raw Data'!$L$6:$L$4756,"New")+SUMIFS('Diags Raw Data'!$Y$6:$Y$4756,'Diags Raw Data'!$D$6:$D$4756,$A27,'Diags Raw Data'!$L$6:$L$4756,"Delta")</f>
        <v>0</v>
      </c>
      <c r="P27" s="205">
        <f>SUMIFS('Diags Raw Data'!$Z$6:$Z$4756,'Diags Raw Data'!$D$6:$D$4756,$A27,'Diags Raw Data'!$L$6:$L$4756,"New")+SUMIFS('Diags Raw Data'!$Z$6:$Z$4756,'Diags Raw Data'!$D$6:$D$4756,$A27,'Diags Raw Data'!$L$6:$L$4756,"Delta")</f>
        <v>0</v>
      </c>
      <c r="Q27" s="205">
        <f>SUMIFS('Diags Raw Data'!$AA$6:$AA$4756,'Diags Raw Data'!$D$6:$D$4756,$A27,'Diags Raw Data'!$L$6:$L$4756,"New")+SUMIFS('Diags Raw Data'!$AA$6:$AA$4756,'Diags Raw Data'!$D$6:$D$4756,$A27,'Diags Raw Data'!$L$6:$L$4756,"Delta")</f>
        <v>0</v>
      </c>
      <c r="R27" s="205">
        <f>SUMIFS('Diags Raw Data'!$AB$6:$AB$4756,'Diags Raw Data'!$D$6:$D$4756,$A27,'Diags Raw Data'!$L$6:$L$4756,"New")+SUMIFS('Diags Raw Data'!$AB$6:$AB$4756,'Diags Raw Data'!$D$6:$D$4756,$A27,'Diags Raw Data'!$L$6:$L$4756,"Delta")</f>
        <v>0</v>
      </c>
      <c r="S27" s="205">
        <f>SUMIFS('Diags Raw Data'!$AC$6:$AC$4756,'Diags Raw Data'!$D$6:$D$4756,$A27,'Diags Raw Data'!$L$6:$L$4756,"New")+SUMIFS('Diags Raw Data'!$AC$6:$AC$4756,'Diags Raw Data'!$D$6:$D$4756,$A27,'Diags Raw Data'!$L$6:$L$4756,"Delta")</f>
        <v>0</v>
      </c>
      <c r="T27" s="206" t="str">
        <f t="shared" si="12"/>
        <v>---</v>
      </c>
      <c r="U27" s="238" t="str">
        <f t="shared" si="13"/>
        <v>---</v>
      </c>
      <c r="V27" s="235" t="str">
        <f t="shared" si="9"/>
        <v>---</v>
      </c>
    </row>
    <row r="28" spans="1:22" ht="15.95" thickBot="1">
      <c r="A28" s="254" t="s">
        <v>665</v>
      </c>
      <c r="B28" s="255">
        <f>SUM(B18:B27)</f>
        <v>0</v>
      </c>
      <c r="C28" s="256">
        <f>SUM(C18:C27)</f>
        <v>0</v>
      </c>
      <c r="D28" s="256">
        <f>SUM(D18:D27)</f>
        <v>0</v>
      </c>
      <c r="E28" s="256">
        <f>SUM(E18:E27)</f>
        <v>0</v>
      </c>
      <c r="F28" s="257" t="e" cm="1">
        <f t="array" ref="F28">SUMPRODUCT(--(ISNUMBER(SEARCH("New",'Diags Raw Data'!$L$6:$L$4756))),'Diags Raw Data'!$J$6:$J$4756,'Diags Raw Data'!$O$6:$O$4756)/D28+SUMPRODUCT(--(ISNUMBER(SEARCH("Delta",'Diags Raw Data'!$L$6:$L$4756))),'Diags Raw Data'!$J$6:$J$4756,'Diags Raw Data'!$O$6:$O$4756)/D28</f>
        <v>#DIV/0!</v>
      </c>
      <c r="G28" s="258">
        <f>SUM(G18:G27)</f>
        <v>0</v>
      </c>
      <c r="H28" s="259">
        <f>SUM(H18:H27)</f>
        <v>0</v>
      </c>
      <c r="I28" s="260">
        <f>SUM(I18:I27)</f>
        <v>0</v>
      </c>
      <c r="J28" s="259">
        <f>SUM(J18:J27)</f>
        <v>0</v>
      </c>
      <c r="K28" s="260">
        <f>SUM(K18:K27)</f>
        <v>0</v>
      </c>
      <c r="L28" s="261" t="str">
        <f>IF(NOT($C28=0), G28/$C28, "---")</f>
        <v>---</v>
      </c>
      <c r="M28" s="262" t="str">
        <f t="shared" si="14"/>
        <v>---</v>
      </c>
      <c r="N28" s="263" t="str">
        <f>IF(NOT($C28=0), (H28+I28)/$C28, "---")</f>
        <v>---</v>
      </c>
      <c r="O28" s="264">
        <f>SUM(O18:O27)</f>
        <v>0</v>
      </c>
      <c r="P28" s="265">
        <f>SUM(P18:P27)</f>
        <v>0</v>
      </c>
      <c r="Q28" s="266">
        <f>SUM(Q18:Q27)</f>
        <v>0</v>
      </c>
      <c r="R28" s="265">
        <f>SUM(R18:R27)</f>
        <v>0</v>
      </c>
      <c r="S28" s="266">
        <f>SUM(S18:S27)</f>
        <v>0</v>
      </c>
      <c r="T28" s="267" t="str">
        <f>IF(NOT($B28=0), O28/$B28, "---")</f>
        <v>---</v>
      </c>
      <c r="U28" s="268" t="str">
        <f t="shared" si="13"/>
        <v>---</v>
      </c>
      <c r="V28" s="269" t="str">
        <f t="shared" si="9"/>
        <v>---</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61" t="s">
        <v>161</v>
      </c>
      <c r="C30" s="661"/>
      <c r="D30" s="661"/>
      <c r="E30" s="661"/>
      <c r="F30" s="661"/>
      <c r="G30" s="662" t="s">
        <v>172</v>
      </c>
      <c r="H30" s="663"/>
      <c r="I30" s="663"/>
      <c r="J30" s="663"/>
      <c r="K30" s="663"/>
      <c r="L30" s="663"/>
      <c r="M30" s="663"/>
      <c r="N30" s="664"/>
      <c r="O30" s="665" t="s">
        <v>139</v>
      </c>
      <c r="P30" s="666"/>
      <c r="Q30" s="666"/>
      <c r="R30" s="666"/>
      <c r="S30" s="666"/>
      <c r="T30" s="666"/>
      <c r="U30" s="666"/>
      <c r="V30" s="667"/>
    </row>
    <row r="31" spans="1:22" s="249" customFormat="1" ht="15" thickBot="1">
      <c r="A31" s="253" t="s">
        <v>83</v>
      </c>
      <c r="B31" s="310" t="s">
        <v>162</v>
      </c>
      <c r="C31" s="311" t="s">
        <v>123</v>
      </c>
      <c r="D31" s="312" t="s">
        <v>100</v>
      </c>
      <c r="E31" s="312" t="s">
        <v>168</v>
      </c>
      <c r="F31" s="313" t="s">
        <v>170</v>
      </c>
      <c r="G31" s="314" t="s">
        <v>127</v>
      </c>
      <c r="H31" s="315" t="s">
        <v>30</v>
      </c>
      <c r="I31" s="315" t="s">
        <v>130</v>
      </c>
      <c r="J31" s="315" t="s">
        <v>35</v>
      </c>
      <c r="K31" s="315" t="s">
        <v>133</v>
      </c>
      <c r="L31" s="315" t="s">
        <v>179</v>
      </c>
      <c r="M31" s="315" t="s">
        <v>135</v>
      </c>
      <c r="N31" s="316" t="s">
        <v>182</v>
      </c>
      <c r="O31" s="317" t="s">
        <v>127</v>
      </c>
      <c r="P31" s="318" t="s">
        <v>30</v>
      </c>
      <c r="Q31" s="318" t="s">
        <v>130</v>
      </c>
      <c r="R31" s="318" t="s">
        <v>35</v>
      </c>
      <c r="S31" s="318" t="s">
        <v>133</v>
      </c>
      <c r="T31" s="318" t="s">
        <v>179</v>
      </c>
      <c r="U31" s="318" t="s">
        <v>135</v>
      </c>
      <c r="V31" s="319" t="s">
        <v>182</v>
      </c>
    </row>
    <row r="32" spans="1:22">
      <c r="A32" s="333" t="s">
        <v>255</v>
      </c>
      <c r="B32" s="250">
        <f>SUMIFS('Diags Raw Data'!$K$6:$K$4756,'Diags Raw Data'!$D$6:$D$4756,$A32,'Diags Raw Data'!$L$6:$L$4756,"Legacy")</f>
        <v>215</v>
      </c>
      <c r="C32" s="240">
        <f>SUMIFS('Diags Raw Data'!$Q$6:$Q$4756,'Diags Raw Data'!$D$6:$D$4756,$A32,'Diags Raw Data'!$L$6:$L$4756,"Legacy")</f>
        <v>215</v>
      </c>
      <c r="D32" s="240">
        <f>SUMIFS('Diags Raw Data'!$J$6:$J$4756,'Diags Raw Data'!$D$6:$D$4756,$A32,'Diags Raw Data'!$L$6:$L$4756,"Legacy")</f>
        <v>81</v>
      </c>
      <c r="E32" s="240">
        <f>SUMIFS('Diags Raw Data'!$N$6:$N$4756,'Diags Raw Data'!$D$6:$D$4756,$A32,'Diags Raw Data'!$L$6:$L$4756,"Legacy")</f>
        <v>215</v>
      </c>
      <c r="F32" s="246">
        <f>IF(NOT($B32=0), E32/$B32, "---")</f>
        <v>1</v>
      </c>
      <c r="G32" s="218">
        <f>SUMIFS('Diags Raw Data'!$R$6:$R$4756,'Diags Raw Data'!$D$6:$D$4756,$A32,'Diags Raw Data'!$L$6:$L$4756,"Legacy")</f>
        <v>215</v>
      </c>
      <c r="H32" s="219">
        <f>SUMIFS('Diags Raw Data'!$S$6:$S$4756,'Diags Raw Data'!$D$6:$D$4756,$A32,'Diags Raw Data'!$L$6:$L$4756,"Legacy")</f>
        <v>120</v>
      </c>
      <c r="I32" s="221">
        <f>SUMIFS('Diags Raw Data'!$T$6:$T$4756,'Diags Raw Data'!$D$6:$D$4756,$A32,'Diags Raw Data'!$L$6:$L$4756,"Legacy")</f>
        <v>0</v>
      </c>
      <c r="J32" s="219">
        <f>SUMIFS('Diags Raw Data'!$U$6:$U$4756,'Diags Raw Data'!$D$6:$D$4756,$A32,'Diags Raw Data'!$L$6:$L$4756,"Legacy")</f>
        <v>95</v>
      </c>
      <c r="K32" s="221">
        <f>SUMIFS('Diags Raw Data'!$V$6:$V$4756,'Diags Raw Data'!$D$6:$D$4756,$A32,'Diags Raw Data'!$L$6:$L$4756,"Legacy")</f>
        <v>0</v>
      </c>
      <c r="L32" s="220">
        <f>IF(NOT($C32=0), G32/$C32, "---")</f>
        <v>1</v>
      </c>
      <c r="M32" s="222">
        <f>IF(NOT($G32=0), (H32+I32)/$G32, "---")</f>
        <v>0.55813953488372092</v>
      </c>
      <c r="N32" s="224">
        <f>IF(NOT($C32=0), (H32+I32)/$C32, "---")</f>
        <v>0.55813953488372092</v>
      </c>
      <c r="O32" s="211">
        <f>SUMIFS('Diags Raw Data'!$Y$6:$Y$4756,'Diags Raw Data'!$D$6:$D$4756,$A32,'Diags Raw Data'!$L$6:$L$4756,"Legacy")</f>
        <v>0</v>
      </c>
      <c r="P32" s="208">
        <f>SUMIFS('Diags Raw Data'!$Z$6:$Z$4756,'Diags Raw Data'!$D$6:$D$4756,$A32,'Diags Raw Data'!$L$6:$L$4756,"Legacy")</f>
        <v>0</v>
      </c>
      <c r="Q32" s="210">
        <f>SUMIFS('Diags Raw Data'!$AA$6:$AA$4756,'Diags Raw Data'!$D$6:$D$4756,$A32,'Diags Raw Data'!$L$6:$L$4756,"Legacy")</f>
        <v>0</v>
      </c>
      <c r="R32" s="208">
        <f>SUMIFS('Diags Raw Data'!$AB$6:$AB$4756,'Diags Raw Data'!$D$6:$D$4756,$A32,'Diags Raw Data'!$L$6:$L$4756,"Legacy")</f>
        <v>0</v>
      </c>
      <c r="S32" s="210">
        <f>SUMIFS('Diags Raw Data'!$AC$6:$AC$4756,'Diags Raw Data'!$D$6:$D$4756,$A32,'Diags Raw Data'!$L$6:$L$4756,"Legacy")</f>
        <v>0</v>
      </c>
      <c r="T32" s="209">
        <f>IF(NOT($B32=0), O32/$B32, "---")</f>
        <v>0</v>
      </c>
      <c r="U32" s="223" t="str">
        <f>IF(NOT($O32=0), (P32+Q32)/$O32, "---")</f>
        <v>---</v>
      </c>
      <c r="V32" s="239">
        <f>IF(NOT($B32=0), (P32+Q32)/$B32, "---")</f>
        <v>0</v>
      </c>
    </row>
    <row r="33" spans="1:22">
      <c r="A33" s="333" t="s">
        <v>656</v>
      </c>
      <c r="B33" s="251">
        <f>SUMIFS('Diags Raw Data'!$K$6:$K$4756,'Diags Raw Data'!$D$6:$D$4756,$A33,'Diags Raw Data'!$L$6:$L$4756,"Legacy")</f>
        <v>0</v>
      </c>
      <c r="C33" s="241">
        <f>SUMIFS('Diags Raw Data'!$Q$6:$Q$4756,'Diags Raw Data'!$D$6:$D$4756,$A33,'Diags Raw Data'!$L$6:$L$4756,"Legacy")</f>
        <v>0</v>
      </c>
      <c r="D33" s="241">
        <f>SUMIFS('Diags Raw Data'!$J$6:$J$4756,'Diags Raw Data'!$D$6:$D$4756,$A33,'Diags Raw Data'!$L$6:$L$4756,"Legacy")</f>
        <v>0</v>
      </c>
      <c r="E33" s="241">
        <f>SUMIFS('Diags Raw Data'!$N$6:$N$4756,'Diags Raw Data'!$D$6:$D$4756,$A33,'Diags Raw Data'!$L$6:$L$4756,"Legacy")</f>
        <v>0</v>
      </c>
      <c r="F33" s="247" t="str">
        <f t="shared" ref="F33:F41" si="15">IF(NOT($B33=0), E33/$B33, "---")</f>
        <v>---</v>
      </c>
      <c r="G33" s="229">
        <f>SUMIFS('Diags Raw Data'!$R$6:$R$4756,'Diags Raw Data'!$D$6:$D$4756,$A33,'Diags Raw Data'!$L$6:$L$4756,"Legacy")</f>
        <v>0</v>
      </c>
      <c r="H33" s="225">
        <f>SUMIFS('Diags Raw Data'!$S$6:$S$4756,'Diags Raw Data'!$D$6:$D$4756,$A33,'Diags Raw Data'!$L$6:$L$4756,"Legacy")</f>
        <v>0</v>
      </c>
      <c r="I33" s="226">
        <f>SUMIFS('Diags Raw Data'!$T$6:$T$4756,'Diags Raw Data'!$D$6:$D$4756,$A33,'Diags Raw Data'!$L$6:$L$4756,"Legacy")</f>
        <v>0</v>
      </c>
      <c r="J33" s="225">
        <f>SUMIFS('Diags Raw Data'!$U$6:$U$4756,'Diags Raw Data'!$D$6:$D$4756,$A33,'Diags Raw Data'!$L$6:$L$4756,"Legacy")</f>
        <v>0</v>
      </c>
      <c r="K33" s="226">
        <f>SUMIFS('Diags Raw Data'!$V$6:$V$4756,'Diags Raw Data'!$D$6:$D$4756,$A33,'Diags Raw Data'!$L$6:$L$4756,"Legacy")</f>
        <v>0</v>
      </c>
      <c r="L33" s="242" t="str">
        <f t="shared" ref="L33:L41" si="16">IF(NOT($C33=0), G33/$C33, "---")</f>
        <v>---</v>
      </c>
      <c r="M33" s="227" t="str">
        <f t="shared" ref="M33:M42" si="17">IF(NOT($G33=0), (H33+I33)/$G33, "---")</f>
        <v>---</v>
      </c>
      <c r="N33" s="236" t="str">
        <f t="shared" ref="N33:N42" si="18">IF(NOT($C33=0), (H33+I33)/$C33, "---")</f>
        <v>---</v>
      </c>
      <c r="O33" s="212">
        <f>SUMIFS('Diags Raw Data'!$Y$6:$Y$4756,'Diags Raw Data'!$D$6:$D$4756,$A33,'Diags Raw Data'!$L$6:$L$4756,"Legacy")</f>
        <v>0</v>
      </c>
      <c r="P33" s="202">
        <f>SUMIFS('Diags Raw Data'!$Z$6:$Z$4756,'Diags Raw Data'!$D$6:$D$4756,$A33,'Diags Raw Data'!$L$6:$L$4756,"Legacy")</f>
        <v>0</v>
      </c>
      <c r="Q33" s="204">
        <f>SUMIFS('Diags Raw Data'!$AA$6:$AA$4756,'Diags Raw Data'!$D$6:$D$4756,$A33,'Diags Raw Data'!$L$6:$L$4756,"Legacy")</f>
        <v>0</v>
      </c>
      <c r="R33" s="202">
        <f>SUMIFS('Diags Raw Data'!$AB$6:$AB$4756,'Diags Raw Data'!$D$6:$D$4756,$A33,'Diags Raw Data'!$L$6:$L$4756,"Legacy")</f>
        <v>0</v>
      </c>
      <c r="S33" s="204">
        <f>SUMIFS('Diags Raw Data'!$AC$6:$AC$4756,'Diags Raw Data'!$D$6:$D$4756,$A33,'Diags Raw Data'!$L$6:$L$4756,"Legacy")</f>
        <v>0</v>
      </c>
      <c r="T33" s="203" t="str">
        <f t="shared" ref="T33:T41" si="19">IF(NOT($B33=0), O33/$B33, "---")</f>
        <v>---</v>
      </c>
      <c r="U33" s="228" t="str">
        <f t="shared" ref="U33:U42" si="20">IF(NOT($O33=0), (P33+Q33)/$O33, "---")</f>
        <v>---</v>
      </c>
      <c r="V33" s="230" t="str">
        <f t="shared" ref="V33:V41" si="21">IF(NOT($B33=0), (P33+Q33)/$B33, "---")</f>
        <v>---</v>
      </c>
    </row>
    <row r="34" spans="1:22">
      <c r="A34" s="333" t="s">
        <v>511</v>
      </c>
      <c r="B34" s="251">
        <f>SUMIFS('Diags Raw Data'!$K$6:$K$4756,'Diags Raw Data'!$D$6:$D$4756,$A34,'Diags Raw Data'!$L$6:$L$4756,"Legacy")</f>
        <v>131</v>
      </c>
      <c r="C34" s="241">
        <f>SUMIFS('Diags Raw Data'!$Q$6:$Q$4756,'Diags Raw Data'!$D$6:$D$4756,$A34,'Diags Raw Data'!$L$6:$L$4756,"Legacy")</f>
        <v>131</v>
      </c>
      <c r="D34" s="241">
        <f>SUMIFS('Diags Raw Data'!$J$6:$J$4756,'Diags Raw Data'!$D$6:$D$4756,$A34,'Diags Raw Data'!$L$6:$L$4756,"Legacy")</f>
        <v>39</v>
      </c>
      <c r="E34" s="241">
        <f>SUMIFS('Diags Raw Data'!$N$6:$N$4756,'Diags Raw Data'!$D$6:$D$4756,$A34,'Diags Raw Data'!$L$6:$L$4756,"Legacy")</f>
        <v>131</v>
      </c>
      <c r="F34" s="247">
        <f t="shared" si="15"/>
        <v>1</v>
      </c>
      <c r="G34" s="229">
        <f>SUMIFS('Diags Raw Data'!$R$6:$R$4756,'Diags Raw Data'!$D$6:$D$4756,$A34,'Diags Raw Data'!$L$6:$L$4756,"Legacy")</f>
        <v>131</v>
      </c>
      <c r="H34" s="225">
        <f>SUMIFS('Diags Raw Data'!$S$6:$S$4756,'Diags Raw Data'!$D$6:$D$4756,$A34,'Diags Raw Data'!$L$6:$L$4756,"Legacy")</f>
        <v>82</v>
      </c>
      <c r="I34" s="226">
        <f>SUMIFS('Diags Raw Data'!$T$6:$T$4756,'Diags Raw Data'!$D$6:$D$4756,$A34,'Diags Raw Data'!$L$6:$L$4756,"Legacy")</f>
        <v>0</v>
      </c>
      <c r="J34" s="225">
        <f>SUMIFS('Diags Raw Data'!$U$6:$U$4756,'Diags Raw Data'!$D$6:$D$4756,$A34,'Diags Raw Data'!$L$6:$L$4756,"Legacy")</f>
        <v>49</v>
      </c>
      <c r="K34" s="226">
        <f>SUMIFS('Diags Raw Data'!$V$6:$V$4756,'Diags Raw Data'!$D$6:$D$4756,$A34,'Diags Raw Data'!$L$6:$L$4756,"Legacy")</f>
        <v>0</v>
      </c>
      <c r="L34" s="242">
        <f t="shared" si="16"/>
        <v>1</v>
      </c>
      <c r="M34" s="227">
        <f t="shared" si="17"/>
        <v>0.62595419847328249</v>
      </c>
      <c r="N34" s="236">
        <f t="shared" si="18"/>
        <v>0.62595419847328249</v>
      </c>
      <c r="O34" s="212">
        <f>SUMIFS('Diags Raw Data'!$Y$6:$Y$4756,'Diags Raw Data'!$D$6:$D$4756,$A34,'Diags Raw Data'!$L$6:$L$4756,"Legacy")</f>
        <v>0</v>
      </c>
      <c r="P34" s="202">
        <f>SUMIFS('Diags Raw Data'!$Z$6:$Z$4756,'Diags Raw Data'!$D$6:$D$4756,$A34,'Diags Raw Data'!$L$6:$L$4756,"Legacy")</f>
        <v>0</v>
      </c>
      <c r="Q34" s="204">
        <f>SUMIFS('Diags Raw Data'!$AA$6:$AA$4756,'Diags Raw Data'!$D$6:$D$4756,$A34,'Diags Raw Data'!$L$6:$L$4756,"Legacy")</f>
        <v>0</v>
      </c>
      <c r="R34" s="202">
        <f>SUMIFS('Diags Raw Data'!$AB$6:$AB$4756,'Diags Raw Data'!$D$6:$D$4756,$A34,'Diags Raw Data'!$L$6:$L$4756,"Legacy")</f>
        <v>0</v>
      </c>
      <c r="S34" s="204">
        <f>SUMIFS('Diags Raw Data'!$AC$6:$AC$4756,'Diags Raw Data'!$D$6:$D$4756,$A34,'Diags Raw Data'!$L$6:$L$4756,"Legacy")</f>
        <v>0</v>
      </c>
      <c r="T34" s="203">
        <f t="shared" si="19"/>
        <v>0</v>
      </c>
      <c r="U34" s="228" t="str">
        <f t="shared" si="20"/>
        <v>---</v>
      </c>
      <c r="V34" s="230">
        <f t="shared" si="21"/>
        <v>0</v>
      </c>
    </row>
    <row r="35" spans="1:22">
      <c r="A35" s="333" t="s">
        <v>633</v>
      </c>
      <c r="B35" s="251">
        <f>SUMIFS('Diags Raw Data'!$K$6:$K$4756,'Diags Raw Data'!$D$6:$D$4756,$A35,'Diags Raw Data'!$L$6:$L$4756,"Legacy")</f>
        <v>36</v>
      </c>
      <c r="C35" s="241">
        <f>SUMIFS('Diags Raw Data'!$Q$6:$Q$4756,'Diags Raw Data'!$D$6:$D$4756,$A35,'Diags Raw Data'!$L$6:$L$4756,"Legacy")</f>
        <v>36</v>
      </c>
      <c r="D35" s="241">
        <f>SUMIFS('Diags Raw Data'!$J$6:$J$4756,'Diags Raw Data'!$D$6:$D$4756,$A35,'Diags Raw Data'!$L$6:$L$4756,"Legacy")</f>
        <v>5</v>
      </c>
      <c r="E35" s="241">
        <f>SUMIFS('Diags Raw Data'!$N$6:$N$4756,'Diags Raw Data'!$D$6:$D$4756,$A35,'Diags Raw Data'!$L$6:$L$4756,"Legacy")</f>
        <v>36</v>
      </c>
      <c r="F35" s="247">
        <f t="shared" si="15"/>
        <v>1</v>
      </c>
      <c r="G35" s="229">
        <f>SUMIFS('Diags Raw Data'!$R$6:$R$4756,'Diags Raw Data'!$D$6:$D$4756,$A35,'Diags Raw Data'!$L$6:$L$4756,"Legacy")</f>
        <v>36</v>
      </c>
      <c r="H35" s="225">
        <f>SUMIFS('Diags Raw Data'!$S$6:$S$4756,'Diags Raw Data'!$D$6:$D$4756,$A35,'Diags Raw Data'!$L$6:$L$4756,"Legacy")</f>
        <v>24</v>
      </c>
      <c r="I35" s="226">
        <f>SUMIFS('Diags Raw Data'!$T$6:$T$4756,'Diags Raw Data'!$D$6:$D$4756,$A35,'Diags Raw Data'!$L$6:$L$4756,"Legacy")</f>
        <v>0</v>
      </c>
      <c r="J35" s="225">
        <f>SUMIFS('Diags Raw Data'!$U$6:$U$4756,'Diags Raw Data'!$D$6:$D$4756,$A35,'Diags Raw Data'!$L$6:$L$4756,"Legacy")</f>
        <v>12</v>
      </c>
      <c r="K35" s="226">
        <f>SUMIFS('Diags Raw Data'!$V$6:$V$4756,'Diags Raw Data'!$D$6:$D$4756,$A35,'Diags Raw Data'!$L$6:$L$4756,"Legacy")</f>
        <v>0</v>
      </c>
      <c r="L35" s="242">
        <f t="shared" si="16"/>
        <v>1</v>
      </c>
      <c r="M35" s="227">
        <f t="shared" si="17"/>
        <v>0.66666666666666663</v>
      </c>
      <c r="N35" s="236">
        <f t="shared" si="18"/>
        <v>0.66666666666666663</v>
      </c>
      <c r="O35" s="212">
        <f>SUMIFS('Diags Raw Data'!$Y$6:$Y$4756,'Diags Raw Data'!$D$6:$D$4756,$A35,'Diags Raw Data'!$L$6:$L$4756,"Legacy")</f>
        <v>0</v>
      </c>
      <c r="P35" s="202">
        <f>SUMIFS('Diags Raw Data'!$Z$6:$Z$4756,'Diags Raw Data'!$D$6:$D$4756,$A35,'Diags Raw Data'!$L$6:$L$4756,"Legacy")</f>
        <v>0</v>
      </c>
      <c r="Q35" s="204">
        <f>SUMIFS('Diags Raw Data'!$AA$6:$AA$4756,'Diags Raw Data'!$D$6:$D$4756,$A35,'Diags Raw Data'!$L$6:$L$4756,"Legacy")</f>
        <v>0</v>
      </c>
      <c r="R35" s="202">
        <f>SUMIFS('Diags Raw Data'!$AB$6:$AB$4756,'Diags Raw Data'!$D$6:$D$4756,$A35,'Diags Raw Data'!$L$6:$L$4756,"Legacy")</f>
        <v>0</v>
      </c>
      <c r="S35" s="204">
        <f>SUMIFS('Diags Raw Data'!$AC$6:$AC$4756,'Diags Raw Data'!$D$6:$D$4756,$A35,'Diags Raw Data'!$L$6:$L$4756,"Legacy")</f>
        <v>0</v>
      </c>
      <c r="T35" s="203">
        <f t="shared" si="19"/>
        <v>0</v>
      </c>
      <c r="U35" s="228" t="str">
        <f t="shared" si="20"/>
        <v>---</v>
      </c>
      <c r="V35" s="230">
        <f t="shared" si="21"/>
        <v>0</v>
      </c>
    </row>
    <row r="36" spans="1:22">
      <c r="A36" s="333" t="s">
        <v>657</v>
      </c>
      <c r="B36" s="251">
        <f>SUMIFS('Diags Raw Data'!$K$6:$K$4756,'Diags Raw Data'!$D$6:$D$4756,$A36,'Diags Raw Data'!$L$6:$L$4756,"Legacy")</f>
        <v>0</v>
      </c>
      <c r="C36" s="241">
        <f>SUMIFS('Diags Raw Data'!$Q$6:$Q$4756,'Diags Raw Data'!$D$6:$D$4756,$A36,'Diags Raw Data'!$L$6:$L$4756,"Legacy")</f>
        <v>0</v>
      </c>
      <c r="D36" s="241">
        <f>SUMIFS('Diags Raw Data'!$J$6:$J$4756,'Diags Raw Data'!$D$6:$D$4756,$A36,'Diags Raw Data'!$L$6:$L$4756,"Legacy")</f>
        <v>0</v>
      </c>
      <c r="E36" s="241">
        <f>SUMIFS('Diags Raw Data'!$N$6:$N$4756,'Diags Raw Data'!$D$6:$D$4756,$A36,'Diags Raw Data'!$L$6:$L$4756,"Legacy")</f>
        <v>0</v>
      </c>
      <c r="F36" s="247" t="str">
        <f t="shared" si="15"/>
        <v>---</v>
      </c>
      <c r="G36" s="229">
        <f>SUMIFS('Diags Raw Data'!$R$6:$R$4756,'Diags Raw Data'!$D$6:$D$4756,$A36,'Diags Raw Data'!$L$6:$L$4756,"Legacy")</f>
        <v>0</v>
      </c>
      <c r="H36" s="225">
        <f>SUMIFS('Diags Raw Data'!$S$6:$S$4756,'Diags Raw Data'!$D$6:$D$4756,$A36,'Diags Raw Data'!$L$6:$L$4756,"Legacy")</f>
        <v>0</v>
      </c>
      <c r="I36" s="226">
        <f>SUMIFS('Diags Raw Data'!$T$6:$T$4756,'Diags Raw Data'!$D$6:$D$4756,$A36,'Diags Raw Data'!$L$6:$L$4756,"Legacy")</f>
        <v>0</v>
      </c>
      <c r="J36" s="225">
        <f>SUMIFS('Diags Raw Data'!$U$6:$U$4756,'Diags Raw Data'!$D$6:$D$4756,$A36,'Diags Raw Data'!$L$6:$L$4756,"Legacy")</f>
        <v>0</v>
      </c>
      <c r="K36" s="226">
        <f>SUMIFS('Diags Raw Data'!$V$6:$V$4756,'Diags Raw Data'!$D$6:$D$4756,$A36,'Diags Raw Data'!$L$6:$L$4756,"Legacy")</f>
        <v>0</v>
      </c>
      <c r="L36" s="242" t="str">
        <f t="shared" si="16"/>
        <v>---</v>
      </c>
      <c r="M36" s="227" t="str">
        <f t="shared" si="17"/>
        <v>---</v>
      </c>
      <c r="N36" s="236" t="str">
        <f t="shared" si="18"/>
        <v>---</v>
      </c>
      <c r="O36" s="212">
        <f>SUMIFS('Diags Raw Data'!$Y$6:$Y$4756,'Diags Raw Data'!$D$6:$D$4756,$A36,'Diags Raw Data'!$L$6:$L$4756,"Legacy")</f>
        <v>0</v>
      </c>
      <c r="P36" s="202">
        <f>SUMIFS('Diags Raw Data'!$Z$6:$Z$4756,'Diags Raw Data'!$D$6:$D$4756,$A36,'Diags Raw Data'!$L$6:$L$4756,"Legacy")</f>
        <v>0</v>
      </c>
      <c r="Q36" s="204">
        <f>SUMIFS('Diags Raw Data'!$AA$6:$AA$4756,'Diags Raw Data'!$D$6:$D$4756,$A36,'Diags Raw Data'!$L$6:$L$4756,"Legacy")</f>
        <v>0</v>
      </c>
      <c r="R36" s="202">
        <f>SUMIFS('Diags Raw Data'!$AB$6:$AB$4756,'Diags Raw Data'!$D$6:$D$4756,$A36,'Diags Raw Data'!$L$6:$L$4756,"Legacy")</f>
        <v>0</v>
      </c>
      <c r="S36" s="204">
        <f>SUMIFS('Diags Raw Data'!$AC$6:$AC$4756,'Diags Raw Data'!$D$6:$D$4756,$A36,'Diags Raw Data'!$L$6:$L$4756,"Legacy")</f>
        <v>0</v>
      </c>
      <c r="T36" s="203" t="str">
        <f t="shared" si="19"/>
        <v>---</v>
      </c>
      <c r="U36" s="228" t="str">
        <f t="shared" si="20"/>
        <v>---</v>
      </c>
      <c r="V36" s="230" t="str">
        <f t="shared" si="21"/>
        <v>---</v>
      </c>
    </row>
    <row r="37" spans="1:22">
      <c r="A37" s="333" t="s">
        <v>658</v>
      </c>
      <c r="B37" s="251">
        <f>SUMIFS('Diags Raw Data'!$K$6:$K$4756,'Diags Raw Data'!$D$6:$D$4756,$A37,'Diags Raw Data'!$L$6:$L$4756,"Legacy")</f>
        <v>0</v>
      </c>
      <c r="C37" s="241">
        <f>SUMIFS('Diags Raw Data'!$Q$6:$Q$4756,'Diags Raw Data'!$D$6:$D$4756,$A37,'Diags Raw Data'!$L$6:$L$4756,"Legacy")</f>
        <v>0</v>
      </c>
      <c r="D37" s="241">
        <f>SUMIFS('Diags Raw Data'!$J$6:$J$4756,'Diags Raw Data'!$D$6:$D$4756,$A37,'Diags Raw Data'!$L$6:$L$4756,"Legacy")</f>
        <v>0</v>
      </c>
      <c r="E37" s="241">
        <f>SUMIFS('Diags Raw Data'!$N$6:$N$4756,'Diags Raw Data'!$D$6:$D$4756,$A37,'Diags Raw Data'!$L$6:$L$4756,"Legacy")</f>
        <v>0</v>
      </c>
      <c r="F37" s="247" t="str">
        <f t="shared" si="15"/>
        <v>---</v>
      </c>
      <c r="G37" s="229">
        <f>SUMIFS('Diags Raw Data'!$R$6:$R$4756,'Diags Raw Data'!$D$6:$D$4756,$A37,'Diags Raw Data'!$L$6:$L$4756,"Legacy")</f>
        <v>0</v>
      </c>
      <c r="H37" s="225">
        <f>SUMIFS('Diags Raw Data'!$S$6:$S$4756,'Diags Raw Data'!$D$6:$D$4756,$A37,'Diags Raw Data'!$L$6:$L$4756,"Legacy")</f>
        <v>0</v>
      </c>
      <c r="I37" s="226">
        <f>SUMIFS('Diags Raw Data'!$T$6:$T$4756,'Diags Raw Data'!$D$6:$D$4756,$A37,'Diags Raw Data'!$L$6:$L$4756,"Legacy")</f>
        <v>0</v>
      </c>
      <c r="J37" s="225">
        <f>SUMIFS('Diags Raw Data'!$U$6:$U$4756,'Diags Raw Data'!$D$6:$D$4756,$A37,'Diags Raw Data'!$L$6:$L$4756,"Legacy")</f>
        <v>0</v>
      </c>
      <c r="K37" s="226">
        <f>SUMIFS('Diags Raw Data'!$V$6:$V$4756,'Diags Raw Data'!$D$6:$D$4756,$A37,'Diags Raw Data'!$L$6:$L$4756,"Legacy")</f>
        <v>0</v>
      </c>
      <c r="L37" s="242" t="str">
        <f t="shared" si="16"/>
        <v>---</v>
      </c>
      <c r="M37" s="227" t="str">
        <f t="shared" si="17"/>
        <v>---</v>
      </c>
      <c r="N37" s="236" t="str">
        <f t="shared" si="18"/>
        <v>---</v>
      </c>
      <c r="O37" s="212">
        <f>SUMIFS('Diags Raw Data'!$Y$6:$Y$4756,'Diags Raw Data'!$D$6:$D$4756,$A37,'Diags Raw Data'!$L$6:$L$4756,"Legacy")</f>
        <v>0</v>
      </c>
      <c r="P37" s="202">
        <f>SUMIFS('Diags Raw Data'!$Z$6:$Z$4756,'Diags Raw Data'!$D$6:$D$4756,$A37,'Diags Raw Data'!$L$6:$L$4756,"Legacy")</f>
        <v>0</v>
      </c>
      <c r="Q37" s="204">
        <f>SUMIFS('Diags Raw Data'!$AA$6:$AA$4756,'Diags Raw Data'!$D$6:$D$4756,$A37,'Diags Raw Data'!$L$6:$L$4756,"Legacy")</f>
        <v>0</v>
      </c>
      <c r="R37" s="202">
        <f>SUMIFS('Diags Raw Data'!$AB$6:$AB$4756,'Diags Raw Data'!$D$6:$D$4756,$A37,'Diags Raw Data'!$L$6:$L$4756,"Legacy")</f>
        <v>0</v>
      </c>
      <c r="S37" s="204">
        <f>SUMIFS('Diags Raw Data'!$AC$6:$AC$4756,'Diags Raw Data'!$D$6:$D$4756,$A37,'Diags Raw Data'!$L$6:$L$4756,"Legacy")</f>
        <v>0</v>
      </c>
      <c r="T37" s="203" t="str">
        <f t="shared" si="19"/>
        <v>---</v>
      </c>
      <c r="U37" s="228" t="str">
        <f t="shared" si="20"/>
        <v>---</v>
      </c>
      <c r="V37" s="230" t="str">
        <f t="shared" si="21"/>
        <v>---</v>
      </c>
    </row>
    <row r="38" spans="1:22">
      <c r="A38" s="333" t="s">
        <v>659</v>
      </c>
      <c r="B38" s="251">
        <f>SUMIFS('Diags Raw Data'!$K$6:$K$4756,'Diags Raw Data'!$D$6:$D$4756,$A38,'Diags Raw Data'!$L$6:$L$4756,"Legacy")</f>
        <v>0</v>
      </c>
      <c r="C38" s="241">
        <f>SUMIFS('Diags Raw Data'!$Q$6:$Q$4756,'Diags Raw Data'!$D$6:$D$4756,$A38,'Diags Raw Data'!$L$6:$L$4756,"Legacy")</f>
        <v>0</v>
      </c>
      <c r="D38" s="241">
        <f>SUMIFS('Diags Raw Data'!$J$6:$J$4756,'Diags Raw Data'!$D$6:$D$4756,$A38,'Diags Raw Data'!$L$6:$L$4756,"Legacy")</f>
        <v>0</v>
      </c>
      <c r="E38" s="241">
        <f>SUMIFS('Diags Raw Data'!$N$6:$N$4756,'Diags Raw Data'!$D$6:$D$4756,$A38,'Diags Raw Data'!$L$6:$L$4756,"Legacy")</f>
        <v>0</v>
      </c>
      <c r="F38" s="247" t="str">
        <f t="shared" si="15"/>
        <v>---</v>
      </c>
      <c r="G38" s="229">
        <f>SUMIFS('Diags Raw Data'!$R$6:$R$4756,'Diags Raw Data'!$D$6:$D$4756,$A38,'Diags Raw Data'!$L$6:$L$4756,"Legacy")</f>
        <v>0</v>
      </c>
      <c r="H38" s="225">
        <f>SUMIFS('Diags Raw Data'!$S$6:$S$4756,'Diags Raw Data'!$D$6:$D$4756,$A38,'Diags Raw Data'!$L$6:$L$4756,"Legacy")</f>
        <v>0</v>
      </c>
      <c r="I38" s="226">
        <f>SUMIFS('Diags Raw Data'!$T$6:$T$4756,'Diags Raw Data'!$D$6:$D$4756,$A38,'Diags Raw Data'!$L$6:$L$4756,"Legacy")</f>
        <v>0</v>
      </c>
      <c r="J38" s="225">
        <f>SUMIFS('Diags Raw Data'!$U$6:$U$4756,'Diags Raw Data'!$D$6:$D$4756,$A38,'Diags Raw Data'!$L$6:$L$4756,"Legacy")</f>
        <v>0</v>
      </c>
      <c r="K38" s="226">
        <f>SUMIFS('Diags Raw Data'!$V$6:$V$4756,'Diags Raw Data'!$D$6:$D$4756,$A38,'Diags Raw Data'!$L$6:$L$4756,"Legacy")</f>
        <v>0</v>
      </c>
      <c r="L38" s="242" t="str">
        <f t="shared" si="16"/>
        <v>---</v>
      </c>
      <c r="M38" s="227" t="str">
        <f t="shared" si="17"/>
        <v>---</v>
      </c>
      <c r="N38" s="236" t="str">
        <f t="shared" si="18"/>
        <v>---</v>
      </c>
      <c r="O38" s="212">
        <f>SUMIFS('Diags Raw Data'!$Y$6:$Y$4756,'Diags Raw Data'!$D$6:$D$4756,$A38,'Diags Raw Data'!$L$6:$L$4756,"Legacy")</f>
        <v>0</v>
      </c>
      <c r="P38" s="202">
        <f>SUMIFS('Diags Raw Data'!$Z$6:$Z$4756,'Diags Raw Data'!$D$6:$D$4756,$A38,'Diags Raw Data'!$L$6:$L$4756,"Legacy")</f>
        <v>0</v>
      </c>
      <c r="Q38" s="204">
        <f>SUMIFS('Diags Raw Data'!$AA$6:$AA$4756,'Diags Raw Data'!$D$6:$D$4756,$A38,'Diags Raw Data'!$L$6:$L$4756,"Legacy")</f>
        <v>0</v>
      </c>
      <c r="R38" s="202">
        <f>SUMIFS('Diags Raw Data'!$AB$6:$AB$4756,'Diags Raw Data'!$D$6:$D$4756,$A38,'Diags Raw Data'!$L$6:$L$4756,"Legacy")</f>
        <v>0</v>
      </c>
      <c r="S38" s="204">
        <f>SUMIFS('Diags Raw Data'!$AC$6:$AC$4756,'Diags Raw Data'!$D$6:$D$4756,$A38,'Diags Raw Data'!$L$6:$L$4756,"Legacy")</f>
        <v>0</v>
      </c>
      <c r="T38" s="203" t="str">
        <f t="shared" si="19"/>
        <v>---</v>
      </c>
      <c r="U38" s="228" t="str">
        <f t="shared" si="20"/>
        <v>---</v>
      </c>
      <c r="V38" s="230" t="str">
        <f t="shared" si="21"/>
        <v>---</v>
      </c>
    </row>
    <row r="39" spans="1:22">
      <c r="A39" s="333" t="s">
        <v>660</v>
      </c>
      <c r="B39" s="251">
        <f>SUMIFS('Diags Raw Data'!$K$6:$K$4756,'Diags Raw Data'!$D$6:$D$4756,$A39,'Diags Raw Data'!$L$6:$L$4756,"Legacy")</f>
        <v>0</v>
      </c>
      <c r="C39" s="241">
        <f>SUMIFS('Diags Raw Data'!$Q$6:$Q$4756,'Diags Raw Data'!$D$6:$D$4756,$A39,'Diags Raw Data'!$L$6:$L$4756,"Legacy")</f>
        <v>0</v>
      </c>
      <c r="D39" s="241">
        <f>SUMIFS('Diags Raw Data'!$J$6:$J$4756,'Diags Raw Data'!$D$6:$D$4756,$A39,'Diags Raw Data'!$L$6:$L$4756,"Legacy")</f>
        <v>0</v>
      </c>
      <c r="E39" s="241">
        <f>SUMIFS('Diags Raw Data'!$N$6:$N$4756,'Diags Raw Data'!$D$6:$D$4756,$A39,'Diags Raw Data'!$L$6:$L$4756,"Legacy")</f>
        <v>0</v>
      </c>
      <c r="F39" s="247" t="str">
        <f t="shared" si="15"/>
        <v>---</v>
      </c>
      <c r="G39" s="229">
        <f>SUMIFS('Diags Raw Data'!$R$6:$R$4756,'Diags Raw Data'!$D$6:$D$4756,$A39,'Diags Raw Data'!$L$6:$L$4756,"Legacy")</f>
        <v>0</v>
      </c>
      <c r="H39" s="225">
        <f>SUMIFS('Diags Raw Data'!$S$6:$S$4756,'Diags Raw Data'!$D$6:$D$4756,$A39,'Diags Raw Data'!$L$6:$L$4756,"Legacy")</f>
        <v>0</v>
      </c>
      <c r="I39" s="226">
        <f>SUMIFS('Diags Raw Data'!$T$6:$T$4756,'Diags Raw Data'!$D$6:$D$4756,$A39,'Diags Raw Data'!$L$6:$L$4756,"Legacy")</f>
        <v>0</v>
      </c>
      <c r="J39" s="225">
        <f>SUMIFS('Diags Raw Data'!$U$6:$U$4756,'Diags Raw Data'!$D$6:$D$4756,$A39,'Diags Raw Data'!$L$6:$L$4756,"Legacy")</f>
        <v>0</v>
      </c>
      <c r="K39" s="226">
        <f>SUMIFS('Diags Raw Data'!$V$6:$V$4756,'Diags Raw Data'!$D$6:$D$4756,$A39,'Diags Raw Data'!$L$6:$L$4756,"Legacy")</f>
        <v>0</v>
      </c>
      <c r="L39" s="242" t="str">
        <f t="shared" si="16"/>
        <v>---</v>
      </c>
      <c r="M39" s="227" t="str">
        <f t="shared" si="17"/>
        <v>---</v>
      </c>
      <c r="N39" s="236" t="str">
        <f t="shared" si="18"/>
        <v>---</v>
      </c>
      <c r="O39" s="212">
        <f>SUMIFS('Diags Raw Data'!$Y$6:$Y$4756,'Diags Raw Data'!$D$6:$D$4756,$A39,'Diags Raw Data'!$L$6:$L$4756,"Legacy")</f>
        <v>0</v>
      </c>
      <c r="P39" s="202">
        <f>SUMIFS('Diags Raw Data'!$Z$6:$Z$4756,'Diags Raw Data'!$D$6:$D$4756,$A39,'Diags Raw Data'!$L$6:$L$4756,"Legacy")</f>
        <v>0</v>
      </c>
      <c r="Q39" s="204">
        <f>SUMIFS('Diags Raw Data'!$AA$6:$AA$4756,'Diags Raw Data'!$D$6:$D$4756,$A39,'Diags Raw Data'!$L$6:$L$4756,"Legacy")</f>
        <v>0</v>
      </c>
      <c r="R39" s="202">
        <f>SUMIFS('Diags Raw Data'!$AB$6:$AB$4756,'Diags Raw Data'!$D$6:$D$4756,$A39,'Diags Raw Data'!$L$6:$L$4756,"Legacy")</f>
        <v>0</v>
      </c>
      <c r="S39" s="204">
        <f>SUMIFS('Diags Raw Data'!$AC$6:$AC$4756,'Diags Raw Data'!$D$6:$D$4756,$A39,'Diags Raw Data'!$L$6:$L$4756,"Legacy")</f>
        <v>0</v>
      </c>
      <c r="T39" s="203" t="str">
        <f t="shared" si="19"/>
        <v>---</v>
      </c>
      <c r="U39" s="228" t="str">
        <f t="shared" si="20"/>
        <v>---</v>
      </c>
      <c r="V39" s="230" t="str">
        <f t="shared" si="21"/>
        <v>---</v>
      </c>
    </row>
    <row r="40" spans="1:22">
      <c r="A40" s="333" t="s">
        <v>661</v>
      </c>
      <c r="B40" s="251">
        <f>SUMIFS('Diags Raw Data'!$K$6:$K$4756,'Diags Raw Data'!$D$6:$D$4756,$A40,'Diags Raw Data'!$L$6:$L$4756,"Legacy")</f>
        <v>0</v>
      </c>
      <c r="C40" s="241">
        <f>SUMIFS('Diags Raw Data'!$Q$6:$Q$4756,'Diags Raw Data'!$D$6:$D$4756,$A40,'Diags Raw Data'!$L$6:$L$4756,"Legacy")</f>
        <v>0</v>
      </c>
      <c r="D40" s="241">
        <f>SUMIFS('Diags Raw Data'!$J$6:$J$4756,'Diags Raw Data'!$D$6:$D$4756,$A40,'Diags Raw Data'!$L$6:$L$4756,"Legacy")</f>
        <v>0</v>
      </c>
      <c r="E40" s="241">
        <f>SUMIFS('Diags Raw Data'!$N$6:$N$4756,'Diags Raw Data'!$D$6:$D$4756,$A40,'Diags Raw Data'!$L$6:$L$4756,"Legacy")</f>
        <v>0</v>
      </c>
      <c r="F40" s="247" t="str">
        <f t="shared" si="15"/>
        <v>---</v>
      </c>
      <c r="G40" s="229">
        <f>SUMIFS('Diags Raw Data'!$R$6:$R$4756,'Diags Raw Data'!$D$6:$D$4756,$A40,'Diags Raw Data'!$L$6:$L$4756,"Legacy")</f>
        <v>0</v>
      </c>
      <c r="H40" s="225">
        <f>SUMIFS('Diags Raw Data'!$S$6:$S$4756,'Diags Raw Data'!$D$6:$D$4756,$A40,'Diags Raw Data'!$L$6:$L$4756,"Legacy")</f>
        <v>0</v>
      </c>
      <c r="I40" s="226">
        <f>SUMIFS('Diags Raw Data'!$T$6:$T$4756,'Diags Raw Data'!$D$6:$D$4756,$A40,'Diags Raw Data'!$L$6:$L$4756,"Legacy")</f>
        <v>0</v>
      </c>
      <c r="J40" s="225">
        <f>SUMIFS('Diags Raw Data'!$U$6:$U$4756,'Diags Raw Data'!$D$6:$D$4756,$A40,'Diags Raw Data'!$L$6:$L$4756,"Legacy")</f>
        <v>0</v>
      </c>
      <c r="K40" s="226">
        <f>SUMIFS('Diags Raw Data'!$V$6:$V$4756,'Diags Raw Data'!$D$6:$D$4756,$A40,'Diags Raw Data'!$L$6:$L$4756,"Legacy")</f>
        <v>0</v>
      </c>
      <c r="L40" s="242" t="str">
        <f t="shared" si="16"/>
        <v>---</v>
      </c>
      <c r="M40" s="227" t="str">
        <f t="shared" si="17"/>
        <v>---</v>
      </c>
      <c r="N40" s="236" t="str">
        <f t="shared" si="18"/>
        <v>---</v>
      </c>
      <c r="O40" s="212">
        <f>SUMIFS('Diags Raw Data'!$Y$6:$Y$4756,'Diags Raw Data'!$D$6:$D$4756,$A40,'Diags Raw Data'!$L$6:$L$4756,"Legacy")</f>
        <v>0</v>
      </c>
      <c r="P40" s="202">
        <f>SUMIFS('Diags Raw Data'!$Z$6:$Z$4756,'Diags Raw Data'!$D$6:$D$4756,$A40,'Diags Raw Data'!$L$6:$L$4756,"Legacy")</f>
        <v>0</v>
      </c>
      <c r="Q40" s="204">
        <f>SUMIFS('Diags Raw Data'!$AA$6:$AA$4756,'Diags Raw Data'!$D$6:$D$4756,$A40,'Diags Raw Data'!$L$6:$L$4756,"Legacy")</f>
        <v>0</v>
      </c>
      <c r="R40" s="202">
        <f>SUMIFS('Diags Raw Data'!$AB$6:$AB$4756,'Diags Raw Data'!$D$6:$D$4756,$A40,'Diags Raw Data'!$L$6:$L$4756,"Legacy")</f>
        <v>0</v>
      </c>
      <c r="S40" s="204">
        <f>SUMIFS('Diags Raw Data'!$AC$6:$AC$4756,'Diags Raw Data'!$D$6:$D$4756,$A40,'Diags Raw Data'!$L$6:$L$4756,"Legacy")</f>
        <v>0</v>
      </c>
      <c r="T40" s="203" t="str">
        <f t="shared" si="19"/>
        <v>---</v>
      </c>
      <c r="U40" s="228" t="str">
        <f t="shared" si="20"/>
        <v>---</v>
      </c>
      <c r="V40" s="230" t="str">
        <f t="shared" si="21"/>
        <v>---</v>
      </c>
    </row>
    <row r="41" spans="1:22" ht="15" thickBot="1">
      <c r="A41" s="334" t="s">
        <v>662</v>
      </c>
      <c r="B41" s="252">
        <f>SUMIFS('Diags Raw Data'!$K$6:$K$4756,'Diags Raw Data'!$D$6:$D$4756,$A41,'Diags Raw Data'!$L$6:$L$4756,"Legacy")</f>
        <v>0</v>
      </c>
      <c r="C41" s="243">
        <f>SUMIFS('Diags Raw Data'!$Q$6:$Q$4756,'Diags Raw Data'!$D$6:$D$4756,$A41,'Diags Raw Data'!$L$6:$L$4756,"Legacy")</f>
        <v>0</v>
      </c>
      <c r="D41" s="243">
        <f>SUMIFS('Diags Raw Data'!$J$6:$J$4756,'Diags Raw Data'!$D$6:$D$4756,$A41,'Diags Raw Data'!$L$6:$L$4756,"Legacy")</f>
        <v>0</v>
      </c>
      <c r="E41" s="243">
        <f>SUMIFS('Diags Raw Data'!$N$6:$N$4756,'Diags Raw Data'!$D$6:$D$4756,$A41,'Diags Raw Data'!$L$6:$L$4756,"Legacy")</f>
        <v>0</v>
      </c>
      <c r="F41" s="248" t="str">
        <f t="shared" si="15"/>
        <v>---</v>
      </c>
      <c r="G41" s="231">
        <f>SUMIFS('Diags Raw Data'!$R$6:$R$4756,'Diags Raw Data'!$D$6:$D$4756,$A41,'Diags Raw Data'!$L$6:$L$4756,"Legacy")</f>
        <v>0</v>
      </c>
      <c r="H41" s="232">
        <f>SUMIFS('Diags Raw Data'!$S$6:$S$4756,'Diags Raw Data'!$D$6:$D$4756,$A41,'Diags Raw Data'!$L$6:$L$4756,"Legacy")</f>
        <v>0</v>
      </c>
      <c r="I41" s="233">
        <f>SUMIFS('Diags Raw Data'!$T$6:$T$4756,'Diags Raw Data'!$D$6:$D$4756,$A41,'Diags Raw Data'!$L$6:$L$4756,"Legacy")</f>
        <v>0</v>
      </c>
      <c r="J41" s="232">
        <f>SUMIFS('Diags Raw Data'!$U$6:$U$4756,'Diags Raw Data'!$D$6:$D$4756,$A41,'Diags Raw Data'!$L$6:$L$4756,"Legacy")</f>
        <v>0</v>
      </c>
      <c r="K41" s="233">
        <f>SUMIFS('Diags Raw Data'!$V$6:$V$4756,'Diags Raw Data'!$D$6:$D$4756,$A41,'Diags Raw Data'!$L$6:$L$4756,"Legacy")</f>
        <v>0</v>
      </c>
      <c r="L41" s="244" t="str">
        <f t="shared" si="16"/>
        <v>---</v>
      </c>
      <c r="M41" s="234" t="str">
        <f t="shared" si="17"/>
        <v>---</v>
      </c>
      <c r="N41" s="237" t="str">
        <f t="shared" si="18"/>
        <v>---</v>
      </c>
      <c r="O41" s="213">
        <f>SUMIFS('Diags Raw Data'!$Y$6:$Y$4756,'Diags Raw Data'!$D$6:$D$4756,$A41,'Diags Raw Data'!$L$6:$L$4756,"Legacy")</f>
        <v>0</v>
      </c>
      <c r="P41" s="205">
        <f>SUMIFS('Diags Raw Data'!$Z$6:$Z$4756,'Diags Raw Data'!$D$6:$D$4756,$A41,'Diags Raw Data'!$L$6:$L$4756,"Legacy")</f>
        <v>0</v>
      </c>
      <c r="Q41" s="207">
        <f>SUMIFS('Diags Raw Data'!$AA$6:$AA$4756,'Diags Raw Data'!$D$6:$D$4756,$A41,'Diags Raw Data'!$L$6:$L$4756,"Legacy")</f>
        <v>0</v>
      </c>
      <c r="R41" s="205">
        <f>SUMIFS('Diags Raw Data'!$AB$6:$AB$4756,'Diags Raw Data'!$D$6:$D$4756,$A41,'Diags Raw Data'!$L$6:$L$4756,"Legacy")</f>
        <v>0</v>
      </c>
      <c r="S41" s="207">
        <f>SUMIFS('Diags Raw Data'!$AC$6:$AC$4756,'Diags Raw Data'!$D$6:$D$4756,$A41,'Diags Raw Data'!$L$6:$L$4756,"Legacy")</f>
        <v>0</v>
      </c>
      <c r="T41" s="206" t="str">
        <f t="shared" si="19"/>
        <v>---</v>
      </c>
      <c r="U41" s="238" t="str">
        <f t="shared" si="20"/>
        <v>---</v>
      </c>
      <c r="V41" s="235" t="str">
        <f t="shared" si="21"/>
        <v>---</v>
      </c>
    </row>
    <row r="42" spans="1:22" ht="15.95" thickBot="1">
      <c r="A42" s="270" t="s">
        <v>666</v>
      </c>
      <c r="B42" s="255">
        <f>SUM(B32:B41)</f>
        <v>382</v>
      </c>
      <c r="C42" s="256">
        <f>SUM(C32:C41)</f>
        <v>382</v>
      </c>
      <c r="D42" s="256">
        <f>SUM(D32:D41)</f>
        <v>125</v>
      </c>
      <c r="E42" s="256">
        <f>SUM(E32:E41)</f>
        <v>382</v>
      </c>
      <c r="F42" s="257" cm="1">
        <f t="array" ref="F42">SUMPRODUCT(--(ISNUMBER(SEARCH("Legacy",'Diags Raw Data'!$L$6:$L$4756))),'Diags Raw Data'!$J$6:$J$4756,'Diags Raw Data'!$O$6:$O$4756)/D42</f>
        <v>1.008</v>
      </c>
      <c r="G42" s="258">
        <f>SUM(G32:G41)</f>
        <v>382</v>
      </c>
      <c r="H42" s="259">
        <f>SUM(H32:H41)</f>
        <v>226</v>
      </c>
      <c r="I42" s="260">
        <f>SUM(I32:I41)</f>
        <v>0</v>
      </c>
      <c r="J42" s="259">
        <f>SUM(J32:J41)</f>
        <v>156</v>
      </c>
      <c r="K42" s="260">
        <f>SUM(K32:K41)</f>
        <v>0</v>
      </c>
      <c r="L42" s="261">
        <f>IF(NOT($C42=0), G42/$C42, "---")</f>
        <v>1</v>
      </c>
      <c r="M42" s="262">
        <f t="shared" si="17"/>
        <v>0.59162303664921467</v>
      </c>
      <c r="N42" s="263">
        <f t="shared" si="18"/>
        <v>0.59162303664921467</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8"/>
  <sheetViews>
    <sheetView workbookViewId="0" xr3:uid="{51F8DEE0-4D01-5F28-A812-FC0BD7CAC4A5}">
      <pane ySplit="2" topLeftCell="A162" activePane="bottomLeft" state="frozen"/>
      <selection pane="bottomLeft" activeCell="B100" sqref="B100"/>
    </sheetView>
  </sheetViews>
  <sheetFormatPr defaultRowHeight="14.4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76" t="s">
        <v>667</v>
      </c>
      <c r="B1" s="677"/>
      <c r="C1" s="677"/>
      <c r="D1" s="677"/>
      <c r="E1" s="677"/>
      <c r="F1" s="677"/>
      <c r="G1" s="677"/>
      <c r="H1" s="677"/>
      <c r="I1" s="678"/>
    </row>
    <row r="2" spans="1:9" s="79" customFormat="1" ht="15" thickBot="1">
      <c r="A2" s="405" t="s">
        <v>72</v>
      </c>
      <c r="B2" s="406" t="s">
        <v>76</v>
      </c>
      <c r="C2" s="407" t="s">
        <v>91</v>
      </c>
      <c r="D2" s="407" t="s">
        <v>197</v>
      </c>
      <c r="E2" s="408" t="s">
        <v>1</v>
      </c>
    </row>
    <row r="3" spans="1:9" ht="15" thickBot="1">
      <c r="A3" s="335" t="s">
        <v>668</v>
      </c>
      <c r="B3" s="335" t="s">
        <v>669</v>
      </c>
      <c r="C3" s="335" t="s">
        <v>670</v>
      </c>
      <c r="D3" s="335" t="s">
        <v>43</v>
      </c>
      <c r="E3" s="547" t="s">
        <v>33</v>
      </c>
      <c r="G3" s="288" t="s">
        <v>72</v>
      </c>
      <c r="H3" s="289" t="s">
        <v>671</v>
      </c>
      <c r="I3" s="543">
        <f>COUNTA(A3:A3996)</f>
        <v>186</v>
      </c>
    </row>
    <row r="4" spans="1:9" ht="15" thickBot="1">
      <c r="A4" s="335" t="s">
        <v>672</v>
      </c>
      <c r="B4" s="335" t="s">
        <v>673</v>
      </c>
      <c r="C4" s="335" t="s">
        <v>670</v>
      </c>
      <c r="D4" s="335" t="s">
        <v>43</v>
      </c>
      <c r="E4" s="547" t="s">
        <v>33</v>
      </c>
      <c r="G4" s="668" t="s">
        <v>91</v>
      </c>
      <c r="H4" s="290" t="s">
        <v>674</v>
      </c>
      <c r="I4" s="544">
        <f>COUNTIFS($C3:$C3996,"P1")</f>
        <v>1</v>
      </c>
    </row>
    <row r="5" spans="1:9" ht="15" thickBot="1">
      <c r="A5" s="335" t="s">
        <v>252</v>
      </c>
      <c r="B5" s="335" t="s">
        <v>253</v>
      </c>
      <c r="C5" s="335" t="s">
        <v>670</v>
      </c>
      <c r="D5" s="335" t="s">
        <v>34</v>
      </c>
      <c r="E5" s="547" t="s">
        <v>33</v>
      </c>
      <c r="G5" s="669"/>
      <c r="H5" s="291" t="s">
        <v>675</v>
      </c>
      <c r="I5" s="545">
        <f>COUNTIFS($C3:$C3996,"P2")</f>
        <v>185</v>
      </c>
    </row>
    <row r="6" spans="1:9" ht="15" thickBot="1">
      <c r="A6" s="335" t="s">
        <v>260</v>
      </c>
      <c r="B6" s="335" t="s">
        <v>261</v>
      </c>
      <c r="C6" s="335" t="s">
        <v>670</v>
      </c>
      <c r="D6" s="335" t="s">
        <v>34</v>
      </c>
      <c r="E6" s="547" t="s">
        <v>33</v>
      </c>
      <c r="G6" s="670"/>
      <c r="H6" s="292" t="s">
        <v>676</v>
      </c>
      <c r="I6" s="546">
        <f>COUNTIFS($C3:$C3996,"P3")</f>
        <v>0</v>
      </c>
    </row>
    <row r="7" spans="1:9" ht="15" thickBot="1">
      <c r="A7" s="335" t="s">
        <v>268</v>
      </c>
      <c r="B7" s="335" t="s">
        <v>269</v>
      </c>
      <c r="C7" s="335" t="s">
        <v>670</v>
      </c>
      <c r="D7" s="335" t="s">
        <v>34</v>
      </c>
      <c r="E7" s="547" t="s">
        <v>33</v>
      </c>
      <c r="G7" s="671" t="s">
        <v>197</v>
      </c>
      <c r="H7" s="290" t="s">
        <v>677</v>
      </c>
      <c r="I7" s="544">
        <f>COUNTIFS($D3:$D3996,"Diagnostics")</f>
        <v>154</v>
      </c>
    </row>
    <row r="8" spans="1:9" ht="15" thickBot="1">
      <c r="A8" s="335" t="s">
        <v>272</v>
      </c>
      <c r="B8" s="335" t="s">
        <v>273</v>
      </c>
      <c r="C8" s="335" t="s">
        <v>670</v>
      </c>
      <c r="D8" s="335" t="s">
        <v>34</v>
      </c>
      <c r="E8" s="547" t="s">
        <v>33</v>
      </c>
      <c r="G8" s="672"/>
      <c r="H8" s="291" t="s">
        <v>678</v>
      </c>
      <c r="I8" s="545">
        <f>COUNTIFS($D3:$D3996,"Driver")</f>
        <v>0</v>
      </c>
    </row>
    <row r="9" spans="1:9" ht="15" thickBot="1">
      <c r="A9" s="335" t="s">
        <v>679</v>
      </c>
      <c r="B9" s="335" t="s">
        <v>680</v>
      </c>
      <c r="C9" s="335" t="s">
        <v>670</v>
      </c>
      <c r="D9" s="335" t="s">
        <v>43</v>
      </c>
      <c r="E9" s="547" t="s">
        <v>33</v>
      </c>
      <c r="G9" s="672"/>
      <c r="H9" s="291" t="s">
        <v>681</v>
      </c>
      <c r="I9" s="545">
        <f>COUNTIFS($D3:$D3996,"IPSE")</f>
        <v>27</v>
      </c>
    </row>
    <row r="10" spans="1:9" ht="15" thickBot="1">
      <c r="A10" s="335" t="s">
        <v>277</v>
      </c>
      <c r="B10" s="335" t="s">
        <v>278</v>
      </c>
      <c r="C10" s="335" t="s">
        <v>670</v>
      </c>
      <c r="D10" s="335" t="s">
        <v>34</v>
      </c>
      <c r="E10" s="547" t="s">
        <v>33</v>
      </c>
      <c r="G10" s="673"/>
      <c r="H10" s="292" t="s">
        <v>682</v>
      </c>
      <c r="I10" s="546">
        <f>COUNTIFS($D3:$D3996,"N/A")</f>
        <v>0</v>
      </c>
    </row>
    <row r="11" spans="1:9" ht="15" thickBot="1">
      <c r="A11" s="335" t="s">
        <v>280</v>
      </c>
      <c r="B11" s="335" t="s">
        <v>281</v>
      </c>
      <c r="C11" s="335" t="s">
        <v>670</v>
      </c>
      <c r="D11" s="335" t="s">
        <v>34</v>
      </c>
      <c r="E11" s="547" t="s">
        <v>33</v>
      </c>
      <c r="G11" s="671" t="s">
        <v>1</v>
      </c>
      <c r="H11" s="290" t="s">
        <v>683</v>
      </c>
      <c r="I11" s="544">
        <f>COUNTIFS($E3:$E3996,"Legacy")</f>
        <v>132</v>
      </c>
    </row>
    <row r="12" spans="1:9" ht="15" thickBot="1">
      <c r="A12" s="335" t="s">
        <v>286</v>
      </c>
      <c r="B12" s="335" t="s">
        <v>287</v>
      </c>
      <c r="C12" s="335" t="s">
        <v>670</v>
      </c>
      <c r="D12" s="335" t="s">
        <v>34</v>
      </c>
      <c r="E12" s="547" t="s">
        <v>33</v>
      </c>
      <c r="G12" s="672"/>
      <c r="H12" s="291" t="s">
        <v>684</v>
      </c>
      <c r="I12" s="545">
        <f>COUNTIFS($E3:$E3996,"Delta")</f>
        <v>54</v>
      </c>
    </row>
    <row r="13" spans="1:9" ht="15" thickBot="1">
      <c r="A13" s="335" t="s">
        <v>292</v>
      </c>
      <c r="B13" s="335" t="s">
        <v>293</v>
      </c>
      <c r="C13" s="335" t="s">
        <v>670</v>
      </c>
      <c r="D13" s="335" t="s">
        <v>34</v>
      </c>
      <c r="E13" s="547" t="s">
        <v>33</v>
      </c>
      <c r="G13" s="673"/>
      <c r="H13" s="292" t="s">
        <v>685</v>
      </c>
      <c r="I13" s="546">
        <f>COUNTIFS($E3:$E3996,"New")</f>
        <v>0</v>
      </c>
    </row>
    <row r="14" spans="1:9" ht="15" thickBot="1">
      <c r="A14" s="335" t="s">
        <v>298</v>
      </c>
      <c r="B14" s="335" t="s">
        <v>299</v>
      </c>
      <c r="C14" s="335" t="s">
        <v>670</v>
      </c>
      <c r="D14" s="335" t="s">
        <v>34</v>
      </c>
      <c r="E14" s="547" t="s">
        <v>33</v>
      </c>
      <c r="G14" s="409" t="s">
        <v>202</v>
      </c>
      <c r="H14" s="674"/>
      <c r="I14" s="675"/>
    </row>
    <row r="15" spans="1:9" ht="15" thickBot="1">
      <c r="A15" s="335" t="s">
        <v>302</v>
      </c>
      <c r="B15" s="335" t="s">
        <v>303</v>
      </c>
      <c r="C15" s="335" t="s">
        <v>670</v>
      </c>
      <c r="D15" s="335" t="s">
        <v>34</v>
      </c>
      <c r="E15" s="547" t="s">
        <v>33</v>
      </c>
    </row>
    <row r="16" spans="1:9" ht="15" thickBot="1">
      <c r="A16" s="335" t="s">
        <v>305</v>
      </c>
      <c r="B16" s="335" t="s">
        <v>306</v>
      </c>
      <c r="C16" s="335" t="s">
        <v>670</v>
      </c>
      <c r="D16" s="335" t="s">
        <v>34</v>
      </c>
      <c r="E16" s="547" t="s">
        <v>33</v>
      </c>
    </row>
    <row r="17" spans="1:5" ht="15" thickBot="1">
      <c r="A17" s="335" t="s">
        <v>686</v>
      </c>
      <c r="B17" s="335" t="s">
        <v>687</v>
      </c>
      <c r="C17" s="335" t="s">
        <v>670</v>
      </c>
      <c r="D17" s="335" t="s">
        <v>43</v>
      </c>
      <c r="E17" s="547" t="s">
        <v>33</v>
      </c>
    </row>
    <row r="18" spans="1:5" ht="15" thickBot="1">
      <c r="A18" s="335" t="s">
        <v>308</v>
      </c>
      <c r="B18" s="335" t="s">
        <v>309</v>
      </c>
      <c r="C18" s="335" t="s">
        <v>670</v>
      </c>
      <c r="D18" s="335" t="s">
        <v>34</v>
      </c>
      <c r="E18" s="547" t="s">
        <v>33</v>
      </c>
    </row>
    <row r="19" spans="1:5" ht="15" thickBot="1">
      <c r="A19" s="335" t="s">
        <v>311</v>
      </c>
      <c r="B19" s="335" t="s">
        <v>312</v>
      </c>
      <c r="C19" s="335" t="s">
        <v>670</v>
      </c>
      <c r="D19" s="335" t="s">
        <v>34</v>
      </c>
      <c r="E19" s="547" t="s">
        <v>33</v>
      </c>
    </row>
    <row r="20" spans="1:5" ht="15" thickBot="1">
      <c r="A20" s="335" t="s">
        <v>688</v>
      </c>
      <c r="B20" s="335" t="s">
        <v>689</v>
      </c>
      <c r="C20" s="335" t="s">
        <v>670</v>
      </c>
      <c r="D20" s="335" t="s">
        <v>34</v>
      </c>
      <c r="E20" s="547" t="s">
        <v>33</v>
      </c>
    </row>
    <row r="21" spans="1:5" ht="15" thickBot="1">
      <c r="A21" s="335" t="s">
        <v>690</v>
      </c>
      <c r="B21" s="335" t="s">
        <v>691</v>
      </c>
      <c r="C21" s="335" t="s">
        <v>670</v>
      </c>
      <c r="D21" s="335" t="s">
        <v>34</v>
      </c>
      <c r="E21" s="547" t="s">
        <v>33</v>
      </c>
    </row>
    <row r="22" spans="1:5" ht="15" thickBot="1">
      <c r="A22" s="335" t="s">
        <v>318</v>
      </c>
      <c r="B22" s="335" t="s">
        <v>319</v>
      </c>
      <c r="C22" s="335" t="s">
        <v>670</v>
      </c>
      <c r="D22" s="335" t="s">
        <v>34</v>
      </c>
      <c r="E22" s="547" t="s">
        <v>33</v>
      </c>
    </row>
    <row r="23" spans="1:5" ht="15" thickBot="1">
      <c r="A23" s="335" t="s">
        <v>324</v>
      </c>
      <c r="B23" s="335" t="s">
        <v>325</v>
      </c>
      <c r="C23" s="335" t="s">
        <v>670</v>
      </c>
      <c r="D23" s="335" t="s">
        <v>34</v>
      </c>
      <c r="E23" s="547" t="s">
        <v>33</v>
      </c>
    </row>
    <row r="24" spans="1:5" ht="15" thickBot="1">
      <c r="A24" s="335" t="s">
        <v>692</v>
      </c>
      <c r="B24" s="335" t="s">
        <v>693</v>
      </c>
      <c r="C24" s="335" t="s">
        <v>670</v>
      </c>
      <c r="D24" s="335" t="s">
        <v>34</v>
      </c>
      <c r="E24" s="547" t="s">
        <v>33</v>
      </c>
    </row>
    <row r="25" spans="1:5" ht="15" thickBot="1">
      <c r="A25" s="335" t="s">
        <v>332</v>
      </c>
      <c r="B25" s="335" t="s">
        <v>333</v>
      </c>
      <c r="C25" s="335" t="s">
        <v>670</v>
      </c>
      <c r="D25" s="335" t="s">
        <v>34</v>
      </c>
      <c r="E25" s="547" t="s">
        <v>33</v>
      </c>
    </row>
    <row r="26" spans="1:5" ht="15" thickBot="1">
      <c r="A26" s="335" t="s">
        <v>335</v>
      </c>
      <c r="B26" s="335" t="s">
        <v>336</v>
      </c>
      <c r="C26" s="335" t="s">
        <v>670</v>
      </c>
      <c r="D26" s="335" t="s">
        <v>34</v>
      </c>
      <c r="E26" s="547" t="s">
        <v>33</v>
      </c>
    </row>
    <row r="27" spans="1:5" ht="15" thickBot="1">
      <c r="A27" s="335" t="s">
        <v>338</v>
      </c>
      <c r="B27" s="335" t="s">
        <v>339</v>
      </c>
      <c r="C27" s="335" t="s">
        <v>670</v>
      </c>
      <c r="D27" s="335" t="s">
        <v>34</v>
      </c>
      <c r="E27" s="547" t="s">
        <v>33</v>
      </c>
    </row>
    <row r="28" spans="1:5" ht="15" thickBot="1">
      <c r="A28" s="335" t="s">
        <v>340</v>
      </c>
      <c r="B28" s="335" t="s">
        <v>341</v>
      </c>
      <c r="C28" s="335" t="s">
        <v>670</v>
      </c>
      <c r="D28" s="335" t="s">
        <v>34</v>
      </c>
      <c r="E28" s="547" t="s">
        <v>33</v>
      </c>
    </row>
    <row r="29" spans="1:5" ht="15" thickBot="1">
      <c r="A29" s="335" t="s">
        <v>343</v>
      </c>
      <c r="B29" s="335" t="s">
        <v>344</v>
      </c>
      <c r="C29" s="335" t="s">
        <v>670</v>
      </c>
      <c r="D29" s="335" t="s">
        <v>34</v>
      </c>
      <c r="E29" s="547" t="s">
        <v>33</v>
      </c>
    </row>
    <row r="30" spans="1:5" ht="15" thickBot="1">
      <c r="A30" s="335" t="s">
        <v>346</v>
      </c>
      <c r="B30" s="335" t="s">
        <v>347</v>
      </c>
      <c r="C30" s="335" t="s">
        <v>670</v>
      </c>
      <c r="D30" s="335" t="s">
        <v>34</v>
      </c>
      <c r="E30" s="547" t="s">
        <v>33</v>
      </c>
    </row>
    <row r="31" spans="1:5" ht="15" thickBot="1">
      <c r="A31" s="335" t="s">
        <v>349</v>
      </c>
      <c r="B31" s="335" t="s">
        <v>350</v>
      </c>
      <c r="C31" s="335" t="s">
        <v>670</v>
      </c>
      <c r="D31" s="335" t="s">
        <v>34</v>
      </c>
      <c r="E31" s="547" t="s">
        <v>33</v>
      </c>
    </row>
    <row r="32" spans="1:5" ht="15" thickBot="1">
      <c r="A32" s="335" t="s">
        <v>694</v>
      </c>
      <c r="B32" s="335" t="s">
        <v>695</v>
      </c>
      <c r="C32" s="335" t="s">
        <v>670</v>
      </c>
      <c r="D32" s="335" t="s">
        <v>34</v>
      </c>
      <c r="E32" s="547" t="s">
        <v>33</v>
      </c>
    </row>
    <row r="33" spans="1:5" ht="15" thickBot="1">
      <c r="A33" s="335" t="s">
        <v>351</v>
      </c>
      <c r="B33" s="335" t="s">
        <v>352</v>
      </c>
      <c r="C33" s="335" t="s">
        <v>670</v>
      </c>
      <c r="D33" s="335" t="s">
        <v>34</v>
      </c>
      <c r="E33" s="547" t="s">
        <v>33</v>
      </c>
    </row>
    <row r="34" spans="1:5" ht="15" thickBot="1">
      <c r="A34" s="335" t="s">
        <v>354</v>
      </c>
      <c r="B34" s="335" t="s">
        <v>355</v>
      </c>
      <c r="C34" s="335" t="s">
        <v>670</v>
      </c>
      <c r="D34" s="335" t="s">
        <v>34</v>
      </c>
      <c r="E34" s="547" t="s">
        <v>33</v>
      </c>
    </row>
    <row r="35" spans="1:5" ht="15" thickBot="1">
      <c r="A35" s="335" t="s">
        <v>357</v>
      </c>
      <c r="B35" s="335" t="s">
        <v>358</v>
      </c>
      <c r="C35" s="335" t="s">
        <v>670</v>
      </c>
      <c r="D35" s="335" t="s">
        <v>34</v>
      </c>
      <c r="E35" s="547" t="s">
        <v>33</v>
      </c>
    </row>
    <row r="36" spans="1:5" ht="15" thickBot="1">
      <c r="A36" s="335" t="s">
        <v>359</v>
      </c>
      <c r="B36" s="335" t="s">
        <v>360</v>
      </c>
      <c r="C36" s="335" t="s">
        <v>670</v>
      </c>
      <c r="D36" s="335" t="s">
        <v>34</v>
      </c>
      <c r="E36" s="547" t="s">
        <v>33</v>
      </c>
    </row>
    <row r="37" spans="1:5" ht="15" thickBot="1">
      <c r="A37" s="335" t="s">
        <v>361</v>
      </c>
      <c r="B37" s="335" t="s">
        <v>362</v>
      </c>
      <c r="C37" s="335" t="s">
        <v>670</v>
      </c>
      <c r="D37" s="335" t="s">
        <v>34</v>
      </c>
      <c r="E37" s="547" t="s">
        <v>33</v>
      </c>
    </row>
    <row r="38" spans="1:5" ht="15" thickBot="1">
      <c r="A38" s="335" t="s">
        <v>365</v>
      </c>
      <c r="B38" s="335" t="s">
        <v>366</v>
      </c>
      <c r="C38" s="335" t="s">
        <v>670</v>
      </c>
      <c r="D38" s="335" t="s">
        <v>34</v>
      </c>
      <c r="E38" s="547" t="s">
        <v>33</v>
      </c>
    </row>
    <row r="39" spans="1:5" ht="15" thickBot="1">
      <c r="A39" s="335" t="s">
        <v>368</v>
      </c>
      <c r="B39" s="335" t="s">
        <v>369</v>
      </c>
      <c r="C39" s="335" t="s">
        <v>670</v>
      </c>
      <c r="D39" s="335" t="s">
        <v>34</v>
      </c>
      <c r="E39" s="547" t="s">
        <v>33</v>
      </c>
    </row>
    <row r="40" spans="1:5" ht="15" thickBot="1">
      <c r="A40" s="335" t="s">
        <v>376</v>
      </c>
      <c r="B40" s="335" t="s">
        <v>377</v>
      </c>
      <c r="C40" s="335" t="s">
        <v>670</v>
      </c>
      <c r="D40" s="335" t="s">
        <v>34</v>
      </c>
      <c r="E40" s="547" t="s">
        <v>33</v>
      </c>
    </row>
    <row r="41" spans="1:5" ht="15" thickBot="1">
      <c r="A41" s="335" t="s">
        <v>379</v>
      </c>
      <c r="B41" s="335" t="s">
        <v>380</v>
      </c>
      <c r="C41" s="335" t="s">
        <v>670</v>
      </c>
      <c r="D41" s="335" t="s">
        <v>34</v>
      </c>
      <c r="E41" s="547" t="s">
        <v>33</v>
      </c>
    </row>
    <row r="42" spans="1:5" ht="15" thickBot="1">
      <c r="A42" s="335" t="s">
        <v>382</v>
      </c>
      <c r="B42" s="335" t="s">
        <v>383</v>
      </c>
      <c r="C42" s="335" t="s">
        <v>670</v>
      </c>
      <c r="D42" s="335" t="s">
        <v>34</v>
      </c>
      <c r="E42" s="547" t="s">
        <v>33</v>
      </c>
    </row>
    <row r="43" spans="1:5" ht="15" thickBot="1">
      <c r="A43" s="335" t="s">
        <v>385</v>
      </c>
      <c r="B43" s="335" t="s">
        <v>386</v>
      </c>
      <c r="C43" s="335" t="s">
        <v>670</v>
      </c>
      <c r="D43" s="335" t="s">
        <v>34</v>
      </c>
      <c r="E43" s="547" t="s">
        <v>33</v>
      </c>
    </row>
    <row r="44" spans="1:5" ht="15" thickBot="1">
      <c r="A44" s="335" t="s">
        <v>387</v>
      </c>
      <c r="B44" s="335" t="s">
        <v>388</v>
      </c>
      <c r="C44" s="335" t="s">
        <v>670</v>
      </c>
      <c r="D44" s="335" t="s">
        <v>34</v>
      </c>
      <c r="E44" s="547" t="s">
        <v>33</v>
      </c>
    </row>
    <row r="45" spans="1:5" ht="15" thickBot="1">
      <c r="A45" s="335" t="s">
        <v>389</v>
      </c>
      <c r="B45" s="335" t="s">
        <v>390</v>
      </c>
      <c r="C45" s="335" t="s">
        <v>670</v>
      </c>
      <c r="D45" s="335" t="s">
        <v>34</v>
      </c>
      <c r="E45" s="547" t="s">
        <v>33</v>
      </c>
    </row>
    <row r="46" spans="1:5" ht="15" thickBot="1">
      <c r="A46" s="335" t="s">
        <v>393</v>
      </c>
      <c r="B46" s="335" t="s">
        <v>394</v>
      </c>
      <c r="C46" s="335" t="s">
        <v>670</v>
      </c>
      <c r="D46" s="335" t="s">
        <v>34</v>
      </c>
      <c r="E46" s="547" t="s">
        <v>33</v>
      </c>
    </row>
    <row r="47" spans="1:5" ht="15" thickBot="1">
      <c r="A47" s="335" t="s">
        <v>696</v>
      </c>
      <c r="B47" s="335" t="s">
        <v>697</v>
      </c>
      <c r="C47" s="335" t="s">
        <v>670</v>
      </c>
      <c r="D47" s="335" t="s">
        <v>34</v>
      </c>
      <c r="E47" s="547" t="s">
        <v>33</v>
      </c>
    </row>
    <row r="48" spans="1:5" ht="15" thickBot="1">
      <c r="A48" s="335" t="s">
        <v>698</v>
      </c>
      <c r="B48" s="335" t="s">
        <v>699</v>
      </c>
      <c r="C48" s="335" t="s">
        <v>670</v>
      </c>
      <c r="D48" s="335" t="s">
        <v>34</v>
      </c>
      <c r="E48" s="547" t="s">
        <v>33</v>
      </c>
    </row>
    <row r="49" spans="1:5" ht="15" thickBot="1">
      <c r="A49" s="335" t="s">
        <v>700</v>
      </c>
      <c r="B49" s="335" t="s">
        <v>701</v>
      </c>
      <c r="C49" s="335" t="s">
        <v>670</v>
      </c>
      <c r="D49" s="335" t="s">
        <v>43</v>
      </c>
      <c r="E49" s="547" t="s">
        <v>33</v>
      </c>
    </row>
    <row r="50" spans="1:5" ht="15" thickBot="1">
      <c r="A50" s="335" t="s">
        <v>397</v>
      </c>
      <c r="B50" s="335" t="s">
        <v>398</v>
      </c>
      <c r="C50" s="335" t="s">
        <v>670</v>
      </c>
      <c r="D50" s="335" t="s">
        <v>34</v>
      </c>
      <c r="E50" s="547" t="s">
        <v>33</v>
      </c>
    </row>
    <row r="51" spans="1:5" ht="15" thickBot="1">
      <c r="A51" s="335" t="s">
        <v>401</v>
      </c>
      <c r="B51" s="335" t="s">
        <v>402</v>
      </c>
      <c r="C51" s="335" t="s">
        <v>670</v>
      </c>
      <c r="D51" s="335" t="s">
        <v>34</v>
      </c>
      <c r="E51" s="547" t="s">
        <v>33</v>
      </c>
    </row>
    <row r="52" spans="1:5" ht="15" thickBot="1">
      <c r="A52" s="335" t="s">
        <v>404</v>
      </c>
      <c r="B52" s="335" t="s">
        <v>405</v>
      </c>
      <c r="C52" s="335" t="s">
        <v>670</v>
      </c>
      <c r="D52" s="335" t="s">
        <v>34</v>
      </c>
      <c r="E52" s="547" t="s">
        <v>33</v>
      </c>
    </row>
    <row r="53" spans="1:5" ht="15" thickBot="1">
      <c r="A53" s="335" t="s">
        <v>407</v>
      </c>
      <c r="B53" s="335" t="s">
        <v>408</v>
      </c>
      <c r="C53" s="335" t="s">
        <v>670</v>
      </c>
      <c r="D53" s="335" t="s">
        <v>34</v>
      </c>
      <c r="E53" s="547" t="s">
        <v>33</v>
      </c>
    </row>
    <row r="54" spans="1:5" ht="15" thickBot="1">
      <c r="A54" s="335" t="s">
        <v>410</v>
      </c>
      <c r="B54" s="335" t="s">
        <v>411</v>
      </c>
      <c r="C54" s="335" t="s">
        <v>670</v>
      </c>
      <c r="D54" s="335" t="s">
        <v>34</v>
      </c>
      <c r="E54" s="547" t="s">
        <v>33</v>
      </c>
    </row>
    <row r="55" spans="1:5" ht="15" thickBot="1">
      <c r="A55" s="335" t="s">
        <v>413</v>
      </c>
      <c r="B55" s="335" t="s">
        <v>414</v>
      </c>
      <c r="C55" s="335" t="s">
        <v>670</v>
      </c>
      <c r="D55" s="335" t="s">
        <v>34</v>
      </c>
      <c r="E55" s="547" t="s">
        <v>33</v>
      </c>
    </row>
    <row r="56" spans="1:5" ht="15" thickBot="1">
      <c r="A56" s="335" t="s">
        <v>702</v>
      </c>
      <c r="B56" s="335" t="s">
        <v>703</v>
      </c>
      <c r="C56" s="335" t="s">
        <v>670</v>
      </c>
      <c r="D56" s="335" t="s">
        <v>34</v>
      </c>
      <c r="E56" s="547" t="s">
        <v>33</v>
      </c>
    </row>
    <row r="57" spans="1:5" ht="15" thickBot="1">
      <c r="A57" s="335" t="s">
        <v>415</v>
      </c>
      <c r="B57" s="335" t="s">
        <v>416</v>
      </c>
      <c r="C57" s="335" t="s">
        <v>670</v>
      </c>
      <c r="D57" s="335" t="s">
        <v>34</v>
      </c>
      <c r="E57" s="547" t="s">
        <v>33</v>
      </c>
    </row>
    <row r="58" spans="1:5" ht="15" thickBot="1">
      <c r="A58" s="335" t="s">
        <v>419</v>
      </c>
      <c r="B58" s="335" t="s">
        <v>420</v>
      </c>
      <c r="C58" s="335" t="s">
        <v>670</v>
      </c>
      <c r="D58" s="335" t="s">
        <v>34</v>
      </c>
      <c r="E58" s="547" t="s">
        <v>33</v>
      </c>
    </row>
    <row r="59" spans="1:5" ht="15" thickBot="1">
      <c r="A59" s="335" t="s">
        <v>704</v>
      </c>
      <c r="B59" s="335" t="s">
        <v>705</v>
      </c>
      <c r="C59" s="335" t="s">
        <v>670</v>
      </c>
      <c r="D59" s="335" t="s">
        <v>43</v>
      </c>
      <c r="E59" s="547" t="s">
        <v>33</v>
      </c>
    </row>
    <row r="60" spans="1:5" ht="15" thickBot="1">
      <c r="A60" s="335" t="s">
        <v>422</v>
      </c>
      <c r="B60" s="335" t="s">
        <v>423</v>
      </c>
      <c r="C60" s="335" t="s">
        <v>670</v>
      </c>
      <c r="D60" s="335" t="s">
        <v>34</v>
      </c>
      <c r="E60" s="547" t="s">
        <v>33</v>
      </c>
    </row>
    <row r="61" spans="1:5" ht="15" thickBot="1">
      <c r="A61" s="335" t="s">
        <v>706</v>
      </c>
      <c r="B61" s="335" t="s">
        <v>707</v>
      </c>
      <c r="C61" s="335" t="s">
        <v>670</v>
      </c>
      <c r="D61" s="335" t="s">
        <v>34</v>
      </c>
      <c r="E61" s="547" t="s">
        <v>38</v>
      </c>
    </row>
    <row r="62" spans="1:5" ht="15" thickBot="1">
      <c r="A62" s="335" t="s">
        <v>427</v>
      </c>
      <c r="B62" s="335" t="s">
        <v>428</v>
      </c>
      <c r="C62" s="335" t="s">
        <v>670</v>
      </c>
      <c r="D62" s="335" t="s">
        <v>34</v>
      </c>
      <c r="E62" s="547" t="s">
        <v>33</v>
      </c>
    </row>
    <row r="63" spans="1:5" ht="15" thickBot="1">
      <c r="A63" s="335" t="s">
        <v>708</v>
      </c>
      <c r="B63" s="335" t="s">
        <v>709</v>
      </c>
      <c r="C63" s="335" t="s">
        <v>670</v>
      </c>
      <c r="D63" s="335" t="s">
        <v>43</v>
      </c>
      <c r="E63" s="547" t="s">
        <v>33</v>
      </c>
    </row>
    <row r="64" spans="1:5" ht="15" thickBot="1">
      <c r="A64" s="335" t="s">
        <v>710</v>
      </c>
      <c r="B64" s="335" t="s">
        <v>711</v>
      </c>
      <c r="C64" s="335" t="s">
        <v>670</v>
      </c>
      <c r="D64" s="335" t="s">
        <v>43</v>
      </c>
      <c r="E64" s="547" t="s">
        <v>33</v>
      </c>
    </row>
    <row r="65" spans="1:5" ht="15" thickBot="1">
      <c r="A65" s="335" t="s">
        <v>432</v>
      </c>
      <c r="B65" s="335" t="s">
        <v>433</v>
      </c>
      <c r="C65" s="335" t="s">
        <v>670</v>
      </c>
      <c r="D65" s="335" t="s">
        <v>34</v>
      </c>
      <c r="E65" s="547" t="s">
        <v>33</v>
      </c>
    </row>
    <row r="66" spans="1:5" ht="15" thickBot="1">
      <c r="A66" s="335" t="s">
        <v>435</v>
      </c>
      <c r="B66" s="335" t="s">
        <v>436</v>
      </c>
      <c r="C66" s="335" t="s">
        <v>670</v>
      </c>
      <c r="D66" s="335" t="s">
        <v>34</v>
      </c>
      <c r="E66" s="547" t="s">
        <v>33</v>
      </c>
    </row>
    <row r="67" spans="1:5" ht="15" thickBot="1">
      <c r="A67" s="335" t="s">
        <v>439</v>
      </c>
      <c r="B67" s="335" t="s">
        <v>440</v>
      </c>
      <c r="C67" s="335" t="s">
        <v>670</v>
      </c>
      <c r="D67" s="335" t="s">
        <v>34</v>
      </c>
      <c r="E67" s="547" t="s">
        <v>33</v>
      </c>
    </row>
    <row r="68" spans="1:5" ht="15" thickBot="1">
      <c r="A68" s="335" t="s">
        <v>712</v>
      </c>
      <c r="B68" s="335" t="s">
        <v>713</v>
      </c>
      <c r="C68" s="335" t="s">
        <v>670</v>
      </c>
      <c r="D68" s="335" t="s">
        <v>34</v>
      </c>
      <c r="E68" s="547" t="s">
        <v>33</v>
      </c>
    </row>
    <row r="69" spans="1:5" ht="15" thickBot="1">
      <c r="A69" s="335" t="s">
        <v>444</v>
      </c>
      <c r="B69" s="335" t="s">
        <v>445</v>
      </c>
      <c r="C69" s="335" t="s">
        <v>670</v>
      </c>
      <c r="D69" s="335" t="s">
        <v>34</v>
      </c>
      <c r="E69" s="547" t="s">
        <v>33</v>
      </c>
    </row>
    <row r="70" spans="1:5" ht="15" thickBot="1">
      <c r="A70" s="335" t="s">
        <v>714</v>
      </c>
      <c r="B70" s="335" t="s">
        <v>715</v>
      </c>
      <c r="C70" s="335" t="s">
        <v>670</v>
      </c>
      <c r="D70" s="335" t="s">
        <v>34</v>
      </c>
      <c r="E70" s="547" t="s">
        <v>33</v>
      </c>
    </row>
    <row r="71" spans="1:5" ht="15" thickBot="1">
      <c r="A71" s="335" t="s">
        <v>447</v>
      </c>
      <c r="B71" s="335" t="s">
        <v>448</v>
      </c>
      <c r="C71" s="335" t="s">
        <v>670</v>
      </c>
      <c r="D71" s="335" t="s">
        <v>34</v>
      </c>
      <c r="E71" s="547" t="s">
        <v>33</v>
      </c>
    </row>
    <row r="72" spans="1:5" ht="15" thickBot="1">
      <c r="A72" s="335" t="s">
        <v>450</v>
      </c>
      <c r="B72" s="335" t="s">
        <v>451</v>
      </c>
      <c r="C72" s="335" t="s">
        <v>670</v>
      </c>
      <c r="D72" s="335" t="s">
        <v>34</v>
      </c>
      <c r="E72" s="547" t="s">
        <v>33</v>
      </c>
    </row>
    <row r="73" spans="1:5" ht="15" thickBot="1">
      <c r="A73" s="335" t="s">
        <v>453</v>
      </c>
      <c r="B73" s="335" t="s">
        <v>454</v>
      </c>
      <c r="C73" s="335" t="s">
        <v>670</v>
      </c>
      <c r="D73" s="335" t="s">
        <v>34</v>
      </c>
      <c r="E73" s="547" t="s">
        <v>33</v>
      </c>
    </row>
    <row r="74" spans="1:5" ht="15" thickBot="1">
      <c r="A74" s="335" t="s">
        <v>456</v>
      </c>
      <c r="B74" s="335" t="s">
        <v>457</v>
      </c>
      <c r="C74" s="335" t="s">
        <v>670</v>
      </c>
      <c r="D74" s="335" t="s">
        <v>34</v>
      </c>
      <c r="E74" s="547" t="s">
        <v>33</v>
      </c>
    </row>
    <row r="75" spans="1:5" ht="15" thickBot="1">
      <c r="A75" s="335" t="s">
        <v>459</v>
      </c>
      <c r="B75" s="335" t="s">
        <v>460</v>
      </c>
      <c r="C75" s="335" t="s">
        <v>670</v>
      </c>
      <c r="D75" s="335" t="s">
        <v>34</v>
      </c>
      <c r="E75" s="547" t="s">
        <v>33</v>
      </c>
    </row>
    <row r="76" spans="1:5" ht="15" thickBot="1">
      <c r="A76" s="335" t="s">
        <v>462</v>
      </c>
      <c r="B76" s="335" t="s">
        <v>463</v>
      </c>
      <c r="C76" s="335" t="s">
        <v>670</v>
      </c>
      <c r="D76" s="335" t="s">
        <v>34</v>
      </c>
      <c r="E76" s="547" t="s">
        <v>33</v>
      </c>
    </row>
    <row r="77" spans="1:5" ht="15" thickBot="1">
      <c r="A77" s="335" t="s">
        <v>466</v>
      </c>
      <c r="B77" s="335" t="s">
        <v>467</v>
      </c>
      <c r="C77" s="335" t="s">
        <v>670</v>
      </c>
      <c r="D77" s="335" t="s">
        <v>34</v>
      </c>
      <c r="E77" s="547" t="s">
        <v>33</v>
      </c>
    </row>
    <row r="78" spans="1:5" ht="15" thickBot="1">
      <c r="A78" s="335" t="s">
        <v>469</v>
      </c>
      <c r="B78" s="335" t="s">
        <v>470</v>
      </c>
      <c r="C78" s="335" t="s">
        <v>670</v>
      </c>
      <c r="D78" s="335" t="s">
        <v>34</v>
      </c>
      <c r="E78" s="547" t="s">
        <v>33</v>
      </c>
    </row>
    <row r="79" spans="1:5" ht="15" thickBot="1">
      <c r="A79" s="335" t="s">
        <v>716</v>
      </c>
      <c r="B79" s="335" t="s">
        <v>717</v>
      </c>
      <c r="C79" s="335" t="s">
        <v>670</v>
      </c>
      <c r="D79" s="335" t="s">
        <v>34</v>
      </c>
      <c r="E79" s="547" t="s">
        <v>33</v>
      </c>
    </row>
    <row r="80" spans="1:5" ht="15" thickBot="1">
      <c r="A80" s="335" t="s">
        <v>472</v>
      </c>
      <c r="B80" s="335" t="s">
        <v>473</v>
      </c>
      <c r="C80" s="335" t="s">
        <v>670</v>
      </c>
      <c r="D80" s="335" t="s">
        <v>34</v>
      </c>
      <c r="E80" s="547" t="s">
        <v>33</v>
      </c>
    </row>
    <row r="81" spans="1:5" ht="15" thickBot="1">
      <c r="A81" s="335" t="s">
        <v>475</v>
      </c>
      <c r="B81" s="335" t="s">
        <v>476</v>
      </c>
      <c r="C81" s="335" t="s">
        <v>670</v>
      </c>
      <c r="D81" s="335" t="s">
        <v>34</v>
      </c>
      <c r="E81" s="547" t="s">
        <v>33</v>
      </c>
    </row>
    <row r="82" spans="1:5" ht="15" thickBot="1">
      <c r="A82" s="335" t="s">
        <v>718</v>
      </c>
      <c r="B82" s="335" t="s">
        <v>719</v>
      </c>
      <c r="C82" s="335" t="s">
        <v>670</v>
      </c>
      <c r="D82" s="335" t="s">
        <v>720</v>
      </c>
      <c r="E82" s="547" t="s">
        <v>38</v>
      </c>
    </row>
    <row r="83" spans="1:5" ht="15" thickBot="1">
      <c r="A83" s="335" t="s">
        <v>478</v>
      </c>
      <c r="B83" s="335" t="s">
        <v>479</v>
      </c>
      <c r="C83" s="335" t="s">
        <v>670</v>
      </c>
      <c r="D83" s="335" t="s">
        <v>34</v>
      </c>
      <c r="E83" s="547" t="s">
        <v>38</v>
      </c>
    </row>
    <row r="84" spans="1:5" ht="15" thickBot="1">
      <c r="A84" s="335" t="s">
        <v>482</v>
      </c>
      <c r="B84" s="335" t="s">
        <v>483</v>
      </c>
      <c r="C84" s="335" t="s">
        <v>670</v>
      </c>
      <c r="D84" s="335" t="s">
        <v>34</v>
      </c>
      <c r="E84" s="547" t="s">
        <v>38</v>
      </c>
    </row>
    <row r="85" spans="1:5" ht="15" thickBot="1">
      <c r="A85" s="335" t="s">
        <v>721</v>
      </c>
      <c r="B85" s="335" t="s">
        <v>722</v>
      </c>
      <c r="C85" s="335" t="s">
        <v>670</v>
      </c>
      <c r="D85" s="335" t="s">
        <v>720</v>
      </c>
      <c r="E85" s="547" t="s">
        <v>38</v>
      </c>
    </row>
    <row r="86" spans="1:5" ht="15" thickBot="1">
      <c r="A86" s="335" t="s">
        <v>723</v>
      </c>
      <c r="B86" s="335" t="s">
        <v>724</v>
      </c>
      <c r="C86" s="335" t="s">
        <v>670</v>
      </c>
      <c r="D86" s="335" t="s">
        <v>34</v>
      </c>
      <c r="E86" s="547" t="s">
        <v>38</v>
      </c>
    </row>
    <row r="87" spans="1:5" ht="15" thickBot="1">
      <c r="A87" s="335" t="s">
        <v>725</v>
      </c>
      <c r="B87" s="335" t="s">
        <v>726</v>
      </c>
      <c r="C87" s="335" t="s">
        <v>670</v>
      </c>
      <c r="D87" s="335" t="s">
        <v>34</v>
      </c>
      <c r="E87" s="547" t="s">
        <v>38</v>
      </c>
    </row>
    <row r="88" spans="1:5" ht="15" thickBot="1">
      <c r="A88" s="335" t="s">
        <v>486</v>
      </c>
      <c r="B88" s="335" t="s">
        <v>487</v>
      </c>
      <c r="C88" s="335" t="s">
        <v>670</v>
      </c>
      <c r="D88" s="335" t="s">
        <v>34</v>
      </c>
      <c r="E88" s="547" t="s">
        <v>38</v>
      </c>
    </row>
    <row r="89" spans="1:5" ht="15" thickBot="1">
      <c r="A89" s="335" t="s">
        <v>488</v>
      </c>
      <c r="B89" s="335" t="s">
        <v>489</v>
      </c>
      <c r="C89" s="335" t="s">
        <v>670</v>
      </c>
      <c r="D89" s="335" t="s">
        <v>34</v>
      </c>
      <c r="E89" s="547" t="s">
        <v>33</v>
      </c>
    </row>
    <row r="90" spans="1:5" ht="15" thickBot="1">
      <c r="A90" s="335" t="s">
        <v>727</v>
      </c>
      <c r="B90" s="335" t="s">
        <v>728</v>
      </c>
      <c r="C90" s="335" t="s">
        <v>670</v>
      </c>
      <c r="D90" s="335" t="s">
        <v>34</v>
      </c>
      <c r="E90" s="547" t="s">
        <v>38</v>
      </c>
    </row>
    <row r="91" spans="1:5" ht="15" thickBot="1">
      <c r="A91" s="335" t="s">
        <v>491</v>
      </c>
      <c r="B91" s="335" t="s">
        <v>492</v>
      </c>
      <c r="C91" s="335" t="s">
        <v>670</v>
      </c>
      <c r="D91" s="335" t="s">
        <v>34</v>
      </c>
      <c r="E91" s="547" t="s">
        <v>38</v>
      </c>
    </row>
    <row r="92" spans="1:5" ht="15" thickBot="1">
      <c r="A92" s="335" t="s">
        <v>729</v>
      </c>
      <c r="B92" s="335" t="s">
        <v>730</v>
      </c>
      <c r="C92" s="335" t="s">
        <v>670</v>
      </c>
      <c r="D92" s="335" t="s">
        <v>34</v>
      </c>
      <c r="E92" s="547" t="s">
        <v>38</v>
      </c>
    </row>
    <row r="93" spans="1:5" ht="15" thickBot="1">
      <c r="A93" s="335" t="s">
        <v>494</v>
      </c>
      <c r="B93" s="335" t="s">
        <v>495</v>
      </c>
      <c r="C93" s="335" t="s">
        <v>670</v>
      </c>
      <c r="D93" s="335" t="s">
        <v>34</v>
      </c>
      <c r="E93" s="547" t="s">
        <v>38</v>
      </c>
    </row>
    <row r="94" spans="1:5" ht="15" thickBot="1">
      <c r="A94" s="335" t="s">
        <v>731</v>
      </c>
      <c r="B94" s="335" t="s">
        <v>732</v>
      </c>
      <c r="C94" s="335" t="s">
        <v>670</v>
      </c>
      <c r="D94" s="335" t="s">
        <v>43</v>
      </c>
      <c r="E94" s="547" t="s">
        <v>38</v>
      </c>
    </row>
    <row r="95" spans="1:5" ht="15" thickBot="1">
      <c r="A95" s="335" t="s">
        <v>733</v>
      </c>
      <c r="B95" s="335" t="s">
        <v>734</v>
      </c>
      <c r="C95" s="335" t="s">
        <v>670</v>
      </c>
      <c r="D95" s="335" t="s">
        <v>34</v>
      </c>
      <c r="E95" s="547" t="s">
        <v>38</v>
      </c>
    </row>
    <row r="96" spans="1:5" ht="15" thickBot="1">
      <c r="A96" s="335" t="s">
        <v>735</v>
      </c>
      <c r="B96" s="335" t="s">
        <v>736</v>
      </c>
      <c r="C96" s="335" t="s">
        <v>670</v>
      </c>
      <c r="D96" s="335" t="s">
        <v>43</v>
      </c>
      <c r="E96" s="547" t="s">
        <v>38</v>
      </c>
    </row>
    <row r="97" spans="1:5" ht="15" thickBot="1">
      <c r="A97" s="335" t="s">
        <v>496</v>
      </c>
      <c r="B97" s="335" t="s">
        <v>497</v>
      </c>
      <c r="C97" s="335" t="s">
        <v>670</v>
      </c>
      <c r="D97" s="335" t="s">
        <v>34</v>
      </c>
      <c r="E97" s="547" t="s">
        <v>38</v>
      </c>
    </row>
    <row r="98" spans="1:5" ht="15" thickBot="1">
      <c r="A98" s="335" t="s">
        <v>500</v>
      </c>
      <c r="B98" s="335" t="s">
        <v>501</v>
      </c>
      <c r="C98" s="335" t="s">
        <v>670</v>
      </c>
      <c r="D98" s="335" t="s">
        <v>34</v>
      </c>
      <c r="E98" s="547" t="s">
        <v>38</v>
      </c>
    </row>
    <row r="99" spans="1:5" ht="15" thickBot="1">
      <c r="A99" s="335" t="s">
        <v>737</v>
      </c>
      <c r="B99" s="335" t="s">
        <v>738</v>
      </c>
      <c r="C99" s="335" t="s">
        <v>670</v>
      </c>
      <c r="D99" s="335" t="s">
        <v>34</v>
      </c>
      <c r="E99" s="547" t="s">
        <v>38</v>
      </c>
    </row>
    <row r="100" spans="1:5" ht="15" thickBot="1">
      <c r="A100" s="335" t="s">
        <v>502</v>
      </c>
      <c r="B100" s="335" t="s">
        <v>503</v>
      </c>
      <c r="C100" s="335" t="s">
        <v>670</v>
      </c>
      <c r="D100" s="335" t="s">
        <v>34</v>
      </c>
      <c r="E100" s="547" t="s">
        <v>38</v>
      </c>
    </row>
    <row r="101" spans="1:5" ht="15" thickBot="1">
      <c r="A101" s="335" t="s">
        <v>739</v>
      </c>
      <c r="B101" s="335" t="s">
        <v>740</v>
      </c>
      <c r="C101" s="335" t="s">
        <v>670</v>
      </c>
      <c r="D101" s="335" t="s">
        <v>34</v>
      </c>
      <c r="E101" s="547" t="s">
        <v>38</v>
      </c>
    </row>
    <row r="102" spans="1:5" ht="15" thickBot="1">
      <c r="A102" s="335" t="s">
        <v>741</v>
      </c>
      <c r="B102" s="335" t="s">
        <v>742</v>
      </c>
      <c r="C102" s="335" t="s">
        <v>670</v>
      </c>
      <c r="D102" s="335" t="s">
        <v>34</v>
      </c>
      <c r="E102" s="547" t="s">
        <v>38</v>
      </c>
    </row>
    <row r="103" spans="1:5" ht="15" thickBot="1">
      <c r="A103" s="335" t="s">
        <v>743</v>
      </c>
      <c r="B103" s="335" t="s">
        <v>744</v>
      </c>
      <c r="C103" s="335" t="s">
        <v>670</v>
      </c>
      <c r="D103" s="335" t="s">
        <v>43</v>
      </c>
      <c r="E103" s="547" t="s">
        <v>38</v>
      </c>
    </row>
    <row r="104" spans="1:5" ht="15" thickBot="1">
      <c r="A104" s="335" t="s">
        <v>745</v>
      </c>
      <c r="B104" s="335" t="s">
        <v>746</v>
      </c>
      <c r="C104" s="335" t="s">
        <v>670</v>
      </c>
      <c r="D104" s="335" t="s">
        <v>43</v>
      </c>
      <c r="E104" s="547" t="s">
        <v>38</v>
      </c>
    </row>
    <row r="105" spans="1:5" ht="15" thickBot="1">
      <c r="A105" s="335" t="s">
        <v>747</v>
      </c>
      <c r="B105" s="335" t="s">
        <v>748</v>
      </c>
      <c r="C105" s="335" t="s">
        <v>670</v>
      </c>
      <c r="D105" s="335" t="s">
        <v>43</v>
      </c>
      <c r="E105" s="547" t="s">
        <v>38</v>
      </c>
    </row>
    <row r="106" spans="1:5" ht="15" thickBot="1">
      <c r="A106" s="335" t="s">
        <v>749</v>
      </c>
      <c r="B106" s="335" t="s">
        <v>750</v>
      </c>
      <c r="C106" s="335" t="s">
        <v>670</v>
      </c>
      <c r="D106" s="335" t="s">
        <v>34</v>
      </c>
      <c r="E106" s="547" t="s">
        <v>38</v>
      </c>
    </row>
    <row r="107" spans="1:5" ht="15" thickBot="1">
      <c r="A107" s="335" t="s">
        <v>505</v>
      </c>
      <c r="B107" s="335" t="s">
        <v>506</v>
      </c>
      <c r="C107" s="335" t="s">
        <v>670</v>
      </c>
      <c r="D107" s="335" t="s">
        <v>34</v>
      </c>
      <c r="E107" s="547" t="s">
        <v>38</v>
      </c>
    </row>
    <row r="108" spans="1:5" ht="15" thickBot="1">
      <c r="A108" s="335" t="s">
        <v>751</v>
      </c>
      <c r="B108" s="335" t="s">
        <v>752</v>
      </c>
      <c r="C108" s="335" t="s">
        <v>670</v>
      </c>
      <c r="D108" s="335" t="s">
        <v>43</v>
      </c>
      <c r="E108" s="547" t="s">
        <v>38</v>
      </c>
    </row>
    <row r="109" spans="1:5" ht="15" thickBot="1">
      <c r="A109" s="335" t="s">
        <v>753</v>
      </c>
      <c r="B109" s="335" t="s">
        <v>754</v>
      </c>
      <c r="C109" s="335" t="s">
        <v>670</v>
      </c>
      <c r="D109" s="335" t="s">
        <v>34</v>
      </c>
      <c r="E109" s="547" t="s">
        <v>38</v>
      </c>
    </row>
    <row r="110" spans="1:5" ht="15" thickBot="1">
      <c r="A110" s="335" t="s">
        <v>755</v>
      </c>
      <c r="B110" s="335" t="s">
        <v>756</v>
      </c>
      <c r="C110" s="335" t="s">
        <v>670</v>
      </c>
      <c r="D110" s="335" t="s">
        <v>43</v>
      </c>
      <c r="E110" s="547" t="s">
        <v>38</v>
      </c>
    </row>
    <row r="111" spans="1:5" ht="15" thickBot="1">
      <c r="A111" s="335" t="s">
        <v>757</v>
      </c>
      <c r="B111" s="335" t="s">
        <v>758</v>
      </c>
      <c r="C111" s="335" t="s">
        <v>670</v>
      </c>
      <c r="D111" s="335" t="s">
        <v>34</v>
      </c>
      <c r="E111" s="547" t="s">
        <v>38</v>
      </c>
    </row>
    <row r="112" spans="1:5" ht="15" thickBot="1">
      <c r="A112" s="335" t="s">
        <v>759</v>
      </c>
      <c r="B112" s="335" t="s">
        <v>760</v>
      </c>
      <c r="C112" s="335" t="s">
        <v>670</v>
      </c>
      <c r="D112" s="335" t="s">
        <v>43</v>
      </c>
      <c r="E112" s="547" t="s">
        <v>38</v>
      </c>
    </row>
    <row r="113" spans="1:5" ht="15" thickBot="1">
      <c r="A113" s="335" t="s">
        <v>507</v>
      </c>
      <c r="B113" s="335" t="s">
        <v>508</v>
      </c>
      <c r="C113" s="335" t="s">
        <v>670</v>
      </c>
      <c r="D113" s="335" t="s">
        <v>34</v>
      </c>
      <c r="E113" s="547" t="s">
        <v>38</v>
      </c>
    </row>
    <row r="114" spans="1:5" ht="15" thickBot="1">
      <c r="A114" s="335" t="s">
        <v>761</v>
      </c>
      <c r="B114" s="335" t="s">
        <v>762</v>
      </c>
      <c r="C114" s="335" t="s">
        <v>670</v>
      </c>
      <c r="D114" s="335" t="s">
        <v>34</v>
      </c>
      <c r="E114" s="547" t="s">
        <v>38</v>
      </c>
    </row>
    <row r="115" spans="1:5" ht="15" thickBot="1">
      <c r="A115" s="335" t="s">
        <v>509</v>
      </c>
      <c r="B115" s="335" t="s">
        <v>339</v>
      </c>
      <c r="C115" s="335" t="s">
        <v>670</v>
      </c>
      <c r="D115" s="335" t="s">
        <v>34</v>
      </c>
      <c r="E115" s="547" t="s">
        <v>33</v>
      </c>
    </row>
    <row r="116" spans="1:5" ht="15" thickBot="1">
      <c r="A116" s="335" t="s">
        <v>514</v>
      </c>
      <c r="B116" s="335" t="s">
        <v>341</v>
      </c>
      <c r="C116" s="335" t="s">
        <v>670</v>
      </c>
      <c r="D116" s="335" t="s">
        <v>34</v>
      </c>
      <c r="E116" s="547" t="s">
        <v>33</v>
      </c>
    </row>
    <row r="117" spans="1:5" ht="15" thickBot="1">
      <c r="A117" s="335" t="s">
        <v>517</v>
      </c>
      <c r="B117" s="335" t="s">
        <v>344</v>
      </c>
      <c r="C117" s="335" t="s">
        <v>670</v>
      </c>
      <c r="D117" s="335" t="s">
        <v>34</v>
      </c>
      <c r="E117" s="547" t="s">
        <v>33</v>
      </c>
    </row>
    <row r="118" spans="1:5" ht="15" thickBot="1">
      <c r="A118" s="335" t="s">
        <v>520</v>
      </c>
      <c r="B118" s="335" t="s">
        <v>347</v>
      </c>
      <c r="C118" s="335" t="s">
        <v>670</v>
      </c>
      <c r="D118" s="335" t="s">
        <v>34</v>
      </c>
      <c r="E118" s="547" t="s">
        <v>33</v>
      </c>
    </row>
    <row r="119" spans="1:5" ht="15" thickBot="1">
      <c r="A119" s="335" t="s">
        <v>523</v>
      </c>
      <c r="B119" s="335" t="s">
        <v>350</v>
      </c>
      <c r="C119" s="335" t="s">
        <v>670</v>
      </c>
      <c r="D119" s="335" t="s">
        <v>34</v>
      </c>
      <c r="E119" s="547" t="s">
        <v>33</v>
      </c>
    </row>
    <row r="120" spans="1:5" ht="15" thickBot="1">
      <c r="A120" s="335" t="s">
        <v>763</v>
      </c>
      <c r="B120" s="335" t="s">
        <v>697</v>
      </c>
      <c r="C120" s="335" t="s">
        <v>670</v>
      </c>
      <c r="D120" s="335" t="s">
        <v>34</v>
      </c>
      <c r="E120" s="547" t="s">
        <v>33</v>
      </c>
    </row>
    <row r="121" spans="1:5" ht="15" thickBot="1">
      <c r="A121" s="335" t="s">
        <v>526</v>
      </c>
      <c r="B121" s="335" t="s">
        <v>764</v>
      </c>
      <c r="C121" s="335" t="s">
        <v>670</v>
      </c>
      <c r="D121" s="335" t="s">
        <v>34</v>
      </c>
      <c r="E121" s="547" t="s">
        <v>33</v>
      </c>
    </row>
    <row r="122" spans="1:5" ht="15" thickBot="1">
      <c r="A122" s="335" t="s">
        <v>528</v>
      </c>
      <c r="B122" s="335" t="s">
        <v>352</v>
      </c>
      <c r="C122" s="335" t="s">
        <v>670</v>
      </c>
      <c r="D122" s="335" t="s">
        <v>34</v>
      </c>
      <c r="E122" s="547" t="s">
        <v>33</v>
      </c>
    </row>
    <row r="123" spans="1:5" ht="15" thickBot="1">
      <c r="A123" s="335" t="s">
        <v>531</v>
      </c>
      <c r="B123" s="335" t="s">
        <v>355</v>
      </c>
      <c r="C123" s="335" t="s">
        <v>670</v>
      </c>
      <c r="D123" s="335" t="s">
        <v>34</v>
      </c>
      <c r="E123" s="547" t="s">
        <v>33</v>
      </c>
    </row>
    <row r="124" spans="1:5" ht="15" thickBot="1">
      <c r="A124" s="335" t="s">
        <v>534</v>
      </c>
      <c r="B124" s="335" t="s">
        <v>358</v>
      </c>
      <c r="C124" s="335" t="s">
        <v>670</v>
      </c>
      <c r="D124" s="335" t="s">
        <v>34</v>
      </c>
      <c r="E124" s="547" t="s">
        <v>33</v>
      </c>
    </row>
    <row r="125" spans="1:5" ht="15" thickBot="1">
      <c r="A125" s="335" t="s">
        <v>765</v>
      </c>
      <c r="B125" s="335" t="s">
        <v>360</v>
      </c>
      <c r="C125" s="335" t="s">
        <v>670</v>
      </c>
      <c r="D125" s="335" t="s">
        <v>34</v>
      </c>
      <c r="E125" s="547" t="s">
        <v>33</v>
      </c>
    </row>
    <row r="126" spans="1:5" ht="15" thickBot="1">
      <c r="A126" s="335" t="s">
        <v>537</v>
      </c>
      <c r="B126" s="335" t="s">
        <v>362</v>
      </c>
      <c r="C126" s="335" t="s">
        <v>670</v>
      </c>
      <c r="D126" s="335" t="s">
        <v>34</v>
      </c>
      <c r="E126" s="547" t="s">
        <v>33</v>
      </c>
    </row>
    <row r="127" spans="1:5" ht="15" thickBot="1">
      <c r="A127" s="335" t="s">
        <v>540</v>
      </c>
      <c r="B127" s="335" t="s">
        <v>366</v>
      </c>
      <c r="C127" s="335" t="s">
        <v>670</v>
      </c>
      <c r="D127" s="335" t="s">
        <v>34</v>
      </c>
      <c r="E127" s="547" t="s">
        <v>33</v>
      </c>
    </row>
    <row r="128" spans="1:5" ht="15" thickBot="1">
      <c r="A128" s="335" t="s">
        <v>543</v>
      </c>
      <c r="B128" s="335" t="s">
        <v>369</v>
      </c>
      <c r="C128" s="335" t="s">
        <v>670</v>
      </c>
      <c r="D128" s="335" t="s">
        <v>34</v>
      </c>
      <c r="E128" s="547" t="s">
        <v>33</v>
      </c>
    </row>
    <row r="129" spans="1:5" ht="15" thickBot="1">
      <c r="A129" s="335" t="s">
        <v>546</v>
      </c>
      <c r="B129" s="335" t="s">
        <v>377</v>
      </c>
      <c r="C129" s="335" t="s">
        <v>670</v>
      </c>
      <c r="D129" s="335" t="s">
        <v>34</v>
      </c>
      <c r="E129" s="547" t="s">
        <v>33</v>
      </c>
    </row>
    <row r="130" spans="1:5" ht="15" thickBot="1">
      <c r="A130" s="335" t="s">
        <v>549</v>
      </c>
      <c r="B130" s="335" t="s">
        <v>380</v>
      </c>
      <c r="C130" s="335" t="s">
        <v>670</v>
      </c>
      <c r="D130" s="335" t="s">
        <v>34</v>
      </c>
      <c r="E130" s="547" t="s">
        <v>33</v>
      </c>
    </row>
    <row r="131" spans="1:5" ht="15" thickBot="1">
      <c r="A131" s="335" t="s">
        <v>552</v>
      </c>
      <c r="B131" s="335" t="s">
        <v>386</v>
      </c>
      <c r="C131" s="335" t="s">
        <v>670</v>
      </c>
      <c r="D131" s="335" t="s">
        <v>34</v>
      </c>
      <c r="E131" s="547" t="s">
        <v>33</v>
      </c>
    </row>
    <row r="132" spans="1:5" ht="15" thickBot="1">
      <c r="A132" s="335" t="s">
        <v>555</v>
      </c>
      <c r="B132" s="335" t="s">
        <v>383</v>
      </c>
      <c r="C132" s="335" t="s">
        <v>670</v>
      </c>
      <c r="D132" s="335" t="s">
        <v>34</v>
      </c>
      <c r="E132" s="547" t="s">
        <v>33</v>
      </c>
    </row>
    <row r="133" spans="1:5" ht="15" thickBot="1">
      <c r="A133" s="335" t="s">
        <v>557</v>
      </c>
      <c r="B133" s="335" t="s">
        <v>388</v>
      </c>
      <c r="C133" s="335" t="s">
        <v>670</v>
      </c>
      <c r="D133" s="335" t="s">
        <v>34</v>
      </c>
      <c r="E133" s="547" t="s">
        <v>33</v>
      </c>
    </row>
    <row r="134" spans="1:5" ht="15" thickBot="1">
      <c r="A134" s="335" t="s">
        <v>766</v>
      </c>
      <c r="B134" s="335" t="s">
        <v>390</v>
      </c>
      <c r="C134" s="335" t="s">
        <v>670</v>
      </c>
      <c r="D134" s="335" t="s">
        <v>34</v>
      </c>
      <c r="E134" s="547" t="s">
        <v>33</v>
      </c>
    </row>
    <row r="135" spans="1:5" ht="15" thickBot="1">
      <c r="A135" s="335" t="s">
        <v>561</v>
      </c>
      <c r="B135" s="335" t="s">
        <v>767</v>
      </c>
      <c r="C135" s="335" t="s">
        <v>670</v>
      </c>
      <c r="D135" s="335" t="s">
        <v>34</v>
      </c>
      <c r="E135" s="547" t="s">
        <v>33</v>
      </c>
    </row>
    <row r="136" spans="1:5" ht="15" thickBot="1">
      <c r="A136" s="335" t="s">
        <v>563</v>
      </c>
      <c r="B136" s="335" t="s">
        <v>287</v>
      </c>
      <c r="C136" s="335" t="s">
        <v>670</v>
      </c>
      <c r="D136" s="335" t="s">
        <v>34</v>
      </c>
      <c r="E136" s="547" t="s">
        <v>33</v>
      </c>
    </row>
    <row r="137" spans="1:5" ht="15" thickBot="1">
      <c r="A137" s="335" t="s">
        <v>566</v>
      </c>
      <c r="B137" s="335" t="s">
        <v>768</v>
      </c>
      <c r="C137" s="335" t="s">
        <v>670</v>
      </c>
      <c r="D137" s="335" t="s">
        <v>34</v>
      </c>
      <c r="E137" s="547" t="s">
        <v>33</v>
      </c>
    </row>
    <row r="138" spans="1:5" ht="15" thickBot="1">
      <c r="A138" s="335" t="s">
        <v>569</v>
      </c>
      <c r="B138" s="335" t="s">
        <v>769</v>
      </c>
      <c r="C138" s="335" t="s">
        <v>670</v>
      </c>
      <c r="D138" s="335" t="s">
        <v>34</v>
      </c>
      <c r="E138" s="547" t="s">
        <v>33</v>
      </c>
    </row>
    <row r="139" spans="1:5" ht="15" thickBot="1">
      <c r="A139" s="335" t="s">
        <v>572</v>
      </c>
      <c r="B139" s="335" t="s">
        <v>770</v>
      </c>
      <c r="C139" s="335" t="s">
        <v>670</v>
      </c>
      <c r="D139" s="335" t="s">
        <v>34</v>
      </c>
      <c r="E139" s="547" t="s">
        <v>33</v>
      </c>
    </row>
    <row r="140" spans="1:5" ht="15" thickBot="1">
      <c r="A140" s="335" t="s">
        <v>575</v>
      </c>
      <c r="B140" s="335" t="s">
        <v>394</v>
      </c>
      <c r="C140" s="335" t="s">
        <v>670</v>
      </c>
      <c r="D140" s="335" t="s">
        <v>34</v>
      </c>
      <c r="E140" s="547" t="s">
        <v>33</v>
      </c>
    </row>
    <row r="141" spans="1:5" ht="15" thickBot="1">
      <c r="A141" s="335" t="s">
        <v>578</v>
      </c>
      <c r="B141" s="335" t="s">
        <v>771</v>
      </c>
      <c r="C141" s="335" t="s">
        <v>670</v>
      </c>
      <c r="D141" s="335" t="s">
        <v>34</v>
      </c>
      <c r="E141" s="547" t="s">
        <v>33</v>
      </c>
    </row>
    <row r="142" spans="1:5" ht="15" thickBot="1">
      <c r="A142" s="335" t="s">
        <v>581</v>
      </c>
      <c r="B142" s="335" t="s">
        <v>445</v>
      </c>
      <c r="C142" s="335" t="s">
        <v>670</v>
      </c>
      <c r="D142" s="335" t="s">
        <v>34</v>
      </c>
      <c r="E142" s="547" t="s">
        <v>33</v>
      </c>
    </row>
    <row r="143" spans="1:5" ht="15" thickBot="1">
      <c r="A143" s="335" t="s">
        <v>772</v>
      </c>
      <c r="B143" s="335" t="s">
        <v>715</v>
      </c>
      <c r="C143" s="335" t="s">
        <v>670</v>
      </c>
      <c r="D143" s="335" t="s">
        <v>34</v>
      </c>
      <c r="E143" s="547" t="s">
        <v>33</v>
      </c>
    </row>
    <row r="144" spans="1:5" ht="15" thickBot="1">
      <c r="A144" s="335" t="s">
        <v>584</v>
      </c>
      <c r="B144" s="335" t="s">
        <v>448</v>
      </c>
      <c r="C144" s="335" t="s">
        <v>670</v>
      </c>
      <c r="D144" s="335" t="s">
        <v>34</v>
      </c>
      <c r="E144" s="547" t="s">
        <v>33</v>
      </c>
    </row>
    <row r="145" spans="1:5" ht="15" thickBot="1">
      <c r="A145" s="335" t="s">
        <v>587</v>
      </c>
      <c r="B145" s="335" t="s">
        <v>451</v>
      </c>
      <c r="C145" s="335" t="s">
        <v>670</v>
      </c>
      <c r="D145" s="335" t="s">
        <v>34</v>
      </c>
      <c r="E145" s="547" t="s">
        <v>33</v>
      </c>
    </row>
    <row r="146" spans="1:5" ht="15" thickBot="1">
      <c r="A146" s="335" t="s">
        <v>590</v>
      </c>
      <c r="B146" s="335" t="s">
        <v>261</v>
      </c>
      <c r="C146" s="335" t="s">
        <v>670</v>
      </c>
      <c r="D146" s="335" t="s">
        <v>34</v>
      </c>
      <c r="E146" s="547" t="s">
        <v>33</v>
      </c>
    </row>
    <row r="147" spans="1:5" ht="15" thickBot="1">
      <c r="A147" s="335" t="s">
        <v>593</v>
      </c>
      <c r="B147" s="335" t="s">
        <v>470</v>
      </c>
      <c r="C147" s="335" t="s">
        <v>670</v>
      </c>
      <c r="D147" s="335" t="s">
        <v>34</v>
      </c>
      <c r="E147" s="547" t="s">
        <v>33</v>
      </c>
    </row>
    <row r="148" spans="1:5" ht="15" thickBot="1">
      <c r="A148" s="335" t="s">
        <v>596</v>
      </c>
      <c r="B148" s="335" t="s">
        <v>773</v>
      </c>
      <c r="C148" s="335" t="s">
        <v>670</v>
      </c>
      <c r="D148" s="335" t="s">
        <v>34</v>
      </c>
      <c r="E148" s="547" t="s">
        <v>33</v>
      </c>
    </row>
    <row r="149" spans="1:5" ht="15" thickBot="1">
      <c r="A149" s="335" t="s">
        <v>599</v>
      </c>
      <c r="B149" s="335" t="s">
        <v>774</v>
      </c>
      <c r="C149" s="335" t="s">
        <v>670</v>
      </c>
      <c r="D149" s="335" t="s">
        <v>34</v>
      </c>
      <c r="E149" s="547" t="s">
        <v>33</v>
      </c>
    </row>
    <row r="150" spans="1:5" ht="15" thickBot="1">
      <c r="A150" s="335" t="s">
        <v>602</v>
      </c>
      <c r="B150" s="335" t="s">
        <v>775</v>
      </c>
      <c r="C150" s="335" t="s">
        <v>670</v>
      </c>
      <c r="D150" s="335" t="s">
        <v>34</v>
      </c>
      <c r="E150" s="547" t="s">
        <v>33</v>
      </c>
    </row>
    <row r="151" spans="1:5" ht="15" thickBot="1">
      <c r="A151" s="335" t="s">
        <v>605</v>
      </c>
      <c r="B151" s="335" t="s">
        <v>454</v>
      </c>
      <c r="C151" s="335" t="s">
        <v>670</v>
      </c>
      <c r="D151" s="335" t="s">
        <v>34</v>
      </c>
      <c r="E151" s="547" t="s">
        <v>33</v>
      </c>
    </row>
    <row r="152" spans="1:5" ht="15" thickBot="1">
      <c r="A152" s="335" t="s">
        <v>608</v>
      </c>
      <c r="B152" s="335" t="s">
        <v>457</v>
      </c>
      <c r="C152" s="335" t="s">
        <v>670</v>
      </c>
      <c r="D152" s="335" t="s">
        <v>34</v>
      </c>
      <c r="E152" s="547" t="s">
        <v>33</v>
      </c>
    </row>
    <row r="153" spans="1:5" ht="15" thickBot="1">
      <c r="A153" s="335" t="s">
        <v>611</v>
      </c>
      <c r="B153" s="335" t="s">
        <v>460</v>
      </c>
      <c r="C153" s="335" t="s">
        <v>670</v>
      </c>
      <c r="D153" s="335" t="s">
        <v>34</v>
      </c>
      <c r="E153" s="547" t="s">
        <v>33</v>
      </c>
    </row>
    <row r="154" spans="1:5" ht="15" thickBot="1">
      <c r="A154" s="335" t="s">
        <v>776</v>
      </c>
      <c r="B154" s="335" t="s">
        <v>777</v>
      </c>
      <c r="C154" s="335" t="s">
        <v>670</v>
      </c>
      <c r="D154" s="335" t="s">
        <v>34</v>
      </c>
      <c r="E154" s="547" t="s">
        <v>33</v>
      </c>
    </row>
    <row r="155" spans="1:5" ht="15" thickBot="1">
      <c r="A155" s="335" t="s">
        <v>614</v>
      </c>
      <c r="B155" s="335" t="s">
        <v>615</v>
      </c>
      <c r="C155" s="335" t="s">
        <v>670</v>
      </c>
      <c r="D155" s="335" t="s">
        <v>34</v>
      </c>
      <c r="E155" s="547" t="s">
        <v>33</v>
      </c>
    </row>
    <row r="156" spans="1:5" ht="15" thickBot="1">
      <c r="A156" s="335" t="s">
        <v>619</v>
      </c>
      <c r="B156" s="335" t="s">
        <v>620</v>
      </c>
      <c r="C156" s="335" t="s">
        <v>670</v>
      </c>
      <c r="D156" s="335" t="s">
        <v>34</v>
      </c>
      <c r="E156" s="547" t="s">
        <v>33</v>
      </c>
    </row>
    <row r="157" spans="1:5" ht="15" thickBot="1">
      <c r="A157" s="335" t="s">
        <v>622</v>
      </c>
      <c r="B157" s="335" t="s">
        <v>623</v>
      </c>
      <c r="C157" s="335" t="s">
        <v>670</v>
      </c>
      <c r="D157" s="335" t="s">
        <v>34</v>
      </c>
      <c r="E157" s="547" t="s">
        <v>33</v>
      </c>
    </row>
    <row r="158" spans="1:5" ht="15" thickBot="1">
      <c r="A158" s="335" t="s">
        <v>626</v>
      </c>
      <c r="B158" s="335" t="s">
        <v>627</v>
      </c>
      <c r="C158" s="335" t="s">
        <v>670</v>
      </c>
      <c r="D158" s="335" t="s">
        <v>34</v>
      </c>
      <c r="E158" s="547" t="s">
        <v>38</v>
      </c>
    </row>
    <row r="159" spans="1:5" ht="15" thickBot="1">
      <c r="A159" s="335" t="s">
        <v>628</v>
      </c>
      <c r="B159" s="335" t="s">
        <v>629</v>
      </c>
      <c r="C159" s="335" t="s">
        <v>670</v>
      </c>
      <c r="D159" s="335" t="s">
        <v>34</v>
      </c>
      <c r="E159" s="547" t="s">
        <v>38</v>
      </c>
    </row>
    <row r="160" spans="1:5" ht="15" thickBot="1">
      <c r="A160" s="335" t="s">
        <v>778</v>
      </c>
      <c r="B160" s="335" t="s">
        <v>748</v>
      </c>
      <c r="C160" s="335" t="s">
        <v>670</v>
      </c>
      <c r="D160" s="335" t="s">
        <v>43</v>
      </c>
      <c r="E160" s="547" t="s">
        <v>38</v>
      </c>
    </row>
    <row r="161" spans="1:5" ht="15" thickBot="1">
      <c r="A161" s="335" t="s">
        <v>779</v>
      </c>
      <c r="B161" s="335" t="s">
        <v>780</v>
      </c>
      <c r="C161" s="335" t="s">
        <v>670</v>
      </c>
      <c r="D161" s="335" t="s">
        <v>43</v>
      </c>
      <c r="E161" s="547" t="s">
        <v>38</v>
      </c>
    </row>
    <row r="162" spans="1:5" ht="15" thickBot="1">
      <c r="A162" s="335" t="s">
        <v>781</v>
      </c>
      <c r="B162" s="335" t="s">
        <v>758</v>
      </c>
      <c r="C162" s="335" t="s">
        <v>670</v>
      </c>
      <c r="D162" s="335" t="s">
        <v>34</v>
      </c>
      <c r="E162" s="547" t="s">
        <v>38</v>
      </c>
    </row>
    <row r="163" spans="1:5" ht="15" thickBot="1">
      <c r="A163" s="335" t="s">
        <v>782</v>
      </c>
      <c r="B163" s="335" t="s">
        <v>783</v>
      </c>
      <c r="C163" s="335" t="s">
        <v>670</v>
      </c>
      <c r="D163" s="335" t="s">
        <v>784</v>
      </c>
      <c r="E163" s="547" t="s">
        <v>38</v>
      </c>
    </row>
    <row r="164" spans="1:5" ht="15" thickBot="1">
      <c r="A164" s="335" t="s">
        <v>785</v>
      </c>
      <c r="B164" s="335" t="s">
        <v>786</v>
      </c>
      <c r="C164" s="335" t="s">
        <v>670</v>
      </c>
      <c r="D164" s="335" t="s">
        <v>43</v>
      </c>
      <c r="E164" s="547" t="s">
        <v>33</v>
      </c>
    </row>
    <row r="165" spans="1:5" ht="15" thickBot="1">
      <c r="A165" s="335" t="s">
        <v>787</v>
      </c>
      <c r="B165" s="335" t="s">
        <v>788</v>
      </c>
      <c r="C165" s="335" t="s">
        <v>670</v>
      </c>
      <c r="D165" s="335" t="s">
        <v>34</v>
      </c>
      <c r="E165" s="547" t="s">
        <v>33</v>
      </c>
    </row>
    <row r="166" spans="1:5" ht="15" thickBot="1">
      <c r="A166" s="335" t="s">
        <v>631</v>
      </c>
      <c r="B166" s="335" t="s">
        <v>632</v>
      </c>
      <c r="C166" s="335" t="s">
        <v>670</v>
      </c>
      <c r="D166" s="335" t="s">
        <v>34</v>
      </c>
      <c r="E166" s="547" t="s">
        <v>33</v>
      </c>
    </row>
    <row r="167" spans="1:5" ht="15" thickBot="1">
      <c r="A167" s="335" t="s">
        <v>636</v>
      </c>
      <c r="B167" s="335" t="s">
        <v>637</v>
      </c>
      <c r="C167" s="335" t="s">
        <v>670</v>
      </c>
      <c r="D167" s="335" t="s">
        <v>34</v>
      </c>
      <c r="E167" s="547" t="s">
        <v>33</v>
      </c>
    </row>
    <row r="168" spans="1:5" ht="15" thickBot="1">
      <c r="A168" s="335" t="s">
        <v>639</v>
      </c>
      <c r="B168" s="335" t="s">
        <v>640</v>
      </c>
      <c r="C168" s="335" t="s">
        <v>670</v>
      </c>
      <c r="D168" s="335" t="s">
        <v>34</v>
      </c>
      <c r="E168" s="547" t="s">
        <v>33</v>
      </c>
    </row>
    <row r="169" spans="1:5" ht="15" thickBot="1">
      <c r="A169" s="335" t="s">
        <v>642</v>
      </c>
      <c r="B169" s="335" t="s">
        <v>643</v>
      </c>
      <c r="C169" s="335" t="s">
        <v>670</v>
      </c>
      <c r="D169" s="335" t="s">
        <v>34</v>
      </c>
      <c r="E169" s="547" t="s">
        <v>33</v>
      </c>
    </row>
    <row r="170" spans="1:5" ht="15" thickBot="1">
      <c r="A170" s="335" t="s">
        <v>645</v>
      </c>
      <c r="B170" s="335" t="s">
        <v>646</v>
      </c>
      <c r="C170" s="335" t="s">
        <v>670</v>
      </c>
      <c r="D170" s="335" t="s">
        <v>34</v>
      </c>
      <c r="E170" s="547" t="s">
        <v>33</v>
      </c>
    </row>
    <row r="171" spans="1:5" ht="15" thickBot="1">
      <c r="A171" s="335" t="s">
        <v>789</v>
      </c>
      <c r="B171" s="335" t="s">
        <v>790</v>
      </c>
      <c r="C171" s="335" t="s">
        <v>670</v>
      </c>
      <c r="D171" s="335" t="s">
        <v>34</v>
      </c>
      <c r="E171" s="547" t="s">
        <v>38</v>
      </c>
    </row>
    <row r="172" spans="1:5" ht="15" thickBot="1">
      <c r="A172" s="335" t="s">
        <v>791</v>
      </c>
      <c r="B172" s="335" t="s">
        <v>792</v>
      </c>
      <c r="C172" s="335" t="s">
        <v>670</v>
      </c>
      <c r="D172" s="335" t="s">
        <v>43</v>
      </c>
      <c r="E172" s="547" t="s">
        <v>38</v>
      </c>
    </row>
    <row r="173" spans="1:5" ht="15" thickBot="1">
      <c r="A173" s="335" t="s">
        <v>793</v>
      </c>
      <c r="B173" s="335" t="s">
        <v>794</v>
      </c>
      <c r="C173" s="335" t="s">
        <v>670</v>
      </c>
      <c r="D173" s="335" t="s">
        <v>784</v>
      </c>
      <c r="E173" s="547" t="s">
        <v>38</v>
      </c>
    </row>
    <row r="174" spans="1:5" ht="15" thickBot="1">
      <c r="A174" s="335" t="s">
        <v>795</v>
      </c>
      <c r="B174" s="335" t="s">
        <v>748</v>
      </c>
      <c r="C174" s="335" t="s">
        <v>670</v>
      </c>
      <c r="D174" s="335" t="s">
        <v>43</v>
      </c>
      <c r="E174" s="547" t="s">
        <v>38</v>
      </c>
    </row>
    <row r="175" spans="1:5" ht="15" thickBot="1">
      <c r="A175" s="335" t="s">
        <v>796</v>
      </c>
      <c r="B175" s="335" t="s">
        <v>797</v>
      </c>
      <c r="C175" s="335" t="s">
        <v>670</v>
      </c>
      <c r="D175" s="335" t="s">
        <v>43</v>
      </c>
      <c r="E175" s="547" t="s">
        <v>38</v>
      </c>
    </row>
    <row r="176" spans="1:5" ht="15" thickBot="1">
      <c r="A176" s="335" t="s">
        <v>798</v>
      </c>
      <c r="B176" s="335" t="s">
        <v>799</v>
      </c>
      <c r="C176" s="335" t="s">
        <v>670</v>
      </c>
      <c r="D176" s="335" t="s">
        <v>43</v>
      </c>
      <c r="E176" s="547" t="s">
        <v>38</v>
      </c>
    </row>
    <row r="177" spans="1:5" ht="15" thickBot="1">
      <c r="A177" s="335" t="s">
        <v>800</v>
      </c>
      <c r="B177" s="335" t="s">
        <v>801</v>
      </c>
      <c r="C177" s="335" t="s">
        <v>670</v>
      </c>
      <c r="D177" s="335" t="s">
        <v>34</v>
      </c>
      <c r="E177" s="547" t="s">
        <v>38</v>
      </c>
    </row>
    <row r="178" spans="1:5" ht="15" thickBot="1">
      <c r="A178" s="335" t="s">
        <v>802</v>
      </c>
      <c r="B178" s="335" t="s">
        <v>803</v>
      </c>
      <c r="C178" s="335" t="s">
        <v>670</v>
      </c>
      <c r="D178" s="335" t="s">
        <v>43</v>
      </c>
      <c r="E178" s="547" t="s">
        <v>33</v>
      </c>
    </row>
    <row r="179" spans="1:5" ht="15" thickBot="1">
      <c r="A179" s="335" t="s">
        <v>648</v>
      </c>
      <c r="B179" s="335" t="s">
        <v>649</v>
      </c>
      <c r="C179" s="335" t="s">
        <v>670</v>
      </c>
      <c r="D179" s="335" t="s">
        <v>34</v>
      </c>
      <c r="E179" s="547" t="s">
        <v>33</v>
      </c>
    </row>
    <row r="180" spans="1:5" ht="15" thickBot="1">
      <c r="A180" s="335" t="s">
        <v>804</v>
      </c>
      <c r="B180" s="335" t="s">
        <v>805</v>
      </c>
      <c r="C180" s="335" t="s">
        <v>670</v>
      </c>
      <c r="D180" s="335" t="s">
        <v>43</v>
      </c>
      <c r="E180" s="547" t="s">
        <v>33</v>
      </c>
    </row>
    <row r="181" spans="1:5" ht="15" thickBot="1">
      <c r="A181" s="335" t="s">
        <v>806</v>
      </c>
      <c r="B181" s="335" t="s">
        <v>807</v>
      </c>
      <c r="C181" s="335" t="s">
        <v>670</v>
      </c>
      <c r="D181" s="335" t="s">
        <v>34</v>
      </c>
      <c r="E181" s="547" t="s">
        <v>38</v>
      </c>
    </row>
    <row r="182" spans="1:5" ht="15" thickBot="1">
      <c r="A182" s="335" t="s">
        <v>808</v>
      </c>
      <c r="B182" s="335" t="s">
        <v>809</v>
      </c>
      <c r="C182" s="335" t="s">
        <v>670</v>
      </c>
      <c r="D182" s="335" t="s">
        <v>784</v>
      </c>
      <c r="E182" s="547" t="s">
        <v>38</v>
      </c>
    </row>
    <row r="183" spans="1:5" ht="15" thickBot="1">
      <c r="A183" s="335" t="s">
        <v>810</v>
      </c>
      <c r="B183" s="335" t="s">
        <v>811</v>
      </c>
      <c r="C183" s="335" t="s">
        <v>670</v>
      </c>
      <c r="D183" s="335" t="s">
        <v>34</v>
      </c>
      <c r="E183" s="547" t="s">
        <v>38</v>
      </c>
    </row>
    <row r="184" spans="1:5" ht="15" thickBot="1">
      <c r="A184" s="335" t="s">
        <v>812</v>
      </c>
      <c r="B184" s="335" t="s">
        <v>748</v>
      </c>
      <c r="C184" s="335" t="s">
        <v>670</v>
      </c>
      <c r="D184" s="335" t="s">
        <v>43</v>
      </c>
      <c r="E184" s="547" t="s">
        <v>38</v>
      </c>
    </row>
    <row r="185" spans="1:5" ht="15" thickBot="1">
      <c r="A185" s="335" t="s">
        <v>813</v>
      </c>
      <c r="B185" s="335" t="s">
        <v>814</v>
      </c>
      <c r="C185" s="335" t="s">
        <v>670</v>
      </c>
      <c r="D185" s="335" t="s">
        <v>43</v>
      </c>
      <c r="E185" s="547" t="s">
        <v>38</v>
      </c>
    </row>
    <row r="186" spans="1:5" ht="15" thickBot="1">
      <c r="A186" s="335" t="s">
        <v>815</v>
      </c>
      <c r="B186" s="335" t="s">
        <v>816</v>
      </c>
      <c r="C186" s="335" t="s">
        <v>670</v>
      </c>
      <c r="D186" s="335" t="s">
        <v>34</v>
      </c>
      <c r="E186" s="547" t="s">
        <v>38</v>
      </c>
    </row>
    <row r="187" spans="1:5">
      <c r="A187" s="335" t="s">
        <v>817</v>
      </c>
      <c r="B187" s="335" t="s">
        <v>818</v>
      </c>
      <c r="C187" s="335" t="s">
        <v>670</v>
      </c>
      <c r="D187" s="335" t="s">
        <v>34</v>
      </c>
      <c r="E187" s="547" t="s">
        <v>38</v>
      </c>
    </row>
    <row r="188" spans="1:5">
      <c r="A188" s="335" t="s">
        <v>819</v>
      </c>
      <c r="B188" s="335" t="s">
        <v>820</v>
      </c>
      <c r="C188" s="335" t="s">
        <v>821</v>
      </c>
      <c r="D188" s="335" t="s">
        <v>34</v>
      </c>
      <c r="E188" s="547" t="s">
        <v>38</v>
      </c>
    </row>
  </sheetData>
  <autoFilter ref="A2:E187"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D3:D98</xm:sqref>
        </x14:dataValidation>
        <x14:dataValidation type="list" allowBlank="1" showInputMessage="1" showErrorMessage="1" xr:uid="{AA1AC074-A7B7-4C8D-9132-118B458773B2}">
          <x14:formula1>
            <xm:f>'List Options'!$G$1:$G$3</xm:f>
          </x14:formula1>
          <xm:sqref>E3:E188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195"/>
  <sheetViews>
    <sheetView tabSelected="1" workbookViewId="0" xr3:uid="{F9CF3CF3-643B-5BE6-8B46-32C596A47465}">
      <pane xSplit="4" ySplit="6" topLeftCell="K166" activePane="bottomRight" state="frozen"/>
      <selection pane="bottomRight" activeCell="M167" sqref="M167:M168"/>
      <selection pane="bottomLeft" activeCell="A3" sqref="A3"/>
      <selection pane="topRight" activeCell="D1" sqref="D1"/>
    </sheetView>
  </sheetViews>
  <sheetFormatPr defaultColWidth="8.5703125" defaultRowHeight="14.45"/>
  <cols>
    <col min="1" max="1" width="16.85546875" style="180" bestFit="1" customWidth="1"/>
    <col min="2" max="2" width="28.28515625" style="189" bestFit="1" customWidth="1"/>
    <col min="3" max="3" width="9.85546875" style="189" bestFit="1" customWidth="1"/>
    <col min="4" max="4" width="16.28515625" style="180"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0" bestFit="1" customWidth="1"/>
    <col min="22" max="22" width="29.7109375" style="180" customWidth="1"/>
    <col min="23" max="23" width="34.42578125" style="180" customWidth="1"/>
    <col min="24" max="16384" width="8.5703125" style="180"/>
  </cols>
  <sheetData>
    <row r="1" spans="1:23" s="177" customFormat="1" ht="18.95" thickBot="1">
      <c r="A1" s="633" t="s">
        <v>822</v>
      </c>
      <c r="B1" s="634"/>
      <c r="C1" s="634"/>
      <c r="D1" s="634"/>
      <c r="E1" s="634"/>
      <c r="F1" s="634"/>
      <c r="G1" s="634"/>
      <c r="H1" s="634"/>
      <c r="I1" s="634"/>
      <c r="J1" s="634"/>
      <c r="K1" s="634"/>
      <c r="L1" s="634"/>
      <c r="M1" s="634"/>
      <c r="N1" s="634"/>
      <c r="O1" s="634"/>
      <c r="P1" s="634"/>
      <c r="Q1" s="634"/>
      <c r="R1" s="634"/>
      <c r="S1" s="634"/>
      <c r="T1" s="634"/>
      <c r="U1" s="635"/>
      <c r="V1" s="176"/>
    </row>
    <row r="2" spans="1:23" s="186" customFormat="1" ht="18.75">
      <c r="A2" s="679" t="s">
        <v>247</v>
      </c>
      <c r="B2" s="680"/>
      <c r="C2" s="680"/>
      <c r="D2" s="680"/>
      <c r="E2" s="680"/>
      <c r="F2" s="681"/>
      <c r="G2" s="403">
        <f>COUNTIF(G7:G190,"Yes")</f>
        <v>134</v>
      </c>
      <c r="H2" s="403">
        <f>COUNTIF(H7:H190,"Yes")</f>
        <v>116</v>
      </c>
      <c r="I2" s="698">
        <f>'Diags Raw Data'!J142</f>
        <v>126</v>
      </c>
      <c r="J2" s="706">
        <f>'Diags Raw Data'!K142</f>
        <v>390</v>
      </c>
      <c r="K2" s="708">
        <f>'Diags Raw Data'!M142</f>
        <v>1</v>
      </c>
      <c r="L2" s="710">
        <f>'Diags Raw Data'!O142</f>
        <v>1</v>
      </c>
      <c r="M2" s="712">
        <f>'Diags Raw Data'!Q142</f>
        <v>390</v>
      </c>
      <c r="N2" s="714">
        <f>SUM('Diags Raw Data'!S142+'Diags Raw Data'!T142)</f>
        <v>226</v>
      </c>
      <c r="O2" s="702">
        <f>IF((M193=0),0,N193/M193)</f>
        <v>0.57948717948717954</v>
      </c>
      <c r="P2" s="704">
        <f>'Diags Raw Data'!Y142</f>
        <v>0</v>
      </c>
      <c r="Q2" s="694">
        <f>SUM('Diags Raw Data'!Z142+'Diags Raw Data'!AA142)</f>
        <v>0</v>
      </c>
      <c r="R2" s="696">
        <f>IF((J193=0),0,P193/J193)</f>
        <v>0</v>
      </c>
      <c r="S2" s="696">
        <f>IF((P193=0),0,Q193/P193)</f>
        <v>0</v>
      </c>
      <c r="T2" s="696">
        <f>R193*S193</f>
        <v>0</v>
      </c>
      <c r="U2" s="722"/>
      <c r="V2" s="185"/>
    </row>
    <row r="3" spans="1:23" ht="18.95" thickBot="1">
      <c r="A3" s="682"/>
      <c r="B3" s="683"/>
      <c r="C3" s="683"/>
      <c r="D3" s="683"/>
      <c r="E3" s="683"/>
      <c r="F3" s="684"/>
      <c r="G3" s="404">
        <f>COUNTIF(G7:G190,"Yes")/COUNTA(A7:A190)</f>
        <v>0.74033149171270718</v>
      </c>
      <c r="H3" s="404">
        <f>(COUNTIF(H7:H190,"Yes")/G193)</f>
        <v>0.86567164179104472</v>
      </c>
      <c r="I3" s="699"/>
      <c r="J3" s="707"/>
      <c r="K3" s="709"/>
      <c r="L3" s="711"/>
      <c r="M3" s="713"/>
      <c r="N3" s="715"/>
      <c r="O3" s="703"/>
      <c r="P3" s="705"/>
      <c r="Q3" s="695"/>
      <c r="R3" s="697"/>
      <c r="S3" s="697"/>
      <c r="T3" s="697"/>
      <c r="U3" s="723"/>
      <c r="V3" s="179"/>
    </row>
    <row r="4" spans="1:23" ht="18.95" thickBot="1">
      <c r="A4" s="636" t="s">
        <v>823</v>
      </c>
      <c r="B4" s="637"/>
      <c r="C4" s="637"/>
      <c r="D4" s="637"/>
      <c r="E4" s="637"/>
      <c r="F4" s="637"/>
      <c r="G4" s="637"/>
      <c r="H4" s="637"/>
      <c r="I4" s="637"/>
      <c r="J4" s="637"/>
      <c r="K4" s="637"/>
      <c r="L4" s="637"/>
      <c r="M4" s="637"/>
      <c r="N4" s="637"/>
      <c r="O4" s="637"/>
      <c r="P4" s="637"/>
      <c r="Q4" s="637"/>
      <c r="R4" s="637"/>
      <c r="S4" s="637"/>
      <c r="T4" s="637"/>
      <c r="U4" s="638"/>
      <c r="V4" s="179"/>
    </row>
    <row r="5" spans="1:23" s="177" customFormat="1" ht="31.5" customHeight="1" thickBot="1">
      <c r="A5" s="726" t="s">
        <v>71</v>
      </c>
      <c r="B5" s="727"/>
      <c r="C5" s="727"/>
      <c r="D5" s="727"/>
      <c r="E5" s="727"/>
      <c r="F5" s="727"/>
      <c r="G5" s="727"/>
      <c r="H5" s="727"/>
      <c r="I5" s="727"/>
      <c r="J5" s="728"/>
      <c r="K5" s="724" t="s">
        <v>108</v>
      </c>
      <c r="L5" s="725"/>
      <c r="M5" s="729" t="s">
        <v>119</v>
      </c>
      <c r="N5" s="730"/>
      <c r="O5" s="731"/>
      <c r="P5" s="732" t="s">
        <v>139</v>
      </c>
      <c r="Q5" s="733"/>
      <c r="R5" s="733"/>
      <c r="S5" s="733"/>
      <c r="T5" s="733"/>
      <c r="U5" s="734"/>
      <c r="V5" s="176"/>
    </row>
    <row r="6" spans="1:23" s="178" customFormat="1" ht="29.45" thickBot="1">
      <c r="A6" s="348" t="s">
        <v>72</v>
      </c>
      <c r="B6" s="386" t="s">
        <v>76</v>
      </c>
      <c r="C6" s="386" t="s">
        <v>91</v>
      </c>
      <c r="D6" s="386" t="s">
        <v>207</v>
      </c>
      <c r="E6" s="386" t="s">
        <v>83</v>
      </c>
      <c r="F6" s="386" t="s">
        <v>1</v>
      </c>
      <c r="G6" s="387" t="s">
        <v>210</v>
      </c>
      <c r="H6" s="387" t="s">
        <v>213</v>
      </c>
      <c r="I6" s="388" t="s">
        <v>100</v>
      </c>
      <c r="J6" s="388" t="s">
        <v>216</v>
      </c>
      <c r="K6" s="362" t="s">
        <v>109</v>
      </c>
      <c r="L6" s="363" t="s">
        <v>116</v>
      </c>
      <c r="M6" s="341" t="s">
        <v>222</v>
      </c>
      <c r="N6" s="342" t="s">
        <v>224</v>
      </c>
      <c r="O6" s="340" t="s">
        <v>182</v>
      </c>
      <c r="P6" s="364" t="s">
        <v>227</v>
      </c>
      <c r="Q6" s="343" t="s">
        <v>224</v>
      </c>
      <c r="R6" s="344" t="s">
        <v>179</v>
      </c>
      <c r="S6" s="344" t="s">
        <v>135</v>
      </c>
      <c r="T6" s="345" t="s">
        <v>182</v>
      </c>
      <c r="U6" s="346" t="s">
        <v>152</v>
      </c>
      <c r="V6" s="569" t="s">
        <v>824</v>
      </c>
      <c r="W6" s="570" t="s">
        <v>825</v>
      </c>
    </row>
    <row r="7" spans="1:23" ht="16.5">
      <c r="A7" s="335" t="s">
        <v>668</v>
      </c>
      <c r="B7" s="458" t="str">
        <f>VLOOKUP(A7,'Feature Raw Data'!$A$3:$B$3996,2,FALSE)</f>
        <v>Access protection on registers in PSPDEC (security)</v>
      </c>
      <c r="C7" s="459" t="str">
        <f>VLOOKUP(A7,'Feature Raw Data'!$A$3:$C$3996,3,FALSE)</f>
        <v>P2</v>
      </c>
      <c r="D7" s="460" t="str" cm="1">
        <f t="array" ref="D7">_xlfn.TEXTJOIN("",TRUE,IF(ISNUMBER(SEARCH($A7,'Diags Raw Data'!$A$6:$A$3752)),CONCATENATE('Diags Raw Data'!$H$6:$H$3752,", "),""))</f>
        <v/>
      </c>
      <c r="E7" s="461" t="e">
        <f>VLOOKUP(B7,'Diags Raw Data'!$A$6:$D$3752,4,FALSE)</f>
        <v>#N/A</v>
      </c>
      <c r="F7" s="461" t="str">
        <f>VLOOKUP(A7,'Feature Raw Data'!$A$3:$E$3996,5,FALSE)</f>
        <v>Legacy</v>
      </c>
      <c r="G7" s="461" t="s">
        <v>31</v>
      </c>
      <c r="H7" s="461" t="str">
        <f t="shared" ref="H7:H38" si="0">IF(D7="","No","Yes")</f>
        <v>No</v>
      </c>
      <c r="I7" s="459">
        <f>SUMIF('Diags Raw Data'!$A$6:$A$3752,"*"&amp;$A7&amp;"*",'Diags Raw Data'!$J$6:$J$3752)</f>
        <v>0</v>
      </c>
      <c r="J7" s="462">
        <f>SUMIF('Diags Raw Data'!$A$6:$A$3752,"*"&amp;$A7&amp;"*",'Diags Raw Data'!$K$6:$K$3752)</f>
        <v>0</v>
      </c>
      <c r="K7" s="509" cm="1">
        <f t="array" ref="K7">IF(D7="",0, SUMPRODUCT(--(ISNUMBER(SEARCH($A7,'Diags Raw Data'!$A$6:$A$3752))),'Diags Raw Data'!$K$6:$K$3752,'Diags Raw Data'!$M$6:$M$3752)/J7)</f>
        <v>0</v>
      </c>
      <c r="L7" s="510" cm="1">
        <f t="array" ref="L7">IF(D7="",0, SUMPRODUCT(--(ISNUMBER(SEARCH($A7,'Diags Raw Data'!$A$6:$A$3752))),'Diags Raw Data'!$K$6:$K$3752,'Diags Raw Data'!$O$6:$O$3752)/J7)</f>
        <v>0</v>
      </c>
      <c r="M7" s="511" cm="1">
        <f t="array" ref="M7">SUMPRODUCT(--(ISNUMBER(SEARCH($A7,'Diags Raw Data'!$A$6:$A$3752))),--('Diags Raw Data'!$P$6:$P$3752&lt;&gt;"N/A"),'Diags Raw Data'!$Q$6:$Q$3752)</f>
        <v>0</v>
      </c>
      <c r="N7" s="512" cm="1">
        <f t="array" ref="N7">SUMPRODUCT(--(ISNUMBER(SEARCH($A7,'Diags Raw Data'!$A$6:$A$3752))),--('Diags Raw Data'!$P$6:$P$3752&lt;&gt;"N/A"),'Diags Raw Data'!$S$6:$S$3752)+SUMPRODUCT(--(ISNUMBER(SEARCH($A7,'Diags Raw Data'!$A$6:$A$3752))),--('Diags Raw Data'!$P$6:$P$3752&lt;&gt;"N/A"),'Diags Raw Data'!$T$6:$T$3752)</f>
        <v>0</v>
      </c>
      <c r="O7" s="513">
        <f>IF((M7=0),0,N7/M7)</f>
        <v>0</v>
      </c>
      <c r="P7" s="514">
        <f>SUMIF('Diags Raw Data'!$A$6:$A$3752,"*"&amp;$A7&amp;"*",'Diags Raw Data'!$Y$6:$Y$3752)</f>
        <v>0</v>
      </c>
      <c r="Q7" s="515">
        <f>SUM(SUMIF('Diags Raw Data'!$A$6:$A$3752,"*"&amp;$A7&amp;"*",'Diags Raw Data'!$Z$6:$Z$3752),SUMIF('Diags Raw Data'!$A$6:$A$3752,"*"&amp;$A7&amp;"*",'Diags Raw Data'!$AA$6:$AA$3752))</f>
        <v>0</v>
      </c>
      <c r="R7" s="516">
        <f>IF((J7=0),0,P7/J7)</f>
        <v>0</v>
      </c>
      <c r="S7" s="516">
        <f>IF((P7=0),0,Q7/P7)</f>
        <v>0</v>
      </c>
      <c r="T7" s="517">
        <f>R7*S7</f>
        <v>0</v>
      </c>
      <c r="U7" s="463" t="s">
        <v>44</v>
      </c>
      <c r="V7" s="571" t="s">
        <v>826</v>
      </c>
    </row>
    <row r="8" spans="1:23" ht="16.5">
      <c r="A8" s="335" t="s">
        <v>672</v>
      </c>
      <c r="B8" s="464" t="str">
        <f>VLOOKUP(A8,'Feature Raw Data'!$A$3:$B$3996,2,FALSE)</f>
        <v>Add a new status register</v>
      </c>
      <c r="C8" s="465" t="str">
        <f>VLOOKUP(A8,'Feature Raw Data'!$A$3:$C$3996,3,FALSE)</f>
        <v>P2</v>
      </c>
      <c r="D8" s="466" t="str" cm="1">
        <f t="array" ref="D8">_xlfn.TEXTJOIN("",TRUE,IF(ISNUMBER(SEARCH($A8,'Diags Raw Data'!$A$6:$A$3752)),CONCATENATE('Diags Raw Data'!$H$6:$H$3752,", "),""))</f>
        <v/>
      </c>
      <c r="E8" s="461" t="e">
        <f>VLOOKUP(B8,'Diags Raw Data'!$A$6:$D$3752,4,FALSE)</f>
        <v>#N/A</v>
      </c>
      <c r="F8" s="337" t="str">
        <f>VLOOKUP(A8,'Feature Raw Data'!$A$3:$E$3996,5,FALSE)</f>
        <v>Legacy</v>
      </c>
      <c r="G8" s="337" t="s">
        <v>31</v>
      </c>
      <c r="H8" s="337" t="str">
        <f t="shared" si="0"/>
        <v>No</v>
      </c>
      <c r="I8" s="465">
        <f>SUMIF('Diags Raw Data'!$A$6:$A$3752,"*"&amp;$A8&amp;"*",'Diags Raw Data'!$J$6:$J$3752)</f>
        <v>0</v>
      </c>
      <c r="J8" s="467">
        <f>SUMIF('Diags Raw Data'!$A$6:$A$3752,"*"&amp;$A8&amp;"*",'Diags Raw Data'!$K$6:$K$3752)</f>
        <v>0</v>
      </c>
      <c r="K8" s="518" cm="1">
        <f t="array" ref="K8">IF(D8="",0, SUMPRODUCT(--(ISNUMBER(SEARCH($A8,'Diags Raw Data'!$A$6:$A$3752))),'Diags Raw Data'!$K$6:$K$3752,'Diags Raw Data'!$M$6:$M$3752)/J8)</f>
        <v>0</v>
      </c>
      <c r="L8" s="519" cm="1">
        <f t="array" ref="L8">IF(D8="",0, SUMPRODUCT(--(ISNUMBER(SEARCH($A8,'Diags Raw Data'!$A$6:$A$3752))),'Diags Raw Data'!$K$6:$K$3752,'Diags Raw Data'!$O$6:$O$3752)/J8)</f>
        <v>0</v>
      </c>
      <c r="M8" s="511" cm="1">
        <f t="array" ref="M8">SUMPRODUCT(--(ISNUMBER(SEARCH($A8,'Diags Raw Data'!$A$6:$A$3752))),--('Diags Raw Data'!$P$6:$P$3752&lt;&gt;"N/A"),'Diags Raw Data'!$Q$6:$Q$3752)</f>
        <v>0</v>
      </c>
      <c r="N8" s="520" cm="1">
        <f t="array" ref="N8">SUMPRODUCT(--(ISNUMBER(SEARCH($A8,'Diags Raw Data'!$A$6:$A$3752))),--('Diags Raw Data'!$P$6:$P$3752&lt;&gt;"N/A"),'Diags Raw Data'!$S$6:$S$3752)+SUMPRODUCT(--(ISNUMBER(SEARCH($A8,'Diags Raw Data'!$A$6:$A$3752))),--('Diags Raw Data'!$P$6:$P$3752&lt;&gt;"N/A"),'Diags Raw Data'!$T$6:$T$3752)</f>
        <v>0</v>
      </c>
      <c r="O8" s="521">
        <f t="shared" ref="O8:O70" si="1">IF((M8=0),0,N8/M8)</f>
        <v>0</v>
      </c>
      <c r="P8" s="522">
        <f>SUMIF('Diags Raw Data'!$A$6:$A$3752,"*"&amp;$A8&amp;"*",'Diags Raw Data'!$Y$6:$Y$3752)</f>
        <v>0</v>
      </c>
      <c r="Q8" s="523">
        <f>SUM(SUMIF('Diags Raw Data'!$A$6:$A$3752,"*"&amp;$A8&amp;"*",'Diags Raw Data'!$Z$6:$Z$3752),SUMIF('Diags Raw Data'!$A$6:$A$3752,"*"&amp;$A8&amp;"*",'Diags Raw Data'!$AA$6:$AA$3752))</f>
        <v>0</v>
      </c>
      <c r="R8" s="524">
        <f t="shared" ref="R8:R69" si="2">IF((J8=0),0,P8/J8)</f>
        <v>0</v>
      </c>
      <c r="S8" s="524">
        <f t="shared" ref="S8:S69" si="3">IF((P8=0),0,Q8/P8)</f>
        <v>0</v>
      </c>
      <c r="T8" s="525">
        <f t="shared" ref="T8:T69" si="4">R8*S8</f>
        <v>0</v>
      </c>
      <c r="U8" s="468" t="s">
        <v>44</v>
      </c>
      <c r="V8" s="571" t="s">
        <v>826</v>
      </c>
    </row>
    <row r="9" spans="1:23" ht="75">
      <c r="A9" s="335" t="s">
        <v>252</v>
      </c>
      <c r="B9" s="464" t="str">
        <f>VLOOKUP(A9,'Feature Raw Data'!$A$3:$B$3996,2,FALSE)</f>
        <v>AQL Command + multi-producer support</v>
      </c>
      <c r="C9" s="465" t="str">
        <f>VLOOKUP(A9,'Feature Raw Data'!$A$3:$C$3996,3,FALSE)</f>
        <v>P2</v>
      </c>
      <c r="D9" s="466" t="str" cm="1">
        <f t="array" ref="D9">_xlfn.TEXTJOIN("",TRUE,IF(ISNUMBER(SEARCH($A9,'Diags Raw Data'!$A$6:$A$3752)),CONCATENATE('Diags Raw Data'!$H$6:$H$3752,", "),""))</f>
        <v xml:space="preserve">sdma84.101, </v>
      </c>
      <c r="E9" s="461" t="str">
        <f>VLOOKUP(A9,'Diags Raw Data'!$A$6:$D$3752,4,FALSE)</f>
        <v>SDMA</v>
      </c>
      <c r="F9" s="337" t="str">
        <f>VLOOKUP(A9,'Feature Raw Data'!$A$3:$E$3996,5,FALSE)</f>
        <v>Legacy</v>
      </c>
      <c r="G9" s="337" t="str">
        <f t="shared" ref="G9:G38" si="5">IF(D9="","No","Yes")</f>
        <v>Yes</v>
      </c>
      <c r="H9" s="337" t="str">
        <f t="shared" si="0"/>
        <v>Yes</v>
      </c>
      <c r="I9" s="465">
        <f>SUMIF('Diags Raw Data'!$A$6:$A$3752,"*"&amp;$A9&amp;"*",'Diags Raw Data'!$J$6:$J$3752)</f>
        <v>1</v>
      </c>
      <c r="J9" s="467">
        <f>SUMIF('Diags Raw Data'!$A$6:$A$3752,"*"&amp;$A9&amp;"*",'Diags Raw Data'!$K$6:$K$3752)</f>
        <v>1</v>
      </c>
      <c r="K9" s="518" cm="1">
        <f t="array" ref="K9">IF(D9="",0, SUMPRODUCT(--(ISNUMBER(SEARCH($A9,'Diags Raw Data'!$A$6:$A$3752))),'Diags Raw Data'!$K$6:$K$3752,'Diags Raw Data'!$M$6:$M$3752)/J9)</f>
        <v>1</v>
      </c>
      <c r="L9" s="519" cm="1">
        <f t="array" ref="L9">IF(D9="",0, SUMPRODUCT(--(ISNUMBER(SEARCH($A9,'Diags Raw Data'!$A$6:$A$3752))),'Diags Raw Data'!$K$6:$K$3752,'Diags Raw Data'!$O$6:$O$3752)/J9)</f>
        <v>1</v>
      </c>
      <c r="M9" s="511" cm="1">
        <f t="array" ref="M9">SUMPRODUCT(--(ISNUMBER(SEARCH($A9,'Diags Raw Data'!$A$6:$A$3752))),--('Diags Raw Data'!$P$6:$P$3752&lt;&gt;"N/A"),'Diags Raw Data'!$Q$6:$Q$3752)</f>
        <v>1</v>
      </c>
      <c r="N9" s="520" cm="1">
        <f t="array" ref="N9">SUMPRODUCT(--(ISNUMBER(SEARCH($A9,'Diags Raw Data'!$A$6:$A$3752))),--('Diags Raw Data'!$P$6:$P$3752&lt;&gt;"N/A"),'Diags Raw Data'!$S$6:$S$3752)+SUMPRODUCT(--(ISNUMBER(SEARCH($A9,'Diags Raw Data'!$A$6:$A$3752))),--('Diags Raw Data'!$P$6:$P$3752&lt;&gt;"N/A"),'Diags Raw Data'!$T$6:$T$3752)</f>
        <v>0</v>
      </c>
      <c r="O9" s="521">
        <f t="shared" si="1"/>
        <v>0</v>
      </c>
      <c r="P9" s="522">
        <f>SUMIF('Diags Raw Data'!$A$6:$A$3752,"*"&amp;$A9&amp;"*",'Diags Raw Data'!$Y$6:$Y$3752)</f>
        <v>0</v>
      </c>
      <c r="Q9" s="523">
        <f>SUM(SUMIF('Diags Raw Data'!$A$6:$A$3752,"*"&amp;$A9&amp;"*",'Diags Raw Data'!$Z$6:$Z$3752),SUMIF('Diags Raw Data'!$A$6:$A$3752,"*"&amp;$A9&amp;"*",'Diags Raw Data'!$AA$6:$AA$3752))</f>
        <v>0</v>
      </c>
      <c r="R9" s="524">
        <f t="shared" si="2"/>
        <v>0</v>
      </c>
      <c r="S9" s="524">
        <f t="shared" si="3"/>
        <v>0</v>
      </c>
      <c r="T9" s="525">
        <f t="shared" si="4"/>
        <v>0</v>
      </c>
      <c r="U9" s="468" t="s">
        <v>827</v>
      </c>
      <c r="V9" s="179"/>
    </row>
    <row r="10" spans="1:23" ht="15">
      <c r="A10" s="335" t="s">
        <v>260</v>
      </c>
      <c r="B10" s="464" t="str">
        <f>VLOOKUP(A10,'Feature Raw Data'!$A$3:$B$3996,2,FALSE)</f>
        <v>Atomic Command</v>
      </c>
      <c r="C10" s="465" t="str">
        <f>VLOOKUP(A10,'Feature Raw Data'!$A$3:$C$3996,3,FALSE)</f>
        <v>P2</v>
      </c>
      <c r="D10" s="466" t="str" cm="1">
        <f t="array" ref="D10">_xlfn.TEXTJOIN("",TRUE,IF(ISNUMBER(SEARCH($A10,'Diags Raw Data'!$A$6:$A$3752)),CONCATENATE('Diags Raw Data'!$H$6:$H$3752,", "),""))</f>
        <v xml:space="preserve">nsdma177.1, nsdma178.1, nsdma179.1, </v>
      </c>
      <c r="E10" s="461" t="str">
        <f>VLOOKUP(A10,'Diags Raw Data'!$A$6:$D$3752,4,FALSE)</f>
        <v>SDMA</v>
      </c>
      <c r="F10" s="337" t="str">
        <f>VLOOKUP(A10,'Feature Raw Data'!$A$3:$E$3996,5,FALSE)</f>
        <v>Legacy</v>
      </c>
      <c r="G10" s="337" t="str">
        <f t="shared" si="5"/>
        <v>Yes</v>
      </c>
      <c r="H10" s="337" t="str">
        <f t="shared" si="0"/>
        <v>Yes</v>
      </c>
      <c r="I10" s="465">
        <f>SUMIF('Diags Raw Data'!$A$6:$A$3752,"*"&amp;$A10&amp;"*",'Diags Raw Data'!$J$6:$J$3752)</f>
        <v>3</v>
      </c>
      <c r="J10" s="467">
        <f>SUMIF('Diags Raw Data'!$A$6:$A$3752,"*"&amp;$A10&amp;"*",'Diags Raw Data'!$K$6:$K$3752)</f>
        <v>3</v>
      </c>
      <c r="K10" s="518" cm="1">
        <f t="array" ref="K10">IF(D10="",0, SUMPRODUCT(--(ISNUMBER(SEARCH($A10,'Diags Raw Data'!$A$6:$A$3752))),'Diags Raw Data'!$K$6:$K$3752,'Diags Raw Data'!$M$6:$M$3752)/J10)</f>
        <v>1</v>
      </c>
      <c r="L10" s="519" cm="1">
        <f t="array" ref="L10">IF(D10="",0, SUMPRODUCT(--(ISNUMBER(SEARCH($A10,'Diags Raw Data'!$A$6:$A$3752))),'Diags Raw Data'!$K$6:$K$3752,'Diags Raw Data'!$O$6:$O$3752)/J10)</f>
        <v>1</v>
      </c>
      <c r="M10" s="511" cm="1">
        <f t="array" ref="M10">SUMPRODUCT(--(ISNUMBER(SEARCH($A10,'Diags Raw Data'!$A$6:$A$3752))),--('Diags Raw Data'!$P$6:$P$3752&lt;&gt;"N/A"),'Diags Raw Data'!$Q$6:$Q$3752)</f>
        <v>3</v>
      </c>
      <c r="N10" s="520" cm="1">
        <f t="array" ref="N10">SUMPRODUCT(--(ISNUMBER(SEARCH($A10,'Diags Raw Data'!$A$6:$A$3752))),--('Diags Raw Data'!$P$6:$P$3752&lt;&gt;"N/A"),'Diags Raw Data'!$S$6:$S$3752)+SUMPRODUCT(--(ISNUMBER(SEARCH($A10,'Diags Raw Data'!$A$6:$A$3752))),--('Diags Raw Data'!$P$6:$P$3752&lt;&gt;"N/A"),'Diags Raw Data'!$T$6:$T$3752)</f>
        <v>3</v>
      </c>
      <c r="O10" s="521">
        <f t="shared" si="1"/>
        <v>1</v>
      </c>
      <c r="P10" s="522">
        <f>SUMIF('Diags Raw Data'!$A$6:$A$3752,"*"&amp;$A10&amp;"*",'Diags Raw Data'!$Y$6:$Y$3752)</f>
        <v>0</v>
      </c>
      <c r="Q10" s="523">
        <f>SUM(SUMIF('Diags Raw Data'!$A$6:$A$3752,"*"&amp;$A10&amp;"*",'Diags Raw Data'!$Z$6:$Z$3752),SUMIF('Diags Raw Data'!$A$6:$A$3752,"*"&amp;$A10&amp;"*",'Diags Raw Data'!$AA$6:$AA$3752))</f>
        <v>0</v>
      </c>
      <c r="R10" s="524">
        <f t="shared" si="2"/>
        <v>0</v>
      </c>
      <c r="S10" s="524">
        <f t="shared" si="3"/>
        <v>0</v>
      </c>
      <c r="T10" s="525">
        <f t="shared" si="4"/>
        <v>0</v>
      </c>
      <c r="U10" s="468" t="s">
        <v>438</v>
      </c>
      <c r="V10" s="179"/>
    </row>
    <row r="11" spans="1:23" ht="15">
      <c r="A11" s="335" t="s">
        <v>268</v>
      </c>
      <c r="B11" s="464" t="str">
        <f>VLOOKUP(A11,'Feature Raw Data'!$A$3:$B$3996,2,FALSE)</f>
        <v>Burst NOPs</v>
      </c>
      <c r="C11" s="465" t="str">
        <f>VLOOKUP(A11,'Feature Raw Data'!$A$3:$C$3996,3,FALSE)</f>
        <v>P2</v>
      </c>
      <c r="D11" s="466" t="str" cm="1">
        <f t="array" ref="D11">_xlfn.TEXTJOIN("",TRUE,IF(ISNUMBER(SEARCH($A11,'Diags Raw Data'!$A$6:$A$3752)),CONCATENATE('Diags Raw Data'!$H$6:$H$3752,", "),""))</f>
        <v xml:space="preserve">sdma65.101, </v>
      </c>
      <c r="E11" s="461" t="str">
        <f>VLOOKUP(A11,'Diags Raw Data'!$A$6:$D$3752,4,FALSE)</f>
        <v>SDMA</v>
      </c>
      <c r="F11" s="337" t="str">
        <f>VLOOKUP(A11,'Feature Raw Data'!$A$3:$E$3996,5,FALSE)</f>
        <v>Legacy</v>
      </c>
      <c r="G11" s="337" t="str">
        <f t="shared" si="5"/>
        <v>Yes</v>
      </c>
      <c r="H11" s="337" t="str">
        <f t="shared" si="0"/>
        <v>Yes</v>
      </c>
      <c r="I11" s="465">
        <f>SUMIF('Diags Raw Data'!$A$6:$A$3752,"*"&amp;$A11&amp;"*",'Diags Raw Data'!$J$6:$J$3752)</f>
        <v>1</v>
      </c>
      <c r="J11" s="467">
        <f>SUMIF('Diags Raw Data'!$A$6:$A$3752,"*"&amp;$A11&amp;"*",'Diags Raw Data'!$K$6:$K$3752)</f>
        <v>1</v>
      </c>
      <c r="K11" s="518" cm="1">
        <f t="array" ref="K11">IF(D11="",0, SUMPRODUCT(--(ISNUMBER(SEARCH($A11,'Diags Raw Data'!$A$6:$A$3752))),'Diags Raw Data'!$K$6:$K$3752,'Diags Raw Data'!$M$6:$M$3752)/J11)</f>
        <v>1</v>
      </c>
      <c r="L11" s="519" cm="1">
        <f t="array" ref="L11">IF(D11="",0, SUMPRODUCT(--(ISNUMBER(SEARCH($A11,'Diags Raw Data'!$A$6:$A$3752))),'Diags Raw Data'!$K$6:$K$3752,'Diags Raw Data'!$O$6:$O$3752)/J11)</f>
        <v>1</v>
      </c>
      <c r="M11" s="511" cm="1">
        <f t="array" ref="M11">SUMPRODUCT(--(ISNUMBER(SEARCH($A11,'Diags Raw Data'!$A$6:$A$3752))),--('Diags Raw Data'!$P$6:$P$3752&lt;&gt;"N/A"),'Diags Raw Data'!$Q$6:$Q$3752)</f>
        <v>1</v>
      </c>
      <c r="N11" s="520" cm="1">
        <f t="array" ref="N11">SUMPRODUCT(--(ISNUMBER(SEARCH($A11,'Diags Raw Data'!$A$6:$A$3752))),--('Diags Raw Data'!$P$6:$P$3752&lt;&gt;"N/A"),'Diags Raw Data'!$S$6:$S$3752)+SUMPRODUCT(--(ISNUMBER(SEARCH($A11,'Diags Raw Data'!$A$6:$A$3752))),--('Diags Raw Data'!$P$6:$P$3752&lt;&gt;"N/A"),'Diags Raw Data'!$T$6:$T$3752)</f>
        <v>1</v>
      </c>
      <c r="O11" s="521">
        <f t="shared" si="1"/>
        <v>1</v>
      </c>
      <c r="P11" s="522">
        <f>SUMIF('Diags Raw Data'!$A$6:$A$3752,"*"&amp;$A11&amp;"*",'Diags Raw Data'!$Y$6:$Y$3752)</f>
        <v>0</v>
      </c>
      <c r="Q11" s="523">
        <f>SUM(SUMIF('Diags Raw Data'!$A$6:$A$3752,"*"&amp;$A11&amp;"*",'Diags Raw Data'!$Z$6:$Z$3752),SUMIF('Diags Raw Data'!$A$6:$A$3752,"*"&amp;$A11&amp;"*",'Diags Raw Data'!$AA$6:$AA$3752))</f>
        <v>0</v>
      </c>
      <c r="R11" s="524">
        <f t="shared" si="2"/>
        <v>0</v>
      </c>
      <c r="S11" s="524">
        <f t="shared" si="3"/>
        <v>0</v>
      </c>
      <c r="T11" s="525">
        <f t="shared" si="4"/>
        <v>0</v>
      </c>
      <c r="U11" s="468" t="s">
        <v>438</v>
      </c>
      <c r="V11" s="179"/>
    </row>
    <row r="12" spans="1:23" ht="15">
      <c r="A12" s="335" t="s">
        <v>272</v>
      </c>
      <c r="B12" s="464" t="str">
        <f>VLOOKUP(A12,'Feature Raw Data'!$A$3:$B$3996,2,FALSE)</f>
        <v>CGCG enhancement</v>
      </c>
      <c r="C12" s="465" t="str">
        <f>VLOOKUP(A12,'Feature Raw Data'!$A$3:$C$3996,3,FALSE)</f>
        <v>P2</v>
      </c>
      <c r="D12" s="466" t="str" cm="1">
        <f t="array" ref="D12">_xlfn.TEXTJOIN("",TRUE,IF(ISNUMBER(SEARCH($A12,'Diags Raw Data'!$A$6:$A$3752)),CONCATENATE('Diags Raw Data'!$H$6:$H$3752,", "),""))</f>
        <v xml:space="preserve">nsdma207.1, </v>
      </c>
      <c r="E12" s="461" t="str">
        <f>VLOOKUP(A12,'Diags Raw Data'!$A$6:$D$3752,4,FALSE)</f>
        <v>SDMA</v>
      </c>
      <c r="F12" s="337" t="str">
        <f>VLOOKUP(A12,'Feature Raw Data'!$A$3:$E$3996,5,FALSE)</f>
        <v>Legacy</v>
      </c>
      <c r="G12" s="337" t="str">
        <f t="shared" si="5"/>
        <v>Yes</v>
      </c>
      <c r="H12" s="337" t="str">
        <f t="shared" si="0"/>
        <v>Yes</v>
      </c>
      <c r="I12" s="465">
        <f>SUMIF('Diags Raw Data'!$A$6:$A$3752,"*"&amp;$A12&amp;"*",'Diags Raw Data'!$J$6:$J$3752)</f>
        <v>1</v>
      </c>
      <c r="J12" s="467">
        <f>SUMIF('Diags Raw Data'!$A$6:$A$3752,"*"&amp;$A12&amp;"*",'Diags Raw Data'!$K$6:$K$3752)</f>
        <v>1</v>
      </c>
      <c r="K12" s="518" cm="1">
        <f t="array" ref="K12">IF(D12="",0, SUMPRODUCT(--(ISNUMBER(SEARCH($A12,'Diags Raw Data'!$A$6:$A$3752))),'Diags Raw Data'!$K$6:$K$3752,'Diags Raw Data'!$M$6:$M$3752)/J12)</f>
        <v>1</v>
      </c>
      <c r="L12" s="519" cm="1">
        <f t="array" ref="L12">IF(D12="",0, SUMPRODUCT(--(ISNUMBER(SEARCH($A12,'Diags Raw Data'!$A$6:$A$3752))),'Diags Raw Data'!$K$6:$K$3752,'Diags Raw Data'!$O$6:$O$3752)/J12)</f>
        <v>1</v>
      </c>
      <c r="M12" s="511" cm="1">
        <f t="array" ref="M12">SUMPRODUCT(--(ISNUMBER(SEARCH($A12,'Diags Raw Data'!$A$6:$A$3752))),--('Diags Raw Data'!$P$6:$P$3752&lt;&gt;"N/A"),'Diags Raw Data'!$Q$6:$Q$3752)</f>
        <v>0</v>
      </c>
      <c r="N12" s="520" cm="1">
        <f t="array" ref="N12">SUMPRODUCT(--(ISNUMBER(SEARCH($A12,'Diags Raw Data'!$A$6:$A$3752))),--('Diags Raw Data'!$P$6:$P$3752&lt;&gt;"N/A"),'Diags Raw Data'!$S$6:$S$3752)+SUMPRODUCT(--(ISNUMBER(SEARCH($A12,'Diags Raw Data'!$A$6:$A$3752))),--('Diags Raw Data'!$P$6:$P$3752&lt;&gt;"N/A"),'Diags Raw Data'!$T$6:$T$3752)</f>
        <v>0</v>
      </c>
      <c r="O12" s="521">
        <f t="shared" si="1"/>
        <v>0</v>
      </c>
      <c r="P12" s="522">
        <f>SUMIF('Diags Raw Data'!$A$6:$A$3752,"*"&amp;$A12&amp;"*",'Diags Raw Data'!$Y$6:$Y$3752)</f>
        <v>0</v>
      </c>
      <c r="Q12" s="523">
        <f>SUM(SUMIF('Diags Raw Data'!$A$6:$A$3752,"*"&amp;$A12&amp;"*",'Diags Raw Data'!$Z$6:$Z$3752),SUMIF('Diags Raw Data'!$A$6:$A$3752,"*"&amp;$A12&amp;"*",'Diags Raw Data'!$AA$6:$AA$3752))</f>
        <v>0</v>
      </c>
      <c r="R12" s="524">
        <f t="shared" si="2"/>
        <v>0</v>
      </c>
      <c r="S12" s="524">
        <f t="shared" si="3"/>
        <v>0</v>
      </c>
      <c r="T12" s="525">
        <f t="shared" si="4"/>
        <v>0</v>
      </c>
      <c r="U12" s="468" t="s">
        <v>438</v>
      </c>
      <c r="V12" s="179"/>
    </row>
    <row r="13" spans="1:23" ht="90">
      <c r="A13" s="335" t="s">
        <v>679</v>
      </c>
      <c r="B13" s="464" t="str">
        <f>VLOOKUP(A13,'Feature Raw Data'!$A$3:$B$3996,2,FALSE)</f>
        <v>Clock Gated Status</v>
      </c>
      <c r="C13" s="465" t="str">
        <f>VLOOKUP(A13,'Feature Raw Data'!$A$3:$C$3996,3,FALSE)</f>
        <v>P2</v>
      </c>
      <c r="D13" s="466" t="str" cm="1">
        <f t="array" ref="D13">_xlfn.TEXTJOIN("",TRUE,IF(ISNUMBER(SEARCH($A13,'Diags Raw Data'!$A$6:$A$3752)),CONCATENATE('Diags Raw Data'!$H$6:$H$3752,", "),""))</f>
        <v/>
      </c>
      <c r="E13" s="461" t="e">
        <f>VLOOKUP(A13,'Diags Raw Data'!$A$6:$D$3752,4,FALSE)</f>
        <v>#N/A</v>
      </c>
      <c r="F13" s="337" t="str">
        <f>VLOOKUP(A13,'Feature Raw Data'!$A$3:$E$3996,5,FALSE)</f>
        <v>Legacy</v>
      </c>
      <c r="G13" s="461" t="s">
        <v>31</v>
      </c>
      <c r="H13" s="337" t="str">
        <f t="shared" si="0"/>
        <v>No</v>
      </c>
      <c r="I13" s="465">
        <f>SUMIF('Diags Raw Data'!$A$6:$A$3752,"*"&amp;$A13&amp;"*",'Diags Raw Data'!$J$6:$J$3752)</f>
        <v>0</v>
      </c>
      <c r="J13" s="467">
        <f>SUMIF('Diags Raw Data'!$A$6:$A$3752,"*"&amp;$A13&amp;"*",'Diags Raw Data'!$K$6:$K$3752)</f>
        <v>0</v>
      </c>
      <c r="K13" s="518" cm="1">
        <f t="array" ref="K13">IF(D13="",0, SUMPRODUCT(--(ISNUMBER(SEARCH($A13,'Diags Raw Data'!$A$6:$A$3752))),'Diags Raw Data'!$K$6:$K$3752,'Diags Raw Data'!$M$6:$M$3752)/J13)</f>
        <v>0</v>
      </c>
      <c r="L13" s="519" cm="1">
        <f t="array" ref="L13">IF(D13="",0, SUMPRODUCT(--(ISNUMBER(SEARCH($A13,'Diags Raw Data'!$A$6:$A$3752))),'Diags Raw Data'!$K$6:$K$3752,'Diags Raw Data'!$O$6:$O$3752)/J13)</f>
        <v>0</v>
      </c>
      <c r="M13" s="511" cm="1">
        <f t="array" ref="M13">SUMPRODUCT(--(ISNUMBER(SEARCH($A13,'Diags Raw Data'!$A$6:$A$3752))),--('Diags Raw Data'!$P$6:$P$3752&lt;&gt;"N/A"),'Diags Raw Data'!$Q$6:$Q$3752)</f>
        <v>0</v>
      </c>
      <c r="N13" s="520" cm="1">
        <f t="array" ref="N13">SUMPRODUCT(--(ISNUMBER(SEARCH($A13,'Diags Raw Data'!$A$6:$A$3752))),--('Diags Raw Data'!$P$6:$P$3752&lt;&gt;"N/A"),'Diags Raw Data'!$S$6:$S$3752)+SUMPRODUCT(--(ISNUMBER(SEARCH($A13,'Diags Raw Data'!$A$6:$A$3752))),--('Diags Raw Data'!$P$6:$P$3752&lt;&gt;"N/A"),'Diags Raw Data'!$T$6:$T$3752)</f>
        <v>0</v>
      </c>
      <c r="O13" s="521">
        <f>IF((M13=0),0,N13/M13)</f>
        <v>0</v>
      </c>
      <c r="P13" s="522">
        <f>SUMIF('Diags Raw Data'!$A$6:$A$3752,"*"&amp;$A13&amp;"*",'Diags Raw Data'!$Y$6:$Y$3752)</f>
        <v>0</v>
      </c>
      <c r="Q13" s="523">
        <f>SUM(SUMIF('Diags Raw Data'!$A$6:$A$3752,"*"&amp;$A13&amp;"*",'Diags Raw Data'!$Z$6:$Z$3752),SUMIF('Diags Raw Data'!$A$6:$A$3752,"*"&amp;$A13&amp;"*",'Diags Raw Data'!$AA$6:$AA$3752))</f>
        <v>0</v>
      </c>
      <c r="R13" s="524">
        <f t="shared" si="2"/>
        <v>0</v>
      </c>
      <c r="S13" s="524">
        <f t="shared" si="3"/>
        <v>0</v>
      </c>
      <c r="T13" s="525">
        <f t="shared" si="4"/>
        <v>0</v>
      </c>
      <c r="U13" s="468" t="s">
        <v>828</v>
      </c>
      <c r="V13" s="179"/>
    </row>
    <row r="14" spans="1:23" ht="16.5">
      <c r="A14" s="335" t="s">
        <v>277</v>
      </c>
      <c r="B14" s="464" t="str">
        <f>VLOOKUP(A14,'Feature Raw Data'!$A$3:$B$3996,2,FALSE)</f>
        <v>Command Overlap</v>
      </c>
      <c r="C14" s="465" t="str">
        <f>VLOOKUP(A14,'Feature Raw Data'!$A$3:$C$3996,3,FALSE)</f>
        <v>P2</v>
      </c>
      <c r="D14" s="466" t="str" cm="1">
        <f t="array" ref="D14">_xlfn.TEXTJOIN("",TRUE,IF(ISNUMBER(SEARCH($A14,'Diags Raw Data'!$A$6:$A$3752)),CONCATENATE('Diags Raw Data'!$H$6:$H$3752,", "),""))</f>
        <v xml:space="preserve">sdma27.101, </v>
      </c>
      <c r="E14" s="461" t="str">
        <f>VLOOKUP(A14,'Diags Raw Data'!$A$6:$D$3752,4,FALSE)</f>
        <v>SDMA</v>
      </c>
      <c r="F14" s="337" t="str">
        <f>VLOOKUP(A14,'Feature Raw Data'!$A$3:$E$3996,5,FALSE)</f>
        <v>Legacy</v>
      </c>
      <c r="G14" s="337" t="s">
        <v>31</v>
      </c>
      <c r="H14" s="337" t="str">
        <f t="shared" si="0"/>
        <v>Yes</v>
      </c>
      <c r="I14" s="465">
        <f>SUMIF('Diags Raw Data'!$A$6:$A$3752,"*"&amp;$A14&amp;"*",'Diags Raw Data'!$J$6:$J$3752)</f>
        <v>1</v>
      </c>
      <c r="J14" s="467">
        <f>SUMIF('Diags Raw Data'!$A$6:$A$3752,"*"&amp;$A14&amp;"*",'Diags Raw Data'!$K$6:$K$3752)</f>
        <v>1</v>
      </c>
      <c r="K14" s="518" cm="1">
        <f t="array" ref="K14">IF(D14="",0, SUMPRODUCT(--(ISNUMBER(SEARCH($A14,'Diags Raw Data'!$A$6:$A$3752))),'Diags Raw Data'!$K$6:$K$3752,'Diags Raw Data'!$M$6:$M$3752)/J14)</f>
        <v>1</v>
      </c>
      <c r="L14" s="519" cm="1">
        <f t="array" ref="L14">IF(D14="",0, SUMPRODUCT(--(ISNUMBER(SEARCH($A14,'Diags Raw Data'!$A$6:$A$3752))),'Diags Raw Data'!$K$6:$K$3752,'Diags Raw Data'!$O$6:$O$3752)/J14)</f>
        <v>1</v>
      </c>
      <c r="M14" s="511" cm="1">
        <f t="array" ref="M14">SUMPRODUCT(--(ISNUMBER(SEARCH($A14,'Diags Raw Data'!$A$6:$A$3752))),--('Diags Raw Data'!$P$6:$P$3752&lt;&gt;"N/A"),'Diags Raw Data'!$Q$6:$Q$3752)</f>
        <v>1</v>
      </c>
      <c r="N14" s="520" cm="1">
        <f t="array" ref="N14">SUMPRODUCT(--(ISNUMBER(SEARCH($A14,'Diags Raw Data'!$A$6:$A$3752))),--('Diags Raw Data'!$P$6:$P$3752&lt;&gt;"N/A"),'Diags Raw Data'!$S$6:$S$3752)+SUMPRODUCT(--(ISNUMBER(SEARCH($A14,'Diags Raw Data'!$A$6:$A$3752))),--('Diags Raw Data'!$P$6:$P$3752&lt;&gt;"N/A"),'Diags Raw Data'!$T$6:$T$3752)</f>
        <v>1</v>
      </c>
      <c r="O14" s="521">
        <f t="shared" si="1"/>
        <v>1</v>
      </c>
      <c r="P14" s="522">
        <f>SUMIF('Diags Raw Data'!$A$6:$A$3752,"*"&amp;$A14&amp;"*",'Diags Raw Data'!$Y$6:$Y$3752)</f>
        <v>0</v>
      </c>
      <c r="Q14" s="523">
        <f>SUM(SUMIF('Diags Raw Data'!$A$6:$A$3752,"*"&amp;$A14&amp;"*",'Diags Raw Data'!$Z$6:$Z$3752),SUMIF('Diags Raw Data'!$A$6:$A$3752,"*"&amp;$A14&amp;"*",'Diags Raw Data'!$AA$6:$AA$3752))</f>
        <v>0</v>
      </c>
      <c r="R14" s="524">
        <f t="shared" si="2"/>
        <v>0</v>
      </c>
      <c r="S14" s="524">
        <f t="shared" si="3"/>
        <v>0</v>
      </c>
      <c r="T14" s="525">
        <f t="shared" si="4"/>
        <v>0</v>
      </c>
      <c r="U14" s="468" t="s">
        <v>44</v>
      </c>
      <c r="V14" s="571" t="s">
        <v>826</v>
      </c>
    </row>
    <row r="15" spans="1:23" ht="15">
      <c r="A15" s="335" t="s">
        <v>280</v>
      </c>
      <c r="B15" s="464" t="str">
        <f>VLOOKUP(A15,'Feature Raw Data'!$A$3:$B$3996,2,FALSE)</f>
        <v>Conditional Execution Command</v>
      </c>
      <c r="C15" s="465" t="str">
        <f>VLOOKUP(A15,'Feature Raw Data'!$A$3:$C$3996,3,FALSE)</f>
        <v>P2</v>
      </c>
      <c r="D15" s="466" t="str" cm="1">
        <f t="array" ref="D15">_xlfn.TEXTJOIN("",TRUE,IF(ISNUMBER(SEARCH($A15,'Diags Raw Data'!$A$6:$A$3752)),CONCATENATE('Diags Raw Data'!$H$6:$H$3752,", "),""))</f>
        <v xml:space="preserve">nsdma27.1, nsdma26.1, </v>
      </c>
      <c r="E15" s="461" t="str">
        <f>VLOOKUP(A15,'Diags Raw Data'!$A$6:$D$3752,4,FALSE)</f>
        <v>SDMA</v>
      </c>
      <c r="F15" s="337" t="str">
        <f>VLOOKUP(A15,'Feature Raw Data'!$A$3:$E$3996,5,FALSE)</f>
        <v>Legacy</v>
      </c>
      <c r="G15" s="337" t="str">
        <f t="shared" si="5"/>
        <v>Yes</v>
      </c>
      <c r="H15" s="337" t="str">
        <f t="shared" si="0"/>
        <v>Yes</v>
      </c>
      <c r="I15" s="465">
        <f>SUMIF('Diags Raw Data'!$A$6:$A$3752,"*"&amp;$A15&amp;"*",'Diags Raw Data'!$J$6:$J$3752)</f>
        <v>2</v>
      </c>
      <c r="J15" s="467">
        <f>SUMIF('Diags Raw Data'!$A$6:$A$3752,"*"&amp;$A15&amp;"*",'Diags Raw Data'!$K$6:$K$3752)</f>
        <v>2</v>
      </c>
      <c r="K15" s="518" cm="1">
        <f t="array" ref="K15">IF(D15="",0, SUMPRODUCT(--(ISNUMBER(SEARCH($A15,'Diags Raw Data'!$A$6:$A$3752))),'Diags Raw Data'!$K$6:$K$3752,'Diags Raw Data'!$M$6:$M$3752)/J15)</f>
        <v>1</v>
      </c>
      <c r="L15" s="519" cm="1">
        <f t="array" ref="L15">IF(D15="",0, SUMPRODUCT(--(ISNUMBER(SEARCH($A15,'Diags Raw Data'!$A$6:$A$3752))),'Diags Raw Data'!$K$6:$K$3752,'Diags Raw Data'!$O$6:$O$3752)/J15)</f>
        <v>1</v>
      </c>
      <c r="M15" s="511" cm="1">
        <f t="array" ref="M15">SUMPRODUCT(--(ISNUMBER(SEARCH($A15,'Diags Raw Data'!$A$6:$A$3752))),--('Diags Raw Data'!$P$6:$P$3752&lt;&gt;"N/A"),'Diags Raw Data'!$Q$6:$Q$3752)</f>
        <v>2</v>
      </c>
      <c r="N15" s="520" cm="1">
        <f t="array" ref="N15">SUMPRODUCT(--(ISNUMBER(SEARCH($A15,'Diags Raw Data'!$A$6:$A$3752))),--('Diags Raw Data'!$P$6:$P$3752&lt;&gt;"N/A"),'Diags Raw Data'!$S$6:$S$3752)+SUMPRODUCT(--(ISNUMBER(SEARCH($A15,'Diags Raw Data'!$A$6:$A$3752))),--('Diags Raw Data'!$P$6:$P$3752&lt;&gt;"N/A"),'Diags Raw Data'!$T$6:$T$3752)</f>
        <v>2</v>
      </c>
      <c r="O15" s="521">
        <f t="shared" si="1"/>
        <v>1</v>
      </c>
      <c r="P15" s="522">
        <f>SUMIF('Diags Raw Data'!$A$6:$A$3752,"*"&amp;$A15&amp;"*",'Diags Raw Data'!$Y$6:$Y$3752)</f>
        <v>0</v>
      </c>
      <c r="Q15" s="523">
        <f>SUM(SUMIF('Diags Raw Data'!$A$6:$A$3752,"*"&amp;$A15&amp;"*",'Diags Raw Data'!$Z$6:$Z$3752),SUMIF('Diags Raw Data'!$A$6:$A$3752,"*"&amp;$A15&amp;"*",'Diags Raw Data'!$AA$6:$AA$3752))</f>
        <v>0</v>
      </c>
      <c r="R15" s="524">
        <f t="shared" si="2"/>
        <v>0</v>
      </c>
      <c r="S15" s="524">
        <f t="shared" si="3"/>
        <v>0</v>
      </c>
      <c r="T15" s="525">
        <f t="shared" si="4"/>
        <v>0</v>
      </c>
      <c r="U15" s="468" t="s">
        <v>438</v>
      </c>
      <c r="V15" s="179"/>
    </row>
    <row r="16" spans="1:23" ht="15">
      <c r="A16" s="335" t="s">
        <v>286</v>
      </c>
      <c r="B16" s="464" t="str">
        <f>VLOOKUP(A16,'Feature Raw Data'!$A$3:$B$3996,2,FALSE)</f>
        <v>Constant Fill Command</v>
      </c>
      <c r="C16" s="465" t="str">
        <f>VLOOKUP(A16,'Feature Raw Data'!$A$3:$C$3996,3,FALSE)</f>
        <v>P2</v>
      </c>
      <c r="D16" s="466" t="str" cm="1">
        <f t="array" ref="D16">_xlfn.TEXTJOIN("",TRUE,IF(ISNUMBER(SEARCH($A16,'Diags Raw Data'!$A$6:$A$3752)),CONCATENATE('Diags Raw Data'!$H$6:$H$3752,", "),""))</f>
        <v xml:space="preserve">nsdma58.1, nsdma59.1, </v>
      </c>
      <c r="E16" s="461" t="str">
        <f>VLOOKUP(A16,'Diags Raw Data'!$A$6:$D$3752,4,FALSE)</f>
        <v>SDMA</v>
      </c>
      <c r="F16" s="337" t="str">
        <f>VLOOKUP(A16,'Feature Raw Data'!$A$3:$E$3996,5,FALSE)</f>
        <v>Legacy</v>
      </c>
      <c r="G16" s="337" t="str">
        <f t="shared" si="5"/>
        <v>Yes</v>
      </c>
      <c r="H16" s="337" t="str">
        <f t="shared" si="0"/>
        <v>Yes</v>
      </c>
      <c r="I16" s="465">
        <f>SUMIF('Diags Raw Data'!$A$6:$A$3752,"*"&amp;$A16&amp;"*",'Diags Raw Data'!$J$6:$J$3752)</f>
        <v>2</v>
      </c>
      <c r="J16" s="467">
        <f>SUMIF('Diags Raw Data'!$A$6:$A$3752,"*"&amp;$A16&amp;"*",'Diags Raw Data'!$K$6:$K$3752)</f>
        <v>2</v>
      </c>
      <c r="K16" s="518" cm="1">
        <f t="array" ref="K16">IF(D16="",0, SUMPRODUCT(--(ISNUMBER(SEARCH($A16,'Diags Raw Data'!$A$6:$A$3752))),'Diags Raw Data'!$K$6:$K$3752,'Diags Raw Data'!$M$6:$M$3752)/J16)</f>
        <v>1</v>
      </c>
      <c r="L16" s="519" cm="1">
        <f t="array" ref="L16">IF(D16="",0, SUMPRODUCT(--(ISNUMBER(SEARCH($A16,'Diags Raw Data'!$A$6:$A$3752))),'Diags Raw Data'!$K$6:$K$3752,'Diags Raw Data'!$O$6:$O$3752)/J16)</f>
        <v>1</v>
      </c>
      <c r="M16" s="511" cm="1">
        <f t="array" ref="M16">SUMPRODUCT(--(ISNUMBER(SEARCH($A16,'Diags Raw Data'!$A$6:$A$3752))),--('Diags Raw Data'!$P$6:$P$3752&lt;&gt;"N/A"),'Diags Raw Data'!$Q$6:$Q$3752)</f>
        <v>2</v>
      </c>
      <c r="N16" s="520" cm="1">
        <f t="array" ref="N16">SUMPRODUCT(--(ISNUMBER(SEARCH($A16,'Diags Raw Data'!$A$6:$A$3752))),--('Diags Raw Data'!$P$6:$P$3752&lt;&gt;"N/A"),'Diags Raw Data'!$S$6:$S$3752)+SUMPRODUCT(--(ISNUMBER(SEARCH($A16,'Diags Raw Data'!$A$6:$A$3752))),--('Diags Raw Data'!$P$6:$P$3752&lt;&gt;"N/A"),'Diags Raw Data'!$T$6:$T$3752)</f>
        <v>2</v>
      </c>
      <c r="O16" s="521">
        <f t="shared" si="1"/>
        <v>1</v>
      </c>
      <c r="P16" s="522">
        <f>SUMIF('Diags Raw Data'!$A$6:$A$3752,"*"&amp;$A16&amp;"*",'Diags Raw Data'!$Y$6:$Y$3752)</f>
        <v>0</v>
      </c>
      <c r="Q16" s="523">
        <f>SUM(SUMIF('Diags Raw Data'!$A$6:$A$3752,"*"&amp;$A16&amp;"*",'Diags Raw Data'!$Z$6:$Z$3752),SUMIF('Diags Raw Data'!$A$6:$A$3752,"*"&amp;$A16&amp;"*",'Diags Raw Data'!$AA$6:$AA$3752))</f>
        <v>0</v>
      </c>
      <c r="R16" s="524">
        <f t="shared" si="2"/>
        <v>0</v>
      </c>
      <c r="S16" s="524">
        <f t="shared" si="3"/>
        <v>0</v>
      </c>
      <c r="T16" s="525">
        <f t="shared" si="4"/>
        <v>0</v>
      </c>
      <c r="U16" s="468" t="s">
        <v>438</v>
      </c>
      <c r="V16" s="179"/>
    </row>
    <row r="17" spans="1:22" s="182" customFormat="1" ht="15">
      <c r="A17" s="335" t="s">
        <v>292</v>
      </c>
      <c r="B17" s="464" t="str">
        <f>VLOOKUP(A17,'Feature Raw Data'!$A$3:$B$3996,2,FALSE)</f>
        <v>Context Switch</v>
      </c>
      <c r="C17" s="465" t="str">
        <f>VLOOKUP(A17,'Feature Raw Data'!$A$3:$C$3996,3,FALSE)</f>
        <v>P2</v>
      </c>
      <c r="D17" s="466" t="str" cm="1">
        <f t="array" ref="D17">_xlfn.TEXTJOIN("",TRUE,IF(ISNUMBER(SEARCH($A17,'Diags Raw Data'!$A$6:$A$3752)),CONCATENATE('Diags Raw Data'!$H$6:$H$3752,", "),""))</f>
        <v xml:space="preserve">nsdma215.1-3, </v>
      </c>
      <c r="E17" s="461" t="str">
        <f>VLOOKUP(A17,'Diags Raw Data'!$A$6:$D$3752,4,FALSE)</f>
        <v>SDMA</v>
      </c>
      <c r="F17" s="337" t="str">
        <f>VLOOKUP(A17,'Feature Raw Data'!$A$3:$E$3996,5,FALSE)</f>
        <v>Legacy</v>
      </c>
      <c r="G17" s="337" t="str">
        <f t="shared" si="5"/>
        <v>Yes</v>
      </c>
      <c r="H17" s="337" t="str">
        <f t="shared" si="0"/>
        <v>Yes</v>
      </c>
      <c r="I17" s="465">
        <f>SUMIF('Diags Raw Data'!$A$6:$A$3752,"*"&amp;$A17&amp;"*",'Diags Raw Data'!$J$6:$J$3752)</f>
        <v>1</v>
      </c>
      <c r="J17" s="467">
        <f>SUMIF('Diags Raw Data'!$A$6:$A$3752,"*"&amp;$A17&amp;"*",'Diags Raw Data'!$K$6:$K$3752)</f>
        <v>3</v>
      </c>
      <c r="K17" s="518" cm="1">
        <f t="array" ref="K17">IF(D17="",0, SUMPRODUCT(--(ISNUMBER(SEARCH($A17,'Diags Raw Data'!$A$6:$A$3752))),'Diags Raw Data'!$K$6:$K$3752,'Diags Raw Data'!$M$6:$M$3752)/J17)</f>
        <v>1</v>
      </c>
      <c r="L17" s="519" cm="1">
        <f t="array" ref="L17">IF(D17="",0, SUMPRODUCT(--(ISNUMBER(SEARCH($A17,'Diags Raw Data'!$A$6:$A$3752))),'Diags Raw Data'!$K$6:$K$3752,'Diags Raw Data'!$O$6:$O$3752)/J17)</f>
        <v>1</v>
      </c>
      <c r="M17" s="511" cm="1">
        <f t="array" ref="M17">SUMPRODUCT(--(ISNUMBER(SEARCH($A17,'Diags Raw Data'!$A$6:$A$3752))),--('Diags Raw Data'!$P$6:$P$3752&lt;&gt;"N/A"),'Diags Raw Data'!$Q$6:$Q$3752)</f>
        <v>3</v>
      </c>
      <c r="N17" s="520" cm="1">
        <f t="array" ref="N17">SUMPRODUCT(--(ISNUMBER(SEARCH($A17,'Diags Raw Data'!$A$6:$A$3752))),--('Diags Raw Data'!$P$6:$P$3752&lt;&gt;"N/A"),'Diags Raw Data'!$S$6:$S$3752)+SUMPRODUCT(--(ISNUMBER(SEARCH($A17,'Diags Raw Data'!$A$6:$A$3752))),--('Diags Raw Data'!$P$6:$P$3752&lt;&gt;"N/A"),'Diags Raw Data'!$T$6:$T$3752)</f>
        <v>0</v>
      </c>
      <c r="O17" s="521">
        <f t="shared" si="1"/>
        <v>0</v>
      </c>
      <c r="P17" s="522">
        <f>SUMIF('Diags Raw Data'!$A$6:$A$3752,"*"&amp;$A17&amp;"*",'Diags Raw Data'!$Y$6:$Y$3752)</f>
        <v>0</v>
      </c>
      <c r="Q17" s="523">
        <f>SUM(SUMIF('Diags Raw Data'!$A$6:$A$3752,"*"&amp;$A17&amp;"*",'Diags Raw Data'!$Z$6:$Z$3752),SUMIF('Diags Raw Data'!$A$6:$A$3752,"*"&amp;$A17&amp;"*",'Diags Raw Data'!$AA$6:$AA$3752))</f>
        <v>0</v>
      </c>
      <c r="R17" s="524">
        <f t="shared" si="2"/>
        <v>0</v>
      </c>
      <c r="S17" s="524">
        <f t="shared" si="3"/>
        <v>0</v>
      </c>
      <c r="T17" s="525">
        <f t="shared" si="4"/>
        <v>0</v>
      </c>
      <c r="U17" s="468" t="s">
        <v>438</v>
      </c>
      <c r="V17" s="181"/>
    </row>
    <row r="18" spans="1:22" ht="15">
      <c r="A18" s="335" t="s">
        <v>298</v>
      </c>
      <c r="B18" s="464" t="str">
        <f>VLOOKUP(A18,'Feature Raw Data'!$A$3:$B$3996,2,FALSE)</f>
        <v>Copy cmd format to support CUDA API(3D handle)</v>
      </c>
      <c r="C18" s="465" t="str">
        <f>VLOOKUP(A18,'Feature Raw Data'!$A$3:$C$3996,3,FALSE)</f>
        <v>P2</v>
      </c>
      <c r="D18" s="466" t="str" cm="1">
        <f t="array" ref="D18">_xlfn.TEXTJOIN("",TRUE,IF(ISNUMBER(SEARCH($A18,'Diags Raw Data'!$A$6:$A$3752)),CONCATENATE('Diags Raw Data'!$H$6:$H$3752,", "),""))</f>
        <v xml:space="preserve">nsdma93.1, </v>
      </c>
      <c r="E18" s="461" t="str">
        <f>VLOOKUP(A18,'Diags Raw Data'!$A$6:$D$3752,4,FALSE)</f>
        <v>SDMA</v>
      </c>
      <c r="F18" s="337" t="str">
        <f>VLOOKUP(A18,'Feature Raw Data'!$A$3:$E$3996,5,FALSE)</f>
        <v>Legacy</v>
      </c>
      <c r="G18" s="337" t="str">
        <f t="shared" si="5"/>
        <v>Yes</v>
      </c>
      <c r="H18" s="337" t="str">
        <f t="shared" si="0"/>
        <v>Yes</v>
      </c>
      <c r="I18" s="465">
        <f>SUMIF('Diags Raw Data'!$A$6:$A$3752,"*"&amp;$A18&amp;"*",'Diags Raw Data'!$J$6:$J$3752)</f>
        <v>1</v>
      </c>
      <c r="J18" s="467">
        <f>SUMIF('Diags Raw Data'!$A$6:$A$3752,"*"&amp;$A18&amp;"*",'Diags Raw Data'!$K$6:$K$3752)</f>
        <v>1</v>
      </c>
      <c r="K18" s="518" cm="1">
        <f t="array" ref="K18">IF(D18="",0, SUMPRODUCT(--(ISNUMBER(SEARCH($A18,'Diags Raw Data'!$A$6:$A$3752))),'Diags Raw Data'!$K$6:$K$3752,'Diags Raw Data'!$M$6:$M$3752)/J18)</f>
        <v>1</v>
      </c>
      <c r="L18" s="519" cm="1">
        <f t="array" ref="L18">IF(D18="",0, SUMPRODUCT(--(ISNUMBER(SEARCH($A18,'Diags Raw Data'!$A$6:$A$3752))),'Diags Raw Data'!$K$6:$K$3752,'Diags Raw Data'!$O$6:$O$3752)/J18)</f>
        <v>1</v>
      </c>
      <c r="M18" s="511" cm="1">
        <f t="array" ref="M18">SUMPRODUCT(--(ISNUMBER(SEARCH($A18,'Diags Raw Data'!$A$6:$A$3752))),--('Diags Raw Data'!$P$6:$P$3752&lt;&gt;"N/A"),'Diags Raw Data'!$Q$6:$Q$3752)</f>
        <v>1</v>
      </c>
      <c r="N18" s="520" cm="1">
        <f t="array" ref="N18">SUMPRODUCT(--(ISNUMBER(SEARCH($A18,'Diags Raw Data'!$A$6:$A$3752))),--('Diags Raw Data'!$P$6:$P$3752&lt;&gt;"N/A"),'Diags Raw Data'!$S$6:$S$3752)+SUMPRODUCT(--(ISNUMBER(SEARCH($A18,'Diags Raw Data'!$A$6:$A$3752))),--('Diags Raw Data'!$P$6:$P$3752&lt;&gt;"N/A"),'Diags Raw Data'!$T$6:$T$3752)</f>
        <v>1</v>
      </c>
      <c r="O18" s="521">
        <f t="shared" si="1"/>
        <v>1</v>
      </c>
      <c r="P18" s="522">
        <f>SUMIF('Diags Raw Data'!$A$6:$A$3752,"*"&amp;$A18&amp;"*",'Diags Raw Data'!$Y$6:$Y$3752)</f>
        <v>0</v>
      </c>
      <c r="Q18" s="523">
        <f>SUM(SUMIF('Diags Raw Data'!$A$6:$A$3752,"*"&amp;$A18&amp;"*",'Diags Raw Data'!$Z$6:$Z$3752),SUMIF('Diags Raw Data'!$A$6:$A$3752,"*"&amp;$A18&amp;"*",'Diags Raw Data'!$AA$6:$AA$3752))</f>
        <v>0</v>
      </c>
      <c r="R18" s="524">
        <f t="shared" si="2"/>
        <v>0</v>
      </c>
      <c r="S18" s="524">
        <f t="shared" si="3"/>
        <v>0</v>
      </c>
      <c r="T18" s="525">
        <f t="shared" si="4"/>
        <v>0</v>
      </c>
      <c r="U18" s="468" t="s">
        <v>829</v>
      </c>
      <c r="V18" s="179"/>
    </row>
    <row r="19" spans="1:22" ht="15">
      <c r="A19" s="335" t="s">
        <v>302</v>
      </c>
      <c r="B19" s="464" t="str">
        <f>VLOOKUP(A19,'Feature Raw Data'!$A$3:$B$3996,2,FALSE)</f>
        <v>Data Fill MULTI</v>
      </c>
      <c r="C19" s="465" t="str">
        <f>VLOOKUP(A19,'Feature Raw Data'!$A$3:$C$3996,3,FALSE)</f>
        <v>P2</v>
      </c>
      <c r="D19" s="466" t="str" cm="1">
        <f t="array" ref="D19">_xlfn.TEXTJOIN("",TRUE,IF(ISNUMBER(SEARCH($A19,'Diags Raw Data'!$A$6:$A$3752)),CONCATENATE('Diags Raw Data'!$H$6:$H$3752,", "),""))</f>
        <v xml:space="preserve">nsdma65.1, </v>
      </c>
      <c r="E19" s="461" t="str">
        <f>VLOOKUP(A19,'Diags Raw Data'!$A$6:$D$3752,4,FALSE)</f>
        <v>SDMA</v>
      </c>
      <c r="F19" s="337" t="str">
        <f>VLOOKUP(A19,'Feature Raw Data'!$A$3:$E$3996,5,FALSE)</f>
        <v>Legacy</v>
      </c>
      <c r="G19" s="337" t="str">
        <f t="shared" si="5"/>
        <v>Yes</v>
      </c>
      <c r="H19" s="337" t="str">
        <f t="shared" si="0"/>
        <v>Yes</v>
      </c>
      <c r="I19" s="465">
        <f>SUMIF('Diags Raw Data'!$A$6:$A$3752,"*"&amp;$A19&amp;"*",'Diags Raw Data'!$J$6:$J$3752)</f>
        <v>1</v>
      </c>
      <c r="J19" s="467">
        <f>SUMIF('Diags Raw Data'!$A$6:$A$3752,"*"&amp;$A19&amp;"*",'Diags Raw Data'!$K$6:$K$3752)</f>
        <v>1</v>
      </c>
      <c r="K19" s="518" cm="1">
        <f t="array" ref="K19">IF(D19="",0, SUMPRODUCT(--(ISNUMBER(SEARCH($A19,'Diags Raw Data'!$A$6:$A$3752))),'Diags Raw Data'!$K$6:$K$3752,'Diags Raw Data'!$M$6:$M$3752)/J19)</f>
        <v>1</v>
      </c>
      <c r="L19" s="519" cm="1">
        <f t="array" ref="L19">IF(D19="",0, SUMPRODUCT(--(ISNUMBER(SEARCH($A19,'Diags Raw Data'!$A$6:$A$3752))),'Diags Raw Data'!$K$6:$K$3752,'Diags Raw Data'!$O$6:$O$3752)/J19)</f>
        <v>1</v>
      </c>
      <c r="M19" s="511" cm="1">
        <f t="array" ref="M19">SUMPRODUCT(--(ISNUMBER(SEARCH($A19,'Diags Raw Data'!$A$6:$A$3752))),--('Diags Raw Data'!$P$6:$P$3752&lt;&gt;"N/A"),'Diags Raw Data'!$Q$6:$Q$3752)</f>
        <v>1</v>
      </c>
      <c r="N19" s="520" cm="1">
        <f t="array" ref="N19">SUMPRODUCT(--(ISNUMBER(SEARCH($A19,'Diags Raw Data'!$A$6:$A$3752))),--('Diags Raw Data'!$P$6:$P$3752&lt;&gt;"N/A"),'Diags Raw Data'!$S$6:$S$3752)+SUMPRODUCT(--(ISNUMBER(SEARCH($A19,'Diags Raw Data'!$A$6:$A$3752))),--('Diags Raw Data'!$P$6:$P$3752&lt;&gt;"N/A"),'Diags Raw Data'!$T$6:$T$3752)</f>
        <v>1</v>
      </c>
      <c r="O19" s="521">
        <f t="shared" si="1"/>
        <v>1</v>
      </c>
      <c r="P19" s="522">
        <f>SUMIF('Diags Raw Data'!$A$6:$A$3752,"*"&amp;$A19&amp;"*",'Diags Raw Data'!$Y$6:$Y$3752)</f>
        <v>0</v>
      </c>
      <c r="Q19" s="523">
        <f>SUM(SUMIF('Diags Raw Data'!$A$6:$A$3752,"*"&amp;$A19&amp;"*",'Diags Raw Data'!$Z$6:$Z$3752),SUMIF('Diags Raw Data'!$A$6:$A$3752,"*"&amp;$A19&amp;"*",'Diags Raw Data'!$AA$6:$AA$3752))</f>
        <v>0</v>
      </c>
      <c r="R19" s="524">
        <f t="shared" si="2"/>
        <v>0</v>
      </c>
      <c r="S19" s="524">
        <f t="shared" si="3"/>
        <v>0</v>
      </c>
      <c r="T19" s="525">
        <f t="shared" si="4"/>
        <v>0</v>
      </c>
      <c r="U19" s="468" t="s">
        <v>438</v>
      </c>
      <c r="V19" s="179"/>
    </row>
    <row r="20" spans="1:22" ht="15">
      <c r="A20" s="335" t="s">
        <v>305</v>
      </c>
      <c r="B20" s="464" t="str">
        <f>VLOOKUP(A20,'Feature Raw Data'!$A$3:$B$3996,2,FALSE)</f>
        <v>DCC compression/decompression copy</v>
      </c>
      <c r="C20" s="465" t="str">
        <f>VLOOKUP(A20,'Feature Raw Data'!$A$3:$C$3996,3,FALSE)</f>
        <v>P2</v>
      </c>
      <c r="D20" s="466" t="str" cm="1">
        <f t="array" ref="D20">_xlfn.TEXTJOIN("",TRUE,IF(ISNUMBER(SEARCH($A20,'Diags Raw Data'!$A$6:$A$3752)),CONCATENATE('Diags Raw Data'!$H$6:$H$3752,", "),""))</f>
        <v xml:space="preserve">nsdma97.1, </v>
      </c>
      <c r="E20" s="461" t="str">
        <f>VLOOKUP(A20,'Diags Raw Data'!$A$6:$D$3752,4,FALSE)</f>
        <v>SDMA</v>
      </c>
      <c r="F20" s="337" t="str">
        <f>VLOOKUP(A20,'Feature Raw Data'!$A$3:$E$3996,5,FALSE)</f>
        <v>Legacy</v>
      </c>
      <c r="G20" s="337" t="str">
        <f t="shared" si="5"/>
        <v>Yes</v>
      </c>
      <c r="H20" s="337" t="str">
        <f t="shared" si="0"/>
        <v>Yes</v>
      </c>
      <c r="I20" s="465">
        <f>SUMIF('Diags Raw Data'!$A$6:$A$3752,"*"&amp;$A20&amp;"*",'Diags Raw Data'!$J$6:$J$3752)</f>
        <v>1</v>
      </c>
      <c r="J20" s="467">
        <f>SUMIF('Diags Raw Data'!$A$6:$A$3752,"*"&amp;$A20&amp;"*",'Diags Raw Data'!$K$6:$K$3752)</f>
        <v>1</v>
      </c>
      <c r="K20" s="518" cm="1">
        <f t="array" ref="K20">IF(D20="",0, SUMPRODUCT(--(ISNUMBER(SEARCH($A20,'Diags Raw Data'!$A$6:$A$3752))),'Diags Raw Data'!$K$6:$K$3752,'Diags Raw Data'!$M$6:$M$3752)/J20)</f>
        <v>1</v>
      </c>
      <c r="L20" s="519" cm="1">
        <f t="array" ref="L20">IF(D20="",0, SUMPRODUCT(--(ISNUMBER(SEARCH($A20,'Diags Raw Data'!$A$6:$A$3752))),'Diags Raw Data'!$K$6:$K$3752,'Diags Raw Data'!$O$6:$O$3752)/J20)</f>
        <v>1</v>
      </c>
      <c r="M20" s="511" cm="1">
        <f t="array" ref="M20">SUMPRODUCT(--(ISNUMBER(SEARCH($A20,'Diags Raw Data'!$A$6:$A$3752))),--('Diags Raw Data'!$P$6:$P$3752&lt;&gt;"N/A"),'Diags Raw Data'!$Q$6:$Q$3752)</f>
        <v>1</v>
      </c>
      <c r="N20" s="520" cm="1">
        <f t="array" ref="N20">SUMPRODUCT(--(ISNUMBER(SEARCH($A20,'Diags Raw Data'!$A$6:$A$3752))),--('Diags Raw Data'!$P$6:$P$3752&lt;&gt;"N/A"),'Diags Raw Data'!$S$6:$S$3752)+SUMPRODUCT(--(ISNUMBER(SEARCH($A20,'Diags Raw Data'!$A$6:$A$3752))),--('Diags Raw Data'!$P$6:$P$3752&lt;&gt;"N/A"),'Diags Raw Data'!$T$6:$T$3752)</f>
        <v>1</v>
      </c>
      <c r="O20" s="521">
        <f t="shared" si="1"/>
        <v>1</v>
      </c>
      <c r="P20" s="522">
        <f>SUMIF('Diags Raw Data'!$A$6:$A$3752,"*"&amp;$A20&amp;"*",'Diags Raw Data'!$Y$6:$Y$3752)</f>
        <v>0</v>
      </c>
      <c r="Q20" s="523">
        <f>SUM(SUMIF('Diags Raw Data'!$A$6:$A$3752,"*"&amp;$A20&amp;"*",'Diags Raw Data'!$Z$6:$Z$3752),SUMIF('Diags Raw Data'!$A$6:$A$3752,"*"&amp;$A20&amp;"*",'Diags Raw Data'!$AA$6:$AA$3752))</f>
        <v>0</v>
      </c>
      <c r="R20" s="524">
        <f t="shared" si="2"/>
        <v>0</v>
      </c>
      <c r="S20" s="524">
        <f t="shared" si="3"/>
        <v>0</v>
      </c>
      <c r="T20" s="525">
        <f t="shared" si="4"/>
        <v>0</v>
      </c>
      <c r="U20" s="468" t="s">
        <v>438</v>
      </c>
      <c r="V20" s="179"/>
    </row>
    <row r="21" spans="1:22" ht="15">
      <c r="A21" s="335" t="s">
        <v>686</v>
      </c>
      <c r="B21" s="464" t="str">
        <f>VLOOKUP(A21,'Feature Raw Data'!$A$3:$B$3996,2,FALSE)</f>
        <v>ECC Support</v>
      </c>
      <c r="C21" s="465" t="str">
        <f>VLOOKUP(A21,'Feature Raw Data'!$A$3:$C$3996,3,FALSE)</f>
        <v>P2</v>
      </c>
      <c r="D21" s="466" t="str" cm="1">
        <f t="array" ref="D21">_xlfn.TEXTJOIN("",TRUE,IF(ISNUMBER(SEARCH($A21,'Diags Raw Data'!$A$6:$A$3752)),CONCATENATE('Diags Raw Data'!$H$6:$H$3752,", "),""))</f>
        <v/>
      </c>
      <c r="E21" s="461" t="e">
        <f>VLOOKUP(A21,'Diags Raw Data'!$A$6:$D$3752,4,FALSE)</f>
        <v>#N/A</v>
      </c>
      <c r="F21" s="337" t="str">
        <f>VLOOKUP(A21,'Feature Raw Data'!$A$3:$E$3996,5,FALSE)</f>
        <v>Legacy</v>
      </c>
      <c r="G21" s="337" t="str">
        <f>IF(D21="","No","Yes")</f>
        <v>No</v>
      </c>
      <c r="H21" s="337" t="str">
        <f>IF(D21="","No","Yes")</f>
        <v>No</v>
      </c>
      <c r="I21" s="465">
        <f>SUMIF('Diags Raw Data'!$A$6:$A$3752,"*"&amp;$A21&amp;"*",'Diags Raw Data'!$J$6:$J$3752)</f>
        <v>0</v>
      </c>
      <c r="J21" s="467">
        <f>SUMIF('Diags Raw Data'!$A$6:$A$3752,"*"&amp;$A21&amp;"*",'Diags Raw Data'!$K$6:$K$3752)</f>
        <v>0</v>
      </c>
      <c r="K21" s="518" cm="1">
        <f t="array" ref="K21">IF(D21="",0, SUMPRODUCT(--(ISNUMBER(SEARCH($A21,'Diags Raw Data'!$A$6:$A$3752))),'Diags Raw Data'!$K$6:$K$3752,'Diags Raw Data'!$M$6:$M$3752)/J21)</f>
        <v>0</v>
      </c>
      <c r="L21" s="519" cm="1">
        <f t="array" ref="L21">IF(D21="",0, SUMPRODUCT(--(ISNUMBER(SEARCH($A21,'Diags Raw Data'!$A$6:$A$3752))),'Diags Raw Data'!$K$6:$K$3752,'Diags Raw Data'!$O$6:$O$3752)/J21)</f>
        <v>0</v>
      </c>
      <c r="M21" s="511" cm="1">
        <f t="array" ref="M21">SUMPRODUCT(--(ISNUMBER(SEARCH($A21,'Diags Raw Data'!$A$6:$A$3752))),--('Diags Raw Data'!$P$6:$P$3752&lt;&gt;"N/A"),'Diags Raw Data'!$Q$6:$Q$3752)</f>
        <v>0</v>
      </c>
      <c r="N21" s="520" cm="1">
        <f t="array" ref="N21">SUMPRODUCT(--(ISNUMBER(SEARCH($A21,'Diags Raw Data'!$A$6:$A$3752))),--('Diags Raw Data'!$P$6:$P$3752&lt;&gt;"N/A"),'Diags Raw Data'!$S$6:$S$3752)+SUMPRODUCT(--(ISNUMBER(SEARCH($A21,'Diags Raw Data'!$A$6:$A$3752))),--('Diags Raw Data'!$P$6:$P$3752&lt;&gt;"N/A"),'Diags Raw Data'!$T$6:$T$3752)</f>
        <v>0</v>
      </c>
      <c r="O21" s="521">
        <f t="shared" si="1"/>
        <v>0</v>
      </c>
      <c r="P21" s="522">
        <f>SUMIF('Diags Raw Data'!$A$6:$A$3752,"*"&amp;$A21&amp;"*",'Diags Raw Data'!$Y$6:$Y$3752)</f>
        <v>0</v>
      </c>
      <c r="Q21" s="523">
        <f>SUM(SUMIF('Diags Raw Data'!$A$6:$A$3752,"*"&amp;$A21&amp;"*",'Diags Raw Data'!$Z$6:$Z$3752),SUMIF('Diags Raw Data'!$A$6:$A$3752,"*"&amp;$A21&amp;"*",'Diags Raw Data'!$AA$6:$AA$3752))</f>
        <v>0</v>
      </c>
      <c r="R21" s="524">
        <f t="shared" si="2"/>
        <v>0</v>
      </c>
      <c r="S21" s="524">
        <f>IF((P21=0),0,Q21/P21)</f>
        <v>0</v>
      </c>
      <c r="T21" s="525">
        <f>R21*S21</f>
        <v>0</v>
      </c>
      <c r="U21" s="468" t="s">
        <v>438</v>
      </c>
      <c r="V21" s="179"/>
    </row>
    <row r="22" spans="1:22" ht="15">
      <c r="A22" s="335" t="s">
        <v>308</v>
      </c>
      <c r="B22" s="464" t="str">
        <f>VLOOKUP(A22,'Feature Raw Data'!$A$3:$B$3996,2,FALSE)</f>
        <v xml:space="preserve">Enable Host (CPU) access to F32 scratch RAM </v>
      </c>
      <c r="C22" s="465" t="str">
        <f>VLOOKUP(A22,'Feature Raw Data'!$A$3:$C$3996,3,FALSE)</f>
        <v>P2</v>
      </c>
      <c r="D22" s="466"/>
      <c r="E22" s="461" t="str">
        <f>VLOOKUP(A22,'Diags Raw Data'!$A$6:$D$3752,4,FALSE)</f>
        <v>SDMA</v>
      </c>
      <c r="F22" s="337" t="str">
        <f>VLOOKUP(A22,'Feature Raw Data'!$A$3:$E$3996,5,FALSE)</f>
        <v>Legacy</v>
      </c>
      <c r="G22" s="337" t="str">
        <f>IF(D22="","No","Yes")</f>
        <v>No</v>
      </c>
      <c r="H22" s="337" t="str">
        <f>IF(D22="","No","Yes")</f>
        <v>No</v>
      </c>
      <c r="I22" s="465">
        <f>SUMIF('Diags Raw Data'!$A$6:$A$3752,"*"&amp;$A22&amp;"*",'Diags Raw Data'!$J$6:$J$3752)</f>
        <v>1</v>
      </c>
      <c r="J22" s="467">
        <f>SUMIF('Diags Raw Data'!$A$6:$A$3752,"*"&amp;$A22&amp;"*",'Diags Raw Data'!$K$6:$K$3752)</f>
        <v>1</v>
      </c>
      <c r="K22" s="518" cm="1">
        <f t="array" ref="K22">IF(D22="",0, SUMPRODUCT(--(ISNUMBER(SEARCH($A22,'Diags Raw Data'!$A$6:$A$3752))),'Diags Raw Data'!$K$6:$K$3752,'Diags Raw Data'!$M$6:$M$3752)/J22)</f>
        <v>0</v>
      </c>
      <c r="L22" s="519" cm="1">
        <f t="array" ref="L22">IF(D22="",0, SUMPRODUCT(--(ISNUMBER(SEARCH($A22,'Diags Raw Data'!$A$6:$A$3752))),'Diags Raw Data'!$K$6:$K$3752,'Diags Raw Data'!$O$6:$O$3752)/J22)</f>
        <v>0</v>
      </c>
      <c r="M22" s="511" cm="1">
        <f t="array" ref="M22">SUMPRODUCT(--(ISNUMBER(SEARCH($A22,'Diags Raw Data'!$A$6:$A$3752))),--('Diags Raw Data'!$P$6:$P$3752&lt;&gt;"N/A"),'Diags Raw Data'!$Q$6:$Q$3752)</f>
        <v>1</v>
      </c>
      <c r="N22" s="520" cm="1">
        <f t="array" ref="N22">SUMPRODUCT(--(ISNUMBER(SEARCH($A22,'Diags Raw Data'!$A$6:$A$3752))),--('Diags Raw Data'!$P$6:$P$3752&lt;&gt;"N/A"),'Diags Raw Data'!$S$6:$S$3752)+SUMPRODUCT(--(ISNUMBER(SEARCH($A22,'Diags Raw Data'!$A$6:$A$3752))),--('Diags Raw Data'!$P$6:$P$3752&lt;&gt;"N/A"),'Diags Raw Data'!$T$6:$T$3752)</f>
        <v>1</v>
      </c>
      <c r="O22" s="521">
        <f t="shared" si="1"/>
        <v>1</v>
      </c>
      <c r="P22" s="522">
        <f>SUMIF('Diags Raw Data'!$A$6:$A$3752,"*"&amp;$A22&amp;"*",'Diags Raw Data'!$Y$6:$Y$3752)</f>
        <v>0</v>
      </c>
      <c r="Q22" s="523">
        <f>SUM(SUMIF('Diags Raw Data'!$A$6:$A$3752,"*"&amp;$A22&amp;"*",'Diags Raw Data'!$Z$6:$Z$3752),SUMIF('Diags Raw Data'!$A$6:$A$3752,"*"&amp;$A22&amp;"*",'Diags Raw Data'!$AA$6:$AA$3752))</f>
        <v>0</v>
      </c>
      <c r="R22" s="524">
        <f t="shared" si="2"/>
        <v>0</v>
      </c>
      <c r="S22" s="524">
        <f>IF((P22=0),0,Q22/P22)</f>
        <v>0</v>
      </c>
      <c r="T22" s="525">
        <f>R22*S22</f>
        <v>0</v>
      </c>
      <c r="U22" s="468" t="s">
        <v>438</v>
      </c>
      <c r="V22" s="179"/>
    </row>
    <row r="23" spans="1:22" ht="15">
      <c r="A23" s="335" t="s">
        <v>311</v>
      </c>
      <c r="B23" s="464" t="str">
        <f>VLOOKUP(A23,'Feature Raw Data'!$A$3:$B$3996,2,FALSE)</f>
        <v>Fence Command</v>
      </c>
      <c r="C23" s="465" t="str">
        <f>VLOOKUP(A23,'Feature Raw Data'!$A$3:$C$3996,3,FALSE)</f>
        <v>P2</v>
      </c>
      <c r="D23" s="466" t="str" cm="1">
        <f t="array" ref="D23">_xlfn.TEXTJOIN("",TRUE,IF(ISNUMBER(SEARCH($A23,'Diags Raw Data'!$A$6:$A$3752)),CONCATENATE('Diags Raw Data'!$H$6:$H$3752,", "),""))</f>
        <v xml:space="preserve">nsdma175.1, nsdma176.1, </v>
      </c>
      <c r="E23" s="461" t="str">
        <f>VLOOKUP(A23,'Diags Raw Data'!$A$6:$D$3752,4,FALSE)</f>
        <v>SDMA</v>
      </c>
      <c r="F23" s="337" t="str">
        <f>VLOOKUP(A23,'Feature Raw Data'!$A$3:$E$3996,5,FALSE)</f>
        <v>Legacy</v>
      </c>
      <c r="G23" s="337" t="s">
        <v>36</v>
      </c>
      <c r="H23" s="337" t="s">
        <v>36</v>
      </c>
      <c r="I23" s="465">
        <f>SUMIF('Diags Raw Data'!$A$6:$A$3752,"*"&amp;$A23&amp;"*",'Diags Raw Data'!$J$6:$J$3752)</f>
        <v>2</v>
      </c>
      <c r="J23" s="467">
        <f>SUMIF('Diags Raw Data'!$A$6:$A$3752,"*"&amp;$A23&amp;"*",'Diags Raw Data'!$K$6:$K$3752)</f>
        <v>2</v>
      </c>
      <c r="K23" s="518" cm="1">
        <f t="array" ref="K23">IF(D23="",0, SUMPRODUCT(--(ISNUMBER(SEARCH($A23,'Diags Raw Data'!$A$6:$A$3752))),'Diags Raw Data'!$K$6:$K$3752,'Diags Raw Data'!$M$6:$M$3752)/J23)</f>
        <v>1</v>
      </c>
      <c r="L23" s="519" cm="1">
        <f t="array" ref="L23">IF(D23="",0, SUMPRODUCT(--(ISNUMBER(SEARCH($A23,'Diags Raw Data'!$A$6:$A$3752))),'Diags Raw Data'!$K$6:$K$3752,'Diags Raw Data'!$O$6:$O$3752)/J23)</f>
        <v>1</v>
      </c>
      <c r="M23" s="511" cm="1">
        <f t="array" ref="M23">SUMPRODUCT(--(ISNUMBER(SEARCH($A23,'Diags Raw Data'!$A$6:$A$3752))),--('Diags Raw Data'!$P$6:$P$3752&lt;&gt;"N/A"),'Diags Raw Data'!$Q$6:$Q$3752)</f>
        <v>2</v>
      </c>
      <c r="N23" s="520" cm="1">
        <f t="array" ref="N23">SUMPRODUCT(--(ISNUMBER(SEARCH($A23,'Diags Raw Data'!$A$6:$A$3752))),--('Diags Raw Data'!$P$6:$P$3752&lt;&gt;"N/A"),'Diags Raw Data'!$S$6:$S$3752)+SUMPRODUCT(--(ISNUMBER(SEARCH($A23,'Diags Raw Data'!$A$6:$A$3752))),--('Diags Raw Data'!$P$6:$P$3752&lt;&gt;"N/A"),'Diags Raw Data'!$T$6:$T$3752)</f>
        <v>1</v>
      </c>
      <c r="O23" s="521">
        <f t="shared" si="1"/>
        <v>0.5</v>
      </c>
      <c r="P23" s="522">
        <f>SUMIF('Diags Raw Data'!$A$6:$A$3752,"*"&amp;$A23&amp;"*",'Diags Raw Data'!$Y$6:$Y$3752)</f>
        <v>0</v>
      </c>
      <c r="Q23" s="523">
        <f>SUM(SUMIF('Diags Raw Data'!$A$6:$A$3752,"*"&amp;$A23&amp;"*",'Diags Raw Data'!$Z$6:$Z$3752),SUMIF('Diags Raw Data'!$A$6:$A$3752,"*"&amp;$A23&amp;"*",'Diags Raw Data'!$AA$6:$AA$3752))</f>
        <v>0</v>
      </c>
      <c r="R23" s="524">
        <f t="shared" si="2"/>
        <v>0</v>
      </c>
      <c r="S23" s="524">
        <f t="shared" si="3"/>
        <v>0</v>
      </c>
      <c r="T23" s="525">
        <f t="shared" si="4"/>
        <v>0</v>
      </c>
      <c r="U23" s="468" t="s">
        <v>44</v>
      </c>
      <c r="V23" s="179" t="s">
        <v>830</v>
      </c>
    </row>
    <row r="24" spans="1:22" ht="15">
      <c r="A24" s="335" t="s">
        <v>688</v>
      </c>
      <c r="B24" s="464" t="str">
        <f>VLOOKUP(A24,'Feature Raw Data'!$A$3:$B$3996,2,FALSE)</f>
        <v>Force Invalidation Heavy</v>
      </c>
      <c r="C24" s="465" t="str">
        <f>VLOOKUP(A24,'Feature Raw Data'!$A$3:$C$3996,3,FALSE)</f>
        <v>P2</v>
      </c>
      <c r="D24" s="466" t="str" cm="1">
        <f t="array" ref="D24">_xlfn.TEXTJOIN("",TRUE,IF(ISNUMBER(SEARCH($A24,'Diags Raw Data'!$A$6:$A$3752)),CONCATENATE('Diags Raw Data'!$H$6:$H$3752,", "),""))</f>
        <v/>
      </c>
      <c r="E24" s="461" t="e">
        <f>VLOOKUP(A24,'Diags Raw Data'!$A$6:$D$3752,4,FALSE)</f>
        <v>#N/A</v>
      </c>
      <c r="F24" s="337" t="str">
        <f>VLOOKUP(A24,'Feature Raw Data'!$A$3:$E$3996,5,FALSE)</f>
        <v>Legacy</v>
      </c>
      <c r="G24" s="337" t="str">
        <f t="shared" si="5"/>
        <v>No</v>
      </c>
      <c r="H24" s="337" t="str">
        <f t="shared" si="0"/>
        <v>No</v>
      </c>
      <c r="I24" s="465">
        <f>SUMIF('Diags Raw Data'!$A$6:$A$3752,"*"&amp;$A24&amp;"*",'Diags Raw Data'!$J$6:$J$3752)</f>
        <v>0</v>
      </c>
      <c r="J24" s="467">
        <f>SUMIF('Diags Raw Data'!$A$6:$A$3752,"*"&amp;$A24&amp;"*",'Diags Raw Data'!$K$6:$K$3752)</f>
        <v>0</v>
      </c>
      <c r="K24" s="518" cm="1">
        <f t="array" ref="K24">IF(D24="",0, SUMPRODUCT(--(ISNUMBER(SEARCH($A24,'Diags Raw Data'!$A$6:$A$3752))),'Diags Raw Data'!$K$6:$K$3752,'Diags Raw Data'!$M$6:$M$3752)/J24)</f>
        <v>0</v>
      </c>
      <c r="L24" s="519" cm="1">
        <f t="array" ref="L24">IF(D24="",0, SUMPRODUCT(--(ISNUMBER(SEARCH($A24,'Diags Raw Data'!$A$6:$A$3752))),'Diags Raw Data'!$K$6:$K$3752,'Diags Raw Data'!$O$6:$O$3752)/J24)</f>
        <v>0</v>
      </c>
      <c r="M24" s="511" cm="1">
        <f t="array" ref="M24">SUMPRODUCT(--(ISNUMBER(SEARCH($A24,'Diags Raw Data'!$A$6:$A$3752))),--('Diags Raw Data'!$P$6:$P$3752&lt;&gt;"N/A"),'Diags Raw Data'!$Q$6:$Q$3752)</f>
        <v>0</v>
      </c>
      <c r="N24" s="520" cm="1">
        <f t="array" ref="N24">SUMPRODUCT(--(ISNUMBER(SEARCH($A24,'Diags Raw Data'!$A$6:$A$3752))),--('Diags Raw Data'!$P$6:$P$3752&lt;&gt;"N/A"),'Diags Raw Data'!$S$6:$S$3752)+SUMPRODUCT(--(ISNUMBER(SEARCH($A24,'Diags Raw Data'!$A$6:$A$3752))),--('Diags Raw Data'!$P$6:$P$3752&lt;&gt;"N/A"),'Diags Raw Data'!$T$6:$T$3752)</f>
        <v>0</v>
      </c>
      <c r="O24" s="521">
        <f t="shared" si="1"/>
        <v>0</v>
      </c>
      <c r="P24" s="522">
        <f>SUMIF('Diags Raw Data'!$A$6:$A$3752,"*"&amp;$A24&amp;"*",'Diags Raw Data'!$Y$6:$Y$3752)</f>
        <v>0</v>
      </c>
      <c r="Q24" s="523">
        <f>SUM(SUMIF('Diags Raw Data'!$A$6:$A$3752,"*"&amp;$A24&amp;"*",'Diags Raw Data'!$Z$6:$Z$3752),SUMIF('Diags Raw Data'!$A$6:$A$3752,"*"&amp;$A24&amp;"*",'Diags Raw Data'!$AA$6:$AA$3752))</f>
        <v>0</v>
      </c>
      <c r="R24" s="524">
        <f t="shared" si="2"/>
        <v>0</v>
      </c>
      <c r="S24" s="524">
        <f t="shared" si="3"/>
        <v>0</v>
      </c>
      <c r="T24" s="525">
        <f t="shared" si="4"/>
        <v>0</v>
      </c>
      <c r="U24" s="468" t="s">
        <v>301</v>
      </c>
      <c r="V24" s="179"/>
    </row>
    <row r="25" spans="1:22" ht="409.6">
      <c r="A25" s="335" t="s">
        <v>690</v>
      </c>
      <c r="B25" s="464" t="str">
        <f>VLOOKUP(A25,'Feature Raw Data'!$A$3:$B$3996,2,FALSE)</f>
        <v>Force Invalidation(TLB)</v>
      </c>
      <c r="C25" s="465" t="str">
        <f>VLOOKUP(A25,'Feature Raw Data'!$A$3:$C$3996,3,FALSE)</f>
        <v>P2</v>
      </c>
      <c r="D25" s="466" t="str" cm="1">
        <f t="array" ref="D25">_xlfn.TEXTJOIN("",TRUE,IF(ISNUMBER(SEARCH($A25,'Diags Raw Data'!$A$6:$A$3752)),CONCATENATE('Diags Raw Data'!$H$6:$H$3752,", "),""))</f>
        <v/>
      </c>
      <c r="E25" s="461" t="e">
        <f>VLOOKUP(A25,'Diags Raw Data'!$A$6:$D$3752,4,FALSE)</f>
        <v>#N/A</v>
      </c>
      <c r="F25" s="337" t="str">
        <f>VLOOKUP(A25,'Feature Raw Data'!$A$3:$E$3996,5,FALSE)</f>
        <v>Legacy</v>
      </c>
      <c r="G25" s="337" t="str">
        <f t="shared" si="5"/>
        <v>No</v>
      </c>
      <c r="H25" s="337" t="str">
        <f t="shared" si="0"/>
        <v>No</v>
      </c>
      <c r="I25" s="465">
        <f>SUMIF('Diags Raw Data'!$A$6:$A$3752,"*"&amp;$A25&amp;"*",'Diags Raw Data'!$J$6:$J$3752)</f>
        <v>0</v>
      </c>
      <c r="J25" s="467">
        <f>SUMIF('Diags Raw Data'!$A$6:$A$3752,"*"&amp;$A25&amp;"*",'Diags Raw Data'!$K$6:$K$3752)</f>
        <v>0</v>
      </c>
      <c r="K25" s="518" cm="1">
        <f t="array" ref="K25">IF(D25="",0, SUMPRODUCT(--(ISNUMBER(SEARCH($A25,'Diags Raw Data'!$A$6:$A$3752))),'Diags Raw Data'!$K$6:$K$3752,'Diags Raw Data'!$M$6:$M$3752)/J25)</f>
        <v>0</v>
      </c>
      <c r="L25" s="519" cm="1">
        <f t="array" ref="L25">IF(D25="",0, SUMPRODUCT(--(ISNUMBER(SEARCH($A25,'Diags Raw Data'!$A$6:$A$3752))),'Diags Raw Data'!$K$6:$K$3752,'Diags Raw Data'!$O$6:$O$3752)/J25)</f>
        <v>0</v>
      </c>
      <c r="M25" s="511" cm="1">
        <f t="array" ref="M25">SUMPRODUCT(--(ISNUMBER(SEARCH($A25,'Diags Raw Data'!$A$6:$A$3752))),--('Diags Raw Data'!$P$6:$P$3752&lt;&gt;"N/A"),'Diags Raw Data'!$Q$6:$Q$3752)</f>
        <v>0</v>
      </c>
      <c r="N25" s="520" t="s">
        <v>831</v>
      </c>
      <c r="O25" s="521">
        <f t="shared" si="1"/>
        <v>0</v>
      </c>
      <c r="P25" s="522">
        <f>SUMIF('Diags Raw Data'!$A$6:$A$3752,"*"&amp;$A25&amp;"*",'Diags Raw Data'!$Y$6:$Y$3752)</f>
        <v>0</v>
      </c>
      <c r="Q25" s="523">
        <f>SUM(SUMIF('Diags Raw Data'!$A$6:$A$3752,"*"&amp;$A25&amp;"*",'Diags Raw Data'!$Z$6:$Z$3752),SUMIF('Diags Raw Data'!$A$6:$A$3752,"*"&amp;$A25&amp;"*",'Diags Raw Data'!$AA$6:$AA$3752))</f>
        <v>0</v>
      </c>
      <c r="R25" s="524">
        <f t="shared" si="2"/>
        <v>0</v>
      </c>
      <c r="S25" s="524">
        <f t="shared" si="3"/>
        <v>0</v>
      </c>
      <c r="T25" s="525">
        <f t="shared" si="4"/>
        <v>0</v>
      </c>
      <c r="U25" s="468" t="s">
        <v>832</v>
      </c>
      <c r="V25" s="179"/>
    </row>
    <row r="26" spans="1:22" ht="15">
      <c r="A26" s="335" t="s">
        <v>318</v>
      </c>
      <c r="B26" s="464" t="str">
        <f>VLOOKUP(A26,'Feature Raw Data'!$A$3:$B$3996,2,FALSE)</f>
        <v>GPUVM TLB Invalidation</v>
      </c>
      <c r="C26" s="465" t="str">
        <f>VLOOKUP(A26,'Feature Raw Data'!$A$3:$C$3996,3,FALSE)</f>
        <v>P2</v>
      </c>
      <c r="D26" s="466" t="str" cm="1">
        <f t="array" ref="D26">_xlfn.TEXTJOIN("",TRUE,IF(ISNUMBER(SEARCH($A26,'Diags Raw Data'!$A$6:$A$3752)),CONCATENATE('Diags Raw Data'!$H$6:$H$3752,", "),""))</f>
        <v xml:space="preserve">nsdma205.1, nsdma206.1, </v>
      </c>
      <c r="E26" s="461" t="str">
        <f>VLOOKUP(A26,'Diags Raw Data'!$A$6:$D$3752,4,FALSE)</f>
        <v>SDMA</v>
      </c>
      <c r="F26" s="337" t="str">
        <f>VLOOKUP(A26,'Feature Raw Data'!$A$3:$E$3996,5,FALSE)</f>
        <v>Legacy</v>
      </c>
      <c r="G26" s="337" t="str">
        <f t="shared" si="5"/>
        <v>Yes</v>
      </c>
      <c r="H26" s="337" t="str">
        <f t="shared" si="0"/>
        <v>Yes</v>
      </c>
      <c r="I26" s="465">
        <f>SUMIF('Diags Raw Data'!$A$6:$A$3752,"*"&amp;$A26&amp;"*",'Diags Raw Data'!$J$6:$J$3752)</f>
        <v>2</v>
      </c>
      <c r="J26" s="467">
        <f>SUMIF('Diags Raw Data'!$A$6:$A$3752,"*"&amp;$A26&amp;"*",'Diags Raw Data'!$K$6:$K$3752)</f>
        <v>2</v>
      </c>
      <c r="K26" s="518" cm="1">
        <f t="array" ref="K26">IF(D26="",0, SUMPRODUCT(--(ISNUMBER(SEARCH($A26,'Diags Raw Data'!$A$6:$A$3752))),'Diags Raw Data'!$K$6:$K$3752,'Diags Raw Data'!$M$6:$M$3752)/J26)</f>
        <v>1</v>
      </c>
      <c r="L26" s="519" cm="1">
        <f t="array" ref="L26">IF(D26="",0, SUMPRODUCT(--(ISNUMBER(SEARCH($A26,'Diags Raw Data'!$A$6:$A$3752))),'Diags Raw Data'!$K$6:$K$3752,'Diags Raw Data'!$O$6:$O$3752)/J26)</f>
        <v>1</v>
      </c>
      <c r="M26" s="511" cm="1">
        <f t="array" ref="M26">SUMPRODUCT(--(ISNUMBER(SEARCH($A26,'Diags Raw Data'!$A$6:$A$3752))),--('Diags Raw Data'!$P$6:$P$3752&lt;&gt;"N/A"),'Diags Raw Data'!$Q$6:$Q$3752)</f>
        <v>2</v>
      </c>
      <c r="N26" s="520" cm="1">
        <f t="array" ref="N26">SUMPRODUCT(--(ISNUMBER(SEARCH($A26,'Diags Raw Data'!$A$6:$A$3752))),--('Diags Raw Data'!$P$6:$P$3752&lt;&gt;"N/A"),'Diags Raw Data'!$S$6:$S$3752)+SUMPRODUCT(--(ISNUMBER(SEARCH($A26,'Diags Raw Data'!$A$6:$A$3752))),--('Diags Raw Data'!$P$6:$P$3752&lt;&gt;"N/A"),'Diags Raw Data'!$T$6:$T$3752)</f>
        <v>0</v>
      </c>
      <c r="O26" s="521">
        <f t="shared" si="1"/>
        <v>0</v>
      </c>
      <c r="P26" s="522">
        <f>SUMIF('Diags Raw Data'!$A$6:$A$3752,"*"&amp;$A26&amp;"*",'Diags Raw Data'!$Y$6:$Y$3752)</f>
        <v>0</v>
      </c>
      <c r="Q26" s="523">
        <f>SUM(SUMIF('Diags Raw Data'!$A$6:$A$3752,"*"&amp;$A26&amp;"*",'Diags Raw Data'!$Z$6:$Z$3752),SUMIF('Diags Raw Data'!$A$6:$A$3752,"*"&amp;$A26&amp;"*",'Diags Raw Data'!$AA$6:$AA$3752))</f>
        <v>0</v>
      </c>
      <c r="R26" s="524">
        <f t="shared" si="2"/>
        <v>0</v>
      </c>
      <c r="S26" s="524">
        <f t="shared" si="3"/>
        <v>0</v>
      </c>
      <c r="T26" s="525">
        <f t="shared" si="4"/>
        <v>0</v>
      </c>
      <c r="U26" s="468" t="s">
        <v>832</v>
      </c>
      <c r="V26" s="179"/>
    </row>
    <row r="27" spans="1:22" ht="15">
      <c r="A27" s="335" t="s">
        <v>324</v>
      </c>
      <c r="B27" s="464" t="str">
        <f>VLOOKUP(A27,'Feature Raw Data'!$A$3:$B$3996,2,FALSE)</f>
        <v>GCR request support</v>
      </c>
      <c r="C27" s="465" t="str">
        <f>VLOOKUP(A27,'Feature Raw Data'!$A$3:$C$3996,3,FALSE)</f>
        <v>P2</v>
      </c>
      <c r="D27" s="466" t="str" cm="1">
        <f t="array" ref="D27">_xlfn.TEXTJOIN("",TRUE,IF(ISNUMBER(SEARCH($A27,'Diags Raw Data'!$A$6:$A$3752)),CONCATENATE('Diags Raw Data'!$H$6:$H$3752,", "),""))</f>
        <v xml:space="preserve">nsdma66.1, nsdma67.1, nsdma68.1, </v>
      </c>
      <c r="E27" s="461" t="str">
        <f>VLOOKUP(A27,'Diags Raw Data'!$A$6:$D$3752,4,FALSE)</f>
        <v>SDMA</v>
      </c>
      <c r="F27" s="337" t="str">
        <f>VLOOKUP(A27,'Feature Raw Data'!$A$3:$E$3996,5,FALSE)</f>
        <v>Legacy</v>
      </c>
      <c r="G27" s="337" t="str">
        <f t="shared" si="5"/>
        <v>Yes</v>
      </c>
      <c r="H27" s="337" t="str">
        <f t="shared" si="0"/>
        <v>Yes</v>
      </c>
      <c r="I27" s="465">
        <f>SUMIF('Diags Raw Data'!$A$6:$A$3752,"*"&amp;$A27&amp;"*",'Diags Raw Data'!$J$6:$J$3752)</f>
        <v>3</v>
      </c>
      <c r="J27" s="467">
        <f>SUMIF('Diags Raw Data'!$A$6:$A$3752,"*"&amp;$A27&amp;"*",'Diags Raw Data'!$K$6:$K$3752)</f>
        <v>3</v>
      </c>
      <c r="K27" s="518" cm="1">
        <f t="array" ref="K27">IF(D27="",0, SUMPRODUCT(--(ISNUMBER(SEARCH($A27,'Diags Raw Data'!$A$6:$A$3752))),'Diags Raw Data'!$K$6:$K$3752,'Diags Raw Data'!$M$6:$M$3752)/J27)</f>
        <v>1</v>
      </c>
      <c r="L27" s="519" cm="1">
        <f t="array" ref="L27">IF(D27="",0, SUMPRODUCT(--(ISNUMBER(SEARCH($A27,'Diags Raw Data'!$A$6:$A$3752))),'Diags Raw Data'!$K$6:$K$3752,'Diags Raw Data'!$O$6:$O$3752)/J27)</f>
        <v>1</v>
      </c>
      <c r="M27" s="511" cm="1">
        <f t="array" ref="M27">SUMPRODUCT(--(ISNUMBER(SEARCH($A27,'Diags Raw Data'!$A$6:$A$3752))),--('Diags Raw Data'!$P$6:$P$3752&lt;&gt;"N/A"),'Diags Raw Data'!$Q$6:$Q$3752)</f>
        <v>3</v>
      </c>
      <c r="N27" s="520" cm="1">
        <f t="array" ref="N27">SUMPRODUCT(--(ISNUMBER(SEARCH($A27,'Diags Raw Data'!$A$6:$A$3752))),--('Diags Raw Data'!$P$6:$P$3752&lt;&gt;"N/A"),'Diags Raw Data'!$S$6:$S$3752)+SUMPRODUCT(--(ISNUMBER(SEARCH($A27,'Diags Raw Data'!$A$6:$A$3752))),--('Diags Raw Data'!$P$6:$P$3752&lt;&gt;"N/A"),'Diags Raw Data'!$T$6:$T$3752)</f>
        <v>3</v>
      </c>
      <c r="O27" s="521">
        <f t="shared" si="1"/>
        <v>1</v>
      </c>
      <c r="P27" s="522">
        <f>SUMIF('Diags Raw Data'!$A$6:$A$3752,"*"&amp;$A27&amp;"*",'Diags Raw Data'!$Y$6:$Y$3752)</f>
        <v>0</v>
      </c>
      <c r="Q27" s="523">
        <f>SUM(SUMIF('Diags Raw Data'!$A$6:$A$3752,"*"&amp;$A27&amp;"*",'Diags Raw Data'!$Z$6:$Z$3752),SUMIF('Diags Raw Data'!$A$6:$A$3752,"*"&amp;$A27&amp;"*",'Diags Raw Data'!$AA$6:$AA$3752))</f>
        <v>0</v>
      </c>
      <c r="R27" s="524">
        <f t="shared" si="2"/>
        <v>0</v>
      </c>
      <c r="S27" s="524">
        <f t="shared" si="3"/>
        <v>0</v>
      </c>
      <c r="T27" s="525">
        <f t="shared" si="4"/>
        <v>0</v>
      </c>
      <c r="U27" s="468" t="s">
        <v>832</v>
      </c>
      <c r="V27" s="179"/>
    </row>
    <row r="28" spans="1:22" ht="15">
      <c r="A28" s="335" t="s">
        <v>692</v>
      </c>
      <c r="B28" s="464" t="str">
        <f>VLOOKUP(A28,'Feature Raw Data'!$A$3:$B$3996,2,FALSE)</f>
        <v>High throughput invalidation support</v>
      </c>
      <c r="C28" s="465" t="str">
        <f>VLOOKUP(A28,'Feature Raw Data'!$A$3:$C$3996,3,FALSE)</f>
        <v>P2</v>
      </c>
      <c r="D28" s="466" t="str" cm="1">
        <f t="array" ref="D28">_xlfn.TEXTJOIN("",TRUE,IF(ISNUMBER(SEARCH($A28,'Diags Raw Data'!$A$6:$A$3752)),CONCATENATE('Diags Raw Data'!$H$6:$H$3752,", "),""))</f>
        <v/>
      </c>
      <c r="E28" s="461" t="e">
        <f>VLOOKUP(A28,'Diags Raw Data'!$A$6:$D$3752,4,FALSE)</f>
        <v>#N/A</v>
      </c>
      <c r="F28" s="337" t="str">
        <f>VLOOKUP(A28,'Feature Raw Data'!$A$3:$E$3996,5,FALSE)</f>
        <v>Legacy</v>
      </c>
      <c r="G28" s="337" t="str">
        <f t="shared" si="5"/>
        <v>No</v>
      </c>
      <c r="H28" s="337" t="str">
        <f t="shared" si="0"/>
        <v>No</v>
      </c>
      <c r="I28" s="465">
        <f>SUMIF('Diags Raw Data'!$A$6:$A$3752,"*"&amp;$A28&amp;"*",'Diags Raw Data'!$J$6:$J$3752)</f>
        <v>0</v>
      </c>
      <c r="J28" s="467">
        <f>SUMIF('Diags Raw Data'!$A$6:$A$3752,"*"&amp;$A28&amp;"*",'Diags Raw Data'!$K$6:$K$3752)</f>
        <v>0</v>
      </c>
      <c r="K28" s="518" cm="1">
        <f t="array" ref="K28">IF(D28="",0, SUMPRODUCT(--(ISNUMBER(SEARCH($A28,'Diags Raw Data'!$A$6:$A$3752))),'Diags Raw Data'!$K$6:$K$3752,'Diags Raw Data'!$M$6:$M$3752)/J28)</f>
        <v>0</v>
      </c>
      <c r="L28" s="519" cm="1">
        <f t="array" ref="L28">IF(D28="",0, SUMPRODUCT(--(ISNUMBER(SEARCH($A28,'Diags Raw Data'!$A$6:$A$3752))),'Diags Raw Data'!$K$6:$K$3752,'Diags Raw Data'!$O$6:$O$3752)/J28)</f>
        <v>0</v>
      </c>
      <c r="M28" s="511" cm="1">
        <f t="array" ref="M28">SUMPRODUCT(--(ISNUMBER(SEARCH($A28,'Diags Raw Data'!$A$6:$A$3752))),--('Diags Raw Data'!$P$6:$P$3752&lt;&gt;"N/A"),'Diags Raw Data'!$Q$6:$Q$3752)</f>
        <v>0</v>
      </c>
      <c r="N28" s="520" cm="1">
        <f t="array" ref="N28">SUMPRODUCT(--(ISNUMBER(SEARCH($A28,'Diags Raw Data'!$A$6:$A$3752))),--('Diags Raw Data'!$P$6:$P$3752&lt;&gt;"N/A"),'Diags Raw Data'!$S$6:$S$3752)+SUMPRODUCT(--(ISNUMBER(SEARCH($A28,'Diags Raw Data'!$A$6:$A$3752))),--('Diags Raw Data'!$P$6:$P$3752&lt;&gt;"N/A"),'Diags Raw Data'!$T$6:$T$3752)</f>
        <v>0</v>
      </c>
      <c r="O28" s="521">
        <f t="shared" si="1"/>
        <v>0</v>
      </c>
      <c r="P28" s="522">
        <f>SUMIF('Diags Raw Data'!$A$6:$A$3752,"*"&amp;$A28&amp;"*",'Diags Raw Data'!$Y$6:$Y$3752)</f>
        <v>0</v>
      </c>
      <c r="Q28" s="523">
        <f>SUM(SUMIF('Diags Raw Data'!$A$6:$A$3752,"*"&amp;$A28&amp;"*",'Diags Raw Data'!$Z$6:$Z$3752),SUMIF('Diags Raw Data'!$A$6:$A$3752,"*"&amp;$A28&amp;"*",'Diags Raw Data'!$AA$6:$AA$3752))</f>
        <v>0</v>
      </c>
      <c r="R28" s="524">
        <f t="shared" si="2"/>
        <v>0</v>
      </c>
      <c r="S28" s="524">
        <f t="shared" si="3"/>
        <v>0</v>
      </c>
      <c r="T28" s="525">
        <f t="shared" si="4"/>
        <v>0</v>
      </c>
      <c r="U28" s="468" t="s">
        <v>832</v>
      </c>
      <c r="V28" s="179"/>
    </row>
    <row r="29" spans="1:22" ht="15">
      <c r="A29" s="335" t="s">
        <v>332</v>
      </c>
      <c r="B29" s="464" t="str">
        <f>VLOOKUP(A29,'Feature Raw Data'!$A$3:$B$3996,2,FALSE)</f>
        <v>Increase max copy size(4M-1G)</v>
      </c>
      <c r="C29" s="465" t="str">
        <f>VLOOKUP(A29,'Feature Raw Data'!$A$3:$C$3996,3,FALSE)</f>
        <v>P2</v>
      </c>
      <c r="D29" s="466" t="str" cm="1">
        <f t="array" ref="D29">_xlfn.TEXTJOIN("",TRUE,IF(ISNUMBER(SEARCH($A29,'Diags Raw Data'!$A$6:$A$3752)),CONCATENATE('Diags Raw Data'!$H$6:$H$3752,", "),""))</f>
        <v xml:space="preserve">nsdma1.1, </v>
      </c>
      <c r="E29" s="461" t="str">
        <f>VLOOKUP(A29,'Diags Raw Data'!$A$6:$D$3752,4,FALSE)</f>
        <v>SDMA</v>
      </c>
      <c r="F29" s="337" t="str">
        <f>VLOOKUP(A29,'Feature Raw Data'!$A$3:$E$3996,5,FALSE)</f>
        <v>Legacy</v>
      </c>
      <c r="G29" s="337" t="str">
        <f t="shared" si="5"/>
        <v>Yes</v>
      </c>
      <c r="H29" s="337" t="str">
        <f t="shared" si="0"/>
        <v>Yes</v>
      </c>
      <c r="I29" s="465">
        <f>SUMIF('Diags Raw Data'!$A$6:$A$3752,"*"&amp;$A29&amp;"*",'Diags Raw Data'!$J$6:$J$3752)</f>
        <v>1</v>
      </c>
      <c r="J29" s="467">
        <f>SUMIF('Diags Raw Data'!$A$6:$A$3752,"*"&amp;$A29&amp;"*",'Diags Raw Data'!$K$6:$K$3752)</f>
        <v>1</v>
      </c>
      <c r="K29" s="518" cm="1">
        <f t="array" ref="K29">IF(D29="",0, SUMPRODUCT(--(ISNUMBER(SEARCH($A29,'Diags Raw Data'!$A$6:$A$3752))),'Diags Raw Data'!$K$6:$K$3752,'Diags Raw Data'!$M$6:$M$3752)/J29)</f>
        <v>1</v>
      </c>
      <c r="L29" s="519" cm="1">
        <f t="array" ref="L29">IF(D29="",0, SUMPRODUCT(--(ISNUMBER(SEARCH($A29,'Diags Raw Data'!$A$6:$A$3752))),'Diags Raw Data'!$K$6:$K$3752,'Diags Raw Data'!$O$6:$O$3752)/J29)</f>
        <v>1</v>
      </c>
      <c r="M29" s="511" cm="1">
        <f t="array" ref="M29">SUMPRODUCT(--(ISNUMBER(SEARCH($A29,'Diags Raw Data'!$A$6:$A$3752))),--('Diags Raw Data'!$P$6:$P$3752&lt;&gt;"N/A"),'Diags Raw Data'!$Q$6:$Q$3752)</f>
        <v>1</v>
      </c>
      <c r="N29" s="520" cm="1">
        <f t="array" ref="N29">SUMPRODUCT(--(ISNUMBER(SEARCH($A29,'Diags Raw Data'!$A$6:$A$3752))),--('Diags Raw Data'!$P$6:$P$3752&lt;&gt;"N/A"),'Diags Raw Data'!$S$6:$S$3752)+SUMPRODUCT(--(ISNUMBER(SEARCH($A29,'Diags Raw Data'!$A$6:$A$3752))),--('Diags Raw Data'!$P$6:$P$3752&lt;&gt;"N/A"),'Diags Raw Data'!$T$6:$T$3752)</f>
        <v>1</v>
      </c>
      <c r="O29" s="521">
        <f t="shared" si="1"/>
        <v>1</v>
      </c>
      <c r="P29" s="522">
        <f>SUMIF('Diags Raw Data'!$A$6:$A$3752,"*"&amp;$A29&amp;"*",'Diags Raw Data'!$Y$6:$Y$3752)</f>
        <v>0</v>
      </c>
      <c r="Q29" s="523">
        <f>SUM(SUMIF('Diags Raw Data'!$A$6:$A$3752,"*"&amp;$A29&amp;"*",'Diags Raw Data'!$Z$6:$Z$3752),SUMIF('Diags Raw Data'!$A$6:$A$3752,"*"&amp;$A29&amp;"*",'Diags Raw Data'!$AA$6:$AA$3752))</f>
        <v>0</v>
      </c>
      <c r="R29" s="524">
        <f t="shared" si="2"/>
        <v>0</v>
      </c>
      <c r="S29" s="524">
        <f t="shared" si="3"/>
        <v>0</v>
      </c>
      <c r="T29" s="525">
        <f t="shared" si="4"/>
        <v>0</v>
      </c>
      <c r="U29" s="468" t="s">
        <v>832</v>
      </c>
      <c r="V29" s="179"/>
    </row>
    <row r="30" spans="1:22" ht="15">
      <c r="A30" s="335" t="s">
        <v>335</v>
      </c>
      <c r="B30" s="464" t="str">
        <f>VLOOKUP(A30,'Feature Raw Data'!$A$3:$B$3996,2,FALSE)</f>
        <v>L2 policy override on normal command</v>
      </c>
      <c r="C30" s="465" t="str">
        <f>VLOOKUP(A30,'Feature Raw Data'!$A$3:$C$3996,3,FALSE)</f>
        <v>P2</v>
      </c>
      <c r="D30" s="466" t="str" cm="1">
        <f t="array" ref="D30">_xlfn.TEXTJOIN("",TRUE,IF(ISNUMBER(SEARCH($A30,'Diags Raw Data'!$A$6:$A$3752)),CONCATENATE('Diags Raw Data'!$H$6:$H$3752,", "),""))</f>
        <v xml:space="preserve">nsdma1.2, </v>
      </c>
      <c r="E30" s="461" t="str">
        <f>VLOOKUP(A30,'Diags Raw Data'!$A$6:$D$3752,4,FALSE)</f>
        <v>SDMA</v>
      </c>
      <c r="F30" s="337" t="str">
        <f>VLOOKUP(A30,'Feature Raw Data'!$A$3:$E$3996,5,FALSE)</f>
        <v>Legacy</v>
      </c>
      <c r="G30" s="337" t="str">
        <f t="shared" si="5"/>
        <v>Yes</v>
      </c>
      <c r="H30" s="337" t="str">
        <f t="shared" si="0"/>
        <v>Yes</v>
      </c>
      <c r="I30" s="465">
        <f>SUMIF('Diags Raw Data'!$A$6:$A$3752,"*"&amp;$A30&amp;"*",'Diags Raw Data'!$J$6:$J$3752)</f>
        <v>1</v>
      </c>
      <c r="J30" s="467">
        <f>SUMIF('Diags Raw Data'!$A$6:$A$3752,"*"&amp;$A30&amp;"*",'Diags Raw Data'!$K$6:$K$3752)</f>
        <v>1</v>
      </c>
      <c r="K30" s="518" cm="1">
        <f t="array" ref="K30">IF(D30="",0, SUMPRODUCT(--(ISNUMBER(SEARCH($A30,'Diags Raw Data'!$A$6:$A$3752))),'Diags Raw Data'!$K$6:$K$3752,'Diags Raw Data'!$M$6:$M$3752)/J30)</f>
        <v>1</v>
      </c>
      <c r="L30" s="519" cm="1">
        <f t="array" ref="L30">IF(D30="",0, SUMPRODUCT(--(ISNUMBER(SEARCH($A30,'Diags Raw Data'!$A$6:$A$3752))),'Diags Raw Data'!$K$6:$K$3752,'Diags Raw Data'!$O$6:$O$3752)/J30)</f>
        <v>1</v>
      </c>
      <c r="M30" s="511" cm="1">
        <f t="array" ref="M30">SUMPRODUCT(--(ISNUMBER(SEARCH($A30,'Diags Raw Data'!$A$6:$A$3752))),--('Diags Raw Data'!$P$6:$P$3752&lt;&gt;"N/A"),'Diags Raw Data'!$Q$6:$Q$3752)</f>
        <v>1</v>
      </c>
      <c r="N30" s="520" cm="1">
        <f t="array" ref="N30">SUMPRODUCT(--(ISNUMBER(SEARCH($A30,'Diags Raw Data'!$A$6:$A$3752))),--('Diags Raw Data'!$P$6:$P$3752&lt;&gt;"N/A"),'Diags Raw Data'!$S$6:$S$3752)+SUMPRODUCT(--(ISNUMBER(SEARCH($A30,'Diags Raw Data'!$A$6:$A$3752))),--('Diags Raw Data'!$P$6:$P$3752&lt;&gt;"N/A"),'Diags Raw Data'!$T$6:$T$3752)</f>
        <v>1</v>
      </c>
      <c r="O30" s="521">
        <f>IF((M30=0),0,N30/M30)</f>
        <v>1</v>
      </c>
      <c r="P30" s="522">
        <f>SUMIF('Diags Raw Data'!$A$6:$A$3752,"*"&amp;$A30&amp;"*",'Diags Raw Data'!$Y$6:$Y$3752)</f>
        <v>0</v>
      </c>
      <c r="Q30" s="523">
        <f>SUM(SUMIF('Diags Raw Data'!$A$6:$A$3752,"*"&amp;$A30&amp;"*",'Diags Raw Data'!$Z$6:$Z$3752),SUMIF('Diags Raw Data'!$A$6:$A$3752,"*"&amp;$A30&amp;"*",'Diags Raw Data'!$AA$6:$AA$3752))</f>
        <v>0</v>
      </c>
      <c r="R30" s="524">
        <f>IF((J30=0),0,P30/J30)</f>
        <v>0</v>
      </c>
      <c r="S30" s="524">
        <f>IF((P30=0),0,Q30/P30)</f>
        <v>0</v>
      </c>
      <c r="T30" s="525">
        <f>R30*S30</f>
        <v>0</v>
      </c>
      <c r="U30" s="468" t="s">
        <v>832</v>
      </c>
      <c r="V30" s="179"/>
    </row>
    <row r="31" spans="1:22" ht="15">
      <c r="A31" s="335" t="s">
        <v>338</v>
      </c>
      <c r="B31" s="464" t="str">
        <f>VLOOKUP(A31,'Feature Raw Data'!$A$3:$B$3996,2,FALSE)</f>
        <v>Linear Copy</v>
      </c>
      <c r="C31" s="465" t="str">
        <f>VLOOKUP(A31,'Feature Raw Data'!$A$3:$C$3996,3,FALSE)</f>
        <v>P2</v>
      </c>
      <c r="D31" s="466" t="str" cm="1">
        <f t="array" ref="D31">_xlfn.TEXTJOIN("",TRUE,IF(ISNUMBER(SEARCH($A31,'Diags Raw Data'!$A$6:$A$3752)),CONCATENATE('Diags Raw Data'!$H$6:$H$3752,", "),""))</f>
        <v xml:space="preserve">nsdma1.1, </v>
      </c>
      <c r="E31" s="461" t="str">
        <f>VLOOKUP(A31,'Diags Raw Data'!$A$6:$D$3752,4,FALSE)</f>
        <v>SDMA</v>
      </c>
      <c r="F31" s="337" t="str">
        <f>VLOOKUP(A31,'Feature Raw Data'!$A$3:$E$3996,5,FALSE)</f>
        <v>Legacy</v>
      </c>
      <c r="G31" s="337" t="str">
        <f t="shared" si="5"/>
        <v>Yes</v>
      </c>
      <c r="H31" s="337" t="str">
        <f t="shared" si="0"/>
        <v>Yes</v>
      </c>
      <c r="I31" s="465">
        <f>SUMIF('Diags Raw Data'!$A$6:$A$3752,"*"&amp;$A31&amp;"*",'Diags Raw Data'!$J$6:$J$3752)</f>
        <v>1</v>
      </c>
      <c r="J31" s="467">
        <f>SUMIF('Diags Raw Data'!$A$6:$A$3752,"*"&amp;$A31&amp;"*",'Diags Raw Data'!$K$6:$K$3752)</f>
        <v>1</v>
      </c>
      <c r="K31" s="518" cm="1">
        <f t="array" ref="K31">IF(D31="",0, SUMPRODUCT(--(ISNUMBER(SEARCH($A31,'Diags Raw Data'!$A$6:$A$3752))),'Diags Raw Data'!$K$6:$K$3752,'Diags Raw Data'!$M$6:$M$3752)/J31)</f>
        <v>1</v>
      </c>
      <c r="L31" s="519" cm="1">
        <f t="array" ref="L31">IF(D31="",0, SUMPRODUCT(--(ISNUMBER(SEARCH($A31,'Diags Raw Data'!$A$6:$A$3752))),'Diags Raw Data'!$K$6:$K$3752,'Diags Raw Data'!$O$6:$O$3752)/J31)</f>
        <v>1</v>
      </c>
      <c r="M31" s="511" cm="1">
        <f t="array" ref="M31">SUMPRODUCT(--(ISNUMBER(SEARCH($A31,'Diags Raw Data'!$A$6:$A$3752))),--('Diags Raw Data'!$P$6:$P$3752&lt;&gt;"N/A"),'Diags Raw Data'!$Q$6:$Q$3752)</f>
        <v>1</v>
      </c>
      <c r="N31" s="520" cm="1">
        <f t="array" ref="N31">SUMPRODUCT(--(ISNUMBER(SEARCH($A31,'Diags Raw Data'!$A$6:$A$3752))),--('Diags Raw Data'!$P$6:$P$3752&lt;&gt;"N/A"),'Diags Raw Data'!$S$6:$S$3752)+SUMPRODUCT(--(ISNUMBER(SEARCH($A31,'Diags Raw Data'!$A$6:$A$3752))),--('Diags Raw Data'!$P$6:$P$3752&lt;&gt;"N/A"),'Diags Raw Data'!$T$6:$T$3752)</f>
        <v>1</v>
      </c>
      <c r="O31" s="521">
        <f t="shared" si="1"/>
        <v>1</v>
      </c>
      <c r="P31" s="522">
        <f>SUMIF('Diags Raw Data'!$A$6:$A$3752,"*"&amp;$A31&amp;"*",'Diags Raw Data'!$Y$6:$Y$3752)</f>
        <v>0</v>
      </c>
      <c r="Q31" s="523">
        <f>SUM(SUMIF('Diags Raw Data'!$A$6:$A$3752,"*"&amp;$A31&amp;"*",'Diags Raw Data'!$Z$6:$Z$3752),SUMIF('Diags Raw Data'!$A$6:$A$3752,"*"&amp;$A31&amp;"*",'Diags Raw Data'!$AA$6:$AA$3752))</f>
        <v>0</v>
      </c>
      <c r="R31" s="524">
        <f t="shared" si="2"/>
        <v>0</v>
      </c>
      <c r="S31" s="524">
        <f t="shared" si="3"/>
        <v>0</v>
      </c>
      <c r="T31" s="525">
        <f t="shared" si="4"/>
        <v>0</v>
      </c>
      <c r="U31" s="468" t="s">
        <v>438</v>
      </c>
      <c r="V31" s="179"/>
    </row>
    <row r="32" spans="1:22" ht="15">
      <c r="A32" s="335" t="s">
        <v>340</v>
      </c>
      <c r="B32" s="464" t="str">
        <f>VLOOKUP(A32,'Feature Raw Data'!$A$3:$B$3996,2,FALSE)</f>
        <v>Linear Backwards Copy</v>
      </c>
      <c r="C32" s="465" t="str">
        <f>VLOOKUP(A32,'Feature Raw Data'!$A$3:$C$3996,3,FALSE)</f>
        <v>P2</v>
      </c>
      <c r="D32" s="466" t="str" cm="1">
        <f t="array" ref="D32">_xlfn.TEXTJOIN("",TRUE,IF(ISNUMBER(SEARCH($A32,'Diags Raw Data'!$A$6:$A$3752)),CONCATENATE('Diags Raw Data'!$H$6:$H$3752,", "),""))</f>
        <v xml:space="preserve">nsdma5.1, </v>
      </c>
      <c r="E32" s="461" t="str">
        <f>VLOOKUP(A32,'Diags Raw Data'!$A$6:$D$3752,4,FALSE)</f>
        <v>SDMA</v>
      </c>
      <c r="F32" s="337" t="str">
        <f>VLOOKUP(A32,'Feature Raw Data'!$A$3:$E$3996,5,FALSE)</f>
        <v>Legacy</v>
      </c>
      <c r="G32" s="337" t="str">
        <f t="shared" si="5"/>
        <v>Yes</v>
      </c>
      <c r="H32" s="337" t="str">
        <f t="shared" si="0"/>
        <v>Yes</v>
      </c>
      <c r="I32" s="465">
        <f>SUMIF('Diags Raw Data'!$A$6:$A$3752,"*"&amp;$A32&amp;"*",'Diags Raw Data'!$J$6:$J$3752)</f>
        <v>1</v>
      </c>
      <c r="J32" s="467">
        <f>SUMIF('Diags Raw Data'!$A$6:$A$3752,"*"&amp;$A32&amp;"*",'Diags Raw Data'!$K$6:$K$3752)</f>
        <v>1</v>
      </c>
      <c r="K32" s="518" cm="1">
        <f t="array" ref="K32">IF(D32="",0, SUMPRODUCT(--(ISNUMBER(SEARCH($A32,'Diags Raw Data'!$A$6:$A$3752))),'Diags Raw Data'!$K$6:$K$3752,'Diags Raw Data'!$M$6:$M$3752)/J32)</f>
        <v>1</v>
      </c>
      <c r="L32" s="519" cm="1">
        <f t="array" ref="L32">IF(D32="",0, SUMPRODUCT(--(ISNUMBER(SEARCH($A32,'Diags Raw Data'!$A$6:$A$3752))),'Diags Raw Data'!$K$6:$K$3752,'Diags Raw Data'!$O$6:$O$3752)/J32)</f>
        <v>1</v>
      </c>
      <c r="M32" s="511" cm="1">
        <f t="array" ref="M32">SUMPRODUCT(--(ISNUMBER(SEARCH($A32,'Diags Raw Data'!$A$6:$A$3752))),--('Diags Raw Data'!$P$6:$P$3752&lt;&gt;"N/A"),'Diags Raw Data'!$Q$6:$Q$3752)</f>
        <v>1</v>
      </c>
      <c r="N32" s="520" cm="1">
        <f t="array" ref="N32">SUMPRODUCT(--(ISNUMBER(SEARCH($A32,'Diags Raw Data'!$A$6:$A$3752))),--('Diags Raw Data'!$P$6:$P$3752&lt;&gt;"N/A"),'Diags Raw Data'!$S$6:$S$3752)+SUMPRODUCT(--(ISNUMBER(SEARCH($A32,'Diags Raw Data'!$A$6:$A$3752))),--('Diags Raw Data'!$P$6:$P$3752&lt;&gt;"N/A"),'Diags Raw Data'!$T$6:$T$3752)</f>
        <v>1</v>
      </c>
      <c r="O32" s="521">
        <f t="shared" si="1"/>
        <v>1</v>
      </c>
      <c r="P32" s="522">
        <f>SUMIF('Diags Raw Data'!$A$6:$A$3752,"*"&amp;$A32&amp;"*",'Diags Raw Data'!$Y$6:$Y$3752)</f>
        <v>0</v>
      </c>
      <c r="Q32" s="523">
        <f>SUM(SUMIF('Diags Raw Data'!$A$6:$A$3752,"*"&amp;$A32&amp;"*",'Diags Raw Data'!$Z$6:$Z$3752),SUMIF('Diags Raw Data'!$A$6:$A$3752,"*"&amp;$A32&amp;"*",'Diags Raw Data'!$AA$6:$AA$3752))</f>
        <v>0</v>
      </c>
      <c r="R32" s="524">
        <f t="shared" si="2"/>
        <v>0</v>
      </c>
      <c r="S32" s="524">
        <f t="shared" si="3"/>
        <v>0</v>
      </c>
      <c r="T32" s="525">
        <f t="shared" si="4"/>
        <v>0</v>
      </c>
      <c r="U32" s="468" t="s">
        <v>438</v>
      </c>
      <c r="V32" s="179"/>
    </row>
    <row r="33" spans="1:22" ht="15">
      <c r="A33" s="335" t="s">
        <v>343</v>
      </c>
      <c r="B33" s="464" t="str">
        <f>VLOOKUP(A33,'Feature Raw Data'!$A$3:$B$3996,2,FALSE)</f>
        <v>Linear Copy Broadcast</v>
      </c>
      <c r="C33" s="465" t="str">
        <f>VLOOKUP(A33,'Feature Raw Data'!$A$3:$C$3996,3,FALSE)</f>
        <v>P2</v>
      </c>
      <c r="D33" s="466" t="str" cm="1">
        <f t="array" ref="D33">_xlfn.TEXTJOIN("",TRUE,IF(ISNUMBER(SEARCH($A33,'Diags Raw Data'!$A$6:$A$3752)),CONCATENATE('Diags Raw Data'!$H$6:$H$3752,", "),""))</f>
        <v xml:space="preserve">nsdma4.1, </v>
      </c>
      <c r="E33" s="461" t="str">
        <f>VLOOKUP(A33,'Diags Raw Data'!$A$6:$D$3752,4,FALSE)</f>
        <v>SDMA</v>
      </c>
      <c r="F33" s="337" t="str">
        <f>VLOOKUP(A33,'Feature Raw Data'!$A$3:$E$3996,5,FALSE)</f>
        <v>Legacy</v>
      </c>
      <c r="G33" s="337" t="str">
        <f t="shared" si="5"/>
        <v>Yes</v>
      </c>
      <c r="H33" s="337" t="str">
        <f t="shared" si="0"/>
        <v>Yes</v>
      </c>
      <c r="I33" s="465">
        <f>SUMIF('Diags Raw Data'!$A$6:$A$3752,"*"&amp;$A33&amp;"*",'Diags Raw Data'!$J$6:$J$3752)</f>
        <v>1</v>
      </c>
      <c r="J33" s="467">
        <f>SUMIF('Diags Raw Data'!$A$6:$A$3752,"*"&amp;$A33&amp;"*",'Diags Raw Data'!$K$6:$K$3752)</f>
        <v>1</v>
      </c>
      <c r="K33" s="518" cm="1">
        <f t="array" ref="K33">IF(D33="",0, SUMPRODUCT(--(ISNUMBER(SEARCH($A33,'Diags Raw Data'!$A$6:$A$3752))),'Diags Raw Data'!$K$6:$K$3752,'Diags Raw Data'!$M$6:$M$3752)/J33)</f>
        <v>1</v>
      </c>
      <c r="L33" s="519" cm="1">
        <f t="array" ref="L33">IF(D33="",0, SUMPRODUCT(--(ISNUMBER(SEARCH($A33,'Diags Raw Data'!$A$6:$A$3752))),'Diags Raw Data'!$K$6:$K$3752,'Diags Raw Data'!$O$6:$O$3752)/J33)</f>
        <v>1</v>
      </c>
      <c r="M33" s="511" cm="1">
        <f t="array" ref="M33">SUMPRODUCT(--(ISNUMBER(SEARCH($A33,'Diags Raw Data'!$A$6:$A$3752))),--('Diags Raw Data'!$P$6:$P$3752&lt;&gt;"N/A"),'Diags Raw Data'!$Q$6:$Q$3752)</f>
        <v>1</v>
      </c>
      <c r="N33" s="520" cm="1">
        <f t="array" ref="N33">SUMPRODUCT(--(ISNUMBER(SEARCH($A33,'Diags Raw Data'!$A$6:$A$3752))),--('Diags Raw Data'!$P$6:$P$3752&lt;&gt;"N/A"),'Diags Raw Data'!$S$6:$S$3752)+SUMPRODUCT(--(ISNUMBER(SEARCH($A33,'Diags Raw Data'!$A$6:$A$3752))),--('Diags Raw Data'!$P$6:$P$3752&lt;&gt;"N/A"),'Diags Raw Data'!$T$6:$T$3752)</f>
        <v>1</v>
      </c>
      <c r="O33" s="521">
        <f t="shared" si="1"/>
        <v>1</v>
      </c>
      <c r="P33" s="522">
        <f>SUMIF('Diags Raw Data'!$A$6:$A$3752,"*"&amp;$A33&amp;"*",'Diags Raw Data'!$Y$6:$Y$3752)</f>
        <v>0</v>
      </c>
      <c r="Q33" s="523">
        <f>SUM(SUMIF('Diags Raw Data'!$A$6:$A$3752,"*"&amp;$A33&amp;"*",'Diags Raw Data'!$Z$6:$Z$3752),SUMIF('Diags Raw Data'!$A$6:$A$3752,"*"&amp;$A33&amp;"*",'Diags Raw Data'!$AA$6:$AA$3752))</f>
        <v>0</v>
      </c>
      <c r="R33" s="524">
        <f t="shared" si="2"/>
        <v>0</v>
      </c>
      <c r="S33" s="524">
        <f t="shared" si="3"/>
        <v>0</v>
      </c>
      <c r="T33" s="525">
        <f t="shared" si="4"/>
        <v>0</v>
      </c>
      <c r="U33" s="468" t="s">
        <v>513</v>
      </c>
      <c r="V33" s="179"/>
    </row>
    <row r="34" spans="1:22" ht="15">
      <c r="A34" s="335" t="s">
        <v>346</v>
      </c>
      <c r="B34" s="464" t="str">
        <f>VLOOKUP(A34,'Feature Raw Data'!$A$3:$B$3996,2,FALSE)</f>
        <v>Linear Sub-Window Copy</v>
      </c>
      <c r="C34" s="465" t="str">
        <f>VLOOKUP(A34,'Feature Raw Data'!$A$3:$C$3996,3,FALSE)</f>
        <v>P2</v>
      </c>
      <c r="D34" s="466" t="str" cm="1">
        <f t="array" ref="D34">_xlfn.TEXTJOIN("",TRUE,IF(ISNUMBER(SEARCH($A34,'Diags Raw Data'!$A$6:$A$3752)),CONCATENATE('Diags Raw Data'!$H$6:$H$3752,", "),""))</f>
        <v xml:space="preserve">nsdma7.1-5, </v>
      </c>
      <c r="E34" s="461" t="str">
        <f>VLOOKUP(A34,'Diags Raw Data'!$A$6:$D$3752,4,FALSE)</f>
        <v>SDMA</v>
      </c>
      <c r="F34" s="337" t="str">
        <f>VLOOKUP(A34,'Feature Raw Data'!$A$3:$E$3996,5,FALSE)</f>
        <v>Legacy</v>
      </c>
      <c r="G34" s="337" t="str">
        <f t="shared" si="5"/>
        <v>Yes</v>
      </c>
      <c r="H34" s="337" t="str">
        <f t="shared" si="0"/>
        <v>Yes</v>
      </c>
      <c r="I34" s="465">
        <f>SUMIF('Diags Raw Data'!$A$6:$A$3752,"*"&amp;$A34&amp;"*",'Diags Raw Data'!$J$6:$J$3752)</f>
        <v>1</v>
      </c>
      <c r="J34" s="467">
        <f>SUMIF('Diags Raw Data'!$A$6:$A$3752,"*"&amp;$A34&amp;"*",'Diags Raw Data'!$K$6:$K$3752)</f>
        <v>5</v>
      </c>
      <c r="K34" s="518" cm="1">
        <f t="array" ref="K34">IF(D34="",0, SUMPRODUCT(--(ISNUMBER(SEARCH($A34,'Diags Raw Data'!$A$6:$A$3752))),'Diags Raw Data'!$K$6:$K$3752,'Diags Raw Data'!$M$6:$M$3752)/J34)</f>
        <v>1</v>
      </c>
      <c r="L34" s="519" cm="1">
        <f t="array" ref="L34">IF(D34="",0, SUMPRODUCT(--(ISNUMBER(SEARCH($A34,'Diags Raw Data'!$A$6:$A$3752))),'Diags Raw Data'!$K$6:$K$3752,'Diags Raw Data'!$O$6:$O$3752)/J34)</f>
        <v>1</v>
      </c>
      <c r="M34" s="511" cm="1">
        <f t="array" ref="M34">SUMPRODUCT(--(ISNUMBER(SEARCH($A34,'Diags Raw Data'!$A$6:$A$3752))),--('Diags Raw Data'!$P$6:$P$3752&lt;&gt;"N/A"),'Diags Raw Data'!$Q$6:$Q$3752)</f>
        <v>5</v>
      </c>
      <c r="N34" s="520" cm="1">
        <f t="array" ref="N34">SUMPRODUCT(--(ISNUMBER(SEARCH($A34,'Diags Raw Data'!$A$6:$A$3752))),--('Diags Raw Data'!$P$6:$P$3752&lt;&gt;"N/A"),'Diags Raw Data'!$S$6:$S$3752)+SUMPRODUCT(--(ISNUMBER(SEARCH($A34,'Diags Raw Data'!$A$6:$A$3752))),--('Diags Raw Data'!$P$6:$P$3752&lt;&gt;"N/A"),'Diags Raw Data'!$T$6:$T$3752)</f>
        <v>5</v>
      </c>
      <c r="O34" s="521">
        <f t="shared" si="1"/>
        <v>1</v>
      </c>
      <c r="P34" s="522">
        <f>SUMIF('Diags Raw Data'!$A$6:$A$3752,"*"&amp;$A34&amp;"*",'Diags Raw Data'!$Y$6:$Y$3752)</f>
        <v>0</v>
      </c>
      <c r="Q34" s="523">
        <f>SUM(SUMIF('Diags Raw Data'!$A$6:$A$3752,"*"&amp;$A34&amp;"*",'Diags Raw Data'!$Z$6:$Z$3752),SUMIF('Diags Raw Data'!$A$6:$A$3752,"*"&amp;$A34&amp;"*",'Diags Raw Data'!$AA$6:$AA$3752))</f>
        <v>0</v>
      </c>
      <c r="R34" s="524">
        <f t="shared" si="2"/>
        <v>0</v>
      </c>
      <c r="S34" s="524">
        <f t="shared" si="3"/>
        <v>0</v>
      </c>
      <c r="T34" s="525">
        <f t="shared" si="4"/>
        <v>0</v>
      </c>
      <c r="U34" s="468" t="s">
        <v>396</v>
      </c>
      <c r="V34" s="179"/>
    </row>
    <row r="35" spans="1:22" ht="15">
      <c r="A35" s="335" t="s">
        <v>349</v>
      </c>
      <c r="B35" s="464" t="str">
        <f>VLOOKUP(A35,'Feature Raw Data'!$A$3:$B$3996,2,FALSE)</f>
        <v>Linear large Sub-Window Copy</v>
      </c>
      <c r="C35" s="465" t="str">
        <f>VLOOKUP(A35,'Feature Raw Data'!$A$3:$C$3996,3,FALSE)</f>
        <v>P2</v>
      </c>
      <c r="D35" s="466" t="str" cm="1">
        <f t="array" ref="D35">_xlfn.TEXTJOIN("",TRUE,IF(ISNUMBER(SEARCH($A35,'Diags Raw Data'!$A$6:$A$3752)),CONCATENATE('Diags Raw Data'!$H$6:$H$3752,", "),""))</f>
        <v xml:space="preserve">nsdma93.1, </v>
      </c>
      <c r="E35" s="461" t="str">
        <f>VLOOKUP(A35,'Diags Raw Data'!$A$6:$D$3752,4,FALSE)</f>
        <v>SDMA</v>
      </c>
      <c r="F35" s="337" t="str">
        <f>VLOOKUP(A35,'Feature Raw Data'!$A$3:$E$3996,5,FALSE)</f>
        <v>Legacy</v>
      </c>
      <c r="G35" s="337" t="str">
        <f t="shared" si="5"/>
        <v>Yes</v>
      </c>
      <c r="H35" s="337" t="str">
        <f t="shared" si="0"/>
        <v>Yes</v>
      </c>
      <c r="I35" s="465">
        <f>SUMIF('Diags Raw Data'!$A$6:$A$3752,"*"&amp;$A35&amp;"*",'Diags Raw Data'!$J$6:$J$3752)</f>
        <v>1</v>
      </c>
      <c r="J35" s="467">
        <f>SUMIF('Diags Raw Data'!$A$6:$A$3752,"*"&amp;$A35&amp;"*",'Diags Raw Data'!$K$6:$K$3752)</f>
        <v>1</v>
      </c>
      <c r="K35" s="518" cm="1">
        <f t="array" ref="K35">IF(D35="",0, SUMPRODUCT(--(ISNUMBER(SEARCH($A35,'Diags Raw Data'!$A$6:$A$3752))),'Diags Raw Data'!$K$6:$K$3752,'Diags Raw Data'!$M$6:$M$3752)/J35)</f>
        <v>1</v>
      </c>
      <c r="L35" s="519" cm="1">
        <f t="array" ref="L35">IF(D35="",0, SUMPRODUCT(--(ISNUMBER(SEARCH($A35,'Diags Raw Data'!$A$6:$A$3752))),'Diags Raw Data'!$K$6:$K$3752,'Diags Raw Data'!$O$6:$O$3752)/J35)</f>
        <v>1</v>
      </c>
      <c r="M35" s="511" cm="1">
        <f t="array" ref="M35">SUMPRODUCT(--(ISNUMBER(SEARCH($A35,'Diags Raw Data'!$A$6:$A$3752))),--('Diags Raw Data'!$P$6:$P$3752&lt;&gt;"N/A"),'Diags Raw Data'!$Q$6:$Q$3752)</f>
        <v>1</v>
      </c>
      <c r="N35" s="520" cm="1">
        <f t="array" ref="N35">SUMPRODUCT(--(ISNUMBER(SEARCH($A35,'Diags Raw Data'!$A$6:$A$3752))),--('Diags Raw Data'!$P$6:$P$3752&lt;&gt;"N/A"),'Diags Raw Data'!$S$6:$S$3752)+SUMPRODUCT(--(ISNUMBER(SEARCH($A35,'Diags Raw Data'!$A$6:$A$3752))),--('Diags Raw Data'!$P$6:$P$3752&lt;&gt;"N/A"),'Diags Raw Data'!$T$6:$T$3752)</f>
        <v>1</v>
      </c>
      <c r="O35" s="521">
        <f t="shared" si="1"/>
        <v>1</v>
      </c>
      <c r="P35" s="522">
        <f>SUMIF('Diags Raw Data'!$A$6:$A$3752,"*"&amp;$A35&amp;"*",'Diags Raw Data'!$Y$6:$Y$3752)</f>
        <v>0</v>
      </c>
      <c r="Q35" s="523">
        <f>SUM(SUMIF('Diags Raw Data'!$A$6:$A$3752,"*"&amp;$A35&amp;"*",'Diags Raw Data'!$Z$6:$Z$3752),SUMIF('Diags Raw Data'!$A$6:$A$3752,"*"&amp;$A35&amp;"*",'Diags Raw Data'!$AA$6:$AA$3752))</f>
        <v>0</v>
      </c>
      <c r="R35" s="524">
        <f t="shared" si="2"/>
        <v>0</v>
      </c>
      <c r="S35" s="524">
        <f t="shared" si="3"/>
        <v>0</v>
      </c>
      <c r="T35" s="525">
        <f t="shared" si="4"/>
        <v>0</v>
      </c>
      <c r="U35" s="468" t="s">
        <v>438</v>
      </c>
      <c r="V35" s="179"/>
    </row>
    <row r="36" spans="1:22" ht="15">
      <c r="A36" s="335" t="s">
        <v>694</v>
      </c>
      <c r="B36" s="464" t="str">
        <f>VLOOKUP(A36,'Feature Raw Data'!$A$3:$B$3996,2,FALSE)</f>
        <v>Page Evicition Copy</v>
      </c>
      <c r="C36" s="465" t="str">
        <f>VLOOKUP(A36,'Feature Raw Data'!$A$3:$C$3996,3,FALSE)</f>
        <v>P2</v>
      </c>
      <c r="D36" s="466" t="str" cm="1">
        <f t="array" ref="D36">_xlfn.TEXTJOIN("",TRUE,IF(ISNUMBER(SEARCH($A36,'Diags Raw Data'!$A$6:$A$3752)),CONCATENATE('Diags Raw Data'!$H$6:$H$3752,", "),""))</f>
        <v/>
      </c>
      <c r="E36" s="461" t="e">
        <f>VLOOKUP(A36,'Diags Raw Data'!$A$6:$D$3752,4,FALSE)</f>
        <v>#N/A</v>
      </c>
      <c r="F36" s="337" t="str">
        <f>VLOOKUP(A36,'Feature Raw Data'!$A$3:$E$3996,5,FALSE)</f>
        <v>Legacy</v>
      </c>
      <c r="G36" s="337" t="str">
        <f t="shared" si="5"/>
        <v>No</v>
      </c>
      <c r="H36" s="337" t="str">
        <f t="shared" si="0"/>
        <v>No</v>
      </c>
      <c r="I36" s="465">
        <f>SUMIF('Diags Raw Data'!$A$6:$A$3752,"*"&amp;$A36&amp;"*",'Diags Raw Data'!$J$6:$J$3752)</f>
        <v>0</v>
      </c>
      <c r="J36" s="467">
        <f>SUMIF('Diags Raw Data'!$A$6:$A$3752,"*"&amp;$A36&amp;"*",'Diags Raw Data'!$K$6:$K$3752)</f>
        <v>0</v>
      </c>
      <c r="K36" s="518" cm="1">
        <f t="array" ref="K36">IF(D36="",0, SUMPRODUCT(--(ISNUMBER(SEARCH($A36,'Diags Raw Data'!$A$6:$A$3752))),'Diags Raw Data'!$K$6:$K$3752,'Diags Raw Data'!$M$6:$M$3752)/J36)</f>
        <v>0</v>
      </c>
      <c r="L36" s="519" cm="1">
        <f t="array" ref="L36">IF(D36="",0, SUMPRODUCT(--(ISNUMBER(SEARCH($A36,'Diags Raw Data'!$A$6:$A$3752))),'Diags Raw Data'!$K$6:$K$3752,'Diags Raw Data'!$O$6:$O$3752)/J36)</f>
        <v>0</v>
      </c>
      <c r="M36" s="511" cm="1">
        <f t="array" ref="M36">SUMPRODUCT(--(ISNUMBER(SEARCH($A36,'Diags Raw Data'!$A$6:$A$3752))),--('Diags Raw Data'!$P$6:$P$3752&lt;&gt;"N/A"),'Diags Raw Data'!$Q$6:$Q$3752)</f>
        <v>0</v>
      </c>
      <c r="N36" s="520" cm="1">
        <f t="array" ref="N36">SUMPRODUCT(--(ISNUMBER(SEARCH($A36,'Diags Raw Data'!$A$6:$A$3752))),--('Diags Raw Data'!$P$6:$P$3752&lt;&gt;"N/A"),'Diags Raw Data'!$S$6:$S$3752)+SUMPRODUCT(--(ISNUMBER(SEARCH($A36,'Diags Raw Data'!$A$6:$A$3752))),--('Diags Raw Data'!$P$6:$P$3752&lt;&gt;"N/A"),'Diags Raw Data'!$T$6:$T$3752)</f>
        <v>0</v>
      </c>
      <c r="O36" s="521">
        <f t="shared" si="1"/>
        <v>0</v>
      </c>
      <c r="P36" s="522">
        <f>SUMIF('Diags Raw Data'!$A$6:$A$3752,"*"&amp;$A36&amp;"*",'Diags Raw Data'!$Y$6:$Y$3752)</f>
        <v>0</v>
      </c>
      <c r="Q36" s="523">
        <f>SUM(SUMIF('Diags Raw Data'!$A$6:$A$3752,"*"&amp;$A36&amp;"*",'Diags Raw Data'!$Z$6:$Z$3752),SUMIF('Diags Raw Data'!$A$6:$A$3752,"*"&amp;$A36&amp;"*",'Diags Raw Data'!$AA$6:$AA$3752))</f>
        <v>0</v>
      </c>
      <c r="R36" s="524">
        <f t="shared" si="2"/>
        <v>0</v>
      </c>
      <c r="S36" s="524">
        <f t="shared" si="3"/>
        <v>0</v>
      </c>
      <c r="T36" s="525">
        <f t="shared" si="4"/>
        <v>0</v>
      </c>
      <c r="U36" s="468" t="s">
        <v>438</v>
      </c>
      <c r="V36" s="179"/>
    </row>
    <row r="37" spans="1:22" ht="15">
      <c r="A37" s="335" t="s">
        <v>351</v>
      </c>
      <c r="B37" s="464" t="str">
        <f>VLOOKUP(A37,'Feature Raw Data'!$A$3:$B$3996,2,FALSE)</f>
        <v>Tiled to Tiled Sub-Window Copy</v>
      </c>
      <c r="C37" s="465" t="str">
        <f>VLOOKUP(A37,'Feature Raw Data'!$A$3:$C$3996,3,FALSE)</f>
        <v>P2</v>
      </c>
      <c r="D37" s="466" t="str" cm="1">
        <f t="array" ref="D37">_xlfn.TEXTJOIN("",TRUE,IF(ISNUMBER(SEARCH($A37,'Diags Raw Data'!$A$6:$A$3752)),CONCATENATE('Diags Raw Data'!$H$6:$H$3752,", "),""))</f>
        <v xml:space="preserve">nsdma10.1-10, </v>
      </c>
      <c r="E37" s="461" t="str">
        <f>VLOOKUP(A37,'Diags Raw Data'!$A$6:$D$3752,4,FALSE)</f>
        <v>SDMA</v>
      </c>
      <c r="F37" s="337" t="str">
        <f>VLOOKUP(A37,'Feature Raw Data'!$A$3:$E$3996,5,FALSE)</f>
        <v>Legacy</v>
      </c>
      <c r="G37" s="337" t="str">
        <f t="shared" si="5"/>
        <v>Yes</v>
      </c>
      <c r="H37" s="337" t="str">
        <f t="shared" si="0"/>
        <v>Yes</v>
      </c>
      <c r="I37" s="465">
        <f>SUMIF('Diags Raw Data'!$A$6:$A$3752,"*"&amp;$A37&amp;"*",'Diags Raw Data'!$J$6:$J$3752)</f>
        <v>1</v>
      </c>
      <c r="J37" s="467">
        <f>SUMIF('Diags Raw Data'!$A$6:$A$3752,"*"&amp;$A37&amp;"*",'Diags Raw Data'!$K$6:$K$3752)</f>
        <v>10</v>
      </c>
      <c r="K37" s="518" cm="1">
        <f t="array" ref="K37">IF(D37="",0, SUMPRODUCT(--(ISNUMBER(SEARCH($A37,'Diags Raw Data'!$A$6:$A$3752))),'Diags Raw Data'!$K$6:$K$3752,'Diags Raw Data'!$M$6:$M$3752)/J37)</f>
        <v>1</v>
      </c>
      <c r="L37" s="519" cm="1">
        <f t="array" ref="L37">IF(D37="",0, SUMPRODUCT(--(ISNUMBER(SEARCH($A37,'Diags Raw Data'!$A$6:$A$3752))),'Diags Raw Data'!$K$6:$K$3752,'Diags Raw Data'!$O$6:$O$3752)/J37)</f>
        <v>1</v>
      </c>
      <c r="M37" s="511" cm="1">
        <f t="array" ref="M37">SUMPRODUCT(--(ISNUMBER(SEARCH($A37,'Diags Raw Data'!$A$6:$A$3752))),--('Diags Raw Data'!$P$6:$P$3752&lt;&gt;"N/A"),'Diags Raw Data'!$Q$6:$Q$3752)</f>
        <v>10</v>
      </c>
      <c r="N37" s="520" cm="1">
        <f t="array" ref="N37">SUMPRODUCT(--(ISNUMBER(SEARCH($A37,'Diags Raw Data'!$A$6:$A$3752))),--('Diags Raw Data'!$P$6:$P$3752&lt;&gt;"N/A"),'Diags Raw Data'!$S$6:$S$3752)+SUMPRODUCT(--(ISNUMBER(SEARCH($A37,'Diags Raw Data'!$A$6:$A$3752))),--('Diags Raw Data'!$P$6:$P$3752&lt;&gt;"N/A"),'Diags Raw Data'!$T$6:$T$3752)</f>
        <v>10</v>
      </c>
      <c r="O37" s="521">
        <f t="shared" si="1"/>
        <v>1</v>
      </c>
      <c r="P37" s="522">
        <f>SUMIF('Diags Raw Data'!$A$6:$A$3752,"*"&amp;$A37&amp;"*",'Diags Raw Data'!$Y$6:$Y$3752)</f>
        <v>0</v>
      </c>
      <c r="Q37" s="523">
        <f>SUM(SUMIF('Diags Raw Data'!$A$6:$A$3752,"*"&amp;$A37&amp;"*",'Diags Raw Data'!$Z$6:$Z$3752),SUMIF('Diags Raw Data'!$A$6:$A$3752,"*"&amp;$A37&amp;"*",'Diags Raw Data'!$AA$6:$AA$3752))</f>
        <v>0</v>
      </c>
      <c r="R37" s="524">
        <f t="shared" si="2"/>
        <v>0</v>
      </c>
      <c r="S37" s="524">
        <f t="shared" si="3"/>
        <v>0</v>
      </c>
      <c r="T37" s="525">
        <f t="shared" si="4"/>
        <v>0</v>
      </c>
      <c r="U37" s="468" t="s">
        <v>301</v>
      </c>
      <c r="V37" s="179"/>
    </row>
    <row r="38" spans="1:22" s="184" customFormat="1" ht="15">
      <c r="A38" s="335" t="s">
        <v>354</v>
      </c>
      <c r="B38" s="464" t="str">
        <f>VLOOKUP(A38,'Feature Raw Data'!$A$3:$B$3996,2,FALSE)</f>
        <v>Tiled Sub-Window Copy</v>
      </c>
      <c r="C38" s="465" t="str">
        <f>VLOOKUP(A38,'Feature Raw Data'!$A$3:$C$3996,3,FALSE)</f>
        <v>P2</v>
      </c>
      <c r="D38" s="466" t="str" cm="1">
        <f t="array" ref="D38">_xlfn.TEXTJOIN("",TRUE,IF(ISNUMBER(SEARCH($A38,'Diags Raw Data'!$A$6:$A$3752)),CONCATENATE('Diags Raw Data'!$H$6:$H$3752,", "),""))</f>
        <v xml:space="preserve">nsdma9.1-5, </v>
      </c>
      <c r="E38" s="461" t="str">
        <f>VLOOKUP(A38,'Diags Raw Data'!$A$6:$D$3752,4,FALSE)</f>
        <v>SDMA</v>
      </c>
      <c r="F38" s="337" t="str">
        <f>VLOOKUP(A38,'Feature Raw Data'!$A$3:$E$3996,5,FALSE)</f>
        <v>Legacy</v>
      </c>
      <c r="G38" s="337" t="str">
        <f t="shared" si="5"/>
        <v>Yes</v>
      </c>
      <c r="H38" s="337" t="str">
        <f t="shared" si="0"/>
        <v>Yes</v>
      </c>
      <c r="I38" s="465">
        <f>SUMIF('Diags Raw Data'!$A$6:$A$3752,"*"&amp;$A38&amp;"*",'Diags Raw Data'!$J$6:$J$3752)</f>
        <v>1</v>
      </c>
      <c r="J38" s="467">
        <f>SUMIF('Diags Raw Data'!$A$6:$A$3752,"*"&amp;$A38&amp;"*",'Diags Raw Data'!$K$6:$K$3752)</f>
        <v>5</v>
      </c>
      <c r="K38" s="518" cm="1">
        <f t="array" ref="K38">IF(D38="",0, SUMPRODUCT(--(ISNUMBER(SEARCH($A38,'Diags Raw Data'!$A$6:$A$3752))),'Diags Raw Data'!$K$6:$K$3752,'Diags Raw Data'!$M$6:$M$3752)/J38)</f>
        <v>1</v>
      </c>
      <c r="L38" s="519" cm="1">
        <f t="array" ref="L38">IF(D38="",0, SUMPRODUCT(--(ISNUMBER(SEARCH($A38,'Diags Raw Data'!$A$6:$A$3752))),'Diags Raw Data'!$K$6:$K$3752,'Diags Raw Data'!$O$6:$O$3752)/J38)</f>
        <v>1</v>
      </c>
      <c r="M38" s="511" cm="1">
        <f t="array" ref="M38">SUMPRODUCT(--(ISNUMBER(SEARCH($A38,'Diags Raw Data'!$A$6:$A$3752))),--('Diags Raw Data'!$P$6:$P$3752&lt;&gt;"N/A"),'Diags Raw Data'!$Q$6:$Q$3752)</f>
        <v>5</v>
      </c>
      <c r="N38" s="520" cm="1">
        <f t="array" ref="N38">SUMPRODUCT(--(ISNUMBER(SEARCH($A38,'Diags Raw Data'!$A$6:$A$3752))),--('Diags Raw Data'!$P$6:$P$3752&lt;&gt;"N/A"),'Diags Raw Data'!$S$6:$S$3752)+SUMPRODUCT(--(ISNUMBER(SEARCH($A38,'Diags Raw Data'!$A$6:$A$3752))),--('Diags Raw Data'!$P$6:$P$3752&lt;&gt;"N/A"),'Diags Raw Data'!$T$6:$T$3752)</f>
        <v>5</v>
      </c>
      <c r="O38" s="521">
        <f t="shared" si="1"/>
        <v>1</v>
      </c>
      <c r="P38" s="522">
        <f>SUMIF('Diags Raw Data'!$A$6:$A$3752,"*"&amp;$A38&amp;"*",'Diags Raw Data'!$Y$6:$Y$3752)</f>
        <v>0</v>
      </c>
      <c r="Q38" s="523">
        <f>SUM(SUMIF('Diags Raw Data'!$A$6:$A$3752,"*"&amp;$A38&amp;"*",'Diags Raw Data'!$Z$6:$Z$3752),SUMIF('Diags Raw Data'!$A$6:$A$3752,"*"&amp;$A38&amp;"*",'Diags Raw Data'!$AA$6:$AA$3752))</f>
        <v>0</v>
      </c>
      <c r="R38" s="524">
        <f t="shared" si="2"/>
        <v>0</v>
      </c>
      <c r="S38" s="524">
        <f t="shared" si="3"/>
        <v>0</v>
      </c>
      <c r="T38" s="525">
        <f t="shared" si="4"/>
        <v>0</v>
      </c>
      <c r="U38" s="468" t="s">
        <v>832</v>
      </c>
      <c r="V38" s="183"/>
    </row>
    <row r="39" spans="1:22" ht="15">
      <c r="A39" s="335" t="s">
        <v>357</v>
      </c>
      <c r="B39" s="464" t="str">
        <f>VLOOKUP(A39,'Feature Raw Data'!$A$3:$B$3996,2,FALSE)</f>
        <v>Linear to Linear Copy Command</v>
      </c>
      <c r="C39" s="465" t="str">
        <f>VLOOKUP(A39,'Feature Raw Data'!$A$3:$C$3996,3,FALSE)</f>
        <v>P2</v>
      </c>
      <c r="D39" s="466" t="str" cm="1">
        <f t="array" ref="D39">_xlfn.TEXTJOIN("",TRUE,IF(ISNUMBER(SEARCH($A39,'Diags Raw Data'!$A$6:$A$3752)),CONCATENATE('Diags Raw Data'!$H$6:$H$3752,", "),""))</f>
        <v xml:space="preserve">nsdma1.1, </v>
      </c>
      <c r="E39" s="461" t="str">
        <f>VLOOKUP(A39,'Diags Raw Data'!$A$6:$D$3752,4,FALSE)</f>
        <v>SDMA</v>
      </c>
      <c r="F39" s="337" t="str">
        <f>VLOOKUP(A39,'Feature Raw Data'!$A$3:$E$3996,5,FALSE)</f>
        <v>Legacy</v>
      </c>
      <c r="G39" s="337" t="str">
        <f t="shared" ref="G39:G68" si="6">IF(D39="","No","Yes")</f>
        <v>Yes</v>
      </c>
      <c r="H39" s="337" t="str">
        <f t="shared" ref="H39:H69" si="7">IF(D39="","No","Yes")</f>
        <v>Yes</v>
      </c>
      <c r="I39" s="465">
        <f>SUMIF('Diags Raw Data'!$A$6:$A$3752,"*"&amp;$A39&amp;"*",'Diags Raw Data'!$J$6:$J$3752)</f>
        <v>1</v>
      </c>
      <c r="J39" s="467">
        <f>SUMIF('Diags Raw Data'!$A$6:$A$3752,"*"&amp;$A39&amp;"*",'Diags Raw Data'!$K$6:$K$3752)</f>
        <v>1</v>
      </c>
      <c r="K39" s="518" cm="1">
        <f t="array" ref="K39">IF(D39="",0, SUMPRODUCT(--(ISNUMBER(SEARCH($A39,'Diags Raw Data'!$A$6:$A$3752))),'Diags Raw Data'!$K$6:$K$3752,'Diags Raw Data'!$M$6:$M$3752)/J39)</f>
        <v>1</v>
      </c>
      <c r="L39" s="519" cm="1">
        <f t="array" ref="L39">IF(D39="",0, SUMPRODUCT(--(ISNUMBER(SEARCH($A39,'Diags Raw Data'!$A$6:$A$3752))),'Diags Raw Data'!$K$6:$K$3752,'Diags Raw Data'!$O$6:$O$3752)/J39)</f>
        <v>1</v>
      </c>
      <c r="M39" s="511" cm="1">
        <f t="array" ref="M39">SUMPRODUCT(--(ISNUMBER(SEARCH($A39,'Diags Raw Data'!$A$6:$A$3752))),--('Diags Raw Data'!$P$6:$P$3752&lt;&gt;"N/A"),'Diags Raw Data'!$Q$6:$Q$3752)</f>
        <v>1</v>
      </c>
      <c r="N39" s="520" cm="1">
        <f t="array" ref="N39">SUMPRODUCT(--(ISNUMBER(SEARCH($A39,'Diags Raw Data'!$A$6:$A$3752))),--('Diags Raw Data'!$P$6:$P$3752&lt;&gt;"N/A"),'Diags Raw Data'!$S$6:$S$3752)+SUMPRODUCT(--(ISNUMBER(SEARCH($A39,'Diags Raw Data'!$A$6:$A$3752))),--('Diags Raw Data'!$P$6:$P$3752&lt;&gt;"N/A"),'Diags Raw Data'!$T$6:$T$3752)</f>
        <v>1</v>
      </c>
      <c r="O39" s="521">
        <f t="shared" si="1"/>
        <v>1</v>
      </c>
      <c r="P39" s="522">
        <f>SUMIF('Diags Raw Data'!$A$6:$A$3752,"*"&amp;$A39&amp;"*",'Diags Raw Data'!$Y$6:$Y$3752)</f>
        <v>0</v>
      </c>
      <c r="Q39" s="523">
        <f>SUM(SUMIF('Diags Raw Data'!$A$6:$A$3752,"*"&amp;$A39&amp;"*",'Diags Raw Data'!$Z$6:$Z$3752),SUMIF('Diags Raw Data'!$A$6:$A$3752,"*"&amp;$A39&amp;"*",'Diags Raw Data'!$AA$6:$AA$3752))</f>
        <v>0</v>
      </c>
      <c r="R39" s="524">
        <f t="shared" si="2"/>
        <v>0</v>
      </c>
      <c r="S39" s="524">
        <f t="shared" si="3"/>
        <v>0</v>
      </c>
      <c r="T39" s="525">
        <f t="shared" si="4"/>
        <v>0</v>
      </c>
      <c r="U39" s="468" t="s">
        <v>301</v>
      </c>
      <c r="V39" s="179"/>
    </row>
    <row r="40" spans="1:22" ht="15">
      <c r="A40" s="335" t="s">
        <v>359</v>
      </c>
      <c r="B40" s="464" t="str">
        <f>VLOOKUP(A40,'Feature Raw Data'!$A$3:$B$3996,2,FALSE)</f>
        <v>Linear to Linear sub-window copy</v>
      </c>
      <c r="C40" s="465" t="str">
        <f>VLOOKUP(A40,'Feature Raw Data'!$A$3:$C$3996,3,FALSE)</f>
        <v>P2</v>
      </c>
      <c r="D40" s="466" t="str" cm="1">
        <f t="array" ref="D40">_xlfn.TEXTJOIN("",TRUE,IF(ISNUMBER(SEARCH($A40,'Diags Raw Data'!$A$6:$A$3752)),CONCATENATE('Diags Raw Data'!$H$6:$H$3752,", "),""))</f>
        <v xml:space="preserve">nsdma7.1-5, </v>
      </c>
      <c r="E40" s="461" t="str">
        <f>VLOOKUP(A40,'Diags Raw Data'!$A$6:$D$3752,4,FALSE)</f>
        <v>SDMA</v>
      </c>
      <c r="F40" s="337" t="str">
        <f>VLOOKUP(A40,'Feature Raw Data'!$A$3:$E$3996,5,FALSE)</f>
        <v>Legacy</v>
      </c>
      <c r="G40" s="337" t="str">
        <f t="shared" si="6"/>
        <v>Yes</v>
      </c>
      <c r="H40" s="337" t="str">
        <f t="shared" si="7"/>
        <v>Yes</v>
      </c>
      <c r="I40" s="465">
        <f>SUMIF('Diags Raw Data'!$A$6:$A$3752,"*"&amp;$A40&amp;"*",'Diags Raw Data'!$J$6:$J$3752)</f>
        <v>1</v>
      </c>
      <c r="J40" s="467">
        <f>SUMIF('Diags Raw Data'!$A$6:$A$3752,"*"&amp;$A40&amp;"*",'Diags Raw Data'!$K$6:$K$3752)</f>
        <v>5</v>
      </c>
      <c r="K40" s="518" cm="1">
        <f t="array" ref="K40">IF(D40="",0, SUMPRODUCT(--(ISNUMBER(SEARCH($A40,'Diags Raw Data'!$A$6:$A$3752))),'Diags Raw Data'!$K$6:$K$3752,'Diags Raw Data'!$M$6:$M$3752)/J40)</f>
        <v>1</v>
      </c>
      <c r="L40" s="519" cm="1">
        <f t="array" ref="L40">IF(D40="",0, SUMPRODUCT(--(ISNUMBER(SEARCH($A40,'Diags Raw Data'!$A$6:$A$3752))),'Diags Raw Data'!$K$6:$K$3752,'Diags Raw Data'!$O$6:$O$3752)/J40)</f>
        <v>1</v>
      </c>
      <c r="M40" s="511" cm="1">
        <f t="array" ref="M40">SUMPRODUCT(--(ISNUMBER(SEARCH($A40,'Diags Raw Data'!$A$6:$A$3752))),--('Diags Raw Data'!$P$6:$P$3752&lt;&gt;"N/A"),'Diags Raw Data'!$Q$6:$Q$3752)</f>
        <v>5</v>
      </c>
      <c r="N40" s="520" cm="1">
        <f t="array" ref="N40">SUMPRODUCT(--(ISNUMBER(SEARCH($A40,'Diags Raw Data'!$A$6:$A$3752))),--('Diags Raw Data'!$P$6:$P$3752&lt;&gt;"N/A"),'Diags Raw Data'!$S$6:$S$3752)+SUMPRODUCT(--(ISNUMBER(SEARCH($A40,'Diags Raw Data'!$A$6:$A$3752))),--('Diags Raw Data'!$P$6:$P$3752&lt;&gt;"N/A"),'Diags Raw Data'!$T$6:$T$3752)</f>
        <v>5</v>
      </c>
      <c r="O40" s="521">
        <f t="shared" si="1"/>
        <v>1</v>
      </c>
      <c r="P40" s="522">
        <f>SUMIF('Diags Raw Data'!$A$6:$A$3752,"*"&amp;$A40&amp;"*",'Diags Raw Data'!$Y$6:$Y$3752)</f>
        <v>0</v>
      </c>
      <c r="Q40" s="523">
        <f>SUM(SUMIF('Diags Raw Data'!$A$6:$A$3752,"*"&amp;$A40&amp;"*",'Diags Raw Data'!$Z$6:$Z$3752),SUMIF('Diags Raw Data'!$A$6:$A$3752,"*"&amp;$A40&amp;"*",'Diags Raw Data'!$AA$6:$AA$3752))</f>
        <v>0</v>
      </c>
      <c r="R40" s="524">
        <f t="shared" si="2"/>
        <v>0</v>
      </c>
      <c r="S40" s="524">
        <f t="shared" si="3"/>
        <v>0</v>
      </c>
      <c r="T40" s="525">
        <f t="shared" si="4"/>
        <v>0</v>
      </c>
      <c r="U40" s="468" t="s">
        <v>832</v>
      </c>
      <c r="V40" s="179"/>
    </row>
    <row r="41" spans="1:22" ht="15">
      <c r="A41" s="335" t="s">
        <v>361</v>
      </c>
      <c r="B41" s="464" t="str">
        <f>VLOOKUP(A41,'Feature Raw Data'!$A$3:$B$3996,2,FALSE)</f>
        <v>Linear to Structured / Structured to Linear copy</v>
      </c>
      <c r="C41" s="465" t="str">
        <f>VLOOKUP(A41,'Feature Raw Data'!$A$3:$C$3996,3,FALSE)</f>
        <v>P2</v>
      </c>
      <c r="D41" s="466" t="str" cm="1">
        <f t="array" ref="D41">_xlfn.TEXTJOIN("",TRUE,IF(ISNUMBER(SEARCH($A41,'Diags Raw Data'!$A$6:$A$3752)),CONCATENATE('Diags Raw Data'!$H$6:$H$3752,", "),""))</f>
        <v xml:space="preserve">nsdma13.1-2, </v>
      </c>
      <c r="E41" s="461" t="str">
        <f>VLOOKUP(A41,'Diags Raw Data'!$A$6:$D$3752,4,FALSE)</f>
        <v>SDMA</v>
      </c>
      <c r="F41" s="337" t="str">
        <f>VLOOKUP(A41,'Feature Raw Data'!$A$3:$E$3996,5,FALSE)</f>
        <v>Legacy</v>
      </c>
      <c r="G41" s="337" t="str">
        <f t="shared" si="6"/>
        <v>Yes</v>
      </c>
      <c r="H41" s="337" t="str">
        <f t="shared" si="7"/>
        <v>Yes</v>
      </c>
      <c r="I41" s="465">
        <f>SUMIF('Diags Raw Data'!$A$6:$A$3752,"*"&amp;$A41&amp;"*",'Diags Raw Data'!$J$6:$J$3752)</f>
        <v>1</v>
      </c>
      <c r="J41" s="467">
        <f>SUMIF('Diags Raw Data'!$A$6:$A$3752,"*"&amp;$A41&amp;"*",'Diags Raw Data'!$K$6:$K$3752)</f>
        <v>2</v>
      </c>
      <c r="K41" s="518" cm="1">
        <f t="array" ref="K41">IF(D41="",0, SUMPRODUCT(--(ISNUMBER(SEARCH($A41,'Diags Raw Data'!$A$6:$A$3752))),'Diags Raw Data'!$K$6:$K$3752,'Diags Raw Data'!$M$6:$M$3752)/J41)</f>
        <v>1</v>
      </c>
      <c r="L41" s="519" cm="1">
        <f t="array" ref="L41">IF(D41="",0, SUMPRODUCT(--(ISNUMBER(SEARCH($A41,'Diags Raw Data'!$A$6:$A$3752))),'Diags Raw Data'!$K$6:$K$3752,'Diags Raw Data'!$O$6:$O$3752)/J41)</f>
        <v>1</v>
      </c>
      <c r="M41" s="511" cm="1">
        <f t="array" ref="M41">SUMPRODUCT(--(ISNUMBER(SEARCH($A41,'Diags Raw Data'!$A$6:$A$3752))),--('Diags Raw Data'!$P$6:$P$3752&lt;&gt;"N/A"),'Diags Raw Data'!$Q$6:$Q$3752)</f>
        <v>2</v>
      </c>
      <c r="N41" s="520" cm="1">
        <f t="array" ref="N41">SUMPRODUCT(--(ISNUMBER(SEARCH($A41,'Diags Raw Data'!$A$6:$A$3752))),--('Diags Raw Data'!$P$6:$P$3752&lt;&gt;"N/A"),'Diags Raw Data'!$S$6:$S$3752)+SUMPRODUCT(--(ISNUMBER(SEARCH($A41,'Diags Raw Data'!$A$6:$A$3752))),--('Diags Raw Data'!$P$6:$P$3752&lt;&gt;"N/A"),'Diags Raw Data'!$T$6:$T$3752)</f>
        <v>0</v>
      </c>
      <c r="O41" s="521">
        <f t="shared" si="1"/>
        <v>0</v>
      </c>
      <c r="P41" s="522">
        <f>SUMIF('Diags Raw Data'!$A$6:$A$3752,"*"&amp;$A41&amp;"*",'Diags Raw Data'!$Y$6:$Y$3752)</f>
        <v>0</v>
      </c>
      <c r="Q41" s="523">
        <f>SUM(SUMIF('Diags Raw Data'!$A$6:$A$3752,"*"&amp;$A41&amp;"*",'Diags Raw Data'!$Z$6:$Z$3752),SUMIF('Diags Raw Data'!$A$6:$A$3752,"*"&amp;$A41&amp;"*",'Diags Raw Data'!$AA$6:$AA$3752))</f>
        <v>0</v>
      </c>
      <c r="R41" s="524">
        <f t="shared" si="2"/>
        <v>0</v>
      </c>
      <c r="S41" s="524">
        <f t="shared" si="3"/>
        <v>0</v>
      </c>
      <c r="T41" s="525">
        <f t="shared" si="4"/>
        <v>0</v>
      </c>
      <c r="U41" s="468" t="s">
        <v>513</v>
      </c>
      <c r="V41" s="179"/>
    </row>
    <row r="42" spans="1:22" ht="15">
      <c r="A42" s="335" t="s">
        <v>365</v>
      </c>
      <c r="B42" s="464" t="str">
        <f>VLOOKUP(A42,'Feature Raw Data'!$A$3:$B$3996,2,FALSE)</f>
        <v>Linear to Tiled (frame to field) copy</v>
      </c>
      <c r="C42" s="465" t="str">
        <f>VLOOKUP(A42,'Feature Raw Data'!$A$3:$C$3996,3,FALSE)</f>
        <v>P2</v>
      </c>
      <c r="D42" s="466" t="str" cm="1">
        <f t="array" ref="D42">_xlfn.TEXTJOIN("",TRUE,IF(ISNUMBER(SEARCH($A42,'Diags Raw Data'!$A$6:$A$3752)),CONCATENATE('Diags Raw Data'!$H$6:$H$3752,", "),""))</f>
        <v xml:space="preserve">nsdma12.1-5, </v>
      </c>
      <c r="E42" s="461" t="str">
        <f>VLOOKUP(A42,'Diags Raw Data'!$A$6:$D$3752,4,FALSE)</f>
        <v>SDMA</v>
      </c>
      <c r="F42" s="337" t="str">
        <f>VLOOKUP(A42,'Feature Raw Data'!$A$3:$E$3996,5,FALSE)</f>
        <v>Legacy</v>
      </c>
      <c r="G42" s="337" t="str">
        <f t="shared" si="6"/>
        <v>Yes</v>
      </c>
      <c r="H42" s="337" t="str">
        <f t="shared" si="7"/>
        <v>Yes</v>
      </c>
      <c r="I42" s="465">
        <f>SUMIF('Diags Raw Data'!$A$6:$A$3752,"*"&amp;$A42&amp;"*",'Diags Raw Data'!$J$6:$J$3752)</f>
        <v>1</v>
      </c>
      <c r="J42" s="467">
        <f>SUMIF('Diags Raw Data'!$A$6:$A$3752,"*"&amp;$A42&amp;"*",'Diags Raw Data'!$K$6:$K$3752)</f>
        <v>5</v>
      </c>
      <c r="K42" s="518" cm="1">
        <f t="array" ref="K42">IF(D42="",0, SUMPRODUCT(--(ISNUMBER(SEARCH($A42,'Diags Raw Data'!$A$6:$A$3752))),'Diags Raw Data'!$K$6:$K$3752,'Diags Raw Data'!$M$6:$M$3752)/J42)</f>
        <v>1</v>
      </c>
      <c r="L42" s="519" cm="1">
        <f t="array" ref="L42">IF(D42="",0, SUMPRODUCT(--(ISNUMBER(SEARCH($A42,'Diags Raw Data'!$A$6:$A$3752))),'Diags Raw Data'!$K$6:$K$3752,'Diags Raw Data'!$O$6:$O$3752)/J42)</f>
        <v>1</v>
      </c>
      <c r="M42" s="511" cm="1">
        <f t="array" ref="M42">SUMPRODUCT(--(ISNUMBER(SEARCH($A42,'Diags Raw Data'!$A$6:$A$3752))),--('Diags Raw Data'!$P$6:$P$3752&lt;&gt;"N/A"),'Diags Raw Data'!$Q$6:$Q$3752)</f>
        <v>5</v>
      </c>
      <c r="N42" s="520" cm="1">
        <f t="array" ref="N42">SUMPRODUCT(--(ISNUMBER(SEARCH($A42,'Diags Raw Data'!$A$6:$A$3752))),--('Diags Raw Data'!$P$6:$P$3752&lt;&gt;"N/A"),'Diags Raw Data'!$S$6:$S$3752)+SUMPRODUCT(--(ISNUMBER(SEARCH($A42,'Diags Raw Data'!$A$6:$A$3752))),--('Diags Raw Data'!$P$6:$P$3752&lt;&gt;"N/A"),'Diags Raw Data'!$T$6:$T$3752)</f>
        <v>0</v>
      </c>
      <c r="O42" s="521">
        <f t="shared" si="1"/>
        <v>0</v>
      </c>
      <c r="P42" s="522">
        <f>SUMIF('Diags Raw Data'!$A$6:$A$3752,"*"&amp;$A42&amp;"*",'Diags Raw Data'!$Y$6:$Y$3752)</f>
        <v>0</v>
      </c>
      <c r="Q42" s="523">
        <f>SUM(SUMIF('Diags Raw Data'!$A$6:$A$3752,"*"&amp;$A42&amp;"*",'Diags Raw Data'!$Z$6:$Z$3752),SUMIF('Diags Raw Data'!$A$6:$A$3752,"*"&amp;$A42&amp;"*",'Diags Raw Data'!$AA$6:$AA$3752))</f>
        <v>0</v>
      </c>
      <c r="R42" s="524">
        <f t="shared" si="2"/>
        <v>0</v>
      </c>
      <c r="S42" s="524">
        <f t="shared" si="3"/>
        <v>0</v>
      </c>
      <c r="T42" s="525">
        <f t="shared" si="4"/>
        <v>0</v>
      </c>
      <c r="U42" s="468" t="s">
        <v>438</v>
      </c>
      <c r="V42" s="179"/>
    </row>
    <row r="43" spans="1:22" ht="15">
      <c r="A43" s="335" t="s">
        <v>368</v>
      </c>
      <c r="B43" s="464" t="str">
        <f>VLOOKUP(A43,'Feature Raw Data'!$A$3:$B$3996,2,FALSE)</f>
        <v>Linear to Tiled / Tiled to Linear Copy Command</v>
      </c>
      <c r="C43" s="465" t="str">
        <f>VLOOKUP(A43,'Feature Raw Data'!$A$3:$C$3996,3,FALSE)</f>
        <v>P2</v>
      </c>
      <c r="D43" s="466" t="str" cm="1">
        <f t="array" ref="D43">_xlfn.TEXTJOIN("",TRUE,IF(ISNUMBER(SEARCH($A43,'Diags Raw Data'!$A$6:$A$3752)),CONCATENATE('Diags Raw Data'!$H$6:$H$3752,", "),""))</f>
        <v xml:space="preserve">nsdma2.1-5, nsdma3.1-5, </v>
      </c>
      <c r="E43" s="461" t="str">
        <f>VLOOKUP(A43,'Diags Raw Data'!$A$6:$D$3752,4,FALSE)</f>
        <v>SDMA</v>
      </c>
      <c r="F43" s="337" t="str">
        <f>VLOOKUP(A43,'Feature Raw Data'!$A$3:$E$3996,5,FALSE)</f>
        <v>Legacy</v>
      </c>
      <c r="G43" s="337" t="str">
        <f t="shared" si="6"/>
        <v>Yes</v>
      </c>
      <c r="H43" s="337" t="str">
        <f t="shared" si="7"/>
        <v>Yes</v>
      </c>
      <c r="I43" s="465">
        <f>SUMIF('Diags Raw Data'!$A$6:$A$3752,"*"&amp;$A43&amp;"*",'Diags Raw Data'!$J$6:$J$3752)</f>
        <v>2</v>
      </c>
      <c r="J43" s="467">
        <f>SUMIF('Diags Raw Data'!$A$6:$A$3752,"*"&amp;$A43&amp;"*",'Diags Raw Data'!$K$6:$K$3752)</f>
        <v>10</v>
      </c>
      <c r="K43" s="518" cm="1">
        <f t="array" ref="K43">IF(D43="",0, SUMPRODUCT(--(ISNUMBER(SEARCH($A43,'Diags Raw Data'!$A$6:$A$3752))),'Diags Raw Data'!$K$6:$K$3752,'Diags Raw Data'!$M$6:$M$3752)/J43)</f>
        <v>1</v>
      </c>
      <c r="L43" s="519" cm="1">
        <f t="array" ref="L43">IF(D43="",0, SUMPRODUCT(--(ISNUMBER(SEARCH($A43,'Diags Raw Data'!$A$6:$A$3752))),'Diags Raw Data'!$K$6:$K$3752,'Diags Raw Data'!$O$6:$O$3752)/J43)</f>
        <v>1</v>
      </c>
      <c r="M43" s="511" cm="1">
        <f t="array" ref="M43">SUMPRODUCT(--(ISNUMBER(SEARCH($A43,'Diags Raw Data'!$A$6:$A$3752))),--('Diags Raw Data'!$P$6:$P$3752&lt;&gt;"N/A"),'Diags Raw Data'!$Q$6:$Q$3752)</f>
        <v>10</v>
      </c>
      <c r="N43" s="520" cm="1">
        <f t="array" ref="N43">SUMPRODUCT(--(ISNUMBER(SEARCH($A43,'Diags Raw Data'!$A$6:$A$3752))),--('Diags Raw Data'!$P$6:$P$3752&lt;&gt;"N/A"),'Diags Raw Data'!$S$6:$S$3752)+SUMPRODUCT(--(ISNUMBER(SEARCH($A43,'Diags Raw Data'!$A$6:$A$3752))),--('Diags Raw Data'!$P$6:$P$3752&lt;&gt;"N/A"),'Diags Raw Data'!$T$6:$T$3752)</f>
        <v>0</v>
      </c>
      <c r="O43" s="521">
        <f t="shared" si="1"/>
        <v>0</v>
      </c>
      <c r="P43" s="522">
        <f>SUMIF('Diags Raw Data'!$A$6:$A$3752,"*"&amp;$A43&amp;"*",'Diags Raw Data'!$Y$6:$Y$3752)</f>
        <v>0</v>
      </c>
      <c r="Q43" s="523">
        <f>SUM(SUMIF('Diags Raw Data'!$A$6:$A$3752,"*"&amp;$A43&amp;"*",'Diags Raw Data'!$Z$6:$Z$3752),SUMIF('Diags Raw Data'!$A$6:$A$3752,"*"&amp;$A43&amp;"*",'Diags Raw Data'!$AA$6:$AA$3752))</f>
        <v>0</v>
      </c>
      <c r="R43" s="524">
        <f t="shared" si="2"/>
        <v>0</v>
      </c>
      <c r="S43" s="524">
        <f t="shared" si="3"/>
        <v>0</v>
      </c>
      <c r="T43" s="525">
        <f t="shared" si="4"/>
        <v>0</v>
      </c>
      <c r="U43" s="468" t="s">
        <v>301</v>
      </c>
      <c r="V43" s="179"/>
    </row>
    <row r="44" spans="1:22" ht="15">
      <c r="A44" s="335" t="s">
        <v>376</v>
      </c>
      <c r="B44" s="464" t="str">
        <f>VLOOKUP(A44,'Feature Raw Data'!$A$3:$B$3996,2,FALSE)</f>
        <v>Linear to Tiled / Tiled to Linear sub-window copy</v>
      </c>
      <c r="C44" s="465" t="str">
        <f>VLOOKUP(A44,'Feature Raw Data'!$A$3:$C$3996,3,FALSE)</f>
        <v>P2</v>
      </c>
      <c r="D44" s="466" t="str" cm="1">
        <f t="array" ref="D44">_xlfn.TEXTJOIN("",TRUE,IF(ISNUMBER(SEARCH($A44,'Diags Raw Data'!$A$6:$A$3752)),CONCATENATE('Diags Raw Data'!$H$6:$H$3752,", "),""))</f>
        <v xml:space="preserve">nsdma7.1-5, </v>
      </c>
      <c r="E44" s="461" t="str">
        <f>VLOOKUP(A44,'Diags Raw Data'!$A$6:$D$3752,4,FALSE)</f>
        <v>SDMA</v>
      </c>
      <c r="F44" s="337" t="str">
        <f>VLOOKUP(A44,'Feature Raw Data'!$A$3:$E$3996,5,FALSE)</f>
        <v>Legacy</v>
      </c>
      <c r="G44" s="337" t="str">
        <f t="shared" si="6"/>
        <v>Yes</v>
      </c>
      <c r="H44" s="337" t="str">
        <f t="shared" si="7"/>
        <v>Yes</v>
      </c>
      <c r="I44" s="465">
        <f>SUMIF('Diags Raw Data'!$A$6:$A$3752,"*"&amp;$A44&amp;"*",'Diags Raw Data'!$J$6:$J$3752)</f>
        <v>1</v>
      </c>
      <c r="J44" s="467">
        <f>SUMIF('Diags Raw Data'!$A$6:$A$3752,"*"&amp;$A44&amp;"*",'Diags Raw Data'!$K$6:$K$3752)</f>
        <v>5</v>
      </c>
      <c r="K44" s="518" cm="1">
        <f t="array" ref="K44">IF(D44="",0, SUMPRODUCT(--(ISNUMBER(SEARCH($A44,'Diags Raw Data'!$A$6:$A$3752))),'Diags Raw Data'!$K$6:$K$3752,'Diags Raw Data'!$M$6:$M$3752)/J44)</f>
        <v>1</v>
      </c>
      <c r="L44" s="519" cm="1">
        <f t="array" ref="L44">IF(D44="",0, SUMPRODUCT(--(ISNUMBER(SEARCH($A44,'Diags Raw Data'!$A$6:$A$3752))),'Diags Raw Data'!$K$6:$K$3752,'Diags Raw Data'!$O$6:$O$3752)/J44)</f>
        <v>1</v>
      </c>
      <c r="M44" s="511" cm="1">
        <f t="array" ref="M44">SUMPRODUCT(--(ISNUMBER(SEARCH($A44,'Diags Raw Data'!$A$6:$A$3752))),--('Diags Raw Data'!$P$6:$P$3752&lt;&gt;"N/A"),'Diags Raw Data'!$Q$6:$Q$3752)</f>
        <v>5</v>
      </c>
      <c r="N44" s="520" cm="1">
        <f t="array" ref="N44">SUMPRODUCT(--(ISNUMBER(SEARCH($A44,'Diags Raw Data'!$A$6:$A$3752))),--('Diags Raw Data'!$P$6:$P$3752&lt;&gt;"N/A"),'Diags Raw Data'!$S$6:$S$3752)+SUMPRODUCT(--(ISNUMBER(SEARCH($A44,'Diags Raw Data'!$A$6:$A$3752))),--('Diags Raw Data'!$P$6:$P$3752&lt;&gt;"N/A"),'Diags Raw Data'!$T$6:$T$3752)</f>
        <v>5</v>
      </c>
      <c r="O44" s="521">
        <f t="shared" si="1"/>
        <v>1</v>
      </c>
      <c r="P44" s="522">
        <f>SUMIF('Diags Raw Data'!$A$6:$A$3752,"*"&amp;$A44&amp;"*",'Diags Raw Data'!$Y$6:$Y$3752)</f>
        <v>0</v>
      </c>
      <c r="Q44" s="523">
        <f>SUM(SUMIF('Diags Raw Data'!$A$6:$A$3752,"*"&amp;$A44&amp;"*",'Diags Raw Data'!$Z$6:$Z$3752),SUMIF('Diags Raw Data'!$A$6:$A$3752,"*"&amp;$A44&amp;"*",'Diags Raw Data'!$AA$6:$AA$3752))</f>
        <v>0</v>
      </c>
      <c r="R44" s="524">
        <f t="shared" si="2"/>
        <v>0</v>
      </c>
      <c r="S44" s="524">
        <f t="shared" si="3"/>
        <v>0</v>
      </c>
      <c r="T44" s="525">
        <f t="shared" si="4"/>
        <v>0</v>
      </c>
      <c r="U44" s="468" t="s">
        <v>301</v>
      </c>
      <c r="V44" s="179"/>
    </row>
    <row r="45" spans="1:22" ht="15">
      <c r="A45" s="335" t="s">
        <v>379</v>
      </c>
      <c r="B45" s="464" t="str">
        <f>VLOOKUP(A45,'Feature Raw Data'!$A$3:$B$3996,2,FALSE)</f>
        <v>Linear to Tiled copy broadcast</v>
      </c>
      <c r="C45" s="465" t="str">
        <f>VLOOKUP(A45,'Feature Raw Data'!$A$3:$C$3996,3,FALSE)</f>
        <v>P2</v>
      </c>
      <c r="D45" s="466" t="str" cm="1">
        <f t="array" ref="D45">_xlfn.TEXTJOIN("",TRUE,IF(ISNUMBER(SEARCH($A45,'Diags Raw Data'!$A$6:$A$3752)),CONCATENATE('Diags Raw Data'!$H$6:$H$3752,", "),""))</f>
        <v xml:space="preserve">nsdma11.1-5, </v>
      </c>
      <c r="E45" s="461" t="str">
        <f>VLOOKUP(A45,'Diags Raw Data'!$A$6:$D$3752,4,FALSE)</f>
        <v>SDMA</v>
      </c>
      <c r="F45" s="337" t="str">
        <f>VLOOKUP(A45,'Feature Raw Data'!$A$3:$E$3996,5,FALSE)</f>
        <v>Legacy</v>
      </c>
      <c r="G45" s="337" t="str">
        <f t="shared" si="6"/>
        <v>Yes</v>
      </c>
      <c r="H45" s="337" t="str">
        <f t="shared" si="7"/>
        <v>Yes</v>
      </c>
      <c r="I45" s="465">
        <f>SUMIF('Diags Raw Data'!$A$6:$A$3752,"*"&amp;$A45&amp;"*",'Diags Raw Data'!$J$6:$J$3752)</f>
        <v>1</v>
      </c>
      <c r="J45" s="467">
        <f>SUMIF('Diags Raw Data'!$A$6:$A$3752,"*"&amp;$A45&amp;"*",'Diags Raw Data'!$K$6:$K$3752)</f>
        <v>5</v>
      </c>
      <c r="K45" s="518" cm="1">
        <f t="array" ref="K45">IF(D45="",0, SUMPRODUCT(--(ISNUMBER(SEARCH($A45,'Diags Raw Data'!$A$6:$A$3752))),'Diags Raw Data'!$K$6:$K$3752,'Diags Raw Data'!$M$6:$M$3752)/J45)</f>
        <v>1</v>
      </c>
      <c r="L45" s="519" cm="1">
        <f t="array" ref="L45">IF(D45="",0, SUMPRODUCT(--(ISNUMBER(SEARCH($A45,'Diags Raw Data'!$A$6:$A$3752))),'Diags Raw Data'!$K$6:$K$3752,'Diags Raw Data'!$O$6:$O$3752)/J45)</f>
        <v>1</v>
      </c>
      <c r="M45" s="511" cm="1">
        <f t="array" ref="M45">SUMPRODUCT(--(ISNUMBER(SEARCH($A45,'Diags Raw Data'!$A$6:$A$3752))),--('Diags Raw Data'!$P$6:$P$3752&lt;&gt;"N/A"),'Diags Raw Data'!$Q$6:$Q$3752)</f>
        <v>5</v>
      </c>
      <c r="N45" s="520" cm="1">
        <f t="array" ref="N45">SUMPRODUCT(--(ISNUMBER(SEARCH($A45,'Diags Raw Data'!$A$6:$A$3752))),--('Diags Raw Data'!$P$6:$P$3752&lt;&gt;"N/A"),'Diags Raw Data'!$S$6:$S$3752)+SUMPRODUCT(--(ISNUMBER(SEARCH($A45,'Diags Raw Data'!$A$6:$A$3752))),--('Diags Raw Data'!$P$6:$P$3752&lt;&gt;"N/A"),'Diags Raw Data'!$T$6:$T$3752)</f>
        <v>0</v>
      </c>
      <c r="O45" s="521">
        <f t="shared" si="1"/>
        <v>0</v>
      </c>
      <c r="P45" s="522">
        <f>SUMIF('Diags Raw Data'!$A$6:$A$3752,"*"&amp;$A45&amp;"*",'Diags Raw Data'!$Y$6:$Y$3752)</f>
        <v>0</v>
      </c>
      <c r="Q45" s="523">
        <f>SUM(SUMIF('Diags Raw Data'!$A$6:$A$3752,"*"&amp;$A45&amp;"*",'Diags Raw Data'!$Z$6:$Z$3752),SUMIF('Diags Raw Data'!$A$6:$A$3752,"*"&amp;$A45&amp;"*",'Diags Raw Data'!$AA$6:$AA$3752))</f>
        <v>0</v>
      </c>
      <c r="R45" s="524">
        <f t="shared" si="2"/>
        <v>0</v>
      </c>
      <c r="S45" s="524">
        <f t="shared" si="3"/>
        <v>0</v>
      </c>
      <c r="T45" s="525">
        <f t="shared" si="4"/>
        <v>0</v>
      </c>
      <c r="U45" s="468" t="s">
        <v>833</v>
      </c>
      <c r="V45" s="179"/>
    </row>
    <row r="46" spans="1:22" ht="15">
      <c r="A46" s="335" t="s">
        <v>382</v>
      </c>
      <c r="B46" s="464" t="str">
        <f>VLOOKUP(A46,'Feature Raw Data'!$A$3:$B$3996,2,FALSE)</f>
        <v>Mid Command Buffer Preemption</v>
      </c>
      <c r="C46" s="465" t="str">
        <f>VLOOKUP(A46,'Feature Raw Data'!$A$3:$C$3996,3,FALSE)</f>
        <v>P2</v>
      </c>
      <c r="D46" s="466" t="str" cm="1">
        <f t="array" ref="D46">_xlfn.TEXTJOIN("",TRUE,IF(ISNUMBER(SEARCH($A46,'Diags Raw Data'!$A$6:$A$3752)),CONCATENATE('Diags Raw Data'!$H$6:$H$3752,", "),""))</f>
        <v xml:space="preserve">nsdma217.1, </v>
      </c>
      <c r="E46" s="461" t="str">
        <f>VLOOKUP(A46,'Diags Raw Data'!$A$6:$D$3752,4,FALSE)</f>
        <v>SDMA</v>
      </c>
      <c r="F46" s="337" t="str">
        <f>VLOOKUP(A46,'Feature Raw Data'!$A$3:$E$3996,5,FALSE)</f>
        <v>Legacy</v>
      </c>
      <c r="G46" s="337" t="str">
        <f t="shared" si="6"/>
        <v>Yes</v>
      </c>
      <c r="H46" s="337" t="str">
        <f t="shared" si="7"/>
        <v>Yes</v>
      </c>
      <c r="I46" s="465">
        <f>SUMIF('Diags Raw Data'!$A$6:$A$3752,"*"&amp;$A46&amp;"*",'Diags Raw Data'!$J$6:$J$3752)</f>
        <v>1</v>
      </c>
      <c r="J46" s="467">
        <f>SUMIF('Diags Raw Data'!$A$6:$A$3752,"*"&amp;$A46&amp;"*",'Diags Raw Data'!$K$6:$K$3752)</f>
        <v>1</v>
      </c>
      <c r="K46" s="518" cm="1">
        <f t="array" ref="K46">IF(D46="",0, SUMPRODUCT(--(ISNUMBER(SEARCH($A46,'Diags Raw Data'!$A$6:$A$3752))),'Diags Raw Data'!$K$6:$K$3752,'Diags Raw Data'!$M$6:$M$3752)/J46)</f>
        <v>1</v>
      </c>
      <c r="L46" s="519" cm="1">
        <f t="array" ref="L46">IF(D46="",0, SUMPRODUCT(--(ISNUMBER(SEARCH($A46,'Diags Raw Data'!$A$6:$A$3752))),'Diags Raw Data'!$K$6:$K$3752,'Diags Raw Data'!$O$6:$O$3752)/J46)</f>
        <v>1</v>
      </c>
      <c r="M46" s="511" cm="1">
        <f t="array" ref="M46">SUMPRODUCT(--(ISNUMBER(SEARCH($A46,'Diags Raw Data'!$A$6:$A$3752))),--('Diags Raw Data'!$P$6:$P$3752&lt;&gt;"N/A"),'Diags Raw Data'!$Q$6:$Q$3752)</f>
        <v>1</v>
      </c>
      <c r="N46" s="520" cm="1">
        <f t="array" ref="N46">SUMPRODUCT(--(ISNUMBER(SEARCH($A46,'Diags Raw Data'!$A$6:$A$3752))),--('Diags Raw Data'!$P$6:$P$3752&lt;&gt;"N/A"),'Diags Raw Data'!$S$6:$S$3752)+SUMPRODUCT(--(ISNUMBER(SEARCH($A46,'Diags Raw Data'!$A$6:$A$3752))),--('Diags Raw Data'!$P$6:$P$3752&lt;&gt;"N/A"),'Diags Raw Data'!$T$6:$T$3752)</f>
        <v>1</v>
      </c>
      <c r="O46" s="521">
        <f t="shared" si="1"/>
        <v>1</v>
      </c>
      <c r="P46" s="522">
        <f>SUMIF('Diags Raw Data'!$A$6:$A$3752,"*"&amp;$A46&amp;"*",'Diags Raw Data'!$Y$6:$Y$3752)</f>
        <v>0</v>
      </c>
      <c r="Q46" s="523">
        <f>SUM(SUMIF('Diags Raw Data'!$A$6:$A$3752,"*"&amp;$A46&amp;"*",'Diags Raw Data'!$Z$6:$Z$3752),SUMIF('Diags Raw Data'!$A$6:$A$3752,"*"&amp;$A46&amp;"*",'Diags Raw Data'!$AA$6:$AA$3752))</f>
        <v>0</v>
      </c>
      <c r="R46" s="524">
        <f t="shared" si="2"/>
        <v>0</v>
      </c>
      <c r="S46" s="524">
        <f t="shared" si="3"/>
        <v>0</v>
      </c>
      <c r="T46" s="525">
        <f t="shared" si="4"/>
        <v>0</v>
      </c>
      <c r="U46" s="468" t="s">
        <v>834</v>
      </c>
      <c r="V46" s="179"/>
    </row>
    <row r="47" spans="1:22" ht="15">
      <c r="A47" s="335" t="s">
        <v>385</v>
      </c>
      <c r="B47" s="464" t="str">
        <f>VLOOKUP(A47,'Feature Raw Data'!$A$3:$B$3996,2,FALSE)</f>
        <v>Mid Command Preemption</v>
      </c>
      <c r="C47" s="465" t="str">
        <f>VLOOKUP(A47,'Feature Raw Data'!$A$3:$C$3996,3,FALSE)</f>
        <v>P2</v>
      </c>
      <c r="D47" s="466" t="str" cm="1">
        <f t="array" ref="D47">_xlfn.TEXTJOIN("",TRUE,IF(ISNUMBER(SEARCH($A47,'Diags Raw Data'!$A$6:$A$3752)),CONCATENATE('Diags Raw Data'!$H$6:$H$3752,", "),""))</f>
        <v xml:space="preserve">nsdma217.1, </v>
      </c>
      <c r="E47" s="461" t="str">
        <f>VLOOKUP(A47,'Diags Raw Data'!$A$6:$D$3752,4,FALSE)</f>
        <v>SDMA</v>
      </c>
      <c r="F47" s="337" t="str">
        <f>VLOOKUP(A47,'Feature Raw Data'!$A$3:$E$3996,5,FALSE)</f>
        <v>Legacy</v>
      </c>
      <c r="G47" s="337" t="str">
        <f t="shared" si="6"/>
        <v>Yes</v>
      </c>
      <c r="H47" s="337" t="str">
        <f t="shared" si="7"/>
        <v>Yes</v>
      </c>
      <c r="I47" s="465">
        <f>SUMIF('Diags Raw Data'!$A$6:$A$3752,"*"&amp;$A47&amp;"*",'Diags Raw Data'!$J$6:$J$3752)</f>
        <v>1</v>
      </c>
      <c r="J47" s="467">
        <f>SUMIF('Diags Raw Data'!$A$6:$A$3752,"*"&amp;$A47&amp;"*",'Diags Raw Data'!$K$6:$K$3752)</f>
        <v>1</v>
      </c>
      <c r="K47" s="518" cm="1">
        <f t="array" ref="K47">IF(D47="",0, SUMPRODUCT(--(ISNUMBER(SEARCH($A47,'Diags Raw Data'!$A$6:$A$3752))),'Diags Raw Data'!$K$6:$K$3752,'Diags Raw Data'!$M$6:$M$3752)/J47)</f>
        <v>1</v>
      </c>
      <c r="L47" s="519" cm="1">
        <f t="array" ref="L47">IF(D47="",0, SUMPRODUCT(--(ISNUMBER(SEARCH($A47,'Diags Raw Data'!$A$6:$A$3752))),'Diags Raw Data'!$K$6:$K$3752,'Diags Raw Data'!$O$6:$O$3752)/J47)</f>
        <v>1</v>
      </c>
      <c r="M47" s="511" cm="1">
        <f t="array" ref="M47">SUMPRODUCT(--(ISNUMBER(SEARCH($A47,'Diags Raw Data'!$A$6:$A$3752))),--('Diags Raw Data'!$P$6:$P$3752&lt;&gt;"N/A"),'Diags Raw Data'!$Q$6:$Q$3752)</f>
        <v>1</v>
      </c>
      <c r="N47" s="520" cm="1">
        <f t="array" ref="N47">SUMPRODUCT(--(ISNUMBER(SEARCH($A47,'Diags Raw Data'!$A$6:$A$3752))),--('Diags Raw Data'!$P$6:$P$3752&lt;&gt;"N/A"),'Diags Raw Data'!$S$6:$S$3752)+SUMPRODUCT(--(ISNUMBER(SEARCH($A47,'Diags Raw Data'!$A$6:$A$3752))),--('Diags Raw Data'!$P$6:$P$3752&lt;&gt;"N/A"),'Diags Raw Data'!$T$6:$T$3752)</f>
        <v>1</v>
      </c>
      <c r="O47" s="521">
        <f t="shared" si="1"/>
        <v>1</v>
      </c>
      <c r="P47" s="522">
        <f>SUMIF('Diags Raw Data'!$A$6:$A$3752,"*"&amp;$A47&amp;"*",'Diags Raw Data'!$Y$6:$Y$3752)</f>
        <v>0</v>
      </c>
      <c r="Q47" s="523">
        <f>SUM(SUMIF('Diags Raw Data'!$A$6:$A$3752,"*"&amp;$A47&amp;"*",'Diags Raw Data'!$Z$6:$Z$3752),SUMIF('Diags Raw Data'!$A$6:$A$3752,"*"&amp;$A47&amp;"*",'Diags Raw Data'!$AA$6:$AA$3752))</f>
        <v>0</v>
      </c>
      <c r="R47" s="524">
        <f t="shared" si="2"/>
        <v>0</v>
      </c>
      <c r="S47" s="524">
        <f t="shared" si="3"/>
        <v>0</v>
      </c>
      <c r="T47" s="525">
        <f t="shared" si="4"/>
        <v>0</v>
      </c>
      <c r="U47" s="468" t="s">
        <v>301</v>
      </c>
      <c r="V47" s="179"/>
    </row>
    <row r="48" spans="1:22" ht="15">
      <c r="A48" s="335" t="s">
        <v>387</v>
      </c>
      <c r="B48" s="464" t="str">
        <f>VLOOKUP(A48,'Feature Raw Data'!$A$3:$B$3996,2,FALSE)</f>
        <v>RB Command Preemption</v>
      </c>
      <c r="C48" s="465" t="str">
        <f>VLOOKUP(A48,'Feature Raw Data'!$A$3:$C$3996,3,FALSE)</f>
        <v>P2</v>
      </c>
      <c r="D48" s="466" t="str" cm="1">
        <f t="array" ref="D48">_xlfn.TEXTJOIN("",TRUE,IF(ISNUMBER(SEARCH($A48,'Diags Raw Data'!$A$6:$A$3752)),CONCATENATE('Diags Raw Data'!$H$6:$H$3752,", "),""))</f>
        <v xml:space="preserve">nsdma217.1, </v>
      </c>
      <c r="E48" s="461" t="str">
        <f>VLOOKUP(A48,'Diags Raw Data'!$A$6:$D$3752,4,FALSE)</f>
        <v>SDMA</v>
      </c>
      <c r="F48" s="337" t="str">
        <f>VLOOKUP(A48,'Feature Raw Data'!$A$3:$E$3996,5,FALSE)</f>
        <v>Legacy</v>
      </c>
      <c r="G48" s="337" t="str">
        <f t="shared" si="6"/>
        <v>Yes</v>
      </c>
      <c r="H48" s="337" t="str">
        <f t="shared" si="7"/>
        <v>Yes</v>
      </c>
      <c r="I48" s="465">
        <f>SUMIF('Diags Raw Data'!$A$6:$A$3752,"*"&amp;$A48&amp;"*",'Diags Raw Data'!$J$6:$J$3752)</f>
        <v>1</v>
      </c>
      <c r="J48" s="467">
        <f>SUMIF('Diags Raw Data'!$A$6:$A$3752,"*"&amp;$A48&amp;"*",'Diags Raw Data'!$K$6:$K$3752)</f>
        <v>1</v>
      </c>
      <c r="K48" s="518" cm="1">
        <f t="array" ref="K48">IF(D48="",0, SUMPRODUCT(--(ISNUMBER(SEARCH($A48,'Diags Raw Data'!$A$6:$A$3752))),'Diags Raw Data'!$K$6:$K$3752,'Diags Raw Data'!$M$6:$M$3752)/J48)</f>
        <v>1</v>
      </c>
      <c r="L48" s="519" cm="1">
        <f t="array" ref="L48">IF(D48="",0, SUMPRODUCT(--(ISNUMBER(SEARCH($A48,'Diags Raw Data'!$A$6:$A$3752))),'Diags Raw Data'!$K$6:$K$3752,'Diags Raw Data'!$O$6:$O$3752)/J48)</f>
        <v>1</v>
      </c>
      <c r="M48" s="511" cm="1">
        <f t="array" ref="M48">SUMPRODUCT(--(ISNUMBER(SEARCH($A48,'Diags Raw Data'!$A$6:$A$3752))),--('Diags Raw Data'!$P$6:$P$3752&lt;&gt;"N/A"),'Diags Raw Data'!$Q$6:$Q$3752)</f>
        <v>1</v>
      </c>
      <c r="N48" s="520" cm="1">
        <f t="array" ref="N48">SUMPRODUCT(--(ISNUMBER(SEARCH($A48,'Diags Raw Data'!$A$6:$A$3752))),--('Diags Raw Data'!$P$6:$P$3752&lt;&gt;"N/A"),'Diags Raw Data'!$S$6:$S$3752)+SUMPRODUCT(--(ISNUMBER(SEARCH($A48,'Diags Raw Data'!$A$6:$A$3752))),--('Diags Raw Data'!$P$6:$P$3752&lt;&gt;"N/A"),'Diags Raw Data'!$T$6:$T$3752)</f>
        <v>1</v>
      </c>
      <c r="O48" s="521">
        <f t="shared" si="1"/>
        <v>1</v>
      </c>
      <c r="P48" s="522">
        <f>SUMIF('Diags Raw Data'!$A$6:$A$3752,"*"&amp;$A48&amp;"*",'Diags Raw Data'!$Y$6:$Y$3752)</f>
        <v>0</v>
      </c>
      <c r="Q48" s="523">
        <f>SUM(SUMIF('Diags Raw Data'!$A$6:$A$3752,"*"&amp;$A48&amp;"*",'Diags Raw Data'!$Z$6:$Z$3752),SUMIF('Diags Raw Data'!$A$6:$A$3752,"*"&amp;$A48&amp;"*",'Diags Raw Data'!$AA$6:$AA$3752))</f>
        <v>0</v>
      </c>
      <c r="R48" s="524">
        <f t="shared" si="2"/>
        <v>0</v>
      </c>
      <c r="S48" s="524">
        <f t="shared" si="3"/>
        <v>0</v>
      </c>
      <c r="T48" s="525">
        <f t="shared" si="4"/>
        <v>0</v>
      </c>
      <c r="U48" s="468" t="s">
        <v>301</v>
      </c>
      <c r="V48" s="179"/>
    </row>
    <row r="49" spans="1:22" ht="15">
      <c r="A49" s="335" t="s">
        <v>389</v>
      </c>
      <c r="B49" s="464" t="str">
        <f>VLOOKUP(A49,'Feature Raw Data'!$A$3:$B$3996,2,FALSE)</f>
        <v>Mid-command preemption when time quantum reached</v>
      </c>
      <c r="C49" s="465" t="str">
        <f>VLOOKUP(A49,'Feature Raw Data'!$A$3:$C$3996,3,FALSE)</f>
        <v>P2</v>
      </c>
      <c r="D49" s="466" t="str" cm="1">
        <f t="array" ref="D49">_xlfn.TEXTJOIN("",TRUE,IF(ISNUMBER(SEARCH($A49,'Diags Raw Data'!$A$6:$A$3752)),CONCATENATE('Diags Raw Data'!$H$6:$H$3752,", "),""))</f>
        <v xml:space="preserve">nsdma218.1, </v>
      </c>
      <c r="E49" s="461" t="str">
        <f>VLOOKUP(A49,'Diags Raw Data'!$A$6:$D$3752,4,FALSE)</f>
        <v>SDMA</v>
      </c>
      <c r="F49" s="337" t="str">
        <f>VLOOKUP(A49,'Feature Raw Data'!$A$3:$E$3996,5,FALSE)</f>
        <v>Legacy</v>
      </c>
      <c r="G49" s="337" t="str">
        <f t="shared" si="6"/>
        <v>Yes</v>
      </c>
      <c r="H49" s="337" t="str">
        <f t="shared" si="7"/>
        <v>Yes</v>
      </c>
      <c r="I49" s="465">
        <f>SUMIF('Diags Raw Data'!$A$6:$A$3752,"*"&amp;$A49&amp;"*",'Diags Raw Data'!$J$6:$J$3752)</f>
        <v>1</v>
      </c>
      <c r="J49" s="467">
        <f>SUMIF('Diags Raw Data'!$A$6:$A$3752,"*"&amp;$A49&amp;"*",'Diags Raw Data'!$K$6:$K$3752)</f>
        <v>1</v>
      </c>
      <c r="K49" s="518" cm="1">
        <f t="array" ref="K49">IF(D49="",0, SUMPRODUCT(--(ISNUMBER(SEARCH($A49,'Diags Raw Data'!$A$6:$A$3752))),'Diags Raw Data'!$K$6:$K$3752,'Diags Raw Data'!$M$6:$M$3752)/J49)</f>
        <v>1</v>
      </c>
      <c r="L49" s="519" cm="1">
        <f t="array" ref="L49">IF(D49="",0, SUMPRODUCT(--(ISNUMBER(SEARCH($A49,'Diags Raw Data'!$A$6:$A$3752))),'Diags Raw Data'!$K$6:$K$3752,'Diags Raw Data'!$O$6:$O$3752)/J49)</f>
        <v>1</v>
      </c>
      <c r="M49" s="511" cm="1">
        <f t="array" ref="M49">SUMPRODUCT(--(ISNUMBER(SEARCH($A49,'Diags Raw Data'!$A$6:$A$3752))),--('Diags Raw Data'!$P$6:$P$3752&lt;&gt;"N/A"),'Diags Raw Data'!$Q$6:$Q$3752)</f>
        <v>1</v>
      </c>
      <c r="N49" s="520" cm="1">
        <f t="array" ref="N49">SUMPRODUCT(--(ISNUMBER(SEARCH($A49,'Diags Raw Data'!$A$6:$A$3752))),--('Diags Raw Data'!$P$6:$P$3752&lt;&gt;"N/A"),'Diags Raw Data'!$S$6:$S$3752)+SUMPRODUCT(--(ISNUMBER(SEARCH($A49,'Diags Raw Data'!$A$6:$A$3752))),--('Diags Raw Data'!$P$6:$P$3752&lt;&gt;"N/A"),'Diags Raw Data'!$T$6:$T$3752)</f>
        <v>0</v>
      </c>
      <c r="O49" s="521">
        <f t="shared" si="1"/>
        <v>0</v>
      </c>
      <c r="P49" s="522">
        <f>SUMIF('Diags Raw Data'!$A$6:$A$3752,"*"&amp;$A49&amp;"*",'Diags Raw Data'!$Y$6:$Y$3752)</f>
        <v>0</v>
      </c>
      <c r="Q49" s="523">
        <f>SUM(SUMIF('Diags Raw Data'!$A$6:$A$3752,"*"&amp;$A49&amp;"*",'Diags Raw Data'!$Z$6:$Z$3752),SUMIF('Diags Raw Data'!$A$6:$A$3752,"*"&amp;$A49&amp;"*",'Diags Raw Data'!$AA$6:$AA$3752))</f>
        <v>0</v>
      </c>
      <c r="R49" s="524">
        <f t="shared" si="2"/>
        <v>0</v>
      </c>
      <c r="S49" s="524">
        <f t="shared" si="3"/>
        <v>0</v>
      </c>
      <c r="T49" s="525">
        <f t="shared" si="4"/>
        <v>0</v>
      </c>
      <c r="U49" s="468" t="s">
        <v>301</v>
      </c>
      <c r="V49" s="179"/>
    </row>
    <row r="50" spans="1:22" ht="15">
      <c r="A50" s="335" t="s">
        <v>393</v>
      </c>
      <c r="B50" s="464" t="str">
        <f>VLOOKUP(A50,'Feature Raw Data'!$A$3:$B$3996,2,FALSE)</f>
        <v>Memory Increment</v>
      </c>
      <c r="C50" s="465" t="str">
        <f>VLOOKUP(A50,'Feature Raw Data'!$A$3:$C$3996,3,FALSE)</f>
        <v>P2</v>
      </c>
      <c r="D50" s="466" t="str" cm="1">
        <f t="array" ref="D50">_xlfn.TEXTJOIN("",TRUE,IF(ISNUMBER(SEARCH($A50,'Diags Raw Data'!$A$6:$A$3752)),CONCATENATE('Diags Raw Data'!$H$6:$H$3752,", "),""))</f>
        <v xml:space="preserve">nsdma160.1, </v>
      </c>
      <c r="E50" s="461" t="str">
        <f>VLOOKUP(A50,'Diags Raw Data'!$A$6:$D$3752,4,FALSE)</f>
        <v>SDMA</v>
      </c>
      <c r="F50" s="337" t="str">
        <f>VLOOKUP(A50,'Feature Raw Data'!$A$3:$E$3996,5,FALSE)</f>
        <v>Legacy</v>
      </c>
      <c r="G50" s="337" t="str">
        <f t="shared" si="6"/>
        <v>Yes</v>
      </c>
      <c r="H50" s="337" t="str">
        <f t="shared" si="7"/>
        <v>Yes</v>
      </c>
      <c r="I50" s="465">
        <f>SUMIF('Diags Raw Data'!$A$6:$A$3752,"*"&amp;$A50&amp;"*",'Diags Raw Data'!$J$6:$J$3752)</f>
        <v>1</v>
      </c>
      <c r="J50" s="467">
        <f>SUMIF('Diags Raw Data'!$A$6:$A$3752,"*"&amp;$A50&amp;"*",'Diags Raw Data'!$K$6:$K$3752)</f>
        <v>1</v>
      </c>
      <c r="K50" s="518" cm="1">
        <f t="array" ref="K50">IF(D50="",0, SUMPRODUCT(--(ISNUMBER(SEARCH($A50,'Diags Raw Data'!$A$6:$A$3752))),'Diags Raw Data'!$K$6:$K$3752,'Diags Raw Data'!$M$6:$M$3752)/J50)</f>
        <v>1</v>
      </c>
      <c r="L50" s="519" cm="1">
        <f t="array" ref="L50">IF(D50="",0, SUMPRODUCT(--(ISNUMBER(SEARCH($A50,'Diags Raw Data'!$A$6:$A$3752))),'Diags Raw Data'!$K$6:$K$3752,'Diags Raw Data'!$O$6:$O$3752)/J50)</f>
        <v>1</v>
      </c>
      <c r="M50" s="511" cm="1">
        <f t="array" ref="M50">SUMPRODUCT(--(ISNUMBER(SEARCH($A50,'Diags Raw Data'!$A$6:$A$3752))),--('Diags Raw Data'!$P$6:$P$3752&lt;&gt;"N/A"),'Diags Raw Data'!$Q$6:$Q$3752)</f>
        <v>1</v>
      </c>
      <c r="N50" s="520" cm="1">
        <f t="array" ref="N50">SUMPRODUCT(--(ISNUMBER(SEARCH($A50,'Diags Raw Data'!$A$6:$A$3752))),--('Diags Raw Data'!$P$6:$P$3752&lt;&gt;"N/A"),'Diags Raw Data'!$S$6:$S$3752)+SUMPRODUCT(--(ISNUMBER(SEARCH($A50,'Diags Raw Data'!$A$6:$A$3752))),--('Diags Raw Data'!$P$6:$P$3752&lt;&gt;"N/A"),'Diags Raw Data'!$T$6:$T$3752)</f>
        <v>1</v>
      </c>
      <c r="O50" s="521">
        <f t="shared" si="1"/>
        <v>1</v>
      </c>
      <c r="P50" s="522">
        <f>SUMIF('Diags Raw Data'!$A$6:$A$3752,"*"&amp;$A50&amp;"*",'Diags Raw Data'!$Y$6:$Y$3752)</f>
        <v>0</v>
      </c>
      <c r="Q50" s="523">
        <f>SUM(SUMIF('Diags Raw Data'!$A$6:$A$3752,"*"&amp;$A50&amp;"*",'Diags Raw Data'!$Z$6:$Z$3752),SUMIF('Diags Raw Data'!$A$6:$A$3752,"*"&amp;$A50&amp;"*",'Diags Raw Data'!$AA$6:$AA$3752))</f>
        <v>0</v>
      </c>
      <c r="R50" s="524">
        <f t="shared" si="2"/>
        <v>0</v>
      </c>
      <c r="S50" s="524">
        <f t="shared" si="3"/>
        <v>0</v>
      </c>
      <c r="T50" s="525">
        <f t="shared" si="4"/>
        <v>0</v>
      </c>
      <c r="U50" s="468" t="s">
        <v>832</v>
      </c>
      <c r="V50" s="179"/>
    </row>
    <row r="51" spans="1:22" ht="15">
      <c r="A51" s="335" t="s">
        <v>696</v>
      </c>
      <c r="B51" s="464" t="str">
        <f>VLOOKUP(A51,'Feature Raw Data'!$A$3:$B$3996,2,FALSE)</f>
        <v>Page Eviction Copy</v>
      </c>
      <c r="C51" s="465" t="str">
        <f>VLOOKUP(A51,'Feature Raw Data'!$A$3:$C$3996,3,FALSE)</f>
        <v>P2</v>
      </c>
      <c r="D51" s="466" t="str" cm="1">
        <f t="array" ref="D51">_xlfn.TEXTJOIN("",TRUE,IF(ISNUMBER(SEARCH($A51,'Diags Raw Data'!$A$6:$A$3752)),CONCATENATE('Diags Raw Data'!$H$6:$H$3752,", "),""))</f>
        <v/>
      </c>
      <c r="E51" s="461" t="e">
        <f>VLOOKUP(A51,'Diags Raw Data'!$A$6:$D$3752,4,FALSE)</f>
        <v>#N/A</v>
      </c>
      <c r="F51" s="337" t="str">
        <f>VLOOKUP(A51,'Feature Raw Data'!$A$3:$E$3996,5,FALSE)</f>
        <v>Legacy</v>
      </c>
      <c r="G51" s="337" t="str">
        <f t="shared" si="6"/>
        <v>No</v>
      </c>
      <c r="H51" s="337" t="str">
        <f t="shared" si="7"/>
        <v>No</v>
      </c>
      <c r="I51" s="465">
        <f>SUMIF('Diags Raw Data'!$A$6:$A$3752,"*"&amp;$A51&amp;"*",'Diags Raw Data'!$J$6:$J$3752)</f>
        <v>0</v>
      </c>
      <c r="J51" s="467">
        <f>SUMIF('Diags Raw Data'!$A$6:$A$3752,"*"&amp;$A51&amp;"*",'Diags Raw Data'!$K$6:$K$3752)</f>
        <v>0</v>
      </c>
      <c r="K51" s="518" cm="1">
        <f t="array" ref="K51">IF(D51="",0, SUMPRODUCT(--(ISNUMBER(SEARCH($A51,'Diags Raw Data'!$A$6:$A$3752))),'Diags Raw Data'!$K$6:$K$3752,'Diags Raw Data'!$M$6:$M$3752)/J51)</f>
        <v>0</v>
      </c>
      <c r="L51" s="519" cm="1">
        <f t="array" ref="L51">IF(D51="",0, SUMPRODUCT(--(ISNUMBER(SEARCH($A51,'Diags Raw Data'!$A$6:$A$3752))),'Diags Raw Data'!$K$6:$K$3752,'Diags Raw Data'!$O$6:$O$3752)/J51)</f>
        <v>0</v>
      </c>
      <c r="M51" s="511" cm="1">
        <f t="array" ref="M51">SUMPRODUCT(--(ISNUMBER(SEARCH($A51,'Diags Raw Data'!$A$6:$A$3752))),--('Diags Raw Data'!$P$6:$P$3752&lt;&gt;"N/A"),'Diags Raw Data'!$Q$6:$Q$3752)</f>
        <v>0</v>
      </c>
      <c r="N51" s="520" cm="1">
        <f t="array" ref="N51">SUMPRODUCT(--(ISNUMBER(SEARCH($A51,'Diags Raw Data'!$A$6:$A$3752))),--('Diags Raw Data'!$P$6:$P$3752&lt;&gt;"N/A"),'Diags Raw Data'!$S$6:$S$3752)+SUMPRODUCT(--(ISNUMBER(SEARCH($A51,'Diags Raw Data'!$A$6:$A$3752))),--('Diags Raw Data'!$P$6:$P$3752&lt;&gt;"N/A"),'Diags Raw Data'!$T$6:$T$3752)</f>
        <v>0</v>
      </c>
      <c r="O51" s="521">
        <f t="shared" si="1"/>
        <v>0</v>
      </c>
      <c r="P51" s="522">
        <f>SUMIF('Diags Raw Data'!$A$6:$A$3752,"*"&amp;$A51&amp;"*",'Diags Raw Data'!$Y$6:$Y$3752)</f>
        <v>0</v>
      </c>
      <c r="Q51" s="523">
        <f>SUM(SUMIF('Diags Raw Data'!$A$6:$A$3752,"*"&amp;$A51&amp;"*",'Diags Raw Data'!$Z$6:$Z$3752),SUMIF('Diags Raw Data'!$A$6:$A$3752,"*"&amp;$A51&amp;"*",'Diags Raw Data'!$AA$6:$AA$3752))</f>
        <v>0</v>
      </c>
      <c r="R51" s="524">
        <f t="shared" si="2"/>
        <v>0</v>
      </c>
      <c r="S51" s="524">
        <f t="shared" si="3"/>
        <v>0</v>
      </c>
      <c r="T51" s="525">
        <f t="shared" si="4"/>
        <v>0</v>
      </c>
      <c r="U51" s="468" t="s">
        <v>835</v>
      </c>
      <c r="V51" s="179"/>
    </row>
    <row r="52" spans="1:22" ht="15">
      <c r="A52" s="335" t="s">
        <v>698</v>
      </c>
      <c r="B52" s="464" t="str">
        <f>VLOOKUP(A52,'Feature Raw Data'!$A$3:$B$3996,2,FALSE)</f>
        <v>PAGE_INT_ENABLE</v>
      </c>
      <c r="C52" s="465" t="str">
        <f>VLOOKUP(A52,'Feature Raw Data'!$A$3:$C$3996,3,FALSE)</f>
        <v>P2</v>
      </c>
      <c r="D52" s="466" t="str" cm="1">
        <f t="array" ref="D52">_xlfn.TEXTJOIN("",TRUE,IF(ISNUMBER(SEARCH($A52,'Diags Raw Data'!$A$6:$A$3752)),CONCATENATE('Diags Raw Data'!$H$6:$H$3752,", "),""))</f>
        <v/>
      </c>
      <c r="E52" s="461" t="e">
        <f>VLOOKUP(A52,'Diags Raw Data'!$A$6:$D$3752,4,FALSE)</f>
        <v>#N/A</v>
      </c>
      <c r="F52" s="337" t="str">
        <f>VLOOKUP(A52,'Feature Raw Data'!$A$3:$E$3996,5,FALSE)</f>
        <v>Legacy</v>
      </c>
      <c r="G52" s="337" t="str">
        <f t="shared" si="6"/>
        <v>No</v>
      </c>
      <c r="H52" s="337" t="str">
        <f t="shared" si="7"/>
        <v>No</v>
      </c>
      <c r="I52" s="465">
        <f>SUMIF('Diags Raw Data'!$A$6:$A$3752,"*"&amp;$A52&amp;"*",'Diags Raw Data'!$J$6:$J$3752)</f>
        <v>0</v>
      </c>
      <c r="J52" s="467">
        <f>SUMIF('Diags Raw Data'!$A$6:$A$3752,"*"&amp;$A52&amp;"*",'Diags Raw Data'!$K$6:$K$3752)</f>
        <v>0</v>
      </c>
      <c r="K52" s="518" cm="1">
        <f t="array" ref="K52">IF(D52="",0, SUMPRODUCT(--(ISNUMBER(SEARCH($A52,'Diags Raw Data'!$A$6:$A$3752))),'Diags Raw Data'!$K$6:$K$3752,'Diags Raw Data'!$M$6:$M$3752)/J52)</f>
        <v>0</v>
      </c>
      <c r="L52" s="519" cm="1">
        <f t="array" ref="L52">IF(D52="",0, SUMPRODUCT(--(ISNUMBER(SEARCH($A52,'Diags Raw Data'!$A$6:$A$3752))),'Diags Raw Data'!$K$6:$K$3752,'Diags Raw Data'!$O$6:$O$3752)/J52)</f>
        <v>0</v>
      </c>
      <c r="M52" s="511" cm="1">
        <f t="array" ref="M52">SUMPRODUCT(--(ISNUMBER(SEARCH($A52,'Diags Raw Data'!$A$6:$A$3752))),--('Diags Raw Data'!$P$6:$P$3752&lt;&gt;"N/A"),'Diags Raw Data'!$Q$6:$Q$3752)</f>
        <v>0</v>
      </c>
      <c r="N52" s="520" cm="1">
        <f t="array" ref="N52">SUMPRODUCT(--(ISNUMBER(SEARCH($A52,'Diags Raw Data'!$A$6:$A$3752))),--('Diags Raw Data'!$P$6:$P$3752&lt;&gt;"N/A"),'Diags Raw Data'!$S$6:$S$3752)+SUMPRODUCT(--(ISNUMBER(SEARCH($A52,'Diags Raw Data'!$A$6:$A$3752))),--('Diags Raw Data'!$P$6:$P$3752&lt;&gt;"N/A"),'Diags Raw Data'!$T$6:$T$3752)</f>
        <v>0</v>
      </c>
      <c r="O52" s="521">
        <f t="shared" si="1"/>
        <v>0</v>
      </c>
      <c r="P52" s="522">
        <f>SUMIF('Diags Raw Data'!$A$6:$A$3752,"*"&amp;$A52&amp;"*",'Diags Raw Data'!$Y$6:$Y$3752)</f>
        <v>0</v>
      </c>
      <c r="Q52" s="523">
        <f>SUM(SUMIF('Diags Raw Data'!$A$6:$A$3752,"*"&amp;$A52&amp;"*",'Diags Raw Data'!$Z$6:$Z$3752),SUMIF('Diags Raw Data'!$A$6:$A$3752,"*"&amp;$A52&amp;"*",'Diags Raw Data'!$AA$6:$AA$3752))</f>
        <v>0</v>
      </c>
      <c r="R52" s="524">
        <f t="shared" si="2"/>
        <v>0</v>
      </c>
      <c r="S52" s="524">
        <f t="shared" si="3"/>
        <v>0</v>
      </c>
      <c r="T52" s="525">
        <f t="shared" si="4"/>
        <v>0</v>
      </c>
      <c r="U52" s="468" t="s">
        <v>438</v>
      </c>
      <c r="V52" s="179"/>
    </row>
    <row r="53" spans="1:22" ht="15">
      <c r="A53" s="335" t="s">
        <v>700</v>
      </c>
      <c r="B53" s="464" t="str">
        <f>VLOOKUP(A53,'Feature Raw Data'!$A$3:$B$3996,2,FALSE)</f>
        <v>Parallelize SDMA ucode loading</v>
      </c>
      <c r="C53" s="465" t="str">
        <f>VLOOKUP(A53,'Feature Raw Data'!$A$3:$C$3996,3,FALSE)</f>
        <v>P2</v>
      </c>
      <c r="D53" s="466" t="str" cm="1">
        <f t="array" ref="D53">_xlfn.TEXTJOIN("",TRUE,IF(ISNUMBER(SEARCH($A53,'Diags Raw Data'!$A$6:$A$3752)),CONCATENATE('Diags Raw Data'!$H$6:$H$3752,", "),""))</f>
        <v/>
      </c>
      <c r="E53" s="461" t="e">
        <f>VLOOKUP(A53,'Diags Raw Data'!$A$6:$D$3752,4,FALSE)</f>
        <v>#N/A</v>
      </c>
      <c r="F53" s="337" t="str">
        <f>VLOOKUP(A53,'Feature Raw Data'!$A$3:$E$3996,5,FALSE)</f>
        <v>Legacy</v>
      </c>
      <c r="G53" s="461" t="s">
        <v>31</v>
      </c>
      <c r="H53" s="337" t="str">
        <f t="shared" si="7"/>
        <v>No</v>
      </c>
      <c r="I53" s="465">
        <f>SUMIF('Diags Raw Data'!$A$6:$A$3752,"*"&amp;$A53&amp;"*",'Diags Raw Data'!$J$6:$J$3752)</f>
        <v>0</v>
      </c>
      <c r="J53" s="467">
        <f>SUMIF('Diags Raw Data'!$A$6:$A$3752,"*"&amp;$A53&amp;"*",'Diags Raw Data'!$K$6:$K$3752)</f>
        <v>0</v>
      </c>
      <c r="K53" s="518" cm="1">
        <f t="array" ref="K53">IF(D53="",0, SUMPRODUCT(--(ISNUMBER(SEARCH($A53,'Diags Raw Data'!$A$6:$A$3752))),'Diags Raw Data'!$K$6:$K$3752,'Diags Raw Data'!$M$6:$M$3752)/J53)</f>
        <v>0</v>
      </c>
      <c r="L53" s="519" cm="1">
        <f t="array" ref="L53">IF(D53="",0, SUMPRODUCT(--(ISNUMBER(SEARCH($A53,'Diags Raw Data'!$A$6:$A$3752))),'Diags Raw Data'!$K$6:$K$3752,'Diags Raw Data'!$O$6:$O$3752)/J53)</f>
        <v>0</v>
      </c>
      <c r="M53" s="511" cm="1">
        <f t="array" ref="M53">SUMPRODUCT(--(ISNUMBER(SEARCH($A53,'Diags Raw Data'!$A$6:$A$3752))),--('Diags Raw Data'!$P$6:$P$3752&lt;&gt;"N/A"),'Diags Raw Data'!$Q$6:$Q$3752)</f>
        <v>0</v>
      </c>
      <c r="N53" s="520" cm="1">
        <f t="array" ref="N53">SUMPRODUCT(--(ISNUMBER(SEARCH($A53,'Diags Raw Data'!$A$6:$A$3752))),--('Diags Raw Data'!$P$6:$P$3752&lt;&gt;"N/A"),'Diags Raw Data'!$S$6:$S$3752)+SUMPRODUCT(--(ISNUMBER(SEARCH($A53,'Diags Raw Data'!$A$6:$A$3752))),--('Diags Raw Data'!$P$6:$P$3752&lt;&gt;"N/A"),'Diags Raw Data'!$T$6:$T$3752)</f>
        <v>0</v>
      </c>
      <c r="O53" s="521">
        <f t="shared" si="1"/>
        <v>0</v>
      </c>
      <c r="P53" s="522">
        <f>SUMIF('Diags Raw Data'!$A$6:$A$3752,"*"&amp;$A53&amp;"*",'Diags Raw Data'!$Y$6:$Y$3752)</f>
        <v>0</v>
      </c>
      <c r="Q53" s="523">
        <f>SUM(SUMIF('Diags Raw Data'!$A$6:$A$3752,"*"&amp;$A53&amp;"*",'Diags Raw Data'!$Z$6:$Z$3752),SUMIF('Diags Raw Data'!$A$6:$A$3752,"*"&amp;$A53&amp;"*",'Diags Raw Data'!$AA$6:$AA$3752))</f>
        <v>0</v>
      </c>
      <c r="R53" s="524">
        <f t="shared" si="2"/>
        <v>0</v>
      </c>
      <c r="S53" s="524">
        <f t="shared" si="3"/>
        <v>0</v>
      </c>
      <c r="T53" s="525">
        <f t="shared" si="4"/>
        <v>0</v>
      </c>
      <c r="U53" s="468" t="s">
        <v>301</v>
      </c>
      <c r="V53" s="179"/>
    </row>
    <row r="54" spans="1:22" ht="15">
      <c r="A54" s="335" t="s">
        <v>397</v>
      </c>
      <c r="B54" s="464" t="str">
        <f>VLOOKUP(A54,'Feature Raw Data'!$A$3:$B$3996,2,FALSE)</f>
        <v>Physical linear copy</v>
      </c>
      <c r="C54" s="465" t="str">
        <f>VLOOKUP(A54,'Feature Raw Data'!$A$3:$C$3996,3,FALSE)</f>
        <v>P2</v>
      </c>
      <c r="D54" s="466" t="str" cm="1">
        <f t="array" ref="D54">_xlfn.TEXTJOIN("",TRUE,IF(ISNUMBER(SEARCH($A54,'Diags Raw Data'!$A$6:$A$3752)),CONCATENATE('Diags Raw Data'!$H$6:$H$3752,", "),""))</f>
        <v xml:space="preserve">nsdma6.1, </v>
      </c>
      <c r="E54" s="461" t="str">
        <f>VLOOKUP(A54,'Diags Raw Data'!$A$6:$D$3752,4,FALSE)</f>
        <v>SDMA</v>
      </c>
      <c r="F54" s="337" t="str">
        <f>VLOOKUP(A54,'Feature Raw Data'!$A$3:$E$3996,5,FALSE)</f>
        <v>Legacy</v>
      </c>
      <c r="G54" s="337" t="str">
        <f t="shared" si="6"/>
        <v>Yes</v>
      </c>
      <c r="H54" s="337" t="str">
        <f t="shared" si="7"/>
        <v>Yes</v>
      </c>
      <c r="I54" s="465">
        <f>SUMIF('Diags Raw Data'!$A$6:$A$3752,"*"&amp;$A54&amp;"*",'Diags Raw Data'!$J$6:$J$3752)</f>
        <v>1</v>
      </c>
      <c r="J54" s="467">
        <f>SUMIF('Diags Raw Data'!$A$6:$A$3752,"*"&amp;$A54&amp;"*",'Diags Raw Data'!$K$6:$K$3752)</f>
        <v>1</v>
      </c>
      <c r="K54" s="518" cm="1">
        <f t="array" ref="K54">IF(D54="",0, SUMPRODUCT(--(ISNUMBER(SEARCH($A54,'Diags Raw Data'!$A$6:$A$3752))),'Diags Raw Data'!$K$6:$K$3752,'Diags Raw Data'!$M$6:$M$3752)/J54)</f>
        <v>1</v>
      </c>
      <c r="L54" s="519" cm="1">
        <f t="array" ref="L54">IF(D54="",0, SUMPRODUCT(--(ISNUMBER(SEARCH($A54,'Diags Raw Data'!$A$6:$A$3752))),'Diags Raw Data'!$K$6:$K$3752,'Diags Raw Data'!$O$6:$O$3752)/J54)</f>
        <v>1</v>
      </c>
      <c r="M54" s="511" cm="1">
        <f t="array" ref="M54">SUMPRODUCT(--(ISNUMBER(SEARCH($A54,'Diags Raw Data'!$A$6:$A$3752))),--('Diags Raw Data'!$P$6:$P$3752&lt;&gt;"N/A"),'Diags Raw Data'!$Q$6:$Q$3752)</f>
        <v>1</v>
      </c>
      <c r="N54" s="520" cm="1">
        <f t="array" ref="N54">SUMPRODUCT(--(ISNUMBER(SEARCH($A54,'Diags Raw Data'!$A$6:$A$3752))),--('Diags Raw Data'!$P$6:$P$3752&lt;&gt;"N/A"),'Diags Raw Data'!$S$6:$S$3752)+SUMPRODUCT(--(ISNUMBER(SEARCH($A54,'Diags Raw Data'!$A$6:$A$3752))),--('Diags Raw Data'!$P$6:$P$3752&lt;&gt;"N/A"),'Diags Raw Data'!$T$6:$T$3752)</f>
        <v>0</v>
      </c>
      <c r="O54" s="521">
        <f t="shared" si="1"/>
        <v>0</v>
      </c>
      <c r="P54" s="522">
        <f>SUMIF('Diags Raw Data'!$A$6:$A$3752,"*"&amp;$A54&amp;"*",'Diags Raw Data'!$Y$6:$Y$3752)</f>
        <v>0</v>
      </c>
      <c r="Q54" s="523">
        <f>SUM(SUMIF('Diags Raw Data'!$A$6:$A$3752,"*"&amp;$A54&amp;"*",'Diags Raw Data'!$Z$6:$Z$3752),SUMIF('Diags Raw Data'!$A$6:$A$3752,"*"&amp;$A54&amp;"*",'Diags Raw Data'!$AA$6:$AA$3752))</f>
        <v>0</v>
      </c>
      <c r="R54" s="524">
        <f t="shared" si="2"/>
        <v>0</v>
      </c>
      <c r="S54" s="524">
        <f t="shared" si="3"/>
        <v>0</v>
      </c>
      <c r="T54" s="525">
        <f t="shared" si="4"/>
        <v>0</v>
      </c>
      <c r="U54" s="468" t="s">
        <v>301</v>
      </c>
      <c r="V54" s="179"/>
    </row>
    <row r="55" spans="1:22" ht="15">
      <c r="A55" s="335" t="s">
        <v>401</v>
      </c>
      <c r="B55" s="464" t="str">
        <f>VLOOKUP(A55,'Feature Raw Data'!$A$3:$B$3996,2,FALSE)</f>
        <v>Poll Memory/Register Command</v>
      </c>
      <c r="C55" s="465" t="str">
        <f>VLOOKUP(A55,'Feature Raw Data'!$A$3:$C$3996,3,FALSE)</f>
        <v>P2</v>
      </c>
      <c r="D55" s="466" t="str" cm="1">
        <f t="array" ref="D55">_xlfn.TEXTJOIN("",TRUE,IF(ISNUMBER(SEARCH($A55,'Diags Raw Data'!$A$6:$A$3752)),CONCATENATE('Diags Raw Data'!$H$6:$H$3752,", "),""))</f>
        <v xml:space="preserve">nsdma16.1-10, </v>
      </c>
      <c r="E55" s="461" t="str">
        <f>VLOOKUP(A55,'Diags Raw Data'!$A$6:$D$3752,4,FALSE)</f>
        <v>SDMA</v>
      </c>
      <c r="F55" s="337" t="str">
        <f>VLOOKUP(A55,'Feature Raw Data'!$A$3:$E$3996,5,FALSE)</f>
        <v>Legacy</v>
      </c>
      <c r="G55" s="337" t="s">
        <v>31</v>
      </c>
      <c r="H55" s="337" t="s">
        <v>31</v>
      </c>
      <c r="I55" s="465">
        <f>SUMIF('Diags Raw Data'!$A$6:$A$3752,"*"&amp;$A55&amp;"*",'Diags Raw Data'!$J$6:$J$3752)</f>
        <v>1</v>
      </c>
      <c r="J55" s="467">
        <f>SUMIF('Diags Raw Data'!$A$6:$A$3752,"*"&amp;$A55&amp;"*",'Diags Raw Data'!$K$6:$K$3752)</f>
        <v>10</v>
      </c>
      <c r="K55" s="518" cm="1">
        <f t="array" ref="K55">IF(D55="",0, SUMPRODUCT(--(ISNUMBER(SEARCH($A55,'Diags Raw Data'!$A$6:$A$3752))),'Diags Raw Data'!$K$6:$K$3752,'Diags Raw Data'!$M$6:$M$3752)/J55)</f>
        <v>1</v>
      </c>
      <c r="L55" s="519" cm="1">
        <f t="array" ref="L55">IF(D55="",0, SUMPRODUCT(--(ISNUMBER(SEARCH($A55,'Diags Raw Data'!$A$6:$A$3752))),'Diags Raw Data'!$K$6:$K$3752,'Diags Raw Data'!$O$6:$O$3752)/J55)</f>
        <v>1</v>
      </c>
      <c r="M55" s="511" cm="1">
        <f t="array" ref="M55">SUMPRODUCT(--(ISNUMBER(SEARCH($A55,'Diags Raw Data'!$A$6:$A$3752))),--('Diags Raw Data'!$P$6:$P$3752&lt;&gt;"N/A"),'Diags Raw Data'!$Q$6:$Q$3752)</f>
        <v>10</v>
      </c>
      <c r="N55" s="520" cm="1">
        <f t="array" ref="N55">SUMPRODUCT(--(ISNUMBER(SEARCH($A55,'Diags Raw Data'!$A$6:$A$3752))),--('Diags Raw Data'!$P$6:$P$3752&lt;&gt;"N/A"),'Diags Raw Data'!$S$6:$S$3752)+SUMPRODUCT(--(ISNUMBER(SEARCH($A55,'Diags Raw Data'!$A$6:$A$3752))),--('Diags Raw Data'!$P$6:$P$3752&lt;&gt;"N/A"),'Diags Raw Data'!$T$6:$T$3752)</f>
        <v>10</v>
      </c>
      <c r="O55" s="521">
        <f t="shared" si="1"/>
        <v>1</v>
      </c>
      <c r="P55" s="522">
        <f>SUMIF('Diags Raw Data'!$A$6:$A$3752,"*"&amp;$A55&amp;"*",'Diags Raw Data'!$Y$6:$Y$3752)</f>
        <v>0</v>
      </c>
      <c r="Q55" s="523">
        <f>SUM(SUMIF('Diags Raw Data'!$A$6:$A$3752,"*"&amp;$A55&amp;"*",'Diags Raw Data'!$Z$6:$Z$3752),SUMIF('Diags Raw Data'!$A$6:$A$3752,"*"&amp;$A55&amp;"*",'Diags Raw Data'!$AA$6:$AA$3752))</f>
        <v>0</v>
      </c>
      <c r="R55" s="524">
        <f t="shared" si="2"/>
        <v>0</v>
      </c>
      <c r="S55" s="524">
        <f t="shared" si="3"/>
        <v>0</v>
      </c>
      <c r="T55" s="525">
        <f t="shared" si="4"/>
        <v>0</v>
      </c>
      <c r="U55" s="468" t="s">
        <v>836</v>
      </c>
      <c r="V55" s="179"/>
    </row>
    <row r="56" spans="1:22" ht="15">
      <c r="A56" s="335" t="s">
        <v>404</v>
      </c>
      <c r="B56" s="464" t="str">
        <f>VLOOKUP(A56,'Feature Raw Data'!$A$3:$B$3996,2,FALSE)</f>
        <v>Predicated Execution Command</v>
      </c>
      <c r="C56" s="465" t="str">
        <f>VLOOKUP(A56,'Feature Raw Data'!$A$3:$C$3996,3,FALSE)</f>
        <v>P2</v>
      </c>
      <c r="D56" s="466" t="str" cm="1">
        <f t="array" ref="D56">_xlfn.TEXTJOIN("",TRUE,IF(ISNUMBER(SEARCH($A56,'Diags Raw Data'!$A$6:$A$3752)),CONCATENATE('Diags Raw Data'!$H$6:$H$3752,", "),""))</f>
        <v xml:space="preserve">nsdma182.1, </v>
      </c>
      <c r="E56" s="461" t="str">
        <f>VLOOKUP(A56,'Diags Raw Data'!$A$6:$D$3752,4,FALSE)</f>
        <v>SDMA</v>
      </c>
      <c r="F56" s="337" t="str">
        <f>VLOOKUP(A56,'Feature Raw Data'!$A$3:$E$3996,5,FALSE)</f>
        <v>Legacy</v>
      </c>
      <c r="G56" s="337" t="str">
        <f t="shared" si="6"/>
        <v>Yes</v>
      </c>
      <c r="H56" s="337" t="str">
        <f t="shared" si="7"/>
        <v>Yes</v>
      </c>
      <c r="I56" s="465">
        <f>SUMIF('Diags Raw Data'!$A$6:$A$3752,"*"&amp;$A56&amp;"*",'Diags Raw Data'!$J$6:$J$3752)</f>
        <v>1</v>
      </c>
      <c r="J56" s="467">
        <f>SUMIF('Diags Raw Data'!$A$6:$A$3752,"*"&amp;$A56&amp;"*",'Diags Raw Data'!$K$6:$K$3752)</f>
        <v>1</v>
      </c>
      <c r="K56" s="518" cm="1">
        <f t="array" ref="K56">IF(D56="",0, SUMPRODUCT(--(ISNUMBER(SEARCH($A56,'Diags Raw Data'!$A$6:$A$3752))),'Diags Raw Data'!$K$6:$K$3752,'Diags Raw Data'!$M$6:$M$3752)/J56)</f>
        <v>1</v>
      </c>
      <c r="L56" s="519" cm="1">
        <f t="array" ref="L56">IF(D56="",0, SUMPRODUCT(--(ISNUMBER(SEARCH($A56,'Diags Raw Data'!$A$6:$A$3752))),'Diags Raw Data'!$K$6:$K$3752,'Diags Raw Data'!$O$6:$O$3752)/J56)</f>
        <v>1</v>
      </c>
      <c r="M56" s="511" cm="1">
        <f t="array" ref="M56">SUMPRODUCT(--(ISNUMBER(SEARCH($A56,'Diags Raw Data'!$A$6:$A$3752))),--('Diags Raw Data'!$P$6:$P$3752&lt;&gt;"N/A"),'Diags Raw Data'!$Q$6:$Q$3752)</f>
        <v>1</v>
      </c>
      <c r="N56" s="520" cm="1">
        <f t="array" ref="N56">SUMPRODUCT(--(ISNUMBER(SEARCH($A56,'Diags Raw Data'!$A$6:$A$3752))),--('Diags Raw Data'!$P$6:$P$3752&lt;&gt;"N/A"),'Diags Raw Data'!$S$6:$S$3752)+SUMPRODUCT(--(ISNUMBER(SEARCH($A56,'Diags Raw Data'!$A$6:$A$3752))),--('Diags Raw Data'!$P$6:$P$3752&lt;&gt;"N/A"),'Diags Raw Data'!$T$6:$T$3752)</f>
        <v>1</v>
      </c>
      <c r="O56" s="521">
        <f t="shared" si="1"/>
        <v>1</v>
      </c>
      <c r="P56" s="522">
        <f>SUMIF('Diags Raw Data'!$A$6:$A$3752,"*"&amp;$A56&amp;"*",'Diags Raw Data'!$Y$6:$Y$3752)</f>
        <v>0</v>
      </c>
      <c r="Q56" s="523">
        <f>SUM(SUMIF('Diags Raw Data'!$A$6:$A$3752,"*"&amp;$A56&amp;"*",'Diags Raw Data'!$Z$6:$Z$3752),SUMIF('Diags Raw Data'!$A$6:$A$3752,"*"&amp;$A56&amp;"*",'Diags Raw Data'!$AA$6:$AA$3752))</f>
        <v>0</v>
      </c>
      <c r="R56" s="524">
        <f t="shared" si="2"/>
        <v>0</v>
      </c>
      <c r="S56" s="524">
        <f t="shared" si="3"/>
        <v>0</v>
      </c>
      <c r="T56" s="525">
        <f t="shared" si="4"/>
        <v>0</v>
      </c>
      <c r="U56" s="468" t="s">
        <v>301</v>
      </c>
      <c r="V56" s="179"/>
    </row>
    <row r="57" spans="1:22" ht="15">
      <c r="A57" s="335" t="s">
        <v>407</v>
      </c>
      <c r="B57" s="464" t="str">
        <f>VLOOKUP(A57,'Feature Raw Data'!$A$3:$B$3996,2,FALSE)</f>
        <v>RAW dependency check</v>
      </c>
      <c r="C57" s="465" t="str">
        <f>VLOOKUP(A57,'Feature Raw Data'!$A$3:$C$3996,3,FALSE)</f>
        <v>P2</v>
      </c>
      <c r="D57" s="466" t="str" cm="1">
        <f t="array" ref="D57">_xlfn.TEXTJOIN("",TRUE,IF(ISNUMBER(SEARCH($A57,'Diags Raw Data'!$A$6:$A$3752)),CONCATENATE('Diags Raw Data'!$H$6:$H$3752,", "),""))</f>
        <v xml:space="preserve">sdma68.1, </v>
      </c>
      <c r="E57" s="461" t="str">
        <f>VLOOKUP(A57,'Diags Raw Data'!$A$6:$D$3752,4,FALSE)</f>
        <v>SDMA</v>
      </c>
      <c r="F57" s="337" t="str">
        <f>VLOOKUP(A57,'Feature Raw Data'!$A$3:$E$3996,5,FALSE)</f>
        <v>Legacy</v>
      </c>
      <c r="G57" s="337" t="str">
        <f t="shared" si="6"/>
        <v>Yes</v>
      </c>
      <c r="H57" s="337" t="str">
        <f t="shared" si="7"/>
        <v>Yes</v>
      </c>
      <c r="I57" s="465">
        <f>SUMIF('Diags Raw Data'!$A$6:$A$3752,"*"&amp;$A57&amp;"*",'Diags Raw Data'!$J$6:$J$3752)</f>
        <v>1</v>
      </c>
      <c r="J57" s="467">
        <f>SUMIF('Diags Raw Data'!$A$6:$A$3752,"*"&amp;$A57&amp;"*",'Diags Raw Data'!$K$6:$K$3752)</f>
        <v>1</v>
      </c>
      <c r="K57" s="518" cm="1">
        <f t="array" ref="K57">IF(D57="",0, SUMPRODUCT(--(ISNUMBER(SEARCH($A57,'Diags Raw Data'!$A$6:$A$3752))),'Diags Raw Data'!$K$6:$K$3752,'Diags Raw Data'!$M$6:$M$3752)/J57)</f>
        <v>1</v>
      </c>
      <c r="L57" s="519" cm="1">
        <f t="array" ref="L57">IF(D57="",0, SUMPRODUCT(--(ISNUMBER(SEARCH($A57,'Diags Raw Data'!$A$6:$A$3752))),'Diags Raw Data'!$K$6:$K$3752,'Diags Raw Data'!$O$6:$O$3752)/J57)</f>
        <v>1</v>
      </c>
      <c r="M57" s="511" cm="1">
        <f t="array" ref="M57">SUMPRODUCT(--(ISNUMBER(SEARCH($A57,'Diags Raw Data'!$A$6:$A$3752))),--('Diags Raw Data'!$P$6:$P$3752&lt;&gt;"N/A"),'Diags Raw Data'!$Q$6:$Q$3752)</f>
        <v>1</v>
      </c>
      <c r="N57" s="520" cm="1">
        <f t="array" ref="N57">SUMPRODUCT(--(ISNUMBER(SEARCH($A57,'Diags Raw Data'!$A$6:$A$3752))),--('Diags Raw Data'!$P$6:$P$3752&lt;&gt;"N/A"),'Diags Raw Data'!$S$6:$S$3752)+SUMPRODUCT(--(ISNUMBER(SEARCH($A57,'Diags Raw Data'!$A$6:$A$3752))),--('Diags Raw Data'!$P$6:$P$3752&lt;&gt;"N/A"),'Diags Raw Data'!$T$6:$T$3752)</f>
        <v>1</v>
      </c>
      <c r="O57" s="521">
        <f t="shared" si="1"/>
        <v>1</v>
      </c>
      <c r="P57" s="522">
        <f>SUMIF('Diags Raw Data'!$A$6:$A$3752,"*"&amp;$A57&amp;"*",'Diags Raw Data'!$Y$6:$Y$3752)</f>
        <v>0</v>
      </c>
      <c r="Q57" s="523">
        <f>SUM(SUMIF('Diags Raw Data'!$A$6:$A$3752,"*"&amp;$A57&amp;"*",'Diags Raw Data'!$Z$6:$Z$3752),SUMIF('Diags Raw Data'!$A$6:$A$3752,"*"&amp;$A57&amp;"*",'Diags Raw Data'!$AA$6:$AA$3752))</f>
        <v>0</v>
      </c>
      <c r="R57" s="524">
        <f t="shared" si="2"/>
        <v>0</v>
      </c>
      <c r="S57" s="524">
        <f t="shared" si="3"/>
        <v>0</v>
      </c>
      <c r="T57" s="525">
        <f t="shared" si="4"/>
        <v>0</v>
      </c>
      <c r="U57" s="468" t="s">
        <v>438</v>
      </c>
      <c r="V57" s="179"/>
    </row>
    <row r="58" spans="1:22" ht="15">
      <c r="A58" s="335" t="s">
        <v>410</v>
      </c>
      <c r="B58" s="464" t="str">
        <f>VLOOKUP(A58,'Feature Raw Data'!$A$3:$B$3996,2,FALSE)</f>
        <v>Ring Buffer Preemption between contexts</v>
      </c>
      <c r="C58" s="465" t="str">
        <f>VLOOKUP(A58,'Feature Raw Data'!$A$3:$C$3996,3,FALSE)</f>
        <v>P2</v>
      </c>
      <c r="D58" s="466" t="str" cm="1">
        <f t="array" ref="D58">_xlfn.TEXTJOIN("",TRUE,IF(ISNUMBER(SEARCH($A58,'Diags Raw Data'!$A$6:$A$3752)),CONCATENATE('Diags Raw Data'!$H$6:$H$3752,", "),""))</f>
        <v xml:space="preserve">nsmda217.1, </v>
      </c>
      <c r="E58" s="461" t="str">
        <f>VLOOKUP(A58,'Diags Raw Data'!$A$6:$D$3752,4,FALSE)</f>
        <v>SDMA</v>
      </c>
      <c r="F58" s="337" t="str">
        <f>VLOOKUP(A58,'Feature Raw Data'!$A$3:$E$3996,5,FALSE)</f>
        <v>Legacy</v>
      </c>
      <c r="G58" s="337" t="str">
        <f t="shared" si="6"/>
        <v>Yes</v>
      </c>
      <c r="H58" s="337" t="str">
        <f t="shared" si="7"/>
        <v>Yes</v>
      </c>
      <c r="I58" s="465">
        <f>SUMIF('Diags Raw Data'!$A$6:$A$3752,"*"&amp;$A58&amp;"*",'Diags Raw Data'!$J$6:$J$3752)</f>
        <v>1</v>
      </c>
      <c r="J58" s="467">
        <f>SUMIF('Diags Raw Data'!$A$6:$A$3752,"*"&amp;$A58&amp;"*",'Diags Raw Data'!$K$6:$K$3752)</f>
        <v>1</v>
      </c>
      <c r="K58" s="518" cm="1">
        <f t="array" ref="K58">IF(D58="",0, SUMPRODUCT(--(ISNUMBER(SEARCH($A58,'Diags Raw Data'!$A$6:$A$3752))),'Diags Raw Data'!$K$6:$K$3752,'Diags Raw Data'!$M$6:$M$3752)/J58)</f>
        <v>1</v>
      </c>
      <c r="L58" s="519" cm="1">
        <f t="array" ref="L58">IF(D58="",0, SUMPRODUCT(--(ISNUMBER(SEARCH($A58,'Diags Raw Data'!$A$6:$A$3752))),'Diags Raw Data'!$K$6:$K$3752,'Diags Raw Data'!$O$6:$O$3752)/J58)</f>
        <v>1</v>
      </c>
      <c r="M58" s="511" cm="1">
        <f t="array" ref="M58">SUMPRODUCT(--(ISNUMBER(SEARCH($A58,'Diags Raw Data'!$A$6:$A$3752))),--('Diags Raw Data'!$P$6:$P$3752&lt;&gt;"N/A"),'Diags Raw Data'!$Q$6:$Q$3752)</f>
        <v>1</v>
      </c>
      <c r="N58" s="520" cm="1">
        <f t="array" ref="N58">SUMPRODUCT(--(ISNUMBER(SEARCH($A58,'Diags Raw Data'!$A$6:$A$3752))),--('Diags Raw Data'!$P$6:$P$3752&lt;&gt;"N/A"),'Diags Raw Data'!$S$6:$S$3752)+SUMPRODUCT(--(ISNUMBER(SEARCH($A58,'Diags Raw Data'!$A$6:$A$3752))),--('Diags Raw Data'!$P$6:$P$3752&lt;&gt;"N/A"),'Diags Raw Data'!$T$6:$T$3752)</f>
        <v>1</v>
      </c>
      <c r="O58" s="521">
        <f t="shared" si="1"/>
        <v>1</v>
      </c>
      <c r="P58" s="522">
        <f>SUMIF('Diags Raw Data'!$A$6:$A$3752,"*"&amp;$A58&amp;"*",'Diags Raw Data'!$Y$6:$Y$3752)</f>
        <v>0</v>
      </c>
      <c r="Q58" s="523">
        <f>SUM(SUMIF('Diags Raw Data'!$A$6:$A$3752,"*"&amp;$A58&amp;"*",'Diags Raw Data'!$Z$6:$Z$3752),SUMIF('Diags Raw Data'!$A$6:$A$3752,"*"&amp;$A58&amp;"*",'Diags Raw Data'!$AA$6:$AA$3752))</f>
        <v>0</v>
      </c>
      <c r="R58" s="524">
        <f t="shared" si="2"/>
        <v>0</v>
      </c>
      <c r="S58" s="524">
        <f t="shared" si="3"/>
        <v>0</v>
      </c>
      <c r="T58" s="525">
        <f t="shared" si="4"/>
        <v>0</v>
      </c>
      <c r="U58" s="468" t="s">
        <v>438</v>
      </c>
      <c r="V58" s="179"/>
    </row>
    <row r="59" spans="1:22" ht="15">
      <c r="A59" s="335" t="s">
        <v>413</v>
      </c>
      <c r="B59" s="464" t="str">
        <f>VLOOKUP(A59,'Feature Raw Data'!$A$3:$B$3996,2,FALSE)</f>
        <v>Ring Buffer Preemption within a context</v>
      </c>
      <c r="C59" s="465" t="str">
        <f>VLOOKUP(A59,'Feature Raw Data'!$A$3:$C$3996,3,FALSE)</f>
        <v>P2</v>
      </c>
      <c r="D59" s="466" t="str" cm="1">
        <f t="array" ref="D59">_xlfn.TEXTJOIN("",TRUE,IF(ISNUMBER(SEARCH($A59,'Diags Raw Data'!$A$6:$A$3752)),CONCATENATE('Diags Raw Data'!$H$6:$H$3752,", "),""))</f>
        <v xml:space="preserve">nsdma217.1, </v>
      </c>
      <c r="E59" s="461" t="str">
        <f>VLOOKUP(A59,'Diags Raw Data'!$A$6:$D$3752,4,FALSE)</f>
        <v>SDMA</v>
      </c>
      <c r="F59" s="337" t="str">
        <f>VLOOKUP(A59,'Feature Raw Data'!$A$3:$E$3996,5,FALSE)</f>
        <v>Legacy</v>
      </c>
      <c r="G59" s="337" t="str">
        <f t="shared" si="6"/>
        <v>Yes</v>
      </c>
      <c r="H59" s="337" t="str">
        <f t="shared" si="7"/>
        <v>Yes</v>
      </c>
      <c r="I59" s="465">
        <f>SUMIF('Diags Raw Data'!$A$6:$A$3752,"*"&amp;$A59&amp;"*",'Diags Raw Data'!$J$6:$J$3752)</f>
        <v>1</v>
      </c>
      <c r="J59" s="467">
        <f>SUMIF('Diags Raw Data'!$A$6:$A$3752,"*"&amp;$A59&amp;"*",'Diags Raw Data'!$K$6:$K$3752)</f>
        <v>1</v>
      </c>
      <c r="K59" s="518" cm="1">
        <f t="array" ref="K59">IF(D59="",0, SUMPRODUCT(--(ISNUMBER(SEARCH($A59,'Diags Raw Data'!$A$6:$A$3752))),'Diags Raw Data'!$K$6:$K$3752,'Diags Raw Data'!$M$6:$M$3752)/J59)</f>
        <v>1</v>
      </c>
      <c r="L59" s="519" cm="1">
        <f t="array" ref="L59">IF(D59="",0, SUMPRODUCT(--(ISNUMBER(SEARCH($A59,'Diags Raw Data'!$A$6:$A$3752))),'Diags Raw Data'!$K$6:$K$3752,'Diags Raw Data'!$O$6:$O$3752)/J59)</f>
        <v>1</v>
      </c>
      <c r="M59" s="511" cm="1">
        <f t="array" ref="M59">SUMPRODUCT(--(ISNUMBER(SEARCH($A59,'Diags Raw Data'!$A$6:$A$3752))),--('Diags Raw Data'!$P$6:$P$3752&lt;&gt;"N/A"),'Diags Raw Data'!$Q$6:$Q$3752)</f>
        <v>1</v>
      </c>
      <c r="N59" s="520" cm="1">
        <f t="array" ref="N59">SUMPRODUCT(--(ISNUMBER(SEARCH($A59,'Diags Raw Data'!$A$6:$A$3752))),--('Diags Raw Data'!$P$6:$P$3752&lt;&gt;"N/A"),'Diags Raw Data'!$S$6:$S$3752)+SUMPRODUCT(--(ISNUMBER(SEARCH($A59,'Diags Raw Data'!$A$6:$A$3752))),--('Diags Raw Data'!$P$6:$P$3752&lt;&gt;"N/A"),'Diags Raw Data'!$T$6:$T$3752)</f>
        <v>1</v>
      </c>
      <c r="O59" s="521">
        <f t="shared" si="1"/>
        <v>1</v>
      </c>
      <c r="P59" s="522">
        <f>SUMIF('Diags Raw Data'!$A$6:$A$3752,"*"&amp;$A59&amp;"*",'Diags Raw Data'!$Y$6:$Y$3752)</f>
        <v>0</v>
      </c>
      <c r="Q59" s="523">
        <f>SUM(SUMIF('Diags Raw Data'!$A$6:$A$3752,"*"&amp;$A59&amp;"*",'Diags Raw Data'!$Z$6:$Z$3752),SUMIF('Diags Raw Data'!$A$6:$A$3752,"*"&amp;$A59&amp;"*",'Diags Raw Data'!$AA$6:$AA$3752))</f>
        <v>0</v>
      </c>
      <c r="R59" s="524">
        <f t="shared" si="2"/>
        <v>0</v>
      </c>
      <c r="S59" s="524">
        <f t="shared" si="3"/>
        <v>0</v>
      </c>
      <c r="T59" s="525">
        <f t="shared" si="4"/>
        <v>0</v>
      </c>
      <c r="U59" s="468" t="s">
        <v>301</v>
      </c>
      <c r="V59" s="179"/>
    </row>
    <row r="60" spans="1:22" ht="15">
      <c r="A60" s="335" t="s">
        <v>702</v>
      </c>
      <c r="B60" s="464" t="str">
        <f>VLOOKUP(A60,'Feature Raw Data'!$A$3:$B$3996,2,FALSE)</f>
        <v>SDMA Freeze/Frozen</v>
      </c>
      <c r="C60" s="465" t="str">
        <f>VLOOKUP(A60,'Feature Raw Data'!$A$3:$C$3996,3,FALSE)</f>
        <v>P2</v>
      </c>
      <c r="D60" s="466" t="str" cm="1">
        <f t="array" ref="D60">_xlfn.TEXTJOIN("",TRUE,IF(ISNUMBER(SEARCH($A60,'Diags Raw Data'!$A$6:$A$3752)),CONCATENATE('Diags Raw Data'!$H$6:$H$3752,", "),""))</f>
        <v/>
      </c>
      <c r="E60" s="461" t="e">
        <f>VLOOKUP(A60,'Diags Raw Data'!$A$6:$D$3752,4,FALSE)</f>
        <v>#N/A</v>
      </c>
      <c r="F60" s="337" t="str">
        <f>VLOOKUP(A60,'Feature Raw Data'!$A$3:$E$3996,5,FALSE)</f>
        <v>Legacy</v>
      </c>
      <c r="G60" s="337" t="str">
        <f t="shared" si="6"/>
        <v>No</v>
      </c>
      <c r="H60" s="337" t="str">
        <f t="shared" si="7"/>
        <v>No</v>
      </c>
      <c r="I60" s="465">
        <f>SUMIF('Diags Raw Data'!$A$6:$A$3752,"*"&amp;$A60&amp;"*",'Diags Raw Data'!$J$6:$J$3752)</f>
        <v>0</v>
      </c>
      <c r="J60" s="467">
        <f>SUMIF('Diags Raw Data'!$A$6:$A$3752,"*"&amp;$A60&amp;"*",'Diags Raw Data'!$K$6:$K$3752)</f>
        <v>0</v>
      </c>
      <c r="K60" s="518" cm="1">
        <f t="array" ref="K60">IF(D60="",0, SUMPRODUCT(--(ISNUMBER(SEARCH($A60,'Diags Raw Data'!$A$6:$A$3752))),'Diags Raw Data'!$K$6:$K$3752,'Diags Raw Data'!$M$6:$M$3752)/J60)</f>
        <v>0</v>
      </c>
      <c r="L60" s="519" cm="1">
        <f t="array" ref="L60">IF(D60="",0, SUMPRODUCT(--(ISNUMBER(SEARCH($A60,'Diags Raw Data'!$A$6:$A$3752))),'Diags Raw Data'!$K$6:$K$3752,'Diags Raw Data'!$O$6:$O$3752)/J60)</f>
        <v>0</v>
      </c>
      <c r="M60" s="511" cm="1">
        <f t="array" ref="M60">SUMPRODUCT(--(ISNUMBER(SEARCH($A60,'Diags Raw Data'!$A$6:$A$3752))),--('Diags Raw Data'!$P$6:$P$3752&lt;&gt;"N/A"),'Diags Raw Data'!$Q$6:$Q$3752)</f>
        <v>0</v>
      </c>
      <c r="N60" s="520" cm="1">
        <f t="array" ref="N60">SUMPRODUCT(--(ISNUMBER(SEARCH($A60,'Diags Raw Data'!$A$6:$A$3752))),--('Diags Raw Data'!$P$6:$P$3752&lt;&gt;"N/A"),'Diags Raw Data'!$S$6:$S$3752)+SUMPRODUCT(--(ISNUMBER(SEARCH($A60,'Diags Raw Data'!$A$6:$A$3752))),--('Diags Raw Data'!$P$6:$P$3752&lt;&gt;"N/A"),'Diags Raw Data'!$T$6:$T$3752)</f>
        <v>0</v>
      </c>
      <c r="O60" s="521">
        <f t="shared" si="1"/>
        <v>0</v>
      </c>
      <c r="P60" s="522">
        <f>SUMIF('Diags Raw Data'!$A$6:$A$3752,"*"&amp;$A60&amp;"*",'Diags Raw Data'!$Y$6:$Y$3752)</f>
        <v>0</v>
      </c>
      <c r="Q60" s="523">
        <f>SUM(SUMIF('Diags Raw Data'!$A$6:$A$3752,"*"&amp;$A60&amp;"*",'Diags Raw Data'!$Z$6:$Z$3752),SUMIF('Diags Raw Data'!$A$6:$A$3752,"*"&amp;$A60&amp;"*",'Diags Raw Data'!$AA$6:$AA$3752))</f>
        <v>0</v>
      </c>
      <c r="R60" s="524">
        <f t="shared" si="2"/>
        <v>0</v>
      </c>
      <c r="S60" s="524">
        <f t="shared" si="3"/>
        <v>0</v>
      </c>
      <c r="T60" s="525">
        <f t="shared" si="4"/>
        <v>0</v>
      </c>
      <c r="U60" s="468" t="s">
        <v>832</v>
      </c>
      <c r="V60" s="179"/>
    </row>
    <row r="61" spans="1:22" ht="15">
      <c r="A61" s="335" t="s">
        <v>415</v>
      </c>
      <c r="B61" s="464" t="str">
        <f>VLOOKUP(A61,'Feature Raw Data'!$A$3:$B$3996,2,FALSE)</f>
        <v>SDMA Master Firewall</v>
      </c>
      <c r="C61" s="465" t="str">
        <f>VLOOKUP(A61,'Feature Raw Data'!$A$3:$C$3996,3,FALSE)</f>
        <v>P2</v>
      </c>
      <c r="D61" s="466" t="str" cm="1">
        <f t="array" ref="D61">_xlfn.TEXTJOIN("",TRUE,IF(ISNUMBER(SEARCH($A61,'Diags Raw Data'!$A$6:$A$3752)),CONCATENATE('Diags Raw Data'!$H$6:$H$3752,", "),""))</f>
        <v xml:space="preserve">nsdma222.1-34, </v>
      </c>
      <c r="E61" s="461" t="str">
        <f>VLOOKUP(A61,'Diags Raw Data'!$A$6:$D$3752,4,FALSE)</f>
        <v>SDMA</v>
      </c>
      <c r="F61" s="337" t="str">
        <f>VLOOKUP(A61,'Feature Raw Data'!$A$3:$E$3996,5,FALSE)</f>
        <v>Legacy</v>
      </c>
      <c r="G61" s="337" t="str">
        <f t="shared" si="6"/>
        <v>Yes</v>
      </c>
      <c r="H61" s="337" t="str">
        <f t="shared" si="7"/>
        <v>Yes</v>
      </c>
      <c r="I61" s="465">
        <f>SUMIF('Diags Raw Data'!$A$6:$A$3752,"*"&amp;$A61&amp;"*",'Diags Raw Data'!$J$6:$J$3752)</f>
        <v>1</v>
      </c>
      <c r="J61" s="467">
        <f>SUMIF('Diags Raw Data'!$A$6:$A$3752,"*"&amp;$A61&amp;"*",'Diags Raw Data'!$K$6:$K$3752)</f>
        <v>34</v>
      </c>
      <c r="K61" s="518" cm="1">
        <f t="array" ref="K61">IF(D61="",0, SUMPRODUCT(--(ISNUMBER(SEARCH($A61,'Diags Raw Data'!$A$6:$A$3752))),'Diags Raw Data'!$K$6:$K$3752,'Diags Raw Data'!$M$6:$M$3752)/J61)</f>
        <v>1</v>
      </c>
      <c r="L61" s="519" cm="1">
        <f t="array" ref="L61">IF(D61="",0, SUMPRODUCT(--(ISNUMBER(SEARCH($A61,'Diags Raw Data'!$A$6:$A$3752))),'Diags Raw Data'!$K$6:$K$3752,'Diags Raw Data'!$O$6:$O$3752)/J61)</f>
        <v>1</v>
      </c>
      <c r="M61" s="511" cm="1">
        <f t="array" ref="M61">SUMPRODUCT(--(ISNUMBER(SEARCH($A61,'Diags Raw Data'!$A$6:$A$3752))),--('Diags Raw Data'!$P$6:$P$3752&lt;&gt;"N/A"),'Diags Raw Data'!$Q$6:$Q$3752)</f>
        <v>34</v>
      </c>
      <c r="N61" s="520" cm="1">
        <f t="array" ref="N61">SUMPRODUCT(--(ISNUMBER(SEARCH($A61,'Diags Raw Data'!$A$6:$A$3752))),--('Diags Raw Data'!$P$6:$P$3752&lt;&gt;"N/A"),'Diags Raw Data'!$S$6:$S$3752)+SUMPRODUCT(--(ISNUMBER(SEARCH($A61,'Diags Raw Data'!$A$6:$A$3752))),--('Diags Raw Data'!$P$6:$P$3752&lt;&gt;"N/A"),'Diags Raw Data'!$T$6:$T$3752)</f>
        <v>24</v>
      </c>
      <c r="O61" s="521">
        <f t="shared" si="1"/>
        <v>0.70588235294117652</v>
      </c>
      <c r="P61" s="522">
        <f>SUMIF('Diags Raw Data'!$A$6:$A$3752,"*"&amp;$A61&amp;"*",'Diags Raw Data'!$Y$6:$Y$3752)</f>
        <v>0</v>
      </c>
      <c r="Q61" s="523">
        <f>SUM(SUMIF('Diags Raw Data'!$A$6:$A$3752,"*"&amp;$A61&amp;"*",'Diags Raw Data'!$Z$6:$Z$3752),SUMIF('Diags Raw Data'!$A$6:$A$3752,"*"&amp;$A61&amp;"*",'Diags Raw Data'!$AA$6:$AA$3752))</f>
        <v>0</v>
      </c>
      <c r="R61" s="524">
        <f t="shared" si="2"/>
        <v>0</v>
      </c>
      <c r="S61" s="524">
        <f t="shared" si="3"/>
        <v>0</v>
      </c>
      <c r="T61" s="525">
        <f t="shared" si="4"/>
        <v>0</v>
      </c>
      <c r="U61" s="468" t="s">
        <v>301</v>
      </c>
      <c r="V61" s="179"/>
    </row>
    <row r="62" spans="1:22" ht="15">
      <c r="A62" s="335" t="s">
        <v>419</v>
      </c>
      <c r="B62" s="464" t="str">
        <f>VLOOKUP(A62,'Feature Raw Data'!$A$3:$B$3996,2,FALSE)</f>
        <v>SDMA Performance - Single Engine</v>
      </c>
      <c r="C62" s="465" t="str">
        <f>VLOOKUP(A62,'Feature Raw Data'!$A$3:$C$3996,3,FALSE)</f>
        <v>P2</v>
      </c>
      <c r="D62" s="466" t="str" cm="1">
        <f t="array" ref="D62">_xlfn.TEXTJOIN("",TRUE,IF(ISNUMBER(SEARCH($A62,'Diags Raw Data'!$A$6:$A$3752)),CONCATENATE('Diags Raw Data'!$H$6:$H$3752,", "),""))</f>
        <v xml:space="preserve">nsdma401.1, </v>
      </c>
      <c r="E62" s="461" t="str">
        <f>VLOOKUP(A62,'Diags Raw Data'!$A$6:$D$3752,4,FALSE)</f>
        <v>SDMA</v>
      </c>
      <c r="F62" s="337" t="str">
        <f>VLOOKUP(A62,'Feature Raw Data'!$A$3:$E$3996,5,FALSE)</f>
        <v>Legacy</v>
      </c>
      <c r="G62" s="337" t="str">
        <f t="shared" si="6"/>
        <v>Yes</v>
      </c>
      <c r="H62" s="337" t="str">
        <f t="shared" si="7"/>
        <v>Yes</v>
      </c>
      <c r="I62" s="465">
        <f>SUMIF('Diags Raw Data'!$A$6:$A$3752,"*"&amp;$A62&amp;"*",'Diags Raw Data'!$J$6:$J$3752)</f>
        <v>1</v>
      </c>
      <c r="J62" s="467">
        <f>SUMIF('Diags Raw Data'!$A$6:$A$3752,"*"&amp;$A62&amp;"*",'Diags Raw Data'!$K$6:$K$3752)</f>
        <v>1</v>
      </c>
      <c r="K62" s="518" cm="1">
        <f t="array" ref="K62">IF(D62="",0, SUMPRODUCT(--(ISNUMBER(SEARCH($A62,'Diags Raw Data'!$A$6:$A$3752))),'Diags Raw Data'!$K$6:$K$3752,'Diags Raw Data'!$M$6:$M$3752)/J62)</f>
        <v>1</v>
      </c>
      <c r="L62" s="519" cm="1">
        <f t="array" ref="L62">IF(D62="",0, SUMPRODUCT(--(ISNUMBER(SEARCH($A62,'Diags Raw Data'!$A$6:$A$3752))),'Diags Raw Data'!$K$6:$K$3752,'Diags Raw Data'!$O$6:$O$3752)/J62)</f>
        <v>1</v>
      </c>
      <c r="M62" s="511" cm="1">
        <f t="array" ref="M62">SUMPRODUCT(--(ISNUMBER(SEARCH($A62,'Diags Raw Data'!$A$6:$A$3752))),--('Diags Raw Data'!$P$6:$P$3752&lt;&gt;"N/A"),'Diags Raw Data'!$Q$6:$Q$3752)</f>
        <v>1</v>
      </c>
      <c r="N62" s="520" cm="1">
        <f t="array" ref="N62">SUMPRODUCT(--(ISNUMBER(SEARCH($A62,'Diags Raw Data'!$A$6:$A$3752))),--('Diags Raw Data'!$P$6:$P$3752&lt;&gt;"N/A"),'Diags Raw Data'!$S$6:$S$3752)+SUMPRODUCT(--(ISNUMBER(SEARCH($A62,'Diags Raw Data'!$A$6:$A$3752))),--('Diags Raw Data'!$P$6:$P$3752&lt;&gt;"N/A"),'Diags Raw Data'!$T$6:$T$3752)</f>
        <v>1</v>
      </c>
      <c r="O62" s="521">
        <f t="shared" si="1"/>
        <v>1</v>
      </c>
      <c r="P62" s="522">
        <f>SUMIF('Diags Raw Data'!$A$6:$A$3752,"*"&amp;$A62&amp;"*",'Diags Raw Data'!$Y$6:$Y$3752)</f>
        <v>0</v>
      </c>
      <c r="Q62" s="523">
        <f>SUM(SUMIF('Diags Raw Data'!$A$6:$A$3752,"*"&amp;$A62&amp;"*",'Diags Raw Data'!$Z$6:$Z$3752),SUMIF('Diags Raw Data'!$A$6:$A$3752,"*"&amp;$A62&amp;"*",'Diags Raw Data'!$AA$6:$AA$3752))</f>
        <v>0</v>
      </c>
      <c r="R62" s="524">
        <f t="shared" si="2"/>
        <v>0</v>
      </c>
      <c r="S62" s="524">
        <f t="shared" si="3"/>
        <v>0</v>
      </c>
      <c r="T62" s="525">
        <f t="shared" si="4"/>
        <v>0</v>
      </c>
      <c r="U62" s="468" t="s">
        <v>836</v>
      </c>
      <c r="V62" s="179"/>
    </row>
    <row r="63" spans="1:22" ht="15">
      <c r="A63" s="335" t="s">
        <v>704</v>
      </c>
      <c r="B63" s="464" t="str">
        <f>VLOOKUP(A63,'Feature Raw Data'!$A$3:$B$3996,2,FALSE)</f>
        <v xml:space="preserve">SDMA security </v>
      </c>
      <c r="C63" s="465" t="str">
        <f>VLOOKUP(A63,'Feature Raw Data'!$A$3:$C$3996,3,FALSE)</f>
        <v>P2</v>
      </c>
      <c r="D63" s="466" t="str" cm="1">
        <f t="array" ref="D63">_xlfn.TEXTJOIN("",TRUE,IF(ISNUMBER(SEARCH($A63,'Diags Raw Data'!$A$6:$A$3752)),CONCATENATE('Diags Raw Data'!$H$6:$H$3752,", "),""))</f>
        <v/>
      </c>
      <c r="E63" s="461" t="e">
        <f>VLOOKUP(A63,'Diags Raw Data'!$A$6:$D$3752,4,FALSE)</f>
        <v>#N/A</v>
      </c>
      <c r="F63" s="337" t="str">
        <f>VLOOKUP(A63,'Feature Raw Data'!$A$3:$E$3996,5,FALSE)</f>
        <v>Legacy</v>
      </c>
      <c r="G63" s="461" t="s">
        <v>31</v>
      </c>
      <c r="H63" s="337" t="str">
        <f t="shared" si="7"/>
        <v>No</v>
      </c>
      <c r="I63" s="465">
        <f>SUMIF('Diags Raw Data'!$A$6:$A$3752,"*"&amp;$A63&amp;"*",'Diags Raw Data'!$J$6:$J$3752)</f>
        <v>0</v>
      </c>
      <c r="J63" s="467">
        <f>SUMIF('Diags Raw Data'!$A$6:$A$3752,"*"&amp;$A63&amp;"*",'Diags Raw Data'!$K$6:$K$3752)</f>
        <v>0</v>
      </c>
      <c r="K63" s="518" cm="1">
        <f t="array" ref="K63">IF(D63="",0, SUMPRODUCT(--(ISNUMBER(SEARCH($A63,'Diags Raw Data'!$A$6:$A$3752))),'Diags Raw Data'!$K$6:$K$3752,'Diags Raw Data'!$M$6:$M$3752)/J63)</f>
        <v>0</v>
      </c>
      <c r="L63" s="519" cm="1">
        <f t="array" ref="L63">IF(D63="",0, SUMPRODUCT(--(ISNUMBER(SEARCH($A63,'Diags Raw Data'!$A$6:$A$3752))),'Diags Raw Data'!$K$6:$K$3752,'Diags Raw Data'!$O$6:$O$3752)/J63)</f>
        <v>0</v>
      </c>
      <c r="M63" s="511" cm="1">
        <f t="array" ref="M63">SUMPRODUCT(--(ISNUMBER(SEARCH($A63,'Diags Raw Data'!$A$6:$A$3752))),--('Diags Raw Data'!$P$6:$P$3752&lt;&gt;"N/A"),'Diags Raw Data'!$Q$6:$Q$3752)</f>
        <v>0</v>
      </c>
      <c r="N63" s="520" cm="1">
        <f t="array" ref="N63">SUMPRODUCT(--(ISNUMBER(SEARCH($A63,'Diags Raw Data'!$A$6:$A$3752))),--('Diags Raw Data'!$P$6:$P$3752&lt;&gt;"N/A"),'Diags Raw Data'!$S$6:$S$3752)+SUMPRODUCT(--(ISNUMBER(SEARCH($A63,'Diags Raw Data'!$A$6:$A$3752))),--('Diags Raw Data'!$P$6:$P$3752&lt;&gt;"N/A"),'Diags Raw Data'!$T$6:$T$3752)</f>
        <v>0</v>
      </c>
      <c r="O63" s="521">
        <f t="shared" si="1"/>
        <v>0</v>
      </c>
      <c r="P63" s="522">
        <f>SUMIF('Diags Raw Data'!$A$6:$A$3752,"*"&amp;$A63&amp;"*",'Diags Raw Data'!$Y$6:$Y$3752)</f>
        <v>0</v>
      </c>
      <c r="Q63" s="523">
        <f>SUM(SUMIF('Diags Raw Data'!$A$6:$A$3752,"*"&amp;$A63&amp;"*",'Diags Raw Data'!$Z$6:$Z$3752),SUMIF('Diags Raw Data'!$A$6:$A$3752,"*"&amp;$A63&amp;"*",'Diags Raw Data'!$AA$6:$AA$3752))</f>
        <v>0</v>
      </c>
      <c r="R63" s="524">
        <f t="shared" si="2"/>
        <v>0</v>
      </c>
      <c r="S63" s="524">
        <f t="shared" si="3"/>
        <v>0</v>
      </c>
      <c r="T63" s="525">
        <f t="shared" si="4"/>
        <v>0</v>
      </c>
      <c r="U63" s="468" t="s">
        <v>301</v>
      </c>
      <c r="V63" s="179"/>
    </row>
    <row r="64" spans="1:22" ht="15">
      <c r="A64" s="335" t="s">
        <v>422</v>
      </c>
      <c r="B64" s="464" t="str">
        <f>VLOOKUP(A64,'Feature Raw Data'!$A$3:$B$3996,2,FALSE)</f>
        <v>SDMA Stress Test - CGCG</v>
      </c>
      <c r="C64" s="465" t="str">
        <f>VLOOKUP(A64,'Feature Raw Data'!$A$3:$C$3996,3,FALSE)</f>
        <v>P2</v>
      </c>
      <c r="D64" s="466" t="str" cm="1">
        <f t="array" ref="D64">_xlfn.TEXTJOIN("",TRUE,IF(ISNUMBER(SEARCH($A64,'Diags Raw Data'!$A$6:$A$3752)),CONCATENATE('Diags Raw Data'!$H$6:$H$3752,", "),""))</f>
        <v xml:space="preserve">nsdma412.1, </v>
      </c>
      <c r="E64" s="461" t="str">
        <f>VLOOKUP(A64,'Diags Raw Data'!$A$6:$D$3752,4,FALSE)</f>
        <v>SDMA</v>
      </c>
      <c r="F64" s="337" t="str">
        <f>VLOOKUP(A64,'Feature Raw Data'!$A$3:$E$3996,5,FALSE)</f>
        <v>Legacy</v>
      </c>
      <c r="G64" s="337" t="str">
        <f t="shared" si="6"/>
        <v>Yes</v>
      </c>
      <c r="H64" s="337" t="str">
        <f t="shared" si="7"/>
        <v>Yes</v>
      </c>
      <c r="I64" s="465">
        <f>SUMIF('Diags Raw Data'!$A$6:$A$3752,"*"&amp;$A64&amp;"*",'Diags Raw Data'!$J$6:$J$3752)</f>
        <v>1</v>
      </c>
      <c r="J64" s="467">
        <f>SUMIF('Diags Raw Data'!$A$6:$A$3752,"*"&amp;$A64&amp;"*",'Diags Raw Data'!$K$6:$K$3752)</f>
        <v>1</v>
      </c>
      <c r="K64" s="518" cm="1">
        <f t="array" ref="K64">IF(D64="",0, SUMPRODUCT(--(ISNUMBER(SEARCH($A64,'Diags Raw Data'!$A$6:$A$3752))),'Diags Raw Data'!$K$6:$K$3752,'Diags Raw Data'!$M$6:$M$3752)/J64)</f>
        <v>1</v>
      </c>
      <c r="L64" s="519" cm="1">
        <f t="array" ref="L64">IF(D64="",0, SUMPRODUCT(--(ISNUMBER(SEARCH($A64,'Diags Raw Data'!$A$6:$A$3752))),'Diags Raw Data'!$K$6:$K$3752,'Diags Raw Data'!$O$6:$O$3752)/J64)</f>
        <v>1</v>
      </c>
      <c r="M64" s="511" cm="1">
        <f t="array" ref="M64">SUMPRODUCT(--(ISNUMBER(SEARCH($A64,'Diags Raw Data'!$A$6:$A$3752))),--('Diags Raw Data'!$P$6:$P$3752&lt;&gt;"N/A"),'Diags Raw Data'!$Q$6:$Q$3752)</f>
        <v>0</v>
      </c>
      <c r="N64" s="520" cm="1">
        <f t="array" ref="N64">SUMPRODUCT(--(ISNUMBER(SEARCH($A64,'Diags Raw Data'!$A$6:$A$3752))),--('Diags Raw Data'!$P$6:$P$3752&lt;&gt;"N/A"),'Diags Raw Data'!$S$6:$S$3752)+SUMPRODUCT(--(ISNUMBER(SEARCH($A64,'Diags Raw Data'!$A$6:$A$3752))),--('Diags Raw Data'!$P$6:$P$3752&lt;&gt;"N/A"),'Diags Raw Data'!$T$6:$T$3752)</f>
        <v>0</v>
      </c>
      <c r="O64" s="521">
        <f t="shared" si="1"/>
        <v>0</v>
      </c>
      <c r="P64" s="522">
        <f>SUMIF('Diags Raw Data'!$A$6:$A$3752,"*"&amp;$A64&amp;"*",'Diags Raw Data'!$Y$6:$Y$3752)</f>
        <v>0</v>
      </c>
      <c r="Q64" s="523">
        <f>SUM(SUMIF('Diags Raw Data'!$A$6:$A$3752,"*"&amp;$A64&amp;"*",'Diags Raw Data'!$Z$6:$Z$3752),SUMIF('Diags Raw Data'!$A$6:$A$3752,"*"&amp;$A64&amp;"*",'Diags Raw Data'!$AA$6:$AA$3752))</f>
        <v>0</v>
      </c>
      <c r="R64" s="524">
        <f t="shared" si="2"/>
        <v>0</v>
      </c>
      <c r="S64" s="524">
        <f t="shared" si="3"/>
        <v>0</v>
      </c>
      <c r="T64" s="525">
        <f t="shared" si="4"/>
        <v>0</v>
      </c>
      <c r="U64" s="468" t="s">
        <v>438</v>
      </c>
      <c r="V64" s="179"/>
    </row>
    <row r="65" spans="1:22" ht="15">
      <c r="A65" s="335" t="s">
        <v>706</v>
      </c>
      <c r="B65" s="464" t="str">
        <f>VLOOKUP(A65,'Feature Raw Data'!$A$3:$B$3996,2,FALSE)</f>
        <v>SDMA Stress Test - CGLS</v>
      </c>
      <c r="C65" s="465" t="str">
        <f>VLOOKUP(A65,'Feature Raw Data'!$A$3:$C$3996,3,FALSE)</f>
        <v>P2</v>
      </c>
      <c r="D65" s="466" t="str" cm="1">
        <f t="array" ref="D65">_xlfn.TEXTJOIN("",TRUE,IF(ISNUMBER(SEARCH($A65,'Diags Raw Data'!$A$6:$A$3752)),CONCATENATE('Diags Raw Data'!$H$6:$H$3752,", "),""))</f>
        <v/>
      </c>
      <c r="E65" s="461" t="e">
        <f>VLOOKUP(A65,'Diags Raw Data'!$A$6:$D$3752,4,FALSE)</f>
        <v>#N/A</v>
      </c>
      <c r="F65" s="337" t="str">
        <f>VLOOKUP(A65,'Feature Raw Data'!$A$3:$E$3996,5,FALSE)</f>
        <v>Delta</v>
      </c>
      <c r="G65" s="337" t="str">
        <f t="shared" si="6"/>
        <v>No</v>
      </c>
      <c r="H65" s="337" t="str">
        <f t="shared" si="7"/>
        <v>No</v>
      </c>
      <c r="I65" s="465">
        <f>SUMIF('Diags Raw Data'!$A$6:$A$3752,"*"&amp;$A65&amp;"*",'Diags Raw Data'!$J$6:$J$3752)</f>
        <v>0</v>
      </c>
      <c r="J65" s="467">
        <f>SUMIF('Diags Raw Data'!$A$6:$A$3752,"*"&amp;$A65&amp;"*",'Diags Raw Data'!$K$6:$K$3752)</f>
        <v>0</v>
      </c>
      <c r="K65" s="518" cm="1">
        <f t="array" ref="K65">IF(D65="",0, SUMPRODUCT(--(ISNUMBER(SEARCH($A65,'Diags Raw Data'!$A$6:$A$3752))),'Diags Raw Data'!$K$6:$K$3752,'Diags Raw Data'!$M$6:$M$3752)/J65)</f>
        <v>0</v>
      </c>
      <c r="L65" s="519" cm="1">
        <f t="array" ref="L65">IF(D65="",0, SUMPRODUCT(--(ISNUMBER(SEARCH($A65,'Diags Raw Data'!$A$6:$A$3752))),'Diags Raw Data'!$K$6:$K$3752,'Diags Raw Data'!$O$6:$O$3752)/J65)</f>
        <v>0</v>
      </c>
      <c r="M65" s="511" cm="1">
        <f t="array" ref="M65">SUMPRODUCT(--(ISNUMBER(SEARCH($A65,'Diags Raw Data'!$A$6:$A$3752))),--('Diags Raw Data'!$P$6:$P$3752&lt;&gt;"N/A"),'Diags Raw Data'!$Q$6:$Q$3752)</f>
        <v>0</v>
      </c>
      <c r="N65" s="520" cm="1">
        <f t="array" ref="N65">SUMPRODUCT(--(ISNUMBER(SEARCH($A65,'Diags Raw Data'!$A$6:$A$3752))),--('Diags Raw Data'!$P$6:$P$3752&lt;&gt;"N/A"),'Diags Raw Data'!$S$6:$S$3752)+SUMPRODUCT(--(ISNUMBER(SEARCH($A65,'Diags Raw Data'!$A$6:$A$3752))),--('Diags Raw Data'!$P$6:$P$3752&lt;&gt;"N/A"),'Diags Raw Data'!$T$6:$T$3752)</f>
        <v>0</v>
      </c>
      <c r="O65" s="521">
        <f t="shared" si="1"/>
        <v>0</v>
      </c>
      <c r="P65" s="522">
        <f>SUMIF('Diags Raw Data'!$A$6:$A$3752,"*"&amp;$A65&amp;"*",'Diags Raw Data'!$Y$6:$Y$3752)</f>
        <v>0</v>
      </c>
      <c r="Q65" s="523">
        <f>SUM(SUMIF('Diags Raw Data'!$A$6:$A$3752,"*"&amp;$A65&amp;"*",'Diags Raw Data'!$Z$6:$Z$3752),SUMIF('Diags Raw Data'!$A$6:$A$3752,"*"&amp;$A65&amp;"*",'Diags Raw Data'!$AA$6:$AA$3752))</f>
        <v>0</v>
      </c>
      <c r="R65" s="524">
        <f t="shared" si="2"/>
        <v>0</v>
      </c>
      <c r="S65" s="524">
        <f t="shared" si="3"/>
        <v>0</v>
      </c>
      <c r="T65" s="525">
        <f t="shared" si="4"/>
        <v>0</v>
      </c>
      <c r="U65" s="468" t="s">
        <v>438</v>
      </c>
      <c r="V65" s="179"/>
    </row>
    <row r="66" spans="1:22" ht="105">
      <c r="A66" s="335" t="s">
        <v>427</v>
      </c>
      <c r="B66" s="464" t="str">
        <f>VLOOKUP(A66,'Feature Raw Data'!$A$3:$B$3996,2,FALSE)</f>
        <v>SDMA Stress Test - VDDGFX</v>
      </c>
      <c r="C66" s="465" t="str">
        <f>VLOOKUP(A66,'Feature Raw Data'!$A$3:$C$3996,3,FALSE)</f>
        <v>P2</v>
      </c>
      <c r="D66" s="466" t="str" cm="1">
        <f t="array" ref="D66">_xlfn.TEXTJOIN("",TRUE,IF(ISNUMBER(SEARCH($A66,'Diags Raw Data'!$A$6:$A$3752)),CONCATENATE('Diags Raw Data'!$H$6:$H$3752,", "),""))</f>
        <v xml:space="preserve">nsdma410.1, </v>
      </c>
      <c r="E66" s="461" t="str">
        <f>VLOOKUP(A66,'Diags Raw Data'!$A$6:$D$3752,4,FALSE)</f>
        <v>SDMA</v>
      </c>
      <c r="F66" s="337" t="str">
        <f>VLOOKUP(A66,'Feature Raw Data'!$A$3:$E$3996,5,FALSE)</f>
        <v>Legacy</v>
      </c>
      <c r="G66" s="337" t="s">
        <v>31</v>
      </c>
      <c r="H66" s="337" t="s">
        <v>31</v>
      </c>
      <c r="I66" s="465">
        <f>SUMIF('Diags Raw Data'!$A$6:$A$3752,"*"&amp;$A66&amp;"*",'Diags Raw Data'!$J$6:$J$3752)</f>
        <v>1</v>
      </c>
      <c r="J66" s="467">
        <f>SUMIF('Diags Raw Data'!$A$6:$A$3752,"*"&amp;$A66&amp;"*",'Diags Raw Data'!$K$6:$K$3752)</f>
        <v>1</v>
      </c>
      <c r="K66" s="518" cm="1">
        <f t="array" ref="K66">IF(D66="",0, SUMPRODUCT(--(ISNUMBER(SEARCH($A66,'Diags Raw Data'!$A$6:$A$3752))),'Diags Raw Data'!$K$6:$K$3752,'Diags Raw Data'!$M$6:$M$3752)/J66)</f>
        <v>1</v>
      </c>
      <c r="L66" s="519" cm="1">
        <f t="array" ref="L66">IF(D66="",0, SUMPRODUCT(--(ISNUMBER(SEARCH($A66,'Diags Raw Data'!$A$6:$A$3752))),'Diags Raw Data'!$K$6:$K$3752,'Diags Raw Data'!$O$6:$O$3752)/J66)</f>
        <v>1</v>
      </c>
      <c r="M66" s="511" cm="1">
        <f t="array" ref="M66">SUMPRODUCT(--(ISNUMBER(SEARCH($A66,'Diags Raw Data'!$A$6:$A$3752))),--('Diags Raw Data'!$P$6:$P$3752&lt;&gt;"N/A"),'Diags Raw Data'!$Q$6:$Q$3752)</f>
        <v>0</v>
      </c>
      <c r="N66" s="520" cm="1">
        <f t="array" ref="N66">SUMPRODUCT(--(ISNUMBER(SEARCH($A66,'Diags Raw Data'!$A$6:$A$3752))),--('Diags Raw Data'!$P$6:$P$3752&lt;&gt;"N/A"),'Diags Raw Data'!$S$6:$S$3752)+SUMPRODUCT(--(ISNUMBER(SEARCH($A66,'Diags Raw Data'!$A$6:$A$3752))),--('Diags Raw Data'!$P$6:$P$3752&lt;&gt;"N/A"),'Diags Raw Data'!$T$6:$T$3752)</f>
        <v>0</v>
      </c>
      <c r="O66" s="521">
        <f t="shared" si="1"/>
        <v>0</v>
      </c>
      <c r="P66" s="522">
        <f>SUMIF('Diags Raw Data'!$A$6:$A$3752,"*"&amp;$A66&amp;"*",'Diags Raw Data'!$Y$6:$Y$3752)</f>
        <v>0</v>
      </c>
      <c r="Q66" s="523">
        <f>SUM(SUMIF('Diags Raw Data'!$A$6:$A$3752,"*"&amp;$A66&amp;"*",'Diags Raw Data'!$Z$6:$Z$3752),SUMIF('Diags Raw Data'!$A$6:$A$3752,"*"&amp;$A66&amp;"*",'Diags Raw Data'!$AA$6:$AA$3752))</f>
        <v>0</v>
      </c>
      <c r="R66" s="524">
        <f t="shared" si="2"/>
        <v>0</v>
      </c>
      <c r="S66" s="524">
        <f t="shared" si="3"/>
        <v>0</v>
      </c>
      <c r="T66" s="525">
        <f t="shared" si="4"/>
        <v>0</v>
      </c>
      <c r="U66" s="468" t="s">
        <v>837</v>
      </c>
      <c r="V66" s="179"/>
    </row>
    <row r="67" spans="1:22" ht="105">
      <c r="A67" s="335" t="s">
        <v>708</v>
      </c>
      <c r="B67" s="464" t="str">
        <f>VLOOKUP(A67,'Feature Raw Data'!$A$3:$B$3996,2,FALSE)</f>
        <v>SDMA_GRBM_reg repeater FGCG</v>
      </c>
      <c r="C67" s="465" t="str">
        <f>VLOOKUP(A67,'Feature Raw Data'!$A$3:$C$3996,3,FALSE)</f>
        <v>P2</v>
      </c>
      <c r="D67" s="466" t="str" cm="1">
        <f t="array" ref="D67">_xlfn.TEXTJOIN("",TRUE,IF(ISNUMBER(SEARCH($A67,'Diags Raw Data'!$A$6:$A$3752)),CONCATENATE('Diags Raw Data'!$H$6:$H$3752,", "),""))</f>
        <v/>
      </c>
      <c r="E67" s="461" t="e">
        <f>VLOOKUP(A67,'Diags Raw Data'!$A$6:$D$3752,4,FALSE)</f>
        <v>#N/A</v>
      </c>
      <c r="F67" s="337" t="str">
        <f>VLOOKUP(A67,'Feature Raw Data'!$A$3:$E$3996,5,FALSE)</f>
        <v>Legacy</v>
      </c>
      <c r="G67" s="337" t="s">
        <v>31</v>
      </c>
      <c r="H67" s="337" t="str">
        <f t="shared" si="7"/>
        <v>No</v>
      </c>
      <c r="I67" s="465">
        <f>SUMIF('Diags Raw Data'!$A$6:$A$3752,"*"&amp;$A67&amp;"*",'Diags Raw Data'!$J$6:$J$3752)</f>
        <v>0</v>
      </c>
      <c r="J67" s="467">
        <f>SUMIF('Diags Raw Data'!$A$6:$A$3752,"*"&amp;$A67&amp;"*",'Diags Raw Data'!$K$6:$K$3752)</f>
        <v>0</v>
      </c>
      <c r="K67" s="518" cm="1">
        <f t="array" ref="K67">IF(D67="",0, SUMPRODUCT(--(ISNUMBER(SEARCH($A67,'Diags Raw Data'!$A$6:$A$3752))),'Diags Raw Data'!$K$6:$K$3752,'Diags Raw Data'!$M$6:$M$3752)/J67)</f>
        <v>0</v>
      </c>
      <c r="L67" s="519" cm="1">
        <f t="array" ref="L67">IF(D67="",0, SUMPRODUCT(--(ISNUMBER(SEARCH($A67,'Diags Raw Data'!$A$6:$A$3752))),'Diags Raw Data'!$K$6:$K$3752,'Diags Raw Data'!$O$6:$O$3752)/J67)</f>
        <v>0</v>
      </c>
      <c r="M67" s="511" cm="1">
        <f t="array" ref="M67">SUMPRODUCT(--(ISNUMBER(SEARCH($A67,'Diags Raw Data'!$A$6:$A$3752))),--('Diags Raw Data'!$P$6:$P$3752&lt;&gt;"N/A"),'Diags Raw Data'!$Q$6:$Q$3752)</f>
        <v>0</v>
      </c>
      <c r="N67" s="520" cm="1">
        <f t="array" ref="N67">SUMPRODUCT(--(ISNUMBER(SEARCH($A67,'Diags Raw Data'!$A$6:$A$3752))),--('Diags Raw Data'!$P$6:$P$3752&lt;&gt;"N/A"),'Diags Raw Data'!$S$6:$S$3752)+SUMPRODUCT(--(ISNUMBER(SEARCH($A67,'Diags Raw Data'!$A$6:$A$3752))),--('Diags Raw Data'!$P$6:$P$3752&lt;&gt;"N/A"),'Diags Raw Data'!$T$6:$T$3752)</f>
        <v>0</v>
      </c>
      <c r="O67" s="521">
        <f t="shared" si="1"/>
        <v>0</v>
      </c>
      <c r="P67" s="522">
        <f>SUMIF('Diags Raw Data'!$A$6:$A$3752,"*"&amp;$A67&amp;"*",'Diags Raw Data'!$Y$6:$Y$3752)</f>
        <v>0</v>
      </c>
      <c r="Q67" s="523">
        <f>SUM(SUMIF('Diags Raw Data'!$A$6:$A$3752,"*"&amp;$A67&amp;"*",'Diags Raw Data'!$Z$6:$Z$3752),SUMIF('Diags Raw Data'!$A$6:$A$3752,"*"&amp;$A67&amp;"*",'Diags Raw Data'!$AA$6:$AA$3752))</f>
        <v>0</v>
      </c>
      <c r="R67" s="524">
        <f t="shared" si="2"/>
        <v>0</v>
      </c>
      <c r="S67" s="524">
        <f t="shared" si="3"/>
        <v>0</v>
      </c>
      <c r="T67" s="525">
        <f t="shared" si="4"/>
        <v>0</v>
      </c>
      <c r="U67" s="468" t="s">
        <v>838</v>
      </c>
      <c r="V67" s="179"/>
    </row>
    <row r="68" spans="1:22" ht="105">
      <c r="A68" s="335" t="s">
        <v>432</v>
      </c>
      <c r="B68" s="464" t="str">
        <f>VLOOKUP(A68,'Feature Raw Data'!$A$3:$B$3996,2,FALSE)</f>
        <v>SRBM Writes</v>
      </c>
      <c r="C68" s="465" t="str">
        <f>VLOOKUP(A68,'Feature Raw Data'!$A$3:$C$3996,3,FALSE)</f>
        <v>P2</v>
      </c>
      <c r="D68" s="466" t="str" cm="1">
        <f t="array" ref="D68">_xlfn.TEXTJOIN("",TRUE,IF(ISNUMBER(SEARCH($A68,'Diags Raw Data'!$A$6:$A$3752)),CONCATENATE('Diags Raw Data'!$H$6:$H$3752,", "),""))</f>
        <v xml:space="preserve">nsdma120.1-6, </v>
      </c>
      <c r="E68" s="461" t="str">
        <f>VLOOKUP(A68,'Diags Raw Data'!$A$6:$D$3752,4,FALSE)</f>
        <v>SDMA</v>
      </c>
      <c r="F68" s="337" t="str">
        <f>VLOOKUP(A68,'Feature Raw Data'!$A$3:$E$3996,5,FALSE)</f>
        <v>Legacy</v>
      </c>
      <c r="G68" s="337" t="str">
        <f t="shared" si="6"/>
        <v>Yes</v>
      </c>
      <c r="H68" s="337" t="str">
        <f t="shared" si="7"/>
        <v>Yes</v>
      </c>
      <c r="I68" s="465">
        <f>SUMIF('Diags Raw Data'!$A$6:$A$3752,"*"&amp;$A68&amp;"*",'Diags Raw Data'!$J$6:$J$3752)</f>
        <v>1</v>
      </c>
      <c r="J68" s="467">
        <f>SUMIF('Diags Raw Data'!$A$6:$A$3752,"*"&amp;$A68&amp;"*",'Diags Raw Data'!$K$6:$K$3752)</f>
        <v>6</v>
      </c>
      <c r="K68" s="518" cm="1">
        <f t="array" ref="K68">IF(D68="",0, SUMPRODUCT(--(ISNUMBER(SEARCH($A68,'Diags Raw Data'!$A$6:$A$3752))),'Diags Raw Data'!$K$6:$K$3752,'Diags Raw Data'!$M$6:$M$3752)/J68)</f>
        <v>1</v>
      </c>
      <c r="L68" s="519" cm="1">
        <f t="array" ref="L68">IF(D68="",0, SUMPRODUCT(--(ISNUMBER(SEARCH($A68,'Diags Raw Data'!$A$6:$A$3752))),'Diags Raw Data'!$K$6:$K$3752,'Diags Raw Data'!$O$6:$O$3752)/J68)</f>
        <v>1</v>
      </c>
      <c r="M68" s="511" cm="1">
        <f t="array" ref="M68">SUMPRODUCT(--(ISNUMBER(SEARCH($A68,'Diags Raw Data'!$A$6:$A$3752))),--('Diags Raw Data'!$P$6:$P$3752&lt;&gt;"N/A"),'Diags Raw Data'!$Q$6:$Q$3752)</f>
        <v>6</v>
      </c>
      <c r="N68" s="520" cm="1">
        <f t="array" ref="N68">SUMPRODUCT(--(ISNUMBER(SEARCH($A68,'Diags Raw Data'!$A$6:$A$3752))),--('Diags Raw Data'!$P$6:$P$3752&lt;&gt;"N/A"),'Diags Raw Data'!$S$6:$S$3752)+SUMPRODUCT(--(ISNUMBER(SEARCH($A68,'Diags Raw Data'!$A$6:$A$3752))),--('Diags Raw Data'!$P$6:$P$3752&lt;&gt;"N/A"),'Diags Raw Data'!$T$6:$T$3752)</f>
        <v>6</v>
      </c>
      <c r="O68" s="521">
        <f t="shared" si="1"/>
        <v>1</v>
      </c>
      <c r="P68" s="522">
        <f>SUMIF('Diags Raw Data'!$A$6:$A$3752,"*"&amp;$A68&amp;"*",'Diags Raw Data'!$Y$6:$Y$3752)</f>
        <v>0</v>
      </c>
      <c r="Q68" s="523">
        <f>SUM(SUMIF('Diags Raw Data'!$A$6:$A$3752,"*"&amp;$A68&amp;"*",'Diags Raw Data'!$Z$6:$Z$3752),SUMIF('Diags Raw Data'!$A$6:$A$3752,"*"&amp;$A68&amp;"*",'Diags Raw Data'!$AA$6:$AA$3752))</f>
        <v>0</v>
      </c>
      <c r="R68" s="524">
        <f t="shared" si="2"/>
        <v>0</v>
      </c>
      <c r="S68" s="524">
        <f t="shared" si="3"/>
        <v>0</v>
      </c>
      <c r="T68" s="525">
        <f t="shared" si="4"/>
        <v>0</v>
      </c>
      <c r="U68" s="468" t="s">
        <v>837</v>
      </c>
      <c r="V68" s="179"/>
    </row>
    <row r="69" spans="1:22" ht="16.5">
      <c r="A69" s="335" t="s">
        <v>435</v>
      </c>
      <c r="B69" s="464" t="str">
        <f>VLOOKUP(A69,'Feature Raw Data'!$A$3:$B$3996,2,FALSE)</f>
        <v>Support byte aligned Count in normal tiled copy</v>
      </c>
      <c r="C69" s="465" t="str">
        <f>VLOOKUP(A69,'Feature Raw Data'!$A$3:$C$3996,3,FALSE)</f>
        <v>P2</v>
      </c>
      <c r="D69" s="466" t="str" cm="1">
        <f t="array" ref="D69">_xlfn.TEXTJOIN("",TRUE,IF(ISNUMBER(SEARCH($A69,'Diags Raw Data'!$A$6:$A$3752)),CONCATENATE('Diags Raw Data'!$H$6:$H$3752,", "),""))</f>
        <v xml:space="preserve">nsdma2.6, </v>
      </c>
      <c r="E69" s="461" t="str">
        <f>VLOOKUP(A69,'Diags Raw Data'!$A$6:$D$3752,4,FALSE)</f>
        <v>SDMA</v>
      </c>
      <c r="F69" s="337" t="str">
        <f>VLOOKUP(A69,'Feature Raw Data'!$A$3:$E$3996,5,FALSE)</f>
        <v>Legacy</v>
      </c>
      <c r="G69" s="337" t="s">
        <v>31</v>
      </c>
      <c r="H69" s="337" t="str">
        <f t="shared" si="7"/>
        <v>Yes</v>
      </c>
      <c r="I69" s="465">
        <f>SUMIF('Diags Raw Data'!$A$6:$A$3752,"*"&amp;$A69&amp;"*",'Diags Raw Data'!$J$6:$J$3752)</f>
        <v>1</v>
      </c>
      <c r="J69" s="467">
        <f>SUMIF('Diags Raw Data'!$A$6:$A$3752,"*"&amp;$A69&amp;"*",'Diags Raw Data'!$K$6:$K$3752)</f>
        <v>1</v>
      </c>
      <c r="K69" s="518" cm="1">
        <f t="array" ref="K69">IF(D69="",0, SUMPRODUCT(--(ISNUMBER(SEARCH($A69,'Diags Raw Data'!$A$6:$A$3752))),'Diags Raw Data'!$K$6:$K$3752,'Diags Raw Data'!$M$6:$M$3752)/J69)</f>
        <v>1</v>
      </c>
      <c r="L69" s="519" cm="1">
        <f t="array" ref="L69">IF(D69="",0, SUMPRODUCT(--(ISNUMBER(SEARCH($A69,'Diags Raw Data'!$A$6:$A$3752))),'Diags Raw Data'!$K$6:$K$3752,'Diags Raw Data'!$O$6:$O$3752)/J69)</f>
        <v>1</v>
      </c>
      <c r="M69" s="511" cm="1">
        <f t="array" ref="M69">SUMPRODUCT(--(ISNUMBER(SEARCH($A69,'Diags Raw Data'!$A$6:$A$3752))),--('Diags Raw Data'!$P$6:$P$3752&lt;&gt;"N/A"),'Diags Raw Data'!$Q$6:$Q$3752)</f>
        <v>1</v>
      </c>
      <c r="N69" s="520" cm="1">
        <f t="array" ref="N69">SUMPRODUCT(--(ISNUMBER(SEARCH($A69,'Diags Raw Data'!$A$6:$A$3752))),--('Diags Raw Data'!$P$6:$P$3752&lt;&gt;"N/A"),'Diags Raw Data'!$S$6:$S$3752)+SUMPRODUCT(--(ISNUMBER(SEARCH($A69,'Diags Raw Data'!$A$6:$A$3752))),--('Diags Raw Data'!$P$6:$P$3752&lt;&gt;"N/A"),'Diags Raw Data'!$T$6:$T$3752)</f>
        <v>0</v>
      </c>
      <c r="O69" s="521">
        <f t="shared" si="1"/>
        <v>0</v>
      </c>
      <c r="P69" s="522">
        <f>SUMIF('Diags Raw Data'!$A$6:$A$3752,"*"&amp;$A69&amp;"*",'Diags Raw Data'!$Y$6:$Y$3752)</f>
        <v>0</v>
      </c>
      <c r="Q69" s="523">
        <f>SUM(SUMIF('Diags Raw Data'!$A$6:$A$3752,"*"&amp;$A69&amp;"*",'Diags Raw Data'!$Z$6:$Z$3752),SUMIF('Diags Raw Data'!$A$6:$A$3752,"*"&amp;$A69&amp;"*",'Diags Raw Data'!$AA$6:$AA$3752))</f>
        <v>0</v>
      </c>
      <c r="R69" s="524">
        <f t="shared" si="2"/>
        <v>0</v>
      </c>
      <c r="S69" s="524">
        <f t="shared" si="3"/>
        <v>0</v>
      </c>
      <c r="T69" s="525">
        <f t="shared" si="4"/>
        <v>0</v>
      </c>
      <c r="U69" s="468" t="s">
        <v>44</v>
      </c>
      <c r="V69" s="571" t="s">
        <v>826</v>
      </c>
    </row>
    <row r="70" spans="1:22" ht="16.5">
      <c r="A70" s="335" t="s">
        <v>439</v>
      </c>
      <c r="B70" s="464" t="str">
        <f>VLOOKUP(A70,'Feature Raw Data'!$A$3:$B$3996,2,FALSE)</f>
        <v>Support Native TMZ support</v>
      </c>
      <c r="C70" s="465" t="str">
        <f>VLOOKUP(A70,'Feature Raw Data'!$A$3:$C$3996,3,FALSE)</f>
        <v>P2</v>
      </c>
      <c r="D70" s="466" t="str" cm="1">
        <f t="array" ref="D70">_xlfn.TEXTJOIN("",TRUE,IF(ISNUMBER(SEARCH($A70,'Diags Raw Data'!$A$6:$A$3752)),CONCATENATE('Diags Raw Data'!$H$6:$H$3752,", "),""))</f>
        <v xml:space="preserve">nsdma152-nsdma159.1, </v>
      </c>
      <c r="E70" s="461" t="str">
        <f>VLOOKUP(A70,'Diags Raw Data'!$A$6:$D$3752,4,FALSE)</f>
        <v>SDMA</v>
      </c>
      <c r="F70" s="337" t="str">
        <f>VLOOKUP(A70,'Feature Raw Data'!$A$3:$E$3996,5,FALSE)</f>
        <v>Legacy</v>
      </c>
      <c r="G70" s="337" t="s">
        <v>31</v>
      </c>
      <c r="H70" s="337" t="str">
        <f t="shared" ref="H70:H131" si="8">IF(D70="","No","Yes")</f>
        <v>Yes</v>
      </c>
      <c r="I70" s="465">
        <f>SUMIF('Diags Raw Data'!$A$6:$A$3752,"*"&amp;$A70&amp;"*",'Diags Raw Data'!$J$6:$J$3752)</f>
        <v>1</v>
      </c>
      <c r="J70" s="467">
        <f>SUMIF('Diags Raw Data'!$A$6:$A$3752,"*"&amp;$A70&amp;"*",'Diags Raw Data'!$K$6:$K$3752)</f>
        <v>8</v>
      </c>
      <c r="K70" s="518" cm="1">
        <f t="array" ref="K70">IF(D70="",0, SUMPRODUCT(--(ISNUMBER(SEARCH($A70,'Diags Raw Data'!$A$6:$A$3752))),'Diags Raw Data'!$K$6:$K$3752,'Diags Raw Data'!$M$6:$M$3752)/J70)</f>
        <v>1</v>
      </c>
      <c r="L70" s="519" cm="1">
        <f t="array" ref="L70">IF(D70="",0, SUMPRODUCT(--(ISNUMBER(SEARCH($A70,'Diags Raw Data'!$A$6:$A$3752))),'Diags Raw Data'!$K$6:$K$3752,'Diags Raw Data'!$O$6:$O$3752)/J70)</f>
        <v>1</v>
      </c>
      <c r="M70" s="511" cm="1">
        <f t="array" ref="M70">SUMPRODUCT(--(ISNUMBER(SEARCH($A70,'Diags Raw Data'!$A$6:$A$3752))),--('Diags Raw Data'!$P$6:$P$3752&lt;&gt;"N/A"),'Diags Raw Data'!$Q$6:$Q$3752)</f>
        <v>0</v>
      </c>
      <c r="N70" s="520" cm="1">
        <f t="array" ref="N70">SUMPRODUCT(--(ISNUMBER(SEARCH($A70,'Diags Raw Data'!$A$6:$A$3752))),--('Diags Raw Data'!$P$6:$P$3752&lt;&gt;"N/A"),'Diags Raw Data'!$S$6:$S$3752)+SUMPRODUCT(--(ISNUMBER(SEARCH($A70,'Diags Raw Data'!$A$6:$A$3752))),--('Diags Raw Data'!$P$6:$P$3752&lt;&gt;"N/A"),'Diags Raw Data'!$T$6:$T$3752)</f>
        <v>0</v>
      </c>
      <c r="O70" s="521">
        <f t="shared" si="1"/>
        <v>0</v>
      </c>
      <c r="P70" s="522">
        <f>SUMIF('Diags Raw Data'!$A$6:$A$3752,"*"&amp;$A70&amp;"*",'Diags Raw Data'!$Y$6:$Y$3752)</f>
        <v>0</v>
      </c>
      <c r="Q70" s="523">
        <f>SUM(SUMIF('Diags Raw Data'!$A$6:$A$3752,"*"&amp;$A70&amp;"*",'Diags Raw Data'!$Z$6:$Z$3752),SUMIF('Diags Raw Data'!$A$6:$A$3752,"*"&amp;$A70&amp;"*",'Diags Raw Data'!$AA$6:$AA$3752))</f>
        <v>0</v>
      </c>
      <c r="R70" s="524">
        <f t="shared" ref="R70:R99" si="9">IF((J70=0),0,P70/J70)</f>
        <v>0</v>
      </c>
      <c r="S70" s="524">
        <f t="shared" ref="S70:S102" si="10">IF((P70=0),0,Q70/P70)</f>
        <v>0</v>
      </c>
      <c r="T70" s="525">
        <f t="shared" ref="T70:T101" si="11">R70*S70</f>
        <v>0</v>
      </c>
      <c r="U70" s="468" t="s">
        <v>44</v>
      </c>
      <c r="V70" s="571" t="s">
        <v>826</v>
      </c>
    </row>
    <row r="71" spans="1:22" ht="15">
      <c r="A71" s="335" t="s">
        <v>712</v>
      </c>
      <c r="B71" s="464" t="str">
        <f>VLOOKUP(A71,'Feature Raw Data'!$A$3:$B$3996,2,FALSE)</f>
        <v xml:space="preserve">Support ucode postcode message to SMU </v>
      </c>
      <c r="C71" s="465" t="str">
        <f>VLOOKUP(A71,'Feature Raw Data'!$A$3:$C$3996,3,FALSE)</f>
        <v>P2</v>
      </c>
      <c r="D71" s="466" t="str" cm="1">
        <f t="array" ref="D71">_xlfn.TEXTJOIN("",TRUE,IF(ISNUMBER(SEARCH($A71,'Diags Raw Data'!$A$6:$A$3752)),CONCATENATE('Diags Raw Data'!$H$6:$H$3752,", "),""))</f>
        <v/>
      </c>
      <c r="E71" s="461" t="e">
        <f>VLOOKUP(A71,'Diags Raw Data'!$A$6:$D$3752,4,FALSE)</f>
        <v>#N/A</v>
      </c>
      <c r="F71" s="337" t="str">
        <f>VLOOKUP(A71,'Feature Raw Data'!$A$3:$E$3996,5,FALSE)</f>
        <v>Legacy</v>
      </c>
      <c r="G71" s="337" t="str">
        <f t="shared" ref="G71:G131" si="12">IF(D71="","No","Yes")</f>
        <v>No</v>
      </c>
      <c r="H71" s="337" t="str">
        <f t="shared" si="8"/>
        <v>No</v>
      </c>
      <c r="I71" s="465">
        <f>SUMIF('Diags Raw Data'!$A$6:$A$3752,"*"&amp;$A71&amp;"*",'Diags Raw Data'!$J$6:$J$3752)</f>
        <v>0</v>
      </c>
      <c r="J71" s="467">
        <f>SUMIF('Diags Raw Data'!$A$6:$A$3752,"*"&amp;$A71&amp;"*",'Diags Raw Data'!$K$6:$K$3752)</f>
        <v>0</v>
      </c>
      <c r="K71" s="518" cm="1">
        <f t="array" ref="K71">IF(D71="",0, SUMPRODUCT(--(ISNUMBER(SEARCH($A71,'Diags Raw Data'!$A$6:$A$3752))),'Diags Raw Data'!$K$6:$K$3752,'Diags Raw Data'!$M$6:$M$3752)/J71)</f>
        <v>0</v>
      </c>
      <c r="L71" s="519" cm="1">
        <f t="array" ref="L71">IF(D71="",0, SUMPRODUCT(--(ISNUMBER(SEARCH($A71,'Diags Raw Data'!$A$6:$A$3752))),'Diags Raw Data'!$K$6:$K$3752,'Diags Raw Data'!$O$6:$O$3752)/J71)</f>
        <v>0</v>
      </c>
      <c r="M71" s="511" cm="1">
        <f t="array" ref="M71">SUMPRODUCT(--(ISNUMBER(SEARCH($A71,'Diags Raw Data'!$A$6:$A$3752))),--('Diags Raw Data'!$P$6:$P$3752&lt;&gt;"N/A"),'Diags Raw Data'!$Q$6:$Q$3752)</f>
        <v>0</v>
      </c>
      <c r="N71" s="520" cm="1">
        <f t="array" ref="N71">SUMPRODUCT(--(ISNUMBER(SEARCH($A71,'Diags Raw Data'!$A$6:$A$3752))),--('Diags Raw Data'!$P$6:$P$3752&lt;&gt;"N/A"),'Diags Raw Data'!$S$6:$S$3752)+SUMPRODUCT(--(ISNUMBER(SEARCH($A71,'Diags Raw Data'!$A$6:$A$3752))),--('Diags Raw Data'!$P$6:$P$3752&lt;&gt;"N/A"),'Diags Raw Data'!$T$6:$T$3752)</f>
        <v>0</v>
      </c>
      <c r="O71" s="521">
        <f t="shared" ref="O71:O102" si="13">IF((M71=0),0,N71/M71)</f>
        <v>0</v>
      </c>
      <c r="P71" s="522">
        <f>SUMIF('Diags Raw Data'!$A$6:$A$3752,"*"&amp;$A71&amp;"*",'Diags Raw Data'!$Y$6:$Y$3752)</f>
        <v>0</v>
      </c>
      <c r="Q71" s="523">
        <f>SUM(SUMIF('Diags Raw Data'!$A$6:$A$3752,"*"&amp;$A71&amp;"*",'Diags Raw Data'!$Z$6:$Z$3752),SUMIF('Diags Raw Data'!$A$6:$A$3752,"*"&amp;$A71&amp;"*",'Diags Raw Data'!$AA$6:$AA$3752))</f>
        <v>0</v>
      </c>
      <c r="R71" s="524">
        <f t="shared" si="9"/>
        <v>0</v>
      </c>
      <c r="S71" s="524">
        <f t="shared" si="10"/>
        <v>0</v>
      </c>
      <c r="T71" s="525">
        <f t="shared" si="11"/>
        <v>0</v>
      </c>
      <c r="U71" s="468" t="s">
        <v>438</v>
      </c>
      <c r="V71" s="179"/>
    </row>
    <row r="72" spans="1:22" ht="15">
      <c r="A72" s="335" t="s">
        <v>444</v>
      </c>
      <c r="B72" s="464" t="str">
        <f>VLOOKUP(A72,'Feature Raw Data'!$A$3:$B$3996,2,FALSE)</f>
        <v>Poll Register Write Memory</v>
      </c>
      <c r="C72" s="465" t="str">
        <f>VLOOKUP(A72,'Feature Raw Data'!$A$3:$C$3996,3,FALSE)</f>
        <v>P2</v>
      </c>
      <c r="D72" s="466" t="str" cm="1">
        <f t="array" ref="D72">_xlfn.TEXTJOIN("",TRUE,IF(ISNUMBER(SEARCH($A72,'Diags Raw Data'!$A$6:$A$3752)),CONCATENATE('Diags Raw Data'!$H$6:$H$3752,", "),""))</f>
        <v xml:space="preserve">nsdma16.3, </v>
      </c>
      <c r="E72" s="461" t="str">
        <f>VLOOKUP(A72,'Diags Raw Data'!$A$6:$D$3752,4,FALSE)</f>
        <v>SDMA</v>
      </c>
      <c r="F72" s="337" t="str">
        <f>VLOOKUP(A72,'Feature Raw Data'!$A$3:$E$3996,5,FALSE)</f>
        <v>Legacy</v>
      </c>
      <c r="G72" s="337" t="str">
        <f t="shared" si="12"/>
        <v>Yes</v>
      </c>
      <c r="H72" s="337" t="str">
        <f t="shared" si="8"/>
        <v>Yes</v>
      </c>
      <c r="I72" s="465">
        <f>SUMIF('Diags Raw Data'!$A$6:$A$3752,"*"&amp;$A72&amp;"*",'Diags Raw Data'!$J$6:$J$3752)</f>
        <v>1</v>
      </c>
      <c r="J72" s="467">
        <f>SUMIF('Diags Raw Data'!$A$6:$A$3752,"*"&amp;$A72&amp;"*",'Diags Raw Data'!$K$6:$K$3752)</f>
        <v>1</v>
      </c>
      <c r="K72" s="518" cm="1">
        <f t="array" ref="K72">IF(D72="",0, SUMPRODUCT(--(ISNUMBER(SEARCH($A72,'Diags Raw Data'!$A$6:$A$3752))),'Diags Raw Data'!$K$6:$K$3752,'Diags Raw Data'!$M$6:$M$3752)/J72)</f>
        <v>1</v>
      </c>
      <c r="L72" s="519" cm="1">
        <f t="array" ref="L72">IF(D72="",0, SUMPRODUCT(--(ISNUMBER(SEARCH($A72,'Diags Raw Data'!$A$6:$A$3752))),'Diags Raw Data'!$K$6:$K$3752,'Diags Raw Data'!$O$6:$O$3752)/J72)</f>
        <v>1</v>
      </c>
      <c r="M72" s="511" cm="1">
        <f t="array" ref="M72">SUMPRODUCT(--(ISNUMBER(SEARCH($A72,'Diags Raw Data'!$A$6:$A$3752))),--('Diags Raw Data'!$P$6:$P$3752&lt;&gt;"N/A"),'Diags Raw Data'!$Q$6:$Q$3752)</f>
        <v>1</v>
      </c>
      <c r="N72" s="520" cm="1">
        <f t="array" ref="N72">SUMPRODUCT(--(ISNUMBER(SEARCH($A72,'Diags Raw Data'!$A$6:$A$3752))),--('Diags Raw Data'!$P$6:$P$3752&lt;&gt;"N/A"),'Diags Raw Data'!$S$6:$S$3752)+SUMPRODUCT(--(ISNUMBER(SEARCH($A72,'Diags Raw Data'!$A$6:$A$3752))),--('Diags Raw Data'!$P$6:$P$3752&lt;&gt;"N/A"),'Diags Raw Data'!$T$6:$T$3752)</f>
        <v>1</v>
      </c>
      <c r="O72" s="521">
        <f t="shared" si="13"/>
        <v>1</v>
      </c>
      <c r="P72" s="522">
        <f>SUMIF('Diags Raw Data'!$A$6:$A$3752,"*"&amp;$A72&amp;"*",'Diags Raw Data'!$Y$6:$Y$3752)</f>
        <v>0</v>
      </c>
      <c r="Q72" s="523">
        <f>SUM(SUMIF('Diags Raw Data'!$A$6:$A$3752,"*"&amp;$A72&amp;"*",'Diags Raw Data'!$Z$6:$Z$3752),SUMIF('Diags Raw Data'!$A$6:$A$3752,"*"&amp;$A72&amp;"*",'Diags Raw Data'!$AA$6:$AA$3752))</f>
        <v>0</v>
      </c>
      <c r="R72" s="524">
        <f t="shared" si="9"/>
        <v>0</v>
      </c>
      <c r="S72" s="524">
        <f t="shared" si="10"/>
        <v>0</v>
      </c>
      <c r="T72" s="525">
        <f t="shared" si="11"/>
        <v>0</v>
      </c>
      <c r="U72" s="468" t="s">
        <v>301</v>
      </c>
      <c r="V72" s="179"/>
    </row>
    <row r="73" spans="1:22" ht="105">
      <c r="A73" s="335" t="s">
        <v>714</v>
      </c>
      <c r="B73" s="464" t="str">
        <f>VLOOKUP(A73,'Feature Raw Data'!$A$3:$B$3996,2,FALSE)</f>
        <v>Poll Dbit Write Memory</v>
      </c>
      <c r="C73" s="465" t="str">
        <f>VLOOKUP(A73,'Feature Raw Data'!$A$3:$C$3996,3,FALSE)</f>
        <v>P2</v>
      </c>
      <c r="D73" s="466" t="str" cm="1">
        <f t="array" ref="D73">_xlfn.TEXTJOIN("",TRUE,IF(ISNUMBER(SEARCH($A73,'Diags Raw Data'!$A$6:$A$3752)),CONCATENATE('Diags Raw Data'!$H$6:$H$3752,", "),""))</f>
        <v/>
      </c>
      <c r="E73" s="461" t="e">
        <f>VLOOKUP(A73,'Diags Raw Data'!$A$6:$D$3752,4,FALSE)</f>
        <v>#N/A</v>
      </c>
      <c r="F73" s="337" t="str">
        <f>VLOOKUP(A73,'Feature Raw Data'!$A$3:$E$3996,5,FALSE)</f>
        <v>Legacy</v>
      </c>
      <c r="G73" s="337" t="str">
        <f t="shared" si="12"/>
        <v>No</v>
      </c>
      <c r="H73" s="337" t="str">
        <f t="shared" si="8"/>
        <v>No</v>
      </c>
      <c r="I73" s="465">
        <f>SUMIF('Diags Raw Data'!$A$6:$A$3752,"*"&amp;$A73&amp;"*",'Diags Raw Data'!$J$6:$J$3752)</f>
        <v>0</v>
      </c>
      <c r="J73" s="467">
        <f>SUMIF('Diags Raw Data'!$A$6:$A$3752,"*"&amp;$A73&amp;"*",'Diags Raw Data'!$K$6:$K$3752)</f>
        <v>0</v>
      </c>
      <c r="K73" s="518" cm="1">
        <f t="array" ref="K73">IF(D73="",0, SUMPRODUCT(--(ISNUMBER(SEARCH($A73,'Diags Raw Data'!$A$6:$A$3752))),'Diags Raw Data'!$K$6:$K$3752,'Diags Raw Data'!$M$6:$M$3752)/J73)</f>
        <v>0</v>
      </c>
      <c r="L73" s="519" cm="1">
        <f t="array" ref="L73">IF(D73="",0, SUMPRODUCT(--(ISNUMBER(SEARCH($A73,'Diags Raw Data'!$A$6:$A$3752))),'Diags Raw Data'!$K$6:$K$3752,'Diags Raw Data'!$O$6:$O$3752)/J73)</f>
        <v>0</v>
      </c>
      <c r="M73" s="511" cm="1">
        <f t="array" ref="M73">SUMPRODUCT(--(ISNUMBER(SEARCH($A73,'Diags Raw Data'!$A$6:$A$3752))),--('Diags Raw Data'!$P$6:$P$3752&lt;&gt;"N/A"),'Diags Raw Data'!$Q$6:$Q$3752)</f>
        <v>0</v>
      </c>
      <c r="N73" s="520" cm="1">
        <f t="array" ref="N73">SUMPRODUCT(--(ISNUMBER(SEARCH($A73,'Diags Raw Data'!$A$6:$A$3752))),--('Diags Raw Data'!$P$6:$P$3752&lt;&gt;"N/A"),'Diags Raw Data'!$S$6:$S$3752)+SUMPRODUCT(--(ISNUMBER(SEARCH($A73,'Diags Raw Data'!$A$6:$A$3752))),--('Diags Raw Data'!$P$6:$P$3752&lt;&gt;"N/A"),'Diags Raw Data'!$T$6:$T$3752)</f>
        <v>0</v>
      </c>
      <c r="O73" s="521">
        <f t="shared" si="13"/>
        <v>0</v>
      </c>
      <c r="P73" s="522">
        <f>SUMIF('Diags Raw Data'!$A$6:$A$3752,"*"&amp;$A73&amp;"*",'Diags Raw Data'!$Y$6:$Y$3752)</f>
        <v>0</v>
      </c>
      <c r="Q73" s="523">
        <f>SUM(SUMIF('Diags Raw Data'!$A$6:$A$3752,"*"&amp;$A73&amp;"*",'Diags Raw Data'!$Z$6:$Z$3752),SUMIF('Diags Raw Data'!$A$6:$A$3752,"*"&amp;$A73&amp;"*",'Diags Raw Data'!$AA$6:$AA$3752))</f>
        <v>0</v>
      </c>
      <c r="R73" s="524">
        <f t="shared" si="9"/>
        <v>0</v>
      </c>
      <c r="S73" s="524">
        <f t="shared" si="10"/>
        <v>0</v>
      </c>
      <c r="T73" s="525">
        <f t="shared" si="11"/>
        <v>0</v>
      </c>
      <c r="U73" s="468" t="s">
        <v>839</v>
      </c>
      <c r="V73" s="179"/>
    </row>
    <row r="74" spans="1:22" ht="15">
      <c r="A74" s="335" t="s">
        <v>447</v>
      </c>
      <c r="B74" s="464" t="str">
        <f>VLOOKUP(A74,'Feature Raw Data'!$A$3:$B$3996,2,FALSE)</f>
        <v>Conditional Execution</v>
      </c>
      <c r="C74" s="465" t="str">
        <f>VLOOKUP(A74,'Feature Raw Data'!$A$3:$C$3996,3,FALSE)</f>
        <v>P2</v>
      </c>
      <c r="D74" s="466" t="str" cm="1">
        <f t="array" ref="D74">_xlfn.TEXTJOIN("",TRUE,IF(ISNUMBER(SEARCH($A74,'Diags Raw Data'!$A$6:$A$3752)),CONCATENATE('Diags Raw Data'!$H$6:$H$3752,", "),""))</f>
        <v xml:space="preserve">nsdma26.1,nsdma27.1, </v>
      </c>
      <c r="E74" s="461" t="str">
        <f>VLOOKUP(A74,'Diags Raw Data'!$A$6:$D$3752,4,FALSE)</f>
        <v>SDMA</v>
      </c>
      <c r="F74" s="337" t="str">
        <f>VLOOKUP(A74,'Feature Raw Data'!$A$3:$E$3996,5,FALSE)</f>
        <v>Legacy</v>
      </c>
      <c r="G74" s="337" t="str">
        <f t="shared" si="12"/>
        <v>Yes</v>
      </c>
      <c r="H74" s="337" t="str">
        <f t="shared" si="8"/>
        <v>Yes</v>
      </c>
      <c r="I74" s="465">
        <f>SUMIF('Diags Raw Data'!$A$6:$A$3752,"*"&amp;$A74&amp;"*",'Diags Raw Data'!$J$6:$J$3752)</f>
        <v>1</v>
      </c>
      <c r="J74" s="467">
        <f>SUMIF('Diags Raw Data'!$A$6:$A$3752,"*"&amp;$A74&amp;"*",'Diags Raw Data'!$K$6:$K$3752)</f>
        <v>2</v>
      </c>
      <c r="K74" s="518" cm="1">
        <f t="array" ref="K74">IF(D74="",0, SUMPRODUCT(--(ISNUMBER(SEARCH($A74,'Diags Raw Data'!$A$6:$A$3752))),'Diags Raw Data'!$K$6:$K$3752,'Diags Raw Data'!$M$6:$M$3752)/J74)</f>
        <v>1</v>
      </c>
      <c r="L74" s="519" cm="1">
        <f t="array" ref="L74">IF(D74="",0, SUMPRODUCT(--(ISNUMBER(SEARCH($A74,'Diags Raw Data'!$A$6:$A$3752))),'Diags Raw Data'!$K$6:$K$3752,'Diags Raw Data'!$O$6:$O$3752)/J74)</f>
        <v>1</v>
      </c>
      <c r="M74" s="511" cm="1">
        <f t="array" ref="M74">SUMPRODUCT(--(ISNUMBER(SEARCH($A74,'Diags Raw Data'!$A$6:$A$3752))),--('Diags Raw Data'!$P$6:$P$3752&lt;&gt;"N/A"),'Diags Raw Data'!$Q$6:$Q$3752)</f>
        <v>2</v>
      </c>
      <c r="N74" s="520" cm="1">
        <f t="array" ref="N74">SUMPRODUCT(--(ISNUMBER(SEARCH($A74,'Diags Raw Data'!$A$6:$A$3752))),--('Diags Raw Data'!$P$6:$P$3752&lt;&gt;"N/A"),'Diags Raw Data'!$S$6:$S$3752)+SUMPRODUCT(--(ISNUMBER(SEARCH($A74,'Diags Raw Data'!$A$6:$A$3752))),--('Diags Raw Data'!$P$6:$P$3752&lt;&gt;"N/A"),'Diags Raw Data'!$T$6:$T$3752)</f>
        <v>2</v>
      </c>
      <c r="O74" s="521">
        <f t="shared" si="13"/>
        <v>1</v>
      </c>
      <c r="P74" s="522">
        <f>SUMIF('Diags Raw Data'!$A$6:$A$3752,"*"&amp;$A74&amp;"*",'Diags Raw Data'!$Y$6:$Y$3752)</f>
        <v>0</v>
      </c>
      <c r="Q74" s="523">
        <f>SUM(SUMIF('Diags Raw Data'!$A$6:$A$3752,"*"&amp;$A74&amp;"*",'Diags Raw Data'!$Z$6:$Z$3752),SUMIF('Diags Raw Data'!$A$6:$A$3752,"*"&amp;$A74&amp;"*",'Diags Raw Data'!$AA$6:$AA$3752))</f>
        <v>0</v>
      </c>
      <c r="R74" s="524">
        <f t="shared" si="9"/>
        <v>0</v>
      </c>
      <c r="S74" s="524">
        <f t="shared" si="10"/>
        <v>0</v>
      </c>
      <c r="T74" s="525">
        <f t="shared" si="11"/>
        <v>0</v>
      </c>
      <c r="U74" s="468" t="s">
        <v>836</v>
      </c>
      <c r="V74" s="179"/>
    </row>
    <row r="75" spans="1:22" ht="15">
      <c r="A75" s="335" t="s">
        <v>450</v>
      </c>
      <c r="B75" s="464" t="str">
        <f>VLOOKUP(A75,'Feature Raw Data'!$A$3:$B$3996,2,FALSE)</f>
        <v>Predicated Execution</v>
      </c>
      <c r="C75" s="465" t="str">
        <f>VLOOKUP(A75,'Feature Raw Data'!$A$3:$C$3996,3,FALSE)</f>
        <v>P2</v>
      </c>
      <c r="D75" s="466" t="str" cm="1">
        <f t="array" ref="D75">_xlfn.TEXTJOIN("",TRUE,IF(ISNUMBER(SEARCH($A75,'Diags Raw Data'!$A$6:$A$3752)),CONCATENATE('Diags Raw Data'!$H$6:$H$3752,", "),""))</f>
        <v xml:space="preserve">nsdma182.1,nsdma183.1, </v>
      </c>
      <c r="E75" s="461" t="str">
        <f>VLOOKUP(A75,'Diags Raw Data'!$A$6:$D$3752,4,FALSE)</f>
        <v>SDMA</v>
      </c>
      <c r="F75" s="337" t="str">
        <f>VLOOKUP(A75,'Feature Raw Data'!$A$3:$E$3996,5,FALSE)</f>
        <v>Legacy</v>
      </c>
      <c r="G75" s="337" t="str">
        <f t="shared" si="12"/>
        <v>Yes</v>
      </c>
      <c r="H75" s="337" t="str">
        <f t="shared" si="8"/>
        <v>Yes</v>
      </c>
      <c r="I75" s="465">
        <f>SUMIF('Diags Raw Data'!$A$6:$A$3752,"*"&amp;$A75&amp;"*",'Diags Raw Data'!$J$6:$J$3752)</f>
        <v>1</v>
      </c>
      <c r="J75" s="467">
        <f>SUMIF('Diags Raw Data'!$A$6:$A$3752,"*"&amp;$A75&amp;"*",'Diags Raw Data'!$K$6:$K$3752)</f>
        <v>2</v>
      </c>
      <c r="K75" s="518" cm="1">
        <f t="array" ref="K75">IF(D75="",0, SUMPRODUCT(--(ISNUMBER(SEARCH($A75,'Diags Raw Data'!$A$6:$A$3752))),'Diags Raw Data'!$K$6:$K$3752,'Diags Raw Data'!$M$6:$M$3752)/J75)</f>
        <v>1</v>
      </c>
      <c r="L75" s="519" cm="1">
        <f t="array" ref="L75">IF(D75="",0, SUMPRODUCT(--(ISNUMBER(SEARCH($A75,'Diags Raw Data'!$A$6:$A$3752))),'Diags Raw Data'!$K$6:$K$3752,'Diags Raw Data'!$O$6:$O$3752)/J75)</f>
        <v>1</v>
      </c>
      <c r="M75" s="511" cm="1">
        <f t="array" ref="M75">SUMPRODUCT(--(ISNUMBER(SEARCH($A75,'Diags Raw Data'!$A$6:$A$3752))),--('Diags Raw Data'!$P$6:$P$3752&lt;&gt;"N/A"),'Diags Raw Data'!$Q$6:$Q$3752)</f>
        <v>2</v>
      </c>
      <c r="N75" s="520" cm="1">
        <f t="array" ref="N75">SUMPRODUCT(--(ISNUMBER(SEARCH($A75,'Diags Raw Data'!$A$6:$A$3752))),--('Diags Raw Data'!$P$6:$P$3752&lt;&gt;"N/A"),'Diags Raw Data'!$S$6:$S$3752)+SUMPRODUCT(--(ISNUMBER(SEARCH($A75,'Diags Raw Data'!$A$6:$A$3752))),--('Diags Raw Data'!$P$6:$P$3752&lt;&gt;"N/A"),'Diags Raw Data'!$T$6:$T$3752)</f>
        <v>2</v>
      </c>
      <c r="O75" s="521">
        <f t="shared" si="13"/>
        <v>1</v>
      </c>
      <c r="P75" s="522">
        <f>SUMIF('Diags Raw Data'!$A$6:$A$3752,"*"&amp;$A75&amp;"*",'Diags Raw Data'!$Y$6:$Y$3752)</f>
        <v>0</v>
      </c>
      <c r="Q75" s="523">
        <f>SUM(SUMIF('Diags Raw Data'!$A$6:$A$3752,"*"&amp;$A75&amp;"*",'Diags Raw Data'!$Z$6:$Z$3752),SUMIF('Diags Raw Data'!$A$6:$A$3752,"*"&amp;$A75&amp;"*",'Diags Raw Data'!$AA$6:$AA$3752))</f>
        <v>0</v>
      </c>
      <c r="R75" s="524">
        <f t="shared" si="9"/>
        <v>0</v>
      </c>
      <c r="S75" s="524">
        <f t="shared" si="10"/>
        <v>0</v>
      </c>
      <c r="T75" s="525">
        <f t="shared" si="11"/>
        <v>0</v>
      </c>
      <c r="U75" s="468" t="s">
        <v>301</v>
      </c>
      <c r="V75" s="179"/>
    </row>
    <row r="76" spans="1:22" ht="15">
      <c r="A76" s="335" t="s">
        <v>453</v>
      </c>
      <c r="B76" s="464" t="str">
        <f>VLOOKUP(A76,'Feature Raw Data'!$A$3:$B$3996,2,FALSE)</f>
        <v>Generate PTE/PDE</v>
      </c>
      <c r="C76" s="465" t="str">
        <f>VLOOKUP(A76,'Feature Raw Data'!$A$3:$C$3996,3,FALSE)</f>
        <v>P2</v>
      </c>
      <c r="D76" s="466" t="str" cm="1">
        <f t="array" ref="D76">_xlfn.TEXTJOIN("",TRUE,IF(ISNUMBER(SEARCH($A76,'Diags Raw Data'!$A$6:$A$3752)),CONCATENATE('Diags Raw Data'!$H$6:$H$3752,", "),""))</f>
        <v xml:space="preserve">nsdma30.1, </v>
      </c>
      <c r="E76" s="461" t="str">
        <f>VLOOKUP(A76,'Diags Raw Data'!$A$6:$D$3752,4,FALSE)</f>
        <v>SDMA</v>
      </c>
      <c r="F76" s="337" t="str">
        <f>VLOOKUP(A76,'Feature Raw Data'!$A$3:$E$3996,5,FALSE)</f>
        <v>Legacy</v>
      </c>
      <c r="G76" s="337" t="str">
        <f t="shared" si="12"/>
        <v>Yes</v>
      </c>
      <c r="H76" s="337" t="str">
        <f t="shared" si="8"/>
        <v>Yes</v>
      </c>
      <c r="I76" s="465">
        <f>SUMIF('Diags Raw Data'!$A$6:$A$3752,"*"&amp;$A76&amp;"*",'Diags Raw Data'!$J$6:$J$3752)</f>
        <v>1</v>
      </c>
      <c r="J76" s="467">
        <f>SUMIF('Diags Raw Data'!$A$6:$A$3752,"*"&amp;$A76&amp;"*",'Diags Raw Data'!$K$6:$K$3752)</f>
        <v>1</v>
      </c>
      <c r="K76" s="518" cm="1">
        <f t="array" ref="K76">IF(D76="",0, SUMPRODUCT(--(ISNUMBER(SEARCH($A76,'Diags Raw Data'!$A$6:$A$3752))),'Diags Raw Data'!$K$6:$K$3752,'Diags Raw Data'!$M$6:$M$3752)/J76)</f>
        <v>1</v>
      </c>
      <c r="L76" s="519" cm="1">
        <f t="array" ref="L76">IF(D76="",0, SUMPRODUCT(--(ISNUMBER(SEARCH($A76,'Diags Raw Data'!$A$6:$A$3752))),'Diags Raw Data'!$K$6:$K$3752,'Diags Raw Data'!$O$6:$O$3752)/J76)</f>
        <v>1</v>
      </c>
      <c r="M76" s="511" cm="1">
        <f t="array" ref="M76">SUMPRODUCT(--(ISNUMBER(SEARCH($A76,'Diags Raw Data'!$A$6:$A$3752))),--('Diags Raw Data'!$P$6:$P$3752&lt;&gt;"N/A"),'Diags Raw Data'!$Q$6:$Q$3752)</f>
        <v>1</v>
      </c>
      <c r="N76" s="520" cm="1">
        <f t="array" ref="N76">SUMPRODUCT(--(ISNUMBER(SEARCH($A76,'Diags Raw Data'!$A$6:$A$3752))),--('Diags Raw Data'!$P$6:$P$3752&lt;&gt;"N/A"),'Diags Raw Data'!$S$6:$S$3752)+SUMPRODUCT(--(ISNUMBER(SEARCH($A76,'Diags Raw Data'!$A$6:$A$3752))),--('Diags Raw Data'!$P$6:$P$3752&lt;&gt;"N/A"),'Diags Raw Data'!$T$6:$T$3752)</f>
        <v>1</v>
      </c>
      <c r="O76" s="521">
        <f t="shared" si="13"/>
        <v>1</v>
      </c>
      <c r="P76" s="522">
        <f>SUMIF('Diags Raw Data'!$A$6:$A$3752,"*"&amp;$A76&amp;"*",'Diags Raw Data'!$Y$6:$Y$3752)</f>
        <v>0</v>
      </c>
      <c r="Q76" s="523">
        <f>SUM(SUMIF('Diags Raw Data'!$A$6:$A$3752,"*"&amp;$A76&amp;"*",'Diags Raw Data'!$Z$6:$Z$3752),SUMIF('Diags Raw Data'!$A$6:$A$3752,"*"&amp;$A76&amp;"*",'Diags Raw Data'!$AA$6:$AA$3752))</f>
        <v>0</v>
      </c>
      <c r="R76" s="524">
        <f t="shared" si="9"/>
        <v>0</v>
      </c>
      <c r="S76" s="524">
        <f t="shared" si="10"/>
        <v>0</v>
      </c>
      <c r="T76" s="525">
        <f t="shared" si="11"/>
        <v>0</v>
      </c>
      <c r="U76" s="468" t="s">
        <v>301</v>
      </c>
      <c r="V76" s="179"/>
    </row>
    <row r="77" spans="1:22" ht="15">
      <c r="A77" s="335" t="s">
        <v>456</v>
      </c>
      <c r="B77" s="464" t="str">
        <f>VLOOKUP(A77,'Feature Raw Data'!$A$3:$B$3996,2,FALSE)</f>
        <v>Copy Mask PTE/PDE</v>
      </c>
      <c r="C77" s="465" t="str">
        <f>VLOOKUP(A77,'Feature Raw Data'!$A$3:$C$3996,3,FALSE)</f>
        <v>P2</v>
      </c>
      <c r="D77" s="466" t="str" cm="1">
        <f t="array" ref="D77">_xlfn.TEXTJOIN("",TRUE,IF(ISNUMBER(SEARCH($A77,'Diags Raw Data'!$A$6:$A$3752)),CONCATENATE('Diags Raw Data'!$H$6:$H$3752,", "),""))</f>
        <v xml:space="preserve">nsdma201.1, </v>
      </c>
      <c r="E77" s="461" t="str">
        <f>VLOOKUP(A77,'Diags Raw Data'!$A$6:$D$3752,4,FALSE)</f>
        <v>SDMA</v>
      </c>
      <c r="F77" s="337" t="str">
        <f>VLOOKUP(A77,'Feature Raw Data'!$A$3:$E$3996,5,FALSE)</f>
        <v>Legacy</v>
      </c>
      <c r="G77" s="337" t="str">
        <f t="shared" si="12"/>
        <v>Yes</v>
      </c>
      <c r="H77" s="337" t="str">
        <f t="shared" si="8"/>
        <v>Yes</v>
      </c>
      <c r="I77" s="465">
        <f>SUMIF('Diags Raw Data'!$A$6:$A$3752,"*"&amp;$A77&amp;"*",'Diags Raw Data'!$J$6:$J$3752)</f>
        <v>1</v>
      </c>
      <c r="J77" s="467">
        <f>SUMIF('Diags Raw Data'!$A$6:$A$3752,"*"&amp;$A77&amp;"*",'Diags Raw Data'!$K$6:$K$3752)</f>
        <v>1</v>
      </c>
      <c r="K77" s="518" cm="1">
        <f t="array" ref="K77">IF(D77="",0, SUMPRODUCT(--(ISNUMBER(SEARCH($A77,'Diags Raw Data'!$A$6:$A$3752))),'Diags Raw Data'!$K$6:$K$3752,'Diags Raw Data'!$M$6:$M$3752)/J77)</f>
        <v>1</v>
      </c>
      <c r="L77" s="519" cm="1">
        <f t="array" ref="L77">IF(D77="",0, SUMPRODUCT(--(ISNUMBER(SEARCH($A77,'Diags Raw Data'!$A$6:$A$3752))),'Diags Raw Data'!$K$6:$K$3752,'Diags Raw Data'!$O$6:$O$3752)/J77)</f>
        <v>1</v>
      </c>
      <c r="M77" s="511" cm="1">
        <f t="array" ref="M77">SUMPRODUCT(--(ISNUMBER(SEARCH($A77,'Diags Raw Data'!$A$6:$A$3752))),--('Diags Raw Data'!$P$6:$P$3752&lt;&gt;"N/A"),'Diags Raw Data'!$Q$6:$Q$3752)</f>
        <v>1</v>
      </c>
      <c r="N77" s="520" cm="1">
        <f t="array" ref="N77">SUMPRODUCT(--(ISNUMBER(SEARCH($A77,'Diags Raw Data'!$A$6:$A$3752))),--('Diags Raw Data'!$P$6:$P$3752&lt;&gt;"N/A"),'Diags Raw Data'!$S$6:$S$3752)+SUMPRODUCT(--(ISNUMBER(SEARCH($A77,'Diags Raw Data'!$A$6:$A$3752))),--('Diags Raw Data'!$P$6:$P$3752&lt;&gt;"N/A"),'Diags Raw Data'!$T$6:$T$3752)</f>
        <v>1</v>
      </c>
      <c r="O77" s="521">
        <f t="shared" si="13"/>
        <v>1</v>
      </c>
      <c r="P77" s="522">
        <f>SUMIF('Diags Raw Data'!$A$6:$A$3752,"*"&amp;$A77&amp;"*",'Diags Raw Data'!$Y$6:$Y$3752)</f>
        <v>0</v>
      </c>
      <c r="Q77" s="523">
        <f>SUM(SUMIF('Diags Raw Data'!$A$6:$A$3752,"*"&amp;$A77&amp;"*",'Diags Raw Data'!$Z$6:$Z$3752),SUMIF('Diags Raw Data'!$A$6:$A$3752,"*"&amp;$A77&amp;"*",'Diags Raw Data'!$AA$6:$AA$3752))</f>
        <v>0</v>
      </c>
      <c r="R77" s="524">
        <f t="shared" si="9"/>
        <v>0</v>
      </c>
      <c r="S77" s="524">
        <f t="shared" si="10"/>
        <v>0</v>
      </c>
      <c r="T77" s="525">
        <f t="shared" si="11"/>
        <v>0</v>
      </c>
      <c r="U77" s="468" t="s">
        <v>301</v>
      </c>
      <c r="V77" s="179"/>
    </row>
    <row r="78" spans="1:22" ht="15">
      <c r="A78" s="335" t="s">
        <v>459</v>
      </c>
      <c r="B78" s="464" t="str">
        <f>VLOOKUP(A78,'Feature Raw Data'!$A$3:$B$3996,2,FALSE)</f>
        <v>RMW PTE/PDE</v>
      </c>
      <c r="C78" s="465" t="str">
        <f>VLOOKUP(A78,'Feature Raw Data'!$A$3:$C$3996,3,FALSE)</f>
        <v>P2</v>
      </c>
      <c r="D78" s="466" t="str" cm="1">
        <f t="array" ref="D78">_xlfn.TEXTJOIN("",TRUE,IF(ISNUMBER(SEARCH($A78,'Diags Raw Data'!$A$6:$A$3752)),CONCATENATE('Diags Raw Data'!$H$6:$H$3752,", "),""))</f>
        <v xml:space="preserve">nsdma203.1, </v>
      </c>
      <c r="E78" s="461" t="str">
        <f>VLOOKUP(A78,'Diags Raw Data'!$A$6:$D$3752,4,FALSE)</f>
        <v>SDMA</v>
      </c>
      <c r="F78" s="337" t="str">
        <f>VLOOKUP(A78,'Feature Raw Data'!$A$3:$E$3996,5,FALSE)</f>
        <v>Legacy</v>
      </c>
      <c r="G78" s="337" t="str">
        <f t="shared" si="12"/>
        <v>Yes</v>
      </c>
      <c r="H78" s="337" t="str">
        <f t="shared" si="8"/>
        <v>Yes</v>
      </c>
      <c r="I78" s="465">
        <f>SUMIF('Diags Raw Data'!$A$6:$A$3752,"*"&amp;$A78&amp;"*",'Diags Raw Data'!$J$6:$J$3752)</f>
        <v>1</v>
      </c>
      <c r="J78" s="467">
        <f>SUMIF('Diags Raw Data'!$A$6:$A$3752,"*"&amp;$A78&amp;"*",'Diags Raw Data'!$K$6:$K$3752)</f>
        <v>1</v>
      </c>
      <c r="K78" s="518" cm="1">
        <f t="array" ref="K78">IF(D78="",0, SUMPRODUCT(--(ISNUMBER(SEARCH($A78,'Diags Raw Data'!$A$6:$A$3752))),'Diags Raw Data'!$K$6:$K$3752,'Diags Raw Data'!$M$6:$M$3752)/J78)</f>
        <v>1</v>
      </c>
      <c r="L78" s="519" cm="1">
        <f t="array" ref="L78">IF(D78="",0, SUMPRODUCT(--(ISNUMBER(SEARCH($A78,'Diags Raw Data'!$A$6:$A$3752))),'Diags Raw Data'!$K$6:$K$3752,'Diags Raw Data'!$O$6:$O$3752)/J78)</f>
        <v>1</v>
      </c>
      <c r="M78" s="511" cm="1">
        <f t="array" ref="M78">SUMPRODUCT(--(ISNUMBER(SEARCH($A78,'Diags Raw Data'!$A$6:$A$3752))),--('Diags Raw Data'!$P$6:$P$3752&lt;&gt;"N/A"),'Diags Raw Data'!$Q$6:$Q$3752)</f>
        <v>1</v>
      </c>
      <c r="N78" s="520" cm="1">
        <f t="array" ref="N78">SUMPRODUCT(--(ISNUMBER(SEARCH($A78,'Diags Raw Data'!$A$6:$A$3752))),--('Diags Raw Data'!$P$6:$P$3752&lt;&gt;"N/A"),'Diags Raw Data'!$S$6:$S$3752)+SUMPRODUCT(--(ISNUMBER(SEARCH($A78,'Diags Raw Data'!$A$6:$A$3752))),--('Diags Raw Data'!$P$6:$P$3752&lt;&gt;"N/A"),'Diags Raw Data'!$T$6:$T$3752)</f>
        <v>1</v>
      </c>
      <c r="O78" s="521">
        <f t="shared" si="13"/>
        <v>1</v>
      </c>
      <c r="P78" s="522">
        <f>SUMIF('Diags Raw Data'!$A$6:$A$3752,"*"&amp;$A78&amp;"*",'Diags Raw Data'!$Y$6:$Y$3752)</f>
        <v>0</v>
      </c>
      <c r="Q78" s="523">
        <f>SUM(SUMIF('Diags Raw Data'!$A$6:$A$3752,"*"&amp;$A78&amp;"*",'Diags Raw Data'!$Z$6:$Z$3752),SUMIF('Diags Raw Data'!$A$6:$A$3752,"*"&amp;$A78&amp;"*",'Diags Raw Data'!$AA$6:$AA$3752))</f>
        <v>0</v>
      </c>
      <c r="R78" s="524">
        <f t="shared" si="9"/>
        <v>0</v>
      </c>
      <c r="S78" s="524">
        <f t="shared" si="10"/>
        <v>0</v>
      </c>
      <c r="T78" s="525">
        <f t="shared" si="11"/>
        <v>0</v>
      </c>
      <c r="U78" s="468" t="s">
        <v>438</v>
      </c>
      <c r="V78" s="179"/>
    </row>
    <row r="79" spans="1:22" ht="15">
      <c r="A79" s="335" t="s">
        <v>462</v>
      </c>
      <c r="B79" s="464" t="str">
        <f>VLOOKUP(A79,'Feature Raw Data'!$A$3:$B$3996,2,FALSE)</f>
        <v>Timestamp Commands</v>
      </c>
      <c r="C79" s="465" t="str">
        <f>VLOOKUP(A79,'Feature Raw Data'!$A$3:$C$3996,3,FALSE)</f>
        <v>P2</v>
      </c>
      <c r="D79" s="466" t="str" cm="1">
        <f t="array" ref="D79">_xlfn.TEXTJOIN("",TRUE,IF(ISNUMBER(SEARCH($A79,'Diags Raw Data'!$A$6:$A$3752)),CONCATENATE('Diags Raw Data'!$H$6:$H$3752,", "),""))</f>
        <v xml:space="preserve">nsdma56.1,nsdms57.1, </v>
      </c>
      <c r="E79" s="461" t="str">
        <f>VLOOKUP(A79,'Diags Raw Data'!$A$6:$D$3752,4,FALSE)</f>
        <v>SDMA</v>
      </c>
      <c r="F79" s="337" t="str">
        <f>VLOOKUP(A79,'Feature Raw Data'!$A$3:$E$3996,5,FALSE)</f>
        <v>Legacy</v>
      </c>
      <c r="G79" s="337" t="str">
        <f t="shared" si="12"/>
        <v>Yes</v>
      </c>
      <c r="H79" s="337" t="str">
        <f t="shared" si="8"/>
        <v>Yes</v>
      </c>
      <c r="I79" s="465">
        <f>SUMIF('Diags Raw Data'!$A$6:$A$3752,"*"&amp;$A79&amp;"*",'Diags Raw Data'!$J$6:$J$3752)</f>
        <v>1</v>
      </c>
      <c r="J79" s="467">
        <f>SUMIF('Diags Raw Data'!$A$6:$A$3752,"*"&amp;$A79&amp;"*",'Diags Raw Data'!$K$6:$K$3752)</f>
        <v>2</v>
      </c>
      <c r="K79" s="518" cm="1">
        <f t="array" ref="K79">IF(D79="",0, SUMPRODUCT(--(ISNUMBER(SEARCH($A79,'Diags Raw Data'!$A$6:$A$3752))),'Diags Raw Data'!$K$6:$K$3752,'Diags Raw Data'!$M$6:$M$3752)/J79)</f>
        <v>1</v>
      </c>
      <c r="L79" s="519" cm="1">
        <f t="array" ref="L79">IF(D79="",0, SUMPRODUCT(--(ISNUMBER(SEARCH($A79,'Diags Raw Data'!$A$6:$A$3752))),'Diags Raw Data'!$K$6:$K$3752,'Diags Raw Data'!$O$6:$O$3752)/J79)</f>
        <v>1</v>
      </c>
      <c r="M79" s="511" cm="1">
        <f t="array" ref="M79">SUMPRODUCT(--(ISNUMBER(SEARCH($A79,'Diags Raw Data'!$A$6:$A$3752))),--('Diags Raw Data'!$P$6:$P$3752&lt;&gt;"N/A"),'Diags Raw Data'!$Q$6:$Q$3752)</f>
        <v>2</v>
      </c>
      <c r="N79" s="520" cm="1">
        <f t="array" ref="N79">SUMPRODUCT(--(ISNUMBER(SEARCH($A79,'Diags Raw Data'!$A$6:$A$3752))),--('Diags Raw Data'!$P$6:$P$3752&lt;&gt;"N/A"),'Diags Raw Data'!$S$6:$S$3752)+SUMPRODUCT(--(ISNUMBER(SEARCH($A79,'Diags Raw Data'!$A$6:$A$3752))),--('Diags Raw Data'!$P$6:$P$3752&lt;&gt;"N/A"),'Diags Raw Data'!$T$6:$T$3752)</f>
        <v>1</v>
      </c>
      <c r="O79" s="521">
        <f t="shared" si="13"/>
        <v>0.5</v>
      </c>
      <c r="P79" s="522">
        <f>SUMIF('Diags Raw Data'!$A$6:$A$3752,"*"&amp;$A79&amp;"*",'Diags Raw Data'!$Y$6:$Y$3752)</f>
        <v>0</v>
      </c>
      <c r="Q79" s="523">
        <f>SUM(SUMIF('Diags Raw Data'!$A$6:$A$3752,"*"&amp;$A79&amp;"*",'Diags Raw Data'!$Z$6:$Z$3752),SUMIF('Diags Raw Data'!$A$6:$A$3752,"*"&amp;$A79&amp;"*",'Diags Raw Data'!$AA$6:$AA$3752))</f>
        <v>0</v>
      </c>
      <c r="R79" s="524">
        <f t="shared" si="9"/>
        <v>0</v>
      </c>
      <c r="S79" s="524">
        <f t="shared" si="10"/>
        <v>0</v>
      </c>
      <c r="T79" s="525">
        <f t="shared" si="11"/>
        <v>0</v>
      </c>
      <c r="U79" s="468" t="s">
        <v>438</v>
      </c>
      <c r="V79" s="179"/>
    </row>
    <row r="80" spans="1:22" ht="15">
      <c r="A80" s="335" t="s">
        <v>466</v>
      </c>
      <c r="B80" s="464" t="str">
        <f>VLOOKUP(A80,'Feature Raw Data'!$A$3:$B$3996,2,FALSE)</f>
        <v>Translation failure RESP MODE[4:0]</v>
      </c>
      <c r="C80" s="465" t="str">
        <f>VLOOKUP(A80,'Feature Raw Data'!$A$3:$C$3996,3,FALSE)</f>
        <v>P2</v>
      </c>
      <c r="D80" s="466" t="str" cm="1">
        <f t="array" ref="D80">_xlfn.TEXTJOIN("",TRUE,IF(ISNUMBER(SEARCH($A80,'Diags Raw Data'!$A$6:$A$3752)),CONCATENATE('Diags Raw Data'!$H$6:$H$3752,", "),""))</f>
        <v xml:space="preserve">nsdma126-nsdma134.1, </v>
      </c>
      <c r="E80" s="461" t="str">
        <f>VLOOKUP(A80,'Diags Raw Data'!$A$6:$D$3752,4,FALSE)</f>
        <v>SDMA</v>
      </c>
      <c r="F80" s="337" t="str">
        <f>VLOOKUP(A80,'Feature Raw Data'!$A$3:$E$3996,5,FALSE)</f>
        <v>Legacy</v>
      </c>
      <c r="G80" s="337" t="str">
        <f t="shared" si="12"/>
        <v>Yes</v>
      </c>
      <c r="H80" s="337" t="str">
        <f t="shared" si="8"/>
        <v>Yes</v>
      </c>
      <c r="I80" s="465">
        <f>SUMIF('Diags Raw Data'!$A$6:$A$3752,"*"&amp;$A80&amp;"*",'Diags Raw Data'!$J$6:$J$3752)</f>
        <v>1</v>
      </c>
      <c r="J80" s="467">
        <f>SUMIF('Diags Raw Data'!$A$6:$A$3752,"*"&amp;$A80&amp;"*",'Diags Raw Data'!$K$6:$K$3752)</f>
        <v>9</v>
      </c>
      <c r="K80" s="518" cm="1">
        <f t="array" ref="K80">IF(D80="",0, SUMPRODUCT(--(ISNUMBER(SEARCH($A80,'Diags Raw Data'!$A$6:$A$3752))),'Diags Raw Data'!$K$6:$K$3752,'Diags Raw Data'!$M$6:$M$3752)/J80)</f>
        <v>1</v>
      </c>
      <c r="L80" s="519" cm="1">
        <f t="array" ref="L80">IF(D80="",0, SUMPRODUCT(--(ISNUMBER(SEARCH($A80,'Diags Raw Data'!$A$6:$A$3752))),'Diags Raw Data'!$K$6:$K$3752,'Diags Raw Data'!$O$6:$O$3752)/J80)</f>
        <v>1</v>
      </c>
      <c r="M80" s="511" cm="1">
        <f t="array" ref="M80">SUMPRODUCT(--(ISNUMBER(SEARCH($A80,'Diags Raw Data'!$A$6:$A$3752))),--('Diags Raw Data'!$P$6:$P$3752&lt;&gt;"N/A"),'Diags Raw Data'!$Q$6:$Q$3752)</f>
        <v>9</v>
      </c>
      <c r="N80" s="520" cm="1">
        <f t="array" ref="N80">SUMPRODUCT(--(ISNUMBER(SEARCH($A80,'Diags Raw Data'!$A$6:$A$3752))),--('Diags Raw Data'!$P$6:$P$3752&lt;&gt;"N/A"),'Diags Raw Data'!$S$6:$S$3752)+SUMPRODUCT(--(ISNUMBER(SEARCH($A80,'Diags Raw Data'!$A$6:$A$3752))),--('Diags Raw Data'!$P$6:$P$3752&lt;&gt;"N/A"),'Diags Raw Data'!$T$6:$T$3752)</f>
        <v>0</v>
      </c>
      <c r="O80" s="521">
        <f t="shared" si="13"/>
        <v>0</v>
      </c>
      <c r="P80" s="522">
        <f>SUMIF('Diags Raw Data'!$A$6:$A$3752,"*"&amp;$A80&amp;"*",'Diags Raw Data'!$Y$6:$Y$3752)</f>
        <v>0</v>
      </c>
      <c r="Q80" s="523">
        <f>SUM(SUMIF('Diags Raw Data'!$A$6:$A$3752,"*"&amp;$A80&amp;"*",'Diags Raw Data'!$Z$6:$Z$3752),SUMIF('Diags Raw Data'!$A$6:$A$3752,"*"&amp;$A80&amp;"*",'Diags Raw Data'!$AA$6:$AA$3752))</f>
        <v>0</v>
      </c>
      <c r="R80" s="524">
        <f t="shared" si="9"/>
        <v>0</v>
      </c>
      <c r="S80" s="524">
        <f t="shared" si="10"/>
        <v>0</v>
      </c>
      <c r="T80" s="525">
        <f t="shared" si="11"/>
        <v>0</v>
      </c>
      <c r="U80" s="468" t="s">
        <v>438</v>
      </c>
      <c r="V80" s="179"/>
    </row>
    <row r="81" spans="1:22" ht="15">
      <c r="A81" s="335" t="s">
        <v>469</v>
      </c>
      <c r="B81" s="464" t="str">
        <f>VLOOKUP(A81,'Feature Raw Data'!$A$3:$B$3996,2,FALSE)</f>
        <v>VM_INVALIDATION</v>
      </c>
      <c r="C81" s="465" t="str">
        <f>VLOOKUP(A81,'Feature Raw Data'!$A$3:$C$3996,3,FALSE)</f>
        <v>P2</v>
      </c>
      <c r="D81" s="466" t="str" cm="1">
        <f t="array" ref="D81">_xlfn.TEXTJOIN("",TRUE,IF(ISNUMBER(SEARCH($A81,'Diags Raw Data'!$A$6:$A$3752)),CONCATENATE('Diags Raw Data'!$H$6:$H$3752,", "),""))</f>
        <v xml:space="preserve">nsdma220.1-18, </v>
      </c>
      <c r="E81" s="461" t="str">
        <f>VLOOKUP(A81,'Diags Raw Data'!$A$6:$D$3752,4,FALSE)</f>
        <v>SDMA</v>
      </c>
      <c r="F81" s="337" t="str">
        <f>VLOOKUP(A81,'Feature Raw Data'!$A$3:$E$3996,5,FALSE)</f>
        <v>Legacy</v>
      </c>
      <c r="G81" s="337" t="str">
        <f t="shared" si="12"/>
        <v>Yes</v>
      </c>
      <c r="H81" s="337" t="str">
        <f t="shared" si="8"/>
        <v>Yes</v>
      </c>
      <c r="I81" s="465">
        <f>SUMIF('Diags Raw Data'!$A$6:$A$3752,"*"&amp;$A81&amp;"*",'Diags Raw Data'!$J$6:$J$3752)</f>
        <v>1</v>
      </c>
      <c r="J81" s="467">
        <f>SUMIF('Diags Raw Data'!$A$6:$A$3752,"*"&amp;$A81&amp;"*",'Diags Raw Data'!$K$6:$K$3752)</f>
        <v>18</v>
      </c>
      <c r="K81" s="518" cm="1">
        <f t="array" ref="K81">IF(D81="",0, SUMPRODUCT(--(ISNUMBER(SEARCH($A81,'Diags Raw Data'!$A$6:$A$3752))),'Diags Raw Data'!$K$6:$K$3752,'Diags Raw Data'!$M$6:$M$3752)/J81)</f>
        <v>1</v>
      </c>
      <c r="L81" s="519" cm="1">
        <f t="array" ref="L81">IF(D81="",0, SUMPRODUCT(--(ISNUMBER(SEARCH($A81,'Diags Raw Data'!$A$6:$A$3752))),'Diags Raw Data'!$K$6:$K$3752,'Diags Raw Data'!$O$6:$O$3752)/J81)</f>
        <v>1</v>
      </c>
      <c r="M81" s="511" cm="1">
        <f t="array" ref="M81">SUMPRODUCT(--(ISNUMBER(SEARCH($A81,'Diags Raw Data'!$A$6:$A$3752))),--('Diags Raw Data'!$P$6:$P$3752&lt;&gt;"N/A"),'Diags Raw Data'!$Q$6:$Q$3752)</f>
        <v>18</v>
      </c>
      <c r="N81" s="520" cm="1">
        <f t="array" ref="N81">SUMPRODUCT(--(ISNUMBER(SEARCH($A81,'Diags Raw Data'!$A$6:$A$3752))),--('Diags Raw Data'!$P$6:$P$3752&lt;&gt;"N/A"),'Diags Raw Data'!$S$6:$S$3752)+SUMPRODUCT(--(ISNUMBER(SEARCH($A81,'Diags Raw Data'!$A$6:$A$3752))),--('Diags Raw Data'!$P$6:$P$3752&lt;&gt;"N/A"),'Diags Raw Data'!$T$6:$T$3752)</f>
        <v>0</v>
      </c>
      <c r="O81" s="521">
        <f t="shared" si="13"/>
        <v>0</v>
      </c>
      <c r="P81" s="522">
        <f>SUMIF('Diags Raw Data'!$A$6:$A$3752,"*"&amp;$A81&amp;"*",'Diags Raw Data'!$Y$6:$Y$3752)</f>
        <v>0</v>
      </c>
      <c r="Q81" s="523">
        <f>SUM(SUMIF('Diags Raw Data'!$A$6:$A$3752,"*"&amp;$A81&amp;"*",'Diags Raw Data'!$Z$6:$Z$3752),SUMIF('Diags Raw Data'!$A$6:$A$3752,"*"&amp;$A81&amp;"*",'Diags Raw Data'!$AA$6:$AA$3752))</f>
        <v>0</v>
      </c>
      <c r="R81" s="524">
        <f t="shared" si="9"/>
        <v>0</v>
      </c>
      <c r="S81" s="524">
        <f t="shared" si="10"/>
        <v>0</v>
      </c>
      <c r="T81" s="525">
        <f t="shared" si="11"/>
        <v>0</v>
      </c>
      <c r="U81" s="468" t="s">
        <v>438</v>
      </c>
      <c r="V81" s="179"/>
    </row>
    <row r="82" spans="1:22" ht="15">
      <c r="A82" s="335" t="s">
        <v>716</v>
      </c>
      <c r="B82" s="464" t="str">
        <f>VLOOKUP(A82,'Feature Raw Data'!$A$3:$B$3996,2,FALSE)</f>
        <v>Page Migration</v>
      </c>
      <c r="C82" s="465" t="str">
        <f>VLOOKUP(A82,'Feature Raw Data'!$A$3:$C$3996,3,FALSE)</f>
        <v>P2</v>
      </c>
      <c r="D82" s="466" t="str" cm="1">
        <f t="array" ref="D82">_xlfn.TEXTJOIN("",TRUE,IF(ISNUMBER(SEARCH($A82,'Diags Raw Data'!$A$6:$A$3752)),CONCATENATE('Diags Raw Data'!$H$6:$H$3752,", "),""))</f>
        <v/>
      </c>
      <c r="E82" s="461" t="e">
        <f>VLOOKUP(A82,'Diags Raw Data'!$A$6:$D$3752,4,FALSE)</f>
        <v>#N/A</v>
      </c>
      <c r="F82" s="337" t="str">
        <f>VLOOKUP(A82,'Feature Raw Data'!$A$3:$E$3996,5,FALSE)</f>
        <v>Legacy</v>
      </c>
      <c r="G82" s="337" t="str">
        <f t="shared" si="12"/>
        <v>No</v>
      </c>
      <c r="H82" s="337" t="str">
        <f t="shared" si="8"/>
        <v>No</v>
      </c>
      <c r="I82" s="465">
        <f>SUMIF('Diags Raw Data'!$A$6:$A$3752,"*"&amp;$A82&amp;"*",'Diags Raw Data'!$J$6:$J$3752)</f>
        <v>0</v>
      </c>
      <c r="J82" s="467">
        <f>SUMIF('Diags Raw Data'!$A$6:$A$3752,"*"&amp;$A82&amp;"*",'Diags Raw Data'!$K$6:$K$3752)</f>
        <v>0</v>
      </c>
      <c r="K82" s="518" cm="1">
        <f t="array" ref="K82">IF(D82="",0, SUMPRODUCT(--(ISNUMBER(SEARCH($A82,'Diags Raw Data'!$A$6:$A$3752))),'Diags Raw Data'!$K$6:$K$3752,'Diags Raw Data'!$M$6:$M$3752)/J82)</f>
        <v>0</v>
      </c>
      <c r="L82" s="519" cm="1">
        <f t="array" ref="L82">IF(D82="",0, SUMPRODUCT(--(ISNUMBER(SEARCH($A82,'Diags Raw Data'!$A$6:$A$3752))),'Diags Raw Data'!$K$6:$K$3752,'Diags Raw Data'!$O$6:$O$3752)/J82)</f>
        <v>0</v>
      </c>
      <c r="M82" s="511" cm="1">
        <f t="array" ref="M82">SUMPRODUCT(--(ISNUMBER(SEARCH($A82,'Diags Raw Data'!$A$6:$A$3752))),--('Diags Raw Data'!$P$6:$P$3752&lt;&gt;"N/A"),'Diags Raw Data'!$Q$6:$Q$3752)</f>
        <v>0</v>
      </c>
      <c r="N82" s="520" cm="1">
        <f t="array" ref="N82">SUMPRODUCT(--(ISNUMBER(SEARCH($A82,'Diags Raw Data'!$A$6:$A$3752))),--('Diags Raw Data'!$P$6:$P$3752&lt;&gt;"N/A"),'Diags Raw Data'!$S$6:$S$3752)+SUMPRODUCT(--(ISNUMBER(SEARCH($A82,'Diags Raw Data'!$A$6:$A$3752))),--('Diags Raw Data'!$P$6:$P$3752&lt;&gt;"N/A"),'Diags Raw Data'!$T$6:$T$3752)</f>
        <v>0</v>
      </c>
      <c r="O82" s="521">
        <f t="shared" si="13"/>
        <v>0</v>
      </c>
      <c r="P82" s="522">
        <f>SUMIF('Diags Raw Data'!$A$6:$A$3752,"*"&amp;$A82&amp;"*",'Diags Raw Data'!$Y$6:$Y$3752)</f>
        <v>0</v>
      </c>
      <c r="Q82" s="523">
        <f>SUM(SUMIF('Diags Raw Data'!$A$6:$A$3752,"*"&amp;$A82&amp;"*",'Diags Raw Data'!$Z$6:$Z$3752),SUMIF('Diags Raw Data'!$A$6:$A$3752,"*"&amp;$A82&amp;"*",'Diags Raw Data'!$AA$6:$AA$3752))</f>
        <v>0</v>
      </c>
      <c r="R82" s="524">
        <f t="shared" si="9"/>
        <v>0</v>
      </c>
      <c r="S82" s="524">
        <f t="shared" si="10"/>
        <v>0</v>
      </c>
      <c r="T82" s="525">
        <f t="shared" si="11"/>
        <v>0</v>
      </c>
      <c r="U82" s="468" t="s">
        <v>438</v>
      </c>
      <c r="V82" s="179"/>
    </row>
    <row r="83" spans="1:22" ht="15">
      <c r="A83" s="335" t="s">
        <v>472</v>
      </c>
      <c r="B83" s="464" t="str">
        <f>VLOOKUP(A83,'Feature Raw Data'!$A$3:$B$3996,2,FALSE)</f>
        <v>Trap Command</v>
      </c>
      <c r="C83" s="465" t="str">
        <f>VLOOKUP(A83,'Feature Raw Data'!$A$3:$C$3996,3,FALSE)</f>
        <v>P2</v>
      </c>
      <c r="D83" s="466" t="str" cm="1">
        <f t="array" ref="D83">_xlfn.TEXTJOIN("",TRUE,IF(ISNUMBER(SEARCH($A83,'Diags Raw Data'!$A$6:$A$3752)),CONCATENATE('Diags Raw Data'!$H$6:$H$3752,", "),""))</f>
        <v xml:space="preserve">nsdma14.1,nsdma15.1, </v>
      </c>
      <c r="E83" s="461" t="str">
        <f>VLOOKUP(A83,'Diags Raw Data'!$A$6:$D$3752,4,FALSE)</f>
        <v>SDMA</v>
      </c>
      <c r="F83" s="337" t="str">
        <f>VLOOKUP(A83,'Feature Raw Data'!$A$3:$E$3996,5,FALSE)</f>
        <v>Legacy</v>
      </c>
      <c r="G83" s="337" t="str">
        <f t="shared" si="12"/>
        <v>Yes</v>
      </c>
      <c r="H83" s="337" t="str">
        <f t="shared" si="8"/>
        <v>Yes</v>
      </c>
      <c r="I83" s="465">
        <f>SUMIF('Diags Raw Data'!$A$6:$A$3752,"*"&amp;$A83&amp;"*",'Diags Raw Data'!$J$6:$J$3752)</f>
        <v>1</v>
      </c>
      <c r="J83" s="467">
        <f>SUMIF('Diags Raw Data'!$A$6:$A$3752,"*"&amp;$A83&amp;"*",'Diags Raw Data'!$K$6:$K$3752)</f>
        <v>2</v>
      </c>
      <c r="K83" s="518" cm="1">
        <f t="array" ref="K83">IF(D83="",0, SUMPRODUCT(--(ISNUMBER(SEARCH($A83,'Diags Raw Data'!$A$6:$A$3752))),'Diags Raw Data'!$K$6:$K$3752,'Diags Raw Data'!$M$6:$M$3752)/J83)</f>
        <v>1</v>
      </c>
      <c r="L83" s="519" cm="1">
        <f t="array" ref="L83">IF(D83="",0, SUMPRODUCT(--(ISNUMBER(SEARCH($A83,'Diags Raw Data'!$A$6:$A$3752))),'Diags Raw Data'!$K$6:$K$3752,'Diags Raw Data'!$O$6:$O$3752)/J83)</f>
        <v>1</v>
      </c>
      <c r="M83" s="511" cm="1">
        <f t="array" ref="M83">SUMPRODUCT(--(ISNUMBER(SEARCH($A83,'Diags Raw Data'!$A$6:$A$3752))),--('Diags Raw Data'!$P$6:$P$3752&lt;&gt;"N/A"),'Diags Raw Data'!$Q$6:$Q$3752)</f>
        <v>2</v>
      </c>
      <c r="N83" s="520" cm="1">
        <f t="array" ref="N83">SUMPRODUCT(--(ISNUMBER(SEARCH($A83,'Diags Raw Data'!$A$6:$A$3752))),--('Diags Raw Data'!$P$6:$P$3752&lt;&gt;"N/A"),'Diags Raw Data'!$S$6:$S$3752)+SUMPRODUCT(--(ISNUMBER(SEARCH($A83,'Diags Raw Data'!$A$6:$A$3752))),--('Diags Raw Data'!$P$6:$P$3752&lt;&gt;"N/A"),'Diags Raw Data'!$T$6:$T$3752)</f>
        <v>2</v>
      </c>
      <c r="O83" s="521">
        <f t="shared" si="13"/>
        <v>1</v>
      </c>
      <c r="P83" s="522">
        <f>SUMIF('Diags Raw Data'!$A$6:$A$3752,"*"&amp;$A83&amp;"*",'Diags Raw Data'!$Y$6:$Y$3752)</f>
        <v>0</v>
      </c>
      <c r="Q83" s="523">
        <f>SUM(SUMIF('Diags Raw Data'!$A$6:$A$3752,"*"&amp;$A83&amp;"*",'Diags Raw Data'!$Z$6:$Z$3752),SUMIF('Diags Raw Data'!$A$6:$A$3752,"*"&amp;$A83&amp;"*",'Diags Raw Data'!$AA$6:$AA$3752))</f>
        <v>0</v>
      </c>
      <c r="R83" s="524">
        <f t="shared" si="9"/>
        <v>0</v>
      </c>
      <c r="S83" s="524">
        <f t="shared" si="10"/>
        <v>0</v>
      </c>
      <c r="T83" s="525">
        <f t="shared" si="11"/>
        <v>0</v>
      </c>
      <c r="U83" s="468" t="s">
        <v>301</v>
      </c>
      <c r="V83" s="179"/>
    </row>
    <row r="84" spans="1:22" ht="15">
      <c r="A84" s="335" t="s">
        <v>475</v>
      </c>
      <c r="B84" s="464" t="str">
        <f>VLOOKUP(A84,'Feature Raw Data'!$A$3:$B$3996,2,FALSE)</f>
        <v>VDDGFX power down support</v>
      </c>
      <c r="C84" s="465" t="str">
        <f>VLOOKUP(A84,'Feature Raw Data'!$A$3:$C$3996,3,FALSE)</f>
        <v>P2</v>
      </c>
      <c r="D84" s="466" t="str" cm="1">
        <f t="array" ref="D84">_xlfn.TEXTJOIN("",TRUE,IF(ISNUMBER(SEARCH($A84,'Diags Raw Data'!$A$6:$A$3752)),CONCATENATE('Diags Raw Data'!$H$6:$H$3752,", "),""))</f>
        <v xml:space="preserve">nsdma228.1, </v>
      </c>
      <c r="E84" s="461" t="str">
        <f>VLOOKUP(A84,'Diags Raw Data'!$A$6:$D$3752,4,FALSE)</f>
        <v>SDMA</v>
      </c>
      <c r="F84" s="337" t="str">
        <f>VLOOKUP(A84,'Feature Raw Data'!$A$3:$E$3996,5,FALSE)</f>
        <v>Legacy</v>
      </c>
      <c r="G84" s="337" t="str">
        <f t="shared" si="12"/>
        <v>Yes</v>
      </c>
      <c r="H84" s="337" t="str">
        <f t="shared" si="8"/>
        <v>Yes</v>
      </c>
      <c r="I84" s="465">
        <f>SUMIF('Diags Raw Data'!$A$6:$A$3752,"*"&amp;$A84&amp;"*",'Diags Raw Data'!$J$6:$J$3752)</f>
        <v>1</v>
      </c>
      <c r="J84" s="467">
        <f>SUMIF('Diags Raw Data'!$A$6:$A$3752,"*"&amp;$A84&amp;"*",'Diags Raw Data'!$K$6:$K$3752)</f>
        <v>1</v>
      </c>
      <c r="K84" s="518" cm="1">
        <f t="array" ref="K84">IF(D84="",0, SUMPRODUCT(--(ISNUMBER(SEARCH($A84,'Diags Raw Data'!$A$6:$A$3752))),'Diags Raw Data'!$K$6:$K$3752,'Diags Raw Data'!$M$6:$M$3752)/J84)</f>
        <v>1</v>
      </c>
      <c r="L84" s="519" cm="1">
        <f t="array" ref="L84">IF(D84="",0, SUMPRODUCT(--(ISNUMBER(SEARCH($A84,'Diags Raw Data'!$A$6:$A$3752))),'Diags Raw Data'!$K$6:$K$3752,'Diags Raw Data'!$O$6:$O$3752)/J84)</f>
        <v>1</v>
      </c>
      <c r="M84" s="511" cm="1">
        <f t="array" ref="M84">SUMPRODUCT(--(ISNUMBER(SEARCH($A84,'Diags Raw Data'!$A$6:$A$3752))),--('Diags Raw Data'!$P$6:$P$3752&lt;&gt;"N/A"),'Diags Raw Data'!$Q$6:$Q$3752)</f>
        <v>0</v>
      </c>
      <c r="N84" s="520" cm="1">
        <f t="array" ref="N84">SUMPRODUCT(--(ISNUMBER(SEARCH($A84,'Diags Raw Data'!$A$6:$A$3752))),--('Diags Raw Data'!$P$6:$P$3752&lt;&gt;"N/A"),'Diags Raw Data'!$S$6:$S$3752)+SUMPRODUCT(--(ISNUMBER(SEARCH($A84,'Diags Raw Data'!$A$6:$A$3752))),--('Diags Raw Data'!$P$6:$P$3752&lt;&gt;"N/A"),'Diags Raw Data'!$T$6:$T$3752)</f>
        <v>0</v>
      </c>
      <c r="O84" s="521">
        <f t="shared" si="13"/>
        <v>0</v>
      </c>
      <c r="P84" s="522">
        <f>SUMIF('Diags Raw Data'!$A$6:$A$3752,"*"&amp;$A84&amp;"*",'Diags Raw Data'!$Y$6:$Y$3752)</f>
        <v>0</v>
      </c>
      <c r="Q84" s="523">
        <f>SUM(SUMIF('Diags Raw Data'!$A$6:$A$3752,"*"&amp;$A84&amp;"*",'Diags Raw Data'!$Z$6:$Z$3752),SUMIF('Diags Raw Data'!$A$6:$A$3752,"*"&amp;$A84&amp;"*",'Diags Raw Data'!$AA$6:$AA$3752))</f>
        <v>0</v>
      </c>
      <c r="R84" s="524">
        <f t="shared" si="9"/>
        <v>0</v>
      </c>
      <c r="S84" s="524">
        <f t="shared" si="10"/>
        <v>0</v>
      </c>
      <c r="T84" s="525">
        <f t="shared" si="11"/>
        <v>0</v>
      </c>
      <c r="U84" s="468" t="s">
        <v>301</v>
      </c>
      <c r="V84" s="179"/>
    </row>
    <row r="85" spans="1:22" ht="15">
      <c r="A85" s="335" t="s">
        <v>718</v>
      </c>
      <c r="B85" s="464" t="str">
        <f>VLOOKUP(A85,'Feature Raw Data'!$A$3:$B$3996,2,FALSE)</f>
        <v>Multi-thread F32 core</v>
      </c>
      <c r="C85" s="465" t="str">
        <f>VLOOKUP(A85,'Feature Raw Data'!$A$3:$C$3996,3,FALSE)</f>
        <v>P2</v>
      </c>
      <c r="D85" s="466" t="str" cm="1">
        <f t="array" ref="D85">_xlfn.TEXTJOIN("",TRUE,IF(ISNUMBER(SEARCH($A85,'Diags Raw Data'!$A$6:$A$3752)),CONCATENATE('Diags Raw Data'!$H$6:$H$3752,", "),""))</f>
        <v/>
      </c>
      <c r="E85" s="461" t="e">
        <f>VLOOKUP(A85,'Diags Raw Data'!$A$6:$D$3752,4,FALSE)</f>
        <v>#N/A</v>
      </c>
      <c r="F85" s="337" t="str">
        <f>VLOOKUP(A85,'Feature Raw Data'!$A$3:$E$3996,5,FALSE)</f>
        <v>Delta</v>
      </c>
      <c r="G85" s="337" t="str">
        <f t="shared" si="12"/>
        <v>No</v>
      </c>
      <c r="H85" s="337" t="str">
        <f t="shared" si="8"/>
        <v>No</v>
      </c>
      <c r="I85" s="465">
        <f>SUMIF('Diags Raw Data'!$A$6:$A$3752,"*"&amp;$A85&amp;"*",'Diags Raw Data'!$J$6:$J$3752)</f>
        <v>0</v>
      </c>
      <c r="J85" s="467">
        <f>SUMIF('Diags Raw Data'!$A$6:$A$3752,"*"&amp;$A85&amp;"*",'Diags Raw Data'!$K$6:$K$3752)</f>
        <v>0</v>
      </c>
      <c r="K85" s="518" cm="1">
        <f t="array" ref="K85">IF(D85="",0, SUMPRODUCT(--(ISNUMBER(SEARCH($A85,'Diags Raw Data'!$A$6:$A$3752))),'Diags Raw Data'!$K$6:$K$3752,'Diags Raw Data'!$M$6:$M$3752)/J85)</f>
        <v>0</v>
      </c>
      <c r="L85" s="519" cm="1">
        <f t="array" ref="L85">IF(D85="",0, SUMPRODUCT(--(ISNUMBER(SEARCH($A85,'Diags Raw Data'!$A$6:$A$3752))),'Diags Raw Data'!$K$6:$K$3752,'Diags Raw Data'!$O$6:$O$3752)/J85)</f>
        <v>0</v>
      </c>
      <c r="M85" s="511" cm="1">
        <f t="array" ref="M85">SUMPRODUCT(--(ISNUMBER(SEARCH($A85,'Diags Raw Data'!$A$6:$A$3752))),--('Diags Raw Data'!$P$6:$P$3752&lt;&gt;"N/A"),'Diags Raw Data'!$Q$6:$Q$3752)</f>
        <v>0</v>
      </c>
      <c r="N85" s="520" cm="1">
        <f t="array" ref="N85">SUMPRODUCT(--(ISNUMBER(SEARCH($A85,'Diags Raw Data'!$A$6:$A$3752))),--('Diags Raw Data'!$P$6:$P$3752&lt;&gt;"N/A"),'Diags Raw Data'!$S$6:$S$3752)+SUMPRODUCT(--(ISNUMBER(SEARCH($A85,'Diags Raw Data'!$A$6:$A$3752))),--('Diags Raw Data'!$P$6:$P$3752&lt;&gt;"N/A"),'Diags Raw Data'!$T$6:$T$3752)</f>
        <v>0</v>
      </c>
      <c r="O85" s="521">
        <f t="shared" si="13"/>
        <v>0</v>
      </c>
      <c r="P85" s="522">
        <f>SUMIF('Diags Raw Data'!$A$6:$A$3752,"*"&amp;$A85&amp;"*",'Diags Raw Data'!$Y$6:$Y$3752)</f>
        <v>0</v>
      </c>
      <c r="Q85" s="523">
        <f>SUM(SUMIF('Diags Raw Data'!$A$6:$A$3752,"*"&amp;$A85&amp;"*",'Diags Raw Data'!$Z$6:$Z$3752),SUMIF('Diags Raw Data'!$A$6:$A$3752,"*"&amp;$A85&amp;"*",'Diags Raw Data'!$AA$6:$AA$3752))</f>
        <v>0</v>
      </c>
      <c r="R85" s="524">
        <f t="shared" si="9"/>
        <v>0</v>
      </c>
      <c r="S85" s="524">
        <f t="shared" si="10"/>
        <v>0</v>
      </c>
      <c r="T85" s="525">
        <f t="shared" si="11"/>
        <v>0</v>
      </c>
      <c r="U85" s="468" t="s">
        <v>301</v>
      </c>
      <c r="V85" s="179"/>
    </row>
    <row r="86" spans="1:22" ht="15">
      <c r="A86" s="335" t="s">
        <v>478</v>
      </c>
      <c r="B86" s="464" t="str">
        <f>VLOOKUP(A86,'Feature Raw Data'!$A$3:$B$3996,2,FALSE)</f>
        <v>Support 8 general purpose HW queue with programmable queue scheduling/priority</v>
      </c>
      <c r="C86" s="465" t="str">
        <f>VLOOKUP(A86,'Feature Raw Data'!$A$3:$C$3996,3,FALSE)</f>
        <v>P2</v>
      </c>
      <c r="D86" s="466" t="str" cm="1">
        <f t="array" ref="D86">_xlfn.TEXTJOIN("",TRUE,IF(ISNUMBER(SEARCH($A86,'Diags Raw Data'!$A$6:$A$3752)),CONCATENATE('Diags Raw Data'!$H$6:$H$3752,", "),""))</f>
        <v xml:space="preserve">nsdma213.1-4, </v>
      </c>
      <c r="E86" s="461" t="str">
        <f>VLOOKUP(A86,'Diags Raw Data'!$A$6:$D$3752,4,FALSE)</f>
        <v>SDMA</v>
      </c>
      <c r="F86" s="337" t="str">
        <f>VLOOKUP(A86,'Feature Raw Data'!$A$3:$E$3996,5,FALSE)</f>
        <v>Delta</v>
      </c>
      <c r="G86" s="337" t="str">
        <f t="shared" si="12"/>
        <v>Yes</v>
      </c>
      <c r="H86" s="337" t="str">
        <f t="shared" si="8"/>
        <v>Yes</v>
      </c>
      <c r="I86" s="465">
        <f>SUMIF('Diags Raw Data'!$A$6:$A$3752,"*"&amp;$A86&amp;"*",'Diags Raw Data'!$J$6:$J$3752)</f>
        <v>1</v>
      </c>
      <c r="J86" s="467">
        <f>SUMIF('Diags Raw Data'!$A$6:$A$3752,"*"&amp;$A86&amp;"*",'Diags Raw Data'!$K$6:$K$3752)</f>
        <v>4</v>
      </c>
      <c r="K86" s="518" cm="1">
        <f t="array" ref="K86">IF(D86="",0, SUMPRODUCT(--(ISNUMBER(SEARCH($A86,'Diags Raw Data'!$A$6:$A$3752))),'Diags Raw Data'!$K$6:$K$3752,'Diags Raw Data'!$M$6:$M$3752)/J86)</f>
        <v>1</v>
      </c>
      <c r="L86" s="519" cm="1">
        <f t="array" ref="L86">IF(D86="",0, SUMPRODUCT(--(ISNUMBER(SEARCH($A86,'Diags Raw Data'!$A$6:$A$3752))),'Diags Raw Data'!$K$6:$K$3752,'Diags Raw Data'!$O$6:$O$3752)/J86)</f>
        <v>1</v>
      </c>
      <c r="M86" s="511" cm="1">
        <f t="array" ref="M86">SUMPRODUCT(--(ISNUMBER(SEARCH($A86,'Diags Raw Data'!$A$6:$A$3752))),--('Diags Raw Data'!$P$6:$P$3752&lt;&gt;"N/A"),'Diags Raw Data'!$Q$6:$Q$3752)</f>
        <v>4</v>
      </c>
      <c r="N86" s="520" cm="1">
        <f t="array" ref="N86">SUMPRODUCT(--(ISNUMBER(SEARCH($A86,'Diags Raw Data'!$A$6:$A$3752))),--('Diags Raw Data'!$P$6:$P$3752&lt;&gt;"N/A"),'Diags Raw Data'!$S$6:$S$3752)+SUMPRODUCT(--(ISNUMBER(SEARCH($A86,'Diags Raw Data'!$A$6:$A$3752))),--('Diags Raw Data'!$P$6:$P$3752&lt;&gt;"N/A"),'Diags Raw Data'!$T$6:$T$3752)</f>
        <v>0</v>
      </c>
      <c r="O86" s="521">
        <f t="shared" si="13"/>
        <v>0</v>
      </c>
      <c r="P86" s="522">
        <f>SUMIF('Diags Raw Data'!$A$6:$A$3752,"*"&amp;$A86&amp;"*",'Diags Raw Data'!$Y$6:$Y$3752)</f>
        <v>0</v>
      </c>
      <c r="Q86" s="523">
        <f>SUM(SUMIF('Diags Raw Data'!$A$6:$A$3752,"*"&amp;$A86&amp;"*",'Diags Raw Data'!$Z$6:$Z$3752),SUMIF('Diags Raw Data'!$A$6:$A$3752,"*"&amp;$A86&amp;"*",'Diags Raw Data'!$AA$6:$AA$3752))</f>
        <v>0</v>
      </c>
      <c r="R86" s="524">
        <f t="shared" si="9"/>
        <v>0</v>
      </c>
      <c r="S86" s="524">
        <f t="shared" si="10"/>
        <v>0</v>
      </c>
      <c r="T86" s="525">
        <f t="shared" si="11"/>
        <v>0</v>
      </c>
      <c r="U86" s="468" t="s">
        <v>396</v>
      </c>
      <c r="V86" s="179"/>
    </row>
    <row r="87" spans="1:22" ht="15">
      <c r="A87" s="335" t="s">
        <v>482</v>
      </c>
      <c r="B87" s="464" t="str">
        <f>VLOOKUP(A87,'Feature Raw Data'!$A$3:$B$3996,2,FALSE)</f>
        <v>Queue process detection and per-queue reset</v>
      </c>
      <c r="C87" s="465" t="str">
        <f>VLOOKUP(A87,'Feature Raw Data'!$A$3:$C$3996,3,FALSE)</f>
        <v>P2</v>
      </c>
      <c r="D87" s="466" t="str" cm="1">
        <f t="array" ref="D87">_xlfn.TEXTJOIN("",TRUE,IF(ISNUMBER(SEARCH($A87,'Diags Raw Data'!$A$6:$A$3752)),CONCATENATE('Diags Raw Data'!$H$6:$H$3752,", "),""))</f>
        <v xml:space="preserve">nsdma216.1-2, </v>
      </c>
      <c r="E87" s="461" t="str">
        <f>VLOOKUP(A87,'Diags Raw Data'!$A$6:$D$3752,4,FALSE)</f>
        <v>SDMA</v>
      </c>
      <c r="F87" s="337" t="str">
        <f>VLOOKUP(A87,'Feature Raw Data'!$A$3:$E$3996,5,FALSE)</f>
        <v>Delta</v>
      </c>
      <c r="G87" s="337" t="str">
        <f t="shared" si="12"/>
        <v>Yes</v>
      </c>
      <c r="H87" s="337" t="str">
        <f t="shared" si="8"/>
        <v>Yes</v>
      </c>
      <c r="I87" s="465">
        <f>SUMIF('Diags Raw Data'!$A$6:$A$3752,"*"&amp;$A87&amp;"*",'Diags Raw Data'!$J$6:$J$3752)</f>
        <v>1</v>
      </c>
      <c r="J87" s="467">
        <f>SUMIF('Diags Raw Data'!$A$6:$A$3752,"*"&amp;$A87&amp;"*",'Diags Raw Data'!$K$6:$K$3752)</f>
        <v>2</v>
      </c>
      <c r="K87" s="518" cm="1">
        <f t="array" ref="K87">IF(D87="",0, SUMPRODUCT(--(ISNUMBER(SEARCH($A87,'Diags Raw Data'!$A$6:$A$3752))),'Diags Raw Data'!$K$6:$K$3752,'Diags Raw Data'!$M$6:$M$3752)/J87)</f>
        <v>1</v>
      </c>
      <c r="L87" s="519" cm="1">
        <f t="array" ref="L87">IF(D87="",0, SUMPRODUCT(--(ISNUMBER(SEARCH($A87,'Diags Raw Data'!$A$6:$A$3752))),'Diags Raw Data'!$K$6:$K$3752,'Diags Raw Data'!$O$6:$O$3752)/J87)</f>
        <v>1</v>
      </c>
      <c r="M87" s="511" cm="1">
        <f t="array" ref="M87">SUMPRODUCT(--(ISNUMBER(SEARCH($A87,'Diags Raw Data'!$A$6:$A$3752))),--('Diags Raw Data'!$P$6:$P$3752&lt;&gt;"N/A"),'Diags Raw Data'!$Q$6:$Q$3752)</f>
        <v>2</v>
      </c>
      <c r="N87" s="520" cm="1">
        <f t="array" ref="N87">SUMPRODUCT(--(ISNUMBER(SEARCH($A87,'Diags Raw Data'!$A$6:$A$3752))),--('Diags Raw Data'!$P$6:$P$3752&lt;&gt;"N/A"),'Diags Raw Data'!$S$6:$S$3752)+SUMPRODUCT(--(ISNUMBER(SEARCH($A87,'Diags Raw Data'!$A$6:$A$3752))),--('Diags Raw Data'!$P$6:$P$3752&lt;&gt;"N/A"),'Diags Raw Data'!$T$6:$T$3752)</f>
        <v>0</v>
      </c>
      <c r="O87" s="521">
        <f t="shared" si="13"/>
        <v>0</v>
      </c>
      <c r="P87" s="522">
        <f>SUMIF('Diags Raw Data'!$A$6:$A$3752,"*"&amp;$A87&amp;"*",'Diags Raw Data'!$Y$6:$Y$3752)</f>
        <v>0</v>
      </c>
      <c r="Q87" s="523">
        <f>SUM(SUMIF('Diags Raw Data'!$A$6:$A$3752,"*"&amp;$A87&amp;"*",'Diags Raw Data'!$Z$6:$Z$3752),SUMIF('Diags Raw Data'!$A$6:$A$3752,"*"&amp;$A87&amp;"*",'Diags Raw Data'!$AA$6:$AA$3752))</f>
        <v>0</v>
      </c>
      <c r="R87" s="524">
        <f t="shared" si="9"/>
        <v>0</v>
      </c>
      <c r="S87" s="524">
        <f t="shared" si="10"/>
        <v>0</v>
      </c>
      <c r="T87" s="525">
        <f t="shared" si="11"/>
        <v>0</v>
      </c>
      <c r="U87" s="468" t="s">
        <v>840</v>
      </c>
      <c r="V87" s="179"/>
    </row>
    <row r="88" spans="1:22" ht="15">
      <c r="A88" s="335" t="s">
        <v>721</v>
      </c>
      <c r="B88" s="464" t="str">
        <f>VLOOKUP(A88,'Feature Raw Data'!$A$3:$B$3996,2,FALSE)</f>
        <v>Small copy size enhancement</v>
      </c>
      <c r="C88" s="465" t="str">
        <f>VLOOKUP(A88,'Feature Raw Data'!$A$3:$C$3996,3,FALSE)</f>
        <v>P2</v>
      </c>
      <c r="D88" s="466" t="str" cm="1">
        <f t="array" ref="D88">_xlfn.TEXTJOIN("",TRUE,IF(ISNUMBER(SEARCH($A88,'Diags Raw Data'!$A$6:$A$3752)),CONCATENATE('Diags Raw Data'!$H$6:$H$3752,", "),""))</f>
        <v/>
      </c>
      <c r="E88" s="461" t="e">
        <f>VLOOKUP(A88,'Diags Raw Data'!$A$6:$D$3752,4,FALSE)</f>
        <v>#N/A</v>
      </c>
      <c r="F88" s="337" t="str">
        <f>VLOOKUP(A88,'Feature Raw Data'!$A$3:$E$3996,5,FALSE)</f>
        <v>Delta</v>
      </c>
      <c r="G88" s="337" t="s">
        <v>31</v>
      </c>
      <c r="H88" s="337" t="s">
        <v>31</v>
      </c>
      <c r="I88" s="465">
        <f>SUMIF('Diags Raw Data'!$A$6:$A$3752,"*"&amp;$A88&amp;"*",'Diags Raw Data'!$J$6:$J$3752)</f>
        <v>0</v>
      </c>
      <c r="J88" s="467">
        <f>SUMIF('Diags Raw Data'!$A$6:$A$3752,"*"&amp;$A88&amp;"*",'Diags Raw Data'!$K$6:$K$3752)</f>
        <v>0</v>
      </c>
      <c r="K88" s="518" cm="1">
        <f t="array" ref="K88">IF(D88="",0, SUMPRODUCT(--(ISNUMBER(SEARCH($A88,'Diags Raw Data'!$A$6:$A$3752))),'Diags Raw Data'!$K$6:$K$3752,'Diags Raw Data'!$M$6:$M$3752)/J88)</f>
        <v>0</v>
      </c>
      <c r="L88" s="519" cm="1">
        <f t="array" ref="L88">IF(D88="",0, SUMPRODUCT(--(ISNUMBER(SEARCH($A88,'Diags Raw Data'!$A$6:$A$3752))),'Diags Raw Data'!$K$6:$K$3752,'Diags Raw Data'!$O$6:$O$3752)/J88)</f>
        <v>0</v>
      </c>
      <c r="M88" s="511" cm="1">
        <f t="array" ref="M88">SUMPRODUCT(--(ISNUMBER(SEARCH($A88,'Diags Raw Data'!$A$6:$A$3752))),--('Diags Raw Data'!$P$6:$P$3752&lt;&gt;"N/A"),'Diags Raw Data'!$Q$6:$Q$3752)</f>
        <v>0</v>
      </c>
      <c r="N88" s="520" cm="1">
        <f t="array" ref="N88">SUMPRODUCT(--(ISNUMBER(SEARCH($A88,'Diags Raw Data'!$A$6:$A$3752))),--('Diags Raw Data'!$P$6:$P$3752&lt;&gt;"N/A"),'Diags Raw Data'!$S$6:$S$3752)+SUMPRODUCT(--(ISNUMBER(SEARCH($A88,'Diags Raw Data'!$A$6:$A$3752))),--('Diags Raw Data'!$P$6:$P$3752&lt;&gt;"N/A"),'Diags Raw Data'!$T$6:$T$3752)</f>
        <v>0</v>
      </c>
      <c r="O88" s="521">
        <f t="shared" si="13"/>
        <v>0</v>
      </c>
      <c r="P88" s="522">
        <f>SUMIF('Diags Raw Data'!$A$6:$A$3752,"*"&amp;$A88&amp;"*",'Diags Raw Data'!$Y$6:$Y$3752)</f>
        <v>0</v>
      </c>
      <c r="Q88" s="523">
        <f>SUM(SUMIF('Diags Raw Data'!$A$6:$A$3752,"*"&amp;$A88&amp;"*",'Diags Raw Data'!$Z$6:$Z$3752),SUMIF('Diags Raw Data'!$A$6:$A$3752,"*"&amp;$A88&amp;"*",'Diags Raw Data'!$AA$6:$AA$3752))</f>
        <v>0</v>
      </c>
      <c r="R88" s="524">
        <f t="shared" si="9"/>
        <v>0</v>
      </c>
      <c r="S88" s="524">
        <f t="shared" si="10"/>
        <v>0</v>
      </c>
      <c r="T88" s="525">
        <f t="shared" si="11"/>
        <v>0</v>
      </c>
      <c r="U88" s="468" t="s">
        <v>301</v>
      </c>
      <c r="V88" s="179"/>
    </row>
    <row r="89" spans="1:22" ht="15">
      <c r="A89" s="335" t="s">
        <v>723</v>
      </c>
      <c r="B89" s="464" t="str">
        <f>VLOOKUP(A89,'Feature Raw Data'!$A$3:$B$3996,2,FALSE)</f>
        <v>standardize idle/busy reporting mechanism to RLC</v>
      </c>
      <c r="C89" s="465" t="str">
        <f>VLOOKUP(A89,'Feature Raw Data'!$A$3:$C$3996,3,FALSE)</f>
        <v>P2</v>
      </c>
      <c r="D89" s="466" t="str" cm="1">
        <f t="array" ref="D89">_xlfn.TEXTJOIN("",TRUE,IF(ISNUMBER(SEARCH($A89,'Diags Raw Data'!$A$6:$A$3752)),CONCATENATE('Diags Raw Data'!$H$6:$H$3752,", "),""))</f>
        <v/>
      </c>
      <c r="E89" s="461" t="e">
        <f>VLOOKUP(A89,'Diags Raw Data'!$A$6:$D$3752,4,FALSE)</f>
        <v>#N/A</v>
      </c>
      <c r="F89" s="337" t="str">
        <f>VLOOKUP(A89,'Feature Raw Data'!$A$3:$E$3996,5,FALSE)</f>
        <v>Delta</v>
      </c>
      <c r="G89" s="337" t="s">
        <v>31</v>
      </c>
      <c r="H89" s="337" t="s">
        <v>31</v>
      </c>
      <c r="I89" s="465">
        <f>SUMIF('Diags Raw Data'!$A$6:$A$3752,"*"&amp;$A89&amp;"*",'Diags Raw Data'!$J$6:$J$3752)</f>
        <v>0</v>
      </c>
      <c r="J89" s="467">
        <f>SUMIF('Diags Raw Data'!$A$6:$A$3752,"*"&amp;$A89&amp;"*",'Diags Raw Data'!$K$6:$K$3752)</f>
        <v>0</v>
      </c>
      <c r="K89" s="518" cm="1">
        <f t="array" ref="K89">IF(D89="",0, SUMPRODUCT(--(ISNUMBER(SEARCH($A89,'Diags Raw Data'!$A$6:$A$3752))),'Diags Raw Data'!$K$6:$K$3752,'Diags Raw Data'!$M$6:$M$3752)/J89)</f>
        <v>0</v>
      </c>
      <c r="L89" s="519" cm="1">
        <f t="array" ref="L89">IF(D89="",0, SUMPRODUCT(--(ISNUMBER(SEARCH($A89,'Diags Raw Data'!$A$6:$A$3752))),'Diags Raw Data'!$K$6:$K$3752,'Diags Raw Data'!$O$6:$O$3752)/J89)</f>
        <v>0</v>
      </c>
      <c r="M89" s="511" cm="1">
        <f t="array" ref="M89">SUMPRODUCT(--(ISNUMBER(SEARCH($A89,'Diags Raw Data'!$A$6:$A$3752))),--('Diags Raw Data'!$P$6:$P$3752&lt;&gt;"N/A"),'Diags Raw Data'!$Q$6:$Q$3752)</f>
        <v>0</v>
      </c>
      <c r="N89" s="520" cm="1">
        <f t="array" ref="N89">SUMPRODUCT(--(ISNUMBER(SEARCH($A89,'Diags Raw Data'!$A$6:$A$3752))),--('Diags Raw Data'!$P$6:$P$3752&lt;&gt;"N/A"),'Diags Raw Data'!$S$6:$S$3752)+SUMPRODUCT(--(ISNUMBER(SEARCH($A89,'Diags Raw Data'!$A$6:$A$3752))),--('Diags Raw Data'!$P$6:$P$3752&lt;&gt;"N/A"),'Diags Raw Data'!$T$6:$T$3752)</f>
        <v>0</v>
      </c>
      <c r="O89" s="521">
        <f>IF((M89=0),0,N89/M89)</f>
        <v>0</v>
      </c>
      <c r="P89" s="522">
        <f>SUMIF('Diags Raw Data'!$A$6:$A$3752,"*"&amp;$A89&amp;"*",'Diags Raw Data'!$Y$6:$Y$3752)</f>
        <v>0</v>
      </c>
      <c r="Q89" s="523">
        <f>SUM(SUMIF('Diags Raw Data'!$A$6:$A$3752,"*"&amp;$A89&amp;"*",'Diags Raw Data'!$Z$6:$Z$3752),SUMIF('Diags Raw Data'!$A$6:$A$3752,"*"&amp;$A89&amp;"*",'Diags Raw Data'!$AA$6:$AA$3752))</f>
        <v>0</v>
      </c>
      <c r="R89" s="524">
        <f>IF((J89=0),0,P89/J89)</f>
        <v>0</v>
      </c>
      <c r="S89" s="524">
        <f>IF((P89=0),0,Q89/P89)</f>
        <v>0</v>
      </c>
      <c r="T89" s="525">
        <f>R89*S89</f>
        <v>0</v>
      </c>
      <c r="U89" s="468" t="s">
        <v>836</v>
      </c>
      <c r="V89" s="179"/>
    </row>
    <row r="90" spans="1:22" ht="15">
      <c r="A90" s="335" t="s">
        <v>725</v>
      </c>
      <c r="B90" s="464" t="str">
        <f>VLOOKUP(A90,'Feature Raw Data'!$A$3:$B$3996,2,FALSE)</f>
        <v>PIO mode for CP offload DMA</v>
      </c>
      <c r="C90" s="465" t="str">
        <f>VLOOKUP(A90,'Feature Raw Data'!$A$3:$C$3996,3,FALSE)</f>
        <v>P2</v>
      </c>
      <c r="D90" s="466" t="str" cm="1">
        <f t="array" ref="D90">_xlfn.TEXTJOIN("",TRUE,IF(ISNUMBER(SEARCH($A90,'Diags Raw Data'!$A$6:$A$3752)),CONCATENATE('Diags Raw Data'!$H$6:$H$3752,", "),""))</f>
        <v/>
      </c>
      <c r="E90" s="461" t="e">
        <f>VLOOKUP(A90,'Diags Raw Data'!$A$6:$D$3752,4,FALSE)</f>
        <v>#N/A</v>
      </c>
      <c r="F90" s="337" t="str">
        <f>VLOOKUP(A90,'Feature Raw Data'!$A$3:$E$3996,5,FALSE)</f>
        <v>Delta</v>
      </c>
      <c r="G90" s="337" t="s">
        <v>31</v>
      </c>
      <c r="H90" s="337" t="str">
        <f t="shared" si="8"/>
        <v>No</v>
      </c>
      <c r="I90" s="465">
        <f>SUMIF('Diags Raw Data'!$A$6:$A$3752,"*"&amp;$A90&amp;"*",'Diags Raw Data'!$J$6:$J$3752)</f>
        <v>0</v>
      </c>
      <c r="J90" s="467">
        <f>SUMIF('Diags Raw Data'!$A$6:$A$3752,"*"&amp;$A90&amp;"*",'Diags Raw Data'!$K$6:$K$3752)</f>
        <v>0</v>
      </c>
      <c r="K90" s="518" cm="1">
        <f t="array" ref="K90">IF(D90="",0, SUMPRODUCT(--(ISNUMBER(SEARCH($A90,'Diags Raw Data'!$A$6:$A$3752))),'Diags Raw Data'!$K$6:$K$3752,'Diags Raw Data'!$M$6:$M$3752)/J90)</f>
        <v>0</v>
      </c>
      <c r="L90" s="519" cm="1">
        <f t="array" ref="L90">IF(D90="",0, SUMPRODUCT(--(ISNUMBER(SEARCH($A90,'Diags Raw Data'!$A$6:$A$3752))),'Diags Raw Data'!$K$6:$K$3752,'Diags Raw Data'!$O$6:$O$3752)/J90)</f>
        <v>0</v>
      </c>
      <c r="M90" s="511" cm="1">
        <f t="array" ref="M90">SUMPRODUCT(--(ISNUMBER(SEARCH($A90,'Diags Raw Data'!$A$6:$A$3752))),--('Diags Raw Data'!$P$6:$P$3752&lt;&gt;"N/A"),'Diags Raw Data'!$Q$6:$Q$3752)</f>
        <v>0</v>
      </c>
      <c r="N90" s="520" cm="1">
        <f t="array" ref="N90">SUMPRODUCT(--(ISNUMBER(SEARCH($A90,'Diags Raw Data'!$A$6:$A$3752))),--('Diags Raw Data'!$P$6:$P$3752&lt;&gt;"N/A"),'Diags Raw Data'!$S$6:$S$3752)+SUMPRODUCT(--(ISNUMBER(SEARCH($A90,'Diags Raw Data'!$A$6:$A$3752))),--('Diags Raw Data'!$P$6:$P$3752&lt;&gt;"N/A"),'Diags Raw Data'!$T$6:$T$3752)</f>
        <v>0</v>
      </c>
      <c r="O90" s="521">
        <f>IF((M90=0),0,N90/M90)</f>
        <v>0</v>
      </c>
      <c r="P90" s="522">
        <f>SUMIF('Diags Raw Data'!$A$6:$A$3752,"*"&amp;$A90&amp;"*",'Diags Raw Data'!$Y$6:$Y$3752)</f>
        <v>0</v>
      </c>
      <c r="Q90" s="523">
        <f>SUM(SUMIF('Diags Raw Data'!$A$6:$A$3752,"*"&amp;$A90&amp;"*",'Diags Raw Data'!$Z$6:$Z$3752),SUMIF('Diags Raw Data'!$A$6:$A$3752,"*"&amp;$A90&amp;"*",'Diags Raw Data'!$AA$6:$AA$3752))</f>
        <v>0</v>
      </c>
      <c r="R90" s="524">
        <f>IF((J90=0),0,P90/J90)</f>
        <v>0</v>
      </c>
      <c r="S90" s="524">
        <f>IF((P90=0),0,Q90/P90)</f>
        <v>0</v>
      </c>
      <c r="T90" s="525">
        <f>R90*S90</f>
        <v>0</v>
      </c>
      <c r="U90" s="468" t="s">
        <v>438</v>
      </c>
      <c r="V90" s="179"/>
    </row>
    <row r="91" spans="1:22" ht="15">
      <c r="A91" s="335" t="s">
        <v>486</v>
      </c>
      <c r="B91" s="464" t="str">
        <f>VLOOKUP(A91,'Feature Raw Data'!$A$3:$B$3996,2,FALSE)</f>
        <v>SDMA doorbell common range, daisy chain doorbell intf among SDMA controllers</v>
      </c>
      <c r="C91" s="465" t="str">
        <f>VLOOKUP(A91,'Feature Raw Data'!$A$3:$C$3996,3,FALSE)</f>
        <v>P2</v>
      </c>
      <c r="D91" s="466" t="str" cm="1">
        <f t="array" ref="D91">_xlfn.TEXTJOIN("",TRUE,IF(ISNUMBER(SEARCH($A91,'Diags Raw Data'!$A$6:$A$3752)),CONCATENATE('Diags Raw Data'!$H$6:$H$3752,", "),""))</f>
        <v xml:space="preserve">nsdma1.1, </v>
      </c>
      <c r="E91" s="461" t="str">
        <f>VLOOKUP(A91,'Diags Raw Data'!$A$6:$D$3752,4,FALSE)</f>
        <v>SDMA</v>
      </c>
      <c r="F91" s="337" t="str">
        <f>VLOOKUP(A91,'Feature Raw Data'!$A$3:$E$3996,5,FALSE)</f>
        <v>Delta</v>
      </c>
      <c r="G91" s="337" t="str">
        <f t="shared" si="12"/>
        <v>Yes</v>
      </c>
      <c r="H91" s="337" t="str">
        <f t="shared" si="8"/>
        <v>Yes</v>
      </c>
      <c r="I91" s="465">
        <f>SUMIF('Diags Raw Data'!$A$6:$A$3752,"*"&amp;$A91&amp;"*",'Diags Raw Data'!$J$6:$J$3752)</f>
        <v>1</v>
      </c>
      <c r="J91" s="467">
        <f>SUMIF('Diags Raw Data'!$A$6:$A$3752,"*"&amp;$A91&amp;"*",'Diags Raw Data'!$K$6:$K$3752)</f>
        <v>1</v>
      </c>
      <c r="K91" s="518" cm="1">
        <f t="array" ref="K91">IF(D91="",0, SUMPRODUCT(--(ISNUMBER(SEARCH($A91,'Diags Raw Data'!$A$6:$A$3752))),'Diags Raw Data'!$K$6:$K$3752,'Diags Raw Data'!$M$6:$M$3752)/J91)</f>
        <v>1</v>
      </c>
      <c r="L91" s="519" cm="1">
        <f t="array" ref="L91">IF(D91="",0, SUMPRODUCT(--(ISNUMBER(SEARCH($A91,'Diags Raw Data'!$A$6:$A$3752))),'Diags Raw Data'!$K$6:$K$3752,'Diags Raw Data'!$O$6:$O$3752)/J91)</f>
        <v>1</v>
      </c>
      <c r="M91" s="511" cm="1">
        <f t="array" ref="M91">SUMPRODUCT(--(ISNUMBER(SEARCH($A91,'Diags Raw Data'!$A$6:$A$3752))),--('Diags Raw Data'!$P$6:$P$3752&lt;&gt;"N/A"),'Diags Raw Data'!$Q$6:$Q$3752)</f>
        <v>1</v>
      </c>
      <c r="N91" s="520" cm="1">
        <f t="array" ref="N91">SUMPRODUCT(--(ISNUMBER(SEARCH($A91,'Diags Raw Data'!$A$6:$A$3752))),--('Diags Raw Data'!$P$6:$P$3752&lt;&gt;"N/A"),'Diags Raw Data'!$S$6:$S$3752)+SUMPRODUCT(--(ISNUMBER(SEARCH($A91,'Diags Raw Data'!$A$6:$A$3752))),--('Diags Raw Data'!$P$6:$P$3752&lt;&gt;"N/A"),'Diags Raw Data'!$T$6:$T$3752)</f>
        <v>1</v>
      </c>
      <c r="O91" s="521">
        <f t="shared" si="13"/>
        <v>1</v>
      </c>
      <c r="P91" s="522">
        <f>SUMIF('Diags Raw Data'!$A$6:$A$3752,"*"&amp;$A91&amp;"*",'Diags Raw Data'!$Y$6:$Y$3752)</f>
        <v>0</v>
      </c>
      <c r="Q91" s="523">
        <f>SUM(SUMIF('Diags Raw Data'!$A$6:$A$3752,"*"&amp;$A91&amp;"*",'Diags Raw Data'!$Z$6:$Z$3752),SUMIF('Diags Raw Data'!$A$6:$A$3752,"*"&amp;$A91&amp;"*",'Diags Raw Data'!$AA$6:$AA$3752))</f>
        <v>0</v>
      </c>
      <c r="R91" s="524">
        <f t="shared" si="9"/>
        <v>0</v>
      </c>
      <c r="S91" s="524">
        <f t="shared" si="10"/>
        <v>0</v>
      </c>
      <c r="T91" s="525">
        <f t="shared" si="11"/>
        <v>0</v>
      </c>
      <c r="U91" s="468" t="s">
        <v>840</v>
      </c>
      <c r="V91" s="179"/>
    </row>
    <row r="92" spans="1:22" ht="15">
      <c r="A92" s="335" t="s">
        <v>488</v>
      </c>
      <c r="B92" s="464" t="str">
        <f>VLOOKUP(A92,'Feature Raw Data'!$A$3:$B$3996,2,FALSE)</f>
        <v>non-recoverable page fault reporting</v>
      </c>
      <c r="C92" s="465" t="str">
        <f>VLOOKUP(A92,'Feature Raw Data'!$A$3:$C$3996,3,FALSE)</f>
        <v>P2</v>
      </c>
      <c r="D92" s="466" t="str" cm="1">
        <f t="array" ref="D92">_xlfn.TEXTJOIN("",TRUE,IF(ISNUMBER(SEARCH($A92,'Diags Raw Data'!$A$6:$A$3752)),CONCATENATE('Diags Raw Data'!$H$6:$H$3752,", "),""))</f>
        <v xml:space="preserve">nsdma126-128.1, </v>
      </c>
      <c r="E92" s="461" t="str">
        <f>VLOOKUP(A92,'Diags Raw Data'!$A$6:$D$3752,4,FALSE)</f>
        <v>SDMA</v>
      </c>
      <c r="F92" s="337" t="str">
        <f>VLOOKUP(A92,'Feature Raw Data'!$A$3:$E$3996,5,FALSE)</f>
        <v>Legacy</v>
      </c>
      <c r="G92" s="337" t="s">
        <v>31</v>
      </c>
      <c r="H92" s="337" t="s">
        <v>31</v>
      </c>
      <c r="I92" s="465">
        <f>SUMIF('Diags Raw Data'!$A$6:$A$3752,"*"&amp;$A92&amp;"*",'Diags Raw Data'!$J$6:$J$3752)</f>
        <v>1</v>
      </c>
      <c r="J92" s="467">
        <f>SUMIF('Diags Raw Data'!$A$6:$A$3752,"*"&amp;$A92&amp;"*",'Diags Raw Data'!$K$6:$K$3752)</f>
        <v>3</v>
      </c>
      <c r="K92" s="518" cm="1">
        <f t="array" ref="K92">IF(D92="",0, SUMPRODUCT(--(ISNUMBER(SEARCH($A92,'Diags Raw Data'!$A$6:$A$3752))),'Diags Raw Data'!$K$6:$K$3752,'Diags Raw Data'!$M$6:$M$3752)/J92)</f>
        <v>1</v>
      </c>
      <c r="L92" s="519" cm="1">
        <f t="array" ref="L92">IF(D92="",0, SUMPRODUCT(--(ISNUMBER(SEARCH($A92,'Diags Raw Data'!$A$6:$A$3752))),'Diags Raw Data'!$K$6:$K$3752,'Diags Raw Data'!$O$6:$O$3752)/J92)</f>
        <v>1</v>
      </c>
      <c r="M92" s="511" cm="1">
        <f t="array" ref="M92">SUMPRODUCT(--(ISNUMBER(SEARCH($A92,'Diags Raw Data'!$A$6:$A$3752))),--('Diags Raw Data'!$P$6:$P$3752&lt;&gt;"N/A"),'Diags Raw Data'!$Q$6:$Q$3752)</f>
        <v>3</v>
      </c>
      <c r="N92" s="520" cm="1">
        <f t="array" ref="N92">SUMPRODUCT(--(ISNUMBER(SEARCH($A92,'Diags Raw Data'!$A$6:$A$3752))),--('Diags Raw Data'!$P$6:$P$3752&lt;&gt;"N/A"),'Diags Raw Data'!$S$6:$S$3752)+SUMPRODUCT(--(ISNUMBER(SEARCH($A92,'Diags Raw Data'!$A$6:$A$3752))),--('Diags Raw Data'!$P$6:$P$3752&lt;&gt;"N/A"),'Diags Raw Data'!$T$6:$T$3752)</f>
        <v>0</v>
      </c>
      <c r="O92" s="521">
        <f t="shared" si="13"/>
        <v>0</v>
      </c>
      <c r="P92" s="522">
        <f>SUMIF('Diags Raw Data'!$A$6:$A$3752,"*"&amp;$A92&amp;"*",'Diags Raw Data'!$Y$6:$Y$3752)</f>
        <v>0</v>
      </c>
      <c r="Q92" s="523">
        <f>SUM(SUMIF('Diags Raw Data'!$A$6:$A$3752,"*"&amp;$A92&amp;"*",'Diags Raw Data'!$Z$6:$Z$3752),SUMIF('Diags Raw Data'!$A$6:$A$3752,"*"&amp;$A92&amp;"*",'Diags Raw Data'!$AA$6:$AA$3752))</f>
        <v>0</v>
      </c>
      <c r="R92" s="524">
        <f t="shared" si="9"/>
        <v>0</v>
      </c>
      <c r="S92" s="524">
        <f>IF((P92=0),0,Q92/P92)</f>
        <v>0</v>
      </c>
      <c r="T92" s="525">
        <f>R92*S92</f>
        <v>0</v>
      </c>
      <c r="U92" s="468" t="s">
        <v>840</v>
      </c>
      <c r="V92" s="179"/>
    </row>
    <row r="93" spans="1:22" ht="15">
      <c r="A93" s="335" t="s">
        <v>727</v>
      </c>
      <c r="B93" s="464" t="str">
        <f>VLOOKUP(A93,'Feature Raw Data'!$A$3:$B$3996,2,FALSE)</f>
        <v>UTCL1 enhancement and support</v>
      </c>
      <c r="C93" s="465" t="str">
        <f>VLOOKUP(A93,'Feature Raw Data'!$A$3:$C$3996,3,FALSE)</f>
        <v>P2</v>
      </c>
      <c r="D93" s="466" t="str" cm="1">
        <f t="array" ref="D93">_xlfn.TEXTJOIN("",TRUE,IF(ISNUMBER(SEARCH($A93,'Diags Raw Data'!$A$6:$A$3752)),CONCATENATE('Diags Raw Data'!$H$6:$H$3752,", "),""))</f>
        <v/>
      </c>
      <c r="E93" s="461" t="e">
        <f>VLOOKUP(A93,'Diags Raw Data'!$A$6:$D$3752,4,FALSE)</f>
        <v>#N/A</v>
      </c>
      <c r="F93" s="337" t="str">
        <f>VLOOKUP(A93,'Feature Raw Data'!$A$3:$E$3996,5,FALSE)</f>
        <v>Delta</v>
      </c>
      <c r="G93" s="337" t="str">
        <f t="shared" si="12"/>
        <v>No</v>
      </c>
      <c r="H93" s="337" t="str">
        <f t="shared" si="8"/>
        <v>No</v>
      </c>
      <c r="I93" s="465">
        <f>SUMIF('Diags Raw Data'!$A$6:$A$3752,"*"&amp;$A93&amp;"*",'Diags Raw Data'!$J$6:$J$3752)</f>
        <v>0</v>
      </c>
      <c r="J93" s="467">
        <f>SUMIF('Diags Raw Data'!$A$6:$A$3752,"*"&amp;$A93&amp;"*",'Diags Raw Data'!$K$6:$K$3752)</f>
        <v>0</v>
      </c>
      <c r="K93" s="518" cm="1">
        <f t="array" ref="K93">IF(D93="",0, SUMPRODUCT(--(ISNUMBER(SEARCH($A93,'Diags Raw Data'!$A$6:$A$3752))),'Diags Raw Data'!$K$6:$K$3752,'Diags Raw Data'!$M$6:$M$3752)/J93)</f>
        <v>0</v>
      </c>
      <c r="L93" s="519" cm="1">
        <f t="array" ref="L93">IF(D93="",0, SUMPRODUCT(--(ISNUMBER(SEARCH($A93,'Diags Raw Data'!$A$6:$A$3752))),'Diags Raw Data'!$K$6:$K$3752,'Diags Raw Data'!$O$6:$O$3752)/J93)</f>
        <v>0</v>
      </c>
      <c r="M93" s="511" cm="1">
        <f t="array" ref="M93">SUMPRODUCT(--(ISNUMBER(SEARCH($A93,'Diags Raw Data'!$A$6:$A$3752))),--('Diags Raw Data'!$P$6:$P$3752&lt;&gt;"N/A"),'Diags Raw Data'!$Q$6:$Q$3752)</f>
        <v>0</v>
      </c>
      <c r="N93" s="520" cm="1">
        <f t="array" ref="N93">SUMPRODUCT(--(ISNUMBER(SEARCH($A93,'Diags Raw Data'!$A$6:$A$3752))),--('Diags Raw Data'!$P$6:$P$3752&lt;&gt;"N/A"),'Diags Raw Data'!$S$6:$S$3752)+SUMPRODUCT(--(ISNUMBER(SEARCH($A93,'Diags Raw Data'!$A$6:$A$3752))),--('Diags Raw Data'!$P$6:$P$3752&lt;&gt;"N/A"),'Diags Raw Data'!$T$6:$T$3752)</f>
        <v>0</v>
      </c>
      <c r="O93" s="521">
        <f>IF((M93=0),0,N93/M93)</f>
        <v>0</v>
      </c>
      <c r="P93" s="522">
        <f>SUMIF('Diags Raw Data'!$A$6:$A$3752,"*"&amp;$A93&amp;"*",'Diags Raw Data'!$Y$6:$Y$3752)</f>
        <v>0</v>
      </c>
      <c r="Q93" s="523">
        <f>SUM(SUMIF('Diags Raw Data'!$A$6:$A$3752,"*"&amp;$A93&amp;"*",'Diags Raw Data'!$Z$6:$Z$3752),SUMIF('Diags Raw Data'!$A$6:$A$3752,"*"&amp;$A93&amp;"*",'Diags Raw Data'!$AA$6:$AA$3752))</f>
        <v>0</v>
      </c>
      <c r="R93" s="524">
        <f>IF((J93=0),0,P93/J93)</f>
        <v>0</v>
      </c>
      <c r="S93" s="524">
        <f t="shared" si="10"/>
        <v>0</v>
      </c>
      <c r="T93" s="525">
        <f t="shared" si="11"/>
        <v>0</v>
      </c>
      <c r="U93" s="468" t="s">
        <v>301</v>
      </c>
      <c r="V93" s="179"/>
    </row>
    <row r="94" spans="1:22" ht="15">
      <c r="A94" s="335" t="s">
        <v>491</v>
      </c>
      <c r="B94" s="464" t="str">
        <f>VLOOKUP(A94,'Feature Raw Data'!$A$3:$B$3996,2,FALSE)</f>
        <v>Improved ucode exception/interrupt handling enhancement</v>
      </c>
      <c r="C94" s="465" t="str">
        <f>VLOOKUP(A94,'Feature Raw Data'!$A$3:$C$3996,3,FALSE)</f>
        <v>P2</v>
      </c>
      <c r="D94" s="466" t="str" cm="1">
        <f t="array" ref="D94">_xlfn.TEXTJOIN("",TRUE,IF(ISNUMBER(SEARCH($A94,'Diags Raw Data'!$A$6:$A$3752)),CONCATENATE('Diags Raw Data'!$H$6:$H$3752,", "),""))</f>
        <v xml:space="preserve">nsdma14.1, </v>
      </c>
      <c r="E94" s="461" t="str">
        <f>VLOOKUP(A94,'Diags Raw Data'!$A$6:$D$3752,4,FALSE)</f>
        <v>SDMA</v>
      </c>
      <c r="F94" s="337" t="str">
        <f>VLOOKUP(A94,'Feature Raw Data'!$A$3:$E$3996,5,FALSE)</f>
        <v>Delta</v>
      </c>
      <c r="G94" s="337" t="str">
        <f t="shared" si="12"/>
        <v>Yes</v>
      </c>
      <c r="H94" s="337" t="str">
        <f t="shared" si="8"/>
        <v>Yes</v>
      </c>
      <c r="I94" s="465">
        <f>SUMIF('Diags Raw Data'!$A$6:$A$3752,"*"&amp;$A94&amp;"*",'Diags Raw Data'!$J$6:$J$3752)</f>
        <v>1</v>
      </c>
      <c r="J94" s="467">
        <f>SUMIF('Diags Raw Data'!$A$6:$A$3752,"*"&amp;$A94&amp;"*",'Diags Raw Data'!$K$6:$K$3752)</f>
        <v>1</v>
      </c>
      <c r="K94" s="518" cm="1">
        <f t="array" ref="K94">IF(D94="",0, SUMPRODUCT(--(ISNUMBER(SEARCH($A94,'Diags Raw Data'!$A$6:$A$3752))),'Diags Raw Data'!$K$6:$K$3752,'Diags Raw Data'!$M$6:$M$3752)/J94)</f>
        <v>1</v>
      </c>
      <c r="L94" s="519" cm="1">
        <f t="array" ref="L94">IF(D94="",0, SUMPRODUCT(--(ISNUMBER(SEARCH($A94,'Diags Raw Data'!$A$6:$A$3752))),'Diags Raw Data'!$K$6:$K$3752,'Diags Raw Data'!$O$6:$O$3752)/J94)</f>
        <v>1</v>
      </c>
      <c r="M94" s="511" cm="1">
        <f t="array" ref="M94">SUMPRODUCT(--(ISNUMBER(SEARCH($A94,'Diags Raw Data'!$A$6:$A$3752))),--('Diags Raw Data'!$P$6:$P$3752&lt;&gt;"N/A"),'Diags Raw Data'!$Q$6:$Q$3752)</f>
        <v>1</v>
      </c>
      <c r="N94" s="520" cm="1">
        <f t="array" ref="N94">SUMPRODUCT(--(ISNUMBER(SEARCH($A94,'Diags Raw Data'!$A$6:$A$3752))),--('Diags Raw Data'!$P$6:$P$3752&lt;&gt;"N/A"),'Diags Raw Data'!$S$6:$S$3752)+SUMPRODUCT(--(ISNUMBER(SEARCH($A94,'Diags Raw Data'!$A$6:$A$3752))),--('Diags Raw Data'!$P$6:$P$3752&lt;&gt;"N/A"),'Diags Raw Data'!$T$6:$T$3752)</f>
        <v>1</v>
      </c>
      <c r="O94" s="521">
        <f>IF((M94=0),0,N94/M94)</f>
        <v>1</v>
      </c>
      <c r="P94" s="522">
        <f>SUMIF('Diags Raw Data'!$A$6:$A$3752,"*"&amp;$A94&amp;"*",'Diags Raw Data'!$Y$6:$Y$3752)</f>
        <v>0</v>
      </c>
      <c r="Q94" s="523">
        <f>SUM(SUMIF('Diags Raw Data'!$A$6:$A$3752,"*"&amp;$A94&amp;"*",'Diags Raw Data'!$Z$6:$Z$3752),SUMIF('Diags Raw Data'!$A$6:$A$3752,"*"&amp;$A94&amp;"*",'Diags Raw Data'!$AA$6:$AA$3752))</f>
        <v>0</v>
      </c>
      <c r="R94" s="524">
        <f t="shared" si="9"/>
        <v>0</v>
      </c>
      <c r="S94" s="524">
        <f t="shared" si="10"/>
        <v>0</v>
      </c>
      <c r="T94" s="525">
        <f t="shared" si="11"/>
        <v>0</v>
      </c>
      <c r="U94" s="468" t="s">
        <v>832</v>
      </c>
      <c r="V94" s="179"/>
    </row>
    <row r="95" spans="1:22" ht="15">
      <c r="A95" s="335" t="s">
        <v>729</v>
      </c>
      <c r="B95" s="464" t="str">
        <f>VLOOKUP(A95,'Feature Raw Data'!$A$3:$B$3996,2,FALSE)</f>
        <v>save/restore effeciency enhancement (change in RLC, no SDMA change)</v>
      </c>
      <c r="C95" s="465" t="str">
        <f>VLOOKUP(A95,'Feature Raw Data'!$A$3:$C$3996,3,FALSE)</f>
        <v>P2</v>
      </c>
      <c r="D95" s="466" t="str" cm="1">
        <f t="array" ref="D95">_xlfn.TEXTJOIN("",TRUE,IF(ISNUMBER(SEARCH($A95,'Diags Raw Data'!$A$6:$A$3752)),CONCATENATE('Diags Raw Data'!$H$6:$H$3752,", "),""))</f>
        <v/>
      </c>
      <c r="E95" s="461" t="e">
        <f>VLOOKUP(A95,'Diags Raw Data'!$A$6:$D$3752,4,FALSE)</f>
        <v>#N/A</v>
      </c>
      <c r="F95" s="337" t="str">
        <f>VLOOKUP(A95,'Feature Raw Data'!$A$3:$E$3996,5,FALSE)</f>
        <v>Delta</v>
      </c>
      <c r="G95" s="337" t="str">
        <f t="shared" si="12"/>
        <v>No</v>
      </c>
      <c r="H95" s="337" t="str">
        <f t="shared" si="8"/>
        <v>No</v>
      </c>
      <c r="I95" s="465">
        <f>SUMIF('Diags Raw Data'!$A$6:$A$3752,"*"&amp;$A95&amp;"*",'Diags Raw Data'!$J$6:$J$3752)</f>
        <v>0</v>
      </c>
      <c r="J95" s="467">
        <f>SUMIF('Diags Raw Data'!$A$6:$A$3752,"*"&amp;$A95&amp;"*",'Diags Raw Data'!$K$6:$K$3752)</f>
        <v>0</v>
      </c>
      <c r="K95" s="518" cm="1">
        <f t="array" ref="K95">IF(D95="",0, SUMPRODUCT(--(ISNUMBER(SEARCH($A95,'Diags Raw Data'!$A$6:$A$3752))),'Diags Raw Data'!$K$6:$K$3752,'Diags Raw Data'!$M$6:$M$3752)/J95)</f>
        <v>0</v>
      </c>
      <c r="L95" s="519" cm="1">
        <f t="array" ref="L95">IF(D95="",0, SUMPRODUCT(--(ISNUMBER(SEARCH($A95,'Diags Raw Data'!$A$6:$A$3752))),'Diags Raw Data'!$K$6:$K$3752,'Diags Raw Data'!$O$6:$O$3752)/J95)</f>
        <v>0</v>
      </c>
      <c r="M95" s="511" cm="1">
        <f t="array" ref="M95">SUMPRODUCT(--(ISNUMBER(SEARCH($A95,'Diags Raw Data'!$A$6:$A$3752))),--('Diags Raw Data'!$P$6:$P$3752&lt;&gt;"N/A"),'Diags Raw Data'!$Q$6:$Q$3752)</f>
        <v>0</v>
      </c>
      <c r="N95" s="520" cm="1">
        <f t="array" ref="N95">SUMPRODUCT(--(ISNUMBER(SEARCH($A95,'Diags Raw Data'!$A$6:$A$3752))),--('Diags Raw Data'!$P$6:$P$3752&lt;&gt;"N/A"),'Diags Raw Data'!$S$6:$S$3752)+SUMPRODUCT(--(ISNUMBER(SEARCH($A95,'Diags Raw Data'!$A$6:$A$3752))),--('Diags Raw Data'!$P$6:$P$3752&lt;&gt;"N/A"),'Diags Raw Data'!$T$6:$T$3752)</f>
        <v>0</v>
      </c>
      <c r="O95" s="521">
        <f>IF((M95=0),0,N95/M95)</f>
        <v>0</v>
      </c>
      <c r="P95" s="522">
        <f>SUMIF('Diags Raw Data'!$A$6:$A$3752,"*"&amp;$A95&amp;"*",'Diags Raw Data'!$Y$6:$Y$3752)</f>
        <v>0</v>
      </c>
      <c r="Q95" s="523">
        <f>SUM(SUMIF('Diags Raw Data'!$A$6:$A$3752,"*"&amp;$A95&amp;"*",'Diags Raw Data'!$Z$6:$Z$3752),SUMIF('Diags Raw Data'!$A$6:$A$3752,"*"&amp;$A95&amp;"*",'Diags Raw Data'!$AA$6:$AA$3752))</f>
        <v>0</v>
      </c>
      <c r="R95" s="524">
        <f t="shared" si="9"/>
        <v>0</v>
      </c>
      <c r="S95" s="524">
        <f t="shared" si="10"/>
        <v>0</v>
      </c>
      <c r="T95" s="525">
        <f t="shared" si="11"/>
        <v>0</v>
      </c>
      <c r="U95" s="468" t="s">
        <v>835</v>
      </c>
      <c r="V95" s="179"/>
    </row>
    <row r="96" spans="1:22" ht="15">
      <c r="A96" s="335" t="s">
        <v>494</v>
      </c>
      <c r="B96" s="464" t="str">
        <f>VLOOKUP(A96,'Feature Raw Data'!$A$3:$B$3996,2,FALSE)</f>
        <v xml:space="preserve">Enhanced RB preemption protocol </v>
      </c>
      <c r="C96" s="465" t="str">
        <f>VLOOKUP(A96,'Feature Raw Data'!$A$3:$C$3996,3,FALSE)</f>
        <v>P2</v>
      </c>
      <c r="D96" s="466" t="str" cm="1">
        <f t="array" ref="D96">_xlfn.TEXTJOIN("",TRUE,IF(ISNUMBER(SEARCH($A96,'Diags Raw Data'!$A$6:$A$3752)),CONCATENATE('Diags Raw Data'!$H$6:$H$3752,", "),""))</f>
        <v xml:space="preserve">nsdma217.1, </v>
      </c>
      <c r="E96" s="461" t="str">
        <f>VLOOKUP(A96,'Diags Raw Data'!$A$6:$D$3752,4,FALSE)</f>
        <v>SDMA</v>
      </c>
      <c r="F96" s="337" t="str">
        <f>VLOOKUP(A96,'Feature Raw Data'!$A$3:$E$3996,5,FALSE)</f>
        <v>Delta</v>
      </c>
      <c r="G96" s="337" t="str">
        <f t="shared" si="12"/>
        <v>Yes</v>
      </c>
      <c r="H96" s="337" t="str">
        <f t="shared" si="8"/>
        <v>Yes</v>
      </c>
      <c r="I96" s="465">
        <f>SUMIF('Diags Raw Data'!$A$6:$A$3752,"*"&amp;$A96&amp;"*",'Diags Raw Data'!$J$6:$J$3752)</f>
        <v>1</v>
      </c>
      <c r="J96" s="467">
        <f>SUMIF('Diags Raw Data'!$A$6:$A$3752,"*"&amp;$A96&amp;"*",'Diags Raw Data'!$K$6:$K$3752)</f>
        <v>1</v>
      </c>
      <c r="K96" s="518" cm="1">
        <f t="array" ref="K96">IF(D96="",0, SUMPRODUCT(--(ISNUMBER(SEARCH($A96,'Diags Raw Data'!$A$6:$A$3752))),'Diags Raw Data'!$K$6:$K$3752,'Diags Raw Data'!$M$6:$M$3752)/J96)</f>
        <v>1</v>
      </c>
      <c r="L96" s="519" cm="1">
        <f t="array" ref="L96">IF(D96="",0, SUMPRODUCT(--(ISNUMBER(SEARCH($A96,'Diags Raw Data'!$A$6:$A$3752))),'Diags Raw Data'!$K$6:$K$3752,'Diags Raw Data'!$O$6:$O$3752)/J96)</f>
        <v>1</v>
      </c>
      <c r="M96" s="511" cm="1">
        <f t="array" ref="M96">SUMPRODUCT(--(ISNUMBER(SEARCH($A96,'Diags Raw Data'!$A$6:$A$3752))),--('Diags Raw Data'!$P$6:$P$3752&lt;&gt;"N/A"),'Diags Raw Data'!$Q$6:$Q$3752)</f>
        <v>1</v>
      </c>
      <c r="N96" s="520" cm="1">
        <f t="array" ref="N96">SUMPRODUCT(--(ISNUMBER(SEARCH($A96,'Diags Raw Data'!$A$6:$A$3752))),--('Diags Raw Data'!$P$6:$P$3752&lt;&gt;"N/A"),'Diags Raw Data'!$S$6:$S$3752)+SUMPRODUCT(--(ISNUMBER(SEARCH($A96,'Diags Raw Data'!$A$6:$A$3752))),--('Diags Raw Data'!$P$6:$P$3752&lt;&gt;"N/A"),'Diags Raw Data'!$T$6:$T$3752)</f>
        <v>1</v>
      </c>
      <c r="O96" s="521">
        <f>IF((M96=0),0,N96/M96)</f>
        <v>1</v>
      </c>
      <c r="P96" s="522">
        <f>SUMIF('Diags Raw Data'!$A$6:$A$3752,"*"&amp;$A96&amp;"*",'Diags Raw Data'!$Y$6:$Y$3752)</f>
        <v>0</v>
      </c>
      <c r="Q96" s="523">
        <f>SUM(SUMIF('Diags Raw Data'!$A$6:$A$3752,"*"&amp;$A96&amp;"*",'Diags Raw Data'!$Z$6:$Z$3752),SUMIF('Diags Raw Data'!$A$6:$A$3752,"*"&amp;$A96&amp;"*",'Diags Raw Data'!$AA$6:$AA$3752))</f>
        <v>0</v>
      </c>
      <c r="R96" s="524">
        <f>IF((J96=0),0,P96/J96)</f>
        <v>0</v>
      </c>
      <c r="S96" s="524">
        <f>IF((P96=0),0,Q96/P96)</f>
        <v>0</v>
      </c>
      <c r="T96" s="525">
        <f>R96*S96</f>
        <v>0</v>
      </c>
      <c r="U96" s="468" t="s">
        <v>835</v>
      </c>
      <c r="V96" s="179"/>
    </row>
    <row r="97" spans="1:22" ht="60">
      <c r="A97" s="335" t="s">
        <v>731</v>
      </c>
      <c r="B97" s="464" t="str">
        <f>VLOOKUP(A97,'Feature Raw Data'!$A$3:$B$3996,2,FALSE)</f>
        <v>SDMA reset enhancement</v>
      </c>
      <c r="C97" s="465" t="str">
        <f>VLOOKUP(A97,'Feature Raw Data'!$A$3:$C$3996,3,FALSE)</f>
        <v>P2</v>
      </c>
      <c r="D97" s="466" t="str" cm="1">
        <f t="array" ref="D97">_xlfn.TEXTJOIN("",TRUE,IF(ISNUMBER(SEARCH($A97,'Diags Raw Data'!$A$6:$A$3752)),CONCATENATE('Diags Raw Data'!$H$6:$H$3752,", "),""))</f>
        <v/>
      </c>
      <c r="E97" s="461" t="e">
        <f>VLOOKUP(A97,'Diags Raw Data'!$A$6:$D$3752,4,FALSE)</f>
        <v>#N/A</v>
      </c>
      <c r="F97" s="337" t="str">
        <f>VLOOKUP(A97,'Feature Raw Data'!$A$3:$E$3996,5,FALSE)</f>
        <v>Delta</v>
      </c>
      <c r="G97" s="337" t="s">
        <v>31</v>
      </c>
      <c r="H97" s="337" t="str">
        <f t="shared" si="8"/>
        <v>No</v>
      </c>
      <c r="I97" s="465">
        <f>SUMIF('Diags Raw Data'!$A$6:$A$3752,"*"&amp;$A97&amp;"*",'Diags Raw Data'!$J$6:$J$3752)</f>
        <v>0</v>
      </c>
      <c r="J97" s="467">
        <f>SUMIF('Diags Raw Data'!$A$6:$A$3752,"*"&amp;$A97&amp;"*",'Diags Raw Data'!$K$6:$K$3752)</f>
        <v>0</v>
      </c>
      <c r="K97" s="518" cm="1">
        <f t="array" ref="K97">IF(D97="",0, SUMPRODUCT(--(ISNUMBER(SEARCH($A97,'Diags Raw Data'!$A$6:$A$3752))),'Diags Raw Data'!$K$6:$K$3752,'Diags Raw Data'!$M$6:$M$3752)/J97)</f>
        <v>0</v>
      </c>
      <c r="L97" s="519" cm="1">
        <f t="array" ref="L97">IF(D97="",0, SUMPRODUCT(--(ISNUMBER(SEARCH($A97,'Diags Raw Data'!$A$6:$A$3752))),'Diags Raw Data'!$K$6:$K$3752,'Diags Raw Data'!$O$6:$O$3752)/J97)</f>
        <v>0</v>
      </c>
      <c r="M97" s="511" cm="1">
        <f t="array" ref="M97">SUMPRODUCT(--(ISNUMBER(SEARCH($A97,'Diags Raw Data'!$A$6:$A$3752))),--('Diags Raw Data'!$P$6:$P$3752&lt;&gt;"N/A"),'Diags Raw Data'!$Q$6:$Q$3752)</f>
        <v>0</v>
      </c>
      <c r="N97" s="520" cm="1">
        <f t="array" ref="N97">SUMPRODUCT(--(ISNUMBER(SEARCH($A97,'Diags Raw Data'!$A$6:$A$3752))),--('Diags Raw Data'!$P$6:$P$3752&lt;&gt;"N/A"),'Diags Raw Data'!$S$6:$S$3752)+SUMPRODUCT(--(ISNUMBER(SEARCH($A97,'Diags Raw Data'!$A$6:$A$3752))),--('Diags Raw Data'!$P$6:$P$3752&lt;&gt;"N/A"),'Diags Raw Data'!$T$6:$T$3752)</f>
        <v>0</v>
      </c>
      <c r="O97" s="521">
        <f t="shared" si="13"/>
        <v>0</v>
      </c>
      <c r="P97" s="522">
        <f>SUMIF('Diags Raw Data'!$A$6:$A$3752,"*"&amp;$A97&amp;"*",'Diags Raw Data'!$Y$6:$Y$3752)</f>
        <v>0</v>
      </c>
      <c r="Q97" s="523">
        <f>SUM(SUMIF('Diags Raw Data'!$A$6:$A$3752,"*"&amp;$A97&amp;"*",'Diags Raw Data'!$Z$6:$Z$3752),SUMIF('Diags Raw Data'!$A$6:$A$3752,"*"&amp;$A97&amp;"*",'Diags Raw Data'!$AA$6:$AA$3752))</f>
        <v>0</v>
      </c>
      <c r="R97" s="524">
        <f t="shared" si="9"/>
        <v>0</v>
      </c>
      <c r="S97" s="524">
        <f t="shared" si="10"/>
        <v>0</v>
      </c>
      <c r="T97" s="525">
        <f t="shared" si="11"/>
        <v>0</v>
      </c>
      <c r="U97" s="468" t="s">
        <v>301</v>
      </c>
      <c r="V97" s="179" t="s">
        <v>841</v>
      </c>
    </row>
    <row r="98" spans="1:22" ht="15">
      <c r="A98" s="335" t="s">
        <v>733</v>
      </c>
      <c r="B98" s="464" t="str">
        <f>VLOOKUP(A98,'Feature Raw Data'!$A$3:$B$3996,2,FALSE)</f>
        <v>Unify CE, update to GFX11 addrlib</v>
      </c>
      <c r="C98" s="465" t="str">
        <f>VLOOKUP(A98,'Feature Raw Data'!$A$3:$C$3996,3,FALSE)</f>
        <v>P2</v>
      </c>
      <c r="D98" s="466" t="str" cm="1">
        <f t="array" ref="D98">_xlfn.TEXTJOIN("",TRUE,IF(ISNUMBER(SEARCH($A98,'Diags Raw Data'!$A$6:$A$3752)),CONCATENATE('Diags Raw Data'!$H$6:$H$3752,", "),""))</f>
        <v/>
      </c>
      <c r="E98" s="461" t="e">
        <f>VLOOKUP(A98,'Diags Raw Data'!$A$6:$D$3752,4,FALSE)</f>
        <v>#N/A</v>
      </c>
      <c r="F98" s="337" t="str">
        <f>VLOOKUP(A98,'Feature Raw Data'!$A$3:$E$3996,5,FALSE)</f>
        <v>Delta</v>
      </c>
      <c r="G98" s="337" t="str">
        <f t="shared" si="12"/>
        <v>No</v>
      </c>
      <c r="H98" s="337" t="str">
        <f t="shared" si="8"/>
        <v>No</v>
      </c>
      <c r="I98" s="465">
        <f>SUMIF('Diags Raw Data'!$A$6:$A$3752,"*"&amp;$A98&amp;"*",'Diags Raw Data'!$J$6:$J$3752)</f>
        <v>0</v>
      </c>
      <c r="J98" s="467">
        <f>SUMIF('Diags Raw Data'!$A$6:$A$3752,"*"&amp;$A98&amp;"*",'Diags Raw Data'!$K$6:$K$3752)</f>
        <v>0</v>
      </c>
      <c r="K98" s="518" cm="1">
        <f t="array" ref="K98">IF(D98="",0, SUMPRODUCT(--(ISNUMBER(SEARCH($A98,'Diags Raw Data'!$A$6:$A$3752))),'Diags Raw Data'!$K$6:$K$3752,'Diags Raw Data'!$M$6:$M$3752)/J98)</f>
        <v>0</v>
      </c>
      <c r="L98" s="519" cm="1">
        <f t="array" ref="L98">IF(D98="",0, SUMPRODUCT(--(ISNUMBER(SEARCH($A98,'Diags Raw Data'!$A$6:$A$3752))),'Diags Raw Data'!$K$6:$K$3752,'Diags Raw Data'!$O$6:$O$3752)/J98)</f>
        <v>0</v>
      </c>
      <c r="M98" s="511" cm="1">
        <f t="array" ref="M98">SUMPRODUCT(--(ISNUMBER(SEARCH($A98,'Diags Raw Data'!$A$6:$A$3752))),--('Diags Raw Data'!$P$6:$P$3752&lt;&gt;"N/A"),'Diags Raw Data'!$Q$6:$Q$3752)</f>
        <v>0</v>
      </c>
      <c r="N98" s="520" cm="1">
        <f t="array" ref="N98">SUMPRODUCT(--(ISNUMBER(SEARCH($A98,'Diags Raw Data'!$A$6:$A$3752))),--('Diags Raw Data'!$P$6:$P$3752&lt;&gt;"N/A"),'Diags Raw Data'!$S$6:$S$3752)+SUMPRODUCT(--(ISNUMBER(SEARCH($A98,'Diags Raw Data'!$A$6:$A$3752))),--('Diags Raw Data'!$P$6:$P$3752&lt;&gt;"N/A"),'Diags Raw Data'!$T$6:$T$3752)</f>
        <v>0</v>
      </c>
      <c r="O98" s="521">
        <f t="shared" si="13"/>
        <v>0</v>
      </c>
      <c r="P98" s="522">
        <f>SUMIF('Diags Raw Data'!$A$6:$A$3752,"*"&amp;$A98&amp;"*",'Diags Raw Data'!$Y$6:$Y$3752)</f>
        <v>0</v>
      </c>
      <c r="Q98" s="523">
        <f>SUM(SUMIF('Diags Raw Data'!$A$6:$A$3752,"*"&amp;$A98&amp;"*",'Diags Raw Data'!$Z$6:$Z$3752),SUMIF('Diags Raw Data'!$A$6:$A$3752,"*"&amp;$A98&amp;"*",'Diags Raw Data'!$AA$6:$AA$3752))</f>
        <v>0</v>
      </c>
      <c r="R98" s="524">
        <f t="shared" si="9"/>
        <v>0</v>
      </c>
      <c r="S98" s="524">
        <f t="shared" si="10"/>
        <v>0</v>
      </c>
      <c r="T98" s="525">
        <f t="shared" si="11"/>
        <v>0</v>
      </c>
      <c r="U98" s="468" t="s">
        <v>832</v>
      </c>
      <c r="V98" s="179"/>
    </row>
    <row r="99" spans="1:22" ht="15">
      <c r="A99" s="335" t="s">
        <v>735</v>
      </c>
      <c r="B99" s="568" t="str">
        <f>VLOOKUP(A99,'Feature Raw Data'!$A$3:$B$3996,2,FALSE)</f>
        <v>split GRBM master &amp; F32 read dma_reg (MMIO) path</v>
      </c>
      <c r="C99" s="465" t="str">
        <f>VLOOKUP(A99,'Feature Raw Data'!$A$3:$C$3996,3,FALSE)</f>
        <v>P2</v>
      </c>
      <c r="D99" s="466" t="str" cm="1">
        <f t="array" ref="D99">_xlfn.TEXTJOIN("",TRUE,IF(ISNUMBER(SEARCH($A99,'Diags Raw Data'!$A$6:$A$3752)),CONCATENATE('Diags Raw Data'!$H$6:$H$3752,", "),""))</f>
        <v/>
      </c>
      <c r="E99" s="461" t="e">
        <f>VLOOKUP(A99,'Diags Raw Data'!$A$6:$D$3752,4,FALSE)</f>
        <v>#N/A</v>
      </c>
      <c r="F99" s="337" t="str">
        <f>VLOOKUP(A99,'Feature Raw Data'!$A$3:$E$3996,5,FALSE)</f>
        <v>Delta</v>
      </c>
      <c r="G99" s="337" t="str">
        <f t="shared" si="12"/>
        <v>No</v>
      </c>
      <c r="H99" s="337" t="str">
        <f t="shared" si="8"/>
        <v>No</v>
      </c>
      <c r="I99" s="465">
        <f>SUMIF('Diags Raw Data'!$A$6:$A$3752,"*"&amp;$A99&amp;"*",'Diags Raw Data'!$J$6:$J$3752)</f>
        <v>0</v>
      </c>
      <c r="J99" s="467">
        <f>SUMIF('Diags Raw Data'!$A$6:$A$3752,"*"&amp;$A99&amp;"*",'Diags Raw Data'!$K$6:$K$3752)</f>
        <v>0</v>
      </c>
      <c r="K99" s="518" cm="1">
        <f t="array" ref="K99">IF(D99="",0, SUMPRODUCT(--(ISNUMBER(SEARCH($A99,'Diags Raw Data'!$A$6:$A$3752))),'Diags Raw Data'!$K$6:$K$3752,'Diags Raw Data'!$M$6:$M$3752)/J99)</f>
        <v>0</v>
      </c>
      <c r="L99" s="519" cm="1">
        <f t="array" ref="L99">IF(D99="",0, SUMPRODUCT(--(ISNUMBER(SEARCH($A99,'Diags Raw Data'!$A$6:$A$3752))),'Diags Raw Data'!$K$6:$K$3752,'Diags Raw Data'!$O$6:$O$3752)/J99)</f>
        <v>0</v>
      </c>
      <c r="M99" s="511" cm="1">
        <f t="array" ref="M99">SUMPRODUCT(--(ISNUMBER(SEARCH($A99,'Diags Raw Data'!$A$6:$A$3752))),--('Diags Raw Data'!$P$6:$P$3752&lt;&gt;"N/A"),'Diags Raw Data'!$Q$6:$Q$3752)</f>
        <v>0</v>
      </c>
      <c r="N99" s="520" cm="1">
        <f t="array" ref="N99">SUMPRODUCT(--(ISNUMBER(SEARCH($A99,'Diags Raw Data'!$A$6:$A$3752))),--('Diags Raw Data'!$P$6:$P$3752&lt;&gt;"N/A"),'Diags Raw Data'!$S$6:$S$3752)+SUMPRODUCT(--(ISNUMBER(SEARCH($A99,'Diags Raw Data'!$A$6:$A$3752))),--('Diags Raw Data'!$P$6:$P$3752&lt;&gt;"N/A"),'Diags Raw Data'!$T$6:$T$3752)</f>
        <v>0</v>
      </c>
      <c r="O99" s="521">
        <f t="shared" si="13"/>
        <v>0</v>
      </c>
      <c r="P99" s="522">
        <f>SUMIF('Diags Raw Data'!$A$6:$A$3752,"*"&amp;$A99&amp;"*",'Diags Raw Data'!$Y$6:$Y$3752)</f>
        <v>0</v>
      </c>
      <c r="Q99" s="523">
        <f>SUM(SUMIF('Diags Raw Data'!$A$6:$A$3752,"*"&amp;$A99&amp;"*",'Diags Raw Data'!$Z$6:$Z$3752),SUMIF('Diags Raw Data'!$A$6:$A$3752,"*"&amp;$A99&amp;"*",'Diags Raw Data'!$AA$6:$AA$3752))</f>
        <v>0</v>
      </c>
      <c r="R99" s="524">
        <f t="shared" si="9"/>
        <v>0</v>
      </c>
      <c r="S99" s="524">
        <f t="shared" si="10"/>
        <v>0</v>
      </c>
      <c r="T99" s="525">
        <f t="shared" si="11"/>
        <v>0</v>
      </c>
      <c r="U99" s="468" t="s">
        <v>301</v>
      </c>
      <c r="V99" s="179"/>
    </row>
    <row r="100" spans="1:22" ht="15">
      <c r="A100" s="335" t="s">
        <v>496</v>
      </c>
      <c r="B100" s="464" t="str">
        <f>VLOOKUP(A100,'Feature Raw Data'!$A$3:$B$3996,2,FALSE)</f>
        <v xml:space="preserve">ucode loading enhacement </v>
      </c>
      <c r="C100" s="465" t="str">
        <f>VLOOKUP(A100,'Feature Raw Data'!$A$3:$C$3996,3,FALSE)</f>
        <v>P2</v>
      </c>
      <c r="D100" s="466" t="str" cm="1">
        <f t="array" ref="D100">_xlfn.TEXTJOIN("",TRUE,IF(ISNUMBER(SEARCH($A100,'Diags Raw Data'!$A$6:$A$3752)),CONCATENATE('Diags Raw Data'!$H$6:$H$3752,", "),""))</f>
        <v xml:space="preserve">nsdma801.1, </v>
      </c>
      <c r="E100" s="461" t="str">
        <f>VLOOKUP(A100,'Diags Raw Data'!$A$6:$D$3752,4,FALSE)</f>
        <v>SDMA</v>
      </c>
      <c r="F100" s="337" t="str">
        <f>VLOOKUP(A100,'Feature Raw Data'!$A$3:$E$3996,5,FALSE)</f>
        <v>Delta</v>
      </c>
      <c r="G100" s="337" t="str">
        <f t="shared" si="12"/>
        <v>Yes</v>
      </c>
      <c r="H100" s="337" t="str">
        <f t="shared" si="8"/>
        <v>Yes</v>
      </c>
      <c r="I100" s="465">
        <f>SUMIF('Diags Raw Data'!$A$6:$A$3752,"*"&amp;$A100&amp;"*",'Diags Raw Data'!$J$6:$J$3752)</f>
        <v>1</v>
      </c>
      <c r="J100" s="467">
        <f>SUMIF('Diags Raw Data'!$A$6:$A$3752,"*"&amp;$A100&amp;"*",'Diags Raw Data'!$K$6:$K$3752)</f>
        <v>1</v>
      </c>
      <c r="K100" s="518" cm="1">
        <f t="array" ref="K100">IF(D100="",0, SUMPRODUCT(--(ISNUMBER(SEARCH($A100,'Diags Raw Data'!$A$6:$A$3752))),'Diags Raw Data'!$K$6:$K$3752,'Diags Raw Data'!$M$6:$M$3752)/J100)</f>
        <v>1</v>
      </c>
      <c r="L100" s="519" cm="1">
        <f t="array" ref="L100">IF(D100="",0, SUMPRODUCT(--(ISNUMBER(SEARCH($A100,'Diags Raw Data'!$A$6:$A$3752))),'Diags Raw Data'!$K$6:$K$3752,'Diags Raw Data'!$O$6:$O$3752)/J100)</f>
        <v>1</v>
      </c>
      <c r="M100" s="511" cm="1">
        <f t="array" ref="M100">SUMPRODUCT(--(ISNUMBER(SEARCH($A100,'Diags Raw Data'!$A$6:$A$3752))),--('Diags Raw Data'!$P$6:$P$3752&lt;&gt;"N/A"),'Diags Raw Data'!$Q$6:$Q$3752)</f>
        <v>1</v>
      </c>
      <c r="N100" s="520" cm="1">
        <f t="array" ref="N100">SUMPRODUCT(--(ISNUMBER(SEARCH($A100,'Diags Raw Data'!$A$6:$A$3752))),--('Diags Raw Data'!$P$6:$P$3752&lt;&gt;"N/A"),'Diags Raw Data'!$S$6:$S$3752)+SUMPRODUCT(--(ISNUMBER(SEARCH($A100,'Diags Raw Data'!$A$6:$A$3752))),--('Diags Raw Data'!$P$6:$P$3752&lt;&gt;"N/A"),'Diags Raw Data'!$T$6:$T$3752)</f>
        <v>0</v>
      </c>
      <c r="O100" s="521">
        <f>IF((M100=0),0,N100/M100)</f>
        <v>0</v>
      </c>
      <c r="P100" s="522">
        <f>SUMIF('Diags Raw Data'!$A$6:$A$3752,"*"&amp;$A100&amp;"*",'Diags Raw Data'!$Y$6:$Y$3752)</f>
        <v>0</v>
      </c>
      <c r="Q100" s="523">
        <f>SUM(SUMIF('Diags Raw Data'!$A$6:$A$3752,"*"&amp;$A100&amp;"*",'Diags Raw Data'!$Z$6:$Z$3752),SUMIF('Diags Raw Data'!$A$6:$A$3752,"*"&amp;$A100&amp;"*",'Diags Raw Data'!$AA$6:$AA$3752))</f>
        <v>0</v>
      </c>
      <c r="R100" s="524">
        <f>IF((J100=0),0,P100/J100)</f>
        <v>0</v>
      </c>
      <c r="S100" s="524">
        <f t="shared" si="10"/>
        <v>0</v>
      </c>
      <c r="T100" s="525">
        <f t="shared" si="11"/>
        <v>0</v>
      </c>
      <c r="U100" s="468" t="s">
        <v>840</v>
      </c>
      <c r="V100" s="179"/>
    </row>
    <row r="101" spans="1:22" ht="15">
      <c r="A101" s="335" t="s">
        <v>500</v>
      </c>
      <c r="B101" s="464" t="str">
        <f>VLOOKUP(A101,'Feature Raw Data'!$A$3:$B$3996,2,FALSE)</f>
        <v>WPTR poll enhancement</v>
      </c>
      <c r="C101" s="465" t="str">
        <f>VLOOKUP(A101,'Feature Raw Data'!$A$3:$C$3996,3,FALSE)</f>
        <v>P2</v>
      </c>
      <c r="D101" s="466" t="str" cm="1">
        <f t="array" ref="D101">_xlfn.TEXTJOIN("",TRUE,IF(ISNUMBER(SEARCH($A101,'Diags Raw Data'!$A$6:$A$3752)),CONCATENATE('Diags Raw Data'!$H$6:$H$3752,", "),""))</f>
        <v xml:space="preserve">nsdma1.1, </v>
      </c>
      <c r="E101" s="461" t="str">
        <f>VLOOKUP(A101,'Diags Raw Data'!$A$6:$D$3752,4,FALSE)</f>
        <v>SDMA</v>
      </c>
      <c r="F101" s="337" t="s">
        <v>38</v>
      </c>
      <c r="G101" s="337" t="s">
        <v>31</v>
      </c>
      <c r="H101" s="337" t="s">
        <v>31</v>
      </c>
      <c r="I101" s="465">
        <f>SUMIF('Diags Raw Data'!$A$6:$A$3752,"*"&amp;$A101&amp;"*",'Diags Raw Data'!$J$6:$J$3752)</f>
        <v>1</v>
      </c>
      <c r="J101" s="467">
        <f>SUMIF('Diags Raw Data'!$A$6:$A$3752,"*"&amp;$A101&amp;"*",'Diags Raw Data'!$K$6:$K$3752)</f>
        <v>1</v>
      </c>
      <c r="K101" s="518" cm="1">
        <f t="array" ref="K101">IF(D101="",0, SUMPRODUCT(--(ISNUMBER(SEARCH($A101,'Diags Raw Data'!$A$6:$A$3752))),'Diags Raw Data'!$K$6:$K$3752,'Diags Raw Data'!$M$6:$M$3752)/J101)</f>
        <v>1</v>
      </c>
      <c r="L101" s="519" cm="1">
        <f t="array" ref="L101">IF(D101="",0, SUMPRODUCT(--(ISNUMBER(SEARCH($A101,'Diags Raw Data'!$A$6:$A$3752))),'Diags Raw Data'!$K$6:$K$3752,'Diags Raw Data'!$O$6:$O$3752)/J101)</f>
        <v>1</v>
      </c>
      <c r="M101" s="511" cm="1">
        <f t="array" ref="M101">SUMPRODUCT(--(ISNUMBER(SEARCH($A101,'Diags Raw Data'!$A$6:$A$3752))),--('Diags Raw Data'!$P$6:$P$3752&lt;&gt;"N/A"),'Diags Raw Data'!$Q$6:$Q$3752)</f>
        <v>1</v>
      </c>
      <c r="N101" s="520" cm="1">
        <f t="array" ref="N101">SUMPRODUCT(--(ISNUMBER(SEARCH($A101,'Diags Raw Data'!$A$6:$A$3752))),--('Diags Raw Data'!$P$6:$P$3752&lt;&gt;"N/A"),'Diags Raw Data'!$S$6:$S$3752)+SUMPRODUCT(--(ISNUMBER(SEARCH($A101,'Diags Raw Data'!$A$6:$A$3752))),--('Diags Raw Data'!$P$6:$P$3752&lt;&gt;"N/A"),'Diags Raw Data'!$T$6:$T$3752)</f>
        <v>1</v>
      </c>
      <c r="O101" s="521">
        <f t="shared" si="13"/>
        <v>1</v>
      </c>
      <c r="P101" s="522">
        <f>SUMIF('Diags Raw Data'!$A$6:$A$3752,"*"&amp;$A101&amp;"*",'Diags Raw Data'!$Y$6:$Y$3752)</f>
        <v>0</v>
      </c>
      <c r="Q101" s="523">
        <f>SUM(SUMIF('Diags Raw Data'!$A$6:$A$3752,"*"&amp;$A101&amp;"*",'Diags Raw Data'!$Z$6:$Z$3752),SUMIF('Diags Raw Data'!$A$6:$A$3752,"*"&amp;$A101&amp;"*",'Diags Raw Data'!$AA$6:$AA$3752))</f>
        <v>0</v>
      </c>
      <c r="R101" s="524">
        <f>IF((J101=0),0,P101/J101)</f>
        <v>0</v>
      </c>
      <c r="S101" s="524">
        <f t="shared" si="10"/>
        <v>0</v>
      </c>
      <c r="T101" s="525">
        <f t="shared" si="11"/>
        <v>0</v>
      </c>
      <c r="U101" s="468" t="s">
        <v>840</v>
      </c>
      <c r="V101" s="179"/>
    </row>
    <row r="102" spans="1:22" ht="15">
      <c r="A102" s="335" t="s">
        <v>737</v>
      </c>
      <c r="B102" s="464" t="str">
        <f>VLOOKUP(A102,'Feature Raw Data'!$A$3:$B$3996,2,FALSE)</f>
        <v>Upgrade 4KB firewalls with range check, add RESTORE flag to the new firewall registers in rdl file for RLC to do save/restore.</v>
      </c>
      <c r="C102" s="465" t="str">
        <f>VLOOKUP(A102,'Feature Raw Data'!$A$3:$C$3996,3,FALSE)</f>
        <v>P2</v>
      </c>
      <c r="D102" s="466" t="str" cm="1">
        <f t="array" ref="D102">_xlfn.TEXTJOIN("",TRUE,IF(ISNUMBER(SEARCH($A102,'Diags Raw Data'!$A$6:$A$3752)),CONCATENATE('Diags Raw Data'!$H$6:$H$3752,", "),""))</f>
        <v/>
      </c>
      <c r="E102" s="461" t="e">
        <f>VLOOKUP(A102,'Diags Raw Data'!$A$6:$D$3752,4,FALSE)</f>
        <v>#N/A</v>
      </c>
      <c r="F102" s="337" t="str">
        <f>VLOOKUP(A102,'Feature Raw Data'!$A$3:$E$3996,5,FALSE)</f>
        <v>Delta</v>
      </c>
      <c r="G102" s="337" t="str">
        <f t="shared" si="12"/>
        <v>No</v>
      </c>
      <c r="H102" s="337" t="str">
        <f t="shared" si="8"/>
        <v>No</v>
      </c>
      <c r="I102" s="465">
        <f>SUMIF('Diags Raw Data'!$A$6:$A$3752,"*"&amp;$A102&amp;"*",'Diags Raw Data'!$J$6:$J$3752)</f>
        <v>0</v>
      </c>
      <c r="J102" s="467">
        <f>SUMIF('Diags Raw Data'!$A$6:$A$3752,"*"&amp;$A102&amp;"*",'Diags Raw Data'!$K$6:$K$3752)</f>
        <v>0</v>
      </c>
      <c r="K102" s="518" cm="1">
        <f t="array" ref="K102">IF(D102="",0, SUMPRODUCT(--(ISNUMBER(SEARCH($A102,'Diags Raw Data'!$A$6:$A$3752))),'Diags Raw Data'!$K$6:$K$3752,'Diags Raw Data'!$M$6:$M$3752)/J102)</f>
        <v>0</v>
      </c>
      <c r="L102" s="519" cm="1">
        <f t="array" ref="L102">IF(D102="",0, SUMPRODUCT(--(ISNUMBER(SEARCH($A102,'Diags Raw Data'!$A$6:$A$3752))),'Diags Raw Data'!$K$6:$K$3752,'Diags Raw Data'!$O$6:$O$3752)/J102)</f>
        <v>0</v>
      </c>
      <c r="M102" s="511" cm="1">
        <f t="array" ref="M102">SUMPRODUCT(--(ISNUMBER(SEARCH($A102,'Diags Raw Data'!$A$6:$A$3752))),--('Diags Raw Data'!$P$6:$P$3752&lt;&gt;"N/A"),'Diags Raw Data'!$Q$6:$Q$3752)</f>
        <v>0</v>
      </c>
      <c r="N102" s="520" cm="1">
        <f t="array" ref="N102">SUMPRODUCT(--(ISNUMBER(SEARCH($A102,'Diags Raw Data'!$A$6:$A$3752))),--('Diags Raw Data'!$P$6:$P$3752&lt;&gt;"N/A"),'Diags Raw Data'!$S$6:$S$3752)+SUMPRODUCT(--(ISNUMBER(SEARCH($A102,'Diags Raw Data'!$A$6:$A$3752))),--('Diags Raw Data'!$P$6:$P$3752&lt;&gt;"N/A"),'Diags Raw Data'!$T$6:$T$3752)</f>
        <v>0</v>
      </c>
      <c r="O102" s="521">
        <f t="shared" si="13"/>
        <v>0</v>
      </c>
      <c r="P102" s="522">
        <f>SUMIF('Diags Raw Data'!$A$6:$A$3752,"*"&amp;$A102&amp;"*",'Diags Raw Data'!$Y$6:$Y$3752)</f>
        <v>0</v>
      </c>
      <c r="Q102" s="523">
        <f>SUM(SUMIF('Diags Raw Data'!$A$6:$A$3752,"*"&amp;$A102&amp;"*",'Diags Raw Data'!$Z$6:$Z$3752),SUMIF('Diags Raw Data'!$A$6:$A$3752,"*"&amp;$A102&amp;"*",'Diags Raw Data'!$AA$6:$AA$3752))</f>
        <v>0</v>
      </c>
      <c r="R102" s="524">
        <f>IF((J102=0),0,P102/J102)</f>
        <v>0</v>
      </c>
      <c r="S102" s="524">
        <f t="shared" si="10"/>
        <v>0</v>
      </c>
      <c r="T102" s="525">
        <f>R102*S102</f>
        <v>0</v>
      </c>
      <c r="U102" s="468" t="s">
        <v>840</v>
      </c>
      <c r="V102" s="179"/>
    </row>
    <row r="103" spans="1:22" ht="15">
      <c r="A103" s="335" t="s">
        <v>502</v>
      </c>
      <c r="B103" s="464" t="str">
        <f>VLOOKUP(A103,'Feature Raw Data'!$A$3:$B$3996,2,FALSE)</f>
        <v>Support mid-command boundary on quantum expire</v>
      </c>
      <c r="C103" s="465" t="str">
        <f>VLOOKUP(A103,'Feature Raw Data'!$A$3:$C$3996,3,FALSE)</f>
        <v>P2</v>
      </c>
      <c r="D103" s="466" t="str" cm="1">
        <f t="array" ref="D103">_xlfn.TEXTJOIN("",TRUE,IF(ISNUMBER(SEARCH($A103,'Diags Raw Data'!$A$6:$A$3752)),CONCATENATE('Diags Raw Data'!$H$6:$H$3752,", "),""))</f>
        <v xml:space="preserve">nsdma218.1, </v>
      </c>
      <c r="E103" s="461" t="str">
        <f>VLOOKUP(A103,'Diags Raw Data'!$A$6:$D$3752,4,FALSE)</f>
        <v>SDMA</v>
      </c>
      <c r="F103" s="337" t="str">
        <f>VLOOKUP(A103,'Feature Raw Data'!$A$3:$E$3996,5,FALSE)</f>
        <v>Delta</v>
      </c>
      <c r="G103" s="337" t="s">
        <v>36</v>
      </c>
      <c r="H103" s="337" t="str">
        <f t="shared" si="8"/>
        <v>Yes</v>
      </c>
      <c r="I103" s="465">
        <f>SUMIF('Diags Raw Data'!$A$6:$A$3752,"*"&amp;$A103&amp;"*",'Diags Raw Data'!$J$6:$J$3752)</f>
        <v>1</v>
      </c>
      <c r="J103" s="467">
        <f>SUMIF('Diags Raw Data'!$A$6:$A$3752,"*"&amp;$A103&amp;"*",'Diags Raw Data'!$K$6:$K$3752)</f>
        <v>1</v>
      </c>
      <c r="K103" s="518" cm="1">
        <f t="array" ref="K103">IF(D103="",0, SUMPRODUCT(--(ISNUMBER(SEARCH($A103,'Diags Raw Data'!$A$6:$A$3752))),'Diags Raw Data'!$K$6:$K$3752,'Diags Raw Data'!$M$6:$M$3752)/J103)</f>
        <v>1</v>
      </c>
      <c r="L103" s="519" cm="1">
        <f t="array" ref="L103">IF(D103="",0, SUMPRODUCT(--(ISNUMBER(SEARCH($A103,'Diags Raw Data'!$A$6:$A$3752))),'Diags Raw Data'!$K$6:$K$3752,'Diags Raw Data'!$O$6:$O$3752)/J103)</f>
        <v>1</v>
      </c>
      <c r="M103" s="511" cm="1">
        <f t="array" ref="M103">SUMPRODUCT(--(ISNUMBER(SEARCH($A103,'Diags Raw Data'!$A$6:$A$3752))),--('Diags Raw Data'!$P$6:$P$3752&lt;&gt;"N/A"),'Diags Raw Data'!$Q$6:$Q$3752)</f>
        <v>1</v>
      </c>
      <c r="N103" s="520" cm="1">
        <f t="array" ref="N103">SUMPRODUCT(--(ISNUMBER(SEARCH($A103,'Diags Raw Data'!$A$6:$A$3752))),--('Diags Raw Data'!$P$6:$P$3752&lt;&gt;"N/A"),'Diags Raw Data'!$S$6:$S$3752)+SUMPRODUCT(--(ISNUMBER(SEARCH($A103,'Diags Raw Data'!$A$6:$A$3752))),--('Diags Raw Data'!$P$6:$P$3752&lt;&gt;"N/A"),'Diags Raw Data'!$T$6:$T$3752)</f>
        <v>0</v>
      </c>
      <c r="O103" s="521">
        <f>IF((M103=0),0,N103/M103)</f>
        <v>0</v>
      </c>
      <c r="P103" s="522">
        <f>SUMIF('Diags Raw Data'!$A$6:$A$3752,"*"&amp;$A103&amp;"*",'Diags Raw Data'!$Y$6:$Y$3752)</f>
        <v>0</v>
      </c>
      <c r="Q103" s="523">
        <f>SUM(SUMIF('Diags Raw Data'!$A$6:$A$3752,"*"&amp;$A103&amp;"*",'Diags Raw Data'!$Z$6:$Z$3752),SUMIF('Diags Raw Data'!$A$6:$A$3752,"*"&amp;$A103&amp;"*",'Diags Raw Data'!$AA$6:$AA$3752))</f>
        <v>0</v>
      </c>
      <c r="R103" s="524">
        <f>IF((J103=0),0,P103/J103)</f>
        <v>0</v>
      </c>
      <c r="S103" s="524">
        <f>IF((P103=0),0,Q103/P103)</f>
        <v>0</v>
      </c>
      <c r="T103" s="525">
        <f>R103*S103</f>
        <v>0</v>
      </c>
      <c r="U103" s="468" t="s">
        <v>44</v>
      </c>
      <c r="V103" s="179" t="s">
        <v>842</v>
      </c>
    </row>
    <row r="104" spans="1:22" ht="15">
      <c r="A104" s="335" t="s">
        <v>739</v>
      </c>
      <c r="B104" s="464" t="str">
        <f>VLOOKUP(A104,'Feature Raw Data'!$A$3:$B$3996,2,FALSE)</f>
        <v>Support quantum expire carryover</v>
      </c>
      <c r="C104" s="465" t="str">
        <f>VLOOKUP(A104,'Feature Raw Data'!$A$3:$C$3996,3,FALSE)</f>
        <v>P2</v>
      </c>
      <c r="D104" s="466" t="str" cm="1">
        <f t="array" ref="D104">_xlfn.TEXTJOIN("",TRUE,IF(ISNUMBER(SEARCH($A104,'Diags Raw Data'!$A$6:$A$3752)),CONCATENATE('Diags Raw Data'!$H$6:$H$3752,", "),""))</f>
        <v/>
      </c>
      <c r="E104" s="461" t="e">
        <f>VLOOKUP(A104,'Diags Raw Data'!$A$6:$D$3752,4,FALSE)</f>
        <v>#N/A</v>
      </c>
      <c r="F104" s="337" t="str">
        <f>VLOOKUP(A104,'Feature Raw Data'!$A$3:$E$3996,5,FALSE)</f>
        <v>Delta</v>
      </c>
      <c r="G104" s="337" t="str">
        <f t="shared" si="12"/>
        <v>No</v>
      </c>
      <c r="H104" s="337" t="str">
        <f t="shared" si="8"/>
        <v>No</v>
      </c>
      <c r="I104" s="465">
        <f>SUMIF('Diags Raw Data'!$A$6:$A$3752,"*"&amp;$A104&amp;"*",'Diags Raw Data'!$J$6:$J$3752)</f>
        <v>0</v>
      </c>
      <c r="J104" s="467">
        <f>SUMIF('Diags Raw Data'!$A$6:$A$3752,"*"&amp;$A104&amp;"*",'Diags Raw Data'!$K$6:$K$3752)</f>
        <v>0</v>
      </c>
      <c r="K104" s="518" cm="1">
        <f t="array" ref="K104">IF(D104="",0, SUMPRODUCT(--(ISNUMBER(SEARCH($A104,'Diags Raw Data'!$A$6:$A$3752))),'Diags Raw Data'!$K$6:$K$3752,'Diags Raw Data'!$M$6:$M$3752)/J104)</f>
        <v>0</v>
      </c>
      <c r="L104" s="519" cm="1">
        <f t="array" ref="L104">IF(D104="",0, SUMPRODUCT(--(ISNUMBER(SEARCH($A104,'Diags Raw Data'!$A$6:$A$3752))),'Diags Raw Data'!$K$6:$K$3752,'Diags Raw Data'!$O$6:$O$3752)/J104)</f>
        <v>0</v>
      </c>
      <c r="M104" s="511" cm="1">
        <f t="array" ref="M104">SUMPRODUCT(--(ISNUMBER(SEARCH($A104,'Diags Raw Data'!$A$6:$A$3752))),--('Diags Raw Data'!$P$6:$P$3752&lt;&gt;"N/A"),'Diags Raw Data'!$Q$6:$Q$3752)</f>
        <v>0</v>
      </c>
      <c r="N104" s="520" cm="1">
        <f t="array" ref="N104">SUMPRODUCT(--(ISNUMBER(SEARCH($A104,'Diags Raw Data'!$A$6:$A$3752))),--('Diags Raw Data'!$P$6:$P$3752&lt;&gt;"N/A"),'Diags Raw Data'!$S$6:$S$3752)+SUMPRODUCT(--(ISNUMBER(SEARCH($A104,'Diags Raw Data'!$A$6:$A$3752))),--('Diags Raw Data'!$P$6:$P$3752&lt;&gt;"N/A"),'Diags Raw Data'!$T$6:$T$3752)</f>
        <v>0</v>
      </c>
      <c r="O104" s="521">
        <f t="shared" ref="O104:O105" si="14">IF((M104=0),0,N104/M104)</f>
        <v>0</v>
      </c>
      <c r="P104" s="522">
        <f>SUMIF('Diags Raw Data'!$A$6:$A$3752,"*"&amp;$A104&amp;"*",'Diags Raw Data'!$Y$6:$Y$3752)</f>
        <v>0</v>
      </c>
      <c r="Q104" s="523">
        <f>SUM(SUMIF('Diags Raw Data'!$A$6:$A$3752,"*"&amp;$A104&amp;"*",'Diags Raw Data'!$Z$6:$Z$3752),SUMIF('Diags Raw Data'!$A$6:$A$3752,"*"&amp;$A104&amp;"*",'Diags Raw Data'!$AA$6:$AA$3752))</f>
        <v>0</v>
      </c>
      <c r="R104" s="524">
        <f t="shared" ref="R104:R105" si="15">IF((J104=0),0,P104/J104)</f>
        <v>0</v>
      </c>
      <c r="S104" s="524">
        <f t="shared" ref="S104:S105" si="16">IF((P104=0),0,Q104/P104)</f>
        <v>0</v>
      </c>
      <c r="T104" s="525">
        <f>R104*S104</f>
        <v>0</v>
      </c>
      <c r="U104" s="468" t="s">
        <v>301</v>
      </c>
      <c r="V104" s="179"/>
    </row>
    <row r="105" spans="1:22" ht="15">
      <c r="A105" s="335" t="s">
        <v>741</v>
      </c>
      <c r="B105" s="464" t="str">
        <f>VLOOKUP(A105,'Feature Raw Data'!$A$3:$B$3996,2,FALSE)</f>
        <v>Report SRIOV reg violation using SDMA_RSMU_sec_intr interface and REG_TYPE enhancement</v>
      </c>
      <c r="C105" s="465" t="str">
        <f>VLOOKUP(A105,'Feature Raw Data'!$A$3:$C$3996,3,FALSE)</f>
        <v>P2</v>
      </c>
      <c r="D105" s="466" t="str" cm="1">
        <f t="array" ref="D105">_xlfn.TEXTJOIN("",TRUE,IF(ISNUMBER(SEARCH($A105,'Diags Raw Data'!$A$6:$A$3752)),CONCATENATE('Diags Raw Data'!$H$6:$H$3752,", "),""))</f>
        <v/>
      </c>
      <c r="E105" s="461" t="e">
        <f>VLOOKUP(A105,'Diags Raw Data'!$A$6:$D$3752,4,FALSE)</f>
        <v>#N/A</v>
      </c>
      <c r="F105" s="337" t="str">
        <f>VLOOKUP(A105,'Feature Raw Data'!$A$3:$E$3996,5,FALSE)</f>
        <v>Delta</v>
      </c>
      <c r="G105" s="337" t="str">
        <f t="shared" si="12"/>
        <v>No</v>
      </c>
      <c r="H105" s="337" t="str">
        <f t="shared" si="8"/>
        <v>No</v>
      </c>
      <c r="I105" s="465">
        <f>SUMIF('Diags Raw Data'!$A$6:$A$3752,"*"&amp;$A105&amp;"*",'Diags Raw Data'!$J$6:$J$3752)</f>
        <v>0</v>
      </c>
      <c r="J105" s="467">
        <f>SUMIF('Diags Raw Data'!$A$6:$A$3752,"*"&amp;$A105&amp;"*",'Diags Raw Data'!$K$6:$K$3752)</f>
        <v>0</v>
      </c>
      <c r="K105" s="518" cm="1">
        <f t="array" ref="K105">IF(D105="",0, SUMPRODUCT(--(ISNUMBER(SEARCH($A105,'Diags Raw Data'!$A$6:$A$3752))),'Diags Raw Data'!$K$6:$K$3752,'Diags Raw Data'!$M$6:$M$3752)/J105)</f>
        <v>0</v>
      </c>
      <c r="L105" s="519" cm="1">
        <f t="array" ref="L105">IF(D105="",0, SUMPRODUCT(--(ISNUMBER(SEARCH($A105,'Diags Raw Data'!$A$6:$A$3752))),'Diags Raw Data'!$K$6:$K$3752,'Diags Raw Data'!$O$6:$O$3752)/J105)</f>
        <v>0</v>
      </c>
      <c r="M105" s="511" cm="1">
        <f t="array" ref="M105">SUMPRODUCT(--(ISNUMBER(SEARCH($A105,'Diags Raw Data'!$A$6:$A$3752))),--('Diags Raw Data'!$P$6:$P$3752&lt;&gt;"N/A"),'Diags Raw Data'!$Q$6:$Q$3752)</f>
        <v>0</v>
      </c>
      <c r="N105" s="520" cm="1">
        <f t="array" ref="N105">SUMPRODUCT(--(ISNUMBER(SEARCH($A105,'Diags Raw Data'!$A$6:$A$3752))),--('Diags Raw Data'!$P$6:$P$3752&lt;&gt;"N/A"),'Diags Raw Data'!$S$6:$S$3752)+SUMPRODUCT(--(ISNUMBER(SEARCH($A105,'Diags Raw Data'!$A$6:$A$3752))),--('Diags Raw Data'!$P$6:$P$3752&lt;&gt;"N/A"),'Diags Raw Data'!$T$6:$T$3752)</f>
        <v>0</v>
      </c>
      <c r="O105" s="521">
        <f t="shared" si="14"/>
        <v>0</v>
      </c>
      <c r="P105" s="522">
        <f>SUMIF('Diags Raw Data'!$A$6:$A$3752,"*"&amp;$A105&amp;"*",'Diags Raw Data'!$Y$6:$Y$3752)</f>
        <v>0</v>
      </c>
      <c r="Q105" s="523">
        <f>SUM(SUMIF('Diags Raw Data'!$A$6:$A$3752,"*"&amp;$A105&amp;"*",'Diags Raw Data'!$Z$6:$Z$3752),SUMIF('Diags Raw Data'!$A$6:$A$3752,"*"&amp;$A105&amp;"*",'Diags Raw Data'!$AA$6:$AA$3752))</f>
        <v>0</v>
      </c>
      <c r="R105" s="524">
        <f t="shared" si="15"/>
        <v>0</v>
      </c>
      <c r="S105" s="524">
        <f t="shared" si="16"/>
        <v>0</v>
      </c>
      <c r="T105" s="525">
        <f t="shared" ref="T105" si="17">R105*S105</f>
        <v>0</v>
      </c>
      <c r="U105" s="468" t="s">
        <v>840</v>
      </c>
      <c r="V105" s="179"/>
    </row>
    <row r="106" spans="1:22" ht="15">
      <c r="A106" s="335" t="s">
        <v>743</v>
      </c>
      <c r="B106" s="464" t="str">
        <f>VLOOKUP(A106,'Feature Raw Data'!$A$3:$B$3996,2,FALSE)</f>
        <v>Simplify ucode idle checking logic to save power</v>
      </c>
      <c r="C106" s="465" t="str">
        <f>VLOOKUP(A106,'Feature Raw Data'!$A$3:$C$3996,3,FALSE)</f>
        <v>P2</v>
      </c>
      <c r="D106" s="466" t="str" cm="1">
        <f t="array" ref="D106">_xlfn.TEXTJOIN("",TRUE,IF(ISNUMBER(SEARCH($A106,'Diags Raw Data'!$A$6:$A$3752)),CONCATENATE('Diags Raw Data'!$H$6:$H$3752,", "),""))</f>
        <v/>
      </c>
      <c r="E106" s="461" t="e">
        <f>VLOOKUP(A106,'Diags Raw Data'!$A$6:$D$3752,4,FALSE)</f>
        <v>#N/A</v>
      </c>
      <c r="F106" s="337" t="str">
        <f>VLOOKUP(A106,'Feature Raw Data'!$A$3:$E$3996,5,FALSE)</f>
        <v>Delta</v>
      </c>
      <c r="G106" s="337" t="str">
        <f t="shared" si="12"/>
        <v>No</v>
      </c>
      <c r="H106" s="337" t="str">
        <f t="shared" si="8"/>
        <v>No</v>
      </c>
      <c r="I106" s="465"/>
      <c r="J106" s="467"/>
      <c r="K106" s="518"/>
      <c r="L106" s="519"/>
      <c r="M106" s="511" cm="1">
        <f t="array" ref="M106">SUMPRODUCT(--(ISNUMBER(SEARCH($A106,'Diags Raw Data'!$A$6:$A$3752))),--('Diags Raw Data'!$P$6:$P$3752&lt;&gt;"N/A"),'Diags Raw Data'!$Q$6:$Q$3752)</f>
        <v>0</v>
      </c>
      <c r="N106" s="520"/>
      <c r="O106" s="521"/>
      <c r="P106" s="522"/>
      <c r="Q106" s="523"/>
      <c r="R106" s="524"/>
      <c r="S106" s="524"/>
      <c r="T106" s="525"/>
      <c r="U106" s="468" t="s">
        <v>301</v>
      </c>
      <c r="V106" s="179"/>
    </row>
    <row r="107" spans="1:22" ht="15">
      <c r="A107" s="335" t="s">
        <v>747</v>
      </c>
      <c r="B107" s="464" t="str">
        <f>VLOOKUP(A107,'Feature Raw Data'!$A$3:$B$3996,2,FALSE)</f>
        <v>Support 3-5 cycle SRAM LS recover time</v>
      </c>
      <c r="C107" s="465" t="str">
        <f>VLOOKUP(A107,'Feature Raw Data'!$A$3:$C$3996,3,FALSE)</f>
        <v>P2</v>
      </c>
      <c r="D107" s="466" t="str" cm="1">
        <f t="array" ref="D107">_xlfn.TEXTJOIN("",TRUE,IF(ISNUMBER(SEARCH($A107,'Diags Raw Data'!$A$6:$A$3752)),CONCATENATE('Diags Raw Data'!$H$6:$H$3752,", "),""))</f>
        <v/>
      </c>
      <c r="E107" s="461" t="e">
        <f>VLOOKUP(A107,'Diags Raw Data'!$A$6:$D$3752,4,FALSE)</f>
        <v>#N/A</v>
      </c>
      <c r="F107" s="337" t="str">
        <f>VLOOKUP(A107,'Feature Raw Data'!$A$3:$E$3996,5,FALSE)</f>
        <v>Delta</v>
      </c>
      <c r="G107" s="337" t="s">
        <v>31</v>
      </c>
      <c r="H107" s="337" t="str">
        <f t="shared" si="8"/>
        <v>No</v>
      </c>
      <c r="I107" s="465"/>
      <c r="J107" s="467"/>
      <c r="K107" s="518"/>
      <c r="L107" s="519"/>
      <c r="M107" s="511" cm="1">
        <f t="array" ref="M107">SUMPRODUCT(--(ISNUMBER(SEARCH($A107,'Diags Raw Data'!$A$6:$A$3752))),--('Diags Raw Data'!$P$6:$P$3752&lt;&gt;"N/A"),'Diags Raw Data'!$Q$6:$Q$3752)</f>
        <v>0</v>
      </c>
      <c r="N107" s="520"/>
      <c r="O107" s="521"/>
      <c r="P107" s="522"/>
      <c r="Q107" s="523"/>
      <c r="R107" s="524"/>
      <c r="S107" s="524"/>
      <c r="T107" s="525"/>
      <c r="U107" s="468" t="s">
        <v>301</v>
      </c>
      <c r="V107" s="179"/>
    </row>
    <row r="108" spans="1:22" ht="15">
      <c r="A108" s="335" t="s">
        <v>749</v>
      </c>
      <c r="B108" s="464" t="str">
        <f>VLOOKUP(A108,'Feature Raw Data'!$A$3:$B$3996,2,FALSE)</f>
        <v>Wait for 256B reads/writes and send to CH back-to-back</v>
      </c>
      <c r="C108" s="465" t="str">
        <f>VLOOKUP(A108,'Feature Raw Data'!$A$3:$C$3996,3,FALSE)</f>
        <v>P2</v>
      </c>
      <c r="D108" s="466" t="str" cm="1">
        <f t="array" ref="D108">_xlfn.TEXTJOIN("",TRUE,IF(ISNUMBER(SEARCH($A108,'Diags Raw Data'!$A$6:$A$3752)),CONCATENATE('Diags Raw Data'!$H$6:$H$3752,", "),""))</f>
        <v/>
      </c>
      <c r="E108" s="461" t="e">
        <f>VLOOKUP(A108,'Diags Raw Data'!$A$6:$D$3752,4,FALSE)</f>
        <v>#N/A</v>
      </c>
      <c r="F108" s="337" t="str">
        <f>VLOOKUP(A108,'Feature Raw Data'!$A$3:$E$3996,5,FALSE)</f>
        <v>Delta</v>
      </c>
      <c r="G108" s="337" t="str">
        <f t="shared" si="12"/>
        <v>No</v>
      </c>
      <c r="H108" s="337" t="str">
        <f t="shared" si="8"/>
        <v>No</v>
      </c>
      <c r="I108" s="465"/>
      <c r="J108" s="467"/>
      <c r="K108" s="518"/>
      <c r="L108" s="519"/>
      <c r="M108" s="511" cm="1">
        <f t="array" ref="M108">SUMPRODUCT(--(ISNUMBER(SEARCH($A108,'Diags Raw Data'!$A$6:$A$3752))),--('Diags Raw Data'!$P$6:$P$3752&lt;&gt;"N/A"),'Diags Raw Data'!$Q$6:$Q$3752)</f>
        <v>0</v>
      </c>
      <c r="N108" s="520"/>
      <c r="O108" s="521"/>
      <c r="P108" s="522"/>
      <c r="Q108" s="523"/>
      <c r="R108" s="524"/>
      <c r="S108" s="524"/>
      <c r="T108" s="525"/>
      <c r="U108" s="468" t="s">
        <v>44</v>
      </c>
      <c r="V108" s="179" t="s">
        <v>843</v>
      </c>
    </row>
    <row r="109" spans="1:22" ht="15">
      <c r="A109" s="335" t="s">
        <v>505</v>
      </c>
      <c r="B109" s="464" t="str">
        <f>VLOOKUP(A109,'Feature Raw Data'!$A$3:$B$3996,2,FALSE)</f>
        <v>Change SDMA's interrupt SourceID/RingID</v>
      </c>
      <c r="C109" s="465" t="str">
        <f>VLOOKUP(A109,'Feature Raw Data'!$A$3:$C$3996,3,FALSE)</f>
        <v>P2</v>
      </c>
      <c r="D109" s="466" t="str" cm="1">
        <f t="array" ref="D109">_xlfn.TEXTJOIN("",TRUE,IF(ISNUMBER(SEARCH($A109,'Diags Raw Data'!$A$6:$A$3752)),CONCATENATE('Diags Raw Data'!$H$6:$H$3752,", "),""))</f>
        <v xml:space="preserve">nsdma14.1, </v>
      </c>
      <c r="E109" s="461" t="str">
        <f>VLOOKUP(A109,'Diags Raw Data'!$A$6:$D$3752,4,FALSE)</f>
        <v>SDMA</v>
      </c>
      <c r="F109" s="337" t="str">
        <f>VLOOKUP(A109,'Feature Raw Data'!$A$3:$E$3996,5,FALSE)</f>
        <v>Delta</v>
      </c>
      <c r="G109" s="337" t="str">
        <f t="shared" si="12"/>
        <v>Yes</v>
      </c>
      <c r="H109" s="337" t="str">
        <f t="shared" si="8"/>
        <v>Yes</v>
      </c>
      <c r="I109" s="465"/>
      <c r="J109" s="467"/>
      <c r="K109" s="518"/>
      <c r="L109" s="519"/>
      <c r="M109" s="511" cm="1">
        <f t="array" ref="M109">SUMPRODUCT(--(ISNUMBER(SEARCH($A109,'Diags Raw Data'!$A$6:$A$3752))),--('Diags Raw Data'!$P$6:$P$3752&lt;&gt;"N/A"),'Diags Raw Data'!$Q$6:$Q$3752)</f>
        <v>1</v>
      </c>
      <c r="N109" s="520"/>
      <c r="O109" s="521"/>
      <c r="P109" s="522"/>
      <c r="Q109" s="523"/>
      <c r="R109" s="524"/>
      <c r="S109" s="524"/>
      <c r="T109" s="525"/>
      <c r="U109" s="468" t="s">
        <v>44</v>
      </c>
      <c r="V109" s="179" t="s">
        <v>844</v>
      </c>
    </row>
    <row r="110" spans="1:22" ht="30">
      <c r="A110" s="335" t="s">
        <v>751</v>
      </c>
      <c r="B110" s="464" t="str">
        <f>VLOOKUP(A110,'Feature Raw Data'!$A$3:$B$3996,2,FALSE)</f>
        <v>Move SDMAx_F32_CNTL to HYPDEC space</v>
      </c>
      <c r="C110" s="465" t="str">
        <f>VLOOKUP(A110,'Feature Raw Data'!$A$3:$C$3996,3,FALSE)</f>
        <v>P2</v>
      </c>
      <c r="D110" s="466" t="str" cm="1">
        <f t="array" ref="D110">_xlfn.TEXTJOIN("",TRUE,IF(ISNUMBER(SEARCH($A110,'Diags Raw Data'!$A$6:$A$3752)),CONCATENATE('Diags Raw Data'!$H$6:$H$3752,", "),""))</f>
        <v/>
      </c>
      <c r="E110" s="461" t="e">
        <f>VLOOKUP(A110,'Diags Raw Data'!$A$6:$D$3752,4,FALSE)</f>
        <v>#N/A</v>
      </c>
      <c r="F110" s="337" t="str">
        <f>VLOOKUP(A110,'Feature Raw Data'!$A$3:$E$3996,5,FALSE)</f>
        <v>Delta</v>
      </c>
      <c r="G110" s="337" t="str">
        <f t="shared" si="12"/>
        <v>No</v>
      </c>
      <c r="H110" s="337" t="str">
        <f t="shared" si="8"/>
        <v>No</v>
      </c>
      <c r="I110" s="465"/>
      <c r="J110" s="467"/>
      <c r="K110" s="518"/>
      <c r="L110" s="519"/>
      <c r="M110" s="511" cm="1">
        <f t="array" ref="M110">SUMPRODUCT(--(ISNUMBER(SEARCH($A110,'Diags Raw Data'!$A$6:$A$3752))),--('Diags Raw Data'!$P$6:$P$3752&lt;&gt;"N/A"),'Diags Raw Data'!$Q$6:$Q$3752)</f>
        <v>0</v>
      </c>
      <c r="N110" s="520"/>
      <c r="O110" s="521"/>
      <c r="P110" s="522"/>
      <c r="Q110" s="523"/>
      <c r="R110" s="524"/>
      <c r="S110" s="524"/>
      <c r="T110" s="525"/>
      <c r="U110" s="468" t="s">
        <v>44</v>
      </c>
      <c r="V110" s="179" t="s">
        <v>845</v>
      </c>
    </row>
    <row r="111" spans="1:22" ht="16.5">
      <c r="A111" s="335" t="s">
        <v>753</v>
      </c>
      <c r="B111" s="464" t="str">
        <f>VLOOKUP(A111,'Feature Raw Data'!$A$3:$B$3996,2,FALSE)</f>
        <v>Connect to gc_ih_gasket instead of rsmu_gc</v>
      </c>
      <c r="C111" s="465" t="str">
        <f>VLOOKUP(A111,'Feature Raw Data'!$A$3:$C$3996,3,FALSE)</f>
        <v>P2</v>
      </c>
      <c r="D111" s="466" t="str" cm="1">
        <f t="array" ref="D111">_xlfn.TEXTJOIN("",TRUE,IF(ISNUMBER(SEARCH($A111,'Diags Raw Data'!$A$6:$A$3752)),CONCATENATE('Diags Raw Data'!$H$6:$H$3752,", "),""))</f>
        <v/>
      </c>
      <c r="E111" s="461" t="e">
        <f>VLOOKUP(A111,'Diags Raw Data'!$A$6:$D$3752,4,FALSE)</f>
        <v>#N/A</v>
      </c>
      <c r="F111" s="337" t="str">
        <f>VLOOKUP(A111,'Feature Raw Data'!$A$3:$E$3996,5,FALSE)</f>
        <v>Delta</v>
      </c>
      <c r="G111" s="337" t="s">
        <v>31</v>
      </c>
      <c r="H111" s="337" t="str">
        <f t="shared" si="8"/>
        <v>No</v>
      </c>
      <c r="I111" s="465"/>
      <c r="J111" s="467"/>
      <c r="K111" s="518"/>
      <c r="L111" s="519"/>
      <c r="M111" s="511" cm="1">
        <f t="array" ref="M111">SUMPRODUCT(--(ISNUMBER(SEARCH($A111,'Diags Raw Data'!$A$6:$A$3752))),--('Diags Raw Data'!$P$6:$P$3752&lt;&gt;"N/A"),'Diags Raw Data'!$Q$6:$Q$3752)</f>
        <v>0</v>
      </c>
      <c r="N111" s="520"/>
      <c r="O111" s="521"/>
      <c r="P111" s="522"/>
      <c r="Q111" s="523"/>
      <c r="R111" s="524"/>
      <c r="S111" s="524"/>
      <c r="T111" s="525"/>
      <c r="U111" s="468" t="s">
        <v>44</v>
      </c>
      <c r="V111" s="571" t="s">
        <v>826</v>
      </c>
    </row>
    <row r="112" spans="1:22" ht="16.5">
      <c r="A112" s="335" t="s">
        <v>755</v>
      </c>
      <c r="B112" s="464" t="str">
        <f>VLOOKUP(A112,'Feature Raw Data'!$A$3:$B$3996,2,FALSE)</f>
        <v>Gate F32 clock when SDMA is idle.</v>
      </c>
      <c r="C112" s="465" t="str">
        <f>VLOOKUP(A112,'Feature Raw Data'!$A$3:$C$3996,3,FALSE)</f>
        <v>P2</v>
      </c>
      <c r="D112" s="466" t="str" cm="1">
        <f t="array" ref="D112">_xlfn.TEXTJOIN("",TRUE,IF(ISNUMBER(SEARCH($A112,'Diags Raw Data'!$A$6:$A$3752)),CONCATENATE('Diags Raw Data'!$H$6:$H$3752,", "),""))</f>
        <v/>
      </c>
      <c r="E112" s="461" t="e">
        <f>VLOOKUP(A112,'Diags Raw Data'!$A$6:$D$3752,4,FALSE)</f>
        <v>#N/A</v>
      </c>
      <c r="F112" s="337" t="str">
        <f>VLOOKUP(A112,'Feature Raw Data'!$A$3:$E$3996,5,FALSE)</f>
        <v>Delta</v>
      </c>
      <c r="G112" s="337" t="s">
        <v>31</v>
      </c>
      <c r="H112" s="337" t="str">
        <f t="shared" si="8"/>
        <v>No</v>
      </c>
      <c r="I112" s="465"/>
      <c r="J112" s="467"/>
      <c r="K112" s="518"/>
      <c r="L112" s="519"/>
      <c r="M112" s="511" cm="1">
        <f t="array" ref="M112">SUMPRODUCT(--(ISNUMBER(SEARCH($A112,'Diags Raw Data'!$A$6:$A$3752))),--('Diags Raw Data'!$P$6:$P$3752&lt;&gt;"N/A"),'Diags Raw Data'!$Q$6:$Q$3752)</f>
        <v>0</v>
      </c>
      <c r="N112" s="520"/>
      <c r="O112" s="521"/>
      <c r="P112" s="522"/>
      <c r="Q112" s="523"/>
      <c r="R112" s="524"/>
      <c r="S112" s="524"/>
      <c r="T112" s="525"/>
      <c r="U112" s="468" t="s">
        <v>44</v>
      </c>
      <c r="V112" s="571" t="s">
        <v>826</v>
      </c>
    </row>
    <row r="113" spans="1:22" ht="16.5">
      <c r="A113" s="335" t="s">
        <v>757</v>
      </c>
      <c r="B113" s="464" t="str">
        <f>VLOOKUP(A113,'Feature Raw Data'!$A$3:$B$3996,2,FALSE)</f>
        <v>RAS: support poison data propagation/consumption</v>
      </c>
      <c r="C113" s="465" t="str">
        <f>VLOOKUP(A113,'Feature Raw Data'!$A$3:$C$3996,3,FALSE)</f>
        <v>P2</v>
      </c>
      <c r="D113" s="466" t="str" cm="1">
        <f t="array" ref="D113">_xlfn.TEXTJOIN("",TRUE,IF(ISNUMBER(SEARCH($A113,'Diags Raw Data'!$A$6:$A$3752)),CONCATENATE('Diags Raw Data'!$H$6:$H$3752,", "),""))</f>
        <v/>
      </c>
      <c r="E113" s="461" t="e">
        <f>VLOOKUP(A113,'Diags Raw Data'!$A$6:$D$3752,4,FALSE)</f>
        <v>#N/A</v>
      </c>
      <c r="F113" s="337" t="str">
        <f>VLOOKUP(A113,'Feature Raw Data'!$A$3:$E$3996,5,FALSE)</f>
        <v>Delta</v>
      </c>
      <c r="G113" s="337" t="str">
        <f t="shared" si="12"/>
        <v>No</v>
      </c>
      <c r="H113" s="337" t="str">
        <f t="shared" si="8"/>
        <v>No</v>
      </c>
      <c r="I113" s="465"/>
      <c r="J113" s="467"/>
      <c r="K113" s="518"/>
      <c r="L113" s="519"/>
      <c r="M113" s="511" cm="1">
        <f t="array" ref="M113">SUMPRODUCT(--(ISNUMBER(SEARCH($A113,'Diags Raw Data'!$A$6:$A$3752))),--('Diags Raw Data'!$P$6:$P$3752&lt;&gt;"N/A"),'Diags Raw Data'!$Q$6:$Q$3752)</f>
        <v>0</v>
      </c>
      <c r="N113" s="520"/>
      <c r="O113" s="521"/>
      <c r="P113" s="522"/>
      <c r="Q113" s="523"/>
      <c r="R113" s="524"/>
      <c r="S113" s="524"/>
      <c r="T113" s="525"/>
      <c r="U113" s="468" t="s">
        <v>44</v>
      </c>
      <c r="V113" s="571" t="s">
        <v>846</v>
      </c>
    </row>
    <row r="114" spans="1:22" ht="15">
      <c r="A114" s="335" t="s">
        <v>759</v>
      </c>
      <c r="B114" s="464" t="str">
        <f>VLOOKUP(A114,'Feature Raw Data'!$A$3:$B$3996,2,FALSE)</f>
        <v>SDMA can only send one outstanding IH interrupt</v>
      </c>
      <c r="C114" s="465" t="str">
        <f>VLOOKUP(A114,'Feature Raw Data'!$A$3:$C$3996,3,FALSE)</f>
        <v>P2</v>
      </c>
      <c r="D114" s="466" t="str" cm="1">
        <f t="array" ref="D114">_xlfn.TEXTJOIN("",TRUE,IF(ISNUMBER(SEARCH($A114,'Diags Raw Data'!$A$6:$A$3752)),CONCATENATE('Diags Raw Data'!$H$6:$H$3752,", "),""))</f>
        <v/>
      </c>
      <c r="E114" s="461" t="e">
        <f>VLOOKUP(A114,'Diags Raw Data'!$A$6:$D$3752,4,FALSE)</f>
        <v>#N/A</v>
      </c>
      <c r="F114" s="337" t="str">
        <f>VLOOKUP(A114,'Feature Raw Data'!$A$3:$E$3996,5,FALSE)</f>
        <v>Delta</v>
      </c>
      <c r="G114" s="337" t="str">
        <f t="shared" si="12"/>
        <v>No</v>
      </c>
      <c r="H114" s="337" t="str">
        <f t="shared" si="8"/>
        <v>No</v>
      </c>
      <c r="I114" s="465"/>
      <c r="J114" s="467"/>
      <c r="K114" s="518"/>
      <c r="L114" s="519"/>
      <c r="M114" s="511" cm="1">
        <f t="array" ref="M114">SUMPRODUCT(--(ISNUMBER(SEARCH($A114,'Diags Raw Data'!$A$6:$A$3752))),--('Diags Raw Data'!$P$6:$P$3752&lt;&gt;"N/A"),'Diags Raw Data'!$Q$6:$Q$3752)</f>
        <v>0</v>
      </c>
      <c r="N114" s="520"/>
      <c r="O114" s="521"/>
      <c r="P114" s="522"/>
      <c r="Q114" s="523"/>
      <c r="R114" s="524"/>
      <c r="S114" s="524"/>
      <c r="T114" s="525"/>
      <c r="U114" s="468" t="s">
        <v>396</v>
      </c>
      <c r="V114" s="179"/>
    </row>
    <row r="115" spans="1:22" ht="16.5">
      <c r="A115" s="335" t="s">
        <v>507</v>
      </c>
      <c r="B115" s="464" t="str">
        <f>VLOOKUP(A115,'Feature Raw Data'!$A$3:$B$3996,2,FALSE)</f>
        <v>Const_fill count size expands to 1GB</v>
      </c>
      <c r="C115" s="465" t="str">
        <f>VLOOKUP(A115,'Feature Raw Data'!$A$3:$C$3996,3,FALSE)</f>
        <v>P2</v>
      </c>
      <c r="D115" s="466" t="str" cm="1">
        <f t="array" ref="D115">_xlfn.TEXTJOIN("",TRUE,IF(ISNUMBER(SEARCH($A115,'Diags Raw Data'!$A$6:$A$3752)),CONCATENATE('Diags Raw Data'!$H$6:$H$3752,", "),""))</f>
        <v xml:space="preserve">nsdma59.1, </v>
      </c>
      <c r="E115" s="461" t="str">
        <f>VLOOKUP(A115,'Diags Raw Data'!$A$6:$D$3752,4,FALSE)</f>
        <v>SDMA</v>
      </c>
      <c r="F115" s="337" t="str">
        <f>VLOOKUP(A115,'Feature Raw Data'!$A$3:$E$3996,5,FALSE)</f>
        <v>Delta</v>
      </c>
      <c r="G115" s="337" t="s">
        <v>31</v>
      </c>
      <c r="H115" s="337" t="str">
        <f t="shared" si="8"/>
        <v>Yes</v>
      </c>
      <c r="I115" s="465"/>
      <c r="J115" s="467"/>
      <c r="K115" s="518"/>
      <c r="L115" s="519"/>
      <c r="M115" s="511" cm="1">
        <f t="array" ref="M115">SUMPRODUCT(--(ISNUMBER(SEARCH($A115,'Diags Raw Data'!$A$6:$A$3752))),--('Diags Raw Data'!$P$6:$P$3752&lt;&gt;"N/A"),'Diags Raw Data'!$Q$6:$Q$3752)</f>
        <v>1</v>
      </c>
      <c r="N115" s="520"/>
      <c r="O115" s="521"/>
      <c r="P115" s="522"/>
      <c r="Q115" s="523"/>
      <c r="R115" s="524"/>
      <c r="S115" s="524"/>
      <c r="T115" s="525"/>
      <c r="U115" s="468" t="s">
        <v>44</v>
      </c>
      <c r="V115" s="571" t="s">
        <v>847</v>
      </c>
    </row>
    <row r="116" spans="1:22" ht="16.5">
      <c r="A116" s="335" t="s">
        <v>761</v>
      </c>
      <c r="B116" s="464" t="str">
        <f>VLOOKUP(A116,'Feature Raw Data'!$A$3:$B$3996,2,FALSE)</f>
        <v>GFX DCS support</v>
      </c>
      <c r="C116" s="465" t="str">
        <f>VLOOKUP(A116,'Feature Raw Data'!$A$3:$C$3996,3,FALSE)</f>
        <v>P2</v>
      </c>
      <c r="D116" s="466" t="str" cm="1">
        <f t="array" ref="D116">_xlfn.TEXTJOIN("",TRUE,IF(ISNUMBER(SEARCH($A116,'Diags Raw Data'!$A$6:$A$3752)),CONCATENATE('Diags Raw Data'!$H$6:$H$3752,", "),""))</f>
        <v/>
      </c>
      <c r="E116" s="461" t="e">
        <f>VLOOKUP(A116,'Diags Raw Data'!$A$6:$D$3752,4,FALSE)</f>
        <v>#N/A</v>
      </c>
      <c r="F116" s="337" t="str">
        <f>VLOOKUP(A116,'Feature Raw Data'!$A$3:$E$3996,5,FALSE)</f>
        <v>Delta</v>
      </c>
      <c r="G116" s="337" t="str">
        <f t="shared" si="12"/>
        <v>No</v>
      </c>
      <c r="H116" s="337" t="str">
        <f t="shared" si="8"/>
        <v>No</v>
      </c>
      <c r="I116" s="465"/>
      <c r="J116" s="467"/>
      <c r="K116" s="518"/>
      <c r="L116" s="519"/>
      <c r="M116" s="511" cm="1">
        <f t="array" ref="M116">SUMPRODUCT(--(ISNUMBER(SEARCH($A116,'Diags Raw Data'!$A$6:$A$3752))),--('Diags Raw Data'!$P$6:$P$3752&lt;&gt;"N/A"),'Diags Raw Data'!$Q$6:$Q$3752)</f>
        <v>0</v>
      </c>
      <c r="N116" s="520"/>
      <c r="O116" s="521"/>
      <c r="P116" s="522"/>
      <c r="Q116" s="523"/>
      <c r="R116" s="524"/>
      <c r="S116" s="524"/>
      <c r="T116" s="525"/>
      <c r="U116" s="468" t="s">
        <v>44</v>
      </c>
      <c r="V116" s="571" t="s">
        <v>846</v>
      </c>
    </row>
    <row r="117" spans="1:22" ht="16.5">
      <c r="A117" s="335" t="s">
        <v>509</v>
      </c>
      <c r="B117" s="464" t="str">
        <f>VLOOKUP(A117,'Feature Raw Data'!$A$3:$B$3996,2,FALSE)</f>
        <v>Linear Copy</v>
      </c>
      <c r="C117" s="465" t="str">
        <f>VLOOKUP(A117,'Feature Raw Data'!$A$3:$C$3996,3,FALSE)</f>
        <v>P2</v>
      </c>
      <c r="D117" s="466" t="str" cm="1">
        <f t="array" ref="D117">_xlfn.TEXTJOIN("",TRUE,IF(ISNUMBER(SEARCH($A117,'Diags Raw Data'!$A$6:$A$3752)),CONCATENATE('Diags Raw Data'!$H$6:$H$3752,", "),""))</f>
        <v xml:space="preserve">nsdma1.101, </v>
      </c>
      <c r="E117" s="461" t="str">
        <f>VLOOKUP(A117,'Diags Raw Data'!$A$6:$D$3752,4,FALSE)</f>
        <v>Lite-SDMA</v>
      </c>
      <c r="F117" s="337" t="str">
        <f>VLOOKUP(A117,'Feature Raw Data'!$A$3:$E$3996,5,FALSE)</f>
        <v>Legacy</v>
      </c>
      <c r="G117" s="337" t="str">
        <f>IF(D117="","No","Yes")</f>
        <v>Yes</v>
      </c>
      <c r="H117" s="337" t="str">
        <f>IF(D117="","No","Yes")</f>
        <v>Yes</v>
      </c>
      <c r="I117" s="465"/>
      <c r="J117" s="467"/>
      <c r="K117" s="518"/>
      <c r="L117" s="519"/>
      <c r="M117" s="511" cm="1">
        <f t="array" ref="M117">SUMPRODUCT(--(ISNUMBER(SEARCH($A117,'Diags Raw Data'!$A$6:$A$3752))),--('Diags Raw Data'!$P$6:$P$3752&lt;&gt;"N/A"),'Diags Raw Data'!$Q$6:$Q$3752)</f>
        <v>1</v>
      </c>
      <c r="N117" s="520"/>
      <c r="O117" s="521"/>
      <c r="P117" s="522"/>
      <c r="Q117" s="523"/>
      <c r="R117" s="524"/>
      <c r="S117" s="524"/>
      <c r="T117" s="525"/>
      <c r="U117" s="468" t="s">
        <v>44</v>
      </c>
      <c r="V117" s="571" t="s">
        <v>846</v>
      </c>
    </row>
    <row r="118" spans="1:22" ht="16.5">
      <c r="A118" s="335" t="s">
        <v>514</v>
      </c>
      <c r="B118" s="464" t="str">
        <f>VLOOKUP(A118,'Feature Raw Data'!$A$3:$B$3996,2,FALSE)</f>
        <v>Linear Backwards Copy</v>
      </c>
      <c r="C118" s="465" t="str">
        <f>VLOOKUP(A118,'Feature Raw Data'!$A$3:$C$3996,3,FALSE)</f>
        <v>P2</v>
      </c>
      <c r="D118" s="466" t="str" cm="1">
        <f t="array" ref="D118">_xlfn.TEXTJOIN("",TRUE,IF(ISNUMBER(SEARCH($A118,'Diags Raw Data'!$A$6:$A$3752)),CONCATENATE('Diags Raw Data'!$H$6:$H$3752,", "),""))</f>
        <v xml:space="preserve">nsdma5.101, </v>
      </c>
      <c r="E118" s="461" t="str">
        <f>VLOOKUP(A118,'Diags Raw Data'!$A$6:$D$3752,4,FALSE)</f>
        <v>Lite-SDMA</v>
      </c>
      <c r="F118" s="337" t="str">
        <f>VLOOKUP(A118,'Feature Raw Data'!$A$3:$E$3996,5,FALSE)</f>
        <v>Legacy</v>
      </c>
      <c r="G118" s="337" t="str">
        <f>IF(D118="","No","Yes")</f>
        <v>Yes</v>
      </c>
      <c r="H118" s="337" t="str">
        <f>IF(D118="","No","Yes")</f>
        <v>Yes</v>
      </c>
      <c r="I118" s="465"/>
      <c r="J118" s="467"/>
      <c r="K118" s="518"/>
      <c r="L118" s="519"/>
      <c r="M118" s="511" cm="1">
        <f t="array" ref="M118">SUMPRODUCT(--(ISNUMBER(SEARCH($A118,'Diags Raw Data'!$A$6:$A$3752))),--('Diags Raw Data'!$P$6:$P$3752&lt;&gt;"N/A"),'Diags Raw Data'!$Q$6:$Q$3752)</f>
        <v>1</v>
      </c>
      <c r="N118" s="520"/>
      <c r="O118" s="521"/>
      <c r="P118" s="522"/>
      <c r="Q118" s="523"/>
      <c r="R118" s="524"/>
      <c r="S118" s="524"/>
      <c r="T118" s="525"/>
      <c r="U118" s="468"/>
      <c r="V118" s="571"/>
    </row>
    <row r="119" spans="1:22" ht="16.5">
      <c r="A119" s="335" t="s">
        <v>517</v>
      </c>
      <c r="B119" s="464" t="str">
        <f>VLOOKUP(A119,'Feature Raw Data'!$A$3:$B$3996,2,FALSE)</f>
        <v>Linear Copy Broadcast</v>
      </c>
      <c r="C119" s="465" t="str">
        <f>VLOOKUP(A119,'Feature Raw Data'!$A$3:$C$3996,3,FALSE)</f>
        <v>P2</v>
      </c>
      <c r="D119" s="466" t="str" cm="1">
        <f t="array" ref="D119">_xlfn.TEXTJOIN("",TRUE,IF(ISNUMBER(SEARCH($A119,'Diags Raw Data'!$A$6:$A$3752)),CONCATENATE('Diags Raw Data'!$H$6:$H$3752,", "),""))</f>
        <v xml:space="preserve">nsdma4.101, </v>
      </c>
      <c r="E119" s="461" t="str">
        <f>VLOOKUP(A119,'Diags Raw Data'!$A$6:$D$3752,4,FALSE)</f>
        <v>Lite-SDMA</v>
      </c>
      <c r="F119" s="337" t="str">
        <f>VLOOKUP(A119,'Feature Raw Data'!$A$3:$E$3996,5,FALSE)</f>
        <v>Legacy</v>
      </c>
      <c r="G119" s="337" t="s">
        <v>31</v>
      </c>
      <c r="H119" s="337" t="str">
        <f t="shared" si="8"/>
        <v>Yes</v>
      </c>
      <c r="I119" s="465"/>
      <c r="J119" s="467"/>
      <c r="K119" s="518"/>
      <c r="L119" s="519"/>
      <c r="M119" s="511" cm="1">
        <f t="array" ref="M119">SUMPRODUCT(--(ISNUMBER(SEARCH($A119,'Diags Raw Data'!$A$6:$A$3752))),--('Diags Raw Data'!$P$6:$P$3752&lt;&gt;"N/A"),'Diags Raw Data'!$Q$6:$Q$3752)</f>
        <v>1</v>
      </c>
      <c r="N119" s="520"/>
      <c r="O119" s="521"/>
      <c r="P119" s="522"/>
      <c r="Q119" s="523"/>
      <c r="R119" s="524"/>
      <c r="S119" s="524"/>
      <c r="T119" s="525"/>
      <c r="U119" s="468" t="s">
        <v>44</v>
      </c>
      <c r="V119" s="571" t="s">
        <v>847</v>
      </c>
    </row>
    <row r="120" spans="1:22" ht="15">
      <c r="A120" s="335" t="s">
        <v>520</v>
      </c>
      <c r="B120" s="464" t="str">
        <f>VLOOKUP(A120,'Feature Raw Data'!$A$3:$B$3996,2,FALSE)</f>
        <v>Linear Sub-Window Copy</v>
      </c>
      <c r="C120" s="465" t="str">
        <f>VLOOKUP(A120,'Feature Raw Data'!$A$3:$C$3996,3,FALSE)</f>
        <v>P2</v>
      </c>
      <c r="D120" s="466" t="str" cm="1">
        <f t="array" ref="D120">_xlfn.TEXTJOIN("",TRUE,IF(ISNUMBER(SEARCH($A120,'Diags Raw Data'!$A$6:$A$3752)),CONCATENATE('Diags Raw Data'!$H$6:$H$3752,", "),""))</f>
        <v xml:space="preserve">nsdma7.101-105, </v>
      </c>
      <c r="E120" s="461" t="str">
        <f>VLOOKUP(A120,'Diags Raw Data'!$A$6:$D$3752,4,FALSE)</f>
        <v>Lite-SDMA</v>
      </c>
      <c r="F120" s="337" t="str">
        <f>VLOOKUP(A120,'Feature Raw Data'!$A$3:$E$3996,5,FALSE)</f>
        <v>Legacy</v>
      </c>
      <c r="G120" s="337" t="str">
        <f t="shared" si="12"/>
        <v>Yes</v>
      </c>
      <c r="H120" s="337" t="str">
        <f t="shared" si="8"/>
        <v>Yes</v>
      </c>
      <c r="I120" s="465"/>
      <c r="J120" s="467"/>
      <c r="K120" s="518"/>
      <c r="L120" s="519"/>
      <c r="M120" s="511" cm="1">
        <f t="array" ref="M120">SUMPRODUCT(--(ISNUMBER(SEARCH($A120,'Diags Raw Data'!$A$6:$A$3752))),--('Diags Raw Data'!$P$6:$P$3752&lt;&gt;"N/A"),'Diags Raw Data'!$Q$6:$Q$3752)</f>
        <v>5</v>
      </c>
      <c r="N120" s="520"/>
      <c r="O120" s="521"/>
      <c r="P120" s="522"/>
      <c r="Q120" s="523"/>
      <c r="R120" s="524"/>
      <c r="S120" s="524"/>
      <c r="T120" s="525"/>
      <c r="U120" s="468" t="s">
        <v>438</v>
      </c>
      <c r="V120" s="179"/>
    </row>
    <row r="121" spans="1:22" ht="15">
      <c r="A121" s="335" t="s">
        <v>763</v>
      </c>
      <c r="B121" s="464" t="str">
        <f>VLOOKUP(A121,'Feature Raw Data'!$A$3:$B$3996,2,FALSE)</f>
        <v>Page Eviction Copy</v>
      </c>
      <c r="C121" s="465" t="str">
        <f>VLOOKUP(A121,'Feature Raw Data'!$A$3:$C$3996,3,FALSE)</f>
        <v>P2</v>
      </c>
      <c r="D121" s="466" t="str" cm="1">
        <f t="array" ref="D121">_xlfn.TEXTJOIN("",TRUE,IF(ISNUMBER(SEARCH($A121,'Diags Raw Data'!$A$6:$A$3752)),CONCATENATE('Diags Raw Data'!$H$6:$H$3752,", "),""))</f>
        <v/>
      </c>
      <c r="E121" s="461" t="e">
        <f>VLOOKUP(A121,'Diags Raw Data'!$A$6:$D$3752,4,FALSE)</f>
        <v>#N/A</v>
      </c>
      <c r="F121" s="337" t="str">
        <f>VLOOKUP(A121,'Feature Raw Data'!$A$3:$E$3996,5,FALSE)</f>
        <v>Legacy</v>
      </c>
      <c r="G121" s="337" t="str">
        <f t="shared" si="12"/>
        <v>No</v>
      </c>
      <c r="H121" s="337" t="str">
        <f t="shared" si="8"/>
        <v>No</v>
      </c>
      <c r="I121" s="465"/>
      <c r="J121" s="467"/>
      <c r="K121" s="518"/>
      <c r="L121" s="519"/>
      <c r="M121" s="511" cm="1">
        <f t="array" ref="M121">SUMPRODUCT(--(ISNUMBER(SEARCH($A121,'Diags Raw Data'!$A$6:$A$3752))),--('Diags Raw Data'!$P$6:$P$3752&lt;&gt;"N/A"),'Diags Raw Data'!$Q$6:$Q$3752)</f>
        <v>0</v>
      </c>
      <c r="N121" s="520"/>
      <c r="O121" s="521"/>
      <c r="P121" s="522"/>
      <c r="Q121" s="523"/>
      <c r="R121" s="524"/>
      <c r="S121" s="524"/>
      <c r="T121" s="525"/>
      <c r="U121" s="468" t="s">
        <v>396</v>
      </c>
      <c r="V121" s="179"/>
    </row>
    <row r="122" spans="1:22" ht="15">
      <c r="A122" s="335" t="s">
        <v>526</v>
      </c>
      <c r="B122" s="464" t="str">
        <f>VLOOKUP(A122,'Feature Raw Data'!$A$3:$B$3996,2,FALSE)</f>
        <v>Tiled Copy</v>
      </c>
      <c r="C122" s="465" t="str">
        <f>VLOOKUP(A122,'Feature Raw Data'!$A$3:$C$3996,3,FALSE)</f>
        <v>P2</v>
      </c>
      <c r="D122" s="466" t="str" cm="1">
        <f t="array" ref="D122">_xlfn.TEXTJOIN("",TRUE,IF(ISNUMBER(SEARCH($A122,'Diags Raw Data'!$A$6:$A$3752)),CONCATENATE('Diags Raw Data'!$H$6:$H$3752,", "),""))</f>
        <v xml:space="preserve">nsdma7.101-105, </v>
      </c>
      <c r="E122" s="461" t="str">
        <f>VLOOKUP(A122,'Diags Raw Data'!$A$6:$D$3752,4,FALSE)</f>
        <v>Lite-SDMA</v>
      </c>
      <c r="F122" s="337" t="str">
        <f>VLOOKUP(A122,'Feature Raw Data'!$A$3:$E$3996,5,FALSE)</f>
        <v>Legacy</v>
      </c>
      <c r="G122" s="337" t="str">
        <f t="shared" si="12"/>
        <v>Yes</v>
      </c>
      <c r="H122" s="337" t="str">
        <f t="shared" si="8"/>
        <v>Yes</v>
      </c>
      <c r="I122" s="465"/>
      <c r="J122" s="467"/>
      <c r="K122" s="518"/>
      <c r="L122" s="519"/>
      <c r="M122" s="511" cm="1">
        <f t="array" ref="M122">SUMPRODUCT(--(ISNUMBER(SEARCH($A122,'Diags Raw Data'!$A$6:$A$3752))),--('Diags Raw Data'!$P$6:$P$3752&lt;&gt;"N/A"),'Diags Raw Data'!$Q$6:$Q$3752)</f>
        <v>5</v>
      </c>
      <c r="N122" s="520"/>
      <c r="O122" s="521"/>
      <c r="P122" s="522"/>
      <c r="Q122" s="523"/>
      <c r="R122" s="524"/>
      <c r="S122" s="524"/>
      <c r="T122" s="525"/>
      <c r="U122" s="468" t="s">
        <v>438</v>
      </c>
      <c r="V122" s="179"/>
    </row>
    <row r="123" spans="1:22" ht="15">
      <c r="A123" s="335" t="s">
        <v>528</v>
      </c>
      <c r="B123" s="464" t="str">
        <f>VLOOKUP(A123,'Feature Raw Data'!$A$3:$B$3996,2,FALSE)</f>
        <v>Tiled to Tiled Sub-Window Copy</v>
      </c>
      <c r="C123" s="465" t="str">
        <f>VLOOKUP(A123,'Feature Raw Data'!$A$3:$C$3996,3,FALSE)</f>
        <v>P2</v>
      </c>
      <c r="D123" s="466" t="str" cm="1">
        <f t="array" ref="D123">_xlfn.TEXTJOIN("",TRUE,IF(ISNUMBER(SEARCH($A123,'Diags Raw Data'!$A$6:$A$3752)),CONCATENATE('Diags Raw Data'!$H$6:$H$3752,", "),""))</f>
        <v xml:space="preserve">nsdma9.101-105, </v>
      </c>
      <c r="E123" s="461" t="str">
        <f>VLOOKUP(A123,'Diags Raw Data'!$A$6:$D$3752,4,FALSE)</f>
        <v>Lite-SDMA</v>
      </c>
      <c r="F123" s="337" t="str">
        <f>VLOOKUP(A123,'Feature Raw Data'!$A$3:$E$3996,5,FALSE)</f>
        <v>Legacy</v>
      </c>
      <c r="G123" s="337" t="str">
        <f t="shared" si="12"/>
        <v>Yes</v>
      </c>
      <c r="H123" s="337" t="str">
        <f t="shared" si="8"/>
        <v>Yes</v>
      </c>
      <c r="I123" s="465"/>
      <c r="J123" s="467"/>
      <c r="K123" s="518"/>
      <c r="L123" s="519"/>
      <c r="M123" s="511" cm="1">
        <f t="array" ref="M123">SUMPRODUCT(--(ISNUMBER(SEARCH($A123,'Diags Raw Data'!$A$6:$A$3752))),--('Diags Raw Data'!$P$6:$P$3752&lt;&gt;"N/A"),'Diags Raw Data'!$Q$6:$Q$3752)</f>
        <v>5</v>
      </c>
      <c r="N123" s="520"/>
      <c r="O123" s="521"/>
      <c r="P123" s="522"/>
      <c r="Q123" s="523"/>
      <c r="R123" s="524"/>
      <c r="S123" s="524"/>
      <c r="T123" s="525"/>
      <c r="U123" s="468" t="s">
        <v>438</v>
      </c>
      <c r="V123" s="179"/>
    </row>
    <row r="124" spans="1:22" ht="15">
      <c r="A124" s="335" t="s">
        <v>531</v>
      </c>
      <c r="B124" s="464" t="str">
        <f>VLOOKUP(A124,'Feature Raw Data'!$A$3:$B$3996,2,FALSE)</f>
        <v>Tiled Sub-Window Copy</v>
      </c>
      <c r="C124" s="465" t="str">
        <f>VLOOKUP(A124,'Feature Raw Data'!$A$3:$C$3996,3,FALSE)</f>
        <v>P2</v>
      </c>
      <c r="D124" s="466" t="str" cm="1">
        <f t="array" ref="D124">_xlfn.TEXTJOIN("",TRUE,IF(ISNUMBER(SEARCH($A124,'Diags Raw Data'!$A$6:$A$3752)),CONCATENATE('Diags Raw Data'!$H$6:$H$3752,", "),""))</f>
        <v xml:space="preserve">nsdma9.101, </v>
      </c>
      <c r="E124" s="461" t="str">
        <f>VLOOKUP(A124,'Diags Raw Data'!$A$6:$D$3752,4,FALSE)</f>
        <v>Lite-SDMA</v>
      </c>
      <c r="F124" s="337" t="str">
        <f>VLOOKUP(A124,'Feature Raw Data'!$A$3:$E$3996,5,FALSE)</f>
        <v>Legacy</v>
      </c>
      <c r="G124" s="337" t="str">
        <f t="shared" si="12"/>
        <v>Yes</v>
      </c>
      <c r="H124" s="337" t="str">
        <f t="shared" si="8"/>
        <v>Yes</v>
      </c>
      <c r="I124" s="465"/>
      <c r="J124" s="467"/>
      <c r="K124" s="518"/>
      <c r="L124" s="519"/>
      <c r="M124" s="511" cm="1">
        <f t="array" ref="M124">SUMPRODUCT(--(ISNUMBER(SEARCH($A124,'Diags Raw Data'!$A$6:$A$3752))),--('Diags Raw Data'!$P$6:$P$3752&lt;&gt;"N/A"),'Diags Raw Data'!$Q$6:$Q$3752)</f>
        <v>1</v>
      </c>
      <c r="N124" s="520"/>
      <c r="O124" s="521"/>
      <c r="P124" s="522"/>
      <c r="Q124" s="523"/>
      <c r="R124" s="524"/>
      <c r="S124" s="524"/>
      <c r="T124" s="525"/>
      <c r="U124" s="468" t="s">
        <v>438</v>
      </c>
      <c r="V124" s="179"/>
    </row>
    <row r="125" spans="1:22" ht="15">
      <c r="A125" s="335" t="s">
        <v>534</v>
      </c>
      <c r="B125" s="464" t="str">
        <f>VLOOKUP(A125,'Feature Raw Data'!$A$3:$B$3996,2,FALSE)</f>
        <v>Linear to Linear Copy Command</v>
      </c>
      <c r="C125" s="465" t="str">
        <f>VLOOKUP(A125,'Feature Raw Data'!$A$3:$C$3996,3,FALSE)</f>
        <v>P2</v>
      </c>
      <c r="D125" s="466" t="str" cm="1">
        <f t="array" ref="D125">_xlfn.TEXTJOIN("",TRUE,IF(ISNUMBER(SEARCH($A125,'Diags Raw Data'!$A$6:$A$3752)),CONCATENATE('Diags Raw Data'!$H$6:$H$3752,", "),""))</f>
        <v xml:space="preserve">nsdma10.101-105, </v>
      </c>
      <c r="E125" s="461" t="str">
        <f>VLOOKUP(A125,'Diags Raw Data'!$A$6:$D$3752,4,FALSE)</f>
        <v>Lite-SDMA</v>
      </c>
      <c r="F125" s="337" t="str">
        <f>VLOOKUP(A125,'Feature Raw Data'!$A$3:$E$3996,5,FALSE)</f>
        <v>Legacy</v>
      </c>
      <c r="G125" s="337" t="str">
        <f t="shared" si="12"/>
        <v>Yes</v>
      </c>
      <c r="H125" s="337" t="str">
        <f t="shared" si="8"/>
        <v>Yes</v>
      </c>
      <c r="I125" s="465"/>
      <c r="J125" s="467"/>
      <c r="K125" s="518"/>
      <c r="L125" s="519"/>
      <c r="M125" s="511" cm="1">
        <f t="array" ref="M125">SUMPRODUCT(--(ISNUMBER(SEARCH($A125,'Diags Raw Data'!$A$6:$A$3752))),--('Diags Raw Data'!$P$6:$P$3752&lt;&gt;"N/A"),'Diags Raw Data'!$Q$6:$Q$3752)</f>
        <v>5</v>
      </c>
      <c r="N125" s="520"/>
      <c r="O125" s="521"/>
      <c r="P125" s="522"/>
      <c r="Q125" s="523"/>
      <c r="R125" s="524"/>
      <c r="S125" s="524"/>
      <c r="T125" s="525"/>
      <c r="U125" s="468" t="s">
        <v>438</v>
      </c>
      <c r="V125" s="179"/>
    </row>
    <row r="126" spans="1:22" ht="15">
      <c r="A126" s="335" t="s">
        <v>765</v>
      </c>
      <c r="B126" s="464" t="str">
        <f>VLOOKUP(A126,'Feature Raw Data'!$A$3:$B$3996,2,FALSE)</f>
        <v>Linear to Linear sub-window copy</v>
      </c>
      <c r="C126" s="465" t="str">
        <f>VLOOKUP(A126,'Feature Raw Data'!$A$3:$C$3996,3,FALSE)</f>
        <v>P2</v>
      </c>
      <c r="D126" s="466" t="str" cm="1">
        <f t="array" ref="D126">_xlfn.TEXTJOIN("",TRUE,IF(ISNUMBER(SEARCH($A126,'Diags Raw Data'!$A$6:$A$3752)),CONCATENATE('Diags Raw Data'!$H$6:$H$3752,", "),""))</f>
        <v/>
      </c>
      <c r="E126" s="461" t="e">
        <f>VLOOKUP(A126,'Diags Raw Data'!$A$6:$D$3752,4,FALSE)</f>
        <v>#N/A</v>
      </c>
      <c r="F126" s="337" t="str">
        <f>VLOOKUP(A126,'Feature Raw Data'!$A$3:$E$3996,5,FALSE)</f>
        <v>Legacy</v>
      </c>
      <c r="G126" s="337" t="str">
        <f t="shared" si="12"/>
        <v>No</v>
      </c>
      <c r="H126" s="337" t="str">
        <f t="shared" si="8"/>
        <v>No</v>
      </c>
      <c r="I126" s="465"/>
      <c r="J126" s="467"/>
      <c r="K126" s="518"/>
      <c r="L126" s="519"/>
      <c r="M126" s="511" cm="1">
        <f t="array" ref="M126">SUMPRODUCT(--(ISNUMBER(SEARCH($A126,'Diags Raw Data'!$A$6:$A$3752))),--('Diags Raw Data'!$P$6:$P$3752&lt;&gt;"N/A"),'Diags Raw Data'!$Q$6:$Q$3752)</f>
        <v>0</v>
      </c>
      <c r="N126" s="520"/>
      <c r="O126" s="521"/>
      <c r="P126" s="522"/>
      <c r="Q126" s="523"/>
      <c r="R126" s="524"/>
      <c r="S126" s="524"/>
      <c r="T126" s="525"/>
      <c r="U126" s="468" t="s">
        <v>438</v>
      </c>
      <c r="V126" s="179"/>
    </row>
    <row r="127" spans="1:22" ht="15">
      <c r="A127" s="335" t="s">
        <v>537</v>
      </c>
      <c r="B127" s="464" t="str">
        <f>VLOOKUP(A127,'Feature Raw Data'!$A$3:$B$3996,2,FALSE)</f>
        <v>Linear to Structured / Structured to Linear copy</v>
      </c>
      <c r="C127" s="465" t="str">
        <f>VLOOKUP(A127,'Feature Raw Data'!$A$3:$C$3996,3,FALSE)</f>
        <v>P2</v>
      </c>
      <c r="D127" s="466" t="str" cm="1">
        <f t="array" ref="D127">_xlfn.TEXTJOIN("",TRUE,IF(ISNUMBER(SEARCH($A127,'Diags Raw Data'!$A$6:$A$3752)),CONCATENATE('Diags Raw Data'!$H$6:$H$3752,", "),""))</f>
        <v xml:space="preserve">nsdma13.101-102, </v>
      </c>
      <c r="E127" s="461" t="str">
        <f>VLOOKUP(A127,'Diags Raw Data'!$A$6:$D$3752,4,FALSE)</f>
        <v>Lite-SDMA</v>
      </c>
      <c r="F127" s="337" t="str">
        <f>VLOOKUP(A127,'Feature Raw Data'!$A$3:$E$3996,5,FALSE)</f>
        <v>Legacy</v>
      </c>
      <c r="G127" s="337" t="str">
        <f t="shared" si="12"/>
        <v>Yes</v>
      </c>
      <c r="H127" s="337" t="str">
        <f t="shared" si="8"/>
        <v>Yes</v>
      </c>
      <c r="I127" s="465"/>
      <c r="J127" s="467"/>
      <c r="K127" s="518"/>
      <c r="L127" s="519"/>
      <c r="M127" s="511" cm="1">
        <f t="array" ref="M127">SUMPRODUCT(--(ISNUMBER(SEARCH($A127,'Diags Raw Data'!$A$6:$A$3752))),--('Diags Raw Data'!$P$6:$P$3752&lt;&gt;"N/A"),'Diags Raw Data'!$Q$6:$Q$3752)</f>
        <v>2</v>
      </c>
      <c r="N127" s="520"/>
      <c r="O127" s="521"/>
      <c r="P127" s="522"/>
      <c r="Q127" s="523"/>
      <c r="R127" s="524"/>
      <c r="S127" s="524"/>
      <c r="T127" s="525"/>
      <c r="U127" s="468" t="s">
        <v>438</v>
      </c>
      <c r="V127" s="179"/>
    </row>
    <row r="128" spans="1:22" ht="15">
      <c r="A128" s="335" t="s">
        <v>540</v>
      </c>
      <c r="B128" s="464" t="str">
        <f>VLOOKUP(A128,'Feature Raw Data'!$A$3:$B$3996,2,FALSE)</f>
        <v>Linear to Tiled (frame to field) copy</v>
      </c>
      <c r="C128" s="465" t="str">
        <f>VLOOKUP(A128,'Feature Raw Data'!$A$3:$C$3996,3,FALSE)</f>
        <v>P2</v>
      </c>
      <c r="D128" s="466" t="str" cm="1">
        <f t="array" ref="D128">_xlfn.TEXTJOIN("",TRUE,IF(ISNUMBER(SEARCH($A128,'Diags Raw Data'!$A$6:$A$3752)),CONCATENATE('Diags Raw Data'!$H$6:$H$3752,", "),""))</f>
        <v xml:space="preserve">nsdma12.101-105, </v>
      </c>
      <c r="E128" s="461" t="str">
        <f>VLOOKUP(A128,'Diags Raw Data'!$A$6:$D$3752,4,FALSE)</f>
        <v>Lite-SDMA</v>
      </c>
      <c r="F128" s="337" t="str">
        <f>VLOOKUP(A128,'Feature Raw Data'!$A$3:$E$3996,5,FALSE)</f>
        <v>Legacy</v>
      </c>
      <c r="G128" s="337" t="str">
        <f t="shared" si="12"/>
        <v>Yes</v>
      </c>
      <c r="H128" s="337" t="str">
        <f t="shared" si="8"/>
        <v>Yes</v>
      </c>
      <c r="I128" s="465"/>
      <c r="J128" s="467"/>
      <c r="K128" s="518"/>
      <c r="L128" s="519"/>
      <c r="M128" s="511" cm="1">
        <f t="array" ref="M128">SUMPRODUCT(--(ISNUMBER(SEARCH($A128,'Diags Raw Data'!$A$6:$A$3752))),--('Diags Raw Data'!$P$6:$P$3752&lt;&gt;"N/A"),'Diags Raw Data'!$Q$6:$Q$3752)</f>
        <v>5</v>
      </c>
      <c r="N128" s="520"/>
      <c r="O128" s="521"/>
      <c r="P128" s="522"/>
      <c r="Q128" s="523"/>
      <c r="R128" s="524"/>
      <c r="S128" s="524"/>
      <c r="T128" s="525"/>
      <c r="U128" s="468" t="s">
        <v>438</v>
      </c>
      <c r="V128" s="179"/>
    </row>
    <row r="129" spans="1:22" ht="15">
      <c r="A129" s="335" t="s">
        <v>543</v>
      </c>
      <c r="B129" s="464" t="str">
        <f>VLOOKUP(A129,'Feature Raw Data'!$A$3:$B$3996,2,FALSE)</f>
        <v>Linear to Tiled / Tiled to Linear Copy Command</v>
      </c>
      <c r="C129" s="465" t="str">
        <f>VLOOKUP(A129,'Feature Raw Data'!$A$3:$C$3996,3,FALSE)</f>
        <v>P2</v>
      </c>
      <c r="D129" s="466" t="str" cm="1">
        <f t="array" ref="D129">_xlfn.TEXTJOIN("",TRUE,IF(ISNUMBER(SEARCH($A129,'Diags Raw Data'!$A$6:$A$3752)),CONCATENATE('Diags Raw Data'!$H$6:$H$3752,", "),""))</f>
        <v xml:space="preserve">nsdma2.101-105, nsdma3.101-105, </v>
      </c>
      <c r="E129" s="461" t="str">
        <f>VLOOKUP(A129,'Diags Raw Data'!$A$6:$D$3752,4,FALSE)</f>
        <v>Lite-SDMA</v>
      </c>
      <c r="F129" s="337" t="str">
        <f>VLOOKUP(A129,'Feature Raw Data'!$A$3:$E$3996,5,FALSE)</f>
        <v>Legacy</v>
      </c>
      <c r="G129" s="337" t="str">
        <f t="shared" si="12"/>
        <v>Yes</v>
      </c>
      <c r="H129" s="337" t="str">
        <f t="shared" si="8"/>
        <v>Yes</v>
      </c>
      <c r="I129" s="465"/>
      <c r="J129" s="467"/>
      <c r="K129" s="518"/>
      <c r="L129" s="519"/>
      <c r="M129" s="511" cm="1">
        <f t="array" ref="M129">SUMPRODUCT(--(ISNUMBER(SEARCH($A129,'Diags Raw Data'!$A$6:$A$3752))),--('Diags Raw Data'!$P$6:$P$3752&lt;&gt;"N/A"),'Diags Raw Data'!$Q$6:$Q$3752)</f>
        <v>10</v>
      </c>
      <c r="N129" s="520"/>
      <c r="O129" s="521"/>
      <c r="P129" s="522"/>
      <c r="Q129" s="523"/>
      <c r="R129" s="524"/>
      <c r="S129" s="524"/>
      <c r="T129" s="525"/>
      <c r="U129" s="468" t="s">
        <v>438</v>
      </c>
      <c r="V129" s="179"/>
    </row>
    <row r="130" spans="1:22" ht="15">
      <c r="A130" s="335" t="s">
        <v>546</v>
      </c>
      <c r="B130" s="464" t="str">
        <f>VLOOKUP(A130,'Feature Raw Data'!$A$3:$B$3996,2,FALSE)</f>
        <v>Linear to Tiled / Tiled to Linear sub-window copy</v>
      </c>
      <c r="C130" s="465" t="str">
        <f>VLOOKUP(A130,'Feature Raw Data'!$A$3:$C$3996,3,FALSE)</f>
        <v>P2</v>
      </c>
      <c r="D130" s="466" t="str" cm="1">
        <f t="array" ref="D130">_xlfn.TEXTJOIN("",TRUE,IF(ISNUMBER(SEARCH($A130,'Diags Raw Data'!$A$6:$A$3752)),CONCATENATE('Diags Raw Data'!$H$6:$H$3752,", "),""))</f>
        <v xml:space="preserve">nsdma10.101-110, </v>
      </c>
      <c r="E130" s="461" t="str">
        <f>VLOOKUP(A130,'Diags Raw Data'!$A$6:$D$3752,4,FALSE)</f>
        <v>Lite-SDMA</v>
      </c>
      <c r="F130" s="337" t="str">
        <f>VLOOKUP(A130,'Feature Raw Data'!$A$3:$E$3996,5,FALSE)</f>
        <v>Legacy</v>
      </c>
      <c r="G130" s="337" t="str">
        <f t="shared" si="12"/>
        <v>Yes</v>
      </c>
      <c r="H130" s="337" t="str">
        <f t="shared" si="8"/>
        <v>Yes</v>
      </c>
      <c r="I130" s="465"/>
      <c r="J130" s="467"/>
      <c r="K130" s="518"/>
      <c r="L130" s="519"/>
      <c r="M130" s="511" cm="1">
        <f t="array" ref="M130">SUMPRODUCT(--(ISNUMBER(SEARCH($A130,'Diags Raw Data'!$A$6:$A$3752))),--('Diags Raw Data'!$P$6:$P$3752&lt;&gt;"N/A"),'Diags Raw Data'!$Q$6:$Q$3752)</f>
        <v>10</v>
      </c>
      <c r="N130" s="520"/>
      <c r="O130" s="521"/>
      <c r="P130" s="522"/>
      <c r="Q130" s="523"/>
      <c r="R130" s="524"/>
      <c r="S130" s="524"/>
      <c r="T130" s="525"/>
      <c r="U130" s="468" t="s">
        <v>438</v>
      </c>
      <c r="V130" s="179"/>
    </row>
    <row r="131" spans="1:22" ht="15">
      <c r="A131" s="335" t="s">
        <v>549</v>
      </c>
      <c r="B131" s="464" t="str">
        <f>VLOOKUP(A131,'Feature Raw Data'!$A$3:$B$3996,2,FALSE)</f>
        <v>Linear to Tiled copy broadcast</v>
      </c>
      <c r="C131" s="465" t="str">
        <f>VLOOKUP(A131,'Feature Raw Data'!$A$3:$C$3996,3,FALSE)</f>
        <v>P2</v>
      </c>
      <c r="D131" s="466" t="str" cm="1">
        <f t="array" ref="D131">_xlfn.TEXTJOIN("",TRUE,IF(ISNUMBER(SEARCH($A131,'Diags Raw Data'!$A$6:$A$3752)),CONCATENATE('Diags Raw Data'!$H$6:$H$3752,", "),""))</f>
        <v xml:space="preserve">nsdma11.101-105, </v>
      </c>
      <c r="E131" s="461" t="str">
        <f>VLOOKUP(A131,'Diags Raw Data'!$A$6:$D$3752,4,FALSE)</f>
        <v>Lite-SDMA</v>
      </c>
      <c r="F131" s="337" t="str">
        <f>VLOOKUP(A131,'Feature Raw Data'!$A$3:$E$3996,5,FALSE)</f>
        <v>Legacy</v>
      </c>
      <c r="G131" s="337" t="str">
        <f t="shared" si="12"/>
        <v>Yes</v>
      </c>
      <c r="H131" s="337" t="str">
        <f t="shared" si="8"/>
        <v>Yes</v>
      </c>
      <c r="I131" s="465"/>
      <c r="J131" s="467"/>
      <c r="K131" s="518"/>
      <c r="L131" s="519"/>
      <c r="M131" s="511" cm="1">
        <f t="array" ref="M131">SUMPRODUCT(--(ISNUMBER(SEARCH($A131,'Diags Raw Data'!$A$6:$A$3752))),--('Diags Raw Data'!$P$6:$P$3752&lt;&gt;"N/A"),'Diags Raw Data'!$Q$6:$Q$3752)</f>
        <v>5</v>
      </c>
      <c r="N131" s="520"/>
      <c r="O131" s="521"/>
      <c r="P131" s="522"/>
      <c r="Q131" s="523"/>
      <c r="R131" s="524"/>
      <c r="S131" s="524"/>
      <c r="T131" s="525"/>
      <c r="U131" s="468" t="s">
        <v>438</v>
      </c>
      <c r="V131" s="179"/>
    </row>
    <row r="132" spans="1:22" ht="15">
      <c r="A132" s="335" t="s">
        <v>552</v>
      </c>
      <c r="B132" s="464" t="str">
        <f>VLOOKUP(A132,'Feature Raw Data'!$A$3:$B$3996,2,FALSE)</f>
        <v>Mid Command Preemption</v>
      </c>
      <c r="C132" s="465" t="str">
        <f>VLOOKUP(A132,'Feature Raw Data'!$A$3:$C$3996,3,FALSE)</f>
        <v>P2</v>
      </c>
      <c r="D132" s="466" t="str" cm="1">
        <f t="array" ref="D132">_xlfn.TEXTJOIN("",TRUE,IF(ISNUMBER(SEARCH($A132,'Diags Raw Data'!$A$6:$A$3752)),CONCATENATE('Diags Raw Data'!$H$6:$H$3752,", "),""))</f>
        <v xml:space="preserve">nsdma217.101, </v>
      </c>
      <c r="E132" s="461" t="str">
        <f>VLOOKUP(A132,'Diags Raw Data'!$A$6:$D$3752,4,FALSE)</f>
        <v>Lite-SDMA</v>
      </c>
      <c r="F132" s="337" t="str">
        <f>VLOOKUP(A132,'Feature Raw Data'!$A$3:$E$3996,5,FALSE)</f>
        <v>Legacy</v>
      </c>
      <c r="G132" s="337" t="str">
        <f t="shared" ref="G132:G187" si="18">IF(D132="","No","Yes")</f>
        <v>Yes</v>
      </c>
      <c r="H132" s="337" t="str">
        <f t="shared" ref="H132:H187" si="19">IF(D132="","No","Yes")</f>
        <v>Yes</v>
      </c>
      <c r="I132" s="465"/>
      <c r="J132" s="467"/>
      <c r="K132" s="518"/>
      <c r="L132" s="519"/>
      <c r="M132" s="511" cm="1">
        <f t="array" ref="M132">SUMPRODUCT(--(ISNUMBER(SEARCH($A132,'Diags Raw Data'!$A$6:$A$3752))),--('Diags Raw Data'!$P$6:$P$3752&lt;&gt;"N/A"),'Diags Raw Data'!$Q$6:$Q$3752)</f>
        <v>1</v>
      </c>
      <c r="N132" s="520"/>
      <c r="O132" s="521"/>
      <c r="P132" s="522"/>
      <c r="Q132" s="523"/>
      <c r="R132" s="524"/>
      <c r="S132" s="524"/>
      <c r="T132" s="525"/>
      <c r="U132" s="468" t="s">
        <v>438</v>
      </c>
      <c r="V132" s="179"/>
    </row>
    <row r="133" spans="1:22" ht="15">
      <c r="A133" s="335" t="s">
        <v>555</v>
      </c>
      <c r="B133" s="464" t="str">
        <f>VLOOKUP(A133,'Feature Raw Data'!$A$3:$B$3996,2,FALSE)</f>
        <v>Mid Command Buffer Preemption</v>
      </c>
      <c r="C133" s="465" t="str">
        <f>VLOOKUP(A133,'Feature Raw Data'!$A$3:$C$3996,3,FALSE)</f>
        <v>P2</v>
      </c>
      <c r="D133" s="466" t="str" cm="1">
        <f t="array" ref="D133">_xlfn.TEXTJOIN("",TRUE,IF(ISNUMBER(SEARCH($A133,'Diags Raw Data'!$A$6:$A$3752)),CONCATENATE('Diags Raw Data'!$H$6:$H$3752,", "),""))</f>
        <v xml:space="preserve">nsdma217.101, </v>
      </c>
      <c r="E133" s="461" t="str">
        <f>VLOOKUP(A133,'Diags Raw Data'!$A$6:$D$3752,4,FALSE)</f>
        <v>Lite-SDMA</v>
      </c>
      <c r="F133" s="337" t="str">
        <f>VLOOKUP(A133,'Feature Raw Data'!$A$3:$E$3996,5,FALSE)</f>
        <v>Legacy</v>
      </c>
      <c r="G133" s="337" t="str">
        <f t="shared" si="18"/>
        <v>Yes</v>
      </c>
      <c r="H133" s="337" t="str">
        <f t="shared" si="19"/>
        <v>Yes</v>
      </c>
      <c r="I133" s="465"/>
      <c r="J133" s="467"/>
      <c r="K133" s="518"/>
      <c r="L133" s="519"/>
      <c r="M133" s="511" cm="1">
        <f t="array" ref="M133">SUMPRODUCT(--(ISNUMBER(SEARCH($A133,'Diags Raw Data'!$A$6:$A$3752))),--('Diags Raw Data'!$P$6:$P$3752&lt;&gt;"N/A"),'Diags Raw Data'!$Q$6:$Q$3752)</f>
        <v>1</v>
      </c>
      <c r="N133" s="520"/>
      <c r="O133" s="521"/>
      <c r="P133" s="522"/>
      <c r="Q133" s="523"/>
      <c r="R133" s="524"/>
      <c r="S133" s="524"/>
      <c r="T133" s="525"/>
      <c r="U133" s="468" t="s">
        <v>438</v>
      </c>
      <c r="V133" s="179"/>
    </row>
    <row r="134" spans="1:22" ht="15">
      <c r="A134" s="335" t="s">
        <v>557</v>
      </c>
      <c r="B134" s="464" t="str">
        <f>VLOOKUP(A134,'Feature Raw Data'!$A$3:$B$3996,2,FALSE)</f>
        <v>RB Command Preemption</v>
      </c>
      <c r="C134" s="465" t="str">
        <f>VLOOKUP(A134,'Feature Raw Data'!$A$3:$C$3996,3,FALSE)</f>
        <v>P2</v>
      </c>
      <c r="D134" s="466" t="str" cm="1">
        <f t="array" ref="D134">_xlfn.TEXTJOIN("",TRUE,IF(ISNUMBER(SEARCH($A134,'Diags Raw Data'!$A$6:$A$3752)),CONCATENATE('Diags Raw Data'!$H$6:$H$3752,", "),""))</f>
        <v xml:space="preserve">nsdma217.101-103, </v>
      </c>
      <c r="E134" s="461" t="str">
        <f>VLOOKUP(A134,'Diags Raw Data'!$A$6:$D$3752,4,FALSE)</f>
        <v>Lite-SDMA</v>
      </c>
      <c r="F134" s="337" t="str">
        <f>VLOOKUP(A134,'Feature Raw Data'!$A$3:$E$3996,5,FALSE)</f>
        <v>Legacy</v>
      </c>
      <c r="G134" s="337" t="str">
        <f t="shared" si="18"/>
        <v>Yes</v>
      </c>
      <c r="H134" s="337" t="str">
        <f t="shared" si="19"/>
        <v>Yes</v>
      </c>
      <c r="I134" s="465"/>
      <c r="J134" s="467"/>
      <c r="K134" s="518"/>
      <c r="L134" s="519"/>
      <c r="M134" s="511" cm="1">
        <f t="array" ref="M134">SUMPRODUCT(--(ISNUMBER(SEARCH($A134,'Diags Raw Data'!$A$6:$A$3752))),--('Diags Raw Data'!$P$6:$P$3752&lt;&gt;"N/A"),'Diags Raw Data'!$Q$6:$Q$3752)</f>
        <v>3</v>
      </c>
      <c r="N134" s="520"/>
      <c r="O134" s="521"/>
      <c r="P134" s="522"/>
      <c r="Q134" s="523"/>
      <c r="R134" s="524"/>
      <c r="S134" s="524"/>
      <c r="T134" s="525"/>
      <c r="U134" s="468" t="s">
        <v>438</v>
      </c>
      <c r="V134" s="179"/>
    </row>
    <row r="135" spans="1:22" ht="15">
      <c r="A135" s="335" t="s">
        <v>766</v>
      </c>
      <c r="B135" s="464" t="str">
        <f>VLOOKUP(A135,'Feature Raw Data'!$A$3:$B$3996,2,FALSE)</f>
        <v>Mid-command preemption when time quantum reached</v>
      </c>
      <c r="C135" s="465" t="str">
        <f>VLOOKUP(A135,'Feature Raw Data'!$A$3:$C$3996,3,FALSE)</f>
        <v>P2</v>
      </c>
      <c r="D135" s="466" t="str" cm="1">
        <f t="array" ref="D135">_xlfn.TEXTJOIN("",TRUE,IF(ISNUMBER(SEARCH($A135,'Diags Raw Data'!$A$6:$A$3752)),CONCATENATE('Diags Raw Data'!$H$6:$H$3752,", "),""))</f>
        <v/>
      </c>
      <c r="E135" s="461" t="e">
        <f>VLOOKUP(A135,'Diags Raw Data'!$A$6:$D$3752,4,FALSE)</f>
        <v>#N/A</v>
      </c>
      <c r="F135" s="337" t="str">
        <f>VLOOKUP(A135,'Feature Raw Data'!$A$3:$E$3996,5,FALSE)</f>
        <v>Legacy</v>
      </c>
      <c r="G135" s="337" t="str">
        <f t="shared" si="18"/>
        <v>No</v>
      </c>
      <c r="H135" s="337" t="str">
        <f t="shared" si="19"/>
        <v>No</v>
      </c>
      <c r="I135" s="465"/>
      <c r="J135" s="467"/>
      <c r="K135" s="518"/>
      <c r="L135" s="519"/>
      <c r="M135" s="511" cm="1">
        <f t="array" ref="M135">SUMPRODUCT(--(ISNUMBER(SEARCH($A135,'Diags Raw Data'!$A$6:$A$3752))),--('Diags Raw Data'!$P$6:$P$3752&lt;&gt;"N/A"),'Diags Raw Data'!$Q$6:$Q$3752)</f>
        <v>0</v>
      </c>
      <c r="N135" s="520"/>
      <c r="O135" s="521"/>
      <c r="P135" s="522"/>
      <c r="Q135" s="523"/>
      <c r="R135" s="524"/>
      <c r="S135" s="524"/>
      <c r="T135" s="525"/>
      <c r="U135" s="468" t="s">
        <v>438</v>
      </c>
      <c r="V135" s="179"/>
    </row>
    <row r="136" spans="1:22" ht="15">
      <c r="A136" s="335" t="s">
        <v>561</v>
      </c>
      <c r="B136" s="464" t="str">
        <f>VLOOKUP(A136,'Feature Raw Data'!$A$3:$B$3996,2,FALSE)</f>
        <v>Structure Buffer Copy</v>
      </c>
      <c r="C136" s="465" t="str">
        <f>VLOOKUP(A136,'Feature Raw Data'!$A$3:$C$3996,3,FALSE)</f>
        <v>P2</v>
      </c>
      <c r="D136" s="466" t="str" cm="1">
        <f t="array" ref="D136">_xlfn.TEXTJOIN("",TRUE,IF(ISNUMBER(SEARCH($A136,'Diags Raw Data'!$A$6:$A$3752)),CONCATENATE('Diags Raw Data'!$H$6:$H$3752,", "),""))</f>
        <v xml:space="preserve">nsdma13.101-102, </v>
      </c>
      <c r="E136" s="461" t="str">
        <f>VLOOKUP(A136,'Diags Raw Data'!$A$6:$D$3752,4,FALSE)</f>
        <v>Lite-SDMA</v>
      </c>
      <c r="F136" s="337" t="str">
        <f>VLOOKUP(A136,'Feature Raw Data'!$A$3:$E$3996,5,FALSE)</f>
        <v>Legacy</v>
      </c>
      <c r="G136" s="337" t="str">
        <f t="shared" si="18"/>
        <v>Yes</v>
      </c>
      <c r="H136" s="337" t="str">
        <f t="shared" si="19"/>
        <v>Yes</v>
      </c>
      <c r="I136" s="465"/>
      <c r="J136" s="467"/>
      <c r="K136" s="518"/>
      <c r="L136" s="519"/>
      <c r="M136" s="511" cm="1">
        <f t="array" ref="M136">SUMPRODUCT(--(ISNUMBER(SEARCH($A136,'Diags Raw Data'!$A$6:$A$3752))),--('Diags Raw Data'!$P$6:$P$3752&lt;&gt;"N/A"),'Diags Raw Data'!$Q$6:$Q$3752)</f>
        <v>2</v>
      </c>
      <c r="N136" s="520"/>
      <c r="O136" s="521"/>
      <c r="P136" s="522"/>
      <c r="Q136" s="523"/>
      <c r="R136" s="524"/>
      <c r="S136" s="524"/>
      <c r="T136" s="525"/>
      <c r="U136" s="468" t="s">
        <v>438</v>
      </c>
      <c r="V136" s="179"/>
    </row>
    <row r="137" spans="1:22" ht="15">
      <c r="A137" s="335" t="s">
        <v>563</v>
      </c>
      <c r="B137" s="464" t="str">
        <f>VLOOKUP(A137,'Feature Raw Data'!$A$3:$B$3996,2,FALSE)</f>
        <v>Constant Fill Command</v>
      </c>
      <c r="C137" s="465" t="str">
        <f>VLOOKUP(A137,'Feature Raw Data'!$A$3:$C$3996,3,FALSE)</f>
        <v>P2</v>
      </c>
      <c r="D137" s="466" t="str" cm="1">
        <f t="array" ref="D137">_xlfn.TEXTJOIN("",TRUE,IF(ISNUMBER(SEARCH($A137,'Diags Raw Data'!$A$6:$A$3752)),CONCATENATE('Diags Raw Data'!$H$6:$H$3752,", "),""))</f>
        <v xml:space="preserve">nsdma58.101;nsma59.101, </v>
      </c>
      <c r="E137" s="461" t="str">
        <f>VLOOKUP(A137,'Diags Raw Data'!$A$6:$D$3752,4,FALSE)</f>
        <v>Lite-SDMA</v>
      </c>
      <c r="F137" s="337" t="str">
        <f>VLOOKUP(A137,'Feature Raw Data'!$A$3:$E$3996,5,FALSE)</f>
        <v>Legacy</v>
      </c>
      <c r="G137" s="337" t="str">
        <f t="shared" si="18"/>
        <v>Yes</v>
      </c>
      <c r="H137" s="337" t="str">
        <f t="shared" si="19"/>
        <v>Yes</v>
      </c>
      <c r="I137" s="465"/>
      <c r="J137" s="467"/>
      <c r="K137" s="518"/>
      <c r="L137" s="519"/>
      <c r="M137" s="511" cm="1">
        <f t="array" ref="M137">SUMPRODUCT(--(ISNUMBER(SEARCH($A137,'Diags Raw Data'!$A$6:$A$3752))),--('Diags Raw Data'!$P$6:$P$3752&lt;&gt;"N/A"),'Diags Raw Data'!$Q$6:$Q$3752)</f>
        <v>2</v>
      </c>
      <c r="N137" s="520"/>
      <c r="O137" s="521"/>
      <c r="P137" s="522"/>
      <c r="Q137" s="523"/>
      <c r="R137" s="524"/>
      <c r="S137" s="524"/>
      <c r="T137" s="525"/>
      <c r="U137" s="468" t="s">
        <v>840</v>
      </c>
      <c r="V137" s="179"/>
    </row>
    <row r="138" spans="1:22" ht="15">
      <c r="A138" s="335" t="s">
        <v>566</v>
      </c>
      <c r="B138" s="464" t="str">
        <f>VLOOKUP(A138,'Feature Raw Data'!$A$3:$B$3996,2,FALSE)</f>
        <v>Indirect Buffer Command</v>
      </c>
      <c r="C138" s="465" t="str">
        <f>VLOOKUP(A138,'Feature Raw Data'!$A$3:$C$3996,3,FALSE)</f>
        <v>P2</v>
      </c>
      <c r="D138" s="466" t="str" cm="1">
        <f t="array" ref="D138">_xlfn.TEXTJOIN("",TRUE,IF(ISNUMBER(SEARCH($A138,'Diags Raw Data'!$A$6:$A$3752)),CONCATENATE('Diags Raw Data'!$H$6:$H$3752,", "),""))</f>
        <v xml:space="preserve">nsdma17.101-106, </v>
      </c>
      <c r="E138" s="461" t="str">
        <f>VLOOKUP(A138,'Diags Raw Data'!$A$6:$D$3752,4,FALSE)</f>
        <v>Lite-SDMA</v>
      </c>
      <c r="F138" s="337" t="str">
        <f>VLOOKUP(A138,'Feature Raw Data'!$A$3:$E$3996,5,FALSE)</f>
        <v>Legacy</v>
      </c>
      <c r="G138" s="337" t="str">
        <f t="shared" si="18"/>
        <v>Yes</v>
      </c>
      <c r="H138" s="337" t="str">
        <f t="shared" si="19"/>
        <v>Yes</v>
      </c>
      <c r="I138" s="465"/>
      <c r="J138" s="467"/>
      <c r="K138" s="518"/>
      <c r="L138" s="519"/>
      <c r="M138" s="511" cm="1">
        <f t="array" ref="M138">SUMPRODUCT(--(ISNUMBER(SEARCH($A138,'Diags Raw Data'!$A$6:$A$3752))),--('Diags Raw Data'!$P$6:$P$3752&lt;&gt;"N/A"),'Diags Raw Data'!$Q$6:$Q$3752)</f>
        <v>6</v>
      </c>
      <c r="N138" s="520"/>
      <c r="O138" s="521"/>
      <c r="P138" s="522"/>
      <c r="Q138" s="523"/>
      <c r="R138" s="524"/>
      <c r="S138" s="524"/>
      <c r="T138" s="525"/>
      <c r="U138" s="468" t="s">
        <v>840</v>
      </c>
      <c r="V138" s="179"/>
    </row>
    <row r="139" spans="1:22" ht="15">
      <c r="A139" s="335" t="s">
        <v>569</v>
      </c>
      <c r="B139" s="464" t="str">
        <f>VLOOKUP(A139,'Feature Raw Data'!$A$3:$B$3996,2,FALSE)</f>
        <v>Fence</v>
      </c>
      <c r="C139" s="465" t="str">
        <f>VLOOKUP(A139,'Feature Raw Data'!$A$3:$C$3996,3,FALSE)</f>
        <v>P2</v>
      </c>
      <c r="D139" s="466" t="str" cm="1">
        <f t="array" ref="D139">_xlfn.TEXTJOIN("",TRUE,IF(ISNUMBER(SEARCH($A139,'Diags Raw Data'!$A$6:$A$3752)),CONCATENATE('Diags Raw Data'!$H$6:$H$3752,", "),""))</f>
        <v xml:space="preserve">nsdma175.101;nsdma176.101, </v>
      </c>
      <c r="E139" s="461" t="str">
        <f>VLOOKUP(A139,'Diags Raw Data'!$A$6:$D$3752,4,FALSE)</f>
        <v>Lite-SDMA</v>
      </c>
      <c r="F139" s="337" t="str">
        <f>VLOOKUP(A139,'Feature Raw Data'!$A$3:$E$3996,5,FALSE)</f>
        <v>Legacy</v>
      </c>
      <c r="G139" s="337" t="str">
        <f t="shared" si="18"/>
        <v>Yes</v>
      </c>
      <c r="H139" s="337" t="str">
        <f t="shared" si="19"/>
        <v>Yes</v>
      </c>
      <c r="I139" s="465"/>
      <c r="J139" s="467"/>
      <c r="K139" s="518"/>
      <c r="L139" s="519"/>
      <c r="M139" s="511" cm="1">
        <f t="array" ref="M139">SUMPRODUCT(--(ISNUMBER(SEARCH($A139,'Diags Raw Data'!$A$6:$A$3752))),--('Diags Raw Data'!$P$6:$P$3752&lt;&gt;"N/A"),'Diags Raw Data'!$Q$6:$Q$3752)</f>
        <v>2</v>
      </c>
      <c r="N139" s="520"/>
      <c r="O139" s="521"/>
      <c r="P139" s="522"/>
      <c r="Q139" s="523"/>
      <c r="R139" s="524"/>
      <c r="S139" s="524"/>
      <c r="T139" s="525"/>
      <c r="U139" s="468" t="s">
        <v>840</v>
      </c>
      <c r="V139" s="179"/>
    </row>
    <row r="140" spans="1:22" ht="15">
      <c r="A140" s="335" t="s">
        <v>572</v>
      </c>
      <c r="B140" s="464" t="str">
        <f>VLOOKUP(A140,'Feature Raw Data'!$A$3:$B$3996,2,FALSE)</f>
        <v>Trap</v>
      </c>
      <c r="C140" s="465" t="str">
        <f>VLOOKUP(A140,'Feature Raw Data'!$A$3:$C$3996,3,FALSE)</f>
        <v>P2</v>
      </c>
      <c r="D140" s="466" t="str" cm="1">
        <f t="array" ref="D140">_xlfn.TEXTJOIN("",TRUE,IF(ISNUMBER(SEARCH($A140,'Diags Raw Data'!$A$6:$A$3752)),CONCATENATE('Diags Raw Data'!$H$6:$H$3752,", "),""))</f>
        <v xml:space="preserve">nsdma14.101，nsdma15.101, </v>
      </c>
      <c r="E140" s="461" t="str">
        <f>VLOOKUP(A140,'Diags Raw Data'!$A$6:$D$3752,4,FALSE)</f>
        <v>Lite-SDMA</v>
      </c>
      <c r="F140" s="337" t="str">
        <f>VLOOKUP(A140,'Feature Raw Data'!$A$3:$E$3996,5,FALSE)</f>
        <v>Legacy</v>
      </c>
      <c r="G140" s="337" t="str">
        <f t="shared" si="18"/>
        <v>Yes</v>
      </c>
      <c r="H140" s="337" t="str">
        <f t="shared" si="19"/>
        <v>Yes</v>
      </c>
      <c r="I140" s="465"/>
      <c r="J140" s="467"/>
      <c r="K140" s="518"/>
      <c r="L140" s="519"/>
      <c r="M140" s="511" cm="1">
        <f t="array" ref="M140">SUMPRODUCT(--(ISNUMBER(SEARCH($A140,'Diags Raw Data'!$A$6:$A$3752))),--('Diags Raw Data'!$P$6:$P$3752&lt;&gt;"N/A"),'Diags Raw Data'!$Q$6:$Q$3752)</f>
        <v>2</v>
      </c>
      <c r="N140" s="520"/>
      <c r="O140" s="521"/>
      <c r="P140" s="522"/>
      <c r="Q140" s="523"/>
      <c r="R140" s="524"/>
      <c r="S140" s="524"/>
      <c r="T140" s="525"/>
      <c r="U140" s="468" t="s">
        <v>840</v>
      </c>
      <c r="V140" s="179"/>
    </row>
    <row r="141" spans="1:22" ht="15">
      <c r="A141" s="335" t="s">
        <v>575</v>
      </c>
      <c r="B141" s="464" t="str">
        <f>VLOOKUP(A141,'Feature Raw Data'!$A$3:$B$3996,2,FALSE)</f>
        <v>Memory Increment</v>
      </c>
      <c r="C141" s="465" t="str">
        <f>VLOOKUP(A141,'Feature Raw Data'!$A$3:$C$3996,3,FALSE)</f>
        <v>P2</v>
      </c>
      <c r="D141" s="466" t="str" cm="1">
        <f t="array" ref="D141">_xlfn.TEXTJOIN("",TRUE,IF(ISNUMBER(SEARCH($A141,'Diags Raw Data'!$A$6:$A$3752)),CONCATENATE('Diags Raw Data'!$H$6:$H$3752,", "),""))</f>
        <v xml:space="preserve">nsdma160.101, </v>
      </c>
      <c r="E141" s="461" t="str">
        <f>VLOOKUP(A141,'Diags Raw Data'!$A$6:$D$3752,4,FALSE)</f>
        <v>Lite-SDMA</v>
      </c>
      <c r="F141" s="337" t="str">
        <f>VLOOKUP(A141,'Feature Raw Data'!$A$3:$E$3996,5,FALSE)</f>
        <v>Legacy</v>
      </c>
      <c r="G141" s="337" t="str">
        <f t="shared" si="18"/>
        <v>Yes</v>
      </c>
      <c r="H141" s="337" t="str">
        <f t="shared" si="19"/>
        <v>Yes</v>
      </c>
      <c r="I141" s="465"/>
      <c r="J141" s="467"/>
      <c r="K141" s="518"/>
      <c r="L141" s="519"/>
      <c r="M141" s="511" cm="1">
        <f t="array" ref="M141">SUMPRODUCT(--(ISNUMBER(SEARCH($A141,'Diags Raw Data'!$A$6:$A$3752))),--('Diags Raw Data'!$P$6:$P$3752&lt;&gt;"N/A"),'Diags Raw Data'!$Q$6:$Q$3752)</f>
        <v>1</v>
      </c>
      <c r="N141" s="520"/>
      <c r="O141" s="521"/>
      <c r="P141" s="522"/>
      <c r="Q141" s="523"/>
      <c r="R141" s="524"/>
      <c r="S141" s="524"/>
      <c r="T141" s="525"/>
      <c r="U141" s="468" t="s">
        <v>438</v>
      </c>
      <c r="V141" s="179"/>
    </row>
    <row r="142" spans="1:22" ht="15">
      <c r="A142" s="335" t="s">
        <v>578</v>
      </c>
      <c r="B142" s="464" t="str">
        <f>VLOOKUP(A142,'Feature Raw Data'!$A$3:$B$3996,2,FALSE)</f>
        <v>Poll Memory/Register</v>
      </c>
      <c r="C142" s="465" t="str">
        <f>VLOOKUP(A142,'Feature Raw Data'!$A$3:$C$3996,3,FALSE)</f>
        <v>P2</v>
      </c>
      <c r="D142" s="466" t="str" cm="1">
        <f t="array" ref="D142">_xlfn.TEXTJOIN("",TRUE,IF(ISNUMBER(SEARCH($A142,'Diags Raw Data'!$A$6:$A$3752)),CONCATENATE('Diags Raw Data'!$H$6:$H$3752,", "),""))</f>
        <v xml:space="preserve">nsdma16.101-110, </v>
      </c>
      <c r="E142" s="461" t="str">
        <f>VLOOKUP(A142,'Diags Raw Data'!$A$6:$D$3752,4,FALSE)</f>
        <v>Lite-SDMA</v>
      </c>
      <c r="F142" s="337" t="str">
        <f>VLOOKUP(A142,'Feature Raw Data'!$A$3:$E$3996,5,FALSE)</f>
        <v>Legacy</v>
      </c>
      <c r="G142" s="337" t="str">
        <f t="shared" si="18"/>
        <v>Yes</v>
      </c>
      <c r="H142" s="337" t="str">
        <f t="shared" si="19"/>
        <v>Yes</v>
      </c>
      <c r="I142" s="465"/>
      <c r="J142" s="467"/>
      <c r="K142" s="518"/>
      <c r="L142" s="519"/>
      <c r="M142" s="511" cm="1">
        <f t="array" ref="M142">SUMPRODUCT(--(ISNUMBER(SEARCH($A142,'Diags Raw Data'!$A$6:$A$3752))),--('Diags Raw Data'!$P$6:$P$3752&lt;&gt;"N/A"),'Diags Raw Data'!$Q$6:$Q$3752)</f>
        <v>10</v>
      </c>
      <c r="N142" s="520"/>
      <c r="O142" s="521"/>
      <c r="P142" s="522"/>
      <c r="Q142" s="523"/>
      <c r="R142" s="524"/>
      <c r="S142" s="524"/>
      <c r="T142" s="525"/>
      <c r="U142" s="468" t="s">
        <v>438</v>
      </c>
      <c r="V142" s="179"/>
    </row>
    <row r="143" spans="1:22" ht="15">
      <c r="A143" s="335" t="s">
        <v>581</v>
      </c>
      <c r="B143" s="464" t="str">
        <f>VLOOKUP(A143,'Feature Raw Data'!$A$3:$B$3996,2,FALSE)</f>
        <v>Poll Register Write Memory</v>
      </c>
      <c r="C143" s="465" t="str">
        <f>VLOOKUP(A143,'Feature Raw Data'!$A$3:$C$3996,3,FALSE)</f>
        <v>P2</v>
      </c>
      <c r="D143" s="466" t="str" cm="1">
        <f t="array" ref="D143">_xlfn.TEXTJOIN("",TRUE,IF(ISNUMBER(SEARCH($A143,'Diags Raw Data'!$A$6:$A$3752)),CONCATENATE('Diags Raw Data'!$H$6:$H$3752,", "),""))</f>
        <v xml:space="preserve">nsdma16.103, </v>
      </c>
      <c r="E143" s="461" t="str">
        <f>VLOOKUP(A143,'Diags Raw Data'!$A$6:$D$3752,4,FALSE)</f>
        <v>Lite-SDMA</v>
      </c>
      <c r="F143" s="337" t="str">
        <f>VLOOKUP(A143,'Feature Raw Data'!$A$3:$E$3996,5,FALSE)</f>
        <v>Legacy</v>
      </c>
      <c r="G143" s="337" t="str">
        <f t="shared" si="18"/>
        <v>Yes</v>
      </c>
      <c r="H143" s="337" t="str">
        <f t="shared" si="19"/>
        <v>Yes</v>
      </c>
      <c r="I143" s="465"/>
      <c r="J143" s="467"/>
      <c r="K143" s="518"/>
      <c r="L143" s="519"/>
      <c r="M143" s="511" cm="1">
        <f t="array" ref="M143">SUMPRODUCT(--(ISNUMBER(SEARCH($A143,'Diags Raw Data'!$A$6:$A$3752))),--('Diags Raw Data'!$P$6:$P$3752&lt;&gt;"N/A"),'Diags Raw Data'!$Q$6:$Q$3752)</f>
        <v>1</v>
      </c>
      <c r="N143" s="520"/>
      <c r="O143" s="521"/>
      <c r="P143" s="522"/>
      <c r="Q143" s="523"/>
      <c r="R143" s="524"/>
      <c r="S143" s="524"/>
      <c r="T143" s="525"/>
      <c r="U143" s="468" t="s">
        <v>438</v>
      </c>
      <c r="V143" s="179"/>
    </row>
    <row r="144" spans="1:22" ht="15">
      <c r="A144" s="335" t="s">
        <v>772</v>
      </c>
      <c r="B144" s="464" t="str">
        <f>VLOOKUP(A144,'Feature Raw Data'!$A$3:$B$3996,2,FALSE)</f>
        <v>Poll Dbit Write Memory</v>
      </c>
      <c r="C144" s="465" t="str">
        <f>VLOOKUP(A144,'Feature Raw Data'!$A$3:$C$3996,3,FALSE)</f>
        <v>P2</v>
      </c>
      <c r="D144" s="466" t="str" cm="1">
        <f t="array" ref="D144">_xlfn.TEXTJOIN("",TRUE,IF(ISNUMBER(SEARCH($A144,'Diags Raw Data'!$A$6:$A$3752)),CONCATENATE('Diags Raw Data'!$H$6:$H$3752,", "),""))</f>
        <v/>
      </c>
      <c r="E144" s="461" t="e">
        <f>VLOOKUP(A144,'Diags Raw Data'!$A$6:$D$3752,4,FALSE)</f>
        <v>#N/A</v>
      </c>
      <c r="F144" s="337" t="str">
        <f>VLOOKUP(A144,'Feature Raw Data'!$A$3:$E$3996,5,FALSE)</f>
        <v>Legacy</v>
      </c>
      <c r="G144" s="337" t="str">
        <f t="shared" si="18"/>
        <v>No</v>
      </c>
      <c r="H144" s="337" t="str">
        <f t="shared" si="19"/>
        <v>No</v>
      </c>
      <c r="I144" s="465"/>
      <c r="J144" s="467"/>
      <c r="K144" s="518"/>
      <c r="L144" s="519"/>
      <c r="M144" s="511" cm="1">
        <f t="array" ref="M144">SUMPRODUCT(--(ISNUMBER(SEARCH($A144,'Diags Raw Data'!$A$6:$A$3752))),--('Diags Raw Data'!$P$6:$P$3752&lt;&gt;"N/A"),'Diags Raw Data'!$Q$6:$Q$3752)</f>
        <v>0</v>
      </c>
      <c r="N144" s="520"/>
      <c r="O144" s="521"/>
      <c r="P144" s="522"/>
      <c r="Q144" s="523"/>
      <c r="R144" s="524"/>
      <c r="S144" s="524"/>
      <c r="T144" s="525"/>
      <c r="U144" s="468" t="s">
        <v>438</v>
      </c>
      <c r="V144" s="179"/>
    </row>
    <row r="145" spans="1:22" ht="15">
      <c r="A145" s="335" t="s">
        <v>584</v>
      </c>
      <c r="B145" s="464" t="str">
        <f>VLOOKUP(A145,'Feature Raw Data'!$A$3:$B$3996,2,FALSE)</f>
        <v>Conditional Execution</v>
      </c>
      <c r="C145" s="465" t="str">
        <f>VLOOKUP(A145,'Feature Raw Data'!$A$3:$C$3996,3,FALSE)</f>
        <v>P2</v>
      </c>
      <c r="D145" s="466" t="str" cm="1">
        <f t="array" ref="D145">_xlfn.TEXTJOIN("",TRUE,IF(ISNUMBER(SEARCH($A145,'Diags Raw Data'!$A$6:$A$3752)),CONCATENATE('Diags Raw Data'!$H$6:$H$3752,", "),""))</f>
        <v xml:space="preserve">nsdma26.101;nsdma27.101, </v>
      </c>
      <c r="E145" s="461" t="str">
        <f>VLOOKUP(A145,'Diags Raw Data'!$A$6:$D$3752,4,FALSE)</f>
        <v>Lite-SDMA</v>
      </c>
      <c r="F145" s="337" t="str">
        <f>VLOOKUP(A145,'Feature Raw Data'!$A$3:$E$3996,5,FALSE)</f>
        <v>Legacy</v>
      </c>
      <c r="G145" s="337" t="str">
        <f t="shared" si="18"/>
        <v>Yes</v>
      </c>
      <c r="H145" s="337" t="str">
        <f t="shared" si="19"/>
        <v>Yes</v>
      </c>
      <c r="I145" s="465"/>
      <c r="J145" s="467"/>
      <c r="K145" s="518"/>
      <c r="L145" s="519"/>
      <c r="M145" s="511" cm="1">
        <f t="array" ref="M145">SUMPRODUCT(--(ISNUMBER(SEARCH($A145,'Diags Raw Data'!$A$6:$A$3752))),--('Diags Raw Data'!$P$6:$P$3752&lt;&gt;"N/A"),'Diags Raw Data'!$Q$6:$Q$3752)</f>
        <v>2</v>
      </c>
      <c r="N145" s="520"/>
      <c r="O145" s="521"/>
      <c r="P145" s="522"/>
      <c r="Q145" s="523"/>
      <c r="R145" s="524"/>
      <c r="S145" s="524"/>
      <c r="T145" s="525"/>
      <c r="U145" s="468" t="s">
        <v>396</v>
      </c>
      <c r="V145" s="179"/>
    </row>
    <row r="146" spans="1:22" ht="15">
      <c r="A146" s="335" t="s">
        <v>587</v>
      </c>
      <c r="B146" s="464" t="str">
        <f>VLOOKUP(A146,'Feature Raw Data'!$A$3:$B$3996,2,FALSE)</f>
        <v>Predicated Execution</v>
      </c>
      <c r="C146" s="465" t="str">
        <f>VLOOKUP(A146,'Feature Raw Data'!$A$3:$C$3996,3,FALSE)</f>
        <v>P2</v>
      </c>
      <c r="D146" s="466" t="str" cm="1">
        <f t="array" ref="D146">_xlfn.TEXTJOIN("",TRUE,IF(ISNUMBER(SEARCH($A146,'Diags Raw Data'!$A$6:$A$3752)),CONCATENATE('Diags Raw Data'!$H$6:$H$3752,", "),""))</f>
        <v xml:space="preserve">nsdma182.101;nsdma183.101, </v>
      </c>
      <c r="E146" s="461" t="str">
        <f>VLOOKUP(A146,'Diags Raw Data'!$A$6:$D$3752,4,FALSE)</f>
        <v>Lite-SDMA</v>
      </c>
      <c r="F146" s="337" t="str">
        <f>VLOOKUP(A146,'Feature Raw Data'!$A$3:$E$3996,5,FALSE)</f>
        <v>Legacy</v>
      </c>
      <c r="G146" s="337" t="str">
        <f t="shared" si="18"/>
        <v>Yes</v>
      </c>
      <c r="H146" s="337" t="str">
        <f t="shared" si="19"/>
        <v>Yes</v>
      </c>
      <c r="I146" s="465"/>
      <c r="J146" s="467"/>
      <c r="K146" s="518"/>
      <c r="L146" s="519"/>
      <c r="M146" s="511" cm="1">
        <f t="array" ref="M146">SUMPRODUCT(--(ISNUMBER(SEARCH($A146,'Diags Raw Data'!$A$6:$A$3752))),--('Diags Raw Data'!$P$6:$P$3752&lt;&gt;"N/A"),'Diags Raw Data'!$Q$6:$Q$3752)</f>
        <v>2</v>
      </c>
      <c r="N146" s="520"/>
      <c r="O146" s="521"/>
      <c r="P146" s="522"/>
      <c r="Q146" s="523"/>
      <c r="R146" s="524"/>
      <c r="S146" s="524"/>
      <c r="T146" s="525"/>
      <c r="U146" s="468" t="s">
        <v>438</v>
      </c>
      <c r="V146" s="179"/>
    </row>
    <row r="147" spans="1:22" ht="15">
      <c r="A147" s="335" t="s">
        <v>590</v>
      </c>
      <c r="B147" s="464" t="str">
        <f>VLOOKUP(A147,'Feature Raw Data'!$A$3:$B$3996,2,FALSE)</f>
        <v>Atomic Command</v>
      </c>
      <c r="C147" s="465" t="str">
        <f>VLOOKUP(A147,'Feature Raw Data'!$A$3:$C$3996,3,FALSE)</f>
        <v>P2</v>
      </c>
      <c r="D147" s="466" t="str" cm="1">
        <f t="array" ref="D147">_xlfn.TEXTJOIN("",TRUE,IF(ISNUMBER(SEARCH($A147,'Diags Raw Data'!$A$6:$A$3752)),CONCATENATE('Diags Raw Data'!$H$6:$H$3752,", "),""))</f>
        <v xml:space="preserve">nsdma177.101;nsdma178.101;nsdma179.101, </v>
      </c>
      <c r="E147" s="461" t="str">
        <f>VLOOKUP(A147,'Diags Raw Data'!$A$6:$D$3752,4,FALSE)</f>
        <v>Lite-SDMA</v>
      </c>
      <c r="F147" s="337" t="str">
        <f>VLOOKUP(A147,'Feature Raw Data'!$A$3:$E$3996,5,FALSE)</f>
        <v>Legacy</v>
      </c>
      <c r="G147" s="337" t="str">
        <f t="shared" si="18"/>
        <v>Yes</v>
      </c>
      <c r="H147" s="337" t="str">
        <f t="shared" si="19"/>
        <v>Yes</v>
      </c>
      <c r="I147" s="465"/>
      <c r="J147" s="467"/>
      <c r="K147" s="518"/>
      <c r="L147" s="519"/>
      <c r="M147" s="511" cm="1">
        <f t="array" ref="M147">SUMPRODUCT(--(ISNUMBER(SEARCH($A147,'Diags Raw Data'!$A$6:$A$3752))),--('Diags Raw Data'!$P$6:$P$3752&lt;&gt;"N/A"),'Diags Raw Data'!$Q$6:$Q$3752)</f>
        <v>3</v>
      </c>
      <c r="N147" s="520"/>
      <c r="O147" s="521"/>
      <c r="P147" s="522"/>
      <c r="Q147" s="523"/>
      <c r="R147" s="524"/>
      <c r="S147" s="524"/>
      <c r="T147" s="525"/>
      <c r="U147" s="468" t="s">
        <v>438</v>
      </c>
      <c r="V147" s="179"/>
    </row>
    <row r="148" spans="1:22" ht="15">
      <c r="A148" s="335" t="s">
        <v>593</v>
      </c>
      <c r="B148" s="464" t="str">
        <f>VLOOKUP(A148,'Feature Raw Data'!$A$3:$B$3996,2,FALSE)</f>
        <v>VM_INVALIDATION</v>
      </c>
      <c r="C148" s="465" t="str">
        <f>VLOOKUP(A148,'Feature Raw Data'!$A$3:$C$3996,3,FALSE)</f>
        <v>P2</v>
      </c>
      <c r="D148" s="466" t="str" cm="1">
        <f t="array" ref="D148">_xlfn.TEXTJOIN("",TRUE,IF(ISNUMBER(SEARCH($A148,'Diags Raw Data'!$A$6:$A$3752)),CONCATENATE('Diags Raw Data'!$H$6:$H$3752,", "),""))</f>
        <v xml:space="preserve">nsdma220.21-37, </v>
      </c>
      <c r="E148" s="461" t="str">
        <f>VLOOKUP(A148,'Diags Raw Data'!$A$6:$D$3752,4,FALSE)</f>
        <v>Lite-SDMA</v>
      </c>
      <c r="F148" s="337" t="str">
        <f>VLOOKUP(A148,'Feature Raw Data'!$A$3:$E$3996,5,FALSE)</f>
        <v>Legacy</v>
      </c>
      <c r="G148" s="337" t="str">
        <f t="shared" si="18"/>
        <v>Yes</v>
      </c>
      <c r="H148" s="337" t="str">
        <f t="shared" si="19"/>
        <v>Yes</v>
      </c>
      <c r="I148" s="465"/>
      <c r="J148" s="467"/>
      <c r="K148" s="518"/>
      <c r="L148" s="519"/>
      <c r="M148" s="511" cm="1">
        <f t="array" ref="M148">SUMPRODUCT(--(ISNUMBER(SEARCH($A148,'Diags Raw Data'!$A$6:$A$3752))),--('Diags Raw Data'!$P$6:$P$3752&lt;&gt;"N/A"),'Diags Raw Data'!$Q$6:$Q$3752)</f>
        <v>17</v>
      </c>
      <c r="N148" s="520"/>
      <c r="O148" s="521"/>
      <c r="P148" s="522"/>
      <c r="Q148" s="523"/>
      <c r="R148" s="524"/>
      <c r="S148" s="524"/>
      <c r="T148" s="525"/>
      <c r="U148" s="468" t="s">
        <v>438</v>
      </c>
      <c r="V148" s="179"/>
    </row>
    <row r="149" spans="1:22" ht="15">
      <c r="A149" s="335" t="s">
        <v>596</v>
      </c>
      <c r="B149" s="464" t="str">
        <f>VLOOKUP(A149,'Feature Raw Data'!$A$3:$B$3996,2,FALSE)</f>
        <v>SRBM Write</v>
      </c>
      <c r="C149" s="465" t="str">
        <f>VLOOKUP(A149,'Feature Raw Data'!$A$3:$C$3996,3,FALSE)</f>
        <v>P2</v>
      </c>
      <c r="D149" s="466" t="str" cm="1">
        <f t="array" ref="D149">_xlfn.TEXTJOIN("",TRUE,IF(ISNUMBER(SEARCH($A149,'Diags Raw Data'!$A$6:$A$3752)),CONCATENATE('Diags Raw Data'!$H$6:$H$3752,", "),""))</f>
        <v xml:space="preserve">nsdma120.101-106, </v>
      </c>
      <c r="E149" s="461" t="str">
        <f>VLOOKUP(A149,'Diags Raw Data'!$A$6:$D$3752,4,FALSE)</f>
        <v>Lite-SDMA</v>
      </c>
      <c r="F149" s="337" t="str">
        <f>VLOOKUP(A149,'Feature Raw Data'!$A$3:$E$3996,5,FALSE)</f>
        <v>Legacy</v>
      </c>
      <c r="G149" s="337" t="str">
        <f t="shared" si="18"/>
        <v>Yes</v>
      </c>
      <c r="H149" s="337" t="str">
        <f t="shared" si="19"/>
        <v>Yes</v>
      </c>
      <c r="I149" s="465"/>
      <c r="J149" s="467"/>
      <c r="K149" s="518"/>
      <c r="L149" s="519"/>
      <c r="M149" s="511" cm="1">
        <f t="array" ref="M149">SUMPRODUCT(--(ISNUMBER(SEARCH($A149,'Diags Raw Data'!$A$6:$A$3752))),--('Diags Raw Data'!$P$6:$P$3752&lt;&gt;"N/A"),'Diags Raw Data'!$Q$6:$Q$3752)</f>
        <v>6</v>
      </c>
      <c r="N149" s="520"/>
      <c r="O149" s="521"/>
      <c r="P149" s="522"/>
      <c r="Q149" s="523"/>
      <c r="R149" s="524"/>
      <c r="S149" s="524"/>
      <c r="T149" s="525"/>
      <c r="U149" s="468" t="s">
        <v>438</v>
      </c>
      <c r="V149" s="179"/>
    </row>
    <row r="150" spans="1:22" ht="15">
      <c r="A150" s="335" t="s">
        <v>599</v>
      </c>
      <c r="B150" s="464" t="str">
        <f>VLOOKUP(A150,'Feature Raw Data'!$A$3:$B$3996,2,FALSE)</f>
        <v>Burst NOP</v>
      </c>
      <c r="C150" s="465" t="str">
        <f>VLOOKUP(A150,'Feature Raw Data'!$A$3:$C$3996,3,FALSE)</f>
        <v>P2</v>
      </c>
      <c r="D150" s="466" t="str" cm="1">
        <f t="array" ref="D150">_xlfn.TEXTJOIN("",TRUE,IF(ISNUMBER(SEARCH($A150,'Diags Raw Data'!$A$6:$A$3752)),CONCATENATE('Diags Raw Data'!$H$6:$H$3752,", "),""))</f>
        <v xml:space="preserve">nsdma223.101-102, </v>
      </c>
      <c r="E150" s="461" t="str">
        <f>VLOOKUP(A150,'Diags Raw Data'!$A$6:$D$3752,4,FALSE)</f>
        <v>Lite-SDMA</v>
      </c>
      <c r="F150" s="337" t="str">
        <f>VLOOKUP(A150,'Feature Raw Data'!$A$3:$E$3996,5,FALSE)</f>
        <v>Legacy</v>
      </c>
      <c r="G150" s="337" t="str">
        <f t="shared" si="18"/>
        <v>Yes</v>
      </c>
      <c r="H150" s="337" t="str">
        <f t="shared" si="19"/>
        <v>Yes</v>
      </c>
      <c r="I150" s="465"/>
      <c r="J150" s="467"/>
      <c r="K150" s="518"/>
      <c r="L150" s="519"/>
      <c r="M150" s="511" cm="1">
        <f t="array" ref="M150">SUMPRODUCT(--(ISNUMBER(SEARCH($A150,'Diags Raw Data'!$A$6:$A$3752))),--('Diags Raw Data'!$P$6:$P$3752&lt;&gt;"N/A"),'Diags Raw Data'!$Q$6:$Q$3752)</f>
        <v>2</v>
      </c>
      <c r="N150" s="520"/>
      <c r="O150" s="521"/>
      <c r="P150" s="522"/>
      <c r="Q150" s="523"/>
      <c r="R150" s="524"/>
      <c r="S150" s="524"/>
      <c r="T150" s="525"/>
      <c r="U150" s="468" t="s">
        <v>438</v>
      </c>
      <c r="V150" s="179"/>
    </row>
    <row r="151" spans="1:22" ht="15">
      <c r="A151" s="335" t="s">
        <v>602</v>
      </c>
      <c r="B151" s="464" t="str">
        <f>VLOOKUP(A151,'Feature Raw Data'!$A$3:$B$3996,2,FALSE)</f>
        <v>Timestamp</v>
      </c>
      <c r="C151" s="465" t="str">
        <f>VLOOKUP(A151,'Feature Raw Data'!$A$3:$C$3996,3,FALSE)</f>
        <v>P2</v>
      </c>
      <c r="D151" s="466" t="str" cm="1">
        <f t="array" ref="D151">_xlfn.TEXTJOIN("",TRUE,IF(ISNUMBER(SEARCH($A151,'Diags Raw Data'!$A$6:$A$3752)),CONCATENATE('Diags Raw Data'!$H$6:$H$3752,", "),""))</f>
        <v xml:space="preserve">nsdma56.101;nsdma57.101, </v>
      </c>
      <c r="E151" s="461" t="str">
        <f>VLOOKUP(A151,'Diags Raw Data'!$A$6:$D$3752,4,FALSE)</f>
        <v>Lite-SDMA</v>
      </c>
      <c r="F151" s="337" t="str">
        <f>VLOOKUP(A151,'Feature Raw Data'!$A$3:$E$3996,5,FALSE)</f>
        <v>Legacy</v>
      </c>
      <c r="G151" s="337" t="str">
        <f t="shared" si="18"/>
        <v>Yes</v>
      </c>
      <c r="H151" s="337" t="str">
        <f t="shared" si="19"/>
        <v>Yes</v>
      </c>
      <c r="I151" s="465"/>
      <c r="J151" s="467"/>
      <c r="K151" s="518"/>
      <c r="L151" s="519"/>
      <c r="M151" s="511" cm="1">
        <f t="array" ref="M151">SUMPRODUCT(--(ISNUMBER(SEARCH($A151,'Diags Raw Data'!$A$6:$A$3752))),--('Diags Raw Data'!$P$6:$P$3752&lt;&gt;"N/A"),'Diags Raw Data'!$Q$6:$Q$3752)</f>
        <v>2</v>
      </c>
      <c r="N151" s="520"/>
      <c r="O151" s="521"/>
      <c r="P151" s="522"/>
      <c r="Q151" s="523"/>
      <c r="R151" s="524"/>
      <c r="S151" s="524"/>
      <c r="T151" s="525"/>
      <c r="U151" s="468" t="s">
        <v>438</v>
      </c>
      <c r="V151" s="179"/>
    </row>
    <row r="152" spans="1:22" ht="15">
      <c r="A152" s="335" t="s">
        <v>605</v>
      </c>
      <c r="B152" s="464" t="str">
        <f>VLOOKUP(A152,'Feature Raw Data'!$A$3:$B$3996,2,FALSE)</f>
        <v>Generate PTE/PDE</v>
      </c>
      <c r="C152" s="465" t="str">
        <f>VLOOKUP(A152,'Feature Raw Data'!$A$3:$C$3996,3,FALSE)</f>
        <v>P2</v>
      </c>
      <c r="D152" s="466" t="str" cm="1">
        <f t="array" ref="D152">_xlfn.TEXTJOIN("",TRUE,IF(ISNUMBER(SEARCH($A152,'Diags Raw Data'!$A$6:$A$3752)),CONCATENATE('Diags Raw Data'!$H$6:$H$3752,", "),""))</f>
        <v xml:space="preserve">nsdma30.101, </v>
      </c>
      <c r="E152" s="461" t="str">
        <f>VLOOKUP(A152,'Diags Raw Data'!$A$6:$D$3752,4,FALSE)</f>
        <v>Lite-SDMA</v>
      </c>
      <c r="F152" s="337" t="str">
        <f>VLOOKUP(A152,'Feature Raw Data'!$A$3:$E$3996,5,FALSE)</f>
        <v>Legacy</v>
      </c>
      <c r="G152" s="337" t="str">
        <f t="shared" si="18"/>
        <v>Yes</v>
      </c>
      <c r="H152" s="337" t="str">
        <f t="shared" si="19"/>
        <v>Yes</v>
      </c>
      <c r="I152" s="465"/>
      <c r="J152" s="467"/>
      <c r="K152" s="518"/>
      <c r="L152" s="519"/>
      <c r="M152" s="511" cm="1">
        <f t="array" ref="M152">SUMPRODUCT(--(ISNUMBER(SEARCH($A152,'Diags Raw Data'!$A$6:$A$3752))),--('Diags Raw Data'!$P$6:$P$3752&lt;&gt;"N/A"),'Diags Raw Data'!$Q$6:$Q$3752)</f>
        <v>1</v>
      </c>
      <c r="N152" s="520"/>
      <c r="O152" s="521"/>
      <c r="P152" s="522"/>
      <c r="Q152" s="523"/>
      <c r="R152" s="524"/>
      <c r="S152" s="524"/>
      <c r="T152" s="525"/>
      <c r="U152" s="468" t="s">
        <v>438</v>
      </c>
      <c r="V152" s="179"/>
    </row>
    <row r="153" spans="1:22" ht="15">
      <c r="A153" s="335" t="s">
        <v>608</v>
      </c>
      <c r="B153" s="464" t="str">
        <f>VLOOKUP(A153,'Feature Raw Data'!$A$3:$B$3996,2,FALSE)</f>
        <v>Copy Mask PTE/PDE</v>
      </c>
      <c r="C153" s="465" t="str">
        <f>VLOOKUP(A153,'Feature Raw Data'!$A$3:$C$3996,3,FALSE)</f>
        <v>P2</v>
      </c>
      <c r="D153" s="466" t="str" cm="1">
        <f t="array" ref="D153">_xlfn.TEXTJOIN("",TRUE,IF(ISNUMBER(SEARCH($A153,'Diags Raw Data'!$A$6:$A$3752)),CONCATENATE('Diags Raw Data'!$H$6:$H$3752,", "),""))</f>
        <v xml:space="preserve">nsmda202.101;nsdma201.101, </v>
      </c>
      <c r="E153" s="461" t="str">
        <f>VLOOKUP(A153,'Diags Raw Data'!$A$6:$D$3752,4,FALSE)</f>
        <v>Lite-SDMA</v>
      </c>
      <c r="F153" s="337" t="str">
        <f>VLOOKUP(A153,'Feature Raw Data'!$A$3:$E$3996,5,FALSE)</f>
        <v>Legacy</v>
      </c>
      <c r="G153" s="337" t="str">
        <f t="shared" si="18"/>
        <v>Yes</v>
      </c>
      <c r="H153" s="337" t="str">
        <f t="shared" si="19"/>
        <v>Yes</v>
      </c>
      <c r="I153" s="465"/>
      <c r="J153" s="467"/>
      <c r="K153" s="518"/>
      <c r="L153" s="519"/>
      <c r="M153" s="511" cm="1">
        <f t="array" ref="M153">SUMPRODUCT(--(ISNUMBER(SEARCH($A153,'Diags Raw Data'!$A$6:$A$3752))),--('Diags Raw Data'!$P$6:$P$3752&lt;&gt;"N/A"),'Diags Raw Data'!$Q$6:$Q$3752)</f>
        <v>2</v>
      </c>
      <c r="N153" s="520"/>
      <c r="O153" s="521"/>
      <c r="P153" s="522"/>
      <c r="Q153" s="523"/>
      <c r="R153" s="524"/>
      <c r="S153" s="524"/>
      <c r="T153" s="525"/>
      <c r="U153" s="468" t="s">
        <v>301</v>
      </c>
      <c r="V153" s="179"/>
    </row>
    <row r="154" spans="1:22" ht="15">
      <c r="A154" s="335" t="s">
        <v>611</v>
      </c>
      <c r="B154" s="464" t="str">
        <f>VLOOKUP(A154,'Feature Raw Data'!$A$3:$B$3996,2,FALSE)</f>
        <v>RMW PTE/PDE</v>
      </c>
      <c r="C154" s="465" t="str">
        <f>VLOOKUP(A154,'Feature Raw Data'!$A$3:$C$3996,3,FALSE)</f>
        <v>P2</v>
      </c>
      <c r="D154" s="466" t="str" cm="1">
        <f t="array" ref="D154">_xlfn.TEXTJOIN("",TRUE,IF(ISNUMBER(SEARCH($A154,'Diags Raw Data'!$A$6:$A$3752)),CONCATENATE('Diags Raw Data'!$H$6:$H$3752,", "),""))</f>
        <v xml:space="preserve">nsmda203.101, </v>
      </c>
      <c r="E154" s="461" t="str">
        <f>VLOOKUP(A154,'Diags Raw Data'!$A$6:$D$3752,4,FALSE)</f>
        <v>Lite-SDMA</v>
      </c>
      <c r="F154" s="337" t="str">
        <f>VLOOKUP(A154,'Feature Raw Data'!$A$3:$E$3996,5,FALSE)</f>
        <v>Legacy</v>
      </c>
      <c r="G154" s="337" t="str">
        <f t="shared" si="18"/>
        <v>Yes</v>
      </c>
      <c r="H154" s="337" t="str">
        <f t="shared" si="19"/>
        <v>Yes</v>
      </c>
      <c r="I154" s="465"/>
      <c r="J154" s="467"/>
      <c r="K154" s="518"/>
      <c r="L154" s="519"/>
      <c r="M154" s="511" cm="1">
        <f t="array" ref="M154">SUMPRODUCT(--(ISNUMBER(SEARCH($A154,'Diags Raw Data'!$A$6:$A$3752))),--('Diags Raw Data'!$P$6:$P$3752&lt;&gt;"N/A"),'Diags Raw Data'!$Q$6:$Q$3752)</f>
        <v>1</v>
      </c>
      <c r="N154" s="520"/>
      <c r="O154" s="521"/>
      <c r="P154" s="522"/>
      <c r="Q154" s="523"/>
      <c r="R154" s="524"/>
      <c r="S154" s="524"/>
      <c r="T154" s="525"/>
      <c r="U154" s="468" t="s">
        <v>301</v>
      </c>
      <c r="V154" s="179"/>
    </row>
    <row r="155" spans="1:22" ht="15">
      <c r="A155" s="335" t="s">
        <v>776</v>
      </c>
      <c r="B155" s="464" t="str">
        <f>VLOOKUP(A155,'Feature Raw Data'!$A$3:$B$3996,2,FALSE)</f>
        <v xml:space="preserve">Freeze(LSDMA) </v>
      </c>
      <c r="C155" s="465" t="str">
        <f>VLOOKUP(A155,'Feature Raw Data'!$A$3:$C$3996,3,FALSE)</f>
        <v>P2</v>
      </c>
      <c r="D155" s="466" t="str" cm="1">
        <f t="array" ref="D155">_xlfn.TEXTJOIN("",TRUE,IF(ISNUMBER(SEARCH($A155,'Diags Raw Data'!$A$6:$A$3752)),CONCATENATE('Diags Raw Data'!$H$6:$H$3752,", "),""))</f>
        <v/>
      </c>
      <c r="E155" s="461" t="e">
        <f>VLOOKUP(A155,'Diags Raw Data'!$A$6:$D$3752,4,FALSE)</f>
        <v>#N/A</v>
      </c>
      <c r="F155" s="337" t="str">
        <f>VLOOKUP(A155,'Feature Raw Data'!$A$3:$E$3996,5,FALSE)</f>
        <v>Legacy</v>
      </c>
      <c r="G155" s="337" t="str">
        <f t="shared" si="18"/>
        <v>No</v>
      </c>
      <c r="H155" s="337" t="str">
        <f t="shared" si="19"/>
        <v>No</v>
      </c>
      <c r="I155" s="465"/>
      <c r="J155" s="467"/>
      <c r="K155" s="518"/>
      <c r="L155" s="519"/>
      <c r="M155" s="511" cm="1">
        <f t="array" ref="M155">SUMPRODUCT(--(ISNUMBER(SEARCH($A155,'Diags Raw Data'!$A$6:$A$3752))),--('Diags Raw Data'!$P$6:$P$3752&lt;&gt;"N/A"),'Diags Raw Data'!$Q$6:$Q$3752)</f>
        <v>0</v>
      </c>
      <c r="N155" s="520"/>
      <c r="O155" s="521"/>
      <c r="P155" s="522"/>
      <c r="Q155" s="523"/>
      <c r="R155" s="524"/>
      <c r="S155" s="524"/>
      <c r="T155" s="525"/>
      <c r="U155" s="468" t="s">
        <v>301</v>
      </c>
      <c r="V155" s="179"/>
    </row>
    <row r="156" spans="1:22" ht="15">
      <c r="A156" s="335" t="s">
        <v>614</v>
      </c>
      <c r="B156" s="464" t="str">
        <f>VLOOKUP(A156,'Feature Raw Data'!$A$3:$B$3996,2,FALSE)</f>
        <v>TMZ Support(LSDMA)</v>
      </c>
      <c r="C156" s="465" t="str">
        <f>VLOOKUP(A156,'Feature Raw Data'!$A$3:$C$3996,3,FALSE)</f>
        <v>P2</v>
      </c>
      <c r="D156" s="466" t="str" cm="1">
        <f t="array" ref="D156">_xlfn.TEXTJOIN("",TRUE,IF(ISNUMBER(SEARCH($A156,'Diags Raw Data'!$A$6:$A$3752)),CONCATENATE('Diags Raw Data'!$H$6:$H$3752,", "),""))</f>
        <v xml:space="preserve">nsdma152-nsdma159, </v>
      </c>
      <c r="E156" s="461" t="str">
        <f>VLOOKUP(A156,'Diags Raw Data'!$A$6:$D$3752,4,FALSE)</f>
        <v>Lite-SDMA</v>
      </c>
      <c r="F156" s="337" t="str">
        <f>VLOOKUP(A156,'Feature Raw Data'!$A$3:$E$3996,5,FALSE)</f>
        <v>Legacy</v>
      </c>
      <c r="G156" s="337" t="str">
        <f t="shared" si="18"/>
        <v>Yes</v>
      </c>
      <c r="H156" s="337" t="str">
        <f t="shared" si="19"/>
        <v>Yes</v>
      </c>
      <c r="I156" s="465"/>
      <c r="J156" s="467"/>
      <c r="K156" s="518"/>
      <c r="L156" s="519"/>
      <c r="M156" s="511" cm="1">
        <f t="array" ref="M156">SUMPRODUCT(--(ISNUMBER(SEARCH($A156,'Diags Raw Data'!$A$6:$A$3752))),--('Diags Raw Data'!$P$6:$P$3752&lt;&gt;"N/A"),'Diags Raw Data'!$Q$6:$Q$3752)</f>
        <v>0</v>
      </c>
      <c r="N156" s="520"/>
      <c r="O156" s="521"/>
      <c r="P156" s="522"/>
      <c r="Q156" s="523"/>
      <c r="R156" s="524"/>
      <c r="S156" s="524"/>
      <c r="T156" s="525"/>
      <c r="U156" s="468" t="s">
        <v>301</v>
      </c>
      <c r="V156" s="179"/>
    </row>
    <row r="157" spans="1:22" ht="15">
      <c r="A157" s="335" t="s">
        <v>619</v>
      </c>
      <c r="B157" s="464" t="str">
        <f>VLOOKUP(A157,'Feature Raw Data'!$A$3:$B$3996,2,FALSE)</f>
        <v xml:space="preserve">Host Access LSDMA scratch ram (LSDMA) </v>
      </c>
      <c r="C157" s="465" t="str">
        <f>VLOOKUP(A157,'Feature Raw Data'!$A$3:$C$3996,3,FALSE)</f>
        <v>P2</v>
      </c>
      <c r="D157" s="466" t="str" cm="1">
        <f t="array" ref="D157">_xlfn.TEXTJOIN("",TRUE,IF(ISNUMBER(SEARCH($A157,'Diags Raw Data'!$A$6:$A$3752)),CONCATENATE('Diags Raw Data'!$H$6:$H$3752,", "),""))</f>
        <v xml:space="preserve">nsdma81.101, </v>
      </c>
      <c r="E157" s="461" t="str">
        <f>VLOOKUP(A157,'Diags Raw Data'!$A$6:$D$3752,4,FALSE)</f>
        <v>Lite-SDMA</v>
      </c>
      <c r="F157" s="337" t="str">
        <f>VLOOKUP(A157,'Feature Raw Data'!$A$3:$E$3996,5,FALSE)</f>
        <v>Legacy</v>
      </c>
      <c r="G157" s="337" t="str">
        <f t="shared" si="18"/>
        <v>Yes</v>
      </c>
      <c r="H157" s="337" t="str">
        <f t="shared" si="19"/>
        <v>Yes</v>
      </c>
      <c r="I157" s="465"/>
      <c r="J157" s="467"/>
      <c r="K157" s="518"/>
      <c r="L157" s="519"/>
      <c r="M157" s="511" cm="1">
        <f t="array" ref="M157">SUMPRODUCT(--(ISNUMBER(SEARCH($A157,'Diags Raw Data'!$A$6:$A$3752))),--('Diags Raw Data'!$P$6:$P$3752&lt;&gt;"N/A"),'Diags Raw Data'!$Q$6:$Q$3752)</f>
        <v>1</v>
      </c>
      <c r="N157" s="520"/>
      <c r="O157" s="521"/>
      <c r="P157" s="522"/>
      <c r="Q157" s="523"/>
      <c r="R157" s="524"/>
      <c r="S157" s="524"/>
      <c r="T157" s="525"/>
      <c r="U157" s="468" t="s">
        <v>301</v>
      </c>
      <c r="V157" s="179"/>
    </row>
    <row r="158" spans="1:22" ht="15">
      <c r="A158" s="335" t="s">
        <v>622</v>
      </c>
      <c r="B158" s="464" t="str">
        <f>VLOOKUP(A158,'Feature Raw Data'!$A$3:$B$3996,2,FALSE)</f>
        <v>AQL Support (LSDMA)</v>
      </c>
      <c r="C158" s="465" t="str">
        <f>VLOOKUP(A158,'Feature Raw Data'!$A$3:$C$3996,3,FALSE)</f>
        <v>P2</v>
      </c>
      <c r="D158" s="466" t="str" cm="1">
        <f t="array" ref="D158">_xlfn.TEXTJOIN("",TRUE,IF(ISNUMBER(SEARCH($A158,'Diags Raw Data'!$A$6:$A$3752)),CONCATENATE('Diags Raw Data'!$H$6:$H$3752,", "),""))</f>
        <v xml:space="preserve">nsdma214.101, </v>
      </c>
      <c r="E158" s="461" t="str">
        <f>VLOOKUP(A158,'Diags Raw Data'!$A$6:$D$3752,4,FALSE)</f>
        <v>Lite-SDMA</v>
      </c>
      <c r="F158" s="337" t="str">
        <f>VLOOKUP(A158,'Feature Raw Data'!$A$3:$E$3996,5,FALSE)</f>
        <v>Legacy</v>
      </c>
      <c r="G158" s="337" t="str">
        <f t="shared" si="18"/>
        <v>Yes</v>
      </c>
      <c r="H158" s="337" t="str">
        <f t="shared" si="19"/>
        <v>Yes</v>
      </c>
      <c r="I158" s="465"/>
      <c r="J158" s="467"/>
      <c r="K158" s="518"/>
      <c r="L158" s="519"/>
      <c r="M158" s="511" cm="1">
        <f t="array" ref="M158">SUMPRODUCT(--(ISNUMBER(SEARCH($A158,'Diags Raw Data'!$A$6:$A$3752))),--('Diags Raw Data'!$P$6:$P$3752&lt;&gt;"N/A"),'Diags Raw Data'!$Q$6:$Q$3752)</f>
        <v>1</v>
      </c>
      <c r="N158" s="520"/>
      <c r="O158" s="521"/>
      <c r="P158" s="522"/>
      <c r="Q158" s="523"/>
      <c r="R158" s="524"/>
      <c r="S158" s="524"/>
      <c r="T158" s="525"/>
      <c r="U158" s="468" t="s">
        <v>301</v>
      </c>
      <c r="V158" s="179"/>
    </row>
    <row r="159" spans="1:22" ht="15">
      <c r="A159" s="335" t="s">
        <v>626</v>
      </c>
      <c r="B159" s="464" t="str">
        <f>VLOOKUP(A159,'Feature Raw Data'!$A$3:$B$3996,2,FALSE)</f>
        <v>(LSDMA) 2 HW Queue</v>
      </c>
      <c r="C159" s="465" t="str">
        <f>VLOOKUP(A159,'Feature Raw Data'!$A$3:$C$3996,3,FALSE)</f>
        <v>P2</v>
      </c>
      <c r="D159" s="466" t="str" cm="1">
        <f t="array" ref="D159">_xlfn.TEXTJOIN("",TRUE,IF(ISNUMBER(SEARCH($A159,'Diags Raw Data'!$A$6:$A$3752)),CONCATENATE('Diags Raw Data'!$H$6:$H$3752,", "),""))</f>
        <v xml:space="preserve">nsdma1.101, </v>
      </c>
      <c r="E159" s="461" t="str">
        <f>VLOOKUP(A159,'Diags Raw Data'!$A$6:$D$3752,4,FALSE)</f>
        <v>Lite-SDMA</v>
      </c>
      <c r="F159" s="337" t="str">
        <f>VLOOKUP(A159,'Feature Raw Data'!$A$3:$E$3996,5,FALSE)</f>
        <v>Delta</v>
      </c>
      <c r="G159" s="337" t="str">
        <f t="shared" si="18"/>
        <v>Yes</v>
      </c>
      <c r="H159" s="337" t="str">
        <f t="shared" si="19"/>
        <v>Yes</v>
      </c>
      <c r="I159" s="465"/>
      <c r="J159" s="467"/>
      <c r="K159" s="518"/>
      <c r="L159" s="519"/>
      <c r="M159" s="511" cm="1">
        <f t="array" ref="M159">SUMPRODUCT(--(ISNUMBER(SEARCH($A159,'Diags Raw Data'!$A$6:$A$3752))),--('Diags Raw Data'!$P$6:$P$3752&lt;&gt;"N/A"),'Diags Raw Data'!$Q$6:$Q$3752)</f>
        <v>1</v>
      </c>
      <c r="N159" s="520"/>
      <c r="O159" s="521"/>
      <c r="P159" s="522"/>
      <c r="Q159" s="523"/>
      <c r="R159" s="524"/>
      <c r="S159" s="524"/>
      <c r="T159" s="525"/>
      <c r="U159" s="468" t="s">
        <v>301</v>
      </c>
      <c r="V159" s="179"/>
    </row>
    <row r="160" spans="1:22" ht="15">
      <c r="A160" s="335" t="s">
        <v>628</v>
      </c>
      <c r="B160" s="464" t="str">
        <f>VLOOKUP(A160,'Feature Raw Data'!$A$3:$B$3996,2,FALSE)</f>
        <v>(LSDMA) PIO Queue support</v>
      </c>
      <c r="C160" s="465" t="str">
        <f>VLOOKUP(A160,'Feature Raw Data'!$A$3:$C$3996,3,FALSE)</f>
        <v>P2</v>
      </c>
      <c r="D160" s="466" t="str" cm="1">
        <f t="array" ref="D160">_xlfn.TEXTJOIN("",TRUE,IF(ISNUMBER(SEARCH($A160,'Diags Raw Data'!$A$6:$A$3752)),CONCATENATE('Diags Raw Data'!$H$6:$H$3752,", "),""))</f>
        <v xml:space="preserve">nsdma212.1-2, </v>
      </c>
      <c r="E160" s="461" t="str">
        <f>VLOOKUP(A160,'Diags Raw Data'!$A$6:$D$3752,4,FALSE)</f>
        <v>Lite-SDMA</v>
      </c>
      <c r="F160" s="337" t="str">
        <f>VLOOKUP(A160,'Feature Raw Data'!$A$3:$E$3996,5,FALSE)</f>
        <v>Delta</v>
      </c>
      <c r="G160" s="337" t="str">
        <f t="shared" si="18"/>
        <v>Yes</v>
      </c>
      <c r="H160" s="337" t="str">
        <f t="shared" si="19"/>
        <v>Yes</v>
      </c>
      <c r="I160" s="465"/>
      <c r="J160" s="467"/>
      <c r="K160" s="518"/>
      <c r="L160" s="519"/>
      <c r="M160" s="511" cm="1">
        <f t="array" ref="M160">SUMPRODUCT(--(ISNUMBER(SEARCH($A160,'Diags Raw Data'!$A$6:$A$3752))),--('Diags Raw Data'!$P$6:$P$3752&lt;&gt;"N/A"),'Diags Raw Data'!$Q$6:$Q$3752)</f>
        <v>2</v>
      </c>
      <c r="N160" s="520"/>
      <c r="O160" s="521"/>
      <c r="P160" s="522"/>
      <c r="Q160" s="523"/>
      <c r="R160" s="524"/>
      <c r="S160" s="524"/>
      <c r="T160" s="525"/>
      <c r="U160" s="468" t="s">
        <v>301</v>
      </c>
      <c r="V160" s="179"/>
    </row>
    <row r="161" spans="1:22" ht="15">
      <c r="A161" s="335" t="s">
        <v>778</v>
      </c>
      <c r="B161" s="464" t="str">
        <f>VLOOKUP(A161,'Feature Raw Data'!$A$3:$B$3996,2,FALSE)</f>
        <v>Support 3-5 cycle SRAM LS recover time</v>
      </c>
      <c r="C161" s="465" t="str">
        <f>VLOOKUP(A161,'Feature Raw Data'!$A$3:$C$3996,3,FALSE)</f>
        <v>P2</v>
      </c>
      <c r="D161" s="466" t="str" cm="1">
        <f t="array" ref="D161">_xlfn.TEXTJOIN("",TRUE,IF(ISNUMBER(SEARCH($A161,'Diags Raw Data'!$A$6:$A$3752)),CONCATENATE('Diags Raw Data'!$H$6:$H$3752,", "),""))</f>
        <v/>
      </c>
      <c r="E161" s="461" t="e">
        <f>VLOOKUP(A161,'Diags Raw Data'!$A$6:$D$3752,4,FALSE)</f>
        <v>#N/A</v>
      </c>
      <c r="F161" s="337" t="str">
        <f>VLOOKUP(A161,'Feature Raw Data'!$A$3:$E$3996,5,FALSE)</f>
        <v>Delta</v>
      </c>
      <c r="G161" s="337" t="s">
        <v>848</v>
      </c>
      <c r="H161" s="337" t="str">
        <f t="shared" si="19"/>
        <v>No</v>
      </c>
      <c r="I161" s="465"/>
      <c r="J161" s="467"/>
      <c r="K161" s="518"/>
      <c r="L161" s="519"/>
      <c r="M161" s="511" cm="1">
        <f t="array" ref="M161">SUMPRODUCT(--(ISNUMBER(SEARCH($A161,'Diags Raw Data'!$A$6:$A$3752))),--('Diags Raw Data'!$P$6:$P$3752&lt;&gt;"N/A"),'Diags Raw Data'!$Q$6:$Q$3752)</f>
        <v>0</v>
      </c>
      <c r="N161" s="520"/>
      <c r="O161" s="521"/>
      <c r="P161" s="522"/>
      <c r="Q161" s="523"/>
      <c r="R161" s="524"/>
      <c r="S161" s="524"/>
      <c r="T161" s="525"/>
      <c r="U161" s="468" t="s">
        <v>301</v>
      </c>
      <c r="V161" s="179"/>
    </row>
    <row r="162" spans="1:22" ht="15">
      <c r="A162" s="335" t="s">
        <v>779</v>
      </c>
      <c r="B162" s="464" t="str">
        <f>VLOOKUP(A162,'Feature Raw Data'!$A$3:$B$3996,2,FALSE)</f>
        <v>Change LSDMA's interrupt SourceID/RingID</v>
      </c>
      <c r="C162" s="465" t="str">
        <f>VLOOKUP(A162,'Feature Raw Data'!$A$3:$C$3996,3,FALSE)</f>
        <v>P2</v>
      </c>
      <c r="D162" s="466" t="str" cm="1">
        <f t="array" ref="D162">_xlfn.TEXTJOIN("",TRUE,IF(ISNUMBER(SEARCH($A162,'Diags Raw Data'!$A$6:$A$3752)),CONCATENATE('Diags Raw Data'!$H$6:$H$3752,", "),""))</f>
        <v/>
      </c>
      <c r="E162" s="461" t="e">
        <f>VLOOKUP(A162,'Diags Raw Data'!$A$6:$D$3752,4,FALSE)</f>
        <v>#N/A</v>
      </c>
      <c r="F162" s="337" t="str">
        <f>VLOOKUP(A162,'Feature Raw Data'!$A$3:$E$3996,5,FALSE)</f>
        <v>Delta</v>
      </c>
      <c r="G162" s="337" t="str">
        <f t="shared" si="18"/>
        <v>No</v>
      </c>
      <c r="H162" s="337" t="str">
        <f t="shared" si="19"/>
        <v>No</v>
      </c>
      <c r="I162" s="465"/>
      <c r="J162" s="467"/>
      <c r="K162" s="518"/>
      <c r="L162" s="519"/>
      <c r="M162" s="511" cm="1">
        <f t="array" ref="M162">SUMPRODUCT(--(ISNUMBER(SEARCH($A162,'Diags Raw Data'!$A$6:$A$3752))),--('Diags Raw Data'!$P$6:$P$3752&lt;&gt;"N/A"),'Diags Raw Data'!$Q$6:$Q$3752)</f>
        <v>0</v>
      </c>
      <c r="N162" s="520"/>
      <c r="O162" s="521"/>
      <c r="P162" s="522"/>
      <c r="Q162" s="523"/>
      <c r="R162" s="524"/>
      <c r="S162" s="524"/>
      <c r="T162" s="525"/>
      <c r="U162" s="468" t="s">
        <v>438</v>
      </c>
      <c r="V162" s="179"/>
    </row>
    <row r="163" spans="1:22" ht="15">
      <c r="A163" s="335" t="s">
        <v>781</v>
      </c>
      <c r="B163" s="464" t="str">
        <f>VLOOKUP(A163,'Feature Raw Data'!$A$3:$B$3996,2,FALSE)</f>
        <v>RAS: support poison data propagation/consumption</v>
      </c>
      <c r="C163" s="465" t="str">
        <f>VLOOKUP(A163,'Feature Raw Data'!$A$3:$C$3996,3,FALSE)</f>
        <v>P2</v>
      </c>
      <c r="D163" s="466" t="str" cm="1">
        <f t="array" ref="D163">_xlfn.TEXTJOIN("",TRUE,IF(ISNUMBER(SEARCH($A163,'Diags Raw Data'!$A$6:$A$3752)),CONCATENATE('Diags Raw Data'!$H$6:$H$3752,", "),""))</f>
        <v/>
      </c>
      <c r="E163" s="461" t="e">
        <f>VLOOKUP(A163,'Diags Raw Data'!$A$6:$D$3752,4,FALSE)</f>
        <v>#N/A</v>
      </c>
      <c r="F163" s="337" t="str">
        <f>VLOOKUP(A163,'Feature Raw Data'!$A$3:$E$3996,5,FALSE)</f>
        <v>Delta</v>
      </c>
      <c r="G163" s="337" t="str">
        <f t="shared" si="18"/>
        <v>No</v>
      </c>
      <c r="H163" s="337" t="str">
        <f t="shared" si="19"/>
        <v>No</v>
      </c>
      <c r="I163" s="465"/>
      <c r="J163" s="467"/>
      <c r="K163" s="518"/>
      <c r="L163" s="519"/>
      <c r="M163" s="511" cm="1">
        <f t="array" ref="M163">SUMPRODUCT(--(ISNUMBER(SEARCH($A163,'Diags Raw Data'!$A$6:$A$3752))),--('Diags Raw Data'!$P$6:$P$3752&lt;&gt;"N/A"),'Diags Raw Data'!$Q$6:$Q$3752)</f>
        <v>0</v>
      </c>
      <c r="N163" s="520"/>
      <c r="O163" s="521"/>
      <c r="P163" s="522"/>
      <c r="Q163" s="523"/>
      <c r="R163" s="524"/>
      <c r="S163" s="524"/>
      <c r="T163" s="525"/>
      <c r="U163" s="468" t="s">
        <v>438</v>
      </c>
      <c r="V163" s="179"/>
    </row>
    <row r="164" spans="1:22" ht="15">
      <c r="A164" s="335" t="s">
        <v>782</v>
      </c>
      <c r="B164" s="464" t="str">
        <f>VLOOKUP(A164,'Feature Raw Data'!$A$3:$B$3996,2,FALSE)</f>
        <v>F32 clock MGCG</v>
      </c>
      <c r="C164" s="465" t="str">
        <f>VLOOKUP(A164,'Feature Raw Data'!$A$3:$C$3996,3,FALSE)</f>
        <v>P2</v>
      </c>
      <c r="D164" s="466" t="str" cm="1">
        <f t="array" ref="D164">_xlfn.TEXTJOIN("",TRUE,IF(ISNUMBER(SEARCH($A164,'Diags Raw Data'!$A$6:$A$3752)),CONCATENATE('Diags Raw Data'!$H$6:$H$3752,", "),""))</f>
        <v/>
      </c>
      <c r="E164" s="461" t="e">
        <f>VLOOKUP(A164,'Diags Raw Data'!$A$6:$D$3752,4,FALSE)</f>
        <v>#N/A</v>
      </c>
      <c r="F164" s="337" t="str">
        <f>VLOOKUP(A164,'Feature Raw Data'!$A$3:$E$3996,5,FALSE)</f>
        <v>Delta</v>
      </c>
      <c r="G164" s="337" t="str">
        <f t="shared" si="18"/>
        <v>No</v>
      </c>
      <c r="H164" s="337" t="str">
        <f t="shared" si="19"/>
        <v>No</v>
      </c>
      <c r="I164" s="465"/>
      <c r="J164" s="467"/>
      <c r="K164" s="518"/>
      <c r="L164" s="519"/>
      <c r="M164" s="511" cm="1">
        <f t="array" ref="M164">SUMPRODUCT(--(ISNUMBER(SEARCH($A164,'Diags Raw Data'!$A$6:$A$3752))),--('Diags Raw Data'!$P$6:$P$3752&lt;&gt;"N/A"),'Diags Raw Data'!$Q$6:$Q$3752)</f>
        <v>0</v>
      </c>
      <c r="N164" s="520"/>
      <c r="O164" s="521"/>
      <c r="P164" s="522"/>
      <c r="Q164" s="523"/>
      <c r="R164" s="524"/>
      <c r="S164" s="524"/>
      <c r="T164" s="525"/>
      <c r="U164" s="468" t="s">
        <v>849</v>
      </c>
      <c r="V164" s="179"/>
    </row>
    <row r="165" spans="1:22" ht="15">
      <c r="A165" s="335" t="s">
        <v>785</v>
      </c>
      <c r="B165" s="464" t="str">
        <f>VLOOKUP(A165,'Feature Raw Data'!$A$3:$B$3996,2,FALSE)</f>
        <v>PGMEM (HDP)</v>
      </c>
      <c r="C165" s="465" t="str">
        <f>VLOOKUP(A165,'Feature Raw Data'!$A$3:$C$3996,3,FALSE)</f>
        <v>P2</v>
      </c>
      <c r="D165" s="466" t="str" cm="1">
        <f t="array" ref="D165">_xlfn.TEXTJOIN("",TRUE,IF(ISNUMBER(SEARCH($A165,'Diags Raw Data'!$A$6:$A$3752)),CONCATENATE('Diags Raw Data'!$H$6:$H$3752,", "),""))</f>
        <v/>
      </c>
      <c r="E165" s="461" t="e">
        <f>VLOOKUP(A165,'Diags Raw Data'!$A$6:$D$3752,4,FALSE)</f>
        <v>#N/A</v>
      </c>
      <c r="F165" s="337" t="str">
        <f>VLOOKUP(A165,'Feature Raw Data'!$A$3:$E$3996,5,FALSE)</f>
        <v>Legacy</v>
      </c>
      <c r="G165" s="337" t="str">
        <f t="shared" si="18"/>
        <v>No</v>
      </c>
      <c r="H165" s="337" t="str">
        <f t="shared" si="19"/>
        <v>No</v>
      </c>
      <c r="I165" s="465"/>
      <c r="J165" s="467"/>
      <c r="K165" s="518"/>
      <c r="L165" s="519"/>
      <c r="M165" s="511" cm="1">
        <f t="array" ref="M165">SUMPRODUCT(--(ISNUMBER(SEARCH($A165,'Diags Raw Data'!$A$6:$A$3752))),--('Diags Raw Data'!$P$6:$P$3752&lt;&gt;"N/A"),'Diags Raw Data'!$Q$6:$Q$3752)</f>
        <v>0</v>
      </c>
      <c r="N165" s="520"/>
      <c r="O165" s="521"/>
      <c r="P165" s="522"/>
      <c r="Q165" s="523"/>
      <c r="R165" s="524"/>
      <c r="S165" s="524"/>
      <c r="T165" s="525"/>
      <c r="U165" s="468" t="s">
        <v>396</v>
      </c>
      <c r="V165" s="179"/>
    </row>
    <row r="166" spans="1:22" ht="16.5">
      <c r="A166" s="335" t="s">
        <v>787</v>
      </c>
      <c r="B166" s="464" t="str">
        <f>VLOOKUP(A166,'Feature Raw Data'!$A$3:$B$3996,2,FALSE)</f>
        <v>Atomic Command (HDP)</v>
      </c>
      <c r="C166" s="465" t="str">
        <f>VLOOKUP(A166,'Feature Raw Data'!$A$3:$C$3996,3,FALSE)</f>
        <v>P2</v>
      </c>
      <c r="D166" s="466" t="str" cm="1">
        <f t="array" ref="D166">_xlfn.TEXTJOIN("",TRUE,IF(ISNUMBER(SEARCH($A166,'Diags Raw Data'!$A$6:$A$3752)),CONCATENATE('Diags Raw Data'!$H$6:$H$3752,", "),""))</f>
        <v/>
      </c>
      <c r="E166" s="461" t="e">
        <f>VLOOKUP(A166,'Diags Raw Data'!$A$6:$D$3752,4,FALSE)</f>
        <v>#N/A</v>
      </c>
      <c r="F166" s="337" t="str">
        <f>VLOOKUP(A166,'Feature Raw Data'!$A$3:$E$3996,5,FALSE)</f>
        <v>Legacy</v>
      </c>
      <c r="G166" s="337" t="s">
        <v>31</v>
      </c>
      <c r="H166" s="337" t="str">
        <f t="shared" si="19"/>
        <v>No</v>
      </c>
      <c r="I166" s="465"/>
      <c r="J166" s="467"/>
      <c r="K166" s="518"/>
      <c r="L166" s="519"/>
      <c r="M166" s="511" cm="1">
        <f t="array" ref="M166">SUMPRODUCT(--(ISNUMBER(SEARCH($A166,'Diags Raw Data'!$A$6:$A$3752))),--('Diags Raw Data'!$P$6:$P$3752&lt;&gt;"N/A"),'Diags Raw Data'!$Q$6:$Q$3752)</f>
        <v>0</v>
      </c>
      <c r="N166" s="520"/>
      <c r="O166" s="521"/>
      <c r="P166" s="522"/>
      <c r="Q166" s="523"/>
      <c r="R166" s="524"/>
      <c r="S166" s="524"/>
      <c r="T166" s="525"/>
      <c r="U166" s="468" t="s">
        <v>44</v>
      </c>
      <c r="V166" s="571" t="s">
        <v>826</v>
      </c>
    </row>
    <row r="167" spans="1:22" ht="15">
      <c r="A167" s="335" t="s">
        <v>631</v>
      </c>
      <c r="B167" s="464" t="str">
        <f>VLOOKUP(A167,'Feature Raw Data'!$A$3:$B$3996,2,FALSE)</f>
        <v>Host read</v>
      </c>
      <c r="C167" s="465" t="str">
        <f>VLOOKUP(A167,'Feature Raw Data'!$A$3:$C$3996,3,FALSE)</f>
        <v>P2</v>
      </c>
      <c r="D167" s="466" t="str" cm="1">
        <f t="array" ref="D167">_xlfn.TEXTJOIN("",TRUE,IF(ISNUMBER(SEARCH($A167,'Diags Raw Data'!$A$6:$A$3752)),CONCATENATE('Diags Raw Data'!$H$6:$H$3752,", "),""))</f>
        <v xml:space="preserve">hdp2.1-12, </v>
      </c>
      <c r="E167" s="461" t="str">
        <f>VLOOKUP(A167,'Diags Raw Data'!$A$6:$D$3752,4,FALSE)</f>
        <v>HDP</v>
      </c>
      <c r="F167" s="337" t="str">
        <f>VLOOKUP(A167,'Feature Raw Data'!$A$3:$E$3996,5,FALSE)</f>
        <v>Legacy</v>
      </c>
      <c r="G167" s="337" t="s">
        <v>31</v>
      </c>
      <c r="H167" s="337" t="s">
        <v>31</v>
      </c>
      <c r="I167" s="465"/>
      <c r="J167" s="467"/>
      <c r="K167" s="518"/>
      <c r="L167" s="519"/>
      <c r="M167" s="511" cm="1">
        <f t="array" ref="M167">SUMPRODUCT(--(ISNUMBER(SEARCH($A167,'Diags Raw Data'!$A$6:$A$3752))),--('Diags Raw Data'!$P$6:$P$3752&lt;&gt;"N/A"),'Diags Raw Data'!$Q$6:$Q$3752)</f>
        <v>12</v>
      </c>
      <c r="N167" s="520"/>
      <c r="O167" s="521"/>
      <c r="P167" s="522"/>
      <c r="Q167" s="523"/>
      <c r="R167" s="524"/>
      <c r="S167" s="524"/>
      <c r="T167" s="525"/>
      <c r="U167" s="468" t="s">
        <v>849</v>
      </c>
      <c r="V167" s="179"/>
    </row>
    <row r="168" spans="1:22" ht="15">
      <c r="A168" s="335" t="s">
        <v>636</v>
      </c>
      <c r="B168" s="464" t="str">
        <f>VLOOKUP(A168,'Feature Raw Data'!$A$3:$B$3996,2,FALSE)</f>
        <v>Host write</v>
      </c>
      <c r="C168" s="465" t="str">
        <f>VLOOKUP(A168,'Feature Raw Data'!$A$3:$C$3996,3,FALSE)</f>
        <v>P2</v>
      </c>
      <c r="D168" s="466" t="str" cm="1">
        <f t="array" ref="D168">_xlfn.TEXTJOIN("",TRUE,IF(ISNUMBER(SEARCH($A168,'Diags Raw Data'!$A$6:$A$3752)),CONCATENATE('Diags Raw Data'!$H$6:$H$3752,", "),""))</f>
        <v xml:space="preserve">hdp1.1-12, </v>
      </c>
      <c r="E168" s="461" t="str">
        <f>VLOOKUP(A168,'Diags Raw Data'!$A$6:$D$3752,4,FALSE)</f>
        <v>HDP</v>
      </c>
      <c r="F168" s="337" t="str">
        <f>VLOOKUP(A168,'Feature Raw Data'!$A$3:$E$3996,5,FALSE)</f>
        <v>Legacy</v>
      </c>
      <c r="G168" s="337" t="s">
        <v>31</v>
      </c>
      <c r="H168" s="337" t="s">
        <v>31</v>
      </c>
      <c r="I168" s="465"/>
      <c r="J168" s="467"/>
      <c r="K168" s="518"/>
      <c r="L168" s="519"/>
      <c r="M168" s="511" cm="1">
        <f t="array" ref="M168">SUMPRODUCT(--(ISNUMBER(SEARCH($A168,'Diags Raw Data'!$A$6:$A$3752))),--('Diags Raw Data'!$P$6:$P$3752&lt;&gt;"N/A"),'Diags Raw Data'!$Q$6:$Q$3752)</f>
        <v>12</v>
      </c>
      <c r="N168" s="520"/>
      <c r="O168" s="521"/>
      <c r="P168" s="522"/>
      <c r="Q168" s="523"/>
      <c r="R168" s="524"/>
      <c r="S168" s="524"/>
      <c r="T168" s="525"/>
      <c r="U168" s="468"/>
      <c r="V168" s="740"/>
    </row>
    <row r="169" spans="1:22" ht="16.5">
      <c r="A169" s="335" t="s">
        <v>639</v>
      </c>
      <c r="B169" s="464" t="str">
        <f>VLOOKUP(A169,'Feature Raw Data'!$A$3:$B$3996,2,FALSE)</f>
        <v>HDP RAW Coherency</v>
      </c>
      <c r="C169" s="465" t="str">
        <f>VLOOKUP(A169,'Feature Raw Data'!$A$3:$C$3996,3,FALSE)</f>
        <v>P2</v>
      </c>
      <c r="D169" s="466" t="str" cm="1">
        <f t="array" ref="D169">_xlfn.TEXTJOIN("",TRUE,IF(ISNUMBER(SEARCH($A169,'Diags Raw Data'!$A$6:$A$3752)),CONCATENATE('Diags Raw Data'!$H$6:$H$3752,", "),""))</f>
        <v xml:space="preserve">hdp12.1-4, </v>
      </c>
      <c r="E169" s="461" t="str">
        <f>VLOOKUP(A169,'Diags Raw Data'!$A$6:$D$3752,4,FALSE)</f>
        <v>HDP</v>
      </c>
      <c r="F169" s="337" t="str">
        <f>VLOOKUP(A169,'Feature Raw Data'!$A$3:$E$3996,5,FALSE)</f>
        <v>Legacy</v>
      </c>
      <c r="G169" s="337" t="str">
        <f t="shared" si="18"/>
        <v>Yes</v>
      </c>
      <c r="H169" s="337" t="str">
        <f t="shared" si="19"/>
        <v>Yes</v>
      </c>
      <c r="I169" s="465"/>
      <c r="J169" s="467"/>
      <c r="K169" s="518"/>
      <c r="L169" s="519"/>
      <c r="M169" s="511" cm="1">
        <f t="array" ref="M169">SUMPRODUCT(--(ISNUMBER(SEARCH($A169,'Diags Raw Data'!$A$6:$A$3752))),--('Diags Raw Data'!$P$6:$P$3752&lt;&gt;"N/A"),'Diags Raw Data'!$Q$6:$Q$3752)</f>
        <v>4</v>
      </c>
      <c r="N169" s="520"/>
      <c r="O169" s="521"/>
      <c r="P169" s="522"/>
      <c r="Q169" s="523"/>
      <c r="R169" s="524"/>
      <c r="S169" s="524"/>
      <c r="T169" s="525"/>
      <c r="U169" s="468" t="s">
        <v>44</v>
      </c>
      <c r="V169" s="571" t="s">
        <v>846</v>
      </c>
    </row>
    <row r="170" spans="1:22" ht="16.5">
      <c r="A170" s="335" t="s">
        <v>642</v>
      </c>
      <c r="B170" s="464" t="str">
        <f>VLOOKUP(A170,'Feature Raw Data'!$A$3:$B$3996,2,FALSE)</f>
        <v>HDP Cache Stress</v>
      </c>
      <c r="C170" s="465" t="str">
        <f>VLOOKUP(A170,'Feature Raw Data'!$A$3:$C$3996,3,FALSE)</f>
        <v>P2</v>
      </c>
      <c r="D170" s="466" t="str" cm="1">
        <f t="array" ref="D170">_xlfn.TEXTJOIN("",TRUE,IF(ISNUMBER(SEARCH($A170,'Diags Raw Data'!$A$6:$A$3752)),CONCATENATE('Diags Raw Data'!$H$6:$H$3752,", "),""))</f>
        <v xml:space="preserve">hdp11.1-4, </v>
      </c>
      <c r="E170" s="461" t="str">
        <f>VLOOKUP(A170,'Diags Raw Data'!$A$6:$D$3752,4,FALSE)</f>
        <v>HDP</v>
      </c>
      <c r="F170" s="337" t="str">
        <f>VLOOKUP(A170,'Feature Raw Data'!$A$3:$E$3996,5,FALSE)</f>
        <v>Legacy</v>
      </c>
      <c r="G170" s="337" t="str">
        <f t="shared" si="18"/>
        <v>Yes</v>
      </c>
      <c r="H170" s="337" t="str">
        <f t="shared" si="19"/>
        <v>Yes</v>
      </c>
      <c r="I170" s="465"/>
      <c r="J170" s="467"/>
      <c r="K170" s="518"/>
      <c r="L170" s="519"/>
      <c r="M170" s="511" cm="1">
        <f t="array" ref="M170">SUMPRODUCT(--(ISNUMBER(SEARCH($A170,'Diags Raw Data'!$A$6:$A$3752))),--('Diags Raw Data'!$P$6:$P$3752&lt;&gt;"N/A"),'Diags Raw Data'!$Q$6:$Q$3752)</f>
        <v>4</v>
      </c>
      <c r="N170" s="520"/>
      <c r="O170" s="521"/>
      <c r="P170" s="522"/>
      <c r="Q170" s="523"/>
      <c r="R170" s="524"/>
      <c r="S170" s="524"/>
      <c r="T170" s="525"/>
      <c r="U170" s="468" t="s">
        <v>44</v>
      </c>
      <c r="V170" s="571" t="s">
        <v>846</v>
      </c>
    </row>
    <row r="171" spans="1:22" ht="15">
      <c r="A171" s="335" t="s">
        <v>645</v>
      </c>
      <c r="B171" s="464" t="str">
        <f>VLOOKUP(A171,'Feature Raw Data'!$A$3:$B$3996,2,FALSE)</f>
        <v>Flush Invalidate Cache(HDP)</v>
      </c>
      <c r="C171" s="465" t="str">
        <f>VLOOKUP(A171,'Feature Raw Data'!$A$3:$C$3996,3,FALSE)</f>
        <v>P2</v>
      </c>
      <c r="D171" s="466" t="str" cm="1">
        <f t="array" ref="D171">_xlfn.TEXTJOIN("",TRUE,IF(ISNUMBER(SEARCH($A171,'Diags Raw Data'!$A$6:$A$3752)),CONCATENATE('Diags Raw Data'!$H$6:$H$3752,", "),""))</f>
        <v xml:space="preserve">hdp10.1-4, </v>
      </c>
      <c r="E171" s="461" t="str">
        <f>VLOOKUP(A171,'Diags Raw Data'!$A$6:$D$3752,4,FALSE)</f>
        <v>HDP</v>
      </c>
      <c r="F171" s="337" t="str">
        <f>VLOOKUP(A171,'Feature Raw Data'!$A$3:$E$3996,5,FALSE)</f>
        <v>Legacy</v>
      </c>
      <c r="G171" s="337" t="str">
        <f t="shared" si="18"/>
        <v>Yes</v>
      </c>
      <c r="H171" s="337" t="str">
        <f t="shared" si="19"/>
        <v>Yes</v>
      </c>
      <c r="I171" s="465"/>
      <c r="J171" s="467"/>
      <c r="K171" s="518"/>
      <c r="L171" s="519"/>
      <c r="M171" s="511" cm="1">
        <f t="array" ref="M171">SUMPRODUCT(--(ISNUMBER(SEARCH($A171,'Diags Raw Data'!$A$6:$A$3752))),--('Diags Raw Data'!$P$6:$P$3752&lt;&gt;"N/A"),'Diags Raw Data'!$Q$6:$Q$3752)</f>
        <v>4</v>
      </c>
      <c r="N171" s="520"/>
      <c r="O171" s="521"/>
      <c r="P171" s="522"/>
      <c r="Q171" s="523"/>
      <c r="R171" s="524"/>
      <c r="S171" s="524"/>
      <c r="T171" s="525"/>
      <c r="U171" s="468" t="s">
        <v>438</v>
      </c>
      <c r="V171" s="179"/>
    </row>
    <row r="172" spans="1:22" ht="15">
      <c r="A172" s="335" t="s">
        <v>789</v>
      </c>
      <c r="B172" s="464" t="str">
        <f>VLOOKUP(A172,'Feature Raw Data'!$A$3:$B$3996,2,FALSE)</f>
        <v>HDP Performance</v>
      </c>
      <c r="C172" s="465" t="str">
        <f>VLOOKUP(A172,'Feature Raw Data'!$A$3:$C$3996,3,FALSE)</f>
        <v>P2</v>
      </c>
      <c r="D172" s="466" t="str" cm="1">
        <f t="array" ref="D172">_xlfn.TEXTJOIN("",TRUE,IF(ISNUMBER(SEARCH($A172,'Diags Raw Data'!$A$6:$A$3752)),CONCATENATE('Diags Raw Data'!$H$6:$H$3752,", "),""))</f>
        <v/>
      </c>
      <c r="E172" s="461" t="e">
        <f>VLOOKUP(A172,'Diags Raw Data'!$A$6:$D$3752,4,FALSE)</f>
        <v>#N/A</v>
      </c>
      <c r="F172" s="337" t="str">
        <f>VLOOKUP(A172,'Feature Raw Data'!$A$3:$E$3996,5,FALSE)</f>
        <v>Delta</v>
      </c>
      <c r="G172" s="337" t="str">
        <f t="shared" si="18"/>
        <v>No</v>
      </c>
      <c r="H172" s="337" t="str">
        <f t="shared" si="19"/>
        <v>No</v>
      </c>
      <c r="I172" s="465"/>
      <c r="J172" s="467"/>
      <c r="K172" s="518"/>
      <c r="L172" s="519"/>
      <c r="M172" s="511" cm="1">
        <f t="array" ref="M172">SUMPRODUCT(--(ISNUMBER(SEARCH($A172,'Diags Raw Data'!$A$6:$A$3752))),--('Diags Raw Data'!$P$6:$P$3752&lt;&gt;"N/A"),'Diags Raw Data'!$Q$6:$Q$3752)</f>
        <v>0</v>
      </c>
      <c r="N172" s="520"/>
      <c r="O172" s="521"/>
      <c r="P172" s="522"/>
      <c r="Q172" s="523"/>
      <c r="R172" s="524"/>
      <c r="S172" s="524"/>
      <c r="T172" s="525"/>
      <c r="U172" s="468" t="s">
        <v>438</v>
      </c>
      <c r="V172" s="179"/>
    </row>
    <row r="173" spans="1:22" ht="15">
      <c r="A173" s="335" t="s">
        <v>791</v>
      </c>
      <c r="B173" s="464" t="str">
        <f>VLOOKUP(A173,'Feature Raw Data'!$A$3:$B$3996,2,FALSE)</f>
        <v>replace read cache w/ read buffer</v>
      </c>
      <c r="C173" s="465" t="str">
        <f>VLOOKUP(A173,'Feature Raw Data'!$A$3:$C$3996,3,FALSE)</f>
        <v>P2</v>
      </c>
      <c r="D173" s="466" t="str" cm="1">
        <f t="array" ref="D173">_xlfn.TEXTJOIN("",TRUE,IF(ISNUMBER(SEARCH($A173,'Diags Raw Data'!$A$6:$A$3752)),CONCATENATE('Diags Raw Data'!$H$6:$H$3752,", "),""))</f>
        <v/>
      </c>
      <c r="E173" s="461" t="e">
        <f>VLOOKUP(A173,'Diags Raw Data'!$A$6:$D$3752,4,FALSE)</f>
        <v>#N/A</v>
      </c>
      <c r="F173" s="337" t="str">
        <f>VLOOKUP(A173,'Feature Raw Data'!$A$3:$E$3996,5,FALSE)</f>
        <v>Delta</v>
      </c>
      <c r="G173" s="337" t="s">
        <v>31</v>
      </c>
      <c r="H173" s="337" t="str">
        <f t="shared" si="19"/>
        <v>No</v>
      </c>
      <c r="I173" s="465"/>
      <c r="J173" s="467"/>
      <c r="K173" s="518"/>
      <c r="L173" s="519"/>
      <c r="M173" s="511" cm="1">
        <f t="array" ref="M173">SUMPRODUCT(--(ISNUMBER(SEARCH($A173,'Diags Raw Data'!$A$6:$A$3752))),--('Diags Raw Data'!$P$6:$P$3752&lt;&gt;"N/A"),'Diags Raw Data'!$Q$6:$Q$3752)</f>
        <v>0</v>
      </c>
      <c r="N173" s="520"/>
      <c r="O173" s="521"/>
      <c r="P173" s="522"/>
      <c r="Q173" s="523"/>
      <c r="R173" s="524"/>
      <c r="S173" s="524"/>
      <c r="T173" s="525"/>
      <c r="U173" s="468" t="s">
        <v>438</v>
      </c>
      <c r="V173" s="179"/>
    </row>
    <row r="174" spans="1:22" ht="15">
      <c r="A174" s="335" t="s">
        <v>793</v>
      </c>
      <c r="B174" s="464" t="str">
        <f>VLOOKUP(A174,'Feature Raw Data'!$A$3:$B$3996,2,FALSE)</f>
        <v>Start the hysteresis counter from the last SRAM(in the daisy chain)’s rising edge of ROP, instead of falling edge of DS/SD. Use hysterisis counter instead of using ROP to cover SD/DS enter/exit time.</v>
      </c>
      <c r="C174" s="465" t="str">
        <f>VLOOKUP(A174,'Feature Raw Data'!$A$3:$C$3996,3,FALSE)</f>
        <v>P2</v>
      </c>
      <c r="D174" s="466" t="str" cm="1">
        <f t="array" ref="D174">_xlfn.TEXTJOIN("",TRUE,IF(ISNUMBER(SEARCH($A174,'Diags Raw Data'!$A$6:$A$3752)),CONCATENATE('Diags Raw Data'!$H$6:$H$3752,", "),""))</f>
        <v/>
      </c>
      <c r="E174" s="461" t="e">
        <f>VLOOKUP(A174,'Diags Raw Data'!$A$6:$D$3752,4,FALSE)</f>
        <v>#N/A</v>
      </c>
      <c r="F174" s="337" t="str">
        <f>VLOOKUP(A174,'Feature Raw Data'!$A$3:$E$3996,5,FALSE)</f>
        <v>Delta</v>
      </c>
      <c r="G174" s="337" t="str">
        <f t="shared" si="18"/>
        <v>No</v>
      </c>
      <c r="H174" s="337" t="str">
        <f t="shared" si="19"/>
        <v>No</v>
      </c>
      <c r="I174" s="465"/>
      <c r="J174" s="467"/>
      <c r="K174" s="518"/>
      <c r="L174" s="519"/>
      <c r="M174" s="511" cm="1">
        <f t="array" ref="M174">SUMPRODUCT(--(ISNUMBER(SEARCH($A174,'Diags Raw Data'!$A$6:$A$3752))),--('Diags Raw Data'!$P$6:$P$3752&lt;&gt;"N/A"),'Diags Raw Data'!$Q$6:$Q$3752)</f>
        <v>0</v>
      </c>
      <c r="N174" s="520"/>
      <c r="O174" s="521"/>
      <c r="P174" s="522"/>
      <c r="Q174" s="523"/>
      <c r="R174" s="524"/>
      <c r="S174" s="524"/>
      <c r="T174" s="525"/>
      <c r="U174" s="468" t="s">
        <v>438</v>
      </c>
      <c r="V174" s="179"/>
    </row>
    <row r="175" spans="1:22" ht="15">
      <c r="A175" s="335" t="s">
        <v>795</v>
      </c>
      <c r="B175" s="464" t="str">
        <f>VLOOKUP(A175,'Feature Raw Data'!$A$3:$B$3996,2,FALSE)</f>
        <v>Support 3-5 cycle SRAM LS recover time</v>
      </c>
      <c r="C175" s="465" t="str">
        <f>VLOOKUP(A175,'Feature Raw Data'!$A$3:$C$3996,3,FALSE)</f>
        <v>P2</v>
      </c>
      <c r="D175" s="466" t="str" cm="1">
        <f t="array" ref="D175">_xlfn.TEXTJOIN("",TRUE,IF(ISNUMBER(SEARCH($A175,'Diags Raw Data'!$A$6:$A$3752)),CONCATENATE('Diags Raw Data'!$H$6:$H$3752,", "),""))</f>
        <v/>
      </c>
      <c r="E175" s="461" t="e">
        <f>VLOOKUP(A175,'Diags Raw Data'!$A$6:$D$3752,4,FALSE)</f>
        <v>#N/A</v>
      </c>
      <c r="F175" s="337" t="str">
        <f>VLOOKUP(A175,'Feature Raw Data'!$A$3:$E$3996,5,FALSE)</f>
        <v>Delta</v>
      </c>
      <c r="G175" s="337" t="str">
        <f t="shared" si="18"/>
        <v>No</v>
      </c>
      <c r="H175" s="337" t="str">
        <f t="shared" si="19"/>
        <v>No</v>
      </c>
      <c r="I175" s="465"/>
      <c r="J175" s="467"/>
      <c r="K175" s="518"/>
      <c r="L175" s="519"/>
      <c r="M175" s="511" cm="1">
        <f t="array" ref="M175">SUMPRODUCT(--(ISNUMBER(SEARCH($A175,'Diags Raw Data'!$A$6:$A$3752))),--('Diags Raw Data'!$P$6:$P$3752&lt;&gt;"N/A"),'Diags Raw Data'!$Q$6:$Q$3752)</f>
        <v>0</v>
      </c>
      <c r="N175" s="520"/>
      <c r="O175" s="521"/>
      <c r="P175" s="522"/>
      <c r="Q175" s="523"/>
      <c r="R175" s="524"/>
      <c r="S175" s="524"/>
      <c r="T175" s="525"/>
      <c r="U175" s="468" t="s">
        <v>438</v>
      </c>
      <c r="V175" s="179"/>
    </row>
    <row r="176" spans="1:22" ht="15">
      <c r="A176" s="335" t="s">
        <v>796</v>
      </c>
      <c r="B176" s="464" t="str">
        <f>VLOOKUP(A176,'Feature Raw Data'!$A$3:$B$3996,2,FALSE)</f>
        <v>Tie HDP-&gt;MMHUB memlog to 1</v>
      </c>
      <c r="C176" s="465" t="str">
        <f>VLOOKUP(A176,'Feature Raw Data'!$A$3:$C$3996,3,FALSE)</f>
        <v>P2</v>
      </c>
      <c r="D176" s="466" t="str" cm="1">
        <f t="array" ref="D176">_xlfn.TEXTJOIN("",TRUE,IF(ISNUMBER(SEARCH($A176,'Diags Raw Data'!$A$6:$A$3752)),CONCATENATE('Diags Raw Data'!$H$6:$H$3752,", "),""))</f>
        <v/>
      </c>
      <c r="E176" s="461" t="e">
        <f>VLOOKUP(A176,'Diags Raw Data'!$A$6:$D$3752,4,FALSE)</f>
        <v>#N/A</v>
      </c>
      <c r="F176" s="337" t="str">
        <f>VLOOKUP(A176,'Feature Raw Data'!$A$3:$E$3996,5,FALSE)</f>
        <v>Delta</v>
      </c>
      <c r="G176" s="337" t="str">
        <f t="shared" si="18"/>
        <v>No</v>
      </c>
      <c r="H176" s="337" t="str">
        <f t="shared" si="19"/>
        <v>No</v>
      </c>
      <c r="I176" s="465"/>
      <c r="J176" s="467"/>
      <c r="K176" s="518"/>
      <c r="L176" s="519"/>
      <c r="M176" s="511" cm="1">
        <f t="array" ref="M176">SUMPRODUCT(--(ISNUMBER(SEARCH($A176,'Diags Raw Data'!$A$6:$A$3752))),--('Diags Raw Data'!$P$6:$P$3752&lt;&gt;"N/A"),'Diags Raw Data'!$Q$6:$Q$3752)</f>
        <v>0</v>
      </c>
      <c r="N176" s="520"/>
      <c r="O176" s="521"/>
      <c r="P176" s="522"/>
      <c r="Q176" s="523"/>
      <c r="R176" s="524"/>
      <c r="S176" s="524"/>
      <c r="T176" s="525"/>
      <c r="U176" s="468" t="s">
        <v>438</v>
      </c>
      <c r="V176" s="179"/>
    </row>
    <row r="177" spans="1:22" ht="15">
      <c r="A177" s="335" t="s">
        <v>798</v>
      </c>
      <c r="B177" s="464" t="str">
        <f>VLOOKUP(A177,'Feature Raw Data'!$A$3:$B$3996,2,FALSE)</f>
        <v>Change HDP_MISC_CNTL.{FED_ENABLE/ATOMIC_FED_ENABLE} default value to 0.</v>
      </c>
      <c r="C177" s="465" t="str">
        <f>VLOOKUP(A177,'Feature Raw Data'!$A$3:$C$3996,3,FALSE)</f>
        <v>P2</v>
      </c>
      <c r="D177" s="466" t="str" cm="1">
        <f t="array" ref="D177">_xlfn.TEXTJOIN("",TRUE,IF(ISNUMBER(SEARCH($A177,'Diags Raw Data'!$A$6:$A$3752)),CONCATENATE('Diags Raw Data'!$H$6:$H$3752,", "),""))</f>
        <v/>
      </c>
      <c r="E177" s="461" t="e">
        <f>VLOOKUP(A177,'Diags Raw Data'!$A$6:$D$3752,4,FALSE)</f>
        <v>#N/A</v>
      </c>
      <c r="F177" s="337" t="str">
        <f>VLOOKUP(A177,'Feature Raw Data'!$A$3:$E$3996,5,FALSE)</f>
        <v>Delta</v>
      </c>
      <c r="G177" s="337" t="str">
        <f t="shared" si="18"/>
        <v>No</v>
      </c>
      <c r="H177" s="337" t="str">
        <f t="shared" si="19"/>
        <v>No</v>
      </c>
      <c r="I177" s="465"/>
      <c r="J177" s="467"/>
      <c r="K177" s="518"/>
      <c r="L177" s="519"/>
      <c r="M177" s="511" cm="1">
        <f t="array" ref="M177">SUMPRODUCT(--(ISNUMBER(SEARCH($A177,'Diags Raw Data'!$A$6:$A$3752))),--('Diags Raw Data'!$P$6:$P$3752&lt;&gt;"N/A"),'Diags Raw Data'!$Q$6:$Q$3752)</f>
        <v>0</v>
      </c>
      <c r="N177" s="520"/>
      <c r="O177" s="521"/>
      <c r="P177" s="522"/>
      <c r="Q177" s="523"/>
      <c r="R177" s="524"/>
      <c r="S177" s="524"/>
      <c r="T177" s="525"/>
      <c r="U177" s="468" t="s">
        <v>438</v>
      </c>
      <c r="V177" s="179"/>
    </row>
    <row r="178" spans="1:22" ht="16.5">
      <c r="A178" s="335" t="s">
        <v>800</v>
      </c>
      <c r="B178" s="464" t="str">
        <f>VLOOKUP(A178,'Feature Raw Data'!$A$3:$B$3996,2,FALSE)</f>
        <v xml:space="preserve">RAS: support poison propagation </v>
      </c>
      <c r="C178" s="465" t="str">
        <f>VLOOKUP(A178,'Feature Raw Data'!$A$3:$C$3996,3,FALSE)</f>
        <v>P2</v>
      </c>
      <c r="D178" s="466" t="str" cm="1">
        <f t="array" ref="D178">_xlfn.TEXTJOIN("",TRUE,IF(ISNUMBER(SEARCH($A178,'Diags Raw Data'!$A$6:$A$3752)),CONCATENATE('Diags Raw Data'!$H$6:$H$3752,", "),""))</f>
        <v/>
      </c>
      <c r="E178" s="461" t="e">
        <f>VLOOKUP(A178,'Diags Raw Data'!$A$6:$D$3752,4,FALSE)</f>
        <v>#N/A</v>
      </c>
      <c r="F178" s="337" t="str">
        <f>VLOOKUP(A178,'Feature Raw Data'!$A$3:$E$3996,5,FALSE)</f>
        <v>Delta</v>
      </c>
      <c r="G178" s="337" t="s">
        <v>36</v>
      </c>
      <c r="H178" s="337" t="str">
        <f t="shared" si="19"/>
        <v>No</v>
      </c>
      <c r="I178" s="465"/>
      <c r="J178" s="467"/>
      <c r="K178" s="518"/>
      <c r="L178" s="519"/>
      <c r="M178" s="511" cm="1">
        <f t="array" ref="M178">SUMPRODUCT(--(ISNUMBER(SEARCH($A178,'Diags Raw Data'!$A$6:$A$3752))),--('Diags Raw Data'!$P$6:$P$3752&lt;&gt;"N/A"),'Diags Raw Data'!$Q$6:$Q$3752)</f>
        <v>0</v>
      </c>
      <c r="N178" s="520"/>
      <c r="O178" s="521"/>
      <c r="P178" s="522"/>
      <c r="Q178" s="523"/>
      <c r="R178" s="524"/>
      <c r="S178" s="524"/>
      <c r="T178" s="525"/>
      <c r="U178" s="468" t="s">
        <v>44</v>
      </c>
      <c r="V178" s="571" t="s">
        <v>846</v>
      </c>
    </row>
    <row r="179" spans="1:22" ht="16.5">
      <c r="A179" s="335" t="s">
        <v>802</v>
      </c>
      <c r="B179" s="464" t="str">
        <f>VLOOKUP(A179,'Feature Raw Data'!$A$3:$B$3996,2,FALSE)</f>
        <v>OSSSYS Firewall</v>
      </c>
      <c r="C179" s="465" t="str">
        <f>VLOOKUP(A179,'Feature Raw Data'!$A$3:$C$3996,3,FALSE)</f>
        <v>P2</v>
      </c>
      <c r="D179" s="466" t="str" cm="1">
        <f t="array" ref="D179">_xlfn.TEXTJOIN("",TRUE,IF(ISNUMBER(SEARCH($A179,'Diags Raw Data'!$A$6:$A$3752)),CONCATENATE('Diags Raw Data'!$H$6:$H$3752,", "),""))</f>
        <v/>
      </c>
      <c r="E179" s="461" t="e">
        <f>VLOOKUP(A179,'Diags Raw Data'!$A$6:$D$3752,4,FALSE)</f>
        <v>#N/A</v>
      </c>
      <c r="F179" s="337" t="str">
        <f>VLOOKUP(A179,'Feature Raw Data'!$A$3:$E$3996,5,FALSE)</f>
        <v>Legacy</v>
      </c>
      <c r="G179" s="337" t="s">
        <v>31</v>
      </c>
      <c r="H179" s="337" t="str">
        <f t="shared" si="19"/>
        <v>No</v>
      </c>
      <c r="I179" s="336"/>
      <c r="J179" s="192"/>
      <c r="K179" s="526"/>
      <c r="L179" s="527"/>
      <c r="M179" s="511" cm="1">
        <f t="array" ref="M179">SUMPRODUCT(--(ISNUMBER(SEARCH($A179,'Diags Raw Data'!$A$6:$A$3752))),--('Diags Raw Data'!$P$6:$P$3752&lt;&gt;"N/A"),'Diags Raw Data'!$Q$6:$Q$3752)</f>
        <v>0</v>
      </c>
      <c r="N179" s="528"/>
      <c r="O179" s="529"/>
      <c r="P179" s="530"/>
      <c r="Q179" s="531"/>
      <c r="R179" s="532"/>
      <c r="S179" s="532"/>
      <c r="T179" s="533"/>
      <c r="U179" s="383" t="s">
        <v>44</v>
      </c>
      <c r="V179" s="571" t="s">
        <v>846</v>
      </c>
    </row>
    <row r="180" spans="1:22" ht="16.5">
      <c r="A180" s="335" t="s">
        <v>648</v>
      </c>
      <c r="B180" s="464" t="str">
        <f>VLOOKUP(A180,'Feature Raw Data'!$A$3:$B$3996,2,FALSE)</f>
        <v>UTCL2 retry interrupt filter</v>
      </c>
      <c r="C180" s="465" t="str">
        <f>VLOOKUP(A180,'Feature Raw Data'!$A$3:$C$3996,3,FALSE)</f>
        <v>P2</v>
      </c>
      <c r="D180" s="466" t="str" cm="1">
        <f t="array" ref="D180">_xlfn.TEXTJOIN("",TRUE,IF(ISNUMBER(SEARCH($A180,'Diags Raw Data'!$A$6:$A$3752)),CONCATENATE('Diags Raw Data'!$H$6:$H$3752,", "),""))</f>
        <v xml:space="preserve">nsdma229.1-2, </v>
      </c>
      <c r="E180" s="461" t="str">
        <f>VLOOKUP(A180,'Diags Raw Data'!$A$6:$D$3752,4,FALSE)</f>
        <v>SDMA</v>
      </c>
      <c r="F180" s="337" t="str">
        <f>VLOOKUP(A180,'Feature Raw Data'!$A$3:$E$3996,5,FALSE)</f>
        <v>Legacy</v>
      </c>
      <c r="G180" s="337" t="s">
        <v>31</v>
      </c>
      <c r="H180" s="337" t="str">
        <f t="shared" si="19"/>
        <v>Yes</v>
      </c>
      <c r="I180" s="336"/>
      <c r="J180" s="192"/>
      <c r="K180" s="526"/>
      <c r="L180" s="527"/>
      <c r="M180" s="511" cm="1">
        <f t="array" ref="M180">SUMPRODUCT(--(ISNUMBER(SEARCH($A180,'Diags Raw Data'!$A$6:$A$3752))),--('Diags Raw Data'!$P$6:$P$3752&lt;&gt;"N/A"),'Diags Raw Data'!$Q$6:$Q$3752)</f>
        <v>2</v>
      </c>
      <c r="N180" s="528"/>
      <c r="O180" s="529"/>
      <c r="P180" s="530"/>
      <c r="Q180" s="531"/>
      <c r="R180" s="532"/>
      <c r="S180" s="532"/>
      <c r="T180" s="533"/>
      <c r="U180" s="383" t="s">
        <v>44</v>
      </c>
      <c r="V180" s="571" t="s">
        <v>826</v>
      </c>
    </row>
    <row r="181" spans="1:22" ht="16.5">
      <c r="A181" s="335" t="s">
        <v>804</v>
      </c>
      <c r="B181" s="464" t="str">
        <f>VLOOKUP(A181,'Feature Raw Data'!$A$3:$B$3996,2,FALSE)</f>
        <v>PGMEM (IH)</v>
      </c>
      <c r="C181" s="465" t="str">
        <f>VLOOKUP(A181,'Feature Raw Data'!$A$3:$C$3996,3,FALSE)</f>
        <v>P2</v>
      </c>
      <c r="D181" s="466" t="str" cm="1">
        <f t="array" ref="D181">_xlfn.TEXTJOIN("",TRUE,IF(ISNUMBER(SEARCH($A181,'Diags Raw Data'!$A$6:$A$3752)),CONCATENATE('Diags Raw Data'!$H$6:$H$3752,", "),""))</f>
        <v/>
      </c>
      <c r="E181" s="461" t="e">
        <f>VLOOKUP(A181,'Diags Raw Data'!$A$6:$D$3752,4,FALSE)</f>
        <v>#N/A</v>
      </c>
      <c r="F181" s="337" t="str">
        <f>VLOOKUP(A181,'Feature Raw Data'!$A$3:$E$3996,5,FALSE)</f>
        <v>Legacy</v>
      </c>
      <c r="G181" s="337" t="str">
        <f t="shared" si="18"/>
        <v>No</v>
      </c>
      <c r="H181" s="337" t="str">
        <f t="shared" si="19"/>
        <v>No</v>
      </c>
      <c r="I181" s="390"/>
      <c r="J181" s="393"/>
      <c r="K181" s="534"/>
      <c r="L181" s="535"/>
      <c r="M181" s="511" cm="1">
        <f t="array" ref="M181">SUMPRODUCT(--(ISNUMBER(SEARCH($A181,'Diags Raw Data'!$A$6:$A$3752))),--('Diags Raw Data'!$P$6:$P$3752&lt;&gt;"N/A"),'Diags Raw Data'!$Q$6:$Q$3752)</f>
        <v>0</v>
      </c>
      <c r="N181" s="537"/>
      <c r="O181" s="538"/>
      <c r="P181" s="539"/>
      <c r="Q181" s="540"/>
      <c r="R181" s="541"/>
      <c r="S181" s="541"/>
      <c r="T181" s="542"/>
      <c r="U181" s="394" t="s">
        <v>44</v>
      </c>
      <c r="V181" s="571" t="s">
        <v>846</v>
      </c>
    </row>
    <row r="182" spans="1:22" ht="16.5">
      <c r="A182" s="335" t="s">
        <v>806</v>
      </c>
      <c r="B182" s="464" t="str">
        <f>VLOOKUP(A182,'Feature Raw Data'!$A$3:$B$3996,2,FALSE)</f>
        <v>interrupt storm filtering</v>
      </c>
      <c r="C182" s="465" t="str">
        <f>VLOOKUP(A182,'Feature Raw Data'!$A$3:$C$3996,3,FALSE)</f>
        <v>P2</v>
      </c>
      <c r="D182" s="466" t="str" cm="1">
        <f t="array" ref="D182">_xlfn.TEXTJOIN("",TRUE,IF(ISNUMBER(SEARCH($A182,'Diags Raw Data'!$A$6:$A$3752)),CONCATENATE('Diags Raw Data'!$H$6:$H$3752,", "),""))</f>
        <v/>
      </c>
      <c r="E182" s="461" t="e">
        <f>VLOOKUP(A182,'Diags Raw Data'!$A$6:$D$3752,4,FALSE)</f>
        <v>#N/A</v>
      </c>
      <c r="F182" s="337" t="str">
        <f>VLOOKUP(A182,'Feature Raw Data'!$A$3:$E$3996,5,FALSE)</f>
        <v>Delta</v>
      </c>
      <c r="G182" s="337" t="s">
        <v>31</v>
      </c>
      <c r="H182" s="337" t="str">
        <f t="shared" si="19"/>
        <v>No</v>
      </c>
      <c r="I182" s="390"/>
      <c r="J182" s="393"/>
      <c r="K182" s="534"/>
      <c r="L182" s="535"/>
      <c r="M182" s="511" cm="1">
        <f t="array" ref="M182">SUMPRODUCT(--(ISNUMBER(SEARCH($A182,'Diags Raw Data'!$A$6:$A$3752))),--('Diags Raw Data'!$P$6:$P$3752&lt;&gt;"N/A"),'Diags Raw Data'!$Q$6:$Q$3752)</f>
        <v>0</v>
      </c>
      <c r="N182" s="537"/>
      <c r="O182" s="538"/>
      <c r="P182" s="539"/>
      <c r="Q182" s="540"/>
      <c r="R182" s="541"/>
      <c r="S182" s="541"/>
      <c r="T182" s="542"/>
      <c r="U182" s="394" t="s">
        <v>44</v>
      </c>
      <c r="V182" s="571" t="s">
        <v>826</v>
      </c>
    </row>
    <row r="183" spans="1:22" ht="16.5">
      <c r="A183" s="335" t="s">
        <v>810</v>
      </c>
      <c r="B183" s="464" t="str">
        <f>VLOOKUP(A183,'Feature Raw Data'!$A$3:$B$3996,2,FALSE)</f>
        <v>Remove ring2 to save area, since only 2 IH rings are enough. Test 2 IH rings</v>
      </c>
      <c r="C183" s="465" t="str">
        <f>VLOOKUP(A183,'Feature Raw Data'!$A$3:$C$3996,3,FALSE)</f>
        <v>P2</v>
      </c>
      <c r="D183" s="466" t="str" cm="1">
        <f t="array" ref="D183">_xlfn.TEXTJOIN("",TRUE,IF(ISNUMBER(SEARCH($A183,'Diags Raw Data'!$A$6:$A$3752)),CONCATENATE('Diags Raw Data'!$H$6:$H$3752,", "),""))</f>
        <v/>
      </c>
      <c r="E183" s="461" t="e">
        <f>VLOOKUP(A183,'Diags Raw Data'!$A$6:$D$3752,4,FALSE)</f>
        <v>#N/A</v>
      </c>
      <c r="F183" s="337" t="str">
        <f>VLOOKUP(A183,'Feature Raw Data'!$A$3:$E$3996,5,FALSE)</f>
        <v>Delta</v>
      </c>
      <c r="G183" s="337" t="s">
        <v>31</v>
      </c>
      <c r="H183" s="337" t="str">
        <f t="shared" si="19"/>
        <v>No</v>
      </c>
      <c r="I183" s="465"/>
      <c r="J183" s="467"/>
      <c r="K183" s="518"/>
      <c r="L183" s="519"/>
      <c r="M183" s="511" cm="1">
        <f t="array" ref="M183">SUMPRODUCT(--(ISNUMBER(SEARCH($A183,'Diags Raw Data'!$A$6:$A$3752))),--('Diags Raw Data'!$P$6:$P$3752&lt;&gt;"N/A"),'Diags Raw Data'!$Q$6:$Q$3752)</f>
        <v>0</v>
      </c>
      <c r="N183" s="520"/>
      <c r="O183" s="521"/>
      <c r="P183" s="522"/>
      <c r="Q183" s="523"/>
      <c r="R183" s="524"/>
      <c r="S183" s="524"/>
      <c r="T183" s="525"/>
      <c r="U183" s="468" t="s">
        <v>44</v>
      </c>
      <c r="V183" s="571" t="s">
        <v>826</v>
      </c>
    </row>
    <row r="184" spans="1:22" ht="15">
      <c r="A184" s="335" t="s">
        <v>812</v>
      </c>
      <c r="B184" s="464" t="str">
        <f>VLOOKUP(A184,'Feature Raw Data'!$A$3:$B$3996,2,FALSE)</f>
        <v>Support 3-5 cycle SRAM LS recover time</v>
      </c>
      <c r="C184" s="465" t="str">
        <f>VLOOKUP(A184,'Feature Raw Data'!$A$3:$C$3996,3,FALSE)</f>
        <v>P2</v>
      </c>
      <c r="D184" s="466" t="str" cm="1">
        <f t="array" ref="D184">_xlfn.TEXTJOIN("",TRUE,IF(ISNUMBER(SEARCH($A184,'Diags Raw Data'!$A$6:$A$3752)),CONCATENATE('Diags Raw Data'!$H$6:$H$3752,", "),""))</f>
        <v/>
      </c>
      <c r="E184" s="461" t="e">
        <f>VLOOKUP(A184,'Diags Raw Data'!$A$6:$D$3752,4,FALSE)</f>
        <v>#N/A</v>
      </c>
      <c r="F184" s="337" t="str">
        <f>VLOOKUP(A184,'Feature Raw Data'!$A$3:$E$3996,5,FALSE)</f>
        <v>Delta</v>
      </c>
      <c r="G184" s="337" t="s">
        <v>31</v>
      </c>
      <c r="H184" s="337" t="str">
        <f t="shared" si="19"/>
        <v>No</v>
      </c>
      <c r="I184" s="465"/>
      <c r="J184" s="467"/>
      <c r="K184" s="518"/>
      <c r="L184" s="519"/>
      <c r="M184" s="511" cm="1">
        <f t="array" ref="M184">SUMPRODUCT(--(ISNUMBER(SEARCH($A184,'Diags Raw Data'!$A$6:$A$3752))),--('Diags Raw Data'!$P$6:$P$3752&lt;&gt;"N/A"),'Diags Raw Data'!$Q$6:$Q$3752)</f>
        <v>0</v>
      </c>
      <c r="N184" s="520"/>
      <c r="O184" s="521"/>
      <c r="P184" s="522"/>
      <c r="Q184" s="523"/>
      <c r="R184" s="524"/>
      <c r="S184" s="524"/>
      <c r="T184" s="525"/>
      <c r="U184" s="468" t="s">
        <v>836</v>
      </c>
      <c r="V184" s="179"/>
    </row>
    <row r="185" spans="1:22" ht="16.5">
      <c r="A185" s="335" t="s">
        <v>813</v>
      </c>
      <c r="B185" s="464" t="str">
        <f>VLOOKUP(A185,'Feature Raw Data'!$A$3:$B$3996,2,FALSE)</f>
        <v>Implement SEM_MAILBOX register inside IH</v>
      </c>
      <c r="C185" s="465" t="str">
        <f>VLOOKUP(A185,'Feature Raw Data'!$A$3:$C$3996,3,FALSE)</f>
        <v>P2</v>
      </c>
      <c r="D185" s="466" t="str" cm="1">
        <f t="array" ref="D185">_xlfn.TEXTJOIN("",TRUE,IF(ISNUMBER(SEARCH($A185,'Diags Raw Data'!$A$6:$A$3752)),CONCATENATE('Diags Raw Data'!$H$6:$H$3752,", "),""))</f>
        <v/>
      </c>
      <c r="E185" s="461" t="e">
        <f>VLOOKUP(A185,'Diags Raw Data'!$A$6:$D$3752,4,FALSE)</f>
        <v>#N/A</v>
      </c>
      <c r="F185" s="337" t="str">
        <f>VLOOKUP(A185,'Feature Raw Data'!$A$3:$E$3996,5,FALSE)</f>
        <v>Delta</v>
      </c>
      <c r="G185" s="337" t="str">
        <f t="shared" si="18"/>
        <v>No</v>
      </c>
      <c r="H185" s="337" t="str">
        <f t="shared" si="19"/>
        <v>No</v>
      </c>
      <c r="I185" s="465"/>
      <c r="J185" s="467"/>
      <c r="K185" s="518"/>
      <c r="L185" s="519"/>
      <c r="M185" s="511" cm="1">
        <f t="array" ref="M185">SUMPRODUCT(--(ISNUMBER(SEARCH($A185,'Diags Raw Data'!$A$6:$A$3752))),--('Diags Raw Data'!$P$6:$P$3752&lt;&gt;"N/A"),'Diags Raw Data'!$Q$6:$Q$3752)</f>
        <v>0</v>
      </c>
      <c r="N185" s="520"/>
      <c r="O185" s="521"/>
      <c r="P185" s="522"/>
      <c r="Q185" s="523"/>
      <c r="R185" s="524"/>
      <c r="S185" s="524"/>
      <c r="T185" s="525"/>
      <c r="U185" s="468" t="s">
        <v>44</v>
      </c>
      <c r="V185" s="571" t="s">
        <v>846</v>
      </c>
    </row>
    <row r="186" spans="1:22" ht="16.5">
      <c r="A186" s="335" t="s">
        <v>815</v>
      </c>
      <c r="B186" s="464" t="str">
        <f>VLOOKUP(A186,'Feature Raw Data'!$A$3:$B$3996,2,FALSE)</f>
        <v>gc_ih_gasket support</v>
      </c>
      <c r="C186" s="465" t="str">
        <f>VLOOKUP(A186,'Feature Raw Data'!$A$3:$C$3996,3,FALSE)</f>
        <v>P2</v>
      </c>
      <c r="D186" s="466" t="str" cm="1">
        <f t="array" ref="D186">_xlfn.TEXTJOIN("",TRUE,IF(ISNUMBER(SEARCH($A186,'Diags Raw Data'!$A$6:$A$3752)),CONCATENATE('Diags Raw Data'!$H$6:$H$3752,", "),""))</f>
        <v/>
      </c>
      <c r="E186" s="461" t="e">
        <f>VLOOKUP(A186,'Diags Raw Data'!$A$6:$D$3752,4,FALSE)</f>
        <v>#N/A</v>
      </c>
      <c r="F186" s="337" t="str">
        <f>VLOOKUP(A186,'Feature Raw Data'!$A$3:$E$3996,5,FALSE)</f>
        <v>Delta</v>
      </c>
      <c r="G186" s="337" t="s">
        <v>31</v>
      </c>
      <c r="H186" s="337" t="str">
        <f t="shared" si="19"/>
        <v>No</v>
      </c>
      <c r="I186" s="465"/>
      <c r="J186" s="467"/>
      <c r="K186" s="518"/>
      <c r="L186" s="519"/>
      <c r="M186" s="511" cm="1">
        <f t="array" ref="M186">SUMPRODUCT(--(ISNUMBER(SEARCH($A186,'Diags Raw Data'!$A$6:$A$3752))),--('Diags Raw Data'!$P$6:$P$3752&lt;&gt;"N/A"),'Diags Raw Data'!$Q$6:$Q$3752)</f>
        <v>0</v>
      </c>
      <c r="N186" s="520"/>
      <c r="O186" s="521"/>
      <c r="P186" s="522"/>
      <c r="Q186" s="523"/>
      <c r="R186" s="524"/>
      <c r="S186" s="524"/>
      <c r="T186" s="525"/>
      <c r="U186" s="468" t="s">
        <v>44</v>
      </c>
      <c r="V186" s="571" t="s">
        <v>826</v>
      </c>
    </row>
    <row r="187" spans="1:22" ht="16.5">
      <c r="A187" s="335" t="s">
        <v>817</v>
      </c>
      <c r="B187" s="464" t="str">
        <f>VLOOKUP(A187,'Feature Raw Data'!$A$3:$B$3996,2,FALSE)</f>
        <v>MCD-&gt;GCD cross die interrupt support</v>
      </c>
      <c r="C187" s="465" t="str">
        <f>VLOOKUP(A187,'Feature Raw Data'!$A$3:$C$3996,3,FALSE)</f>
        <v>P2</v>
      </c>
      <c r="D187" s="466" t="str" cm="1">
        <f t="array" ref="D187">_xlfn.TEXTJOIN("",TRUE,IF(ISNUMBER(SEARCH($A187,'Diags Raw Data'!$A$6:$A$3752)),CONCATENATE('Diags Raw Data'!$H$6:$H$3752,", "),""))</f>
        <v/>
      </c>
      <c r="E187" s="461" t="e">
        <f>VLOOKUP(A187,'Diags Raw Data'!$A$6:$D$3752,4,FALSE)</f>
        <v>#N/A</v>
      </c>
      <c r="F187" s="337" t="str">
        <f>VLOOKUP(A187,'Feature Raw Data'!$A$3:$E$3996,5,FALSE)</f>
        <v>Delta</v>
      </c>
      <c r="G187" s="337" t="str">
        <f t="shared" si="18"/>
        <v>No</v>
      </c>
      <c r="H187" s="337" t="str">
        <f t="shared" si="19"/>
        <v>No</v>
      </c>
      <c r="I187" s="465"/>
      <c r="J187" s="467"/>
      <c r="K187" s="518"/>
      <c r="L187" s="519"/>
      <c r="M187" s="511" cm="1">
        <f t="array" ref="M187">SUMPRODUCT(--(ISNUMBER(SEARCH($A187,'Diags Raw Data'!$A$6:$A$3752))),--('Diags Raw Data'!$P$6:$P$3752&lt;&gt;"N/A"),'Diags Raw Data'!$Q$6:$Q$3752)</f>
        <v>0</v>
      </c>
      <c r="N187" s="520"/>
      <c r="O187" s="521"/>
      <c r="P187" s="522"/>
      <c r="Q187" s="523"/>
      <c r="R187" s="524"/>
      <c r="S187" s="524"/>
      <c r="T187" s="525"/>
      <c r="U187" s="468" t="s">
        <v>44</v>
      </c>
      <c r="V187" s="571" t="s">
        <v>846</v>
      </c>
    </row>
    <row r="188" spans="1:22" ht="15">
      <c r="A188" s="389"/>
      <c r="B188" s="429"/>
      <c r="C188" s="390"/>
      <c r="D188" s="391"/>
      <c r="E188" s="392"/>
      <c r="F188" s="392"/>
      <c r="G188" s="392"/>
      <c r="H188" s="392"/>
      <c r="I188" s="390"/>
      <c r="J188" s="393"/>
      <c r="K188" s="534"/>
      <c r="L188" s="535"/>
      <c r="M188" s="536"/>
      <c r="N188" s="537"/>
      <c r="O188" s="538"/>
      <c r="P188" s="539"/>
      <c r="Q188" s="540"/>
      <c r="R188" s="541"/>
      <c r="S188" s="541"/>
      <c r="T188" s="542"/>
      <c r="U188" s="394"/>
      <c r="V188" s="179"/>
    </row>
    <row r="189" spans="1:22">
      <c r="A189" s="389"/>
      <c r="B189" s="429"/>
      <c r="C189" s="390"/>
      <c r="D189" s="391"/>
      <c r="E189" s="392"/>
      <c r="F189" s="392"/>
      <c r="G189" s="392"/>
      <c r="H189" s="392"/>
      <c r="I189" s="390"/>
      <c r="J189" s="393"/>
      <c r="K189" s="534"/>
      <c r="L189" s="535"/>
      <c r="M189" s="536"/>
      <c r="N189" s="537"/>
      <c r="O189" s="538"/>
      <c r="P189" s="539"/>
      <c r="Q189" s="540"/>
      <c r="R189" s="541"/>
      <c r="S189" s="541"/>
      <c r="T189" s="542"/>
      <c r="U189" s="394"/>
      <c r="V189" s="179"/>
    </row>
    <row r="190" spans="1:22" ht="15" thickBot="1">
      <c r="A190" s="389"/>
      <c r="B190" s="429"/>
      <c r="C190" s="390"/>
      <c r="D190" s="391"/>
      <c r="E190" s="392"/>
      <c r="F190" s="392"/>
      <c r="G190" s="392"/>
      <c r="H190" s="392"/>
      <c r="I190" s="390"/>
      <c r="J190" s="393"/>
      <c r="K190" s="534"/>
      <c r="L190" s="535"/>
      <c r="M190" s="536"/>
      <c r="N190" s="537"/>
      <c r="O190" s="538"/>
      <c r="P190" s="539"/>
      <c r="Q190" s="540"/>
      <c r="R190" s="541"/>
      <c r="S190" s="541"/>
      <c r="T190" s="542"/>
      <c r="U190" s="394"/>
      <c r="V190" s="179"/>
    </row>
    <row r="191" spans="1:22">
      <c r="A191" s="633" t="s">
        <v>850</v>
      </c>
      <c r="B191" s="685"/>
      <c r="C191" s="685"/>
      <c r="D191" s="685"/>
      <c r="E191" s="685"/>
      <c r="F191" s="685"/>
      <c r="G191" s="685"/>
      <c r="H191" s="685"/>
      <c r="I191" s="685"/>
      <c r="J191" s="685"/>
      <c r="K191" s="685"/>
      <c r="L191" s="685"/>
      <c r="M191" s="685"/>
      <c r="N191" s="685"/>
      <c r="O191" s="685"/>
      <c r="P191" s="685"/>
      <c r="Q191" s="685"/>
      <c r="R191" s="685"/>
      <c r="S191" s="685"/>
      <c r="T191" s="685"/>
      <c r="U191" s="686"/>
      <c r="V191" s="179"/>
    </row>
    <row r="192" spans="1:22" ht="15" thickBot="1">
      <c r="A192" s="687"/>
      <c r="B192" s="688"/>
      <c r="C192" s="688"/>
      <c r="D192" s="688"/>
      <c r="E192" s="688"/>
      <c r="F192" s="688"/>
      <c r="G192" s="688"/>
      <c r="H192" s="688"/>
      <c r="I192" s="688"/>
      <c r="J192" s="688"/>
      <c r="K192" s="688"/>
      <c r="L192" s="688"/>
      <c r="M192" s="688"/>
      <c r="N192" s="688"/>
      <c r="O192" s="688"/>
      <c r="P192" s="688"/>
      <c r="Q192" s="688"/>
      <c r="R192" s="688"/>
      <c r="S192" s="688"/>
      <c r="T192" s="688"/>
      <c r="U192" s="689"/>
      <c r="V192" s="179"/>
    </row>
    <row r="193" spans="1:22" s="186" customFormat="1" ht="18.600000000000001">
      <c r="A193" s="679" t="s">
        <v>247</v>
      </c>
      <c r="B193" s="680"/>
      <c r="C193" s="680"/>
      <c r="D193" s="680"/>
      <c r="E193" s="680"/>
      <c r="F193" s="681"/>
      <c r="G193" s="403">
        <f>COUNTIF(G7:G190,"Yes")</f>
        <v>134</v>
      </c>
      <c r="H193" s="403">
        <f>COUNTIF(H7:H190,"Yes")</f>
        <v>116</v>
      </c>
      <c r="I193" s="698">
        <f>'Diags Raw Data'!J142</f>
        <v>126</v>
      </c>
      <c r="J193" s="700">
        <f>'Diags Raw Data'!K142</f>
        <v>390</v>
      </c>
      <c r="K193" s="716">
        <f>'Diags Raw Data'!M142</f>
        <v>1</v>
      </c>
      <c r="L193" s="718">
        <f>'Diags Raw Data'!O142</f>
        <v>1</v>
      </c>
      <c r="M193" s="720">
        <f>'Diags Raw Data'!Q142</f>
        <v>390</v>
      </c>
      <c r="N193" s="714">
        <f>SUM('Diags Raw Data'!S142+'Diags Raw Data'!T142)</f>
        <v>226</v>
      </c>
      <c r="O193" s="690">
        <f>IF((M193=0),0,N193/M193)</f>
        <v>0.57948717948717954</v>
      </c>
      <c r="P193" s="692">
        <f>'Diags Raw Data'!Y142</f>
        <v>0</v>
      </c>
      <c r="Q193" s="694">
        <f>SUM('Diags Raw Data'!Z142+'Diags Raw Data'!AA142)</f>
        <v>0</v>
      </c>
      <c r="R193" s="696">
        <f>IF((J193=0),0,P193/J193)</f>
        <v>0</v>
      </c>
      <c r="S193" s="696">
        <f>IF((P193=0),0,Q193/P193)</f>
        <v>0</v>
      </c>
      <c r="T193" s="696">
        <f>R193*S193</f>
        <v>0</v>
      </c>
      <c r="U193" s="722"/>
      <c r="V193" s="185"/>
    </row>
    <row r="194" spans="1:22" ht="18.95" thickBot="1">
      <c r="A194" s="682"/>
      <c r="B194" s="683"/>
      <c r="C194" s="683"/>
      <c r="D194" s="683"/>
      <c r="E194" s="683"/>
      <c r="F194" s="684"/>
      <c r="G194" s="404">
        <f>COUNTIF(G7:G190,"Yes")/COUNTA(A7:A190)</f>
        <v>0.74033149171270718</v>
      </c>
      <c r="H194" s="404">
        <f>(COUNTIF(H7:H190,"Yes")/G193)</f>
        <v>0.86567164179104472</v>
      </c>
      <c r="I194" s="699"/>
      <c r="J194" s="701"/>
      <c r="K194" s="717"/>
      <c r="L194" s="719"/>
      <c r="M194" s="721"/>
      <c r="N194" s="715"/>
      <c r="O194" s="691"/>
      <c r="P194" s="693"/>
      <c r="Q194" s="695"/>
      <c r="R194" s="697"/>
      <c r="S194" s="697"/>
      <c r="T194" s="697"/>
      <c r="U194" s="723"/>
      <c r="V194" s="179"/>
    </row>
    <row r="195" spans="1:22">
      <c r="A195" s="187"/>
      <c r="B195" s="188"/>
      <c r="C195" s="188"/>
      <c r="D195" s="187"/>
      <c r="E195" s="188"/>
      <c r="F195" s="188"/>
      <c r="G195" s="188">
        <f>COUNTA(A7:A190)</f>
        <v>181</v>
      </c>
      <c r="H195" s="188"/>
      <c r="I195" s="395"/>
      <c r="J195" s="395"/>
      <c r="K195" s="193"/>
      <c r="L195" s="193"/>
      <c r="M195" s="194"/>
      <c r="N195" s="194"/>
      <c r="O195" s="193"/>
      <c r="P195" s="190"/>
      <c r="Q195" s="190"/>
      <c r="R195" s="197"/>
      <c r="S195" s="197"/>
      <c r="T195" s="198"/>
      <c r="U195" s="187"/>
    </row>
  </sheetData>
  <sheetProtection insertColumns="0" insertRows="0" deleteRows="0" sort="0"/>
  <autoFilter ref="D1:D200" xr:uid="{00000000-0001-0000-0400-000000000000}">
    <filterColumn colId="0">
      <filters blank="1"/>
    </filterColumn>
  </autoFilter>
  <mergeCells count="35">
    <mergeCell ref="A4:U4"/>
    <mergeCell ref="K193:K194"/>
    <mergeCell ref="L193:L194"/>
    <mergeCell ref="M193:M194"/>
    <mergeCell ref="T2:T3"/>
    <mergeCell ref="U2:U3"/>
    <mergeCell ref="R2:R3"/>
    <mergeCell ref="S2:S3"/>
    <mergeCell ref="S193:S194"/>
    <mergeCell ref="T193:T194"/>
    <mergeCell ref="U193:U194"/>
    <mergeCell ref="K5:L5"/>
    <mergeCell ref="A5:J5"/>
    <mergeCell ref="M5:O5"/>
    <mergeCell ref="P5:U5"/>
    <mergeCell ref="N193:N194"/>
    <mergeCell ref="A1:U1"/>
    <mergeCell ref="I2:I3"/>
    <mergeCell ref="A2:F3"/>
    <mergeCell ref="O2:O3"/>
    <mergeCell ref="P2:P3"/>
    <mergeCell ref="Q2:Q3"/>
    <mergeCell ref="J2:J3"/>
    <mergeCell ref="K2:K3"/>
    <mergeCell ref="L2:L3"/>
    <mergeCell ref="M2:M3"/>
    <mergeCell ref="N2:N3"/>
    <mergeCell ref="A193:F194"/>
    <mergeCell ref="A191:U192"/>
    <mergeCell ref="O193:O194"/>
    <mergeCell ref="P193:P194"/>
    <mergeCell ref="Q193:Q194"/>
    <mergeCell ref="R193:R194"/>
    <mergeCell ref="I193:I194"/>
    <mergeCell ref="J193:J19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851</v>
      </c>
      <c r="C1" s="36" t="s">
        <v>852</v>
      </c>
      <c r="D1" s="36" t="s">
        <v>853</v>
      </c>
      <c r="E1" s="36" t="s">
        <v>854</v>
      </c>
      <c r="F1" s="36" t="s">
        <v>855</v>
      </c>
      <c r="G1" s="37" t="s">
        <v>856</v>
      </c>
      <c r="H1" s="12"/>
      <c r="I1" s="12"/>
      <c r="J1" s="12"/>
      <c r="K1" s="12"/>
      <c r="L1" s="13"/>
      <c r="M1" s="1"/>
      <c r="N1" s="11"/>
      <c r="X1" s="11"/>
      <c r="AB1" s="735" t="s">
        <v>857</v>
      </c>
      <c r="AM1" s="735" t="s">
        <v>858</v>
      </c>
    </row>
    <row r="2" spans="1:40" s="14" customFormat="1" ht="12">
      <c r="A2" s="35" t="s">
        <v>859</v>
      </c>
      <c r="B2" s="15">
        <v>42994</v>
      </c>
      <c r="C2" s="15">
        <v>43190</v>
      </c>
      <c r="D2" s="16" t="e">
        <f>#REF!</f>
        <v>#REF!</v>
      </c>
      <c r="E2" s="16" t="e">
        <f>#REF!</f>
        <v>#REF!</v>
      </c>
      <c r="F2" s="16">
        <f>(C2-B2)/7</f>
        <v>28</v>
      </c>
      <c r="G2" s="17" t="e">
        <f>E2/F2</f>
        <v>#REF!</v>
      </c>
      <c r="H2" s="18"/>
      <c r="I2" s="18"/>
      <c r="J2" s="18"/>
      <c r="K2" s="18"/>
      <c r="L2" s="19"/>
      <c r="M2" s="20"/>
      <c r="N2" s="21"/>
      <c r="X2" s="21"/>
      <c r="AB2" s="736"/>
      <c r="AM2" s="736"/>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7" t="s">
        <v>860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8"/>
      <c r="B5" s="47" t="s">
        <v>861</v>
      </c>
      <c r="C5" s="47" t="s">
        <v>862</v>
      </c>
      <c r="D5" s="47" t="s">
        <v>863</v>
      </c>
      <c r="E5" s="47" t="s">
        <v>864</v>
      </c>
      <c r="F5" s="47" t="s">
        <v>865</v>
      </c>
      <c r="G5" s="47" t="s">
        <v>866</v>
      </c>
      <c r="H5" s="47" t="s">
        <v>867</v>
      </c>
      <c r="I5" s="47" t="s">
        <v>868</v>
      </c>
      <c r="J5" s="47" t="s">
        <v>869</v>
      </c>
      <c r="K5" s="47" t="s">
        <v>870</v>
      </c>
      <c r="L5" s="47" t="s">
        <v>871</v>
      </c>
      <c r="M5" s="47" t="s">
        <v>872</v>
      </c>
      <c r="N5" s="47" t="s">
        <v>873</v>
      </c>
      <c r="O5" s="47" t="s">
        <v>874</v>
      </c>
      <c r="P5" s="47" t="s">
        <v>875</v>
      </c>
      <c r="Q5" s="47" t="s">
        <v>876</v>
      </c>
      <c r="R5" s="47" t="s">
        <v>877</v>
      </c>
      <c r="S5" s="47" t="s">
        <v>878</v>
      </c>
      <c r="T5" s="47" t="s">
        <v>879</v>
      </c>
      <c r="U5" s="47" t="s">
        <v>880</v>
      </c>
      <c r="V5" s="47" t="s">
        <v>881</v>
      </c>
      <c r="W5" s="47" t="s">
        <v>882</v>
      </c>
      <c r="X5" s="47" t="s">
        <v>883</v>
      </c>
      <c r="Y5" s="47" t="s">
        <v>884</v>
      </c>
      <c r="Z5" s="47" t="s">
        <v>885</v>
      </c>
      <c r="AA5" s="47" t="s">
        <v>886</v>
      </c>
      <c r="AB5" s="47" t="s">
        <v>887</v>
      </c>
      <c r="AC5" s="47" t="s">
        <v>888</v>
      </c>
      <c r="AD5" s="47" t="s">
        <v>889</v>
      </c>
      <c r="AE5" s="47" t="s">
        <v>890</v>
      </c>
      <c r="AF5" s="47" t="s">
        <v>891</v>
      </c>
      <c r="AG5" s="47" t="s">
        <v>892</v>
      </c>
      <c r="AH5" s="47" t="s">
        <v>893</v>
      </c>
      <c r="AI5" s="47" t="s">
        <v>894</v>
      </c>
      <c r="AJ5" s="47" t="s">
        <v>895</v>
      </c>
      <c r="AK5" s="47" t="s">
        <v>896</v>
      </c>
      <c r="AL5" s="66" t="s">
        <v>897</v>
      </c>
      <c r="AM5" s="65" t="s">
        <v>898</v>
      </c>
      <c r="AN5" s="50"/>
    </row>
    <row r="6" spans="1:40" ht="12">
      <c r="A6" s="48" t="s">
        <v>899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900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7" t="s">
        <v>901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9"/>
      <c r="B10" s="32" t="s">
        <v>861</v>
      </c>
      <c r="C10" s="32" t="s">
        <v>862</v>
      </c>
      <c r="D10" s="32" t="s">
        <v>863</v>
      </c>
      <c r="E10" s="32" t="s">
        <v>864</v>
      </c>
      <c r="F10" s="32" t="s">
        <v>865</v>
      </c>
      <c r="G10" s="32" t="s">
        <v>866</v>
      </c>
      <c r="H10" s="32" t="s">
        <v>867</v>
      </c>
      <c r="I10" s="32" t="s">
        <v>868</v>
      </c>
      <c r="J10" s="32" t="s">
        <v>869</v>
      </c>
      <c r="K10" s="32" t="s">
        <v>870</v>
      </c>
      <c r="L10" s="32" t="s">
        <v>871</v>
      </c>
      <c r="M10" s="32" t="s">
        <v>872</v>
      </c>
      <c r="N10" s="32" t="s">
        <v>873</v>
      </c>
      <c r="O10" s="32" t="s">
        <v>874</v>
      </c>
      <c r="P10" s="32" t="s">
        <v>875</v>
      </c>
      <c r="Q10" s="32" t="s">
        <v>876</v>
      </c>
      <c r="R10" s="32" t="s">
        <v>877</v>
      </c>
      <c r="S10" s="32" t="s">
        <v>878</v>
      </c>
      <c r="T10" s="32" t="s">
        <v>879</v>
      </c>
      <c r="U10" s="32" t="s">
        <v>880</v>
      </c>
      <c r="V10" s="32" t="s">
        <v>881</v>
      </c>
      <c r="W10" s="32" t="s">
        <v>882</v>
      </c>
      <c r="X10" s="32" t="s">
        <v>883</v>
      </c>
      <c r="Y10" s="32" t="s">
        <v>884</v>
      </c>
      <c r="Z10" s="32" t="s">
        <v>885</v>
      </c>
      <c r="AA10" s="32" t="s">
        <v>886</v>
      </c>
      <c r="AB10" s="32" t="s">
        <v>887</v>
      </c>
      <c r="AC10" s="32" t="s">
        <v>888</v>
      </c>
      <c r="AD10" s="32" t="s">
        <v>889</v>
      </c>
      <c r="AE10" s="32" t="s">
        <v>890</v>
      </c>
      <c r="AF10" s="32" t="s">
        <v>891</v>
      </c>
      <c r="AG10" s="32" t="s">
        <v>892</v>
      </c>
      <c r="AH10" s="32" t="s">
        <v>893</v>
      </c>
      <c r="AI10" s="32" t="s">
        <v>894</v>
      </c>
      <c r="AJ10" s="64" t="s">
        <v>895</v>
      </c>
      <c r="AK10" s="63" t="s">
        <v>896</v>
      </c>
      <c r="AL10" s="47" t="s">
        <v>897</v>
      </c>
      <c r="AM10" s="72" t="s">
        <v>898</v>
      </c>
      <c r="AN10" s="68"/>
    </row>
    <row r="11" spans="1:40">
      <c r="A11" s="42" t="s">
        <v>899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900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902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903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R12" workbookViewId="0" xr3:uid="{85D5C41F-068E-5C55-9968-509E7C2A5619}">
      <selection activeCell="A18" sqref="A18"/>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904</v>
      </c>
      <c r="B1" s="157" t="s">
        <v>905</v>
      </c>
      <c r="C1" s="158" t="s">
        <v>906</v>
      </c>
      <c r="D1" s="158" t="s">
        <v>907</v>
      </c>
      <c r="E1" s="158" t="s">
        <v>908</v>
      </c>
      <c r="F1" s="158" t="s">
        <v>909</v>
      </c>
      <c r="G1" s="158" t="s">
        <v>910</v>
      </c>
      <c r="H1" s="158" t="s">
        <v>911</v>
      </c>
      <c r="I1" s="158" t="s">
        <v>912</v>
      </c>
      <c r="J1" s="158" t="s">
        <v>913</v>
      </c>
      <c r="K1" s="158" t="s">
        <v>914</v>
      </c>
      <c r="L1" s="158" t="s">
        <v>915</v>
      </c>
      <c r="M1" s="158" t="s">
        <v>916</v>
      </c>
      <c r="N1" s="158" t="s">
        <v>917</v>
      </c>
      <c r="O1" s="158" t="s">
        <v>918</v>
      </c>
      <c r="P1" s="158" t="s">
        <v>919</v>
      </c>
      <c r="Q1" s="158" t="s">
        <v>920</v>
      </c>
      <c r="R1" s="158" t="s">
        <v>921</v>
      </c>
      <c r="S1" s="158" t="s">
        <v>922</v>
      </c>
      <c r="T1" s="158" t="s">
        <v>923</v>
      </c>
      <c r="U1" s="158" t="s">
        <v>924</v>
      </c>
      <c r="V1" s="158" t="s">
        <v>925</v>
      </c>
      <c r="W1" s="158" t="s">
        <v>926</v>
      </c>
      <c r="X1" s="158" t="s">
        <v>927</v>
      </c>
      <c r="Y1" s="158" t="s">
        <v>928</v>
      </c>
      <c r="Z1" s="158" t="s">
        <v>929</v>
      </c>
      <c r="AA1" s="158" t="s">
        <v>930</v>
      </c>
      <c r="AB1" s="158" t="s">
        <v>931</v>
      </c>
      <c r="AC1" s="158" t="s">
        <v>932</v>
      </c>
      <c r="AD1" s="158" t="s">
        <v>933</v>
      </c>
      <c r="AE1" s="158" t="s">
        <v>934</v>
      </c>
      <c r="AF1" s="158" t="s">
        <v>935</v>
      </c>
      <c r="AG1" s="158" t="s">
        <v>936</v>
      </c>
      <c r="AH1" s="158" t="s">
        <v>937</v>
      </c>
      <c r="AI1" s="158" t="s">
        <v>938</v>
      </c>
      <c r="AJ1" s="158" t="s">
        <v>939</v>
      </c>
      <c r="AK1" s="158" t="s">
        <v>940</v>
      </c>
      <c r="AL1" s="158" t="s">
        <v>941</v>
      </c>
      <c r="AM1" s="158" t="s">
        <v>942</v>
      </c>
      <c r="AN1" s="158" t="s">
        <v>943</v>
      </c>
      <c r="AO1" s="158" t="s">
        <v>944</v>
      </c>
      <c r="AP1" s="158" t="s">
        <v>945</v>
      </c>
      <c r="AQ1" s="158" t="s">
        <v>946</v>
      </c>
      <c r="AR1" s="158" t="s">
        <v>947</v>
      </c>
      <c r="AS1" s="158" t="s">
        <v>948</v>
      </c>
      <c r="AT1" s="158" t="s">
        <v>949</v>
      </c>
      <c r="AU1" s="158" t="s">
        <v>950</v>
      </c>
      <c r="AV1" s="158" t="s">
        <v>951</v>
      </c>
      <c r="AW1" s="158" t="s">
        <v>952</v>
      </c>
      <c r="AX1" s="158" t="s">
        <v>953</v>
      </c>
      <c r="AY1" s="158" t="s">
        <v>954</v>
      </c>
      <c r="AZ1" s="158" t="s">
        <v>955</v>
      </c>
      <c r="BA1" s="158" t="s">
        <v>956</v>
      </c>
      <c r="BB1" s="159" t="s">
        <v>957</v>
      </c>
    </row>
    <row r="2" spans="1:54" s="135" customFormat="1">
      <c r="A2" s="151" t="s">
        <v>900</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903</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901</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900</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902</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40DCC-36C0-4382-B18F-37DE989FCF6F}">
  <dimension ref="A1:F2"/>
  <sheetViews>
    <sheetView workbookViewId="0" xr3:uid="{9EE1A4BD-C736-578E-838F-B31FF5409C78}">
      <selection activeCell="A2" sqref="A2:F2"/>
    </sheetView>
  </sheetViews>
  <sheetFormatPr defaultRowHeight="14.45"/>
  <sheetData>
    <row r="1" spans="1:6" ht="26.45" thickBot="1">
      <c r="A1" s="572" t="s">
        <v>958</v>
      </c>
      <c r="B1" s="572" t="s">
        <v>959</v>
      </c>
      <c r="C1" s="572" t="s">
        <v>960</v>
      </c>
      <c r="D1" s="572" t="s">
        <v>961</v>
      </c>
      <c r="E1" s="572" t="s">
        <v>962</v>
      </c>
      <c r="F1" s="572" t="s">
        <v>963</v>
      </c>
    </row>
    <row r="2" spans="1:6">
      <c r="A2" s="573">
        <f>SUMIF('Diags Raw Data'!$L$6:$L$137,"New",'Diags Raw Data'!$K$6:$K$137)</f>
        <v>0</v>
      </c>
      <c r="B2" s="573">
        <f>SUMIF('Diags Raw Data'!$L$6:$L$137,"Delta",'Diags Raw Data'!$K$6:$K$137)</f>
        <v>0</v>
      </c>
      <c r="C2" s="573">
        <f>SUMIF('Diags Raw Data'!$L$6:$L$137,"New",'Diags Raw Data'!$Z$6:$Z$137)</f>
        <v>0</v>
      </c>
      <c r="D2" s="573">
        <f>SUMIF('Diags Raw Data'!$L$6:$L$137,"Delta",'Diags Raw Data'!$Z$6:$Z$137)</f>
        <v>0</v>
      </c>
      <c r="E2" s="573">
        <f>SUMIF('Diags Raw Data'!$L$6:$L$137,"New",'Diags Raw Data'!$AA$6:$AA$137)</f>
        <v>0</v>
      </c>
      <c r="F2" s="573">
        <f>SUMIF('Diags Raw Data'!$L$6:$L$137,"Delta",'Diags Raw Data'!$AA$6:$AA$137)</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964</v>
      </c>
      <c r="B3" s="129" t="s">
        <v>965</v>
      </c>
      <c r="C3" s="129"/>
      <c r="D3" s="217"/>
      <c r="E3" s="129"/>
    </row>
    <row r="4" spans="1:5">
      <c r="A4" s="79" t="s">
        <v>44</v>
      </c>
      <c r="B4">
        <v>0</v>
      </c>
    </row>
    <row r="5" spans="1:5">
      <c r="A5" s="79" t="s">
        <v>966</v>
      </c>
      <c r="B5">
        <v>85</v>
      </c>
      <c r="D5" s="130">
        <f>GETPIVOTDATA("#Tests",$A$3,"ETA","wk-1")/GETPIVOTDATA("#Tests",$A$3)</f>
        <v>0.17</v>
      </c>
      <c r="E5" s="131">
        <f>D5</f>
        <v>0.17</v>
      </c>
    </row>
    <row r="6" spans="1:5">
      <c r="A6" s="79" t="s">
        <v>967</v>
      </c>
      <c r="B6">
        <v>48</v>
      </c>
      <c r="D6" s="130">
        <f>GETPIVOTDATA("#Tests",$A$3,"ETA","wk-2")/GETPIVOTDATA("#Tests",$A$3)</f>
        <v>9.6000000000000002E-2</v>
      </c>
      <c r="E6" s="131">
        <f t="shared" ref="E6:E12" si="0">E5+D6</f>
        <v>0.26600000000000001</v>
      </c>
    </row>
    <row r="7" spans="1:5">
      <c r="A7" s="79" t="s">
        <v>968</v>
      </c>
      <c r="B7">
        <v>96</v>
      </c>
      <c r="D7" s="130">
        <f>GETPIVOTDATA("#Tests",$A$3,"ETA","wk-3")/GETPIVOTDATA("#Tests",$A$3)</f>
        <v>0.192</v>
      </c>
      <c r="E7" s="131">
        <f t="shared" si="0"/>
        <v>0.45800000000000002</v>
      </c>
    </row>
    <row r="8" spans="1:5">
      <c r="A8" s="79" t="s">
        <v>969</v>
      </c>
      <c r="B8">
        <v>79</v>
      </c>
      <c r="D8" s="130">
        <f>GETPIVOTDATA("#Tests",$A$3,"ETA","wk-4")/GETPIVOTDATA("#Tests",$A$3)</f>
        <v>0.158</v>
      </c>
      <c r="E8" s="131">
        <f t="shared" si="0"/>
        <v>0.61599999999999999</v>
      </c>
    </row>
    <row r="9" spans="1:5">
      <c r="A9" s="79" t="s">
        <v>970</v>
      </c>
      <c r="B9">
        <v>82</v>
      </c>
      <c r="D9" s="130">
        <f>GETPIVOTDATA("#Tests",$A$3,"ETA","wk-5")/GETPIVOTDATA("#Tests",$A$3)</f>
        <v>0.16400000000000001</v>
      </c>
      <c r="E9" s="131">
        <f t="shared" si="0"/>
        <v>0.78</v>
      </c>
    </row>
    <row r="10" spans="1:5">
      <c r="A10" s="79" t="s">
        <v>971</v>
      </c>
      <c r="B10">
        <v>60</v>
      </c>
      <c r="D10" s="130">
        <f>GETPIVOTDATA("#Tests",$A$3,"ETA","wk-6")/GETPIVOTDATA("#Tests",$A$3)</f>
        <v>0.12</v>
      </c>
      <c r="E10" s="131">
        <f t="shared" si="0"/>
        <v>0.9</v>
      </c>
    </row>
    <row r="11" spans="1:5">
      <c r="A11" s="79" t="s">
        <v>972</v>
      </c>
      <c r="B11">
        <v>30</v>
      </c>
      <c r="D11" s="130">
        <f>GETPIVOTDATA("#Tests",$A$3,"ETA","wk-7")/GETPIVOTDATA("#Tests",$A$3)</f>
        <v>0.06</v>
      </c>
      <c r="E11" s="131">
        <f t="shared" si="0"/>
        <v>0.96</v>
      </c>
    </row>
    <row r="12" spans="1:5">
      <c r="A12" s="79" t="s">
        <v>973</v>
      </c>
      <c r="B12">
        <v>20</v>
      </c>
      <c r="D12" s="130">
        <f>GETPIVOTDATA("#Tests",$A$3,"ETA","wk-8")/GETPIVOTDATA("#Tests",$A$3)</f>
        <v>0.04</v>
      </c>
      <c r="E12" s="131">
        <f t="shared" si="0"/>
        <v>1</v>
      </c>
    </row>
    <row r="13" spans="1:5">
      <c r="A13" s="79" t="s">
        <v>663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6E4293DE-A32C-4A17-B47D-1B35926039A2}"/>
</file>

<file path=customXml/itemProps3.xml><?xml version="1.0" encoding="utf-8"?>
<ds:datastoreItem xmlns:ds="http://schemas.openxmlformats.org/officeDocument/2006/customXml" ds:itemID="{EE22A514-3872-4BC6-85FB-7D9D07F457A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Yao, Albert</cp:lastModifiedBy>
  <cp:revision/>
  <dcterms:created xsi:type="dcterms:W3CDTF">2013-03-11T21:33:52Z</dcterms:created>
  <dcterms:modified xsi:type="dcterms:W3CDTF">2024-03-07T09:28:55Z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2021-09-25T11:37:26Z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9fd0931e-7dbd-405a-8e8c-c178b14627c7</vt:lpwstr>
  </property>
  <property fmtid="{D5CDD505-2E9C-101B-9397-08002B2CF9AE}" pid="9" name="MSIP_Label_88914ebd-7e6c-4e12-a031-a9906be2db14_ContentBits">
    <vt:lpwstr>1</vt:lpwstr>
  </property>
</Properties>
</file>