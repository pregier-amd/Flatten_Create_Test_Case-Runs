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Inputdir\KRK1_Input_3_4-6_2024\"/>
    </mc:Choice>
  </mc:AlternateContent>
  <xr:revisionPtr revIDLastSave="0" documentId="13_ncr:1_{C828CC64-6FEC-4003-B6F1-58CDB70B1432}" xr6:coauthVersionLast="47" xr6:coauthVersionMax="47" xr10:uidLastSave="{00000000-0000-0000-0000-000000000000}"/>
  <bookViews>
    <workbookView xWindow="-28545" yWindow="195" windowWidth="24990" windowHeight="14790" firstSheet="2" activeTab="8"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Feature Raw Data" sheetId="52" r:id="rId6"/>
    <sheet name="Progress (WIP)" sheetId="26" state="hidden" r:id="rId7"/>
    <sheet name="Feature Summary" sheetId="55" r:id="rId8"/>
    <sheet name="Diags Raw Data" sheetId="53" r:id="rId9"/>
    <sheet name="Progress" sheetId="51" r:id="rId10"/>
    <sheet name="Coverage Plan" sheetId="57" state="hidden" r:id="rId11"/>
  </sheets>
  <definedNames>
    <definedName name="_xlnm._FilterDatabase" localSheetId="8" hidden="1">'Diags Raw Data'!$A$5:$AG$59</definedName>
    <definedName name="_xlnm._FilterDatabase" localSheetId="5" hidden="1">'Feature Raw Data'!$A$2:$E$63</definedName>
    <definedName name="_xlnm._FilterDatabase" localSheetId="7" hidden="1">'Feature Summary'!$A$6:$U$90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98"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7" i="53" l="1"/>
  <c r="O8" i="53"/>
  <c r="O9" i="53"/>
  <c r="O10" i="53"/>
  <c r="O11" i="53"/>
  <c r="O12" i="53"/>
  <c r="O13" i="53"/>
  <c r="O14" i="53"/>
  <c r="O15" i="53"/>
  <c r="O16" i="53"/>
  <c r="O17" i="53"/>
  <c r="O18" i="53"/>
  <c r="O19" i="53"/>
  <c r="O20" i="53"/>
  <c r="O21" i="53"/>
  <c r="O22" i="53"/>
  <c r="O23" i="53"/>
  <c r="O24" i="53"/>
  <c r="O25" i="53"/>
  <c r="O26" i="53"/>
  <c r="O27" i="53"/>
  <c r="O28" i="53"/>
  <c r="O29" i="53"/>
  <c r="O30" i="53"/>
  <c r="O31" i="53"/>
  <c r="O32" i="53"/>
  <c r="O33" i="53"/>
  <c r="O34" i="53"/>
  <c r="O35" i="53"/>
  <c r="O36" i="53"/>
  <c r="O37" i="53"/>
  <c r="O38" i="53"/>
  <c r="O39" i="53"/>
  <c r="O40" i="53"/>
  <c r="O41" i="53"/>
  <c r="O42" i="53"/>
  <c r="O43" i="53"/>
  <c r="O44" i="53"/>
  <c r="O45" i="53"/>
  <c r="O46" i="53"/>
  <c r="O47" i="53"/>
  <c r="O48" i="53"/>
  <c r="O49" i="53"/>
  <c r="O50" i="53"/>
  <c r="O51" i="53"/>
  <c r="O52" i="53"/>
  <c r="O53" i="53"/>
  <c r="O54" i="53"/>
  <c r="G41" i="53"/>
  <c r="G16" i="53"/>
  <c r="W10" i="53" l="1"/>
  <c r="AD10" i="53"/>
  <c r="S58" i="53"/>
  <c r="T58" i="53"/>
  <c r="M85" i="55" a="1"/>
  <c r="M85" i="55" s="1"/>
  <c r="O85" i="55" s="1"/>
  <c r="N85" i="55" a="1"/>
  <c r="N85" i="55" s="1"/>
  <c r="O84" i="55"/>
  <c r="N84" i="55" a="1"/>
  <c r="N84" i="55" s="1"/>
  <c r="N83" i="55" a="1"/>
  <c r="N83" i="55" s="1"/>
  <c r="O82" i="55"/>
  <c r="N82" i="55" a="1"/>
  <c r="N82" i="55" s="1"/>
  <c r="O81" i="55"/>
  <c r="N81" i="55" a="1"/>
  <c r="N81" i="55" s="1"/>
  <c r="O80" i="55"/>
  <c r="N80" i="55" a="1"/>
  <c r="N80" i="55" s="1"/>
  <c r="O79" i="55"/>
  <c r="N79" i="55" a="1"/>
  <c r="N79" i="55" s="1"/>
  <c r="O78" i="55"/>
  <c r="N78" i="55" a="1"/>
  <c r="N78" i="55" s="1"/>
  <c r="O77" i="55"/>
  <c r="N77" i="55" a="1"/>
  <c r="N77" i="55" s="1"/>
  <c r="O76" i="55"/>
  <c r="N76" i="55" a="1"/>
  <c r="N76" i="55" s="1"/>
  <c r="M75" i="55" a="1"/>
  <c r="M75" i="55" s="1"/>
  <c r="O75" i="55" s="1"/>
  <c r="N75" i="55" a="1"/>
  <c r="N75" i="55" s="1"/>
  <c r="Q58" i="53"/>
  <c r="M58" i="55" s="1" a="1"/>
  <c r="M58" i="55" s="1"/>
  <c r="N68" i="55" a="1"/>
  <c r="N68" i="55" s="1"/>
  <c r="N67" i="55" a="1"/>
  <c r="N67" i="55" s="1"/>
  <c r="N63" i="55" a="1"/>
  <c r="N63" i="55" s="1"/>
  <c r="N58" i="55" a="1"/>
  <c r="N58" i="55" s="1"/>
  <c r="K58" i="53"/>
  <c r="J2" i="55" s="1"/>
  <c r="J58" i="53"/>
  <c r="I2" i="55" s="1"/>
  <c r="J68" i="55"/>
  <c r="J67" i="55"/>
  <c r="J63" i="55"/>
  <c r="R63" i="55" s="1"/>
  <c r="J58" i="55"/>
  <c r="R58" i="55" s="1"/>
  <c r="Q85" i="55"/>
  <c r="P85" i="55"/>
  <c r="Q84" i="55"/>
  <c r="P84" i="55"/>
  <c r="R84" i="55" s="1"/>
  <c r="Q83" i="55"/>
  <c r="P83" i="55"/>
  <c r="R83" i="55" s="1"/>
  <c r="Q82" i="55"/>
  <c r="P82" i="55"/>
  <c r="Q81" i="55"/>
  <c r="P81" i="55"/>
  <c r="R81" i="55" s="1"/>
  <c r="P80" i="55"/>
  <c r="Q80" i="55"/>
  <c r="Q79" i="55"/>
  <c r="P79" i="55"/>
  <c r="R79" i="55" s="1"/>
  <c r="Q78" i="55"/>
  <c r="P78" i="55"/>
  <c r="R78" i="55" s="1"/>
  <c r="R77" i="55"/>
  <c r="T77" i="55" s="1"/>
  <c r="S77" i="55"/>
  <c r="S76" i="55"/>
  <c r="R76" i="55"/>
  <c r="S75" i="55"/>
  <c r="I22" i="55"/>
  <c r="AD45" i="53"/>
  <c r="AD46" i="53"/>
  <c r="AD47" i="53"/>
  <c r="AD48" i="53"/>
  <c r="AD49" i="53"/>
  <c r="AD50" i="53"/>
  <c r="AD51" i="53"/>
  <c r="AD52" i="53"/>
  <c r="AD53" i="53"/>
  <c r="W45" i="53"/>
  <c r="W46" i="53"/>
  <c r="W47" i="53"/>
  <c r="W48" i="53"/>
  <c r="W49" i="53"/>
  <c r="W50" i="53"/>
  <c r="W51" i="53"/>
  <c r="W52" i="53"/>
  <c r="W53" i="53"/>
  <c r="W54" i="53"/>
  <c r="B54" i="53"/>
  <c r="AF52" i="53"/>
  <c r="I83" i="55"/>
  <c r="F83" i="55"/>
  <c r="C83" i="55"/>
  <c r="B83" i="55"/>
  <c r="B68" i="55"/>
  <c r="AF40" i="53"/>
  <c r="AD40" i="53"/>
  <c r="W40" i="53"/>
  <c r="AF41" i="53"/>
  <c r="AD41" i="53"/>
  <c r="W41" i="53"/>
  <c r="AF42" i="53"/>
  <c r="AD42" i="53"/>
  <c r="W42" i="53"/>
  <c r="AF43" i="53"/>
  <c r="AD43" i="53"/>
  <c r="W43" i="53"/>
  <c r="AF44" i="53"/>
  <c r="AD44" i="53"/>
  <c r="W44" i="53"/>
  <c r="AF46" i="53"/>
  <c r="AF48" i="53"/>
  <c r="AF50" i="53"/>
  <c r="AF54" i="53"/>
  <c r="AD54" i="53"/>
  <c r="F85" i="55"/>
  <c r="F84" i="55"/>
  <c r="F82" i="55"/>
  <c r="F81" i="55"/>
  <c r="F80" i="55"/>
  <c r="F79" i="55"/>
  <c r="F78" i="55"/>
  <c r="F77" i="55"/>
  <c r="F76" i="55"/>
  <c r="F75" i="55"/>
  <c r="F74" i="55"/>
  <c r="I84" i="55"/>
  <c r="C84" i="55"/>
  <c r="G54" i="53" s="1"/>
  <c r="B84" i="55"/>
  <c r="I82" i="55"/>
  <c r="C82" i="55"/>
  <c r="B82" i="55"/>
  <c r="I81" i="55"/>
  <c r="C81" i="55"/>
  <c r="B81" i="55"/>
  <c r="I80" i="55"/>
  <c r="C80" i="55"/>
  <c r="B80" i="55"/>
  <c r="I79" i="55"/>
  <c r="C79" i="55"/>
  <c r="B79" i="55"/>
  <c r="I78" i="55"/>
  <c r="C78" i="55"/>
  <c r="G43" i="53" s="1"/>
  <c r="B78" i="55"/>
  <c r="I77" i="55"/>
  <c r="C77" i="55"/>
  <c r="G42" i="53" s="1"/>
  <c r="B77" i="55"/>
  <c r="I76" i="55"/>
  <c r="C76" i="55"/>
  <c r="B76" i="55"/>
  <c r="I75" i="55"/>
  <c r="C75" i="55"/>
  <c r="B75" i="55"/>
  <c r="I85" i="55"/>
  <c r="C85" i="55"/>
  <c r="G40" i="53" s="1"/>
  <c r="B85" i="55"/>
  <c r="N58" i="53"/>
  <c r="N2" i="53"/>
  <c r="K2" i="53"/>
  <c r="J2" i="53"/>
  <c r="U58" i="53"/>
  <c r="V58" i="53"/>
  <c r="Z58" i="53"/>
  <c r="AA58" i="53"/>
  <c r="AB58" i="53"/>
  <c r="AC58" i="53"/>
  <c r="P49" i="55"/>
  <c r="S49" i="55" s="1"/>
  <c r="P52" i="55"/>
  <c r="P59" i="55"/>
  <c r="P60" i="55"/>
  <c r="R60" i="55" s="1"/>
  <c r="P62" i="55"/>
  <c r="P71" i="55"/>
  <c r="P65" i="55"/>
  <c r="R65" i="55" s="1"/>
  <c r="B67" i="55"/>
  <c r="B63" i="55"/>
  <c r="P68" i="55"/>
  <c r="S68" i="55" s="1"/>
  <c r="S58" i="55"/>
  <c r="H16" i="53"/>
  <c r="D64" i="55" s="1" a="1"/>
  <c r="D64" i="55" s="1"/>
  <c r="Q42" i="55"/>
  <c r="P42" i="55"/>
  <c r="Q19" i="55"/>
  <c r="P19" i="55"/>
  <c r="J13" i="55"/>
  <c r="R13" i="55" s="1"/>
  <c r="P13" i="55"/>
  <c r="S13" i="55" s="1"/>
  <c r="J18" i="55"/>
  <c r="R18" i="55" s="1"/>
  <c r="J24" i="55"/>
  <c r="R24" i="55" s="1"/>
  <c r="J25" i="55"/>
  <c r="R25" i="55" s="1"/>
  <c r="J26" i="55"/>
  <c r="R26" i="55" s="1"/>
  <c r="J27" i="55"/>
  <c r="R27" i="55" s="1"/>
  <c r="C86" i="55"/>
  <c r="C74" i="55"/>
  <c r="C73" i="55"/>
  <c r="C72" i="55"/>
  <c r="C70" i="55"/>
  <c r="F86" i="55"/>
  <c r="I13" i="55"/>
  <c r="I18" i="55"/>
  <c r="I27" i="55"/>
  <c r="I30" i="55"/>
  <c r="I31" i="55"/>
  <c r="I43" i="55"/>
  <c r="I39" i="55"/>
  <c r="I46" i="55"/>
  <c r="I53" i="55"/>
  <c r="I54" i="55"/>
  <c r="I55" i="55"/>
  <c r="I56" i="55"/>
  <c r="J44" i="55"/>
  <c r="R44" i="55" s="1"/>
  <c r="P38" i="55"/>
  <c r="R38" i="55" s="1"/>
  <c r="J29" i="55"/>
  <c r="R29" i="55" s="1"/>
  <c r="J30" i="55"/>
  <c r="R30" i="55" s="1"/>
  <c r="P30" i="55"/>
  <c r="S30" i="55" s="1"/>
  <c r="J31" i="55"/>
  <c r="R31" i="55" s="1"/>
  <c r="B74" i="55"/>
  <c r="C71" i="55"/>
  <c r="Q71" i="55"/>
  <c r="I71" i="55"/>
  <c r="F71" i="55"/>
  <c r="Q72" i="55"/>
  <c r="I72" i="55"/>
  <c r="F72" i="55"/>
  <c r="Q73" i="55"/>
  <c r="I73" i="55"/>
  <c r="F73" i="55"/>
  <c r="Q74" i="55"/>
  <c r="I74" i="55"/>
  <c r="Q86" i="55"/>
  <c r="I86" i="55"/>
  <c r="B86" i="55"/>
  <c r="B8" i="55"/>
  <c r="AF38" i="53"/>
  <c r="AD38" i="53"/>
  <c r="W38" i="53"/>
  <c r="F67" i="55"/>
  <c r="I67" i="55"/>
  <c r="P67" i="55"/>
  <c r="R67" i="55" s="1"/>
  <c r="Q67" i="55"/>
  <c r="F68" i="55"/>
  <c r="I68" i="55"/>
  <c r="Q68" i="55"/>
  <c r="F69" i="55"/>
  <c r="Q69" i="55"/>
  <c r="F70" i="55"/>
  <c r="Q70" i="55"/>
  <c r="C67" i="55"/>
  <c r="G38" i="53" s="1"/>
  <c r="C68" i="55"/>
  <c r="G39" i="53" s="1"/>
  <c r="C69" i="55"/>
  <c r="W15" i="53"/>
  <c r="AD15" i="53"/>
  <c r="AF15" i="53"/>
  <c r="B15" i="55"/>
  <c r="C15" i="55"/>
  <c r="G15" i="53" s="1"/>
  <c r="H15" i="55"/>
  <c r="F15" i="55"/>
  <c r="I15" i="55"/>
  <c r="J15" i="55"/>
  <c r="Q15" i="55"/>
  <c r="I11" i="52"/>
  <c r="Q18" i="55"/>
  <c r="W14" i="53"/>
  <c r="S18" i="59"/>
  <c r="R18" i="59"/>
  <c r="Q18" i="59"/>
  <c r="P18" i="59"/>
  <c r="B18" i="59"/>
  <c r="AD6" i="53"/>
  <c r="AD7" i="53"/>
  <c r="AD8" i="53"/>
  <c r="AD9" i="53"/>
  <c r="AD11" i="53"/>
  <c r="AD12" i="53"/>
  <c r="AD13" i="53"/>
  <c r="P11" i="55"/>
  <c r="S11" i="55" s="1"/>
  <c r="AD14" i="53"/>
  <c r="AD16" i="53"/>
  <c r="AD17" i="53"/>
  <c r="AD18" i="53"/>
  <c r="AD19" i="53"/>
  <c r="AD20" i="53"/>
  <c r="AD21" i="53"/>
  <c r="AD22" i="53"/>
  <c r="AD23" i="53"/>
  <c r="P23" i="55"/>
  <c r="Q23" i="55"/>
  <c r="AD25" i="53"/>
  <c r="AD26" i="53"/>
  <c r="AD27" i="53"/>
  <c r="AD28" i="53"/>
  <c r="AD29" i="53"/>
  <c r="AD30" i="53"/>
  <c r="AD31" i="53"/>
  <c r="P41" i="55"/>
  <c r="Q41" i="55"/>
  <c r="J41" i="55"/>
  <c r="AD33" i="53"/>
  <c r="AD34" i="53"/>
  <c r="Q47" i="55"/>
  <c r="P50" i="55"/>
  <c r="Q50" i="55"/>
  <c r="P56" i="55"/>
  <c r="R56" i="55" s="1"/>
  <c r="AD36" i="53"/>
  <c r="AD37" i="53"/>
  <c r="AD39" i="53"/>
  <c r="P11" i="59"/>
  <c r="P12" i="59"/>
  <c r="P13" i="59"/>
  <c r="K18" i="59"/>
  <c r="J18" i="59"/>
  <c r="I18" i="59"/>
  <c r="H18" i="59"/>
  <c r="W13" i="53"/>
  <c r="W16" i="53"/>
  <c r="W18" i="53"/>
  <c r="W7" i="53"/>
  <c r="W8" i="53"/>
  <c r="W9" i="53"/>
  <c r="W11" i="53"/>
  <c r="W12" i="53"/>
  <c r="W17" i="53"/>
  <c r="W19" i="53"/>
  <c r="W20" i="53"/>
  <c r="W21" i="53"/>
  <c r="W22" i="53"/>
  <c r="W23" i="53"/>
  <c r="W24" i="53"/>
  <c r="W25" i="53"/>
  <c r="W26" i="53"/>
  <c r="W27" i="53"/>
  <c r="W28" i="53"/>
  <c r="W29" i="53"/>
  <c r="W30" i="53"/>
  <c r="W31" i="53"/>
  <c r="W32" i="53"/>
  <c r="W33" i="53"/>
  <c r="W34" i="53"/>
  <c r="W35" i="53"/>
  <c r="W36" i="53"/>
  <c r="W37" i="53"/>
  <c r="W39" i="53"/>
  <c r="E18" i="59"/>
  <c r="D18" i="59"/>
  <c r="C18" i="59"/>
  <c r="S19" i="59"/>
  <c r="R19" i="59"/>
  <c r="Q19" i="59"/>
  <c r="P19" i="59"/>
  <c r="P20" i="59"/>
  <c r="O19" i="59"/>
  <c r="U19" i="59" s="1"/>
  <c r="K19" i="59"/>
  <c r="K20" i="59"/>
  <c r="J19" i="59"/>
  <c r="I19" i="59"/>
  <c r="H19" i="59"/>
  <c r="G19" i="59"/>
  <c r="M19" i="59" s="1"/>
  <c r="E19" i="59"/>
  <c r="E20" i="59"/>
  <c r="D19" i="59"/>
  <c r="C19" i="59"/>
  <c r="N19" i="59" s="1"/>
  <c r="B19" i="59"/>
  <c r="T19" i="59" s="1"/>
  <c r="S11" i="59"/>
  <c r="R11" i="59"/>
  <c r="Q11" i="59"/>
  <c r="K11" i="59"/>
  <c r="J11" i="59"/>
  <c r="I11" i="59"/>
  <c r="H11" i="59"/>
  <c r="H12" i="59"/>
  <c r="H13" i="59"/>
  <c r="E11" i="59"/>
  <c r="D11" i="59"/>
  <c r="C11" i="59"/>
  <c r="B11" i="59"/>
  <c r="S12" i="59"/>
  <c r="R12" i="59"/>
  <c r="R13" i="59"/>
  <c r="Q12" i="59"/>
  <c r="O12" i="59"/>
  <c r="U12" i="59" s="1"/>
  <c r="K12" i="59"/>
  <c r="J12" i="59"/>
  <c r="I12" i="59"/>
  <c r="G12" i="59"/>
  <c r="M12" i="59" s="1"/>
  <c r="E12" i="59"/>
  <c r="D12" i="59"/>
  <c r="C12" i="59"/>
  <c r="N12" i="59" s="1"/>
  <c r="B12" i="59"/>
  <c r="V12" i="59" s="1"/>
  <c r="S5" i="59"/>
  <c r="R5" i="59"/>
  <c r="Q5" i="59"/>
  <c r="P5" i="59"/>
  <c r="O5" i="59"/>
  <c r="U5" i="59" s="1"/>
  <c r="K5" i="59"/>
  <c r="J5" i="59"/>
  <c r="I5" i="59"/>
  <c r="H5" i="59"/>
  <c r="G5" i="59"/>
  <c r="M5" i="59" s="1"/>
  <c r="E5" i="59"/>
  <c r="D5" i="59"/>
  <c r="C5" i="59"/>
  <c r="L5" i="59" s="1"/>
  <c r="B5" i="59"/>
  <c r="F5" i="59" s="1"/>
  <c r="S4" i="59"/>
  <c r="R4" i="59"/>
  <c r="Q4" i="59"/>
  <c r="Q6" i="59"/>
  <c r="P4" i="59"/>
  <c r="P6" i="59"/>
  <c r="K4" i="59"/>
  <c r="J4" i="59"/>
  <c r="I4" i="59"/>
  <c r="H4" i="59"/>
  <c r="E4" i="59"/>
  <c r="D4" i="59"/>
  <c r="C4" i="59"/>
  <c r="B4" i="59"/>
  <c r="AF10" i="53"/>
  <c r="O6" i="53"/>
  <c r="AF9" i="53"/>
  <c r="AF8" i="53"/>
  <c r="AF7" i="53"/>
  <c r="AF39" i="53"/>
  <c r="AF37" i="53"/>
  <c r="AF36" i="53"/>
  <c r="AF35" i="53"/>
  <c r="AF34" i="53"/>
  <c r="AF33" i="53"/>
  <c r="AF32" i="53"/>
  <c r="AF31" i="53"/>
  <c r="AF30" i="53"/>
  <c r="AF29" i="53"/>
  <c r="AF28" i="53"/>
  <c r="AF27" i="53"/>
  <c r="AF26" i="53"/>
  <c r="AF25" i="53"/>
  <c r="AF24" i="53"/>
  <c r="AF23" i="53"/>
  <c r="AF22" i="53"/>
  <c r="AF21" i="53"/>
  <c r="AF20" i="53"/>
  <c r="AF19" i="53"/>
  <c r="AF18" i="53"/>
  <c r="AF17" i="53"/>
  <c r="AF16" i="53"/>
  <c r="AF14" i="53"/>
  <c r="AF13" i="53"/>
  <c r="AF12" i="53"/>
  <c r="AF11" i="53"/>
  <c r="Q66" i="55"/>
  <c r="I66" i="55"/>
  <c r="F66" i="55"/>
  <c r="C66" i="55"/>
  <c r="B66" i="55"/>
  <c r="Q65" i="55"/>
  <c r="I65" i="55"/>
  <c r="F65" i="55"/>
  <c r="C65" i="55"/>
  <c r="B65" i="55"/>
  <c r="Q64" i="55"/>
  <c r="I64" i="55"/>
  <c r="F64" i="55"/>
  <c r="C64" i="55"/>
  <c r="B64" i="55"/>
  <c r="I63" i="55"/>
  <c r="F63" i="55"/>
  <c r="C63" i="55"/>
  <c r="Q62" i="55"/>
  <c r="I62" i="55"/>
  <c r="F62" i="55"/>
  <c r="C62" i="55"/>
  <c r="B62" i="55"/>
  <c r="Q61" i="55"/>
  <c r="I61" i="55"/>
  <c r="F61" i="55"/>
  <c r="C61" i="55"/>
  <c r="B61" i="55"/>
  <c r="Q60" i="55"/>
  <c r="F60" i="55"/>
  <c r="C60" i="55"/>
  <c r="B60" i="55"/>
  <c r="Q59" i="55"/>
  <c r="F59" i="55"/>
  <c r="C59" i="55"/>
  <c r="B59" i="55"/>
  <c r="I58" i="55"/>
  <c r="F58" i="55"/>
  <c r="C58" i="55"/>
  <c r="G37" i="53" s="1"/>
  <c r="B58" i="55"/>
  <c r="Q57" i="55"/>
  <c r="J57" i="55"/>
  <c r="I57" i="55"/>
  <c r="F57" i="55"/>
  <c r="C57" i="55"/>
  <c r="G36" i="53" s="1"/>
  <c r="B57" i="55"/>
  <c r="Q56" i="55"/>
  <c r="F56" i="55"/>
  <c r="C56" i="55"/>
  <c r="B56" i="55"/>
  <c r="Q55" i="55"/>
  <c r="F55" i="55"/>
  <c r="C55" i="55"/>
  <c r="B55" i="55"/>
  <c r="Q54" i="55"/>
  <c r="F54" i="55"/>
  <c r="C54" i="55"/>
  <c r="B54" i="55"/>
  <c r="Q53" i="55"/>
  <c r="F53" i="55"/>
  <c r="C53" i="55"/>
  <c r="B53" i="55"/>
  <c r="Q52" i="55"/>
  <c r="F52" i="55"/>
  <c r="C52" i="55"/>
  <c r="B52" i="55"/>
  <c r="Q51" i="55"/>
  <c r="F51" i="55"/>
  <c r="C51" i="55"/>
  <c r="B51" i="55"/>
  <c r="J50" i="55"/>
  <c r="I50" i="55"/>
  <c r="F50" i="55"/>
  <c r="C50" i="55"/>
  <c r="G35" i="53" s="1"/>
  <c r="B50" i="55"/>
  <c r="Q49" i="55"/>
  <c r="F49" i="55"/>
  <c r="C49" i="55"/>
  <c r="B49" i="55"/>
  <c r="Q48" i="55"/>
  <c r="F48" i="55"/>
  <c r="C48" i="55"/>
  <c r="B48" i="55"/>
  <c r="F47" i="55"/>
  <c r="C47" i="55"/>
  <c r="B47" i="55"/>
  <c r="Q46" i="55"/>
  <c r="F46" i="55"/>
  <c r="C46" i="55"/>
  <c r="B46" i="55"/>
  <c r="Q45" i="55"/>
  <c r="J45" i="55"/>
  <c r="P45" i="55"/>
  <c r="I45" i="55"/>
  <c r="F45" i="55"/>
  <c r="C45" i="55"/>
  <c r="G34" i="53" s="1"/>
  <c r="B45" i="55"/>
  <c r="Q44" i="55"/>
  <c r="P44" i="55"/>
  <c r="S44" i="55" s="1"/>
  <c r="I44" i="55"/>
  <c r="F44" i="55"/>
  <c r="C44" i="55"/>
  <c r="B44" i="55"/>
  <c r="Q43" i="55"/>
  <c r="F43" i="55"/>
  <c r="C43" i="55"/>
  <c r="B43" i="55"/>
  <c r="J42" i="55"/>
  <c r="I42" i="55"/>
  <c r="F42" i="55"/>
  <c r="C42" i="55"/>
  <c r="G33" i="53" s="1"/>
  <c r="B42" i="55"/>
  <c r="I41" i="55"/>
  <c r="F41" i="55"/>
  <c r="C41" i="55"/>
  <c r="G32" i="53" s="1"/>
  <c r="B41" i="55"/>
  <c r="Q40" i="55"/>
  <c r="J40" i="55"/>
  <c r="P40" i="55"/>
  <c r="I40" i="55"/>
  <c r="F40" i="55"/>
  <c r="C40" i="55"/>
  <c r="G31" i="53" s="1"/>
  <c r="B40" i="55"/>
  <c r="Q39" i="55"/>
  <c r="F39" i="55"/>
  <c r="C39" i="55"/>
  <c r="B39" i="55"/>
  <c r="Q38" i="55"/>
  <c r="F38" i="55"/>
  <c r="C38" i="55"/>
  <c r="B38" i="55"/>
  <c r="Q37" i="55"/>
  <c r="J37" i="55"/>
  <c r="R37" i="55" s="1"/>
  <c r="P37" i="55"/>
  <c r="S37" i="55" s="1"/>
  <c r="I37" i="55"/>
  <c r="F37" i="55"/>
  <c r="C37" i="55"/>
  <c r="B37" i="55"/>
  <c r="Q36" i="55"/>
  <c r="J36" i="55"/>
  <c r="I36" i="55"/>
  <c r="F36" i="55"/>
  <c r="C36" i="55"/>
  <c r="G30" i="53" s="1"/>
  <c r="B36" i="55"/>
  <c r="Q35" i="55"/>
  <c r="J35" i="55"/>
  <c r="P35" i="55"/>
  <c r="I35" i="55"/>
  <c r="F35" i="55"/>
  <c r="C35" i="55"/>
  <c r="G29" i="53" s="1"/>
  <c r="B35" i="55"/>
  <c r="Q34" i="55"/>
  <c r="J34" i="55"/>
  <c r="P34" i="55"/>
  <c r="I34" i="55"/>
  <c r="F34" i="55"/>
  <c r="C34" i="55"/>
  <c r="G28" i="53" s="1"/>
  <c r="B34" i="55"/>
  <c r="Q33" i="55"/>
  <c r="J33" i="55"/>
  <c r="I33" i="55"/>
  <c r="F33" i="55"/>
  <c r="C33" i="55"/>
  <c r="G27" i="53" s="1"/>
  <c r="B33" i="55"/>
  <c r="Q32" i="55"/>
  <c r="J32" i="55"/>
  <c r="I32" i="55"/>
  <c r="F32" i="55"/>
  <c r="C32" i="55"/>
  <c r="G26" i="53" s="1"/>
  <c r="B32" i="55"/>
  <c r="Q31" i="55"/>
  <c r="P31" i="55"/>
  <c r="S31" i="55" s="1"/>
  <c r="F31" i="55"/>
  <c r="C31" i="55"/>
  <c r="B31" i="55"/>
  <c r="Q30" i="55"/>
  <c r="F30" i="55"/>
  <c r="C30" i="55"/>
  <c r="B30" i="55"/>
  <c r="Q29" i="55"/>
  <c r="F29" i="55"/>
  <c r="C29" i="55"/>
  <c r="B29" i="55"/>
  <c r="Q28" i="55"/>
  <c r="J28" i="55"/>
  <c r="I28" i="55"/>
  <c r="F28" i="55"/>
  <c r="C28" i="55"/>
  <c r="G25" i="53" s="1"/>
  <c r="B28" i="55"/>
  <c r="Q27" i="55"/>
  <c r="P27" i="55"/>
  <c r="S27" i="55" s="1"/>
  <c r="F27" i="55"/>
  <c r="C27" i="55"/>
  <c r="B27" i="55"/>
  <c r="Q26" i="55"/>
  <c r="F26" i="55"/>
  <c r="C26" i="55"/>
  <c r="B26" i="55"/>
  <c r="Q25" i="55"/>
  <c r="F25" i="55"/>
  <c r="C25" i="55"/>
  <c r="B25" i="55"/>
  <c r="Q24" i="55"/>
  <c r="F24" i="55"/>
  <c r="C24" i="55"/>
  <c r="B24" i="55"/>
  <c r="J23" i="55"/>
  <c r="I23" i="55"/>
  <c r="F23" i="55"/>
  <c r="C23" i="55"/>
  <c r="G24" i="53" s="1"/>
  <c r="B23" i="55"/>
  <c r="J22" i="55"/>
  <c r="R22" i="55" s="1"/>
  <c r="F22" i="55"/>
  <c r="C22" i="55"/>
  <c r="B22" i="55"/>
  <c r="J21" i="55"/>
  <c r="R21" i="55" s="1"/>
  <c r="I21" i="55"/>
  <c r="F21" i="55"/>
  <c r="C21" i="55"/>
  <c r="B21" i="55"/>
  <c r="Q20" i="55"/>
  <c r="J20" i="55"/>
  <c r="P20" i="55"/>
  <c r="I20" i="55"/>
  <c r="F20" i="55"/>
  <c r="C20" i="55"/>
  <c r="G21" i="53" s="1"/>
  <c r="B20" i="55"/>
  <c r="J19" i="55"/>
  <c r="I19" i="55"/>
  <c r="F19" i="55"/>
  <c r="C19" i="55"/>
  <c r="G20" i="53" s="1"/>
  <c r="B19" i="55"/>
  <c r="F18" i="55"/>
  <c r="C18" i="55"/>
  <c r="B18" i="55"/>
  <c r="Q17" i="55"/>
  <c r="J17" i="55"/>
  <c r="P17" i="55"/>
  <c r="I17" i="55"/>
  <c r="F17" i="55"/>
  <c r="C17" i="55"/>
  <c r="G19" i="53" s="1"/>
  <c r="B17" i="55"/>
  <c r="Q16" i="55"/>
  <c r="J16" i="55"/>
  <c r="I16" i="55"/>
  <c r="F16" i="55"/>
  <c r="C16" i="55"/>
  <c r="B16" i="55"/>
  <c r="B7" i="55"/>
  <c r="B6" i="59"/>
  <c r="F6" i="59" s="1"/>
  <c r="S2" i="53"/>
  <c r="C13" i="59"/>
  <c r="L13" i="59" s="1"/>
  <c r="I7" i="55"/>
  <c r="D20" i="59"/>
  <c r="D13" i="59"/>
  <c r="D6" i="59"/>
  <c r="I8" i="55"/>
  <c r="AC2" i="53"/>
  <c r="AB2" i="53"/>
  <c r="AA2" i="53"/>
  <c r="Z2" i="53"/>
  <c r="V2" i="53"/>
  <c r="U2" i="53"/>
  <c r="T2" i="53"/>
  <c r="Q2" i="53"/>
  <c r="S6" i="59"/>
  <c r="R6" i="59"/>
  <c r="K6" i="59"/>
  <c r="J6" i="59"/>
  <c r="I6" i="59"/>
  <c r="H6" i="59"/>
  <c r="E6" i="59"/>
  <c r="C6" i="59"/>
  <c r="N6" i="59" s="1"/>
  <c r="AF6" i="53"/>
  <c r="I9" i="55"/>
  <c r="I10" i="55"/>
  <c r="I12" i="55"/>
  <c r="I14" i="55"/>
  <c r="S9" i="55"/>
  <c r="Q10" i="55"/>
  <c r="Q11" i="55"/>
  <c r="Q12" i="55"/>
  <c r="P12" i="55"/>
  <c r="S12" i="55" s="1"/>
  <c r="Q13" i="55"/>
  <c r="Q14" i="55"/>
  <c r="Q7" i="55"/>
  <c r="J9" i="55"/>
  <c r="R9" i="55" s="1"/>
  <c r="J10" i="55"/>
  <c r="P10" i="55"/>
  <c r="J12" i="55"/>
  <c r="R12" i="55" s="1"/>
  <c r="J14" i="55"/>
  <c r="P14" i="55"/>
  <c r="J8" i="55"/>
  <c r="R8" i="55" s="1"/>
  <c r="J7" i="55"/>
  <c r="P7" i="55"/>
  <c r="B13" i="55"/>
  <c r="B14" i="55"/>
  <c r="B9" i="55"/>
  <c r="B10" i="55"/>
  <c r="B11" i="55"/>
  <c r="B12" i="55"/>
  <c r="C7" i="55"/>
  <c r="F14" i="55"/>
  <c r="F8" i="55"/>
  <c r="I3" i="52"/>
  <c r="F9" i="55"/>
  <c r="F10" i="55"/>
  <c r="F11" i="55"/>
  <c r="F12" i="55"/>
  <c r="F13" i="55"/>
  <c r="C9" i="55"/>
  <c r="G10" i="53" s="1"/>
  <c r="C10" i="55"/>
  <c r="C11" i="55"/>
  <c r="C12" i="55"/>
  <c r="C13" i="55"/>
  <c r="C14" i="55"/>
  <c r="G14" i="53" s="1"/>
  <c r="C8" i="55"/>
  <c r="G9" i="53" s="1"/>
  <c r="I13" i="52"/>
  <c r="I12" i="52"/>
  <c r="I10" i="52"/>
  <c r="I9" i="52"/>
  <c r="I8" i="52"/>
  <c r="I7" i="52"/>
  <c r="I6" i="52"/>
  <c r="I5" i="52"/>
  <c r="I4" i="52"/>
  <c r="J20" i="59"/>
  <c r="K13" i="59"/>
  <c r="J13" i="59"/>
  <c r="S13" i="59"/>
  <c r="S20" i="59"/>
  <c r="R20" i="59"/>
  <c r="H20" i="59"/>
  <c r="C20" i="59"/>
  <c r="N20" i="59" s="1"/>
  <c r="B20" i="59"/>
  <c r="T20" i="59" s="1"/>
  <c r="B13" i="59"/>
  <c r="T13" i="59" s="1"/>
  <c r="Q13" i="59"/>
  <c r="I13" i="59"/>
  <c r="E13" i="59"/>
  <c r="Q20" i="59"/>
  <c r="I20" i="59"/>
  <c r="G6" i="59"/>
  <c r="M6" i="59" s="1"/>
  <c r="G13" i="59"/>
  <c r="M13" i="59" s="1"/>
  <c r="G20" i="59"/>
  <c r="M20" i="59" s="1"/>
  <c r="C7" i="26"/>
  <c r="D7" i="26" s="1"/>
  <c r="E2" i="26"/>
  <c r="F12" i="26" s="1"/>
  <c r="M12"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6" i="59"/>
  <c r="U6" i="59" s="1"/>
  <c r="O13" i="59"/>
  <c r="U13" i="59" s="1"/>
  <c r="O20" i="59"/>
  <c r="U20" i="59" s="1"/>
  <c r="F7" i="55"/>
  <c r="S8" i="55"/>
  <c r="AD24" i="53"/>
  <c r="AD35" i="53"/>
  <c r="P57" i="55"/>
  <c r="P28" i="55"/>
  <c r="P36" i="55"/>
  <c r="P15" i="55"/>
  <c r="P46" i="55"/>
  <c r="S46" i="55" s="1"/>
  <c r="P55" i="55"/>
  <c r="R55" i="55" s="1"/>
  <c r="P33" i="55"/>
  <c r="P39" i="55"/>
  <c r="S39" i="55" s="1"/>
  <c r="P32" i="55"/>
  <c r="P53" i="55"/>
  <c r="R53" i="55" s="1"/>
  <c r="AD32" i="53"/>
  <c r="P54" i="55"/>
  <c r="R54" i="55" s="1"/>
  <c r="S22" i="55"/>
  <c r="P18" i="55"/>
  <c r="S18" i="55" s="1"/>
  <c r="P43" i="55"/>
  <c r="R43" i="55" s="1"/>
  <c r="AE12" i="26"/>
  <c r="B12" i="26"/>
  <c r="X12" i="26"/>
  <c r="AF12" i="26"/>
  <c r="AJ14" i="26"/>
  <c r="N56" i="55" a="1"/>
  <c r="N56" i="55" s="1"/>
  <c r="N89" i="55"/>
  <c r="N65" i="55" a="1"/>
  <c r="N65" i="55" s="1"/>
  <c r="N42" i="55" a="1"/>
  <c r="N42" i="55" s="1"/>
  <c r="W6" i="53"/>
  <c r="N33" i="55" a="1"/>
  <c r="N33" i="55" s="1"/>
  <c r="Q12" i="26"/>
  <c r="S21" i="55"/>
  <c r="AA12" i="26"/>
  <c r="V12" i="26"/>
  <c r="P12" i="26"/>
  <c r="AH12" i="26"/>
  <c r="AJ12" i="26"/>
  <c r="Y12" i="26"/>
  <c r="K12" i="26"/>
  <c r="U12" i="26"/>
  <c r="AK14" i="26"/>
  <c r="AG12" i="26"/>
  <c r="D12" i="26"/>
  <c r="AL14" i="26"/>
  <c r="Z12" i="26"/>
  <c r="R14" i="26"/>
  <c r="I12" i="26"/>
  <c r="S63" i="55"/>
  <c r="AL12" i="26"/>
  <c r="L12" i="26"/>
  <c r="AB12" i="26"/>
  <c r="W12" i="26"/>
  <c r="C6" i="26"/>
  <c r="J14" i="26"/>
  <c r="K14" i="26"/>
  <c r="J12" i="26"/>
  <c r="AI14" i="26"/>
  <c r="S12" i="26"/>
  <c r="L14" i="26"/>
  <c r="Q14" i="26"/>
  <c r="AB14" i="26"/>
  <c r="AA14" i="26"/>
  <c r="R12" i="26"/>
  <c r="B6" i="26"/>
  <c r="V14" i="26"/>
  <c r="AK12" i="26"/>
  <c r="X14" i="26"/>
  <c r="R75" i="55"/>
  <c r="T75" i="55"/>
  <c r="N30" i="55" a="1"/>
  <c r="N30" i="55" s="1"/>
  <c r="N20" i="55" a="1"/>
  <c r="N20" i="55" s="1"/>
  <c r="N66" i="55" a="1"/>
  <c r="N66" i="55" s="1"/>
  <c r="N69" i="55" a="1"/>
  <c r="N69" i="55" s="1"/>
  <c r="N37" i="55" a="1"/>
  <c r="N37" i="55" s="1"/>
  <c r="N22" i="55" a="1"/>
  <c r="N22" i="55" s="1"/>
  <c r="N47" i="55" a="1"/>
  <c r="N47" i="55" s="1"/>
  <c r="N43" i="55" a="1"/>
  <c r="N43" i="55" s="1"/>
  <c r="N71" i="55" a="1"/>
  <c r="N71" i="55" s="1"/>
  <c r="N27" i="55" a="1"/>
  <c r="N27" i="55" s="1"/>
  <c r="N48" i="55" a="1"/>
  <c r="N48" i="55" s="1"/>
  <c r="N41" i="55" a="1"/>
  <c r="N41" i="55" s="1"/>
  <c r="N38" i="55" a="1"/>
  <c r="N38" i="55" s="1"/>
  <c r="N60" i="55" a="1"/>
  <c r="N60" i="55" s="1"/>
  <c r="N11" i="55" a="1"/>
  <c r="N11" i="55" s="1"/>
  <c r="N61" i="55" a="1"/>
  <c r="N61" i="55" s="1"/>
  <c r="N36" i="55" a="1"/>
  <c r="N36" i="55" s="1"/>
  <c r="N8" i="55" a="1"/>
  <c r="N8" i="55" s="1"/>
  <c r="N73" i="55" a="1"/>
  <c r="N73" i="55" s="1"/>
  <c r="N74" i="55" a="1"/>
  <c r="N74" i="55" s="1"/>
  <c r="N40" i="55" a="1"/>
  <c r="N40" i="55" s="1"/>
  <c r="N54" i="55" a="1"/>
  <c r="N54" i="55" s="1"/>
  <c r="N21" i="55" a="1"/>
  <c r="N21" i="55" s="1"/>
  <c r="N15" i="55" a="1"/>
  <c r="N15" i="55" s="1"/>
  <c r="N46" i="55" a="1"/>
  <c r="N46" i="55" s="1"/>
  <c r="N34" i="55" a="1"/>
  <c r="N34" i="55" s="1"/>
  <c r="N16" i="55" a="1"/>
  <c r="N16" i="55" s="1"/>
  <c r="N10" i="55" a="1"/>
  <c r="N10" i="55" s="1"/>
  <c r="N35" i="55" a="1"/>
  <c r="N35" i="55" s="1"/>
  <c r="N70" i="55" a="1"/>
  <c r="N70" i="55" s="1"/>
  <c r="N25" i="55" a="1"/>
  <c r="N25" i="55" s="1"/>
  <c r="N53" i="55" a="1"/>
  <c r="N53" i="55" s="1"/>
  <c r="N62" i="55" a="1"/>
  <c r="N62" i="55" s="1"/>
  <c r="N39" i="55" a="1"/>
  <c r="N39" i="55" s="1"/>
  <c r="N29" i="55" a="1"/>
  <c r="N29" i="55" s="1"/>
  <c r="N55" i="55" a="1"/>
  <c r="N55" i="55" s="1"/>
  <c r="N17" i="55" a="1"/>
  <c r="N17" i="55" s="1"/>
  <c r="N18" i="55" a="1"/>
  <c r="N18" i="55" s="1"/>
  <c r="N50" i="55" a="1"/>
  <c r="N50" i="55" s="1"/>
  <c r="N32" i="55" a="1"/>
  <c r="N32" i="55" s="1"/>
  <c r="N51" i="55" a="1"/>
  <c r="N51" i="55" s="1"/>
  <c r="N23" i="55" a="1"/>
  <c r="N23" i="55" s="1"/>
  <c r="N13" i="55" a="1"/>
  <c r="N13" i="55" s="1"/>
  <c r="N19" i="55" a="1"/>
  <c r="N19" i="55" s="1"/>
  <c r="N57" i="55" a="1"/>
  <c r="N57" i="55" s="1"/>
  <c r="N12" i="55" a="1"/>
  <c r="N12" i="55" s="1"/>
  <c r="N2" i="55"/>
  <c r="N49" i="55" a="1"/>
  <c r="N49" i="55" s="1"/>
  <c r="N31" i="55" a="1"/>
  <c r="N31" i="55" s="1"/>
  <c r="N44" i="55" a="1"/>
  <c r="N44" i="55" s="1"/>
  <c r="N24" i="55" a="1"/>
  <c r="N24" i="55" s="1"/>
  <c r="N64" i="55" a="1"/>
  <c r="N64" i="55" s="1"/>
  <c r="N9" i="55" a="1"/>
  <c r="N9" i="55" s="1"/>
  <c r="N14" i="55" a="1"/>
  <c r="N14" i="55" s="1"/>
  <c r="N26" i="55" a="1"/>
  <c r="N26" i="55" s="1"/>
  <c r="N28" i="55" a="1"/>
  <c r="N28" i="55" s="1"/>
  <c r="N52" i="55" a="1"/>
  <c r="N52" i="55" s="1"/>
  <c r="N72" i="55" a="1"/>
  <c r="N72" i="55" s="1"/>
  <c r="N45" i="55" a="1"/>
  <c r="N45" i="55" s="1"/>
  <c r="N59" i="55" a="1"/>
  <c r="N59" i="55" s="1"/>
  <c r="N86" i="55" a="1"/>
  <c r="N86" i="55" s="1"/>
  <c r="AI12" i="26"/>
  <c r="H12" i="26"/>
  <c r="AH14" i="26"/>
  <c r="I14" i="26"/>
  <c r="T14" i="26"/>
  <c r="AD14" i="26"/>
  <c r="R82" i="55"/>
  <c r="R80" i="55"/>
  <c r="P70" i="55"/>
  <c r="S70" i="55" s="1"/>
  <c r="V19" i="59"/>
  <c r="D5" i="57"/>
  <c r="D9" i="57"/>
  <c r="D11" i="57"/>
  <c r="D8" i="57"/>
  <c r="D7" i="57"/>
  <c r="D10" i="57"/>
  <c r="D6" i="57"/>
  <c r="D12" i="57"/>
  <c r="M2" i="53" l="1"/>
  <c r="T22" i="55"/>
  <c r="T58" i="55"/>
  <c r="R39" i="55"/>
  <c r="T39" i="55" s="1"/>
  <c r="S81" i="55"/>
  <c r="S82" i="55"/>
  <c r="G44" i="53"/>
  <c r="G45" i="53"/>
  <c r="G46" i="53"/>
  <c r="G47" i="53"/>
  <c r="G22" i="53"/>
  <c r="G23" i="53"/>
  <c r="G52" i="53"/>
  <c r="G53" i="53"/>
  <c r="G48" i="53"/>
  <c r="G49" i="53"/>
  <c r="G12" i="53"/>
  <c r="G13" i="53"/>
  <c r="G11" i="53"/>
  <c r="G18" i="53"/>
  <c r="G17" i="53"/>
  <c r="G51" i="53"/>
  <c r="G50" i="53"/>
  <c r="G8" i="53"/>
  <c r="G7" i="53"/>
  <c r="S80" i="55"/>
  <c r="O58" i="55"/>
  <c r="G6" i="53"/>
  <c r="R50" i="55"/>
  <c r="F19" i="59"/>
  <c r="S38" i="55"/>
  <c r="T38" i="55" s="1"/>
  <c r="D78" i="55" a="1"/>
  <c r="D78" i="55" s="1"/>
  <c r="D84" i="55" a="1"/>
  <c r="D84" i="55" s="1"/>
  <c r="S35" i="55"/>
  <c r="L20" i="59"/>
  <c r="T5" i="59"/>
  <c r="D12" i="55" a="1"/>
  <c r="D12" i="55" s="1"/>
  <c r="G12" i="55" s="1"/>
  <c r="D76" i="55" a="1"/>
  <c r="D76" i="55" s="1"/>
  <c r="D68" i="55" a="1"/>
  <c r="D68" i="55" s="1"/>
  <c r="D80" i="55" a="1"/>
  <c r="D80" i="55" s="1"/>
  <c r="V5" i="59"/>
  <c r="S23" i="55"/>
  <c r="P86" i="55"/>
  <c r="R86" i="55" s="1"/>
  <c r="R17" i="55"/>
  <c r="B21" i="59"/>
  <c r="D21" i="59"/>
  <c r="S65" i="55"/>
  <c r="T65" i="55" s="1"/>
  <c r="P26" i="55"/>
  <c r="S26" i="55" s="1"/>
  <c r="T26" i="55" s="1"/>
  <c r="D58" i="55" a="1"/>
  <c r="D58" i="55" s="1"/>
  <c r="H58" i="55" s="1"/>
  <c r="D81" i="55" a="1"/>
  <c r="D81" i="55" s="1"/>
  <c r="D69" i="55" a="1"/>
  <c r="D69" i="55" s="1"/>
  <c r="D36" i="55" a="1"/>
  <c r="D36" i="55" s="1"/>
  <c r="G36" i="55" s="1"/>
  <c r="D85" i="55" a="1"/>
  <c r="D85" i="55" s="1"/>
  <c r="D83" i="55" a="1"/>
  <c r="D83" i="55" s="1"/>
  <c r="S28" i="55"/>
  <c r="S53" i="55"/>
  <c r="T53" i="55" s="1"/>
  <c r="R57" i="55"/>
  <c r="R41" i="55"/>
  <c r="S20" i="55"/>
  <c r="D31" i="55" a="1"/>
  <c r="D31" i="55" s="1"/>
  <c r="G31" i="55" s="1"/>
  <c r="D49" i="55" a="1"/>
  <c r="D49" i="55" s="1"/>
  <c r="R68" i="55"/>
  <c r="T68" i="55" s="1"/>
  <c r="D21" i="55" a="1"/>
  <c r="D21" i="55" s="1"/>
  <c r="H21" i="55" s="1"/>
  <c r="R34" i="55"/>
  <c r="V6" i="59"/>
  <c r="P51" i="55"/>
  <c r="R36" i="55"/>
  <c r="R32" i="55"/>
  <c r="S42" i="55"/>
  <c r="P16" i="55"/>
  <c r="S16" i="55" s="1"/>
  <c r="S34" i="55"/>
  <c r="D45" i="55" a="1"/>
  <c r="D45" i="55" s="1"/>
  <c r="H45" i="55" s="1"/>
  <c r="R49" i="55"/>
  <c r="T49" i="55" s="1"/>
  <c r="D48" i="55" a="1"/>
  <c r="D48" i="55" s="1"/>
  <c r="N18" i="59"/>
  <c r="D32" i="55" a="1"/>
  <c r="D32" i="55" s="1"/>
  <c r="H32" i="55" s="1"/>
  <c r="D14" i="55" a="1"/>
  <c r="D14" i="55" s="1"/>
  <c r="G14" i="55" s="1"/>
  <c r="S60" i="55"/>
  <c r="T60" i="55" s="1"/>
  <c r="D26" i="55" a="1"/>
  <c r="D26" i="55" s="1"/>
  <c r="G18" i="59"/>
  <c r="G21" i="59" s="1"/>
  <c r="D44" i="55" a="1"/>
  <c r="D44" i="55" s="1"/>
  <c r="K44" i="55" s="1" a="1"/>
  <c r="K44" i="55" s="1"/>
  <c r="T37" i="55"/>
  <c r="D11" i="55" a="1"/>
  <c r="D11" i="55" s="1"/>
  <c r="S14" i="59"/>
  <c r="D25" i="55" a="1"/>
  <c r="D25" i="55" s="1"/>
  <c r="D50" i="55" a="1"/>
  <c r="D50" i="55" s="1"/>
  <c r="G50" i="55" s="1"/>
  <c r="T12" i="55"/>
  <c r="K21" i="59"/>
  <c r="N5" i="59"/>
  <c r="D42" i="55" a="1"/>
  <c r="D42" i="55" s="1"/>
  <c r="H42" i="55" s="1"/>
  <c r="D33" i="55" a="1"/>
  <c r="D33" i="55" s="1"/>
  <c r="G33" i="55" s="1"/>
  <c r="T18" i="55"/>
  <c r="T76" i="55"/>
  <c r="T8" i="55"/>
  <c r="R33" i="55"/>
  <c r="T9" i="55"/>
  <c r="T21" i="55"/>
  <c r="M54" i="55" a="1"/>
  <c r="M54" i="55" s="1"/>
  <c r="O54" i="55" s="1"/>
  <c r="M15" i="55" a="1"/>
  <c r="M15" i="55" s="1"/>
  <c r="O15" i="55" s="1"/>
  <c r="M36" i="55" a="1"/>
  <c r="M36" i="55" s="1"/>
  <c r="O36" i="55" s="1"/>
  <c r="D19" i="55" a="1"/>
  <c r="D19" i="55" s="1"/>
  <c r="R28" i="55"/>
  <c r="V11" i="59"/>
  <c r="D43" i="55" a="1"/>
  <c r="D43" i="55" s="1"/>
  <c r="G43" i="55" s="1"/>
  <c r="M12" i="55" a="1"/>
  <c r="M12" i="55" s="1"/>
  <c r="O12" i="55" s="1"/>
  <c r="D20" i="55" a="1"/>
  <c r="D20" i="55" s="1"/>
  <c r="H20" i="55" s="1"/>
  <c r="S43" i="55"/>
  <c r="T43" i="55" s="1"/>
  <c r="M51" i="55" a="1"/>
  <c r="M51" i="55" s="1"/>
  <c r="O51" i="55" s="1"/>
  <c r="M59" i="55" a="1"/>
  <c r="M59" i="55" s="1"/>
  <c r="O59" i="55" s="1"/>
  <c r="M71" i="55" a="1"/>
  <c r="M71" i="55" s="1"/>
  <c r="O71" i="55" s="1"/>
  <c r="M21" i="55" a="1"/>
  <c r="M21" i="55" s="1"/>
  <c r="O21" i="55" s="1"/>
  <c r="D41" i="55" a="1"/>
  <c r="D41" i="55" s="1"/>
  <c r="G41" i="55" s="1"/>
  <c r="D35" i="55" a="1"/>
  <c r="D35" i="55" s="1"/>
  <c r="G35" i="55" s="1"/>
  <c r="M44" i="55" a="1"/>
  <c r="M44" i="55" s="1"/>
  <c r="O44" i="55" s="1"/>
  <c r="J7" i="59"/>
  <c r="M56" i="55" a="1"/>
  <c r="M56" i="55" s="1"/>
  <c r="O56" i="55" s="1"/>
  <c r="D37" i="55" a="1"/>
  <c r="D37" i="55" s="1"/>
  <c r="L37" i="55" s="1" a="1"/>
  <c r="L37" i="55" s="1"/>
  <c r="M47" i="55" a="1"/>
  <c r="M47" i="55" s="1"/>
  <c r="O47" i="55" s="1"/>
  <c r="D24" i="55" a="1"/>
  <c r="D24" i="55" s="1"/>
  <c r="D51" i="55" a="1"/>
  <c r="D51" i="55" s="1"/>
  <c r="M60" i="55" a="1"/>
  <c r="M60" i="55" s="1"/>
  <c r="O60" i="55" s="1"/>
  <c r="M8" i="55" a="1"/>
  <c r="M8" i="55" s="1"/>
  <c r="O8" i="55" s="1"/>
  <c r="M16" i="55" a="1"/>
  <c r="M16" i="55" s="1"/>
  <c r="O16" i="55" s="1"/>
  <c r="D27" i="55" a="1"/>
  <c r="D27" i="55" s="1"/>
  <c r="G27" i="55" s="1"/>
  <c r="D65" i="55" a="1"/>
  <c r="D65" i="55" s="1"/>
  <c r="M19" i="55" a="1"/>
  <c r="M19" i="55" s="1"/>
  <c r="O19" i="55" s="1"/>
  <c r="Y2" i="53"/>
  <c r="M68" i="55" a="1"/>
  <c r="M68" i="55" s="1"/>
  <c r="O68" i="55" s="1"/>
  <c r="D29" i="55" a="1"/>
  <c r="D29" i="55" s="1"/>
  <c r="D46" i="55" a="1"/>
  <c r="D46" i="55" s="1"/>
  <c r="G46" i="55" s="1"/>
  <c r="M73" i="55" a="1"/>
  <c r="M73" i="55" s="1"/>
  <c r="O73" i="55" s="1"/>
  <c r="R35" i="55"/>
  <c r="T35" i="55" s="1"/>
  <c r="D23" i="55" a="1"/>
  <c r="D23" i="55" s="1"/>
  <c r="D10" i="55" a="1"/>
  <c r="D10" i="55" s="1"/>
  <c r="H10" i="55" s="1"/>
  <c r="M74" i="55" a="1"/>
  <c r="M74" i="55" s="1"/>
  <c r="O74" i="55" s="1"/>
  <c r="M50" i="55" a="1"/>
  <c r="M50" i="55" s="1"/>
  <c r="O50" i="55" s="1"/>
  <c r="M72" i="55" a="1"/>
  <c r="M72" i="55" s="1"/>
  <c r="O72" i="55" s="1"/>
  <c r="M35" i="55" a="1"/>
  <c r="M35" i="55" s="1"/>
  <c r="O35" i="55" s="1"/>
  <c r="D47" i="55" a="1"/>
  <c r="D47" i="55" s="1"/>
  <c r="D18" i="55" a="1"/>
  <c r="D18" i="55" s="1"/>
  <c r="G18" i="55" s="1"/>
  <c r="M26" i="55" a="1"/>
  <c r="M26" i="55" s="1"/>
  <c r="O26" i="55" s="1"/>
  <c r="S83" i="55"/>
  <c r="T83" i="55" s="1"/>
  <c r="M2" i="55"/>
  <c r="M42" i="55" a="1"/>
  <c r="M42" i="55" s="1"/>
  <c r="O42" i="55" s="1"/>
  <c r="D9" i="55" a="1"/>
  <c r="D9" i="55" s="1"/>
  <c r="H9" i="55" s="1"/>
  <c r="D72" i="55" a="1"/>
  <c r="D72" i="55" s="1"/>
  <c r="D28" i="55" a="1"/>
  <c r="D28" i="55" s="1"/>
  <c r="G28" i="55" s="1"/>
  <c r="M66" i="55" a="1"/>
  <c r="M66" i="55" s="1"/>
  <c r="O66" i="55" s="1"/>
  <c r="S41" i="55"/>
  <c r="M18" i="55" a="1"/>
  <c r="M18" i="55" s="1"/>
  <c r="O18" i="55" s="1"/>
  <c r="M31" i="55" a="1"/>
  <c r="M31" i="55" s="1"/>
  <c r="O31" i="55" s="1"/>
  <c r="M65" i="55" a="1"/>
  <c r="M65" i="55" s="1"/>
  <c r="O65" i="55" s="1"/>
  <c r="M14" i="55" a="1"/>
  <c r="M14" i="55" s="1"/>
  <c r="O14" i="55" s="1"/>
  <c r="M52" i="55" a="1"/>
  <c r="M52" i="55" s="1"/>
  <c r="O52" i="55" s="1"/>
  <c r="M7" i="55" a="1"/>
  <c r="M7" i="55" s="1"/>
  <c r="O7" i="55" s="1"/>
  <c r="D17" i="55" a="1"/>
  <c r="D17" i="55" s="1"/>
  <c r="D60" i="55" a="1"/>
  <c r="D60" i="55" s="1"/>
  <c r="D34" i="55" a="1"/>
  <c r="D34" i="55" s="1"/>
  <c r="G34" i="55" s="1"/>
  <c r="P66" i="55"/>
  <c r="M41" i="55" a="1"/>
  <c r="M41" i="55" s="1"/>
  <c r="O41" i="55" s="1"/>
  <c r="M57" i="55" a="1"/>
  <c r="M57" i="55" s="1"/>
  <c r="O57" i="55" s="1"/>
  <c r="M29" i="55" a="1"/>
  <c r="M29" i="55" s="1"/>
  <c r="O29" i="55" s="1"/>
  <c r="M61" i="55" a="1"/>
  <c r="M61" i="55" s="1"/>
  <c r="O61" i="55" s="1"/>
  <c r="D74" i="55" a="1"/>
  <c r="D74" i="55" s="1"/>
  <c r="D8" i="55" a="1"/>
  <c r="D8" i="55" s="1"/>
  <c r="M33" i="55" a="1"/>
  <c r="M33" i="55" s="1"/>
  <c r="O33" i="55" s="1"/>
  <c r="S84" i="55"/>
  <c r="T84" i="55" s="1"/>
  <c r="M9" i="55" a="1"/>
  <c r="M9" i="55" s="1"/>
  <c r="O9" i="55" s="1"/>
  <c r="M38" i="55" a="1"/>
  <c r="M38" i="55" s="1"/>
  <c r="O38" i="55" s="1"/>
  <c r="D61" i="55" a="1"/>
  <c r="D61" i="55" s="1"/>
  <c r="D73" i="55" a="1"/>
  <c r="D73" i="55" s="1"/>
  <c r="D7" i="55" a="1"/>
  <c r="D7" i="55" s="1"/>
  <c r="G7" i="55" s="1"/>
  <c r="S36" i="55"/>
  <c r="M10" i="55" a="1"/>
  <c r="M10" i="55" s="1"/>
  <c r="O10" i="55" s="1"/>
  <c r="M64" i="55" a="1"/>
  <c r="M64" i="55" s="1"/>
  <c r="O64" i="55" s="1"/>
  <c r="M27" i="55" a="1"/>
  <c r="M27" i="55" s="1"/>
  <c r="O27" i="55" s="1"/>
  <c r="M70" i="55" a="1"/>
  <c r="M70" i="55" s="1"/>
  <c r="O70" i="55" s="1"/>
  <c r="S55" i="55"/>
  <c r="T55" i="55" s="1"/>
  <c r="D30" i="55" a="1"/>
  <c r="D30" i="55" s="1"/>
  <c r="G30" i="55" s="1"/>
  <c r="D55" i="55" a="1"/>
  <c r="D55" i="55" s="1"/>
  <c r="G55" i="55" s="1"/>
  <c r="D54" i="55" a="1"/>
  <c r="D54" i="55" s="1"/>
  <c r="G54" i="55" s="1"/>
  <c r="M24" i="55" a="1"/>
  <c r="M24" i="55" s="1"/>
  <c r="O24" i="55" s="1"/>
  <c r="M39" i="55" a="1"/>
  <c r="M39" i="55" s="1"/>
  <c r="O39" i="55" s="1"/>
  <c r="M89" i="55"/>
  <c r="O2" i="55" s="1"/>
  <c r="M86" i="55" a="1"/>
  <c r="M86" i="55" s="1"/>
  <c r="O86" i="55" s="1"/>
  <c r="D13" i="55" a="1"/>
  <c r="D13" i="55" s="1"/>
  <c r="D16" i="55" a="1"/>
  <c r="D16" i="55" s="1"/>
  <c r="M40" i="55" a="1"/>
  <c r="M40" i="55" s="1"/>
  <c r="O40" i="55" s="1"/>
  <c r="M45" i="55" a="1"/>
  <c r="M45" i="55" s="1"/>
  <c r="O45" i="55" s="1"/>
  <c r="M34" i="55" a="1"/>
  <c r="M34" i="55" s="1"/>
  <c r="O34" i="55" s="1"/>
  <c r="M20" i="55" a="1"/>
  <c r="M20" i="55" s="1"/>
  <c r="O20" i="55" s="1"/>
  <c r="M69" i="55" a="1"/>
  <c r="M69" i="55" s="1"/>
  <c r="O69" i="55" s="1"/>
  <c r="P72" i="55"/>
  <c r="D53" i="55" a="1"/>
  <c r="D53" i="55" s="1"/>
  <c r="G53" i="55" s="1"/>
  <c r="M46" i="55" a="1"/>
  <c r="M46" i="55" s="1"/>
  <c r="O46" i="55" s="1"/>
  <c r="M13" i="55" a="1"/>
  <c r="M13" i="55" s="1"/>
  <c r="O13" i="55" s="1"/>
  <c r="M37" i="55" a="1"/>
  <c r="M37" i="55" s="1"/>
  <c r="O37" i="55" s="1"/>
  <c r="M62" i="55" a="1"/>
  <c r="M62" i="55" s="1"/>
  <c r="O62" i="55" s="1"/>
  <c r="M22" i="55" a="1"/>
  <c r="M22" i="55" s="1"/>
  <c r="O22" i="55" s="1"/>
  <c r="M32" i="55" a="1"/>
  <c r="M32" i="55" s="1"/>
  <c r="O32" i="55" s="1"/>
  <c r="M49" i="55" a="1"/>
  <c r="M49" i="55" s="1"/>
  <c r="O49" i="55" s="1"/>
  <c r="D40" i="55" a="1"/>
  <c r="D40" i="55" s="1"/>
  <c r="D38" i="55" a="1"/>
  <c r="D38" i="55" s="1"/>
  <c r="D62" i="55" a="1"/>
  <c r="D62" i="55" s="1"/>
  <c r="D66" i="55" a="1"/>
  <c r="D66" i="55" s="1"/>
  <c r="M11" i="55" a="1"/>
  <c r="M11" i="55" s="1"/>
  <c r="O11" i="55" s="1"/>
  <c r="M43" i="55" a="1"/>
  <c r="M43" i="55" s="1"/>
  <c r="O43" i="55" s="1"/>
  <c r="M48" i="55" a="1"/>
  <c r="M48" i="55" s="1"/>
  <c r="O48" i="55" s="1"/>
  <c r="M25" i="55" a="1"/>
  <c r="M25" i="55" s="1"/>
  <c r="O25" i="55" s="1"/>
  <c r="M17" i="55" a="1"/>
  <c r="M17" i="55" s="1"/>
  <c r="O17" i="55" s="1"/>
  <c r="D71" i="55" a="1"/>
  <c r="D71" i="55" s="1"/>
  <c r="D39" i="55" a="1"/>
  <c r="D39" i="55" s="1"/>
  <c r="G39" i="55" s="1"/>
  <c r="M67" i="55" a="1"/>
  <c r="M67" i="55" s="1"/>
  <c r="O67" i="55" s="1"/>
  <c r="T12" i="59"/>
  <c r="F12" i="59"/>
  <c r="S85" i="55"/>
  <c r="S40" i="55"/>
  <c r="B7" i="59"/>
  <c r="R15" i="55"/>
  <c r="P47" i="55"/>
  <c r="V18" i="59"/>
  <c r="R85" i="55"/>
  <c r="S56" i="55"/>
  <c r="T56" i="55" s="1"/>
  <c r="R10" i="55"/>
  <c r="S78" i="55"/>
  <c r="T78" i="55" s="1"/>
  <c r="P64" i="55"/>
  <c r="P69" i="55"/>
  <c r="H21" i="59"/>
  <c r="M58" i="53"/>
  <c r="K64" i="55" s="1" a="1"/>
  <c r="K64" i="55" s="1"/>
  <c r="S7" i="55"/>
  <c r="I21" i="59"/>
  <c r="S14" i="55"/>
  <c r="K7" i="59"/>
  <c r="S54" i="55"/>
  <c r="T54" i="55" s="1"/>
  <c r="L19" i="59"/>
  <c r="L6" i="59"/>
  <c r="R7" i="55"/>
  <c r="R71" i="55"/>
  <c r="S71" i="55"/>
  <c r="O58" i="53"/>
  <c r="L89" i="55" s="1"/>
  <c r="S79" i="55"/>
  <c r="T79" i="55" s="1"/>
  <c r="P25" i="55"/>
  <c r="S25" i="55" s="1"/>
  <c r="T25" i="55" s="1"/>
  <c r="F4" i="59"/>
  <c r="R58" i="53"/>
  <c r="W2" i="53" s="1"/>
  <c r="R46" i="55"/>
  <c r="T46" i="55" s="1"/>
  <c r="D82" i="55" a="1"/>
  <c r="D82" i="55" s="1"/>
  <c r="S21" i="59"/>
  <c r="S10" i="55"/>
  <c r="R40" i="55"/>
  <c r="T13" i="55"/>
  <c r="O4" i="59"/>
  <c r="U4" i="59" s="1"/>
  <c r="Y58" i="53"/>
  <c r="AD2" i="53" s="1"/>
  <c r="F20" i="59"/>
  <c r="B14" i="59"/>
  <c r="R14" i="55"/>
  <c r="G4" i="59"/>
  <c r="M4" i="59" s="1"/>
  <c r="V20" i="59"/>
  <c r="N13" i="59"/>
  <c r="F18" i="59"/>
  <c r="P61" i="55"/>
  <c r="S61" i="55" s="1"/>
  <c r="C14" i="59"/>
  <c r="D79" i="55" a="1"/>
  <c r="D79" i="55" s="1"/>
  <c r="P74" i="55"/>
  <c r="I14" i="59"/>
  <c r="H7" i="59"/>
  <c r="D14" i="59"/>
  <c r="R42" i="55"/>
  <c r="T42" i="55" s="1"/>
  <c r="R59" i="55"/>
  <c r="S59" i="55"/>
  <c r="S57" i="55"/>
  <c r="S19" i="55"/>
  <c r="S32" i="55"/>
  <c r="S45" i="55"/>
  <c r="S17" i="55"/>
  <c r="S50" i="55"/>
  <c r="T50" i="55" s="1"/>
  <c r="Q14" i="59"/>
  <c r="V13" i="59"/>
  <c r="R20" i="55"/>
  <c r="J21" i="59"/>
  <c r="J89" i="55"/>
  <c r="P7" i="59"/>
  <c r="S67" i="55"/>
  <c r="T67" i="55" s="1"/>
  <c r="F13" i="59"/>
  <c r="R23" i="55"/>
  <c r="P29" i="55"/>
  <c r="S29" i="55" s="1"/>
  <c r="T29" i="55" s="1"/>
  <c r="R52" i="55"/>
  <c r="S52" i="55"/>
  <c r="S62" i="55"/>
  <c r="R62" i="55"/>
  <c r="P48" i="55"/>
  <c r="R11" i="55"/>
  <c r="T11" i="55" s="1"/>
  <c r="L12" i="59"/>
  <c r="T44" i="55"/>
  <c r="Q7" i="59"/>
  <c r="T82" i="55"/>
  <c r="R14" i="59"/>
  <c r="R2" i="53"/>
  <c r="G11" i="59"/>
  <c r="I89" i="55"/>
  <c r="S33" i="55"/>
  <c r="S7" i="59"/>
  <c r="R7" i="59"/>
  <c r="V4" i="59"/>
  <c r="K14" i="59"/>
  <c r="R19" i="55"/>
  <c r="E21" i="59"/>
  <c r="Q21" i="59"/>
  <c r="Q89" i="55"/>
  <c r="T6" i="59"/>
  <c r="R21" i="59"/>
  <c r="M63" i="55" a="1"/>
  <c r="M63" i="55" s="1"/>
  <c r="O63" i="55" s="1"/>
  <c r="T31" i="55"/>
  <c r="S15" i="55"/>
  <c r="E14" i="59"/>
  <c r="R45" i="55"/>
  <c r="D7" i="59"/>
  <c r="P24" i="55"/>
  <c r="S24" i="55" s="1"/>
  <c r="T24" i="55" s="1"/>
  <c r="P14" i="59"/>
  <c r="T81" i="55"/>
  <c r="E7" i="59"/>
  <c r="N11" i="59"/>
  <c r="C21" i="59"/>
  <c r="O18" i="59"/>
  <c r="T30" i="55"/>
  <c r="M30" i="55" a="1"/>
  <c r="M30" i="55" s="1"/>
  <c r="O30" i="55" s="1"/>
  <c r="T80" i="55"/>
  <c r="O11" i="59"/>
  <c r="T11" i="59" s="1"/>
  <c r="M53" i="55" a="1"/>
  <c r="M53" i="55" s="1"/>
  <c r="O53" i="55" s="1"/>
  <c r="C7" i="59"/>
  <c r="J14" i="59"/>
  <c r="D13" i="57"/>
  <c r="E5" i="57"/>
  <c r="E6" i="57" s="1"/>
  <c r="E7" i="57" s="1"/>
  <c r="E8" i="57" s="1"/>
  <c r="E9" i="57" s="1"/>
  <c r="E10" i="57" s="1"/>
  <c r="E11" i="57" s="1"/>
  <c r="E12" i="57" s="1"/>
  <c r="L76" i="55" a="1"/>
  <c r="L76" i="55" s="1"/>
  <c r="K76" i="55" a="1"/>
  <c r="K76" i="55" s="1"/>
  <c r="D6" i="26"/>
  <c r="E7" i="26"/>
  <c r="F11" i="59"/>
  <c r="P21" i="59"/>
  <c r="T27" i="55"/>
  <c r="I7" i="59"/>
  <c r="N4" i="59"/>
  <c r="R70" i="55"/>
  <c r="T70" i="55" s="1"/>
  <c r="O2" i="53"/>
  <c r="T63" i="55"/>
  <c r="O14" i="26"/>
  <c r="U14" i="26"/>
  <c r="AC12" i="26"/>
  <c r="O12" i="26"/>
  <c r="D67" i="55" a="1"/>
  <c r="D67" i="55" s="1"/>
  <c r="D70" i="55" a="1"/>
  <c r="D70" i="55" s="1"/>
  <c r="D22" i="55" a="1"/>
  <c r="D22" i="55" s="1"/>
  <c r="AG14" i="26"/>
  <c r="G12" i="26"/>
  <c r="AC14" i="26"/>
  <c r="G2" i="26"/>
  <c r="AF14" i="26"/>
  <c r="F14" i="26"/>
  <c r="D75" i="55" a="1"/>
  <c r="D75" i="55" s="1"/>
  <c r="D86" i="55" a="1"/>
  <c r="D86" i="55" s="1"/>
  <c r="P14" i="26"/>
  <c r="N14" i="26"/>
  <c r="AE14" i="26"/>
  <c r="Z14" i="26"/>
  <c r="P73" i="55"/>
  <c r="H14" i="59"/>
  <c r="D77" i="55" a="1"/>
  <c r="D77" i="55" s="1"/>
  <c r="Q2" i="55"/>
  <c r="M28" i="55" a="1"/>
  <c r="M28" i="55" s="1"/>
  <c r="O28" i="55" s="1"/>
  <c r="D52" i="55" a="1"/>
  <c r="D52" i="55" s="1"/>
  <c r="D15" i="55" a="1"/>
  <c r="D15" i="55" s="1"/>
  <c r="D56" i="55" a="1"/>
  <c r="D56" i="55" s="1"/>
  <c r="C12" i="26"/>
  <c r="E12" i="26"/>
  <c r="W14" i="26"/>
  <c r="AD12" i="26"/>
  <c r="M23" i="55" a="1"/>
  <c r="M23" i="55" s="1"/>
  <c r="O23" i="55" s="1"/>
  <c r="M55" i="55" a="1"/>
  <c r="M55" i="55" s="1"/>
  <c r="O55" i="55" s="1"/>
  <c r="D63" i="55" a="1"/>
  <c r="D63" i="55" s="1"/>
  <c r="D59" i="55" a="1"/>
  <c r="D59" i="55" s="1"/>
  <c r="Y14" i="26"/>
  <c r="M14" i="26"/>
  <c r="N12" i="26"/>
  <c r="S14" i="26"/>
  <c r="D57" i="55" a="1"/>
  <c r="D57" i="55" s="1"/>
  <c r="G14" i="26"/>
  <c r="T12" i="26"/>
  <c r="H14" i="26"/>
  <c r="T33" i="55" l="1"/>
  <c r="T41" i="55"/>
  <c r="T36" i="55"/>
  <c r="G58" i="55"/>
  <c r="L18" i="59"/>
  <c r="M18" i="59"/>
  <c r="T23" i="55"/>
  <c r="T57" i="55"/>
  <c r="K12" i="55" a="1"/>
  <c r="K12" i="55" s="1"/>
  <c r="L12" i="55" a="1"/>
  <c r="L12" i="55" s="1"/>
  <c r="T20" i="55"/>
  <c r="S86" i="55"/>
  <c r="T86" i="55" s="1"/>
  <c r="T17" i="55"/>
  <c r="L44" i="55" a="1"/>
  <c r="L44" i="55" s="1"/>
  <c r="T34" i="55"/>
  <c r="T28" i="55"/>
  <c r="H14" i="55"/>
  <c r="H28" i="55"/>
  <c r="G32" i="55"/>
  <c r="O89" i="55"/>
  <c r="T32" i="55"/>
  <c r="R16" i="55"/>
  <c r="T16" i="55" s="1"/>
  <c r="L40" i="55" a="1"/>
  <c r="L40" i="55" s="1"/>
  <c r="L19" i="55" a="1"/>
  <c r="L19" i="55" s="1"/>
  <c r="M21" i="59"/>
  <c r="G21" i="55"/>
  <c r="K79" i="55" a="1"/>
  <c r="K79" i="55" s="1"/>
  <c r="S51" i="55"/>
  <c r="R51" i="55"/>
  <c r="G45" i="55"/>
  <c r="K84" i="55" a="1"/>
  <c r="K84" i="55" s="1"/>
  <c r="L21" i="55" a="1"/>
  <c r="L21" i="55" s="1"/>
  <c r="K80" i="55" a="1"/>
  <c r="K80" i="55" s="1"/>
  <c r="K74" i="55" a="1"/>
  <c r="K74" i="55" s="1"/>
  <c r="L23" i="55" a="1"/>
  <c r="L23" i="55" s="1"/>
  <c r="K24" i="55" a="1"/>
  <c r="K24" i="55" s="1"/>
  <c r="F14" i="59" a="1"/>
  <c r="F14" i="59" s="1"/>
  <c r="L68" i="55" a="1"/>
  <c r="L68" i="55" s="1"/>
  <c r="K78" i="55" a="1"/>
  <c r="K78" i="55" s="1"/>
  <c r="K58" i="55" a="1"/>
  <c r="K58" i="55" s="1"/>
  <c r="K85" i="55" a="1"/>
  <c r="K85" i="55" s="1"/>
  <c r="L64" i="55" a="1"/>
  <c r="L64" i="55" s="1"/>
  <c r="K38" i="55" a="1"/>
  <c r="K38" i="55" s="1"/>
  <c r="K16" i="55" a="1"/>
  <c r="K16" i="55" s="1"/>
  <c r="L65" i="55" a="1"/>
  <c r="L65" i="55" s="1"/>
  <c r="L34" i="55" a="1"/>
  <c r="L34" i="55" s="1"/>
  <c r="K14" i="55" a="1"/>
  <c r="K14" i="55" s="1"/>
  <c r="K25" i="55" a="1"/>
  <c r="K25" i="55" s="1"/>
  <c r="K42" i="55" a="1"/>
  <c r="K42" i="55" s="1"/>
  <c r="G42" i="55"/>
  <c r="L47" i="55" a="1"/>
  <c r="L47" i="55" s="1"/>
  <c r="K65" i="55" a="1"/>
  <c r="K65" i="55" s="1"/>
  <c r="K11" i="55" a="1"/>
  <c r="K11" i="55" s="1"/>
  <c r="K37" i="55" a="1"/>
  <c r="K37" i="55" s="1"/>
  <c r="L50" i="55" a="1"/>
  <c r="L50" i="55" s="1"/>
  <c r="G23" i="55"/>
  <c r="G37" i="55"/>
  <c r="K50" i="55" a="1"/>
  <c r="K50" i="55" s="1"/>
  <c r="L11" i="55" a="1"/>
  <c r="L11" i="55" s="1"/>
  <c r="L20" i="55" a="1"/>
  <c r="L20" i="55" s="1"/>
  <c r="H50" i="55"/>
  <c r="H23" i="55"/>
  <c r="K23" i="55" a="1"/>
  <c r="K23" i="55" s="1"/>
  <c r="G20" i="55"/>
  <c r="K33" i="55" a="1"/>
  <c r="K33" i="55" s="1"/>
  <c r="L69" i="55" a="1"/>
  <c r="L69" i="55" s="1"/>
  <c r="K41" i="55" a="1"/>
  <c r="K41" i="55" s="1"/>
  <c r="K72" i="55" a="1"/>
  <c r="K72" i="55" s="1"/>
  <c r="L58" i="55" a="1"/>
  <c r="L58" i="55" s="1"/>
  <c r="L2" i="55"/>
  <c r="L85" i="55" a="1"/>
  <c r="L85" i="55" s="1"/>
  <c r="L71" i="55" a="1"/>
  <c r="L71" i="55" s="1"/>
  <c r="L18" i="55" a="1"/>
  <c r="L18" i="55" s="1"/>
  <c r="L36" i="55" a="1"/>
  <c r="L36" i="55" s="1"/>
  <c r="G9" i="55"/>
  <c r="L80" i="55" a="1"/>
  <c r="L80" i="55" s="1"/>
  <c r="L9" i="55" a="1"/>
  <c r="L9" i="55" s="1"/>
  <c r="K69" i="55" a="1"/>
  <c r="K69" i="55" s="1"/>
  <c r="F7" i="59" a="1"/>
  <c r="F7" i="59" s="1"/>
  <c r="L49" i="55" a="1"/>
  <c r="L49" i="55" s="1"/>
  <c r="L35" i="55" a="1"/>
  <c r="L35" i="55" s="1"/>
  <c r="K36" i="55" a="1"/>
  <c r="K36" i="55" s="1"/>
  <c r="L41" i="55" a="1"/>
  <c r="L41" i="55" s="1"/>
  <c r="F21" i="59" a="1"/>
  <c r="F21" i="59" s="1"/>
  <c r="L78" i="55" a="1"/>
  <c r="L78" i="55" s="1"/>
  <c r="L81" i="55" a="1"/>
  <c r="L81" i="55" s="1"/>
  <c r="L26" i="55" a="1"/>
  <c r="L26" i="55" s="1"/>
  <c r="L24" i="55" a="1"/>
  <c r="L24" i="55" s="1"/>
  <c r="L84" i="55" a="1"/>
  <c r="L84" i="55" s="1"/>
  <c r="L43" i="55" a="1"/>
  <c r="L43" i="55" s="1"/>
  <c r="L62" i="55" a="1"/>
  <c r="L62" i="55" s="1"/>
  <c r="L60" i="55" a="1"/>
  <c r="L60" i="55" s="1"/>
  <c r="L73" i="55" a="1"/>
  <c r="L73" i="55" s="1"/>
  <c r="L17" i="55" a="1"/>
  <c r="L17" i="55" s="1"/>
  <c r="L45" i="55" a="1"/>
  <c r="L45" i="55" s="1"/>
  <c r="L29" i="55" a="1"/>
  <c r="L29" i="55" s="1"/>
  <c r="L83" i="55" a="1"/>
  <c r="L83" i="55" s="1"/>
  <c r="L42" i="55" a="1"/>
  <c r="L42" i="55" s="1"/>
  <c r="L31" i="55" a="1"/>
  <c r="L31" i="55" s="1"/>
  <c r="T14" i="55"/>
  <c r="K40" i="55" a="1"/>
  <c r="K40" i="55" s="1"/>
  <c r="L74" i="55" a="1"/>
  <c r="L74" i="55" s="1"/>
  <c r="T7" i="55"/>
  <c r="T45" i="55"/>
  <c r="L61" i="55" a="1"/>
  <c r="L61" i="55" s="1"/>
  <c r="H7" i="55"/>
  <c r="K73" i="55" a="1"/>
  <c r="K73" i="55" s="1"/>
  <c r="L55" i="55" a="1"/>
  <c r="L55" i="55" s="1"/>
  <c r="K60" i="55" a="1"/>
  <c r="K60" i="55" s="1"/>
  <c r="T4" i="59"/>
  <c r="L32" i="55" a="1"/>
  <c r="L32" i="55" s="1"/>
  <c r="L25" i="55" a="1"/>
  <c r="L25" i="55" s="1"/>
  <c r="L16" i="55" a="1"/>
  <c r="L16" i="55" s="1"/>
  <c r="L7" i="55" a="1"/>
  <c r="L7" i="55" s="1"/>
  <c r="O7" i="59"/>
  <c r="T7" i="59" s="1"/>
  <c r="L13" i="55" a="1"/>
  <c r="L13" i="55" s="1"/>
  <c r="L46" i="55" a="1"/>
  <c r="L46" i="55" s="1"/>
  <c r="L51" i="55" a="1"/>
  <c r="L51" i="55" s="1"/>
  <c r="G19" i="55"/>
  <c r="H19" i="55"/>
  <c r="G40" i="55"/>
  <c r="L53" i="55" a="1"/>
  <c r="L53" i="55" s="1"/>
  <c r="G8" i="55"/>
  <c r="H8" i="55"/>
  <c r="K68" i="55" a="1"/>
  <c r="K68" i="55" s="1"/>
  <c r="R72" i="55"/>
  <c r="S72" i="55"/>
  <c r="K81" i="55" a="1"/>
  <c r="K81" i="55" s="1"/>
  <c r="AD58" i="53"/>
  <c r="K66" i="55" a="1"/>
  <c r="K66" i="55" s="1"/>
  <c r="G10" i="55"/>
  <c r="R66" i="55"/>
  <c r="S66" i="55"/>
  <c r="K62" i="55" a="1"/>
  <c r="K62" i="55" s="1"/>
  <c r="H16" i="55"/>
  <c r="G16" i="55"/>
  <c r="T15" i="55"/>
  <c r="G17" i="55"/>
  <c r="H17" i="55"/>
  <c r="P2" i="55"/>
  <c r="K29" i="55" a="1"/>
  <c r="K29" i="55" s="1"/>
  <c r="L38" i="55" a="1"/>
  <c r="L38" i="55" s="1"/>
  <c r="K30" i="55" a="1"/>
  <c r="K30" i="55" s="1"/>
  <c r="P89" i="55"/>
  <c r="R89" i="55" s="1"/>
  <c r="L4" i="59"/>
  <c r="L39" i="55" a="1"/>
  <c r="L39" i="55" s="1"/>
  <c r="W58" i="53"/>
  <c r="K35" i="55" a="1"/>
  <c r="K35" i="55" s="1"/>
  <c r="L8" i="55" a="1"/>
  <c r="L8" i="55" s="1"/>
  <c r="T40" i="55"/>
  <c r="K7" i="55" a="1"/>
  <c r="K7" i="55" s="1"/>
  <c r="T85" i="55"/>
  <c r="L10" i="55" a="1"/>
  <c r="L10" i="55" s="1"/>
  <c r="T10" i="55"/>
  <c r="L14" i="55" a="1"/>
  <c r="L14" i="55" s="1"/>
  <c r="S47" i="55"/>
  <c r="R47" i="55"/>
  <c r="L27" i="55" a="1"/>
  <c r="L27" i="55" s="1"/>
  <c r="V7" i="59"/>
  <c r="S69" i="55"/>
  <c r="R69" i="55"/>
  <c r="N7" i="59"/>
  <c r="S64" i="55"/>
  <c r="R64" i="55"/>
  <c r="K83" i="55" a="1"/>
  <c r="K83" i="55" s="1"/>
  <c r="T19" i="55"/>
  <c r="K32" i="55" a="1"/>
  <c r="K32" i="55" s="1"/>
  <c r="L28" i="55" a="1"/>
  <c r="L28" i="55" s="1"/>
  <c r="L33" i="55" a="1"/>
  <c r="L33" i="55" s="1"/>
  <c r="L54" i="55" a="1"/>
  <c r="L54" i="55" s="1"/>
  <c r="K55" i="55" a="1"/>
  <c r="K55" i="55" s="1"/>
  <c r="K51" i="55" a="1"/>
  <c r="K51" i="55" s="1"/>
  <c r="K17" i="55" a="1"/>
  <c r="K17" i="55" s="1"/>
  <c r="K18" i="55" a="1"/>
  <c r="K18" i="55" s="1"/>
  <c r="K13" i="55" a="1"/>
  <c r="K13" i="55" s="1"/>
  <c r="K27" i="55" a="1"/>
  <c r="K27" i="55" s="1"/>
  <c r="K8" i="55" a="1"/>
  <c r="K8" i="55" s="1"/>
  <c r="K39" i="55" a="1"/>
  <c r="K39" i="55" s="1"/>
  <c r="K71" i="55" a="1"/>
  <c r="K71" i="55" s="1"/>
  <c r="K10" i="55" a="1"/>
  <c r="K10" i="55" s="1"/>
  <c r="K61" i="55" a="1"/>
  <c r="K61" i="55" s="1"/>
  <c r="K49" i="55" a="1"/>
  <c r="K49" i="55" s="1"/>
  <c r="K48" i="55" a="1"/>
  <c r="K48" i="55" s="1"/>
  <c r="K54" i="55" a="1"/>
  <c r="K54" i="55" s="1"/>
  <c r="K45" i="55" a="1"/>
  <c r="K45" i="55" s="1"/>
  <c r="K28" i="55" a="1"/>
  <c r="K28" i="55" s="1"/>
  <c r="K26" i="55" a="1"/>
  <c r="K26" i="55" s="1"/>
  <c r="K31" i="55" a="1"/>
  <c r="K31" i="55" s="1"/>
  <c r="K34" i="55" a="1"/>
  <c r="K34" i="55" s="1"/>
  <c r="K43" i="55" a="1"/>
  <c r="K43" i="55" s="1"/>
  <c r="K89" i="55"/>
  <c r="K47" i="55" a="1"/>
  <c r="K47" i="55" s="1"/>
  <c r="K53" i="55" a="1"/>
  <c r="K53" i="55" s="1"/>
  <c r="K2" i="55"/>
  <c r="K19" i="55" a="1"/>
  <c r="K19" i="55" s="1"/>
  <c r="K9" i="55" a="1"/>
  <c r="K9" i="55" s="1"/>
  <c r="K46" i="55" a="1"/>
  <c r="K46" i="55" s="1"/>
  <c r="K21" i="55" a="1"/>
  <c r="K21" i="55" s="1"/>
  <c r="K20" i="55" a="1"/>
  <c r="K20" i="55" s="1"/>
  <c r="R61" i="55"/>
  <c r="T61" i="55" s="1"/>
  <c r="T59" i="55"/>
  <c r="L79" i="55" a="1"/>
  <c r="L79" i="55" s="1"/>
  <c r="V21" i="59"/>
  <c r="G7" i="59"/>
  <c r="M7" i="59" s="1"/>
  <c r="S74" i="55"/>
  <c r="R74" i="55"/>
  <c r="L66" i="55" a="1"/>
  <c r="L66" i="55" s="1"/>
  <c r="L72" i="55" a="1"/>
  <c r="L72" i="55" s="1"/>
  <c r="L48" i="55" a="1"/>
  <c r="L48" i="55" s="1"/>
  <c r="L30" i="55" a="1"/>
  <c r="L30" i="55" s="1"/>
  <c r="K82" i="55" a="1"/>
  <c r="K82" i="55" s="1"/>
  <c r="L82" i="55" a="1"/>
  <c r="L82" i="55" s="1"/>
  <c r="T71" i="55"/>
  <c r="T52" i="55"/>
  <c r="V14" i="59"/>
  <c r="O14" i="59"/>
  <c r="U11" i="59"/>
  <c r="T62" i="55"/>
  <c r="L21" i="59"/>
  <c r="N21" i="59"/>
  <c r="M11" i="59"/>
  <c r="G14" i="59"/>
  <c r="L14" i="59" s="1"/>
  <c r="L11" i="59"/>
  <c r="R48" i="55"/>
  <c r="S48" i="55"/>
  <c r="U18" i="59"/>
  <c r="O21" i="59"/>
  <c r="T21" i="59" s="1"/>
  <c r="T18" i="59"/>
  <c r="L77" i="55" a="1"/>
  <c r="L77" i="55" s="1"/>
  <c r="K77" i="55" a="1"/>
  <c r="K77" i="55" s="1"/>
  <c r="K86" i="55" a="1"/>
  <c r="K86" i="55" s="1"/>
  <c r="L86" i="55" a="1"/>
  <c r="L86" i="55" s="1"/>
  <c r="K75" i="55" a="1"/>
  <c r="K75" i="55" s="1"/>
  <c r="L75" i="55" a="1"/>
  <c r="L75" i="55" s="1"/>
  <c r="L63" i="55" a="1"/>
  <c r="L63" i="55" s="1"/>
  <c r="K63" i="55" a="1"/>
  <c r="K63" i="55" s="1"/>
  <c r="H63" i="55"/>
  <c r="G56" i="55"/>
  <c r="K56" i="55" a="1"/>
  <c r="K56" i="55" s="1"/>
  <c r="L56" i="55" a="1"/>
  <c r="L56" i="55" s="1"/>
  <c r="K15" i="55" a="1"/>
  <c r="K15" i="55" s="1"/>
  <c r="G15" i="55"/>
  <c r="L15" i="55" a="1"/>
  <c r="L15" i="55" s="1"/>
  <c r="K52" i="55" a="1"/>
  <c r="K52" i="55" s="1"/>
  <c r="L52" i="55" a="1"/>
  <c r="L52" i="55" s="1"/>
  <c r="H57" i="55"/>
  <c r="L57" i="55" a="1"/>
  <c r="L57" i="55" s="1"/>
  <c r="K57" i="55" a="1"/>
  <c r="K57" i="55" s="1"/>
  <c r="G57" i="55"/>
  <c r="H22" i="55"/>
  <c r="G22" i="55"/>
  <c r="K22" i="55" a="1"/>
  <c r="K22" i="55" s="1"/>
  <c r="L22" i="55" a="1"/>
  <c r="L22" i="55" s="1"/>
  <c r="E6" i="26"/>
  <c r="F7" i="26"/>
  <c r="K70" i="55" a="1"/>
  <c r="K70" i="55" s="1"/>
  <c r="L70" i="55" a="1"/>
  <c r="L70" i="55" s="1"/>
  <c r="H67" i="55"/>
  <c r="L67" i="55" a="1"/>
  <c r="L67" i="55" s="1"/>
  <c r="K67" i="55" a="1"/>
  <c r="K67" i="55" s="1"/>
  <c r="L59" i="55" a="1"/>
  <c r="L59" i="55" s="1"/>
  <c r="K59" i="55" a="1"/>
  <c r="K59" i="55" s="1"/>
  <c r="S73" i="55"/>
  <c r="R73" i="55"/>
  <c r="N14" i="59"/>
  <c r="S89" i="55" l="1"/>
  <c r="T2" i="55" s="1"/>
  <c r="T51" i="55"/>
  <c r="U7" i="59"/>
  <c r="M83" i="55"/>
  <c r="O83" i="55" s="1"/>
  <c r="T66" i="55"/>
  <c r="T64" i="55"/>
  <c r="T69" i="55"/>
  <c r="T74" i="55"/>
  <c r="L7" i="59"/>
  <c r="S2" i="55"/>
  <c r="T47" i="55"/>
  <c r="T72" i="55"/>
  <c r="R2" i="55"/>
  <c r="G90" i="55"/>
  <c r="T89" i="55"/>
  <c r="T48" i="55"/>
  <c r="H89" i="55"/>
  <c r="H2" i="55"/>
  <c r="G89" i="55"/>
  <c r="H3" i="55" s="1"/>
  <c r="T73" i="55"/>
  <c r="U21" i="59"/>
  <c r="M14" i="59"/>
  <c r="G3" i="55"/>
  <c r="U14" i="59"/>
  <c r="T14" i="59"/>
  <c r="G2" i="55"/>
  <c r="G7" i="26"/>
  <c r="F6" i="26"/>
  <c r="H90" i="55" l="1"/>
  <c r="G6" i="26"/>
  <c r="H7" i="26"/>
  <c r="I7" i="26" l="1"/>
  <c r="H6" i="26"/>
  <c r="J7" i="26" l="1"/>
  <c r="I6" i="26"/>
  <c r="K7" i="26" l="1"/>
  <c r="J6" i="26"/>
  <c r="K6" i="26" l="1"/>
  <c r="L7" i="26"/>
  <c r="L6" i="26" l="1"/>
  <c r="M7" i="26"/>
  <c r="M6" i="26" l="1"/>
  <c r="N7" i="26"/>
  <c r="N6" i="26" l="1"/>
  <c r="O7" i="26"/>
  <c r="O6" i="26" l="1"/>
  <c r="P7" i="26"/>
  <c r="Q7" i="26" l="1"/>
  <c r="P6" i="26"/>
  <c r="Q6" i="26" l="1"/>
  <c r="R7" i="26"/>
  <c r="R6" i="26" l="1"/>
  <c r="S7" i="26"/>
  <c r="T7" i="26" l="1"/>
  <c r="S6" i="26"/>
  <c r="T6" i="26" l="1"/>
  <c r="U7" i="26"/>
  <c r="U6" i="26" l="1"/>
  <c r="V7" i="26"/>
  <c r="W7" i="26" l="1"/>
  <c r="V6" i="26"/>
  <c r="W6" i="26" l="1"/>
  <c r="X7" i="26"/>
  <c r="X6" i="26" l="1"/>
  <c r="Y7" i="26"/>
  <c r="Y6" i="26" l="1"/>
  <c r="Z7" i="26"/>
  <c r="Z6" i="26" l="1"/>
  <c r="AA7" i="26"/>
  <c r="AB7" i="26" l="1"/>
  <c r="AA6" i="26"/>
  <c r="AC7" i="26" l="1"/>
  <c r="AB6" i="26"/>
  <c r="AC6" i="26" l="1"/>
  <c r="AD7" i="26"/>
  <c r="AD6" i="26" l="1"/>
  <c r="AE7" i="26"/>
  <c r="AE6" i="26" l="1"/>
  <c r="AF7" i="26"/>
  <c r="AG7" i="26" l="1"/>
  <c r="AF6" i="26"/>
  <c r="AH7" i="26" l="1"/>
  <c r="AG6"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tc={C670F7F6-F74C-4D9E-9EC4-0183A677DA8B}</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I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K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L5" authorId="0" shapeId="0" xr:uid="{8629784F-A102-4B53-8EEE-A9E7489974E7}">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M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N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Q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 ref="AB8" authorId="2" shapeId="0" xr:uid="{C670F7F6-F74C-4D9E-9EC4-0183A677DA8B}">
      <text>
        <t>[Threaded comment]
Your version of Excel allows you to read this threaded comment; however, any edits to it will get removed if the file is opened in a newer version of Excel. Learn more: https://go.microsoft.com/fwlink/?linkid=870924
Comment:
    system hang</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<sst xmlns="http://schemas.openxmlformats.org/spreadsheetml/2006/main" count="2031" uniqueCount="711">
  <si>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</si>
  <si>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</si>
  <si>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</si>
  <si>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</si>
  <si>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</si>
  <si>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</si>
  <si>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</si>
  <si>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</si>
  <si>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</si>
  <si>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</si>
  <si>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</si>
  <si>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</si>
  <si>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</si>
  <si>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</si>
  <si>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</si>
  <si>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</si>
  <si>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</si>
  <si>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</si>
  <si>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</si>
  <si>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</si>
  <si>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</si>
  <si>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</si>
  <si>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</si>
  <si>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</si>
  <si>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</si>
  <si>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</si>
  <si>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</si>
  <si>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</si>
  <si>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</si>
  <si>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</si>
  <si>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</si>
  <si>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</si>
  <si>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</si>
  <si>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</si>
  <si>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</si>
  <si>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</si>
  <si>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</si>
  <si>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</si>
  <si>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</si>
  <si>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</si>
  <si>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</si>
  <si>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</si>
  <si>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</si>
  <si>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</si>
  <si>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</si>
  <si>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</si>
  <si>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</si>
  <si>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</si>
  <si>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</si>
  <si>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</si>
  <si>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</si>
  <si>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</si>
  <si>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</si>
  <si>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</si>
  <si>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</si>
  <si>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</si>
  <si>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</si>
  <si>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</si>
  <si>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</si>
  <si>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</si>
  <si>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</si>
  <si>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</si>
  <si>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</si>
  <si>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</si>
  <si>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</si>
  <si>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</si>
  <si>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</si>
  <si>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</si>
  <si>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</si>
  <si>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</si>
  <si>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</si>
  <si>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</si>
  <si>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</si>
  <si>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</si>
  <si>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</si>
  <si>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</si>
  <si>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</si>
  <si>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</si>
  <si>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</si>
  <si>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</si>
  <si>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</si>
  <si>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</si>
  <si>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</si>
  <si>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</si>
  <si>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</si>
  <si>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</si>
  <si>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</si>
  <si>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</si>
  <si>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</si>
  <si>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</si>
  <si>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</si>
  <si>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</si>
  <si>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</si>
  <si>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</si>
  <si>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</si>
  <si>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</si>
  <si>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</si>
  <si>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</si>
  <si>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</si>
  <si>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</si>
  <si>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</si>
  <si>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</si>
  <si>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</si>
  <si>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</si>
  <si>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</si>
  <si>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</si>
  <si>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</si>
  <si>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</si>
  <si>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</si>
  <si>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</si>
  <si>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</si>
  <si>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</si>
  <si>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</si>
  <si>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</si>
  <si>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</si>
  <si>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</si>
  <si>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</si>
  <si>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</si>
  <si>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</si>
  <si>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</si>
  <si>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</si>
  <si>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</si>
  <si>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</si>
  <si>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</si>
  <si>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</si>
  <si>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</si>
  <si>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</si>
  <si>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</si>
  <si>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</si>
  <si>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</si>
  <si>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</si>
  <si>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</si>
  <si>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</si>
  <si>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</si>
  <si>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</si>
  <si>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</si>
  <si>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</si>
  <si>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</si>
  <si>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</si>
  <si>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</si>
  <si>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</si>
  <si>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</si>
  <si>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</si>
  <si>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</si>
  <si>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</si>
  <si>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</si>
  <si>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</si>
  <si>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</si>
  <si>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</si>
  <si>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</si>
  <si>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</si>
  <si>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</si>
  <si>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</si>
  <si>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</si>
  <si>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</si>
  <si>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</si>
  <si>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</si>
  <si>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</si>
  <si>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</si>
  <si>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</si>
  <si>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</si>
  <si>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</si>
  <si>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</si>
  <si>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</si>
  <si>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</si>
  <si>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</si>
  <si>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</si>
  <si>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</si>
  <si>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</si>
  <si>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</si>
  <si>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</si>
  <si>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</si>
  <si>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</si>
  <si>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</si>
  <si>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</si>
  <si>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</si>
  <si>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</si>
  <si>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</si>
  <si>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</si>
  <si>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</si>
  <si>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</si>
  <si>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</si>
  <si>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</si>
  <si>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</si>
  <si>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</si>
  <si>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</si>
  <si>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</si>
  <si>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</si>
  <si>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</si>
  <si>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</si>
  <si>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</si>
  <si>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</si>
  <si>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</si>
  <si>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</si>
  <si>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</si>
  <si>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</si>
  <si>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</si>
  <si>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</si>
  <si>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</si>
  <si>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</si>
  <si>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</si>
  <si>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</si>
  <si>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</si>
  <si>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</si>
  <si>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</si>
  <si>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</si>
  <si>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</si>
  <si>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</si>
  <si>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</si>
  <si>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</si>
  <si>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</si>
  <si>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</si>
  <si>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</si>
  <si>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</si>
  <si>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</si>
  <si>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</si>
  <si>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</si>
  <si>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</si>
  <si>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</si>
  <si>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</si>
  <si>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</si>
  <si>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</si>
  <si>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</si>
  <si>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</si>
  <si>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</si>
  <si>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</si>
  <si>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</si>
  <si>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</si>
  <si>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</si>
  <si>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</si>
  <si>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</si>
  <si>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</si>
  <si>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</si>
  <si>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</si>
  <si>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</si>
  <si>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</si>
  <si>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</si>
  <si>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</si>
  <si>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</si>
  <si>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</si>
  <si>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</si>
  <si>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</si>
  <si>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</si>
  <si>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</si>
  <si>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</si>
  <si>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</si>
  <si>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</si>
  <si>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</si>
  <si>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PMM</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</si>
  <si>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</si>
  <si>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</si>
  <si>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</si>
  <si>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</si>
  <si>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</si>
  <si>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PMFW-1808</t>
  </si>
  <si>
    <t>Core Cstates</t>
  </si>
  <si>
    <t>P2</t>
  </si>
  <si>
    <t>Total # of Features</t>
  </si>
  <si>
    <t>PMFW-1818</t>
  </si>
  <si>
    <t>VDDOFF</t>
  </si>
  <si>
    <t>P1</t>
  </si>
  <si>
    <t>Total # of P1</t>
  </si>
  <si>
    <t>PMFW-1822</t>
  </si>
  <si>
    <t>Cstate Boost</t>
  </si>
  <si>
    <t>Total # of P2</t>
  </si>
  <si>
    <t>PMFW-1823</t>
  </si>
  <si>
    <t>CCLK DPM</t>
  </si>
  <si>
    <t>Total # of P3</t>
  </si>
  <si>
    <t>PMFW-1824</t>
  </si>
  <si>
    <t>Core clock control - CPPC</t>
  </si>
  <si>
    <t>Total # of Diagnostics</t>
  </si>
  <si>
    <t>PMFW-1827</t>
  </si>
  <si>
    <t>Core EDC control</t>
  </si>
  <si>
    <t>Total # of Driver</t>
  </si>
  <si>
    <t>PMFW-1828</t>
  </si>
  <si>
    <t>Reliability Tracker/FIT controller</t>
  </si>
  <si>
    <t>Total # of IPSE</t>
  </si>
  <si>
    <t>PMFW-1831</t>
  </si>
  <si>
    <t>CLDO: L2/L3 CLDO</t>
  </si>
  <si>
    <t>Total # of N/A</t>
  </si>
  <si>
    <t>PMFW-5400</t>
  </si>
  <si>
    <t>GFXOFF</t>
  </si>
  <si>
    <t>Total # of Legacy</t>
  </si>
  <si>
    <t>PMFW-1842</t>
  </si>
  <si>
    <t>GFXCLK DPM</t>
  </si>
  <si>
    <t>Total # of Delta</t>
  </si>
  <si>
    <t>PMFW-1847</t>
  </si>
  <si>
    <t>GFXCLK DFLL</t>
  </si>
  <si>
    <t>Total # of New</t>
  </si>
  <si>
    <t>PMFW-1849</t>
  </si>
  <si>
    <t>GFX EDC control</t>
  </si>
  <si>
    <t>PMFW-1851</t>
  </si>
  <si>
    <t>SVI 3.0 support</t>
  </si>
  <si>
    <t>PMFW-1853</t>
  </si>
  <si>
    <t>SVI 3.0 telemetry for all rails</t>
  </si>
  <si>
    <t>PMFW-1856</t>
  </si>
  <si>
    <t xml:space="preserve">DF Pstates </t>
  </si>
  <si>
    <t>PMFW-1866</t>
  </si>
  <si>
    <t>Memory P-states</t>
  </si>
  <si>
    <t>PMFW-1875</t>
  </si>
  <si>
    <t>VCN DPM</t>
  </si>
  <si>
    <t>PMFW-1879</t>
  </si>
  <si>
    <t>PPT Controller</t>
  </si>
  <si>
    <t>PMFW-1880</t>
  </si>
  <si>
    <t>TDC Controller</t>
  </si>
  <si>
    <t>PMFW-1881</t>
  </si>
  <si>
    <t>STAPM</t>
  </si>
  <si>
    <t>PMFW-1882</t>
  </si>
  <si>
    <t>Thermal Controller</t>
  </si>
  <si>
    <t>PMFW-1883</t>
  </si>
  <si>
    <t>PROCHOT</t>
  </si>
  <si>
    <t>PMFW-1889</t>
  </si>
  <si>
    <t>System temperature tracker STT</t>
  </si>
  <si>
    <t>PMFW-1891</t>
  </si>
  <si>
    <t>SHUBCLK DPM</t>
  </si>
  <si>
    <t>PMFW-1896</t>
  </si>
  <si>
    <t>LCLK Deep Sleep</t>
  </si>
  <si>
    <t>PMFW-1897</t>
  </si>
  <si>
    <t>SOCCLK Deep Sleep</t>
  </si>
  <si>
    <t>PMFW-1898</t>
  </si>
  <si>
    <t>SHUBCLK Deep Sleep</t>
  </si>
  <si>
    <t>PMFW-1901</t>
  </si>
  <si>
    <t>SMNCLK Deep Sleep</t>
  </si>
  <si>
    <t>PMFW-1902</t>
  </si>
  <si>
    <t>MP1CLK Deep Sleep</t>
  </si>
  <si>
    <t>PMFW-1903</t>
  </si>
  <si>
    <t>MP1 SRAM deep sleep</t>
  </si>
  <si>
    <t>PMFW-1905</t>
  </si>
  <si>
    <t>MP0CLK Deep Sleep</t>
  </si>
  <si>
    <t>PMFW-1906</t>
  </si>
  <si>
    <t>MP2CLK Deep Sleep</t>
  </si>
  <si>
    <t>PMFW-1907</t>
  </si>
  <si>
    <t>VCN CLK deep sleep - VCLK &amp; DCLK</t>
  </si>
  <si>
    <t>PMFW-1908</t>
  </si>
  <si>
    <t>ACLK deep sleep</t>
  </si>
  <si>
    <t>PMFW-1910</t>
  </si>
  <si>
    <t>DCFCLK deep sleep</t>
  </si>
  <si>
    <t>PMFW-1922</t>
  </si>
  <si>
    <t>LCLK DPM</t>
  </si>
  <si>
    <t>PMFW-8864</t>
  </si>
  <si>
    <t>DCFCLK DPM</t>
  </si>
  <si>
    <t>PMFW-1924</t>
  </si>
  <si>
    <t>ISPCLK DPM</t>
  </si>
  <si>
    <t>PMFW-1925</t>
  </si>
  <si>
    <t>SOCCLK DPM</t>
  </si>
  <si>
    <t>PMFW-1926</t>
  </si>
  <si>
    <t>MP0CLK DPM</t>
  </si>
  <si>
    <t>PMFW-1927</t>
  </si>
  <si>
    <t>VDDSOC ULV</t>
  </si>
  <si>
    <t>PMFW-1928</t>
  </si>
  <si>
    <t xml:space="preserve">PLL Power Down Monitor
</t>
  </si>
  <si>
    <t>PMFW-1929</t>
  </si>
  <si>
    <t xml:space="preserve">PLL bypass
</t>
  </si>
  <si>
    <t>PMFW-1921</t>
  </si>
  <si>
    <t>S3</t>
  </si>
  <si>
    <t>PMFW-1932</t>
  </si>
  <si>
    <t>Whisper Mode</t>
  </si>
  <si>
    <t>PMFW-1934</t>
  </si>
  <si>
    <t>Dynamic Power &amp; Thermal Control (DPTC)</t>
  </si>
  <si>
    <t>PMFW-1936</t>
  </si>
  <si>
    <t>RAPL</t>
  </si>
  <si>
    <t>PMFW-1937</t>
  </si>
  <si>
    <t>DRAM logging</t>
  </si>
  <si>
    <t>PMFW-1938</t>
  </si>
  <si>
    <t>SLT logging</t>
  </si>
  <si>
    <t>PMFW-1939</t>
  </si>
  <si>
    <t>AGM logging</t>
  </si>
  <si>
    <t>CTA-RSMU</t>
  </si>
  <si>
    <t>RSMU Clock Gating</t>
  </si>
  <si>
    <t>CTA-GFX-CG</t>
  </si>
  <si>
    <t>GFX CGCG</t>
  </si>
  <si>
    <t>PMFW-1855</t>
  </si>
  <si>
    <t>DF C-states</t>
  </si>
  <si>
    <t>PMFW-1859</t>
  </si>
  <si>
    <t>DF-based deep C-states</t>
  </si>
  <si>
    <t>PMFW-1872</t>
  </si>
  <si>
    <t>ACLK DPM</t>
  </si>
  <si>
    <t>PMFW-1873</t>
  </si>
  <si>
    <t>I2S-MCLK DPM</t>
  </si>
  <si>
    <t>PMFW-3257</t>
  </si>
  <si>
    <t>Graphics Power Optimizer</t>
  </si>
  <si>
    <t>PMFW-3228</t>
  </si>
  <si>
    <t>Delayed L3 Wake</t>
  </si>
  <si>
    <t>PMFW-3229</t>
  </si>
  <si>
    <t>PMFW-3231</t>
  </si>
  <si>
    <t>Expose Fastest Core</t>
  </si>
  <si>
    <t>PMFW-3238</t>
  </si>
  <si>
    <t>AVFS + BTC</t>
  </si>
  <si>
    <t>PMFW-5490</t>
  </si>
  <si>
    <t>Z8 state</t>
  </si>
  <si>
    <t>PMFW-5489</t>
  </si>
  <si>
    <t>Z10 state</t>
  </si>
  <si>
    <t>PMFW-5497</t>
  </si>
  <si>
    <t>S0i3</t>
  </si>
  <si>
    <t>PMFW-6448</t>
  </si>
  <si>
    <t>STB</t>
  </si>
  <si>
    <t>PMFW-5234</t>
  </si>
  <si>
    <t>Core C1e c-state</t>
  </si>
  <si>
    <t>PMFW-5274</t>
  </si>
  <si>
    <t>CCLK DPM (IRM)</t>
  </si>
  <si>
    <t>PMFW-5417</t>
  </si>
  <si>
    <t>DF CPU idle success monitor</t>
  </si>
  <si>
    <t>PMFW-6676</t>
  </si>
  <si>
    <t>Smart Shift 3.0</t>
  </si>
  <si>
    <t>PMFW-5535</t>
  </si>
  <si>
    <t>Fan Controller</t>
  </si>
  <si>
    <t>PMFW-7288</t>
  </si>
  <si>
    <t>DVO</t>
  </si>
  <si>
    <t>PMFW-8928</t>
  </si>
  <si>
    <t>IPUCLK DPM</t>
  </si>
  <si>
    <t>PMFW-9824</t>
  </si>
  <si>
    <t>VPE DPM</t>
  </si>
  <si>
    <t>PMFW-8932</t>
  </si>
  <si>
    <t>Per-CCX PC6</t>
  </si>
  <si>
    <t>PMFW-8491</t>
  </si>
  <si>
    <t>Fast GFXOFF</t>
  </si>
  <si>
    <t>PMFW-8459</t>
  </si>
  <si>
    <t>VDDOFF Dense CCX</t>
  </si>
  <si>
    <t>PMFW-8484</t>
  </si>
  <si>
    <t>VPE On/Off</t>
  </si>
  <si>
    <t>PMFW-10450</t>
  </si>
  <si>
    <t>Power gate/ungate DPIA</t>
  </si>
  <si>
    <t>PMFW-11541</t>
  </si>
  <si>
    <t>Power gate/ungate LSDMA</t>
  </si>
  <si>
    <t>PMFW-11886</t>
  </si>
  <si>
    <t>DFX power gating</t>
  </si>
  <si>
    <t>PMFW-10201</t>
  </si>
  <si>
    <t>Power gate ISP in vertical blank</t>
  </si>
  <si>
    <t>PMFW-8818</t>
  </si>
  <si>
    <t>Power gate/ungate VCN</t>
  </si>
  <si>
    <t>PMFW-8450</t>
  </si>
  <si>
    <t>Dense C1e state support</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</si>
  <si>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</si>
  <si>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</si>
  <si>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</si>
  <si>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</si>
  <si>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</si>
  <si>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</si>
  <si>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</si>
  <si>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</si>
  <si>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</si>
  <si>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</si>
  <si>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</si>
  <si>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</si>
  <si>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</si>
  <si>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</si>
  <si>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</si>
  <si>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</si>
  <si>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</si>
  <si>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</si>
  <si>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</si>
  <si>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</si>
  <si>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</si>
  <si>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</si>
  <si>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</si>
  <si>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</si>
  <si>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</si>
  <si>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</si>
  <si>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</si>
  <si>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</si>
  <si>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</si>
  <si>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</si>
  <si>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</si>
  <si>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</si>
  <si>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</si>
  <si>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</si>
  <si>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</si>
  <si>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</si>
  <si>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</si>
  <si>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</si>
  <si>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</si>
  <si>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</si>
  <si>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</si>
  <si>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</si>
  <si>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</si>
  <si>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</si>
  <si>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</si>
  <si>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</si>
  <si>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</si>
  <si>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</si>
  <si>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</si>
  <si>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</si>
  <si>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</si>
  <si>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</si>
  <si>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</si>
  <si>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</si>
  <si>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t>Total Summary</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</si>
  <si>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</si>
  <si>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 xml:space="preserve">WK </t>
  </si>
  <si>
    <t>WK</t>
  </si>
  <si>
    <t>No
Covered it by PMMV team, Limited resource for Diag PMM, not commit it for Strix1</t>
  </si>
  <si>
    <t>No
Resource issue</t>
  </si>
  <si>
    <t>PMFW-1923</t>
  </si>
  <si>
    <t>No
Limited resource for Diag PMM, not commit it for Strix1</t>
  </si>
  <si>
    <t>No
Zstate can cover more HW IP than whiper mode, Not commit for Diag</t>
  </si>
  <si>
    <t>Covered by PPT, Prochot, Not commit for Diag</t>
  </si>
  <si>
    <t>No,
Limited resource for Diag PMM, not commit it for Strix1</t>
  </si>
  <si>
    <t>No,
indirectly cover it by CPU OFF/Zstate etc, Limited resource for Diag PMM, not commit it for Strix1</t>
  </si>
  <si>
    <t>No
indirectly cover it by CPU OFF/Zstate etc, Limited resource for Diag PMM, not commit it for Strix1</t>
  </si>
  <si>
    <t>No,
Cover it by DF team</t>
  </si>
  <si>
    <t>No,
Covered by PMMV team, 
Limited reource for Diag PMM, not commit it for Strix1</t>
  </si>
  <si>
    <t>No,
Limited resource for Diag PMM, not commit for Strix1</t>
  </si>
  <si>
    <t>No
Not Entitled since no interface to test it for Diag</t>
  </si>
  <si>
    <t>No
Pure SW Algorithm, no HW covergae for it, Not commit</t>
  </si>
  <si>
    <t>No
Boot phase feature, Not Entitled since Diag test is executed after system boot to ready</t>
  </si>
  <si>
    <t>No
OS related feature, Limited resource for Diag PMM and PEO to handle OS suspend, not commit fot Diag PMM</t>
  </si>
  <si>
    <t>No,
Covered by ADS tool</t>
  </si>
  <si>
    <t>No,
Covered by PMMV team, 
Limited reource for Diag PMM, not commit it for Strix1</t>
  </si>
  <si>
    <t xml:space="preserve">No
Not Entitled _x000D_
Since Needs HW support to mimic event history in hardware_x000D_
</t>
  </si>
  <si>
    <t>No
Not entitled,since no interface to test it for Diag and it is pure Algorithm feature, It has no HW coverage</t>
  </si>
  <si>
    <t>No
Not entitled,since no interface to test it for Diag</t>
  </si>
  <si>
    <t>PLEASE DO NOT CROSS THIS LINE.   Insert New Rows OR Copied Cells "Above" The Last Known Good Row Only So Each Copied Cells &amp; Rows Still Contains The Right Formulas (Similar Concept for Removing or Deleting Rows)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</si>
  <si>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</si>
  <si>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</si>
  <si>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</si>
  <si>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</si>
  <si>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</si>
  <si>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CC1 Feature</t>
  </si>
  <si>
    <t>CC1 test</t>
  </si>
  <si>
    <t>PM004.011</t>
  </si>
  <si>
    <t>Could not really enter CC1 in SimNow</t>
  </si>
  <si>
    <t>CC6 Feature</t>
  </si>
  <si>
    <t>CC6 test</t>
  </si>
  <si>
    <t>PM004.016</t>
  </si>
  <si>
    <t>PC6 Feature</t>
  </si>
  <si>
    <t>PC6 test</t>
  </si>
  <si>
    <t>PM004.019</t>
  </si>
  <si>
    <t>VDDOFF (Legacy CPUOFF)</t>
  </si>
  <si>
    <t xml:space="preserve">VDD OFF </t>
  </si>
  <si>
    <t>VDDOFF test</t>
  </si>
  <si>
    <t>PM004.020</t>
  </si>
  <si>
    <t>Panmi</t>
  </si>
  <si>
    <t>failed at GFXOFF</t>
  </si>
  <si>
    <t>C State Boost</t>
  </si>
  <si>
    <t>PM004.026</t>
  </si>
  <si>
    <t>PMFW not supported this feature</t>
  </si>
  <si>
    <t>CCLK DPM Force test</t>
  </si>
  <si>
    <t>PM34.1</t>
  </si>
  <si>
    <t>CCLK AutoSweep Sanity test</t>
  </si>
  <si>
    <t>PM80.100</t>
  </si>
  <si>
    <t>CCLK DPM(Core Fine Grained Pstate)</t>
  </si>
  <si>
    <t>CCLK DPM/Fine_Grain_P_State</t>
  </si>
  <si>
    <t>CCLK AutoSweep Eventhandler test</t>
  </si>
  <si>
    <t>PM80.12</t>
  </si>
  <si>
    <t> -autodpmtog=cclk,30,0</t>
  </si>
  <si>
    <t>Not hitting enough levels</t>
  </si>
  <si>
    <t>CLDO</t>
  </si>
  <si>
    <t>PM33.11</t>
  </si>
  <si>
    <t>CGCG</t>
  </si>
  <si>
    <t>GFX</t>
  </si>
  <si>
    <t>PM41.28</t>
  </si>
  <si>
    <t>-tl_cg</t>
  </si>
  <si>
    <t>PMFW-1840</t>
  </si>
  <si>
    <t>GFXOFF with MSMU</t>
  </si>
  <si>
    <r>
      <rPr>
        <u/>
        <sz val="11"/>
        <color theme="1"/>
        <rFont val="Calibri"/>
        <family val="2"/>
        <scheme val="minor"/>
      </rPr>
      <t>Jane
PM80.012:</t>
    </r>
    <r>
      <rPr>
        <sz val="11"/>
        <color theme="1"/>
        <rFont val="Calibri"/>
        <family val="2"/>
        <scheme val="minor"/>
      </rPr>
      <t xml:space="preserve">
-bEnableIslandPowerGating=1 
-tc_EnableAsyncGfxRing=1 
-tl_cg -gfxoff 
-tglReadRegisterByPacket=1
</t>
    </r>
    <r>
      <rPr>
        <u/>
        <sz val="11"/>
        <color theme="1"/>
        <rFont val="Calibri"/>
        <family val="2"/>
        <scheme val="minor"/>
      </rPr>
      <t xml:space="preserve">STD:
</t>
    </r>
    <r>
      <rPr>
        <b/>
        <sz val="11"/>
        <color rgb="FFFF0000"/>
        <rFont val="Calibri"/>
        <family val="2"/>
        <scheme val="minor"/>
      </rPr>
      <t>TBD</t>
    </r>
  </si>
  <si>
    <t>DPM</t>
  </si>
  <si>
    <t>GFXCLK DPM Force</t>
  </si>
  <si>
    <t>PM21.1</t>
  </si>
  <si>
    <t>GFXCLK AutoSweep Eventhandler test</t>
  </si>
  <si>
    <t xml:space="preserve"> -autodpmtog=sclk,30,0</t>
  </si>
  <si>
    <t>Not hitting enough levels, hit 5 out of 8</t>
  </si>
  <si>
    <t>Test GFXCLK SS in DFLL PI mode by RLC message</t>
  </si>
  <si>
    <t>Covered by GFXCLK DPM</t>
  </si>
  <si>
    <t>SVI3</t>
  </si>
  <si>
    <t>SVI3 test by sending message to SMUFW</t>
  </si>
  <si>
    <t>-pm_voltage_margin=&lt;0.8 - 1.2&gt;</t>
  </si>
  <si>
    <t>Covered by SMU HW TP</t>
  </si>
  <si>
    <t>DF P-states</t>
  </si>
  <si>
    <t>DF pstate Sanity Check</t>
  </si>
  <si>
    <t>PM80.310</t>
  </si>
  <si>
    <t>FCLK DPM Loop Check</t>
  </si>
  <si>
    <t>PM15.1</t>
  </si>
  <si>
    <t>VCN DPM Force</t>
  </si>
  <si>
    <t>PM18.1</t>
  </si>
  <si>
    <t>THM</t>
  </si>
  <si>
    <t>Prochot test</t>
  </si>
  <si>
    <t>PM12.21</t>
  </si>
  <si>
    <t>DS</t>
  </si>
  <si>
    <t>Test SOCCLK Deep Sleep</t>
  </si>
  <si>
    <t>PM10.32</t>
  </si>
  <si>
    <t>Test SHUBCLK Deep Sleep</t>
  </si>
  <si>
    <t>PM10.39</t>
  </si>
  <si>
    <t>Manually tested by HDT</t>
  </si>
  <si>
    <t>Test SMNCLK Deep Sleep</t>
  </si>
  <si>
    <t>PM10.36</t>
  </si>
  <si>
    <t>Test MP1CLK Deep Sleep</t>
  </si>
  <si>
    <t>PM10.35</t>
  </si>
  <si>
    <t>Test MP1 SRAM deep sleep</t>
  </si>
  <si>
    <t>PM10.41</t>
  </si>
  <si>
    <t>Test ACLK deep sleep</t>
  </si>
  <si>
    <t>PM10.44</t>
  </si>
  <si>
    <t>Test DCFCLK deep sleep</t>
  </si>
  <si>
    <t>PM10.37</t>
  </si>
  <si>
    <t>LCLK DPM Force</t>
  </si>
  <si>
    <t>PM24.1</t>
  </si>
  <si>
    <t>SOCCLK Force DPM</t>
  </si>
  <si>
    <t>PM20.01</t>
  </si>
  <si>
    <t>System power</t>
  </si>
  <si>
    <t>Suspend to Ram</t>
  </si>
  <si>
    <t>PM4.21</t>
  </si>
  <si>
    <t>RSMU CG</t>
  </si>
  <si>
    <t>RSMU Clock Gating test</t>
  </si>
  <si>
    <t>PM51.10</t>
  </si>
  <si>
    <t>-pm_rsmu_inst=gc</t>
  </si>
  <si>
    <t>GFX Coarse grain clock gating</t>
  </si>
  <si>
    <t>Z8</t>
  </si>
  <si>
    <t>Z9 Entry/Exit test</t>
  </si>
  <si>
    <t>PM68.7</t>
  </si>
  <si>
    <t>Z10</t>
  </si>
  <si>
    <t>Z10 Entry/Exit test</t>
  </si>
  <si>
    <t>PM68.6</t>
  </si>
  <si>
    <t xml:space="preserve"> -skiptextbuffering=1   -d=1    -test=PM68.6   -pm_bringup=true   -pm_c_state_loops=50 -bEnableIslandPowerGating=1 -tc_EnableAsyncGfxRing=1 -tl_cg -tglReadRegisterByPacket=1 -tc_MapAsyncGfxQueuesWithKIQ=1 -tglEnableMCBP=1 -tglShadowContextRegisters -tglShadowPersistentRegisters -tglShadowUConfigRegisters -tc_DefaultCopyUtil=CpDma -gpu_copyengine=tcore -tc_GfxRingRegMode=1  -v=debug -dmcub_keep_alive</t>
  </si>
  <si>
    <t>PM085.021</t>
  </si>
  <si>
    <t>Need to power up IPU first</t>
  </si>
  <si>
    <t>PMFW-8455</t>
  </si>
  <si>
    <t>CC6 feature</t>
  </si>
  <si>
    <t>Power ungate VPE</t>
  </si>
  <si>
    <t>Power Gate</t>
  </si>
  <si>
    <t>PM041.961</t>
  </si>
  <si>
    <t>Power gate VPE</t>
  </si>
  <si>
    <t>PM041.962</t>
  </si>
  <si>
    <t>Power ungate DPA</t>
  </si>
  <si>
    <t>PM041.963</t>
  </si>
  <si>
    <t>Covered by USB D3 case</t>
  </si>
  <si>
    <t>Power gate DPA</t>
  </si>
  <si>
    <t>PM041.964</t>
  </si>
  <si>
    <t>Power ungate LSDMA</t>
  </si>
  <si>
    <t>PM041.965</t>
  </si>
  <si>
    <t>Power gate LSDMA</t>
  </si>
  <si>
    <t>PM041.966</t>
  </si>
  <si>
    <t>Power gate DFX</t>
  </si>
  <si>
    <t>PM041.967</t>
  </si>
  <si>
    <t>Power ungate DFX</t>
  </si>
  <si>
    <t>PM041.968</t>
  </si>
  <si>
    <t>Power ungate VCN</t>
  </si>
  <si>
    <t>PM041.969</t>
  </si>
  <si>
    <t>Power gate VCN</t>
  </si>
  <si>
    <t>PM041.970</t>
  </si>
  <si>
    <t>configure SBIOS option for C1e, see if C1 state is still working</t>
  </si>
  <si>
    <t>pm004.011</t>
  </si>
  <si>
    <t xml:space="preserve">PLEASE DO NOT CROSS THIS LINE.   Insert New Rows OR Copied Cells "Above" The Last Known Good Row Only So Each Copied Cells &amp; Rows Still Contains The Right Formulas (Similar Concept for Removing or Deleting Rows)        </t>
  </si>
  <si>
    <t xml:space="preserve">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</si>
  <si>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</si>
  <si>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</si>
  <si>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</si>
  <si>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</si>
  <si>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</si>
  <si>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</si>
  <si>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</si>
  <si>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</si>
  <si>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</si>
  <si>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</si>
  <si>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</si>
  <si>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</si>
  <si>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</si>
  <si>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</si>
  <si>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</si>
  <si>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</si>
  <si>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</si>
  <si>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</si>
  <si>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</si>
  <si>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</si>
  <si>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</si>
  <si>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</si>
  <si>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</si>
  <si>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</si>
  <si>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</si>
  <si>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</si>
  <si>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</si>
  <si>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</si>
  <si>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</si>
  <si>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</si>
  <si>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</si>
  <si>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</si>
  <si>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</si>
  <si>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</si>
  <si>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</si>
  <si>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</si>
  <si>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</si>
  <si>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</si>
  <si>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</si>
  <si>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</si>
  <si>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</si>
  <si>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</si>
  <si>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</si>
  <si>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</si>
  <si>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</si>
  <si>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</si>
  <si>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</si>
  <si>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</si>
  <si>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</si>
  <si>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</si>
  <si>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</si>
  <si>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</si>
  <si>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</si>
  <si>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</si>
  <si>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</si>
  <si>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</si>
  <si>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</si>
  <si>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</si>
  <si>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</si>
  <si>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</si>
  <si>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</si>
  <si>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</si>
  <si>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</si>
  <si>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</si>
  <si>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PM80.12.1</t>
  </si>
  <si>
    <t>PM80.12.2</t>
  </si>
  <si>
    <t>PM80.12.3</t>
  </si>
  <si>
    <t>PMxx.xx</t>
  </si>
  <si>
    <t>PM80.340, PM80.342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</si>
</sst>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
      <u/>
      <sz val="11"/>
      <color theme="1"/>
      <name val="Calibri"/>
      <family val="2"/>
      <scheme val="minor"/>
    </font>
    <font>
      <sz val="11"/>
      <color rgb="FFC00000"/>
      <name val="Calibri"/>
      <family val="2"/>
      <scheme val="minor"/>
    </font>
    <font>
      <strike/>
      <sz val="11"/>
      <color theme="1"/>
      <name val="Calibri"/>
      <family val="2"/>
      <scheme val="minor"/>
    </font>
    <font>
      <sz val="11"/>
      <color rgb="FF0070C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46" fillId="0" borderId="0" applyNumberFormat="0" applyFill="0" applyBorder="0" applyAlignment="0" applyProtection="0"/>
  </cellStyleXfs>
  <cellXfs count="76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0" fillId="52" borderId="10" xfId="0" applyFill="1" applyBorder="1" applyAlignment="1" applyProtection="1">
      <alignment vertical="center" wrapText="1"/>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0" xfId="0"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6" fillId="43" borderId="69" xfId="0" applyFont="1" applyFill="1" applyBorder="1" applyAlignment="1" applyProtection="1">
      <alignment horizontal="left" vertical="center" wrapText="1"/>
      <protection locked="0"/>
    </xf>
    <xf numFmtId="0" fontId="38" fillId="43" borderId="72" xfId="0" applyFont="1" applyFill="1" applyBorder="1" applyAlignment="1">
      <alignment horizontal="left" vertical="center" wrapText="1"/>
    </xf>
    <xf numFmtId="0" fontId="38" fillId="43" borderId="68" xfId="0" applyFont="1" applyFill="1" applyBorder="1" applyAlignment="1">
      <alignment horizontal="left" vertical="center" wrapText="1"/>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0" fontId="0" fillId="52" borderId="14" xfId="0" applyFill="1" applyBorder="1" applyAlignment="1">
      <alignment horizontal="left" vertical="center"/>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wrapText="1"/>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24" xfId="0" applyFill="1" applyBorder="1" applyAlignment="1" applyProtection="1">
      <alignment horizontal="center" vertical="center"/>
      <protection locked="0"/>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52" borderId="18" xfId="0" applyFill="1" applyBorder="1" applyAlignment="1">
      <alignment horizontal="left" vertical="center"/>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1" xfId="0" applyFont="1" applyFill="1" applyBorder="1" applyAlignment="1" applyProtection="1">
      <alignment horizontal="left" vertical="center" wrapText="1"/>
      <protection locked="0"/>
    </xf>
    <xf numFmtId="0" fontId="19" fillId="43" borderId="12" xfId="0" applyFont="1" applyFill="1" applyBorder="1" applyAlignment="1" applyProtection="1">
      <alignment horizontal="left" vertical="center"/>
      <protection locked="0"/>
    </xf>
    <xf numFmtId="0" fontId="19" fillId="53" borderId="12" xfId="0" applyFont="1" applyFill="1" applyBorder="1" applyAlignment="1" applyProtection="1">
      <alignment horizontal="left" vertical="center"/>
      <protection locked="0"/>
    </xf>
    <xf numFmtId="0" fontId="38"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46" fillId="52" borderId="10" xfId="45" applyFill="1" applyBorder="1" applyAlignment="1">
      <alignment horizontal="left" vertical="center" wrapText="1"/>
    </xf>
    <xf numFmtId="0" fontId="45" fillId="52" borderId="10" xfId="0" applyFont="1" applyFill="1" applyBorder="1" applyAlignment="1">
      <alignment horizontal="left" vertical="center"/>
    </xf>
    <xf numFmtId="0" fontId="0" fillId="52" borderId="13" xfId="0" applyFill="1" applyBorder="1" applyAlignment="1">
      <alignment horizontal="left" vertical="center" wrapText="1"/>
    </xf>
    <xf numFmtId="0" fontId="0" fillId="52" borderId="10" xfId="0" applyFill="1" applyBorder="1" applyAlignment="1">
      <alignment horizontal="left" vertical="center"/>
    </xf>
    <xf numFmtId="0" fontId="46" fillId="52" borderId="13" xfId="45" applyFill="1" applyBorder="1" applyAlignment="1">
      <alignment horizontal="left" vertical="center"/>
    </xf>
    <xf numFmtId="0" fontId="0" fillId="52" borderId="10" xfId="0" applyFill="1" applyBorder="1" applyAlignment="1">
      <alignment horizontal="left" vertical="center" wrapText="1"/>
    </xf>
    <xf numFmtId="0" fontId="46" fillId="52" borderId="16" xfId="45" applyFill="1" applyBorder="1" applyAlignment="1">
      <alignment horizontal="left" vertical="center" wrapText="1"/>
    </xf>
    <xf numFmtId="0" fontId="45" fillId="52" borderId="17" xfId="0" applyFont="1" applyFill="1" applyBorder="1" applyAlignment="1">
      <alignment horizontal="left" vertical="center"/>
    </xf>
    <xf numFmtId="0" fontId="46" fillId="52" borderId="13" xfId="45" applyFill="1" applyBorder="1" applyAlignment="1">
      <alignment horizontal="left" vertical="center" wrapText="1"/>
    </xf>
    <xf numFmtId="0" fontId="46" fillId="52" borderId="23" xfId="45" applyFill="1" applyBorder="1" applyAlignment="1">
      <alignment horizontal="left" vertical="center"/>
    </xf>
    <xf numFmtId="0" fontId="0" fillId="52" borderId="24" xfId="0" applyFill="1" applyBorder="1" applyAlignment="1">
      <alignment horizontal="left" vertical="center"/>
    </xf>
    <xf numFmtId="0" fontId="0" fillId="40" borderId="10" xfId="0" applyFill="1" applyBorder="1" applyAlignment="1">
      <alignment horizontal="left" vertical="center"/>
    </xf>
    <xf numFmtId="0" fontId="0" fillId="40" borderId="10" xfId="0" applyFill="1" applyBorder="1" applyAlignment="1">
      <alignment horizontal="center" vertical="center"/>
    </xf>
    <xf numFmtId="0" fontId="0" fillId="40" borderId="10" xfId="0" applyFill="1" applyBorder="1" applyAlignment="1">
      <alignment vertical="center"/>
    </xf>
    <xf numFmtId="0" fontId="0" fillId="40" borderId="14" xfId="0" applyFill="1" applyBorder="1" applyAlignment="1">
      <alignment horizontal="center" vertical="center"/>
    </xf>
    <xf numFmtId="166" fontId="0" fillId="42" borderId="26" xfId="42" applyNumberFormat="1" applyFont="1" applyFill="1" applyBorder="1" applyAlignment="1">
      <alignment horizontal="center" vertical="center"/>
    </xf>
    <xf numFmtId="166" fontId="0" fillId="42" borderId="56" xfId="42" applyNumberFormat="1" applyFont="1" applyFill="1" applyBorder="1" applyAlignment="1">
      <alignment horizontal="center" vertical="center"/>
    </xf>
    <xf numFmtId="1" fontId="0" fillId="41" borderId="13" xfId="42" applyNumberFormat="1" applyFont="1" applyFill="1" applyBorder="1" applyAlignment="1">
      <alignment horizontal="center" vertical="center"/>
    </xf>
    <xf numFmtId="1" fontId="0" fillId="41" borderId="10" xfId="42" applyNumberFormat="1" applyFont="1" applyFill="1" applyBorder="1" applyAlignment="1">
      <alignment horizontal="center" vertical="center"/>
    </xf>
    <xf numFmtId="166" fontId="0" fillId="41" borderId="14" xfId="42" applyNumberFormat="1" applyFont="1" applyFill="1" applyBorder="1" applyAlignment="1">
      <alignment horizontal="center" vertical="center"/>
    </xf>
    <xf numFmtId="0" fontId="0" fillId="33" borderId="13" xfId="0" applyFill="1" applyBorder="1" applyAlignment="1">
      <alignment horizontal="center" vertical="center"/>
    </xf>
    <xf numFmtId="0" fontId="0" fillId="33" borderId="10" xfId="0" applyFill="1" applyBorder="1" applyAlignment="1">
      <alignment horizontal="center" vertical="center"/>
    </xf>
    <xf numFmtId="166" fontId="0" fillId="33" borderId="10" xfId="42" applyNumberFormat="1" applyFont="1" applyFill="1" applyBorder="1" applyAlignment="1">
      <alignment horizontal="center" vertical="center"/>
    </xf>
    <xf numFmtId="0" fontId="0" fillId="0" borderId="26" xfId="0" applyBorder="1" applyAlignment="1" applyProtection="1">
      <alignment vertical="center"/>
      <protection locked="0"/>
    </xf>
    <xf numFmtId="0" fontId="0" fillId="0" borderId="10" xfId="0" applyBorder="1" applyAlignment="1" applyProtection="1">
      <alignment vertical="center"/>
      <protection locked="0"/>
    </xf>
    <xf numFmtId="0" fontId="48" fillId="40" borderId="10" xfId="0" applyFont="1" applyFill="1" applyBorder="1" applyAlignment="1" applyProtection="1">
      <alignment horizontal="center" vertical="center" wrapText="1"/>
      <protection locked="0"/>
    </xf>
    <xf numFmtId="0" fontId="31" fillId="48" borderId="52" xfId="0" applyFont="1" applyFill="1" applyBorder="1" applyAlignment="1">
      <alignment horizontal="center" vertical="center"/>
    </xf>
    <xf numFmtId="0" fontId="31" fillId="37" borderId="52" xfId="0" applyFont="1" applyFill="1" applyBorder="1" applyAlignment="1">
      <alignment horizontal="center" vertical="center"/>
    </xf>
    <xf numFmtId="0" fontId="31" fillId="47" borderId="52" xfId="0" applyFont="1" applyFill="1" applyBorder="1" applyAlignment="1">
      <alignment horizontal="center" vertical="center"/>
    </xf>
    <xf numFmtId="0" fontId="0" fillId="52" borderId="19" xfId="0" applyFill="1" applyBorder="1" applyAlignment="1">
      <alignment horizontal="left" vertical="center" wrapText="1"/>
    </xf>
    <xf numFmtId="49" fontId="0" fillId="52" borderId="10" xfId="0" applyNumberFormat="1" applyFill="1" applyBorder="1" applyAlignment="1">
      <alignment horizontal="left" vertical="center" wrapText="1"/>
    </xf>
    <xf numFmtId="0" fontId="45" fillId="52" borderId="10" xfId="0" applyFont="1" applyFill="1" applyBorder="1" applyAlignment="1">
      <alignment horizontal="left" vertical="center" wrapText="1"/>
    </xf>
    <xf numFmtId="0" fontId="0" fillId="52" borderId="17" xfId="0" applyFill="1" applyBorder="1" applyAlignment="1">
      <alignment horizontal="center" vertical="center" wrapText="1"/>
    </xf>
    <xf numFmtId="49" fontId="0" fillId="52" borderId="19" xfId="0" applyNumberFormat="1" applyFill="1" applyBorder="1" applyAlignment="1">
      <alignment horizontal="left" vertical="center" wrapText="1"/>
    </xf>
    <xf numFmtId="0" fontId="0" fillId="52" borderId="17" xfId="0" applyFill="1" applyBorder="1" applyAlignment="1" applyProtection="1">
      <alignment horizontal="center" vertical="center" wrapText="1"/>
      <protection locked="0"/>
    </xf>
    <xf numFmtId="0" fontId="18" fillId="52" borderId="19" xfId="0" applyFont="1" applyFill="1" applyBorder="1" applyAlignment="1">
      <alignment horizontal="center" vertical="center" wrapText="1"/>
    </xf>
    <xf numFmtId="0" fontId="18" fillId="52" borderId="20" xfId="0" applyFont="1" applyFill="1" applyBorder="1" applyAlignment="1">
      <alignment horizontal="center" vertical="center" wrapText="1"/>
    </xf>
    <xf numFmtId="9" fontId="18" fillId="52" borderId="31" xfId="0" applyNumberFormat="1" applyFont="1" applyFill="1" applyBorder="1" applyAlignment="1" applyProtection="1">
      <alignment horizontal="center" vertical="center" wrapText="1"/>
      <protection locked="0"/>
    </xf>
    <xf numFmtId="9" fontId="18" fillId="42" borderId="18" xfId="42" applyFont="1" applyFill="1" applyBorder="1" applyAlignment="1">
      <alignment horizontal="center" vertical="center" wrapText="1"/>
    </xf>
    <xf numFmtId="0" fontId="0" fillId="52" borderId="16" xfId="0" applyFill="1" applyBorder="1" applyAlignment="1" applyProtection="1">
      <alignment vertical="center" wrapText="1"/>
      <protection locked="0"/>
    </xf>
    <xf numFmtId="1" fontId="0" fillId="41" borderId="17" xfId="0" applyNumberFormat="1" applyFill="1" applyBorder="1" applyAlignment="1">
      <alignment horizontal="center" vertical="center" wrapText="1"/>
    </xf>
    <xf numFmtId="1" fontId="0" fillId="52" borderId="17" xfId="0" applyNumberFormat="1" applyFill="1" applyBorder="1" applyAlignment="1" applyProtection="1">
      <alignment horizontal="center" vertical="center" wrapText="1"/>
      <protection locked="0"/>
    </xf>
    <xf numFmtId="166" fontId="0" fillId="41" borderId="17" xfId="0" applyNumberFormat="1" applyFill="1" applyBorder="1" applyAlignment="1">
      <alignment horizontal="center" vertical="center" wrapText="1"/>
    </xf>
    <xf numFmtId="1" fontId="0" fillId="52" borderId="18" xfId="0" applyNumberFormat="1" applyFill="1" applyBorder="1" applyAlignment="1" applyProtection="1">
      <alignment vertical="center" wrapText="1"/>
      <protection locked="0"/>
    </xf>
    <xf numFmtId="1" fontId="0" fillId="33" borderId="16" xfId="0" applyNumberFormat="1" applyFill="1" applyBorder="1" applyAlignment="1">
      <alignment horizontal="center" vertical="center" wrapText="1"/>
    </xf>
    <xf numFmtId="0" fontId="0" fillId="52" borderId="17" xfId="0" applyFill="1" applyBorder="1" applyAlignment="1" applyProtection="1">
      <alignment vertical="center" wrapText="1"/>
      <protection locked="0"/>
    </xf>
    <xf numFmtId="0" fontId="0" fillId="52" borderId="18" xfId="0" applyFill="1" applyBorder="1" applyAlignment="1" applyProtection="1">
      <alignment vertical="center" wrapText="1"/>
      <protection locked="0"/>
    </xf>
    <xf numFmtId="0" fontId="0" fillId="52" borderId="10" xfId="0" applyFill="1" applyBorder="1" applyAlignment="1">
      <alignment horizontal="center" vertical="center" wrapText="1"/>
    </xf>
    <xf numFmtId="0" fontId="0" fillId="52" borderId="10" xfId="0" applyFill="1" applyBorder="1" applyAlignment="1" applyProtection="1">
      <alignment horizontal="center" vertical="center" wrapText="1"/>
      <protection locked="0"/>
    </xf>
    <xf numFmtId="9" fontId="18" fillId="52" borderId="26" xfId="0" applyNumberFormat="1" applyFont="1" applyFill="1" applyBorder="1" applyAlignment="1" applyProtection="1">
      <alignment horizontal="center" vertical="center" wrapText="1"/>
      <protection locked="0"/>
    </xf>
    <xf numFmtId="0" fontId="0" fillId="52" borderId="13" xfId="0" applyFill="1" applyBorder="1" applyAlignment="1" applyProtection="1">
      <alignment vertical="center" wrapText="1"/>
      <protection locked="0"/>
    </xf>
    <xf numFmtId="1" fontId="0" fillId="41" borderId="10" xfId="0" applyNumberFormat="1" applyFill="1" applyBorder="1" applyAlignment="1">
      <alignment horizontal="center" vertical="center" wrapText="1"/>
    </xf>
    <xf numFmtId="1" fontId="0" fillId="52" borderId="10" xfId="0" applyNumberFormat="1" applyFill="1" applyBorder="1" applyAlignment="1" applyProtection="1">
      <alignment horizontal="center" vertical="center" wrapText="1"/>
      <protection locked="0"/>
    </xf>
    <xf numFmtId="166" fontId="0" fillId="41" borderId="10" xfId="0" applyNumberFormat="1" applyFill="1" applyBorder="1" applyAlignment="1">
      <alignment horizontal="center" vertical="center" wrapText="1"/>
    </xf>
    <xf numFmtId="1" fontId="0" fillId="52" borderId="14" xfId="0" applyNumberFormat="1" applyFill="1" applyBorder="1" applyAlignment="1" applyProtection="1">
      <alignment vertical="center" wrapText="1"/>
      <protection locked="0"/>
    </xf>
    <xf numFmtId="1" fontId="0" fillId="33" borderId="13" xfId="0" applyNumberFormat="1" applyFill="1" applyBorder="1" applyAlignment="1">
      <alignment horizontal="center" vertical="center" wrapText="1"/>
    </xf>
    <xf numFmtId="0" fontId="0" fillId="52" borderId="14" xfId="0" applyFill="1" applyBorder="1" applyAlignment="1" applyProtection="1">
      <alignment vertical="center" wrapText="1"/>
      <protection locked="0"/>
    </xf>
    <xf numFmtId="0" fontId="18" fillId="52" borderId="14" xfId="0" applyFont="1" applyFill="1" applyBorder="1" applyAlignment="1">
      <alignment horizontal="center" vertical="center" wrapText="1"/>
    </xf>
    <xf numFmtId="0" fontId="19" fillId="48" borderId="50" xfId="0" applyFont="1" applyFill="1" applyBorder="1" applyAlignment="1">
      <alignment horizontal="center" vertical="center"/>
    </xf>
    <xf numFmtId="0" fontId="19" fillId="37" borderId="50" xfId="0" applyFont="1" applyFill="1" applyBorder="1" applyAlignment="1">
      <alignment horizontal="center" vertical="center"/>
    </xf>
    <xf numFmtId="0" fontId="19" fillId="47" borderId="50" xfId="0" applyFont="1" applyFill="1" applyBorder="1" applyAlignment="1">
      <alignment horizontal="center" vertical="center"/>
    </xf>
    <xf numFmtId="0" fontId="18" fillId="52" borderId="48" xfId="0" applyFont="1" applyFill="1" applyBorder="1" applyAlignment="1" applyProtection="1">
      <alignment horizontal="center" vertical="center"/>
      <protection locked="0"/>
    </xf>
    <xf numFmtId="0" fontId="19" fillId="43" borderId="50" xfId="0" applyFont="1" applyFill="1" applyBorder="1" applyAlignment="1">
      <alignment horizontal="center" vertical="center" wrapText="1"/>
    </xf>
    <xf numFmtId="0" fontId="38" fillId="49" borderId="67"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5" borderId="72" xfId="0" applyFont="1" applyFill="1" applyBorder="1" applyAlignment="1">
      <alignment horizontal="center" vertical="center" wrapText="1"/>
    </xf>
    <xf numFmtId="0" fontId="38" fillId="45" borderId="68"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1" fillId="44" borderId="70"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1" fontId="18" fillId="50" borderId="16" xfId="0" applyNumberFormat="1"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1" fontId="49" fillId="52" borderId="10" xfId="0" applyNumberFormat="1" applyFont="1" applyFill="1" applyBorder="1" applyAlignment="1" applyProtection="1">
      <alignment horizontal="center" vertical="center" wrapText="1"/>
      <protection locked="0"/>
    </xf>
    <xf numFmtId="0" fontId="49" fillId="52" borderId="10" xfId="0" applyFont="1" applyFill="1" applyBorder="1" applyAlignment="1" applyProtection="1">
      <alignment vertical="center" wrapText="1"/>
      <protection locked="0"/>
    </xf>
    <xf numFmtId="0" fontId="49" fillId="52" borderId="14" xfId="0" applyFont="1" applyFill="1" applyBorder="1" applyAlignment="1" applyProtection="1">
      <alignment vertical="center" wrapText="1"/>
      <protection locked="0"/>
    </xf>
    <xf numFmtId="0" fontId="49" fillId="0" borderId="0" xfId="0" applyFont="1" applyAlignment="1" applyProtection="1">
      <alignment vertical="center"/>
      <protection locked="0"/>
    </xf>
    <xf numFmtId="0" fontId="1" fillId="52" borderId="10" xfId="0" applyFont="1" applyFill="1" applyBorder="1" applyAlignment="1">
      <alignment horizontal="left" vertical="center" wrapText="1"/>
    </xf>
    <xf numFmtId="0" fontId="1" fillId="52" borderId="10" xfId="0" applyFont="1" applyFill="1" applyBorder="1" applyAlignment="1">
      <alignment horizontal="center" vertical="center" wrapText="1"/>
    </xf>
    <xf numFmtId="49" fontId="1" fillId="52" borderId="10" xfId="0" applyNumberFormat="1" applyFont="1" applyFill="1" applyBorder="1" applyAlignment="1">
      <alignment horizontal="left" vertical="center" wrapText="1"/>
    </xf>
    <xf numFmtId="0" fontId="1" fillId="52" borderId="10" xfId="0" applyFont="1" applyFill="1" applyBorder="1" applyAlignment="1" applyProtection="1">
      <alignment horizontal="center" vertical="center" wrapText="1"/>
      <protection locked="0"/>
    </xf>
    <xf numFmtId="1" fontId="1" fillId="41" borderId="10" xfId="0" applyNumberFormat="1" applyFont="1" applyFill="1" applyBorder="1" applyAlignment="1">
      <alignment horizontal="center" vertical="center" wrapText="1"/>
    </xf>
    <xf numFmtId="1" fontId="1" fillId="52" borderId="10" xfId="0" applyNumberFormat="1" applyFont="1" applyFill="1" applyBorder="1" applyAlignment="1" applyProtection="1">
      <alignment horizontal="center" vertical="center" wrapText="1"/>
      <protection locked="0"/>
    </xf>
    <xf numFmtId="166" fontId="1" fillId="41" borderId="10" xfId="0" applyNumberFormat="1" applyFont="1" applyFill="1" applyBorder="1" applyAlignment="1">
      <alignment horizontal="center" vertical="center" wrapText="1"/>
    </xf>
    <xf numFmtId="1" fontId="1" fillId="52" borderId="14" xfId="0" applyNumberFormat="1" applyFont="1" applyFill="1" applyBorder="1" applyAlignment="1" applyProtection="1">
      <alignment vertical="center" wrapText="1"/>
      <protection locked="0"/>
    </xf>
    <xf numFmtId="1" fontId="1" fillId="33" borderId="13" xfId="0" applyNumberFormat="1" applyFont="1" applyFill="1" applyBorder="1" applyAlignment="1">
      <alignment horizontal="center" vertical="center" wrapText="1"/>
    </xf>
    <xf numFmtId="166" fontId="1" fillId="33" borderId="10" xfId="0" applyNumberFormat="1" applyFont="1" applyFill="1" applyBorder="1" applyAlignment="1">
      <alignment horizontal="center" vertical="center" wrapText="1"/>
    </xf>
    <xf numFmtId="0" fontId="1" fillId="52" borderId="10" xfId="0" applyFont="1" applyFill="1" applyBorder="1" applyAlignment="1" applyProtection="1">
      <alignment vertical="center" wrapText="1"/>
      <protection locked="0"/>
    </xf>
    <xf numFmtId="0" fontId="1" fillId="33" borderId="10" xfId="0" applyFont="1" applyFill="1" applyBorder="1" applyAlignment="1">
      <alignment vertical="center" wrapText="1"/>
    </xf>
    <xf numFmtId="0" fontId="1" fillId="52" borderId="14" xfId="0" applyFont="1" applyFill="1" applyBorder="1" applyAlignment="1" applyProtection="1">
      <alignment vertical="center" wrapText="1"/>
      <protection locked="0"/>
    </xf>
    <xf numFmtId="0" fontId="1" fillId="0" borderId="0" xfId="0" applyFont="1" applyAlignment="1" applyProtection="1">
      <alignment vertical="center"/>
      <protection locked="0"/>
    </xf>
    <xf numFmtId="0" fontId="50" fillId="40" borderId="10" xfId="0" applyFont="1" applyFill="1" applyBorder="1" applyAlignment="1" applyProtection="1">
      <alignment horizontal="center" vertical="center" wrapText="1"/>
      <protection locked="0"/>
    </xf>
    <xf numFmtId="0" fontId="50" fillId="40" borderId="10" xfId="0" applyFont="1" applyFill="1" applyBorder="1" applyAlignment="1">
      <alignment horizontal="center" vertical="center" wrapText="1"/>
    </xf>
    <xf numFmtId="9" fontId="0" fillId="52" borderId="10" xfId="0" applyNumberFormat="1" applyFill="1" applyBorder="1" applyAlignment="1" applyProtection="1">
      <alignment horizontal="center" vertical="center" wrapText="1"/>
      <protection locked="0"/>
    </xf>
    <xf numFmtId="0" fontId="0" fillId="52" borderId="29" xfId="0" applyFill="1" applyBorder="1" applyAlignment="1">
      <alignment horizontal="left" vertical="center"/>
    </xf>
    <xf numFmtId="0" fontId="46" fillId="52" borderId="23" xfId="45" applyFill="1" applyBorder="1" applyAlignment="1">
      <alignment vertical="center"/>
    </xf>
    <xf numFmtId="0" fontId="46" fillId="52" borderId="10" xfId="45" applyFill="1" applyBorder="1" applyAlignment="1">
      <alignment vertical="center"/>
    </xf>
    <xf numFmtId="0" fontId="46" fillId="52" borderId="10" xfId="45" applyFill="1" applyBorder="1" applyAlignment="1">
      <alignment horizontal="left" vertical="center"/>
    </xf>
    <xf numFmtId="0" fontId="46" fillId="52" borderId="27" xfId="45" applyFill="1" applyBorder="1" applyAlignment="1">
      <alignment vertical="center"/>
    </xf>
    <xf numFmtId="0" fontId="0" fillId="40" borderId="25" xfId="0" applyFill="1" applyBorder="1" applyAlignment="1">
      <alignment horizontal="left" vertical="center"/>
    </xf>
    <xf numFmtId="0" fontId="0" fillId="53" borderId="10" xfId="0" applyFill="1" applyBorder="1" applyAlignment="1">
      <alignment horizontal="left" vertical="center" wrapText="1"/>
    </xf>
    <xf numFmtId="0" fontId="0" fillId="53" borderId="10" xfId="0" applyFill="1" applyBorder="1" applyAlignment="1">
      <alignment horizontal="center" vertical="center" wrapText="1"/>
    </xf>
    <xf numFmtId="0" fontId="0" fillId="53" borderId="17" xfId="0" applyFill="1" applyBorder="1" applyAlignment="1">
      <alignment horizontal="left" vertical="center" wrapText="1"/>
    </xf>
    <xf numFmtId="0" fontId="0" fillId="53" borderId="17" xfId="0" applyFill="1" applyBorder="1" applyAlignment="1">
      <alignment horizontal="center" vertical="center" wrapText="1"/>
    </xf>
    <xf numFmtId="0" fontId="0" fillId="53" borderId="17" xfId="0" applyFill="1" applyBorder="1" applyAlignment="1">
      <alignment vertical="center" wrapText="1"/>
    </xf>
    <xf numFmtId="0" fontId="0" fillId="37" borderId="10" xfId="0" applyFill="1" applyBorder="1" applyAlignment="1">
      <alignment horizontal="center" vertical="center" wrapText="1"/>
    </xf>
    <xf numFmtId="1" fontId="0" fillId="37" borderId="10" xfId="0" applyNumberFormat="1" applyFill="1" applyBorder="1" applyAlignment="1" applyProtection="1">
      <alignment horizontal="center" vertical="center" wrapText="1"/>
      <protection locked="0"/>
    </xf>
    <xf numFmtId="1" fontId="1" fillId="37" borderId="10" xfId="0" applyNumberFormat="1"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40" borderId="25" xfId="0" applyFill="1" applyBorder="1" applyAlignment="1">
      <alignment horizontal="left" vertical="center" wrapText="1"/>
    </xf>
    <xf numFmtId="0" fontId="0" fillId="40" borderId="25" xfId="0" applyFill="1" applyBorder="1" applyAlignment="1">
      <alignment horizontal="center" vertical="center" wrapText="1"/>
    </xf>
    <xf numFmtId="0" fontId="0" fillId="40" borderId="25" xfId="0" applyFill="1" applyBorder="1" applyAlignment="1" applyProtection="1">
      <alignment horizontal="center" vertical="center" wrapText="1"/>
      <protection locked="0"/>
    </xf>
    <xf numFmtId="0" fontId="48" fillId="40" borderId="25" xfId="0" applyFont="1"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7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8"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0" fillId="52" borderId="35" xfId="0" applyFill="1" applyBorder="1" applyAlignment="1">
      <alignment horizontal="left" vertical="center"/>
    </xf>
    <xf numFmtId="0" fontId="39" fillId="51" borderId="53" xfId="0" applyFont="1" applyFill="1" applyBorder="1" applyAlignment="1" applyProtection="1">
      <alignment horizontal="center" vertical="center" wrapText="1"/>
      <protection locked="0"/>
    </xf>
    <xf numFmtId="166" fontId="0" fillId="41" borderId="25" xfId="42" applyNumberFormat="1" applyFont="1" applyFill="1" applyBorder="1" applyAlignment="1">
      <alignment horizontal="center" vertical="center" wrapText="1"/>
    </xf>
    <xf numFmtId="0" fontId="14" fillId="40" borderId="10" xfId="0" applyFont="1" applyFill="1" applyBorder="1" applyAlignment="1" applyProtection="1">
      <alignment horizontal="center" vertical="center" wrapText="1"/>
      <protection locked="0"/>
    </xf>
    <xf numFmtId="0" fontId="0" fillId="52" borderId="10" xfId="0" applyFill="1" applyBorder="1" applyAlignment="1">
      <alignmen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1" fontId="0" fillId="52" borderId="20" xfId="0" applyNumberFormat="1" applyFill="1" applyBorder="1" applyAlignment="1" applyProtection="1">
      <alignment horizontal="center" vertical="center" wrapText="1"/>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Hua Jing1" id="{E1D030CE-E0E8-4612-BBA4-DD7FFCDB8232}" userId="S::hjing12@amd.com::e40cc99e-fe51-4e57-9fd4-430c16a97d3b"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B8" dT="2022-06-06T07:15:42.75" personId="{E1D030CE-E0E8-4612-BBA4-DD7FFCDB8232}" id="{C670F7F6-F74C-4D9E-9EC4-0183A677DA8B}">
    <text>system hang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6" Type="http://schemas.openxmlformats.org/officeDocument/2006/relationships/hyperlink" Target="http://ontrack-internal.amd.com/browse/PMFW-1907" TargetMode="External"/><Relationship Id="rId21" Type="http://schemas.openxmlformats.org/officeDocument/2006/relationships/hyperlink" Target="http://ontrack-internal.amd.com/browse/PMFW-1879" TargetMode="External"/><Relationship Id="rId42" Type="http://schemas.openxmlformats.org/officeDocument/2006/relationships/hyperlink" Target="http://ontrack-internal.amd.com/browse/PMFW-1922" TargetMode="External"/><Relationship Id="rId47" Type="http://schemas.openxmlformats.org/officeDocument/2006/relationships/hyperlink" Target="http://ontrack-internal.amd.com/browse/PMFW-1938" TargetMode="External"/><Relationship Id="rId63" Type="http://schemas.openxmlformats.org/officeDocument/2006/relationships/hyperlink" Target="http://ontrack-internal.amd.com/browse/PMFW-5535" TargetMode="External"/><Relationship Id="rId68" Type="http://schemas.openxmlformats.org/officeDocument/2006/relationships/hyperlink" Target="https://ontrack-internal.amd.com/browse/PMFW-11886" TargetMode="External"/><Relationship Id="rId2" Type="http://schemas.openxmlformats.org/officeDocument/2006/relationships/hyperlink" Target="http://ontrack-internal.amd.com/browse/PMFW-1818" TargetMode="External"/><Relationship Id="rId16" Type="http://schemas.openxmlformats.org/officeDocument/2006/relationships/hyperlink" Target="http://ontrack-internal.amd.com/browse/PMFW-11875" TargetMode="External"/><Relationship Id="rId29" Type="http://schemas.openxmlformats.org/officeDocument/2006/relationships/hyperlink" Target="http://ontrack-internal.amd.com/browse/PMFW-1903" TargetMode="External"/><Relationship Id="rId11" Type="http://schemas.openxmlformats.org/officeDocument/2006/relationships/hyperlink" Target="http://ontrack-internal.amd.com/browse/PMFW-1849" TargetMode="External"/><Relationship Id="rId24" Type="http://schemas.openxmlformats.org/officeDocument/2006/relationships/hyperlink" Target="http://ontrack-internal.amd.com/browse/PMFW-1910" TargetMode="External"/><Relationship Id="rId32" Type="http://schemas.openxmlformats.org/officeDocument/2006/relationships/hyperlink" Target="http://ontrack-internal.amd.com/browse/PMFW-1898" TargetMode="External"/><Relationship Id="rId37" Type="http://schemas.openxmlformats.org/officeDocument/2006/relationships/hyperlink" Target="http://ontrack-internal.amd.com/browse/PMFW-1927" TargetMode="External"/><Relationship Id="rId40" Type="http://schemas.openxmlformats.org/officeDocument/2006/relationships/hyperlink" Target="http://ontrack-internal.amd.com/browse/PMFW-1924" TargetMode="External"/><Relationship Id="rId45" Type="http://schemas.openxmlformats.org/officeDocument/2006/relationships/hyperlink" Target="http://ontrack-internal.amd.com/browse/PMFW-1921" TargetMode="External"/><Relationship Id="rId53" Type="http://schemas.openxmlformats.org/officeDocument/2006/relationships/hyperlink" Target="http://ontrack-internal.amd.com/browse/PMFW-3238" TargetMode="External"/><Relationship Id="rId58" Type="http://schemas.openxmlformats.org/officeDocument/2006/relationships/hyperlink" Target="http://ontrack-internal.amd.com/browse/PMFW-5400" TargetMode="External"/><Relationship Id="rId66" Type="http://schemas.openxmlformats.org/officeDocument/2006/relationships/hyperlink" Target="http://ontrack-internal.amd.com/browse/PMFW-7288" TargetMode="External"/><Relationship Id="rId5" Type="http://schemas.openxmlformats.org/officeDocument/2006/relationships/hyperlink" Target="http://ontrack-internal.amd.com/browse/PMFW-1922" TargetMode="External"/><Relationship Id="rId61" Type="http://schemas.openxmlformats.org/officeDocument/2006/relationships/hyperlink" Target="http://ontrack-internal.amd.com/browse/PMFW-5417" TargetMode="External"/><Relationship Id="rId19" Type="http://schemas.openxmlformats.org/officeDocument/2006/relationships/hyperlink" Target="http://ontrack-internal.amd.com/browse/PMFW-1881" TargetMode="External"/><Relationship Id="rId14" Type="http://schemas.openxmlformats.org/officeDocument/2006/relationships/hyperlink" Target="http://ontrack-internal.amd.com/browse/PMFW-1856" TargetMode="External"/><Relationship Id="rId22" Type="http://schemas.openxmlformats.org/officeDocument/2006/relationships/hyperlink" Target="http://ontrack-internal.amd.com/browse/PMFW-1889" TargetMode="External"/><Relationship Id="rId27" Type="http://schemas.openxmlformats.org/officeDocument/2006/relationships/hyperlink" Target="http://ontrack-internal.amd.com/browse/PMFW-1906" TargetMode="External"/><Relationship Id="rId30" Type="http://schemas.openxmlformats.org/officeDocument/2006/relationships/hyperlink" Target="http://ontrack-internal.amd.com/browse/PMFW-1902" TargetMode="External"/><Relationship Id="rId35" Type="http://schemas.openxmlformats.org/officeDocument/2006/relationships/hyperlink" Target="http://ontrack-internal.amd.com/browse/PMFW-1929" TargetMode="External"/><Relationship Id="rId43" Type="http://schemas.openxmlformats.org/officeDocument/2006/relationships/hyperlink" Target="http://ontrack-internal.amd.com/browse/PMFW-1934" TargetMode="External"/><Relationship Id="rId48" Type="http://schemas.openxmlformats.org/officeDocument/2006/relationships/hyperlink" Target="http://ontrack-internal.amd.com/browse/PMFW-1937" TargetMode="External"/><Relationship Id="rId56" Type="http://schemas.openxmlformats.org/officeDocument/2006/relationships/hyperlink" Target="http://ontrack-internal.amd.com/browse/PMFW-5489" TargetMode="External"/><Relationship Id="rId64" Type="http://schemas.openxmlformats.org/officeDocument/2006/relationships/hyperlink" Target="http://ontrack-internal.amd.com/browse/PMFW-7288" TargetMode="External"/><Relationship Id="rId69" Type="http://schemas.openxmlformats.org/officeDocument/2006/relationships/hyperlink" Target="https://ontrack-internal.amd.com/browse/PMFW-8818" TargetMode="External"/><Relationship Id="rId8" Type="http://schemas.openxmlformats.org/officeDocument/2006/relationships/hyperlink" Target="http://ontrack-internal.amd.com/browse/PMFW-1828" TargetMode="External"/><Relationship Id="rId51" Type="http://schemas.openxmlformats.org/officeDocument/2006/relationships/hyperlink" Target="http://ontrack-internal.amd.com/browse/PMFW-3228" TargetMode="External"/><Relationship Id="rId72" Type="http://schemas.openxmlformats.org/officeDocument/2006/relationships/vmlDrawing" Target="../drawings/vmlDrawing3.vml"/><Relationship Id="rId3" Type="http://schemas.openxmlformats.org/officeDocument/2006/relationships/hyperlink" Target="http://ontrack-internal.amd.com/browse/PMFW-1824" TargetMode="External"/><Relationship Id="rId12" Type="http://schemas.openxmlformats.org/officeDocument/2006/relationships/hyperlink" Target="http://ontrack-internal.amd.com/browse/PMFW-1853" TargetMode="External"/><Relationship Id="rId17" Type="http://schemas.openxmlformats.org/officeDocument/2006/relationships/hyperlink" Target="http://ontrack-internal.amd.com/browse/PMFW-1883" TargetMode="External"/><Relationship Id="rId25" Type="http://schemas.openxmlformats.org/officeDocument/2006/relationships/hyperlink" Target="http://ontrack-internal.amd.com/browse/PMFW-1908" TargetMode="External"/><Relationship Id="rId33" Type="http://schemas.openxmlformats.org/officeDocument/2006/relationships/hyperlink" Target="http://ontrack-internal.amd.com/browse/PMFW-1897" TargetMode="External"/><Relationship Id="rId38" Type="http://schemas.openxmlformats.org/officeDocument/2006/relationships/hyperlink" Target="http://ontrack-internal.amd.com/browse/PMFW-1926" TargetMode="External"/><Relationship Id="rId46" Type="http://schemas.openxmlformats.org/officeDocument/2006/relationships/hyperlink" Target="http://ontrack-internal.amd.com/browse/PMFW-1939" TargetMode="External"/><Relationship Id="rId59" Type="http://schemas.openxmlformats.org/officeDocument/2006/relationships/hyperlink" Target="http://ontrack-internal.amd.com/browse/PMFW-5234" TargetMode="External"/><Relationship Id="rId67" Type="http://schemas.openxmlformats.org/officeDocument/2006/relationships/hyperlink" Target="http://ontrack-internal.amd.com/browse/PMFW-7288" TargetMode="External"/><Relationship Id="rId20" Type="http://schemas.openxmlformats.org/officeDocument/2006/relationships/hyperlink" Target="http://ontrack-internal.amd.com/browse/PMFW-1880" TargetMode="External"/><Relationship Id="rId41" Type="http://schemas.openxmlformats.org/officeDocument/2006/relationships/hyperlink" Target="http://ontrack-internal.amd.com/browse/PMFW-1923" TargetMode="External"/><Relationship Id="rId54" Type="http://schemas.openxmlformats.org/officeDocument/2006/relationships/hyperlink" Target="http://ontrack-internal.amd.com/browse/PMFW-5490" TargetMode="External"/><Relationship Id="rId62" Type="http://schemas.openxmlformats.org/officeDocument/2006/relationships/hyperlink" Target="http://ontrack-internal.amd.com/browse/PMFW-6676" TargetMode="External"/><Relationship Id="rId70" Type="http://schemas.openxmlformats.org/officeDocument/2006/relationships/hyperlink" Target="https://ontrack-internal.amd.com/browse/PMFW-8450" TargetMode="External"/><Relationship Id="rId1" Type="http://schemas.openxmlformats.org/officeDocument/2006/relationships/hyperlink" Target="http://ontrack-internal.amd.com/browse/PMFW-1808" TargetMode="External"/><Relationship Id="rId6" Type="http://schemas.openxmlformats.org/officeDocument/2006/relationships/hyperlink" Target="http://ontrack-internal.amd.com/browse/PMFW-1831" TargetMode="External"/><Relationship Id="rId15" Type="http://schemas.openxmlformats.org/officeDocument/2006/relationships/hyperlink" Target="http://ontrack-internal.amd.com/browse/PMFW-1866" TargetMode="External"/><Relationship Id="rId23" Type="http://schemas.openxmlformats.org/officeDocument/2006/relationships/hyperlink" Target="http://ontrack-internal.amd.com/browse/PMFW-1891" TargetMode="External"/><Relationship Id="rId28" Type="http://schemas.openxmlformats.org/officeDocument/2006/relationships/hyperlink" Target="http://ontrack-internal.amd.com/browse/PMFW-1905" TargetMode="External"/><Relationship Id="rId36" Type="http://schemas.openxmlformats.org/officeDocument/2006/relationships/hyperlink" Target="http://ontrack-internal.amd.com/browse/PMFW-1928" TargetMode="External"/><Relationship Id="rId49" Type="http://schemas.openxmlformats.org/officeDocument/2006/relationships/hyperlink" Target="http://ontrack-internal.amd.com/browse/PMFW-1936" TargetMode="External"/><Relationship Id="rId57" Type="http://schemas.openxmlformats.org/officeDocument/2006/relationships/hyperlink" Target="http://ontrack-internal.amd.com/browse/PMFW-6448" TargetMode="External"/><Relationship Id="rId10" Type="http://schemas.openxmlformats.org/officeDocument/2006/relationships/hyperlink" Target="http://ontrack-internal.amd.com/browse/PMFW-1847" TargetMode="External"/><Relationship Id="rId31" Type="http://schemas.openxmlformats.org/officeDocument/2006/relationships/hyperlink" Target="http://ontrack-internal.amd.com/browse/PMFW-1901" TargetMode="External"/><Relationship Id="rId44" Type="http://schemas.openxmlformats.org/officeDocument/2006/relationships/hyperlink" Target="http://ontrack-internal.amd.com/browse/PMFW-1932" TargetMode="External"/><Relationship Id="rId52" Type="http://schemas.openxmlformats.org/officeDocument/2006/relationships/hyperlink" Target="http://ontrack-internal.amd.com/browse/PMFW-3231" TargetMode="External"/><Relationship Id="rId60" Type="http://schemas.openxmlformats.org/officeDocument/2006/relationships/hyperlink" Target="http://ontrack-internal.amd.com/browse/PMFW-5274" TargetMode="External"/><Relationship Id="rId65" Type="http://schemas.openxmlformats.org/officeDocument/2006/relationships/hyperlink" Target="http://ontrack-internal.amd.com/browse/PMFW-3229" TargetMode="External"/><Relationship Id="rId73" Type="http://schemas.openxmlformats.org/officeDocument/2006/relationships/comments" Target="../comments3.xml"/><Relationship Id="rId4" Type="http://schemas.openxmlformats.org/officeDocument/2006/relationships/hyperlink" Target="http://ontrack-internal.amd.com/browse/PMFW-1823" TargetMode="External"/><Relationship Id="rId9" Type="http://schemas.openxmlformats.org/officeDocument/2006/relationships/hyperlink" Target="http://ontrack-internal.amd.com/browse/PMFW-1842" TargetMode="External"/><Relationship Id="rId13" Type="http://schemas.openxmlformats.org/officeDocument/2006/relationships/hyperlink" Target="http://ontrack-internal.amd.com/browse/PMFW-1851" TargetMode="External"/><Relationship Id="rId18" Type="http://schemas.openxmlformats.org/officeDocument/2006/relationships/hyperlink" Target="http://ontrack-internal.amd.com/browse/PMFW-1882" TargetMode="External"/><Relationship Id="rId39" Type="http://schemas.openxmlformats.org/officeDocument/2006/relationships/hyperlink" Target="http://ontrack-internal.amd.com/browse/PMFW-1925" TargetMode="External"/><Relationship Id="rId34" Type="http://schemas.openxmlformats.org/officeDocument/2006/relationships/hyperlink" Target="http://ontrack-internal.amd.com/browse/PMFW-1896" TargetMode="External"/><Relationship Id="rId50" Type="http://schemas.openxmlformats.org/officeDocument/2006/relationships/hyperlink" Target="http://ontrack-internal.amd.com/browse/PMFW-3257" TargetMode="External"/><Relationship Id="rId55" Type="http://schemas.openxmlformats.org/officeDocument/2006/relationships/hyperlink" Target="http://ontrack-internal.amd.com/browse/PMFW-5497" TargetMode="External"/><Relationship Id="rId7" Type="http://schemas.openxmlformats.org/officeDocument/2006/relationships/hyperlink" Target="http://ontrack-internal.amd.com/browse/PMFW-1828" TargetMode="External"/><Relationship Id="rId7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6" Type="http://schemas.openxmlformats.org/officeDocument/2006/relationships/hyperlink" Target="http://ontrack-internal.amd.com/browse/PMFW-1907" TargetMode="External"/><Relationship Id="rId21" Type="http://schemas.openxmlformats.org/officeDocument/2006/relationships/hyperlink" Target="http://ontrack-internal.amd.com/browse/PMFW-1879" TargetMode="External"/><Relationship Id="rId34" Type="http://schemas.openxmlformats.org/officeDocument/2006/relationships/hyperlink" Target="http://ontrack-internal.amd.com/browse/PMFW-1896" TargetMode="External"/><Relationship Id="rId42" Type="http://schemas.openxmlformats.org/officeDocument/2006/relationships/hyperlink" Target="http://ontrack-internal.amd.com/browse/PMFW-1922" TargetMode="External"/><Relationship Id="rId47" Type="http://schemas.openxmlformats.org/officeDocument/2006/relationships/hyperlink" Target="http://ontrack-internal.amd.com/browse/PMFW-1938" TargetMode="External"/><Relationship Id="rId50" Type="http://schemas.openxmlformats.org/officeDocument/2006/relationships/hyperlink" Target="http://ontrack-internal.amd.com/browse/PMFW-3257" TargetMode="External"/><Relationship Id="rId55" Type="http://schemas.openxmlformats.org/officeDocument/2006/relationships/hyperlink" Target="http://ontrack-internal.amd.com/browse/PMFW-5497" TargetMode="External"/><Relationship Id="rId63" Type="http://schemas.openxmlformats.org/officeDocument/2006/relationships/hyperlink" Target="https://ontrack-internal.amd.com/browse/PMFW-8450" TargetMode="External"/><Relationship Id="rId7" Type="http://schemas.openxmlformats.org/officeDocument/2006/relationships/hyperlink" Target="http://ontrack-internal.amd.com/browse/PMFW-1828" TargetMode="External"/><Relationship Id="rId2" Type="http://schemas.openxmlformats.org/officeDocument/2006/relationships/hyperlink" Target="http://ontrack-internal.amd.com/browse/PMFW-1818" TargetMode="External"/><Relationship Id="rId16" Type="http://schemas.openxmlformats.org/officeDocument/2006/relationships/hyperlink" Target="http://ontrack-internal.amd.com/browse/PMFW-11875" TargetMode="External"/><Relationship Id="rId29" Type="http://schemas.openxmlformats.org/officeDocument/2006/relationships/hyperlink" Target="http://ontrack-internal.amd.com/browse/PMFW-1903" TargetMode="External"/><Relationship Id="rId11" Type="http://schemas.openxmlformats.org/officeDocument/2006/relationships/hyperlink" Target="http://ontrack-internal.amd.com/browse/PMFW-1849" TargetMode="External"/><Relationship Id="rId24" Type="http://schemas.openxmlformats.org/officeDocument/2006/relationships/hyperlink" Target="http://ontrack-internal.amd.com/browse/PMFW-1910" TargetMode="External"/><Relationship Id="rId32" Type="http://schemas.openxmlformats.org/officeDocument/2006/relationships/hyperlink" Target="http://ontrack-internal.amd.com/browse/PMFW-1898" TargetMode="External"/><Relationship Id="rId37" Type="http://schemas.openxmlformats.org/officeDocument/2006/relationships/hyperlink" Target="http://ontrack-internal.amd.com/browse/PMFW-1927" TargetMode="External"/><Relationship Id="rId40" Type="http://schemas.openxmlformats.org/officeDocument/2006/relationships/hyperlink" Target="http://ontrack-internal.amd.com/browse/PMFW-1924" TargetMode="External"/><Relationship Id="rId45" Type="http://schemas.openxmlformats.org/officeDocument/2006/relationships/hyperlink" Target="http://ontrack-internal.amd.com/browse/PMFW-1921" TargetMode="External"/><Relationship Id="rId53" Type="http://schemas.openxmlformats.org/officeDocument/2006/relationships/hyperlink" Target="http://ontrack-internal.amd.com/browse/PMFW-3238" TargetMode="External"/><Relationship Id="rId58" Type="http://schemas.openxmlformats.org/officeDocument/2006/relationships/hyperlink" Target="http://ontrack-internal.amd.com/browse/PMFW-5400" TargetMode="External"/><Relationship Id="rId5" Type="http://schemas.openxmlformats.org/officeDocument/2006/relationships/hyperlink" Target="http://ontrack-internal.amd.com/browse/PMFW-1922" TargetMode="External"/><Relationship Id="rId61" Type="http://schemas.openxmlformats.org/officeDocument/2006/relationships/hyperlink" Target="http://ontrack-internal.amd.com/browse/PMFW-7288" TargetMode="External"/><Relationship Id="rId19" Type="http://schemas.openxmlformats.org/officeDocument/2006/relationships/hyperlink" Target="http://ontrack-internal.amd.com/browse/PMFW-1881" TargetMode="External"/><Relationship Id="rId14" Type="http://schemas.openxmlformats.org/officeDocument/2006/relationships/hyperlink" Target="http://ontrack-internal.amd.com/browse/PMFW-1856" TargetMode="External"/><Relationship Id="rId22" Type="http://schemas.openxmlformats.org/officeDocument/2006/relationships/hyperlink" Target="http://ontrack-internal.amd.com/browse/PMFW-1889" TargetMode="External"/><Relationship Id="rId27" Type="http://schemas.openxmlformats.org/officeDocument/2006/relationships/hyperlink" Target="http://ontrack-internal.amd.com/browse/PMFW-1906" TargetMode="External"/><Relationship Id="rId30" Type="http://schemas.openxmlformats.org/officeDocument/2006/relationships/hyperlink" Target="http://ontrack-internal.amd.com/browse/PMFW-1902" TargetMode="External"/><Relationship Id="rId35" Type="http://schemas.openxmlformats.org/officeDocument/2006/relationships/hyperlink" Target="http://ontrack-internal.amd.com/browse/PMFW-1929" TargetMode="External"/><Relationship Id="rId43" Type="http://schemas.openxmlformats.org/officeDocument/2006/relationships/hyperlink" Target="http://ontrack-internal.amd.com/browse/PMFW-1934" TargetMode="External"/><Relationship Id="rId48" Type="http://schemas.openxmlformats.org/officeDocument/2006/relationships/hyperlink" Target="http://ontrack-internal.amd.com/browse/PMFW-1937" TargetMode="External"/><Relationship Id="rId56" Type="http://schemas.openxmlformats.org/officeDocument/2006/relationships/hyperlink" Target="http://ontrack-internal.amd.com/browse/PMFW-5489" TargetMode="External"/><Relationship Id="rId64" Type="http://schemas.openxmlformats.org/officeDocument/2006/relationships/hyperlink" Target="https://ontrack-internal.amd.com/browse/PMFW-8818" TargetMode="External"/><Relationship Id="rId8" Type="http://schemas.openxmlformats.org/officeDocument/2006/relationships/hyperlink" Target="http://ontrack-internal.amd.com/browse/PMFW-1828" TargetMode="External"/><Relationship Id="rId51" Type="http://schemas.openxmlformats.org/officeDocument/2006/relationships/hyperlink" Target="http://ontrack-internal.amd.com/browse/PMFW-3228" TargetMode="External"/><Relationship Id="rId3" Type="http://schemas.openxmlformats.org/officeDocument/2006/relationships/hyperlink" Target="http://ontrack-internal.amd.com/browse/PMFW-1824" TargetMode="External"/><Relationship Id="rId12" Type="http://schemas.openxmlformats.org/officeDocument/2006/relationships/hyperlink" Target="http://ontrack-internal.amd.com/browse/PMFW-1853" TargetMode="External"/><Relationship Id="rId17" Type="http://schemas.openxmlformats.org/officeDocument/2006/relationships/hyperlink" Target="http://ontrack-internal.amd.com/browse/PMFW-1883" TargetMode="External"/><Relationship Id="rId25" Type="http://schemas.openxmlformats.org/officeDocument/2006/relationships/hyperlink" Target="http://ontrack-internal.amd.com/browse/PMFW-1908" TargetMode="External"/><Relationship Id="rId33" Type="http://schemas.openxmlformats.org/officeDocument/2006/relationships/hyperlink" Target="http://ontrack-internal.amd.com/browse/PMFW-1897" TargetMode="External"/><Relationship Id="rId38" Type="http://schemas.openxmlformats.org/officeDocument/2006/relationships/hyperlink" Target="http://ontrack-internal.amd.com/browse/PMFW-1926" TargetMode="External"/><Relationship Id="rId46" Type="http://schemas.openxmlformats.org/officeDocument/2006/relationships/hyperlink" Target="http://ontrack-internal.amd.com/browse/PMFW-1939" TargetMode="External"/><Relationship Id="rId59" Type="http://schemas.openxmlformats.org/officeDocument/2006/relationships/hyperlink" Target="http://ontrack-internal.amd.com/browse/PMFW-1818" TargetMode="External"/><Relationship Id="rId20" Type="http://schemas.openxmlformats.org/officeDocument/2006/relationships/hyperlink" Target="http://ontrack-internal.amd.com/browse/PMFW-1880" TargetMode="External"/><Relationship Id="rId41" Type="http://schemas.openxmlformats.org/officeDocument/2006/relationships/hyperlink" Target="http://ontrack-internal.amd.com/browse/PMFW-1923" TargetMode="External"/><Relationship Id="rId54" Type="http://schemas.openxmlformats.org/officeDocument/2006/relationships/hyperlink" Target="http://ontrack-internal.amd.com/browse/PMFW-5490" TargetMode="External"/><Relationship Id="rId62" Type="http://schemas.openxmlformats.org/officeDocument/2006/relationships/hyperlink" Target="https://ontrack-internal.amd.com/browse/PMFW-11886" TargetMode="External"/><Relationship Id="rId1" Type="http://schemas.openxmlformats.org/officeDocument/2006/relationships/hyperlink" Target="http://ontrack-internal.amd.com/browse/PMFW-1808" TargetMode="External"/><Relationship Id="rId6" Type="http://schemas.openxmlformats.org/officeDocument/2006/relationships/hyperlink" Target="http://ontrack-internal.amd.com/browse/PMFW-1831" TargetMode="External"/><Relationship Id="rId15" Type="http://schemas.openxmlformats.org/officeDocument/2006/relationships/hyperlink" Target="http://ontrack-internal.amd.com/browse/PMFW-1866" TargetMode="External"/><Relationship Id="rId23" Type="http://schemas.openxmlformats.org/officeDocument/2006/relationships/hyperlink" Target="http://ontrack-internal.amd.com/browse/PMFW-1891" TargetMode="External"/><Relationship Id="rId28" Type="http://schemas.openxmlformats.org/officeDocument/2006/relationships/hyperlink" Target="http://ontrack-internal.amd.com/browse/PMFW-1905" TargetMode="External"/><Relationship Id="rId36" Type="http://schemas.openxmlformats.org/officeDocument/2006/relationships/hyperlink" Target="http://ontrack-internal.amd.com/browse/PMFW-1928" TargetMode="External"/><Relationship Id="rId49" Type="http://schemas.openxmlformats.org/officeDocument/2006/relationships/hyperlink" Target="http://ontrack-internal.amd.com/browse/PMFW-1936" TargetMode="External"/><Relationship Id="rId57" Type="http://schemas.openxmlformats.org/officeDocument/2006/relationships/hyperlink" Target="http://ontrack-internal.amd.com/browse/PMFW-6448" TargetMode="External"/><Relationship Id="rId10" Type="http://schemas.openxmlformats.org/officeDocument/2006/relationships/hyperlink" Target="http://ontrack-internal.amd.com/browse/PMFW-1847" TargetMode="External"/><Relationship Id="rId31" Type="http://schemas.openxmlformats.org/officeDocument/2006/relationships/hyperlink" Target="http://ontrack-internal.amd.com/browse/PMFW-1901" TargetMode="External"/><Relationship Id="rId44" Type="http://schemas.openxmlformats.org/officeDocument/2006/relationships/hyperlink" Target="http://ontrack-internal.amd.com/browse/PMFW-1932" TargetMode="External"/><Relationship Id="rId52" Type="http://schemas.openxmlformats.org/officeDocument/2006/relationships/hyperlink" Target="http://ontrack-internal.amd.com/browse/PMFW-3231" TargetMode="External"/><Relationship Id="rId60" Type="http://schemas.openxmlformats.org/officeDocument/2006/relationships/hyperlink" Target="http://ontrack-internal.amd.com/browse/PMFW-7288" TargetMode="External"/><Relationship Id="rId65" Type="http://schemas.openxmlformats.org/officeDocument/2006/relationships/printerSettings" Target="../printerSettings/printerSettings8.bin"/><Relationship Id="rId4" Type="http://schemas.openxmlformats.org/officeDocument/2006/relationships/hyperlink" Target="http://ontrack-internal.amd.com/browse/PMFW-1823" TargetMode="External"/><Relationship Id="rId9" Type="http://schemas.openxmlformats.org/officeDocument/2006/relationships/hyperlink" Target="http://ontrack-internal.amd.com/browse/PMFW-1842" TargetMode="External"/><Relationship Id="rId13" Type="http://schemas.openxmlformats.org/officeDocument/2006/relationships/hyperlink" Target="http://ontrack-internal.amd.com/browse/PMFW-1851" TargetMode="External"/><Relationship Id="rId18" Type="http://schemas.openxmlformats.org/officeDocument/2006/relationships/hyperlink" Target="http://ontrack-internal.amd.com/browse/PMFW-1882" TargetMode="External"/><Relationship Id="rId39" Type="http://schemas.openxmlformats.org/officeDocument/2006/relationships/hyperlink" Target="http://ontrack-internal.amd.com/browse/PMFW-1925" TargetMode="External"/></Relationships>
</file>

<file path=xl/worksheets/_rels/sheet9.xml.rels><?xml version="1.0" encoding="UTF-8" standalone="yes"?>
<Relationships xmlns="http://schemas.openxmlformats.org/package/2006/relationships"><Relationship Id="rId13" Type="http://schemas.openxmlformats.org/officeDocument/2006/relationships/hyperlink" Target="http://ontrack-internal.amd.com/browse/PMFW-1910" TargetMode="External"/><Relationship Id="rId18" Type="http://schemas.openxmlformats.org/officeDocument/2006/relationships/hyperlink" Target="http://ontrack-internal.amd.com/browse/PMFW-1898" TargetMode="External"/><Relationship Id="rId26" Type="http://schemas.openxmlformats.org/officeDocument/2006/relationships/hyperlink" Target="http://ontrack-internal.amd.com/browse/PMFW-1842" TargetMode="External"/><Relationship Id="rId39" Type="http://schemas.openxmlformats.org/officeDocument/2006/relationships/hyperlink" Target="https://ontrack-internal.amd.com/browse/PMFW-11886" TargetMode="External"/><Relationship Id="rId21" Type="http://schemas.openxmlformats.org/officeDocument/2006/relationships/hyperlink" Target="http://ontrack-internal.amd.com/browse/PMFW-1922" TargetMode="External"/><Relationship Id="rId34" Type="http://schemas.openxmlformats.org/officeDocument/2006/relationships/hyperlink" Target="https://ontrack-internal.amd.com/browse/PMFW-8450" TargetMode="External"/><Relationship Id="rId42" Type="http://schemas.openxmlformats.org/officeDocument/2006/relationships/comments" Target="../comments4.xml"/><Relationship Id="rId7" Type="http://schemas.openxmlformats.org/officeDocument/2006/relationships/hyperlink" Target="http://ontrack-internal.amd.com/browse/PMFW-1847" TargetMode="External"/><Relationship Id="rId2" Type="http://schemas.openxmlformats.org/officeDocument/2006/relationships/hyperlink" Target="http://ontrack-internal.amd.com/browse/PMFW-1818" TargetMode="External"/><Relationship Id="rId16" Type="http://schemas.openxmlformats.org/officeDocument/2006/relationships/hyperlink" Target="http://ontrack-internal.amd.com/browse/PMFW-1902" TargetMode="External"/><Relationship Id="rId20" Type="http://schemas.openxmlformats.org/officeDocument/2006/relationships/hyperlink" Target="http://ontrack-internal.amd.com/browse/PMFW-1925" TargetMode="External"/><Relationship Id="rId29" Type="http://schemas.openxmlformats.org/officeDocument/2006/relationships/hyperlink" Target="http://ontrack-internal.amd.com/browse/PMFW-5490" TargetMode="External"/><Relationship Id="rId41" Type="http://schemas.openxmlformats.org/officeDocument/2006/relationships/vmlDrawing" Target="../drawings/vmlDrawing4.vml"/><Relationship Id="rId1" Type="http://schemas.openxmlformats.org/officeDocument/2006/relationships/hyperlink" Target="http://ontrack-internal.amd.com/browse/PMFW-1808" TargetMode="External"/><Relationship Id="rId6" Type="http://schemas.openxmlformats.org/officeDocument/2006/relationships/hyperlink" Target="http://ontrack-internal.amd.com/browse/PMFW-1842" TargetMode="External"/><Relationship Id="rId11" Type="http://schemas.openxmlformats.org/officeDocument/2006/relationships/hyperlink" Target="http://ontrack-internal.amd.com/browse/PMFW-11875" TargetMode="External"/><Relationship Id="rId24" Type="http://schemas.openxmlformats.org/officeDocument/2006/relationships/hyperlink" Target="http://ontrack-internal.amd.com/browse/PMFW-1808" TargetMode="External"/><Relationship Id="rId32" Type="http://schemas.openxmlformats.org/officeDocument/2006/relationships/hyperlink" Target="http://ontrack-internal.amd.com/browse/PMFW-7288" TargetMode="External"/><Relationship Id="rId37" Type="http://schemas.openxmlformats.org/officeDocument/2006/relationships/hyperlink" Target="http://ontrack-internal.amd.com/browse/PMFW-1922" TargetMode="External"/><Relationship Id="rId40" Type="http://schemas.openxmlformats.org/officeDocument/2006/relationships/printerSettings" Target="../printerSettings/printerSettings9.bin"/><Relationship Id="rId5" Type="http://schemas.openxmlformats.org/officeDocument/2006/relationships/hyperlink" Target="http://ontrack-internal.amd.com/browse/PMFW-1840" TargetMode="External"/><Relationship Id="rId15" Type="http://schemas.openxmlformats.org/officeDocument/2006/relationships/hyperlink" Target="http://ontrack-internal.amd.com/browse/PMFW-1903" TargetMode="External"/><Relationship Id="rId23" Type="http://schemas.openxmlformats.org/officeDocument/2006/relationships/hyperlink" Target="http://ontrack-internal.amd.com/browse/PMFW-1808" TargetMode="External"/><Relationship Id="rId28" Type="http://schemas.openxmlformats.org/officeDocument/2006/relationships/hyperlink" Target="http://ontrack-internal.amd.com/browse/PMFW-1856" TargetMode="External"/><Relationship Id="rId36" Type="http://schemas.openxmlformats.org/officeDocument/2006/relationships/hyperlink" Target="https://ontrack-internal.amd.com/browse/PMFW-8455" TargetMode="External"/><Relationship Id="rId10" Type="http://schemas.openxmlformats.org/officeDocument/2006/relationships/hyperlink" Target="http://ontrack-internal.amd.com/browse/PMFW-1856" TargetMode="External"/><Relationship Id="rId19" Type="http://schemas.openxmlformats.org/officeDocument/2006/relationships/hyperlink" Target="http://ontrack-internal.amd.com/browse/PMFW-1897" TargetMode="External"/><Relationship Id="rId31" Type="http://schemas.openxmlformats.org/officeDocument/2006/relationships/hyperlink" Target="http://ontrack-internal.amd.com/browse/PMFW-5400" TargetMode="External"/><Relationship Id="rId4" Type="http://schemas.openxmlformats.org/officeDocument/2006/relationships/hyperlink" Target="http://ontrack-internal.amd.com/browse/PMFW-1831" TargetMode="External"/><Relationship Id="rId9" Type="http://schemas.openxmlformats.org/officeDocument/2006/relationships/hyperlink" Target="http://ontrack-internal.amd.com/browse/PMFW-1851" TargetMode="External"/><Relationship Id="rId14" Type="http://schemas.openxmlformats.org/officeDocument/2006/relationships/hyperlink" Target="http://ontrack-internal.amd.com/browse/PMFW-1908" TargetMode="External"/><Relationship Id="rId22" Type="http://schemas.openxmlformats.org/officeDocument/2006/relationships/hyperlink" Target="http://ontrack-internal.amd.com/browse/PMFW-1921" TargetMode="External"/><Relationship Id="rId27" Type="http://schemas.openxmlformats.org/officeDocument/2006/relationships/hyperlink" Target="http://ontrack-internal.amd.com/browse/PMFW-1823" TargetMode="External"/><Relationship Id="rId30" Type="http://schemas.openxmlformats.org/officeDocument/2006/relationships/hyperlink" Target="http://ontrack-internal.amd.com/browse/PMFW-5489" TargetMode="External"/><Relationship Id="rId35" Type="http://schemas.openxmlformats.org/officeDocument/2006/relationships/hyperlink" Target="https://ontrack-internal.amd.com/browse/PMFW-8818" TargetMode="External"/><Relationship Id="rId43" Type="http://schemas.microsoft.com/office/2017/10/relationships/threadedComment" Target="../threadedComments/threadedComment1.xml"/><Relationship Id="rId8" Type="http://schemas.openxmlformats.org/officeDocument/2006/relationships/hyperlink" Target="http://ontrack-internal.amd.com/browse/PMFW-1853" TargetMode="External"/><Relationship Id="rId3" Type="http://schemas.openxmlformats.org/officeDocument/2006/relationships/hyperlink" Target="http://ontrack-internal.amd.com/browse/PMFW-1823" TargetMode="External"/><Relationship Id="rId12" Type="http://schemas.openxmlformats.org/officeDocument/2006/relationships/hyperlink" Target="http://ontrack-internal.amd.com/browse/PMFW-1883" TargetMode="External"/><Relationship Id="rId17" Type="http://schemas.openxmlformats.org/officeDocument/2006/relationships/hyperlink" Target="http://ontrack-internal.amd.com/browse/PMFW-1901" TargetMode="External"/><Relationship Id="rId25" Type="http://schemas.openxmlformats.org/officeDocument/2006/relationships/hyperlink" Target="http://ontrack-internal.amd.com/browse/PMFW-1823" TargetMode="External"/><Relationship Id="rId33" Type="http://schemas.openxmlformats.org/officeDocument/2006/relationships/hyperlink" Target="https://ontrack-internal.amd.com/browse/PMFW-8818" TargetMode="External"/><Relationship Id="rId38" Type="http://schemas.openxmlformats.org/officeDocument/2006/relationships/hyperlink" Target="https://ontrack-internal.amd.com/browse/PMFW-11886"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1"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633" t="s">
        <v>49</v>
      </c>
      <c r="C1" s="634"/>
      <c r="D1" s="634"/>
      <c r="E1" s="156" t="s">
        <v>50</v>
      </c>
      <c r="F1" s="156" t="s">
        <v>51</v>
      </c>
      <c r="G1" s="110" t="s">
        <v>52</v>
      </c>
    </row>
    <row r="2" spans="1:7" x14ac:dyDescent="0.25">
      <c r="A2" s="116" t="s">
        <v>53</v>
      </c>
      <c r="B2" s="635" t="s">
        <v>54</v>
      </c>
      <c r="C2" s="636"/>
      <c r="D2" s="636"/>
      <c r="E2" s="261" t="s">
        <v>55</v>
      </c>
      <c r="F2" s="261" t="s">
        <v>56</v>
      </c>
      <c r="G2" s="285" t="s">
        <v>57</v>
      </c>
    </row>
    <row r="3" spans="1:7" s="81" customFormat="1" x14ac:dyDescent="0.25">
      <c r="A3" s="192" t="s">
        <v>58</v>
      </c>
      <c r="B3" s="642" t="s">
        <v>59</v>
      </c>
      <c r="C3" s="643"/>
      <c r="D3" s="644"/>
      <c r="E3" s="80" t="s">
        <v>55</v>
      </c>
      <c r="F3" s="80" t="s">
        <v>56</v>
      </c>
      <c r="G3" s="286" t="s">
        <v>57</v>
      </c>
    </row>
    <row r="4" spans="1:7" x14ac:dyDescent="0.25">
      <c r="A4" s="192" t="s">
        <v>60</v>
      </c>
      <c r="B4" s="639" t="s">
        <v>61</v>
      </c>
      <c r="C4" s="640"/>
      <c r="D4" s="641"/>
      <c r="E4" s="80" t="s">
        <v>62</v>
      </c>
      <c r="F4" s="80" t="s">
        <v>56</v>
      </c>
      <c r="G4" s="286" t="s">
        <v>57</v>
      </c>
    </row>
    <row r="5" spans="1:7" x14ac:dyDescent="0.25">
      <c r="A5" s="117" t="s">
        <v>63</v>
      </c>
      <c r="B5" s="639" t="s">
        <v>64</v>
      </c>
      <c r="C5" s="640"/>
      <c r="D5" s="641"/>
      <c r="E5" s="80" t="s">
        <v>62</v>
      </c>
      <c r="F5" s="80" t="s">
        <v>56</v>
      </c>
      <c r="G5" s="286" t="s">
        <v>57</v>
      </c>
    </row>
    <row r="6" spans="1:7" x14ac:dyDescent="0.25">
      <c r="A6" s="117" t="s">
        <v>65</v>
      </c>
      <c r="B6" s="639" t="s">
        <v>66</v>
      </c>
      <c r="C6" s="640"/>
      <c r="D6" s="641"/>
      <c r="E6" s="80" t="s">
        <v>67</v>
      </c>
      <c r="F6" s="80" t="s">
        <v>56</v>
      </c>
      <c r="G6" s="85"/>
    </row>
    <row r="7" spans="1:7" ht="15.75" thickBot="1" x14ac:dyDescent="0.3">
      <c r="A7" s="118" t="s">
        <v>68</v>
      </c>
      <c r="B7" s="637" t="s">
        <v>69</v>
      </c>
      <c r="C7" s="638"/>
      <c r="D7" s="638"/>
      <c r="E7" s="86" t="s">
        <v>67</v>
      </c>
      <c r="F7" s="86"/>
      <c r="G7" s="87"/>
    </row>
    <row r="8" spans="1:7" s="84" customFormat="1" ht="15.75" thickBot="1" x14ac:dyDescent="0.3">
      <c r="A8" s="115" t="s">
        <v>48</v>
      </c>
      <c r="B8" s="350" t="s">
        <v>1</v>
      </c>
      <c r="C8" s="156" t="s">
        <v>70</v>
      </c>
      <c r="D8" s="156" t="s">
        <v>49</v>
      </c>
      <c r="E8" s="156" t="s">
        <v>50</v>
      </c>
      <c r="F8" s="156" t="s">
        <v>51</v>
      </c>
      <c r="G8" s="110" t="s">
        <v>52</v>
      </c>
    </row>
    <row r="9" spans="1:7" ht="105" x14ac:dyDescent="0.25">
      <c r="A9" s="610" t="s">
        <v>53</v>
      </c>
      <c r="B9" s="607" t="s">
        <v>71</v>
      </c>
      <c r="C9" s="292" t="s">
        <v>72</v>
      </c>
      <c r="D9" s="94" t="s">
        <v>73</v>
      </c>
      <c r="E9" s="94" t="s">
        <v>55</v>
      </c>
      <c r="F9" s="94" t="s">
        <v>74</v>
      </c>
      <c r="G9" s="351" t="s">
        <v>75</v>
      </c>
    </row>
    <row r="10" spans="1:7" ht="75" x14ac:dyDescent="0.25">
      <c r="A10" s="611"/>
      <c r="B10" s="608"/>
      <c r="C10" s="288" t="s">
        <v>76</v>
      </c>
      <c r="D10" s="82" t="s">
        <v>77</v>
      </c>
      <c r="E10" s="82" t="s">
        <v>55</v>
      </c>
      <c r="F10" s="82" t="s">
        <v>74</v>
      </c>
      <c r="G10" s="282" t="s">
        <v>78</v>
      </c>
    </row>
    <row r="11" spans="1:7" ht="45" x14ac:dyDescent="0.25">
      <c r="A11" s="611"/>
      <c r="B11" s="608"/>
      <c r="C11" s="288" t="s">
        <v>79</v>
      </c>
      <c r="D11" s="82" t="s">
        <v>80</v>
      </c>
      <c r="E11" s="82" t="s">
        <v>81</v>
      </c>
      <c r="F11" s="82" t="s">
        <v>74</v>
      </c>
      <c r="G11" s="95" t="s">
        <v>82</v>
      </c>
    </row>
    <row r="12" spans="1:7" ht="120" x14ac:dyDescent="0.25">
      <c r="A12" s="611"/>
      <c r="B12" s="608"/>
      <c r="C12" s="288" t="s">
        <v>83</v>
      </c>
      <c r="D12" s="300" t="s">
        <v>84</v>
      </c>
      <c r="E12" s="82" t="s">
        <v>81</v>
      </c>
      <c r="F12" s="82" t="s">
        <v>74</v>
      </c>
      <c r="G12" s="282" t="s">
        <v>85</v>
      </c>
    </row>
    <row r="13" spans="1:7" ht="30" x14ac:dyDescent="0.25">
      <c r="A13" s="611"/>
      <c r="B13" s="608"/>
      <c r="C13" s="288" t="s">
        <v>86</v>
      </c>
      <c r="D13" s="82" t="s">
        <v>87</v>
      </c>
      <c r="E13" s="82" t="s">
        <v>81</v>
      </c>
      <c r="F13" s="82" t="s">
        <v>74</v>
      </c>
      <c r="G13" s="95" t="s">
        <v>88</v>
      </c>
    </row>
    <row r="14" spans="1:7" ht="30" x14ac:dyDescent="0.25">
      <c r="A14" s="611"/>
      <c r="B14" s="608"/>
      <c r="C14" s="288" t="s">
        <v>89</v>
      </c>
      <c r="D14" s="82" t="s">
        <v>90</v>
      </c>
      <c r="E14" s="82" t="s">
        <v>81</v>
      </c>
      <c r="F14" s="82" t="s">
        <v>74</v>
      </c>
      <c r="G14" s="95" t="s">
        <v>88</v>
      </c>
    </row>
    <row r="15" spans="1:7" ht="30" x14ac:dyDescent="0.25">
      <c r="A15" s="611"/>
      <c r="B15" s="608"/>
      <c r="C15" s="121" t="s">
        <v>91</v>
      </c>
      <c r="D15" s="82" t="s">
        <v>92</v>
      </c>
      <c r="E15" s="82" t="s">
        <v>55</v>
      </c>
      <c r="F15" s="82" t="s">
        <v>74</v>
      </c>
      <c r="G15" s="95" t="s">
        <v>93</v>
      </c>
    </row>
    <row r="16" spans="1:7" ht="60" x14ac:dyDescent="0.25">
      <c r="A16" s="611"/>
      <c r="B16" s="608"/>
      <c r="C16" s="288" t="s">
        <v>94</v>
      </c>
      <c r="D16" s="300" t="s">
        <v>95</v>
      </c>
      <c r="E16" s="82" t="s">
        <v>81</v>
      </c>
      <c r="F16" s="82" t="s">
        <v>74</v>
      </c>
      <c r="G16" s="282" t="s">
        <v>96</v>
      </c>
    </row>
    <row r="17" spans="1:7" ht="30" x14ac:dyDescent="0.25">
      <c r="A17" s="611"/>
      <c r="B17" s="608"/>
      <c r="C17" s="288" t="s">
        <v>97</v>
      </c>
      <c r="D17" s="82" t="s">
        <v>98</v>
      </c>
      <c r="E17" s="82" t="s">
        <v>81</v>
      </c>
      <c r="F17" s="82" t="s">
        <v>74</v>
      </c>
      <c r="G17" s="95" t="s">
        <v>99</v>
      </c>
    </row>
    <row r="18" spans="1:7" ht="45" x14ac:dyDescent="0.25">
      <c r="A18" s="611"/>
      <c r="B18" s="608"/>
      <c r="C18" s="288" t="s">
        <v>100</v>
      </c>
      <c r="D18" s="82" t="s">
        <v>101</v>
      </c>
      <c r="E18" s="82" t="s">
        <v>81</v>
      </c>
      <c r="F18" s="82" t="s">
        <v>74</v>
      </c>
      <c r="G18" s="95" t="s">
        <v>102</v>
      </c>
    </row>
    <row r="19" spans="1:7" x14ac:dyDescent="0.25">
      <c r="A19" s="611"/>
      <c r="B19" s="608"/>
      <c r="C19" s="288" t="s">
        <v>103</v>
      </c>
      <c r="D19" s="82" t="s">
        <v>104</v>
      </c>
      <c r="E19" s="82" t="s">
        <v>81</v>
      </c>
      <c r="F19" s="82" t="s">
        <v>74</v>
      </c>
      <c r="G19" s="95" t="s">
        <v>105</v>
      </c>
    </row>
    <row r="20" spans="1:7" ht="105.75" thickBot="1" x14ac:dyDescent="0.3">
      <c r="A20" s="611"/>
      <c r="B20" s="609"/>
      <c r="C20" s="352" t="s">
        <v>1</v>
      </c>
      <c r="D20" s="542" t="s">
        <v>106</v>
      </c>
      <c r="E20" s="353" t="s">
        <v>81</v>
      </c>
      <c r="F20" s="353" t="s">
        <v>74</v>
      </c>
      <c r="G20" s="354" t="s">
        <v>107</v>
      </c>
    </row>
    <row r="21" spans="1:7" ht="45" x14ac:dyDescent="0.25">
      <c r="A21" s="611"/>
      <c r="B21" s="624" t="s">
        <v>108</v>
      </c>
      <c r="C21" s="289" t="s">
        <v>109</v>
      </c>
      <c r="D21" s="105" t="s">
        <v>110</v>
      </c>
      <c r="E21" s="105" t="s">
        <v>81</v>
      </c>
      <c r="F21" s="105" t="s">
        <v>111</v>
      </c>
      <c r="G21" s="157" t="s">
        <v>112</v>
      </c>
    </row>
    <row r="22" spans="1:7" ht="30" x14ac:dyDescent="0.25">
      <c r="A22" s="611"/>
      <c r="B22" s="625"/>
      <c r="C22" s="290" t="s">
        <v>113</v>
      </c>
      <c r="D22" s="358" t="s">
        <v>114</v>
      </c>
      <c r="E22" s="358" t="s">
        <v>81</v>
      </c>
      <c r="F22" s="358" t="s">
        <v>111</v>
      </c>
      <c r="G22" s="359" t="s">
        <v>115</v>
      </c>
    </row>
    <row r="23" spans="1:7" ht="15.75" thickBot="1" x14ac:dyDescent="0.3">
      <c r="A23" s="611"/>
      <c r="B23" s="626"/>
      <c r="C23" s="360" t="s">
        <v>116</v>
      </c>
      <c r="D23" s="107" t="s">
        <v>117</v>
      </c>
      <c r="E23" s="107" t="s">
        <v>81</v>
      </c>
      <c r="F23" s="107" t="s">
        <v>111</v>
      </c>
      <c r="G23" s="108" t="s">
        <v>118</v>
      </c>
    </row>
    <row r="24" spans="1:7" ht="30" customHeight="1" x14ac:dyDescent="0.25">
      <c r="A24" s="611"/>
      <c r="B24" s="627" t="s">
        <v>119</v>
      </c>
      <c r="C24" s="355" t="s">
        <v>120</v>
      </c>
      <c r="D24" s="356" t="s">
        <v>121</v>
      </c>
      <c r="E24" s="356" t="s">
        <v>81</v>
      </c>
      <c r="F24" s="356" t="s">
        <v>74</v>
      </c>
      <c r="G24" s="357" t="s">
        <v>122</v>
      </c>
    </row>
    <row r="25" spans="1:7" ht="30" customHeight="1" x14ac:dyDescent="0.25">
      <c r="A25" s="611"/>
      <c r="B25" s="628"/>
      <c r="C25" s="290" t="s">
        <v>123</v>
      </c>
      <c r="D25" s="109" t="s">
        <v>124</v>
      </c>
      <c r="E25" s="109" t="s">
        <v>81</v>
      </c>
      <c r="F25" s="109" t="s">
        <v>125</v>
      </c>
      <c r="G25" s="645" t="s">
        <v>126</v>
      </c>
    </row>
    <row r="26" spans="1:7" ht="30" x14ac:dyDescent="0.25">
      <c r="A26" s="611"/>
      <c r="B26" s="628"/>
      <c r="C26" s="242" t="s">
        <v>127</v>
      </c>
      <c r="D26" s="109" t="s">
        <v>128</v>
      </c>
      <c r="E26" s="109" t="s">
        <v>81</v>
      </c>
      <c r="F26" s="109" t="s">
        <v>125</v>
      </c>
      <c r="G26" s="646"/>
    </row>
    <row r="27" spans="1:7" x14ac:dyDescent="0.25">
      <c r="A27" s="611"/>
      <c r="B27" s="628"/>
      <c r="C27" s="290" t="s">
        <v>30</v>
      </c>
      <c r="D27" s="109" t="s">
        <v>129</v>
      </c>
      <c r="E27" s="109" t="s">
        <v>81</v>
      </c>
      <c r="F27" s="109" t="s">
        <v>125</v>
      </c>
      <c r="G27" s="646"/>
    </row>
    <row r="28" spans="1:7" x14ac:dyDescent="0.25">
      <c r="A28" s="611"/>
      <c r="B28" s="628"/>
      <c r="C28" s="290" t="s">
        <v>130</v>
      </c>
      <c r="D28" s="109" t="s">
        <v>131</v>
      </c>
      <c r="E28" s="109" t="s">
        <v>81</v>
      </c>
      <c r="F28" s="109" t="s">
        <v>125</v>
      </c>
      <c r="G28" s="646"/>
    </row>
    <row r="29" spans="1:7" x14ac:dyDescent="0.25">
      <c r="A29" s="611"/>
      <c r="B29" s="628"/>
      <c r="C29" s="290" t="s">
        <v>35</v>
      </c>
      <c r="D29" s="109" t="s">
        <v>132</v>
      </c>
      <c r="E29" s="109" t="s">
        <v>81</v>
      </c>
      <c r="F29" s="109" t="s">
        <v>125</v>
      </c>
      <c r="G29" s="646"/>
    </row>
    <row r="30" spans="1:7" x14ac:dyDescent="0.25">
      <c r="A30" s="611"/>
      <c r="B30" s="628"/>
      <c r="C30" s="290" t="s">
        <v>133</v>
      </c>
      <c r="D30" s="109" t="s">
        <v>134</v>
      </c>
      <c r="E30" s="109" t="s">
        <v>81</v>
      </c>
      <c r="F30" s="109" t="s">
        <v>125</v>
      </c>
      <c r="G30" s="646"/>
    </row>
    <row r="31" spans="1:7" x14ac:dyDescent="0.25">
      <c r="A31" s="611"/>
      <c r="B31" s="628"/>
      <c r="C31" s="242" t="s">
        <v>135</v>
      </c>
      <c r="D31" s="109" t="s">
        <v>136</v>
      </c>
      <c r="E31" s="109" t="s">
        <v>81</v>
      </c>
      <c r="F31" s="109" t="s">
        <v>125</v>
      </c>
      <c r="G31" s="646"/>
    </row>
    <row r="32" spans="1:7" ht="30.75" thickBot="1" x14ac:dyDescent="0.3">
      <c r="A32" s="611"/>
      <c r="B32" s="629"/>
      <c r="C32" s="291" t="s">
        <v>137</v>
      </c>
      <c r="D32" s="104" t="s">
        <v>138</v>
      </c>
      <c r="E32" s="104" t="s">
        <v>81</v>
      </c>
      <c r="F32" s="104" t="s">
        <v>125</v>
      </c>
      <c r="G32" s="647"/>
    </row>
    <row r="33" spans="1:7" ht="30" x14ac:dyDescent="0.25">
      <c r="A33" s="611"/>
      <c r="B33" s="630" t="s">
        <v>139</v>
      </c>
      <c r="C33" s="277" t="s">
        <v>127</v>
      </c>
      <c r="D33" s="240" t="s">
        <v>140</v>
      </c>
      <c r="E33" s="240" t="s">
        <v>81</v>
      </c>
      <c r="F33" s="240" t="s">
        <v>141</v>
      </c>
      <c r="G33" s="241" t="s">
        <v>142</v>
      </c>
    </row>
    <row r="34" spans="1:7" x14ac:dyDescent="0.25">
      <c r="A34" s="611"/>
      <c r="B34" s="631"/>
      <c r="C34" s="288" t="s">
        <v>30</v>
      </c>
      <c r="D34" s="83" t="s">
        <v>143</v>
      </c>
      <c r="E34" s="83" t="s">
        <v>81</v>
      </c>
      <c r="F34" s="83" t="s">
        <v>141</v>
      </c>
      <c r="G34" s="99"/>
    </row>
    <row r="35" spans="1:7" x14ac:dyDescent="0.25">
      <c r="A35" s="611"/>
      <c r="B35" s="631"/>
      <c r="C35" s="288" t="s">
        <v>130</v>
      </c>
      <c r="D35" s="83" t="s">
        <v>144</v>
      </c>
      <c r="E35" s="83" t="s">
        <v>81</v>
      </c>
      <c r="F35" s="83" t="s">
        <v>141</v>
      </c>
      <c r="G35" s="99" t="s">
        <v>145</v>
      </c>
    </row>
    <row r="36" spans="1:7" x14ac:dyDescent="0.25">
      <c r="A36" s="611"/>
      <c r="B36" s="631"/>
      <c r="C36" s="288" t="s">
        <v>35</v>
      </c>
      <c r="D36" s="83" t="s">
        <v>146</v>
      </c>
      <c r="E36" s="83" t="s">
        <v>81</v>
      </c>
      <c r="F36" s="83" t="s">
        <v>141</v>
      </c>
      <c r="G36" s="113"/>
    </row>
    <row r="37" spans="1:7" x14ac:dyDescent="0.25">
      <c r="A37" s="611"/>
      <c r="B37" s="631"/>
      <c r="C37" s="288" t="s">
        <v>133</v>
      </c>
      <c r="D37" s="83" t="s">
        <v>147</v>
      </c>
      <c r="E37" s="83" t="s">
        <v>81</v>
      </c>
      <c r="F37" s="83" t="s">
        <v>141</v>
      </c>
      <c r="G37" s="99" t="s">
        <v>148</v>
      </c>
    </row>
    <row r="38" spans="1:7" x14ac:dyDescent="0.25">
      <c r="A38" s="611"/>
      <c r="B38" s="631"/>
      <c r="C38" s="243" t="s">
        <v>135</v>
      </c>
      <c r="D38" s="83" t="s">
        <v>149</v>
      </c>
      <c r="E38" s="83" t="s">
        <v>81</v>
      </c>
      <c r="F38" s="83" t="s">
        <v>141</v>
      </c>
      <c r="G38" s="99"/>
    </row>
    <row r="39" spans="1:7" ht="30" x14ac:dyDescent="0.25">
      <c r="A39" s="611"/>
      <c r="B39" s="631"/>
      <c r="C39" s="290" t="s">
        <v>150</v>
      </c>
      <c r="D39" s="83" t="s">
        <v>151</v>
      </c>
      <c r="E39" s="83" t="s">
        <v>81</v>
      </c>
      <c r="F39" s="83" t="s">
        <v>141</v>
      </c>
      <c r="G39" s="99"/>
    </row>
    <row r="40" spans="1:7" ht="30" x14ac:dyDescent="0.25">
      <c r="A40" s="611"/>
      <c r="B40" s="631"/>
      <c r="C40" s="243" t="s">
        <v>152</v>
      </c>
      <c r="D40" s="83" t="s">
        <v>153</v>
      </c>
      <c r="E40" s="83" t="s">
        <v>55</v>
      </c>
      <c r="F40" s="83" t="s">
        <v>141</v>
      </c>
      <c r="G40" s="99" t="s">
        <v>154</v>
      </c>
    </row>
    <row r="41" spans="1:7" ht="45.75" thickBot="1" x14ac:dyDescent="0.3">
      <c r="A41" s="611"/>
      <c r="B41" s="632"/>
      <c r="C41" s="287" t="s">
        <v>155</v>
      </c>
      <c r="D41" s="100" t="s">
        <v>156</v>
      </c>
      <c r="E41" s="100" t="s">
        <v>81</v>
      </c>
      <c r="F41" s="100" t="s">
        <v>141</v>
      </c>
      <c r="G41" s="101" t="s">
        <v>157</v>
      </c>
    </row>
    <row r="42" spans="1:7" ht="135.75" thickBot="1" x14ac:dyDescent="0.3">
      <c r="A42" s="610" t="s">
        <v>58</v>
      </c>
      <c r="B42" s="361" t="s">
        <v>158</v>
      </c>
      <c r="C42" s="292" t="s">
        <v>83</v>
      </c>
      <c r="D42" s="362" t="s">
        <v>159</v>
      </c>
      <c r="E42" s="362" t="s">
        <v>81</v>
      </c>
      <c r="F42" s="362" t="s">
        <v>74</v>
      </c>
      <c r="G42" s="363" t="s">
        <v>160</v>
      </c>
    </row>
    <row r="43" spans="1:7" ht="15" customHeight="1" x14ac:dyDescent="0.25">
      <c r="A43" s="611"/>
      <c r="B43" s="615" t="s">
        <v>161</v>
      </c>
      <c r="C43" s="274" t="s">
        <v>162</v>
      </c>
      <c r="D43" s="262" t="s">
        <v>163</v>
      </c>
      <c r="E43" s="262" t="s">
        <v>62</v>
      </c>
      <c r="F43" s="262" t="s">
        <v>74</v>
      </c>
      <c r="G43" s="245" t="s">
        <v>164</v>
      </c>
    </row>
    <row r="44" spans="1:7" ht="30" x14ac:dyDescent="0.25">
      <c r="A44" s="611"/>
      <c r="B44" s="616"/>
      <c r="C44" s="275" t="s">
        <v>123</v>
      </c>
      <c r="D44" s="263" t="s">
        <v>165</v>
      </c>
      <c r="E44" s="263" t="s">
        <v>62</v>
      </c>
      <c r="F44" s="263" t="s">
        <v>74</v>
      </c>
      <c r="G44" s="246" t="s">
        <v>164</v>
      </c>
    </row>
    <row r="45" spans="1:7" ht="30" x14ac:dyDescent="0.25">
      <c r="A45" s="611"/>
      <c r="B45" s="616"/>
      <c r="C45" s="275" t="s">
        <v>100</v>
      </c>
      <c r="D45" s="263" t="s">
        <v>166</v>
      </c>
      <c r="E45" s="263" t="s">
        <v>62</v>
      </c>
      <c r="F45" s="263" t="s">
        <v>74</v>
      </c>
      <c r="G45" s="246" t="s">
        <v>167</v>
      </c>
    </row>
    <row r="46" spans="1:7" x14ac:dyDescent="0.25">
      <c r="A46" s="611"/>
      <c r="B46" s="616"/>
      <c r="C46" s="275" t="s">
        <v>168</v>
      </c>
      <c r="D46" s="263" t="s">
        <v>169</v>
      </c>
      <c r="E46" s="263" t="s">
        <v>62</v>
      </c>
      <c r="F46" s="263" t="s">
        <v>74</v>
      </c>
      <c r="G46" s="246" t="s">
        <v>164</v>
      </c>
    </row>
    <row r="47" spans="1:7" ht="15.75" thickBot="1" x14ac:dyDescent="0.3">
      <c r="A47" s="611"/>
      <c r="B47" s="617"/>
      <c r="C47" s="276" t="s">
        <v>170</v>
      </c>
      <c r="D47" s="264" t="s">
        <v>171</v>
      </c>
      <c r="E47" s="263" t="s">
        <v>62</v>
      </c>
      <c r="F47" s="264" t="s">
        <v>74</v>
      </c>
      <c r="G47" s="247" t="s">
        <v>164</v>
      </c>
    </row>
    <row r="48" spans="1:7" ht="30" x14ac:dyDescent="0.25">
      <c r="A48" s="611"/>
      <c r="B48" s="618" t="s">
        <v>172</v>
      </c>
      <c r="C48" s="271" t="s">
        <v>127</v>
      </c>
      <c r="D48" s="265" t="s">
        <v>173</v>
      </c>
      <c r="E48" s="265" t="s">
        <v>62</v>
      </c>
      <c r="F48" s="265" t="s">
        <v>125</v>
      </c>
      <c r="G48" s="648" t="s">
        <v>174</v>
      </c>
    </row>
    <row r="49" spans="1:7" ht="30" x14ac:dyDescent="0.25">
      <c r="A49" s="611"/>
      <c r="B49" s="618"/>
      <c r="C49" s="272" t="s">
        <v>30</v>
      </c>
      <c r="D49" s="248" t="s">
        <v>175</v>
      </c>
      <c r="E49" s="248" t="s">
        <v>62</v>
      </c>
      <c r="F49" s="248" t="s">
        <v>125</v>
      </c>
      <c r="G49" s="649"/>
    </row>
    <row r="50" spans="1:7" ht="30" x14ac:dyDescent="0.25">
      <c r="A50" s="611"/>
      <c r="B50" s="618"/>
      <c r="C50" s="272" t="s">
        <v>130</v>
      </c>
      <c r="D50" s="248" t="s">
        <v>176</v>
      </c>
      <c r="E50" s="248" t="s">
        <v>62</v>
      </c>
      <c r="F50" s="248" t="s">
        <v>125</v>
      </c>
      <c r="G50" s="649"/>
    </row>
    <row r="51" spans="1:7" ht="30" x14ac:dyDescent="0.25">
      <c r="A51" s="611"/>
      <c r="B51" s="618"/>
      <c r="C51" s="272" t="s">
        <v>35</v>
      </c>
      <c r="D51" s="248" t="s">
        <v>177</v>
      </c>
      <c r="E51" s="248" t="s">
        <v>62</v>
      </c>
      <c r="F51" s="248" t="s">
        <v>125</v>
      </c>
      <c r="G51" s="649"/>
    </row>
    <row r="52" spans="1:7" ht="30" x14ac:dyDescent="0.25">
      <c r="A52" s="611"/>
      <c r="B52" s="618"/>
      <c r="C52" s="272" t="s">
        <v>133</v>
      </c>
      <c r="D52" s="248" t="s">
        <v>178</v>
      </c>
      <c r="E52" s="248" t="s">
        <v>62</v>
      </c>
      <c r="F52" s="248" t="s">
        <v>125</v>
      </c>
      <c r="G52" s="649"/>
    </row>
    <row r="53" spans="1:7" ht="30" x14ac:dyDescent="0.25">
      <c r="A53" s="611"/>
      <c r="B53" s="618"/>
      <c r="C53" s="272" t="s">
        <v>179</v>
      </c>
      <c r="D53" s="248" t="s">
        <v>180</v>
      </c>
      <c r="E53" s="248" t="s">
        <v>62</v>
      </c>
      <c r="F53" s="248" t="s">
        <v>125</v>
      </c>
      <c r="G53" s="649"/>
    </row>
    <row r="54" spans="1:7" x14ac:dyDescent="0.25">
      <c r="A54" s="611"/>
      <c r="B54" s="618"/>
      <c r="C54" s="272" t="s">
        <v>135</v>
      </c>
      <c r="D54" s="248" t="s">
        <v>181</v>
      </c>
      <c r="E54" s="248" t="s">
        <v>62</v>
      </c>
      <c r="F54" s="248" t="s">
        <v>125</v>
      </c>
      <c r="G54" s="649"/>
    </row>
    <row r="55" spans="1:7" ht="30.75" thickBot="1" x14ac:dyDescent="0.3">
      <c r="A55" s="611"/>
      <c r="B55" s="619"/>
      <c r="C55" s="273" t="s">
        <v>182</v>
      </c>
      <c r="D55" s="266" t="s">
        <v>183</v>
      </c>
      <c r="E55" s="266" t="s">
        <v>62</v>
      </c>
      <c r="F55" s="266" t="s">
        <v>125</v>
      </c>
      <c r="G55" s="650"/>
    </row>
    <row r="56" spans="1:7" ht="30" x14ac:dyDescent="0.25">
      <c r="A56" s="611"/>
      <c r="B56" s="620" t="s">
        <v>139</v>
      </c>
      <c r="C56" s="347" t="s">
        <v>127</v>
      </c>
      <c r="D56" s="348" t="s">
        <v>184</v>
      </c>
      <c r="E56" s="348" t="s">
        <v>62</v>
      </c>
      <c r="F56" s="348" t="s">
        <v>141</v>
      </c>
      <c r="G56" s="349" t="s">
        <v>164</v>
      </c>
    </row>
    <row r="57" spans="1:7" ht="30" x14ac:dyDescent="0.25">
      <c r="A57" s="611"/>
      <c r="B57" s="621"/>
      <c r="C57" s="269" t="s">
        <v>30</v>
      </c>
      <c r="D57" s="267" t="s">
        <v>185</v>
      </c>
      <c r="E57" s="267" t="s">
        <v>62</v>
      </c>
      <c r="F57" s="267" t="s">
        <v>141</v>
      </c>
      <c r="G57" s="244" t="s">
        <v>164</v>
      </c>
    </row>
    <row r="58" spans="1:7" ht="30" x14ac:dyDescent="0.25">
      <c r="A58" s="611"/>
      <c r="B58" s="621"/>
      <c r="C58" s="269" t="s">
        <v>130</v>
      </c>
      <c r="D58" s="267" t="s">
        <v>186</v>
      </c>
      <c r="E58" s="267" t="s">
        <v>62</v>
      </c>
      <c r="F58" s="267" t="s">
        <v>141</v>
      </c>
      <c r="G58" s="244" t="s">
        <v>164</v>
      </c>
    </row>
    <row r="59" spans="1:7" x14ac:dyDescent="0.25">
      <c r="A59" s="611"/>
      <c r="B59" s="621"/>
      <c r="C59" s="269" t="s">
        <v>35</v>
      </c>
      <c r="D59" s="267" t="s">
        <v>187</v>
      </c>
      <c r="E59" s="267" t="s">
        <v>62</v>
      </c>
      <c r="F59" s="267" t="s">
        <v>141</v>
      </c>
      <c r="G59" s="244" t="s">
        <v>164</v>
      </c>
    </row>
    <row r="60" spans="1:7" ht="30" x14ac:dyDescent="0.25">
      <c r="A60" s="611"/>
      <c r="B60" s="621"/>
      <c r="C60" s="269" t="s">
        <v>133</v>
      </c>
      <c r="D60" s="267" t="s">
        <v>188</v>
      </c>
      <c r="E60" s="267" t="s">
        <v>62</v>
      </c>
      <c r="F60" s="267" t="s">
        <v>141</v>
      </c>
      <c r="G60" s="244" t="s">
        <v>164</v>
      </c>
    </row>
    <row r="61" spans="1:7" x14ac:dyDescent="0.25">
      <c r="A61" s="611"/>
      <c r="B61" s="621"/>
      <c r="C61" s="269" t="s">
        <v>179</v>
      </c>
      <c r="D61" s="267" t="s">
        <v>189</v>
      </c>
      <c r="E61" s="267" t="s">
        <v>62</v>
      </c>
      <c r="F61" s="267" t="s">
        <v>141</v>
      </c>
      <c r="G61" s="244" t="s">
        <v>164</v>
      </c>
    </row>
    <row r="62" spans="1:7" x14ac:dyDescent="0.25">
      <c r="A62" s="611"/>
      <c r="B62" s="621"/>
      <c r="C62" s="269" t="s">
        <v>135</v>
      </c>
      <c r="D62" s="267" t="s">
        <v>190</v>
      </c>
      <c r="E62" s="267" t="s">
        <v>62</v>
      </c>
      <c r="F62" s="267" t="s">
        <v>141</v>
      </c>
      <c r="G62" s="244" t="s">
        <v>164</v>
      </c>
    </row>
    <row r="63" spans="1:7" ht="15.75" thickBot="1" x14ac:dyDescent="0.3">
      <c r="A63" s="623"/>
      <c r="B63" s="622"/>
      <c r="C63" s="270" t="s">
        <v>182</v>
      </c>
      <c r="D63" s="268" t="s">
        <v>191</v>
      </c>
      <c r="E63" s="268" t="s">
        <v>62</v>
      </c>
      <c r="F63" s="268" t="s">
        <v>141</v>
      </c>
      <c r="G63" s="249" t="s">
        <v>164</v>
      </c>
    </row>
    <row r="64" spans="1:7" ht="120" x14ac:dyDescent="0.25">
      <c r="A64" s="611" t="s">
        <v>60</v>
      </c>
      <c r="B64" s="612" t="s">
        <v>192</v>
      </c>
      <c r="C64" s="289" t="s">
        <v>72</v>
      </c>
      <c r="D64" s="251" t="s">
        <v>193</v>
      </c>
      <c r="E64" s="251" t="s">
        <v>55</v>
      </c>
      <c r="F64" s="251" t="s">
        <v>74</v>
      </c>
      <c r="G64" s="364" t="s">
        <v>194</v>
      </c>
    </row>
    <row r="65" spans="1:7" ht="60" x14ac:dyDescent="0.25">
      <c r="A65" s="611"/>
      <c r="B65" s="613"/>
      <c r="C65" s="290" t="s">
        <v>76</v>
      </c>
      <c r="D65" s="252" t="s">
        <v>77</v>
      </c>
      <c r="E65" s="252" t="s">
        <v>55</v>
      </c>
      <c r="F65" s="252" t="s">
        <v>74</v>
      </c>
      <c r="G65" s="366" t="s">
        <v>195</v>
      </c>
    </row>
    <row r="66" spans="1:7" ht="30" x14ac:dyDescent="0.25">
      <c r="A66" s="611"/>
      <c r="B66" s="613"/>
      <c r="C66" s="290" t="s">
        <v>91</v>
      </c>
      <c r="D66" s="252" t="s">
        <v>92</v>
      </c>
      <c r="E66" s="252" t="s">
        <v>55</v>
      </c>
      <c r="F66" s="252" t="s">
        <v>74</v>
      </c>
      <c r="G66" s="253" t="s">
        <v>196</v>
      </c>
    </row>
    <row r="67" spans="1:7" ht="30" x14ac:dyDescent="0.25">
      <c r="A67" s="611"/>
      <c r="B67" s="613"/>
      <c r="C67" s="290" t="s">
        <v>197</v>
      </c>
      <c r="D67" s="252" t="s">
        <v>198</v>
      </c>
      <c r="E67" s="252" t="s">
        <v>55</v>
      </c>
      <c r="F67" s="252" t="s">
        <v>74</v>
      </c>
      <c r="G67" s="253" t="s">
        <v>199</v>
      </c>
    </row>
    <row r="68" spans="1:7" x14ac:dyDescent="0.25">
      <c r="A68" s="611"/>
      <c r="B68" s="613"/>
      <c r="C68" s="290" t="s">
        <v>1</v>
      </c>
      <c r="D68" s="252" t="s">
        <v>200</v>
      </c>
      <c r="E68" s="252" t="s">
        <v>55</v>
      </c>
      <c r="F68" s="252" t="s">
        <v>74</v>
      </c>
      <c r="G68" s="253" t="s">
        <v>201</v>
      </c>
    </row>
    <row r="69" spans="1:7" ht="15.75" thickBot="1" x14ac:dyDescent="0.3">
      <c r="A69" s="611"/>
      <c r="B69" s="614"/>
      <c r="C69" s="291" t="s">
        <v>202</v>
      </c>
      <c r="D69" s="254" t="s">
        <v>203</v>
      </c>
      <c r="E69" s="254" t="s">
        <v>55</v>
      </c>
      <c r="F69" s="254" t="s">
        <v>74</v>
      </c>
      <c r="G69" s="255"/>
    </row>
    <row r="70" spans="1:7" ht="150" x14ac:dyDescent="0.25">
      <c r="A70" s="610" t="s">
        <v>63</v>
      </c>
      <c r="B70" s="607" t="s">
        <v>71</v>
      </c>
      <c r="C70" s="296" t="s">
        <v>72</v>
      </c>
      <c r="D70" s="250" t="s">
        <v>204</v>
      </c>
      <c r="E70" s="250" t="s">
        <v>55</v>
      </c>
      <c r="F70" s="250" t="s">
        <v>74</v>
      </c>
      <c r="G70" s="365" t="s">
        <v>205</v>
      </c>
    </row>
    <row r="71" spans="1:7" x14ac:dyDescent="0.25">
      <c r="A71" s="611"/>
      <c r="B71" s="608"/>
      <c r="C71" s="121" t="s">
        <v>76</v>
      </c>
      <c r="D71" s="82" t="s">
        <v>77</v>
      </c>
      <c r="E71" s="82" t="s">
        <v>55</v>
      </c>
      <c r="F71" s="82" t="s">
        <v>74</v>
      </c>
      <c r="G71" s="95" t="s">
        <v>164</v>
      </c>
    </row>
    <row r="72" spans="1:7" ht="30" x14ac:dyDescent="0.25">
      <c r="A72" s="611"/>
      <c r="B72" s="608"/>
      <c r="C72" s="121" t="s">
        <v>91</v>
      </c>
      <c r="D72" s="82" t="s">
        <v>92</v>
      </c>
      <c r="E72" s="82" t="s">
        <v>55</v>
      </c>
      <c r="F72" s="82" t="s">
        <v>74</v>
      </c>
      <c r="G72" s="95" t="s">
        <v>206</v>
      </c>
    </row>
    <row r="73" spans="1:7" x14ac:dyDescent="0.25">
      <c r="A73" s="611"/>
      <c r="B73" s="608"/>
      <c r="C73" s="121" t="s">
        <v>207</v>
      </c>
      <c r="D73" s="82" t="s">
        <v>208</v>
      </c>
      <c r="E73" s="82" t="s">
        <v>81</v>
      </c>
      <c r="F73" s="82" t="s">
        <v>74</v>
      </c>
      <c r="G73" s="95" t="s">
        <v>164</v>
      </c>
    </row>
    <row r="74" spans="1:7" ht="60" customHeight="1" x14ac:dyDescent="0.25">
      <c r="A74" s="611"/>
      <c r="B74" s="608"/>
      <c r="C74" s="121" t="s">
        <v>83</v>
      </c>
      <c r="D74" s="82" t="s">
        <v>209</v>
      </c>
      <c r="E74" s="82" t="s">
        <v>81</v>
      </c>
      <c r="F74" s="82" t="s">
        <v>74</v>
      </c>
      <c r="G74" s="95" t="s">
        <v>164</v>
      </c>
    </row>
    <row r="75" spans="1:7" x14ac:dyDescent="0.25">
      <c r="A75" s="611"/>
      <c r="B75" s="608"/>
      <c r="C75" s="121" t="s">
        <v>1</v>
      </c>
      <c r="D75" s="82" t="s">
        <v>200</v>
      </c>
      <c r="E75" s="82" t="s">
        <v>81</v>
      </c>
      <c r="F75" s="82" t="s">
        <v>74</v>
      </c>
      <c r="G75" s="95" t="s">
        <v>164</v>
      </c>
    </row>
    <row r="76" spans="1:7" ht="90" x14ac:dyDescent="0.25">
      <c r="A76" s="611"/>
      <c r="B76" s="608"/>
      <c r="C76" s="121" t="s">
        <v>210</v>
      </c>
      <c r="D76" s="82" t="s">
        <v>211</v>
      </c>
      <c r="E76" s="82" t="s">
        <v>55</v>
      </c>
      <c r="F76" s="82" t="s">
        <v>74</v>
      </c>
      <c r="G76" s="282" t="s">
        <v>212</v>
      </c>
    </row>
    <row r="77" spans="1:7" ht="90" x14ac:dyDescent="0.25">
      <c r="A77" s="611"/>
      <c r="B77" s="608"/>
      <c r="C77" s="121" t="s">
        <v>213</v>
      </c>
      <c r="D77" s="82" t="s">
        <v>214</v>
      </c>
      <c r="E77" s="82" t="s">
        <v>55</v>
      </c>
      <c r="F77" s="82" t="s">
        <v>74</v>
      </c>
      <c r="G77" s="282" t="s">
        <v>215</v>
      </c>
    </row>
    <row r="78" spans="1:7" ht="30" x14ac:dyDescent="0.25">
      <c r="A78" s="611"/>
      <c r="B78" s="608"/>
      <c r="C78" s="121" t="s">
        <v>100</v>
      </c>
      <c r="D78" s="82" t="s">
        <v>166</v>
      </c>
      <c r="E78" s="82" t="s">
        <v>81</v>
      </c>
      <c r="F78" s="82" t="s">
        <v>74</v>
      </c>
      <c r="G78" s="95" t="s">
        <v>167</v>
      </c>
    </row>
    <row r="79" spans="1:7" ht="30.75" thickBot="1" x14ac:dyDescent="0.3">
      <c r="A79" s="611"/>
      <c r="B79" s="609"/>
      <c r="C79" s="122" t="s">
        <v>216</v>
      </c>
      <c r="D79" s="96" t="s">
        <v>217</v>
      </c>
      <c r="E79" s="96" t="s">
        <v>55</v>
      </c>
      <c r="F79" s="96" t="s">
        <v>74</v>
      </c>
      <c r="G79" s="97" t="s">
        <v>218</v>
      </c>
    </row>
    <row r="80" spans="1:7" ht="30" x14ac:dyDescent="0.25">
      <c r="A80" s="611"/>
      <c r="B80" s="651" t="s">
        <v>108</v>
      </c>
      <c r="C80" s="123" t="s">
        <v>109</v>
      </c>
      <c r="D80" s="105" t="s">
        <v>219</v>
      </c>
      <c r="E80" s="105" t="s">
        <v>55</v>
      </c>
      <c r="F80" s="105" t="s">
        <v>220</v>
      </c>
      <c r="G80" s="106" t="s">
        <v>218</v>
      </c>
    </row>
    <row r="81" spans="1:7" ht="30.75" thickBot="1" x14ac:dyDescent="0.3">
      <c r="A81" s="611"/>
      <c r="B81" s="652"/>
      <c r="C81" s="124" t="s">
        <v>116</v>
      </c>
      <c r="D81" s="107" t="s">
        <v>221</v>
      </c>
      <c r="E81" s="107" t="s">
        <v>55</v>
      </c>
      <c r="F81" s="107" t="s">
        <v>220</v>
      </c>
      <c r="G81" s="108" t="s">
        <v>218</v>
      </c>
    </row>
    <row r="82" spans="1:7" ht="30" x14ac:dyDescent="0.25">
      <c r="A82" s="611"/>
      <c r="B82" s="653" t="s">
        <v>119</v>
      </c>
      <c r="C82" s="125" t="s">
        <v>222</v>
      </c>
      <c r="D82" s="102" t="s">
        <v>223</v>
      </c>
      <c r="E82" s="102" t="s">
        <v>55</v>
      </c>
      <c r="F82" s="102" t="s">
        <v>74</v>
      </c>
      <c r="G82" s="103" t="s">
        <v>218</v>
      </c>
    </row>
    <row r="83" spans="1:7" ht="30" x14ac:dyDescent="0.25">
      <c r="A83" s="611"/>
      <c r="B83" s="654"/>
      <c r="C83" s="127" t="s">
        <v>224</v>
      </c>
      <c r="D83" s="109" t="s">
        <v>225</v>
      </c>
      <c r="E83" s="109" t="s">
        <v>55</v>
      </c>
      <c r="F83" s="109" t="s">
        <v>220</v>
      </c>
      <c r="G83" s="114" t="s">
        <v>218</v>
      </c>
    </row>
    <row r="84" spans="1:7" ht="30.75" thickBot="1" x14ac:dyDescent="0.3">
      <c r="A84" s="611"/>
      <c r="B84" s="655"/>
      <c r="C84" s="128" t="s">
        <v>182</v>
      </c>
      <c r="D84" s="119" t="s">
        <v>226</v>
      </c>
      <c r="E84" s="119" t="s">
        <v>55</v>
      </c>
      <c r="F84" s="119" t="s">
        <v>220</v>
      </c>
      <c r="G84" s="120" t="s">
        <v>218</v>
      </c>
    </row>
    <row r="85" spans="1:7" ht="30" x14ac:dyDescent="0.25">
      <c r="A85" s="611"/>
      <c r="B85" s="656" t="s">
        <v>139</v>
      </c>
      <c r="C85" s="126" t="s">
        <v>227</v>
      </c>
      <c r="D85" s="111" t="s">
        <v>228</v>
      </c>
      <c r="E85" s="111" t="s">
        <v>55</v>
      </c>
      <c r="F85" s="111" t="s">
        <v>220</v>
      </c>
      <c r="G85" s="112" t="s">
        <v>218</v>
      </c>
    </row>
    <row r="86" spans="1:7" ht="30" x14ac:dyDescent="0.25">
      <c r="A86" s="611"/>
      <c r="B86" s="657"/>
      <c r="C86" s="98" t="s">
        <v>224</v>
      </c>
      <c r="D86" s="83" t="s">
        <v>229</v>
      </c>
      <c r="E86" s="83" t="s">
        <v>55</v>
      </c>
      <c r="F86" s="83" t="s">
        <v>220</v>
      </c>
      <c r="G86" s="99" t="s">
        <v>218</v>
      </c>
    </row>
    <row r="87" spans="1:7" ht="30" x14ac:dyDescent="0.25">
      <c r="A87" s="611"/>
      <c r="B87" s="657"/>
      <c r="C87" s="98" t="s">
        <v>179</v>
      </c>
      <c r="D87" s="83" t="s">
        <v>230</v>
      </c>
      <c r="E87" s="83" t="s">
        <v>55</v>
      </c>
      <c r="F87" s="83" t="s">
        <v>220</v>
      </c>
      <c r="G87" s="99" t="s">
        <v>218</v>
      </c>
    </row>
    <row r="88" spans="1:7" ht="30" x14ac:dyDescent="0.25">
      <c r="A88" s="611"/>
      <c r="B88" s="657"/>
      <c r="C88" s="98" t="s">
        <v>135</v>
      </c>
      <c r="D88" s="83" t="s">
        <v>231</v>
      </c>
      <c r="E88" s="83" t="s">
        <v>55</v>
      </c>
      <c r="F88" s="83" t="s">
        <v>220</v>
      </c>
      <c r="G88" s="99" t="s">
        <v>218</v>
      </c>
    </row>
    <row r="89" spans="1:7" ht="45" customHeight="1" x14ac:dyDescent="0.25">
      <c r="A89" s="611"/>
      <c r="B89" s="657"/>
      <c r="C89" s="98" t="s">
        <v>182</v>
      </c>
      <c r="D89" s="83" t="s">
        <v>232</v>
      </c>
      <c r="E89" s="83" t="s">
        <v>55</v>
      </c>
      <c r="F89" s="83" t="s">
        <v>220</v>
      </c>
      <c r="G89" s="99" t="s">
        <v>218</v>
      </c>
    </row>
    <row r="90" spans="1:7" ht="30.75" thickBot="1" x14ac:dyDescent="0.3">
      <c r="A90" s="623"/>
      <c r="B90" s="658"/>
      <c r="C90" s="287"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333" t="s">
        <v>0</v>
      </c>
      <c r="B1" s="338" t="s">
        <v>235</v>
      </c>
      <c r="C1" s="334" t="s">
        <v>236</v>
      </c>
    </row>
    <row r="2" spans="1:3" x14ac:dyDescent="0.25">
      <c r="A2" s="335">
        <v>43807</v>
      </c>
      <c r="B2" s="339" t="s">
        <v>237</v>
      </c>
      <c r="C2" s="343" t="s">
        <v>11</v>
      </c>
    </row>
    <row r="3" spans="1:3" ht="30" x14ac:dyDescent="0.25">
      <c r="A3" s="336">
        <v>43937</v>
      </c>
      <c r="B3" s="340" t="s">
        <v>238</v>
      </c>
      <c r="C3" s="295" t="s">
        <v>11</v>
      </c>
    </row>
    <row r="4" spans="1:3" x14ac:dyDescent="0.25">
      <c r="A4" s="336">
        <v>43941</v>
      </c>
      <c r="B4" s="341" t="s">
        <v>239</v>
      </c>
      <c r="C4" s="295" t="s">
        <v>11</v>
      </c>
    </row>
    <row r="5" spans="1:3" x14ac:dyDescent="0.25">
      <c r="A5" s="336">
        <v>43942</v>
      </c>
      <c r="B5" s="341" t="s">
        <v>240</v>
      </c>
      <c r="C5" s="295" t="s">
        <v>11</v>
      </c>
    </row>
    <row r="6" spans="1:3" x14ac:dyDescent="0.25">
      <c r="A6" s="336">
        <v>43963</v>
      </c>
      <c r="B6" s="341" t="s">
        <v>241</v>
      </c>
      <c r="C6" s="295" t="s">
        <v>11</v>
      </c>
    </row>
    <row r="7" spans="1:3" x14ac:dyDescent="0.25">
      <c r="A7" s="336">
        <v>43990</v>
      </c>
      <c r="B7" s="341" t="s">
        <v>242</v>
      </c>
      <c r="C7" s="295" t="s">
        <v>11</v>
      </c>
    </row>
    <row r="8" spans="1:3" ht="30" x14ac:dyDescent="0.25">
      <c r="A8" s="336">
        <v>44104</v>
      </c>
      <c r="B8" s="340" t="s">
        <v>243</v>
      </c>
      <c r="C8" s="295" t="s">
        <v>244</v>
      </c>
    </row>
    <row r="9" spans="1:3" ht="150.75" thickBot="1" x14ac:dyDescent="0.3">
      <c r="A9" s="337">
        <v>44128</v>
      </c>
      <c r="B9" s="342" t="s">
        <v>245</v>
      </c>
      <c r="C9" s="344"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6" activePane="bottomRight" state="frozen"/>
      <selection pane="topRight" activeCell="B1" sqref="B1"/>
      <selection pane="bottomLeft" activeCell="A4" sqref="A4"/>
      <selection pane="bottomRight" activeCell="B55" sqref="B5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59" t="s">
        <v>246</v>
      </c>
      <c r="B1" s="660"/>
      <c r="C1" s="660"/>
      <c r="D1" s="660"/>
      <c r="E1" s="660"/>
      <c r="F1" s="660"/>
      <c r="G1" s="660"/>
      <c r="H1" s="660"/>
      <c r="I1" s="660"/>
      <c r="J1" s="660"/>
      <c r="K1" s="660"/>
      <c r="L1" s="660"/>
      <c r="M1" s="660"/>
      <c r="N1" s="660"/>
      <c r="O1" s="660"/>
      <c r="P1" s="660"/>
      <c r="Q1" s="660"/>
      <c r="R1" s="660"/>
      <c r="S1" s="660"/>
      <c r="T1" s="660"/>
      <c r="U1" s="660"/>
      <c r="V1" s="661"/>
    </row>
    <row r="2" spans="1:22" ht="15.75" thickBot="1" x14ac:dyDescent="0.3">
      <c r="A2" s="514" t="s">
        <v>247</v>
      </c>
      <c r="B2" s="662" t="s">
        <v>161</v>
      </c>
      <c r="C2" s="662"/>
      <c r="D2" s="662"/>
      <c r="E2" s="662"/>
      <c r="F2" s="662"/>
      <c r="G2" s="663" t="s">
        <v>172</v>
      </c>
      <c r="H2" s="664"/>
      <c r="I2" s="664"/>
      <c r="J2" s="664"/>
      <c r="K2" s="664"/>
      <c r="L2" s="664"/>
      <c r="M2" s="664"/>
      <c r="N2" s="665"/>
      <c r="O2" s="666" t="s">
        <v>139</v>
      </c>
      <c r="P2" s="667"/>
      <c r="Q2" s="667"/>
      <c r="R2" s="667"/>
      <c r="S2" s="667"/>
      <c r="T2" s="667"/>
      <c r="U2" s="667"/>
      <c r="V2" s="668"/>
    </row>
    <row r="3" spans="1:22" s="225" customFormat="1" ht="15.75" thickBot="1" x14ac:dyDescent="0.3">
      <c r="A3" s="518" t="s">
        <v>83</v>
      </c>
      <c r="B3" s="278" t="s">
        <v>162</v>
      </c>
      <c r="C3" s="279" t="s">
        <v>123</v>
      </c>
      <c r="D3" s="280" t="s">
        <v>100</v>
      </c>
      <c r="E3" s="280" t="s">
        <v>168</v>
      </c>
      <c r="F3" s="281" t="s">
        <v>170</v>
      </c>
      <c r="G3" s="519" t="s">
        <v>127</v>
      </c>
      <c r="H3" s="520" t="s">
        <v>30</v>
      </c>
      <c r="I3" s="520" t="s">
        <v>130</v>
      </c>
      <c r="J3" s="520" t="s">
        <v>35</v>
      </c>
      <c r="K3" s="520" t="s">
        <v>133</v>
      </c>
      <c r="L3" s="520" t="s">
        <v>179</v>
      </c>
      <c r="M3" s="520" t="s">
        <v>135</v>
      </c>
      <c r="N3" s="521" t="s">
        <v>182</v>
      </c>
      <c r="O3" s="522" t="s">
        <v>127</v>
      </c>
      <c r="P3" s="523" t="s">
        <v>30</v>
      </c>
      <c r="Q3" s="523" t="s">
        <v>130</v>
      </c>
      <c r="R3" s="523" t="s">
        <v>35</v>
      </c>
      <c r="S3" s="523" t="s">
        <v>133</v>
      </c>
      <c r="T3" s="523" t="s">
        <v>179</v>
      </c>
      <c r="U3" s="523" t="s">
        <v>135</v>
      </c>
      <c r="V3" s="524" t="s">
        <v>182</v>
      </c>
    </row>
    <row r="4" spans="1:22" x14ac:dyDescent="0.25">
      <c r="A4" s="527" t="s">
        <v>248</v>
      </c>
      <c r="B4" s="226">
        <f>SUMIFS('Diags Raw Data'!$K$6:$K$4668,'Diags Raw Data'!$D$6:$D$4668,$A4)</f>
        <v>50</v>
      </c>
      <c r="C4" s="216">
        <f>SUMIFS('Diags Raw Data'!$Q$6:$Q$4668,'Diags Raw Data'!$D$6:$D$4668,$A4)</f>
        <v>46</v>
      </c>
      <c r="D4" s="216">
        <f>SUMIFS('Diags Raw Data'!$J$6:$J$4668,'Diags Raw Data'!$D$6:$D$4668,$A4)</f>
        <v>50</v>
      </c>
      <c r="E4" s="216">
        <f>SUMIFS('Diags Raw Data'!$N$6:$N$4668,'Diags Raw Data'!$D$6:$D$4668,$A4)</f>
        <v>29.400000000000027</v>
      </c>
      <c r="F4" s="222">
        <f>IF(NOT($B4=0), E4/$B4, "---")</f>
        <v>0.58800000000000052</v>
      </c>
      <c r="G4" s="528">
        <f>SUMIFS('Diags Raw Data'!$R$6:$R$4668,'Diags Raw Data'!$D$6:$D$4668,$A4)</f>
        <v>0</v>
      </c>
      <c r="H4" s="529">
        <f>SUMIFS('Diags Raw Data'!$S$6:$S$4668,'Diags Raw Data'!$D$6:$D$4668,$A4)</f>
        <v>0</v>
      </c>
      <c r="I4" s="530">
        <f>SUMIFS('Diags Raw Data'!$T$6:$T$4668,'Diags Raw Data'!$D$6:$D$4668,$A4)</f>
        <v>0</v>
      </c>
      <c r="J4" s="529">
        <f>SUMIFS('Diags Raw Data'!$U$6:$U$4668,'Diags Raw Data'!$D$6:$D$4668,$A4)</f>
        <v>0</v>
      </c>
      <c r="K4" s="530">
        <f>SUMIFS('Diags Raw Data'!$V$6:$V$4668,'Diags Raw Data'!$D$6:$D$4668,$A4)</f>
        <v>0</v>
      </c>
      <c r="L4" s="531">
        <f>IF(NOT($C4=0), G4/$C4, "---")</f>
        <v>0</v>
      </c>
      <c r="M4" s="532" t="str">
        <f>IF(NOT($G4=0), (H4+I4)/$G4, "---")</f>
        <v>---</v>
      </c>
      <c r="N4" s="533">
        <f>IF(NOT($C4=0), (H4+I4)/$C4, "---")</f>
        <v>0</v>
      </c>
      <c r="O4" s="534">
        <f>SUMIFS('Diags Raw Data'!$Y$6:$Y$4668,'Diags Raw Data'!$D$6:$D$4668,$A4)</f>
        <v>0</v>
      </c>
      <c r="P4" s="535">
        <f>SUMIFS('Diags Raw Data'!$Z$6:$Z$4668,'Diags Raw Data'!$D$6:$D$4668,$A4)</f>
        <v>0</v>
      </c>
      <c r="Q4" s="536">
        <f>SUMIFS('Diags Raw Data'!$AA$6:$AA$4668,'Diags Raw Data'!$D$6:$D$4668,$A4)</f>
        <v>0</v>
      </c>
      <c r="R4" s="535">
        <f>SUMIFS('Diags Raw Data'!$AB$6:$AB$4668,'Diags Raw Data'!$D$6:$D$4668,$A4)</f>
        <v>0</v>
      </c>
      <c r="S4" s="536">
        <f>SUMIFS('Diags Raw Data'!$AC$6:$AC$4668,'Diags Raw Data'!$D$6:$D$4668,$A4)</f>
        <v>0</v>
      </c>
      <c r="T4" s="537">
        <f>IF(NOT($B4=0), O4/$B4, "---")</f>
        <v>0</v>
      </c>
      <c r="U4" s="538" t="str">
        <f>IF(NOT($O4=0), (P4+Q4)/$O4, "---")</f>
        <v>---</v>
      </c>
      <c r="V4" s="539">
        <f>IF(NOT($B4=0), (P4+Q4)/$B4, "---")</f>
        <v>0</v>
      </c>
    </row>
    <row r="5" spans="1:22" x14ac:dyDescent="0.25">
      <c r="A5" s="517"/>
      <c r="B5" s="227">
        <f>SUMIFS('Diags Raw Data'!$K$6:$K$4668,'Diags Raw Data'!$D$6:$D$4668,$A5)</f>
        <v>0</v>
      </c>
      <c r="C5" s="217">
        <f>SUMIFS('Diags Raw Data'!$Q$6:$Q$4668,'Diags Raw Data'!$D$6:$D$4668,$A5)</f>
        <v>0</v>
      </c>
      <c r="D5" s="217">
        <f>SUMIFS('Diags Raw Data'!$J$6:$J$4668,'Diags Raw Data'!$D$6:$D$4668,$A5)</f>
        <v>0</v>
      </c>
      <c r="E5" s="217">
        <f>SUMIFS('Diags Raw Data'!$N$6:$N$4668,'Diags Raw Data'!$D$6:$D$4668,$A5)</f>
        <v>0</v>
      </c>
      <c r="F5" s="223" t="str">
        <f>IF(NOT($B5=0), E5/$B5, "---")</f>
        <v>---</v>
      </c>
      <c r="G5" s="206">
        <f>SUMIFS('Diags Raw Data'!$R$6:$R$4668,'Diags Raw Data'!$D$6:$D$4668,$A5)</f>
        <v>0</v>
      </c>
      <c r="H5" s="202">
        <f>SUMIFS('Diags Raw Data'!$S$6:$S$4668,'Diags Raw Data'!$D$6:$D$4668,$A5)</f>
        <v>0</v>
      </c>
      <c r="I5" s="203">
        <f>SUMIFS('Diags Raw Data'!$T$6:$T$4668,'Diags Raw Data'!$D$6:$D$4668,$A5)</f>
        <v>0</v>
      </c>
      <c r="J5" s="202">
        <f>SUMIFS('Diags Raw Data'!$U$6:$U$4668,'Diags Raw Data'!$D$6:$D$4668,$A5)</f>
        <v>0</v>
      </c>
      <c r="K5" s="203">
        <f>SUMIFS('Diags Raw Data'!$V$6:$V$4668,'Diags Raw Data'!$D$6:$D$4668,$A5)</f>
        <v>0</v>
      </c>
      <c r="L5" s="218" t="str">
        <f>IF(NOT($C5=0), G5/$C5, "---")</f>
        <v>---</v>
      </c>
      <c r="M5" s="204" t="str">
        <f>IF(NOT($G5=0), (H5+I5)/$G5, "---")</f>
        <v>---</v>
      </c>
      <c r="N5" s="213" t="str">
        <f>IF(NOT($C5=0), (H5+I5)/$C5, "---")</f>
        <v>---</v>
      </c>
      <c r="O5" s="199">
        <f>SUMIFS('Diags Raw Data'!$Y$6:$Y$4668,'Diags Raw Data'!$D$6:$D$4668,$A5)</f>
        <v>0</v>
      </c>
      <c r="P5" s="193">
        <f>SUMIFS('Diags Raw Data'!$Z$6:$Z$4668,'Diags Raw Data'!$D$6:$D$4668,$A5)</f>
        <v>0</v>
      </c>
      <c r="Q5" s="195">
        <f>SUMIFS('Diags Raw Data'!$AA$6:$AA$4668,'Diags Raw Data'!$D$6:$D$4668,$A5)</f>
        <v>0</v>
      </c>
      <c r="R5" s="193">
        <f>SUMIFS('Diags Raw Data'!$AB$6:$AB$4668,'Diags Raw Data'!$D$6:$D$4668,$A5)</f>
        <v>0</v>
      </c>
      <c r="S5" s="195">
        <f>SUMIFS('Diags Raw Data'!$AC$6:$AC$4668,'Diags Raw Data'!$D$6:$D$4668,$A5)</f>
        <v>0</v>
      </c>
      <c r="T5" s="194" t="str">
        <f>IF(NOT($B5=0), O5/$B5, "---")</f>
        <v>---</v>
      </c>
      <c r="U5" s="205" t="str">
        <f>IF(NOT($O5=0), (P5+Q5)/$O5, "---")</f>
        <v>---</v>
      </c>
      <c r="V5" s="207" t="str">
        <f>IF(NOT($B5=0), (P5+Q5)/$B5, "---")</f>
        <v>---</v>
      </c>
    </row>
    <row r="6" spans="1:22" ht="15.75" thickBot="1" x14ac:dyDescent="0.3">
      <c r="A6" s="540"/>
      <c r="B6" s="228">
        <f>SUMIFS('Diags Raw Data'!$K$6:$K$4668,'Diags Raw Data'!$D$6:$D$4668,$A6)</f>
        <v>0</v>
      </c>
      <c r="C6" s="219">
        <f>SUMIFS('Diags Raw Data'!$Q$6:$Q$4668,'Diags Raw Data'!$D$6:$D$4668,$A6)</f>
        <v>0</v>
      </c>
      <c r="D6" s="219">
        <f>SUMIFS('Diags Raw Data'!$J$6:$J$4668,'Diags Raw Data'!$D$6:$D$4668,$A6)</f>
        <v>0</v>
      </c>
      <c r="E6" s="219">
        <f>SUMIFS('Diags Raw Data'!$N$6:$N$4668,'Diags Raw Data'!$D$6:$D$4668,$A6)</f>
        <v>0</v>
      </c>
      <c r="F6" s="224" t="str">
        <f>IF(NOT($B6=0), E6/$B6, "---")</f>
        <v>---</v>
      </c>
      <c r="G6" s="208">
        <f>SUMIFS('Diags Raw Data'!$R$6:$R$4668,'Diags Raw Data'!$D$6:$D$4668,$A6)</f>
        <v>0</v>
      </c>
      <c r="H6" s="209">
        <f>SUMIFS('Diags Raw Data'!$S$6:$S$4668,'Diags Raw Data'!$D$6:$D$4668,$A6)</f>
        <v>0</v>
      </c>
      <c r="I6" s="210">
        <f>SUMIFS('Diags Raw Data'!$T$6:$T$4668,'Diags Raw Data'!$D$6:$D$4668,$A6)</f>
        <v>0</v>
      </c>
      <c r="J6" s="209">
        <f>SUMIFS('Diags Raw Data'!$U$6:$U$4668,'Diags Raw Data'!$D$6:$D$4668,$A6)</f>
        <v>0</v>
      </c>
      <c r="K6" s="210">
        <f>SUMIFS('Diags Raw Data'!$V$6:$V$4668,'Diags Raw Data'!$D$6:$D$4668,$A6)</f>
        <v>0</v>
      </c>
      <c r="L6" s="220" t="str">
        <f>IF(NOT($C6=0), G6/$C6, "---")</f>
        <v>---</v>
      </c>
      <c r="M6" s="211" t="str">
        <f>IF(NOT($G6=0), (H6+I6)/$G6, "---")</f>
        <v>---</v>
      </c>
      <c r="N6" s="214" t="str">
        <f>IF(NOT($C6=0), (H6+I6)/$C6, "---")</f>
        <v>---</v>
      </c>
      <c r="O6" s="200">
        <f>SUMIFS('Diags Raw Data'!$Y$6:$Y$4668,'Diags Raw Data'!$D$6:$D$4668,$A6)</f>
        <v>0</v>
      </c>
      <c r="P6" s="196">
        <f>SUMIFS('Diags Raw Data'!$Z$6:$Z$4668,'Diags Raw Data'!$D$6:$D$4668,$A6)</f>
        <v>0</v>
      </c>
      <c r="Q6" s="198">
        <f>SUMIFS('Diags Raw Data'!$AA$6:$AA$4668,'Diags Raw Data'!$D$6:$D$4668,$A6)</f>
        <v>0</v>
      </c>
      <c r="R6" s="196">
        <f>SUMIFS('Diags Raw Data'!$AB$6:$AB$4668,'Diags Raw Data'!$D$6:$D$4668,$A6)</f>
        <v>0</v>
      </c>
      <c r="S6" s="198">
        <f>SUMIFS('Diags Raw Data'!$AC$6:$AC$4668,'Diags Raw Data'!$D$6:$D$4668,$A6)</f>
        <v>0</v>
      </c>
      <c r="T6" s="197" t="str">
        <f>IF(NOT($B6=0), O6/$B6, "---")</f>
        <v>---</v>
      </c>
      <c r="U6" s="215" t="str">
        <f>IF(NOT($O6=0), (P6+Q6)/$O6, "---")</f>
        <v>---</v>
      </c>
      <c r="V6" s="212" t="str">
        <f>IF(NOT($B6=0), (P6+Q6)/$B6, "---")</f>
        <v>---</v>
      </c>
    </row>
    <row r="7" spans="1:22" ht="16.5" thickBot="1" x14ac:dyDescent="0.3">
      <c r="A7" s="482" t="s">
        <v>249</v>
      </c>
      <c r="B7" s="525">
        <f>SUM(B4:B6)</f>
        <v>50</v>
      </c>
      <c r="C7" s="526">
        <f t="shared" ref="C7:E7" si="0">SUM(C4:C6)</f>
        <v>46</v>
      </c>
      <c r="D7" s="526">
        <f t="shared" si="0"/>
        <v>50</v>
      </c>
      <c r="E7" s="526">
        <f t="shared" si="0"/>
        <v>29.400000000000027</v>
      </c>
      <c r="F7" s="229" cm="1">
        <f t="array" ref="F7">SUMPRODUCT(--(ISNUMBER(SEARCH("New",'Diags Raw Data'!$L$6:$L$4668))),'Diags Raw Data'!$J$6:$J$4668,'Diags Raw Data'!$O$6:$O$4668)/D7+SUMPRODUCT(--(ISNUMBER(SEARCH("Delta",'Diags Raw Data'!$L$6:$L$4668))),'Diags Raw Data'!$J$6:$J$4668,'Diags Raw Data'!$O$6:$O$4668)/D7+SUMPRODUCT(--(ISNUMBER(SEARCH("Legacy",'Diags Raw Data'!$L$6:$L$4668))),'Diags Raw Data'!$J$6:$J$4668,'Diags Raw Data'!$O$6:$O$4668)/D7</f>
        <v>0.58800000000000008</v>
      </c>
      <c r="G7" s="230">
        <f>SUM(G4:G6)</f>
        <v>0</v>
      </c>
      <c r="H7" s="231">
        <f t="shared" ref="H7:K7" si="1">SUM(H4:H6)</f>
        <v>0</v>
      </c>
      <c r="I7" s="231">
        <f t="shared" si="1"/>
        <v>0</v>
      </c>
      <c r="J7" s="231">
        <f t="shared" si="1"/>
        <v>0</v>
      </c>
      <c r="K7" s="231">
        <f t="shared" si="1"/>
        <v>0</v>
      </c>
      <c r="L7" s="232">
        <f>IF(NOT($C7=0), G7/$C7, "---")</f>
        <v>0</v>
      </c>
      <c r="M7" s="233" t="str">
        <f>IF(NOT($G7=0), (H7+I7)/$G7, "---")</f>
        <v>---</v>
      </c>
      <c r="N7" s="234">
        <f>IF(NOT($C7=0), (H7+I7)/$C7, "---")</f>
        <v>0</v>
      </c>
      <c r="O7" s="235">
        <f>SUM(O4:O6)</f>
        <v>0</v>
      </c>
      <c r="P7" s="236">
        <f t="shared" ref="P7:S7" si="2">SUM(P4:P6)</f>
        <v>0</v>
      </c>
      <c r="Q7" s="236">
        <f t="shared" si="2"/>
        <v>0</v>
      </c>
      <c r="R7" s="236">
        <f t="shared" si="2"/>
        <v>0</v>
      </c>
      <c r="S7" s="236">
        <f t="shared" si="2"/>
        <v>0</v>
      </c>
      <c r="T7" s="237">
        <f>IF(NOT($B7=0), O7/$B7, "---")</f>
        <v>0</v>
      </c>
      <c r="U7" s="238" t="str">
        <f>IF(NOT($O7=0), (P7+Q7)/$O7, "---")</f>
        <v>---</v>
      </c>
      <c r="V7" s="239">
        <f>IF(NOT($B7=0), (P7+Q7)/$B7, "---")</f>
        <v>0</v>
      </c>
    </row>
    <row r="8" spans="1:22" ht="15.75" thickBot="1" x14ac:dyDescent="0.3"/>
    <row r="9" spans="1:22" ht="15.75" thickBot="1" x14ac:dyDescent="0.3">
      <c r="A9" s="515" t="s">
        <v>250</v>
      </c>
      <c r="B9" s="662" t="s">
        <v>161</v>
      </c>
      <c r="C9" s="662"/>
      <c r="D9" s="662"/>
      <c r="E9" s="662"/>
      <c r="F9" s="662"/>
      <c r="G9" s="663" t="s">
        <v>172</v>
      </c>
      <c r="H9" s="664"/>
      <c r="I9" s="664"/>
      <c r="J9" s="664"/>
      <c r="K9" s="664"/>
      <c r="L9" s="664"/>
      <c r="M9" s="664"/>
      <c r="N9" s="665"/>
      <c r="O9" s="666" t="s">
        <v>139</v>
      </c>
      <c r="P9" s="667"/>
      <c r="Q9" s="667"/>
      <c r="R9" s="667"/>
      <c r="S9" s="667"/>
      <c r="T9" s="667"/>
      <c r="U9" s="667"/>
      <c r="V9" s="668"/>
    </row>
    <row r="10" spans="1:22" s="225" customFormat="1" ht="15.75" thickBot="1" x14ac:dyDescent="0.3">
      <c r="A10" s="518" t="s">
        <v>83</v>
      </c>
      <c r="B10" s="278" t="s">
        <v>162</v>
      </c>
      <c r="C10" s="279" t="s">
        <v>123</v>
      </c>
      <c r="D10" s="280" t="s">
        <v>100</v>
      </c>
      <c r="E10" s="280" t="s">
        <v>168</v>
      </c>
      <c r="F10" s="281" t="s">
        <v>170</v>
      </c>
      <c r="G10" s="519" t="s">
        <v>127</v>
      </c>
      <c r="H10" s="520" t="s">
        <v>30</v>
      </c>
      <c r="I10" s="520" t="s">
        <v>130</v>
      </c>
      <c r="J10" s="520" t="s">
        <v>35</v>
      </c>
      <c r="K10" s="520" t="s">
        <v>133</v>
      </c>
      <c r="L10" s="520" t="s">
        <v>179</v>
      </c>
      <c r="M10" s="520" t="s">
        <v>135</v>
      </c>
      <c r="N10" s="521" t="s">
        <v>182</v>
      </c>
      <c r="O10" s="522" t="s">
        <v>127</v>
      </c>
      <c r="P10" s="523" t="s">
        <v>30</v>
      </c>
      <c r="Q10" s="523" t="s">
        <v>130</v>
      </c>
      <c r="R10" s="523" t="s">
        <v>35</v>
      </c>
      <c r="S10" s="523" t="s">
        <v>133</v>
      </c>
      <c r="T10" s="523" t="s">
        <v>179</v>
      </c>
      <c r="U10" s="523" t="s">
        <v>135</v>
      </c>
      <c r="V10" s="524" t="s">
        <v>182</v>
      </c>
    </row>
    <row r="11" spans="1:22" x14ac:dyDescent="0.25">
      <c r="A11" s="527" t="s">
        <v>248</v>
      </c>
      <c r="B11" s="226">
        <f>SUMIFS('Diags Raw Data'!$K$6:$K$4668,'Diags Raw Data'!$D$6:$D$4668,$A11,'Diags Raw Data'!$L$6:$L$4668,"New")+SUMIFS('Diags Raw Data'!$K$6:$K$4668,'Diags Raw Data'!$D$6:$D$4668,$A11,'Diags Raw Data'!$L$6:$L$4668,"Delta")</f>
        <v>17</v>
      </c>
      <c r="C11" s="216">
        <f>SUMIFS('Diags Raw Data'!$Q$6:$Q$4668,'Diags Raw Data'!$D$6:$D$4668,$A11,'Diags Raw Data'!$L$6:$L$4668,"New")+SUMIFS('Diags Raw Data'!$Q$6:$Q$4668,'Diags Raw Data'!$D$6:$D$4668,$A11,'Diags Raw Data'!$L$6:$L$4668,"Delta")</f>
        <v>15</v>
      </c>
      <c r="D11" s="216">
        <f>SUMIFS('Diags Raw Data'!$J$6:$J$4668,'Diags Raw Data'!$D$6:$D$4668,$A11,'Diags Raw Data'!$L$6:$L$4668,"New")+SUMIFS('Diags Raw Data'!$J$6:$J$4668,'Diags Raw Data'!$D$6:$D$4668,$A11,'Diags Raw Data'!$L$6:$L$4668,"Delta")</f>
        <v>17</v>
      </c>
      <c r="E11" s="216">
        <f>SUMIFS('Diags Raw Data'!$N$6:$N$4668,'Diags Raw Data'!$D$6:$D$4668,$A11,'Diags Raw Data'!$L$6:$L$4668,"New")+SUMIFS('Diags Raw Data'!$N$6:$N$4668,'Diags Raw Data'!$D$6:$D$4668,$A11,'Diags Raw Data'!$L$6:$L$4668,"Delta")</f>
        <v>10.199999999999998</v>
      </c>
      <c r="F11" s="222">
        <f t="shared" ref="F11" si="3">IF(NOT($B11=0), E11/$B11, "---")</f>
        <v>0.59999999999999987</v>
      </c>
      <c r="G11" s="528">
        <f>SUMIFS('Diags Raw Data'!$R$6:$R$4668,'Diags Raw Data'!$D$6:$D$4668,$A11,'Diags Raw Data'!$L$6:$L$4668,"New")+SUMIFS('Diags Raw Data'!$R$6:$R$4668,'Diags Raw Data'!$D$6:$D$4668,$A11,'Diags Raw Data'!$L$6:$L$4668,"Delta")</f>
        <v>0</v>
      </c>
      <c r="H11" s="529">
        <f>SUMIFS('Diags Raw Data'!$S$6:$S$4668,'Diags Raw Data'!$D$6:$D$4668,$A11,'Diags Raw Data'!$L$6:$L$4668,"New")+SUMIFS('Diags Raw Data'!$S$6:$S$4668,'Diags Raw Data'!$D$6:$D$4668,$A11,'Diags Raw Data'!$L$6:$L$4668,"Delta")</f>
        <v>0</v>
      </c>
      <c r="I11" s="529">
        <f>SUMIFS('Diags Raw Data'!$T$6:$T$4668,'Diags Raw Data'!$D$6:$D$4668,$A11,'Diags Raw Data'!$L$6:$L$4668,"New")+SUMIFS('Diags Raw Data'!$T$6:$T$4668,'Diags Raw Data'!$D$6:$D$4668,$A11,'Diags Raw Data'!$L$6:$L$4668,"Delta")</f>
        <v>0</v>
      </c>
      <c r="J11" s="529">
        <f>SUMIFS('Diags Raw Data'!$U$6:$U$4668,'Diags Raw Data'!$D$6:$D$4668,$A11,'Diags Raw Data'!$L$6:$L$4668,"New")+SUMIFS('Diags Raw Data'!$U$6:$U$4668,'Diags Raw Data'!$D$6:$D$4668,$A11,'Diags Raw Data'!$L$6:$L$4668,"Delta")</f>
        <v>0</v>
      </c>
      <c r="K11" s="529">
        <f>SUMIFS('Diags Raw Data'!$V$6:$V$4668,'Diags Raw Data'!$D$6:$D$4668,$A11,'Diags Raw Data'!$L$6:$L$4668,"New")+SUMIFS('Diags Raw Data'!$V$6:$V$4668,'Diags Raw Data'!$D$6:$D$4668,$A11,'Diags Raw Data'!$L$6:$L$4668,"Delta")</f>
        <v>0</v>
      </c>
      <c r="L11" s="531">
        <f>IF(NOT($C11=0), G11/$C11, "---")</f>
        <v>0</v>
      </c>
      <c r="M11" s="532" t="str">
        <f>IF(NOT($G11=0), (H11+I11)/$G11, "---")</f>
        <v>---</v>
      </c>
      <c r="N11" s="533">
        <f>IF(NOT($C11=0), (H11+I11)/$C11, "---")</f>
        <v>0</v>
      </c>
      <c r="O11" s="534">
        <f>SUMIFS('Diags Raw Data'!$Y$6:$Y$4668,'Diags Raw Data'!$D$6:$D$4668,$A11,'Diags Raw Data'!$L$6:$L$4668,"New")+SUMIFS('Diags Raw Data'!$Y$6:$Y$4668,'Diags Raw Data'!$D$6:$D$4668,$A11,'Diags Raw Data'!$L$6:$L$4668,"Delta")</f>
        <v>0</v>
      </c>
      <c r="P11" s="535">
        <f>SUMIFS('Diags Raw Data'!$Z$6:$Z$4668,'Diags Raw Data'!$D$6:$D$4668,$A11,'Diags Raw Data'!$L$6:$L$4668,"New")+SUMIFS('Diags Raw Data'!$Z$6:$Z$4668,'Diags Raw Data'!$D$6:$D$4668,$A11,'Diags Raw Data'!$L$6:$L$4668,"Delta")</f>
        <v>0</v>
      </c>
      <c r="Q11" s="535">
        <f>SUMIFS('Diags Raw Data'!$AA$6:$AA$4668,'Diags Raw Data'!$D$6:$D$4668,$A11,'Diags Raw Data'!$L$6:$L$4668,"New")+SUMIFS('Diags Raw Data'!$AA$6:$AA$4668,'Diags Raw Data'!$D$6:$D$4668,$A11,'Diags Raw Data'!$L$6:$L$4668,"Delta")</f>
        <v>0</v>
      </c>
      <c r="R11" s="535">
        <f>SUMIFS('Diags Raw Data'!$AB$6:$AB$4668,'Diags Raw Data'!$D$6:$D$4668,$A11,'Diags Raw Data'!$L$6:$L$4668,"New")+SUMIFS('Diags Raw Data'!$AB$6:$AB$4668,'Diags Raw Data'!$D$6:$D$4668,$A11,'Diags Raw Data'!$L$6:$L$4668,"Delta")</f>
        <v>0</v>
      </c>
      <c r="S11" s="535">
        <f>SUMIFS('Diags Raw Data'!$AC$6:$AC$4668,'Diags Raw Data'!$D$6:$D$4668,$A11,'Diags Raw Data'!$L$6:$L$4668,"New")+SUMIFS('Diags Raw Data'!$AC$6:$AC$4668,'Diags Raw Data'!$D$6:$D$4668,$A11,'Diags Raw Data'!$L$6:$L$4668,"Delta")</f>
        <v>0</v>
      </c>
      <c r="T11" s="537">
        <f>IF(NOT($B11=0), O11/$B11, "---")</f>
        <v>0</v>
      </c>
      <c r="U11" s="538" t="str">
        <f>IF(NOT($O11=0), (P11+Q11)/$O11, "---")</f>
        <v>---</v>
      </c>
      <c r="V11" s="539">
        <f>IF(NOT($B11=0), (P11+Q11)/$B11, "---")</f>
        <v>0</v>
      </c>
    </row>
    <row r="12" spans="1:22" x14ac:dyDescent="0.25">
      <c r="A12" s="517"/>
      <c r="B12" s="227">
        <f>SUMIFS('Diags Raw Data'!$K$6:$K$4668,'Diags Raw Data'!$D$6:$D$4668,$A12,'Diags Raw Data'!$L$6:$L$4668,"New")+SUMIFS('Diags Raw Data'!$K$6:$K$4668,'Diags Raw Data'!$D$6:$D$4668,$A12,'Diags Raw Data'!$L$6:$L$4668,"Delta")</f>
        <v>0</v>
      </c>
      <c r="C12" s="217">
        <f>SUMIFS('Diags Raw Data'!$Q$6:$Q$4668,'Diags Raw Data'!$D$6:$D$4668,$A12,'Diags Raw Data'!$L$6:$L$4668,"New")+SUMIFS('Diags Raw Data'!$Q$6:$Q$4668,'Diags Raw Data'!$D$6:$D$4668,$A12,'Diags Raw Data'!$L$6:$L$4668,"Delta")</f>
        <v>0</v>
      </c>
      <c r="D12" s="217">
        <f>SUMIFS('Diags Raw Data'!$J$6:$J$4668,'Diags Raw Data'!$D$6:$D$4668,$A12,'Diags Raw Data'!$L$6:$L$4668,"New")+SUMIFS('Diags Raw Data'!$J$6:$J$4668,'Diags Raw Data'!$D$6:$D$4668,$A12,'Diags Raw Data'!$L$6:$L$4668,"Delta")</f>
        <v>0</v>
      </c>
      <c r="E12" s="217">
        <f>SUMIFS('Diags Raw Data'!$N$6:$N$4668,'Diags Raw Data'!$D$6:$D$4668,$A12,'Diags Raw Data'!$L$6:$L$4668,"New")+SUMIFS('Diags Raw Data'!$N$6:$N$4668,'Diags Raw Data'!$D$6:$D$4668,$A12,'Diags Raw Data'!$L$6:$L$4668,"Delta")</f>
        <v>0</v>
      </c>
      <c r="F12" s="223" t="str">
        <f t="shared" ref="F12" si="4">IF(NOT($B12=0), E12/$B12, "---")</f>
        <v>---</v>
      </c>
      <c r="G12" s="206">
        <f>SUMIFS('Diags Raw Data'!$R$6:$R$4668,'Diags Raw Data'!$D$6:$D$4668,$A12,'Diags Raw Data'!$L$6:$L$4668,"New")+SUMIFS('Diags Raw Data'!$R$6:$R$4668,'Diags Raw Data'!$D$6:$D$4668,$A12,'Diags Raw Data'!$L$6:$L$4668,"Delta")</f>
        <v>0</v>
      </c>
      <c r="H12" s="202">
        <f>SUMIFS('Diags Raw Data'!$S$6:$S$4668,'Diags Raw Data'!$D$6:$D$4668,$A12,'Diags Raw Data'!$L$6:$L$4668,"New")+SUMIFS('Diags Raw Data'!$S$6:$S$4668,'Diags Raw Data'!$D$6:$D$4668,$A12,'Diags Raw Data'!$L$6:$L$4668,"Delta")</f>
        <v>0</v>
      </c>
      <c r="I12" s="202">
        <f>SUMIFS('Diags Raw Data'!$T$6:$T$4668,'Diags Raw Data'!$D$6:$D$4668,$A12,'Diags Raw Data'!$L$6:$L$4668,"New")+SUMIFS('Diags Raw Data'!$T$6:$T$4668,'Diags Raw Data'!$D$6:$D$4668,$A12,'Diags Raw Data'!$L$6:$L$4668,"Delta")</f>
        <v>0</v>
      </c>
      <c r="J12" s="202">
        <f>SUMIFS('Diags Raw Data'!$U$6:$U$4668,'Diags Raw Data'!$D$6:$D$4668,$A12,'Diags Raw Data'!$L$6:$L$4668,"New")+SUMIFS('Diags Raw Data'!$U$6:$U$4668,'Diags Raw Data'!$D$6:$D$4668,$A12,'Diags Raw Data'!$L$6:$L$4668,"Delta")</f>
        <v>0</v>
      </c>
      <c r="K12" s="202">
        <f>SUMIFS('Diags Raw Data'!$V$6:$V$4668,'Diags Raw Data'!$D$6:$D$4668,$A12,'Diags Raw Data'!$L$6:$L$4668,"New")+SUMIFS('Diags Raw Data'!$V$6:$V$4668,'Diags Raw Data'!$D$6:$D$4668,$A12,'Diags Raw Data'!$L$6:$L$4668,"Delta")</f>
        <v>0</v>
      </c>
      <c r="L12" s="218" t="str">
        <f>IF(NOT($C12=0), G12/$C12, "---")</f>
        <v>---</v>
      </c>
      <c r="M12" s="204" t="str">
        <f>IF(NOT($G12=0), (H12+I12)/$G12, "---")</f>
        <v>---</v>
      </c>
      <c r="N12" s="213" t="str">
        <f>IF(NOT($C12=0), (H12+I12)/$C12, "---")</f>
        <v>---</v>
      </c>
      <c r="O12" s="199">
        <f>SUMIFS('Diags Raw Data'!$Y$6:$Y$4668,'Diags Raw Data'!$D$6:$D$4668,$A12,'Diags Raw Data'!$L$6:$L$4668,"New")+SUMIFS('Diags Raw Data'!$Y$6:$Y$4668,'Diags Raw Data'!$D$6:$D$4668,$A12,'Diags Raw Data'!$L$6:$L$4668,"Delta")</f>
        <v>0</v>
      </c>
      <c r="P12" s="193">
        <f>SUMIFS('Diags Raw Data'!$Z$6:$Z$4668,'Diags Raw Data'!$D$6:$D$4668,$A12,'Diags Raw Data'!$L$6:$L$4668,"New")+SUMIFS('Diags Raw Data'!$Z$6:$Z$4668,'Diags Raw Data'!$D$6:$D$4668,$A12,'Diags Raw Data'!$L$6:$L$4668,"Delta")</f>
        <v>0</v>
      </c>
      <c r="Q12" s="193">
        <f>SUMIFS('Diags Raw Data'!$AA$6:$AA$4668,'Diags Raw Data'!$D$6:$D$4668,$A12,'Diags Raw Data'!$L$6:$L$4668,"New")+SUMIFS('Diags Raw Data'!$AA$6:$AA$4668,'Diags Raw Data'!$D$6:$D$4668,$A12,'Diags Raw Data'!$L$6:$L$4668,"Delta")</f>
        <v>0</v>
      </c>
      <c r="R12" s="193">
        <f>SUMIFS('Diags Raw Data'!$AB$6:$AB$4668,'Diags Raw Data'!$D$6:$D$4668,$A12,'Diags Raw Data'!$L$6:$L$4668,"New")+SUMIFS('Diags Raw Data'!$AB$6:$AB$4668,'Diags Raw Data'!$D$6:$D$4668,$A12,'Diags Raw Data'!$L$6:$L$4668,"Delta")</f>
        <v>0</v>
      </c>
      <c r="S12" s="193">
        <f>SUMIFS('Diags Raw Data'!$AC$6:$AC$4668,'Diags Raw Data'!$D$6:$D$4668,$A12,'Diags Raw Data'!$L$6:$L$4668,"New")+SUMIFS('Diags Raw Data'!$AC$6:$AC$4668,'Diags Raw Data'!$D$6:$D$4668,$A12,'Diags Raw Data'!$L$6:$L$4668,"Delta")</f>
        <v>0</v>
      </c>
      <c r="T12" s="194" t="str">
        <f>IF(NOT($B12=0), O12/$B12, "---")</f>
        <v>---</v>
      </c>
      <c r="U12" s="205" t="str">
        <f>IF(NOT($O12=0), (P12+Q12)/$O12, "---")</f>
        <v>---</v>
      </c>
      <c r="V12" s="207" t="str">
        <f>IF(NOT($B12=0), (P12+Q12)/$B12, "---")</f>
        <v>---</v>
      </c>
    </row>
    <row r="13" spans="1:22" ht="15.75" thickBot="1" x14ac:dyDescent="0.3">
      <c r="A13" s="540"/>
      <c r="B13" s="228">
        <f>SUMIFS('Diags Raw Data'!$K$6:$K$4668,'Diags Raw Data'!$D$6:$D$4668,$A13,'Diags Raw Data'!$L$6:$L$4668,"New")+SUMIFS('Diags Raw Data'!$K$6:$K$4668,'Diags Raw Data'!$D$6:$D$4668,$A13,'Diags Raw Data'!$L$6:$L$4668,"Delta")</f>
        <v>0</v>
      </c>
      <c r="C13" s="219">
        <f>SUMIFS('Diags Raw Data'!$Q$6:$Q$4668,'Diags Raw Data'!$D$6:$D$4668,$A13,'Diags Raw Data'!$L$6:$L$4668,"New")+SUMIFS('Diags Raw Data'!$Q$6:$Q$4668,'Diags Raw Data'!$D$6:$D$4668,$A13,'Diags Raw Data'!$L$6:$L$4668,"Delta")</f>
        <v>0</v>
      </c>
      <c r="D13" s="219">
        <f>SUMIFS('Diags Raw Data'!$J$6:$J$4668,'Diags Raw Data'!$D$6:$D$4668,$A13,'Diags Raw Data'!$L$6:$L$4668,"New")+SUMIFS('Diags Raw Data'!$J$6:$J$4668,'Diags Raw Data'!$D$6:$D$4668,$A13,'Diags Raw Data'!$L$6:$L$4668,"Delta")</f>
        <v>0</v>
      </c>
      <c r="E13" s="219">
        <f>SUMIFS('Diags Raw Data'!$N$6:$N$4668,'Diags Raw Data'!$D$6:$D$4668,$A13,'Diags Raw Data'!$L$6:$L$4668,"New")+SUMIFS('Diags Raw Data'!$N$6:$N$4668,'Diags Raw Data'!$D$6:$D$4668,$A13,'Diags Raw Data'!$L$6:$L$4668,"Delta")</f>
        <v>0</v>
      </c>
      <c r="F13" s="224" t="str">
        <f t="shared" ref="F13" si="5">IF(NOT($B13=0), E13/$B13, "---")</f>
        <v>---</v>
      </c>
      <c r="G13" s="208">
        <f>SUMIFS('Diags Raw Data'!$R$6:$R$4668,'Diags Raw Data'!$D$6:$D$4668,$A13,'Diags Raw Data'!$L$6:$L$4668,"New")+SUMIFS('Diags Raw Data'!$R$6:$R$4668,'Diags Raw Data'!$D$6:$D$4668,$A13,'Diags Raw Data'!$L$6:$L$4668,"Delta")</f>
        <v>0</v>
      </c>
      <c r="H13" s="209">
        <f>SUMIFS('Diags Raw Data'!$S$6:$S$4668,'Diags Raw Data'!$D$6:$D$4668,$A13,'Diags Raw Data'!$L$6:$L$4668,"New")+SUMIFS('Diags Raw Data'!$S$6:$S$4668,'Diags Raw Data'!$D$6:$D$4668,$A13,'Diags Raw Data'!$L$6:$L$4668,"Delta")</f>
        <v>0</v>
      </c>
      <c r="I13" s="209">
        <f>SUMIFS('Diags Raw Data'!$T$6:$T$4668,'Diags Raw Data'!$D$6:$D$4668,$A13,'Diags Raw Data'!$L$6:$L$4668,"New")+SUMIFS('Diags Raw Data'!$T$6:$T$4668,'Diags Raw Data'!$D$6:$D$4668,$A13,'Diags Raw Data'!$L$6:$L$4668,"Delta")</f>
        <v>0</v>
      </c>
      <c r="J13" s="209">
        <f>SUMIFS('Diags Raw Data'!$U$6:$U$4668,'Diags Raw Data'!$D$6:$D$4668,$A13,'Diags Raw Data'!$L$6:$L$4668,"New")+SUMIFS('Diags Raw Data'!$U$6:$U$4668,'Diags Raw Data'!$D$6:$D$4668,$A13,'Diags Raw Data'!$L$6:$L$4668,"Delta")</f>
        <v>0</v>
      </c>
      <c r="K13" s="209">
        <f>SUMIFS('Diags Raw Data'!$V$6:$V$4668,'Diags Raw Data'!$D$6:$D$4668,$A13,'Diags Raw Data'!$L$6:$L$4668,"New")+SUMIFS('Diags Raw Data'!$V$6:$V$4668,'Diags Raw Data'!$D$6:$D$4668,$A13,'Diags Raw Data'!$L$6:$L$4668,"Delta")</f>
        <v>0</v>
      </c>
      <c r="L13" s="220" t="str">
        <f>IF(NOT($C13=0), G13/$C13, "---")</f>
        <v>---</v>
      </c>
      <c r="M13" s="211" t="str">
        <f>IF(NOT($G13=0), (H13+I13)/$G13, "---")</f>
        <v>---</v>
      </c>
      <c r="N13" s="214" t="str">
        <f>IF(NOT($C13=0), (H13+I13)/$C13, "---")</f>
        <v>---</v>
      </c>
      <c r="O13" s="200">
        <f>SUMIFS('Diags Raw Data'!$Y$6:$Y$4668,'Diags Raw Data'!$D$6:$D$4668,$A13,'Diags Raw Data'!$L$6:$L$4668,"New")+SUMIFS('Diags Raw Data'!$Y$6:$Y$4668,'Diags Raw Data'!$D$6:$D$4668,$A13,'Diags Raw Data'!$L$6:$L$4668,"Delta")</f>
        <v>0</v>
      </c>
      <c r="P13" s="196">
        <f>SUMIFS('Diags Raw Data'!$Z$6:$Z$4668,'Diags Raw Data'!$D$6:$D$4668,$A13,'Diags Raw Data'!$L$6:$L$4668,"New")+SUMIFS('Diags Raw Data'!$Z$6:$Z$4668,'Diags Raw Data'!$D$6:$D$4668,$A13,'Diags Raw Data'!$L$6:$L$4668,"Delta")</f>
        <v>0</v>
      </c>
      <c r="Q13" s="196">
        <f>SUMIFS('Diags Raw Data'!$AA$6:$AA$4668,'Diags Raw Data'!$D$6:$D$4668,$A13,'Diags Raw Data'!$L$6:$L$4668,"New")+SUMIFS('Diags Raw Data'!$AA$6:$AA$4668,'Diags Raw Data'!$D$6:$D$4668,$A13,'Diags Raw Data'!$L$6:$L$4668,"Delta")</f>
        <v>0</v>
      </c>
      <c r="R13" s="196">
        <f>SUMIFS('Diags Raw Data'!$AB$6:$AB$4668,'Diags Raw Data'!$D$6:$D$4668,$A13,'Diags Raw Data'!$L$6:$L$4668,"New")+SUMIFS('Diags Raw Data'!$AB$6:$AB$4668,'Diags Raw Data'!$D$6:$D$4668,$A13,'Diags Raw Data'!$L$6:$L$4668,"Delta")</f>
        <v>0</v>
      </c>
      <c r="S13" s="196">
        <f>SUMIFS('Diags Raw Data'!$AC$6:$AC$4668,'Diags Raw Data'!$D$6:$D$4668,$A13,'Diags Raw Data'!$L$6:$L$4668,"New")+SUMIFS('Diags Raw Data'!$AC$6:$AC$4668,'Diags Raw Data'!$D$6:$D$4668,$A13,'Diags Raw Data'!$L$6:$L$4668,"Delta")</f>
        <v>0</v>
      </c>
      <c r="T13" s="197" t="str">
        <f>IF(NOT($B13=0), O13/$B13, "---")</f>
        <v>---</v>
      </c>
      <c r="U13" s="215" t="str">
        <f>IF(NOT($O13=0), (P13+Q13)/$O13, "---")</f>
        <v>---</v>
      </c>
      <c r="V13" s="212" t="str">
        <f>IF(NOT($B13=0), (P13+Q13)/$B13, "---")</f>
        <v>---</v>
      </c>
    </row>
    <row r="14" spans="1:22" ht="16.5" thickBot="1" x14ac:dyDescent="0.3">
      <c r="A14" s="483" t="s">
        <v>251</v>
      </c>
      <c r="B14" s="525">
        <f>SUM(B11:B13)</f>
        <v>17</v>
      </c>
      <c r="C14" s="526">
        <f t="shared" ref="C14:E14" si="6">SUM(C11:C13)</f>
        <v>15</v>
      </c>
      <c r="D14" s="526">
        <f t="shared" si="6"/>
        <v>17</v>
      </c>
      <c r="E14" s="526">
        <f t="shared" si="6"/>
        <v>10.199999999999998</v>
      </c>
      <c r="F14" s="229" cm="1">
        <f t="array" ref="F14">SUMPRODUCT(--(ISNUMBER(SEARCH("New",'Diags Raw Data'!$L$6:$L$4668))),'Diags Raw Data'!$J$6:$J$4668,'Diags Raw Data'!$O$6:$O$4668)/D14+SUMPRODUCT(--(ISNUMBER(SEARCH("Delta",'Diags Raw Data'!$L$6:$L$4668))),'Diags Raw Data'!$J$6:$J$4668,'Diags Raw Data'!$O$6:$O$4668)/D14</f>
        <v>0.59999999999999987</v>
      </c>
      <c r="G14" s="230">
        <f>SUM(G11:G13)</f>
        <v>0</v>
      </c>
      <c r="H14" s="231">
        <f t="shared" ref="H14:K14" si="7">SUM(H11:H13)</f>
        <v>0</v>
      </c>
      <c r="I14" s="231">
        <f t="shared" si="7"/>
        <v>0</v>
      </c>
      <c r="J14" s="231">
        <f t="shared" si="7"/>
        <v>0</v>
      </c>
      <c r="K14" s="231">
        <f t="shared" si="7"/>
        <v>0</v>
      </c>
      <c r="L14" s="232">
        <f>IF(NOT($C14=0), G14/$C14, "---")</f>
        <v>0</v>
      </c>
      <c r="M14" s="233" t="str">
        <f t="shared" ref="M14" si="8">IF(NOT($G14=0), (H14+I14)/$G14, "---")</f>
        <v>---</v>
      </c>
      <c r="N14" s="234">
        <f>IF(NOT($C14=0), (H14+I14)/$C14, "---")</f>
        <v>0</v>
      </c>
      <c r="O14" s="235">
        <f>SUM(O11:O13)</f>
        <v>0</v>
      </c>
      <c r="P14" s="236">
        <f t="shared" ref="P14:S14" si="9">SUM(P11:P13)</f>
        <v>0</v>
      </c>
      <c r="Q14" s="236">
        <f t="shared" si="9"/>
        <v>0</v>
      </c>
      <c r="R14" s="236">
        <f t="shared" si="9"/>
        <v>0</v>
      </c>
      <c r="S14" s="236">
        <f t="shared" si="9"/>
        <v>0</v>
      </c>
      <c r="T14" s="237">
        <f>IF(NOT($B14=0), O14/$B14, "---")</f>
        <v>0</v>
      </c>
      <c r="U14" s="238" t="str">
        <f t="shared" ref="U14" si="10">IF(NOT($O14=0), (P14+Q14)/$O14, "---")</f>
        <v>---</v>
      </c>
      <c r="V14" s="239">
        <f t="shared" ref="V14" si="11">IF(NOT($B14=0), (P14+Q14)/$B14, "---")</f>
        <v>0</v>
      </c>
    </row>
    <row r="15" spans="1:22" ht="15.75" thickBot="1" x14ac:dyDescent="0.3">
      <c r="A15" s="221"/>
      <c r="B15" s="221"/>
      <c r="C15" s="221"/>
      <c r="D15" s="221"/>
      <c r="E15" s="221"/>
      <c r="F15" s="221"/>
      <c r="G15" s="221"/>
      <c r="H15" s="221"/>
      <c r="I15" s="221"/>
      <c r="J15" s="221"/>
      <c r="K15" s="221"/>
      <c r="L15" s="221"/>
      <c r="M15" s="221"/>
      <c r="N15" s="221"/>
      <c r="O15" s="221"/>
      <c r="P15" s="221"/>
      <c r="Q15" s="221"/>
      <c r="R15" s="221"/>
      <c r="S15" s="221"/>
      <c r="T15" s="221"/>
      <c r="U15" s="221"/>
      <c r="V15" s="221"/>
    </row>
    <row r="16" spans="1:22" ht="15.75" thickBot="1" x14ac:dyDescent="0.3">
      <c r="A16" s="516" t="s">
        <v>33</v>
      </c>
      <c r="B16" s="662" t="s">
        <v>161</v>
      </c>
      <c r="C16" s="662"/>
      <c r="D16" s="662"/>
      <c r="E16" s="662"/>
      <c r="F16" s="662"/>
      <c r="G16" s="663" t="s">
        <v>172</v>
      </c>
      <c r="H16" s="664"/>
      <c r="I16" s="664"/>
      <c r="J16" s="664"/>
      <c r="K16" s="664"/>
      <c r="L16" s="664"/>
      <c r="M16" s="664"/>
      <c r="N16" s="665"/>
      <c r="O16" s="666" t="s">
        <v>139</v>
      </c>
      <c r="P16" s="667"/>
      <c r="Q16" s="667"/>
      <c r="R16" s="667"/>
      <c r="S16" s="667"/>
      <c r="T16" s="667"/>
      <c r="U16" s="667"/>
      <c r="V16" s="668"/>
    </row>
    <row r="17" spans="1:22" s="225" customFormat="1" ht="15.75" thickBot="1" x14ac:dyDescent="0.3">
      <c r="A17" s="518" t="s">
        <v>83</v>
      </c>
      <c r="B17" s="278" t="s">
        <v>162</v>
      </c>
      <c r="C17" s="279" t="s">
        <v>123</v>
      </c>
      <c r="D17" s="280" t="s">
        <v>100</v>
      </c>
      <c r="E17" s="280" t="s">
        <v>168</v>
      </c>
      <c r="F17" s="281" t="s">
        <v>170</v>
      </c>
      <c r="G17" s="519" t="s">
        <v>127</v>
      </c>
      <c r="H17" s="520" t="s">
        <v>30</v>
      </c>
      <c r="I17" s="520" t="s">
        <v>130</v>
      </c>
      <c r="J17" s="520" t="s">
        <v>35</v>
      </c>
      <c r="K17" s="520" t="s">
        <v>133</v>
      </c>
      <c r="L17" s="520" t="s">
        <v>179</v>
      </c>
      <c r="M17" s="520" t="s">
        <v>135</v>
      </c>
      <c r="N17" s="521" t="s">
        <v>182</v>
      </c>
      <c r="O17" s="522" t="s">
        <v>127</v>
      </c>
      <c r="P17" s="523" t="s">
        <v>30</v>
      </c>
      <c r="Q17" s="523" t="s">
        <v>130</v>
      </c>
      <c r="R17" s="523" t="s">
        <v>35</v>
      </c>
      <c r="S17" s="523" t="s">
        <v>133</v>
      </c>
      <c r="T17" s="523" t="s">
        <v>179</v>
      </c>
      <c r="U17" s="523" t="s">
        <v>135</v>
      </c>
      <c r="V17" s="524" t="s">
        <v>182</v>
      </c>
    </row>
    <row r="18" spans="1:22" x14ac:dyDescent="0.25">
      <c r="A18" s="527" t="s">
        <v>248</v>
      </c>
      <c r="B18" s="226">
        <f>SUMIFS('Diags Raw Data'!$K$6:$K$4668,'Diags Raw Data'!$D$6:$D$4668,$A18,'Diags Raw Data'!$L$6:$L$4668,"Legacy")</f>
        <v>33</v>
      </c>
      <c r="C18" s="216">
        <f>SUMIFS('Diags Raw Data'!$Q$6:$Q$4668,'Diags Raw Data'!$D$6:$D$4668,$A18,'Diags Raw Data'!$L$6:$L$4668,"Legacy")</f>
        <v>31</v>
      </c>
      <c r="D18" s="216">
        <f>SUMIFS('Diags Raw Data'!$J$6:$J$4668,'Diags Raw Data'!$D$6:$D$4668,$A18,'Diags Raw Data'!$L$6:$L$4668,"Legacy")</f>
        <v>33</v>
      </c>
      <c r="E18" s="216">
        <f>SUMIFS('Diags Raw Data'!$N$6:$N$4668,'Diags Raw Data'!$D$6:$D$4668,$A18,'Diags Raw Data'!$L$6:$L$4668,"Legacy")</f>
        <v>19.200000000000003</v>
      </c>
      <c r="F18" s="222">
        <f>IF(NOT($B18=0), E18/$B18, "---")</f>
        <v>0.5818181818181819</v>
      </c>
      <c r="G18" s="528">
        <f>SUMIFS('Diags Raw Data'!$R$6:$R$4668,'Diags Raw Data'!$D$6:$D$4668,$A18,'Diags Raw Data'!$L$6:$L$4668,"Legacy")</f>
        <v>0</v>
      </c>
      <c r="H18" s="529">
        <f>SUMIFS('Diags Raw Data'!$S$6:$S$4668,'Diags Raw Data'!$D$6:$D$4668,$A18,'Diags Raw Data'!$L$6:$L$4668,"Legacy")</f>
        <v>0</v>
      </c>
      <c r="I18" s="530">
        <f>SUMIFS('Diags Raw Data'!$T$6:$T$4668,'Diags Raw Data'!$D$6:$D$4668,$A18,'Diags Raw Data'!$L$6:$L$4668,"Legacy")</f>
        <v>0</v>
      </c>
      <c r="J18" s="529">
        <f>SUMIFS('Diags Raw Data'!$U$6:$U$4668,'Diags Raw Data'!$D$6:$D$4668,$A18,'Diags Raw Data'!$L$6:$L$4668,"Legacy")</f>
        <v>0</v>
      </c>
      <c r="K18" s="530">
        <f>SUMIFS('Diags Raw Data'!$V$6:$V$4668,'Diags Raw Data'!$D$6:$D$4668,$A18,'Diags Raw Data'!$L$6:$L$4668,"Legacy")</f>
        <v>0</v>
      </c>
      <c r="L18" s="531">
        <f>IF(NOT($C18=0), G18/$C18, "---")</f>
        <v>0</v>
      </c>
      <c r="M18" s="532" t="str">
        <f>IF(NOT($G18=0), (H18+I18)/$G18, "---")</f>
        <v>---</v>
      </c>
      <c r="N18" s="533">
        <f>IF(NOT($C18=0), (H18+I18)/$C18, "---")</f>
        <v>0</v>
      </c>
      <c r="O18" s="534">
        <f>SUMIFS('Diags Raw Data'!$Y$6:$Y$4668,'Diags Raw Data'!$D$6:$D$4668,$A18,'Diags Raw Data'!$L$6:$L$4668,"Legacy")</f>
        <v>0</v>
      </c>
      <c r="P18" s="535">
        <f>SUMIFS('Diags Raw Data'!$Z$6:$Z$4668,'Diags Raw Data'!$D$6:$D$4668,$A18,'Diags Raw Data'!$L$6:$L$4668,"Legacy")</f>
        <v>0</v>
      </c>
      <c r="Q18" s="536">
        <f>SUMIFS('Diags Raw Data'!$AA$6:$AA$4668,'Diags Raw Data'!$D$6:$D$4668,$A18,'Diags Raw Data'!$L$6:$L$4668,"Legacy")</f>
        <v>0</v>
      </c>
      <c r="R18" s="535">
        <f>SUMIFS('Diags Raw Data'!$AB$6:$AB$4668,'Diags Raw Data'!$D$6:$D$4668,$A18,'Diags Raw Data'!$L$6:$L$4668,"Legacy")</f>
        <v>0</v>
      </c>
      <c r="S18" s="536">
        <f>SUMIFS('Diags Raw Data'!$AC$6:$AC$4668,'Diags Raw Data'!$D$6:$D$4668,$A18,'Diags Raw Data'!$L$6:$L$4668,"Legacy")</f>
        <v>0</v>
      </c>
      <c r="T18" s="537">
        <f>IF(NOT($B18=0), O18/$B18, "---")</f>
        <v>0</v>
      </c>
      <c r="U18" s="538" t="str">
        <f>IF(NOT($O18=0), (P18+Q18)/$O18, "---")</f>
        <v>---</v>
      </c>
      <c r="V18" s="539">
        <f>IF(NOT($B18=0), (P18+Q18)/$B18, "---")</f>
        <v>0</v>
      </c>
    </row>
    <row r="19" spans="1:22" x14ac:dyDescent="0.25">
      <c r="A19" s="517"/>
      <c r="B19" s="227">
        <f>SUMIFS('Diags Raw Data'!$K$6:$K$4668,'Diags Raw Data'!$D$6:$D$4668,$A19,'Diags Raw Data'!$L$6:$L$4668,"Legacy")</f>
        <v>0</v>
      </c>
      <c r="C19" s="217">
        <f>SUMIFS('Diags Raw Data'!$Q$6:$Q$4668,'Diags Raw Data'!$D$6:$D$4668,$A19,'Diags Raw Data'!$L$6:$L$4668,"Legacy")</f>
        <v>0</v>
      </c>
      <c r="D19" s="217">
        <f>SUMIFS('Diags Raw Data'!$J$6:$J$4668,'Diags Raw Data'!$D$6:$D$4668,$A19,'Diags Raw Data'!$L$6:$L$4668,"Legacy")</f>
        <v>0</v>
      </c>
      <c r="E19" s="217">
        <f>SUMIFS('Diags Raw Data'!$N$6:$N$4668,'Diags Raw Data'!$D$6:$D$4668,$A19,'Diags Raw Data'!$L$6:$L$4668,"Legacy")</f>
        <v>0</v>
      </c>
      <c r="F19" s="223" t="str">
        <f>IF(NOT($B19=0), E19/$B19, "---")</f>
        <v>---</v>
      </c>
      <c r="G19" s="206">
        <f>SUMIFS('Diags Raw Data'!$R$6:$R$4668,'Diags Raw Data'!$D$6:$D$4668,$A19,'Diags Raw Data'!$L$6:$L$4668,"Legacy")</f>
        <v>0</v>
      </c>
      <c r="H19" s="202">
        <f>SUMIFS('Diags Raw Data'!$S$6:$S$4668,'Diags Raw Data'!$D$6:$D$4668,$A19,'Diags Raw Data'!$L$6:$L$4668,"Legacy")</f>
        <v>0</v>
      </c>
      <c r="I19" s="203">
        <f>SUMIFS('Diags Raw Data'!$T$6:$T$4668,'Diags Raw Data'!$D$6:$D$4668,$A19,'Diags Raw Data'!$L$6:$L$4668,"Legacy")</f>
        <v>0</v>
      </c>
      <c r="J19" s="202">
        <f>SUMIFS('Diags Raw Data'!$U$6:$U$4668,'Diags Raw Data'!$D$6:$D$4668,$A19,'Diags Raw Data'!$L$6:$L$4668,"Legacy")</f>
        <v>0</v>
      </c>
      <c r="K19" s="203">
        <f>SUMIFS('Diags Raw Data'!$V$6:$V$4668,'Diags Raw Data'!$D$6:$D$4668,$A19,'Diags Raw Data'!$L$6:$L$4668,"Legacy")</f>
        <v>0</v>
      </c>
      <c r="L19" s="218" t="str">
        <f>IF(NOT($C19=0), G19/$C19, "---")</f>
        <v>---</v>
      </c>
      <c r="M19" s="204" t="str">
        <f>IF(NOT($G19=0), (H19+I19)/$G19, "---")</f>
        <v>---</v>
      </c>
      <c r="N19" s="213" t="str">
        <f>IF(NOT($C19=0), (H19+I19)/$C19, "---")</f>
        <v>---</v>
      </c>
      <c r="O19" s="199">
        <f>SUMIFS('Diags Raw Data'!$Y$6:$Y$4668,'Diags Raw Data'!$D$6:$D$4668,$A19,'Diags Raw Data'!$L$6:$L$4668,"Legacy")</f>
        <v>0</v>
      </c>
      <c r="P19" s="193">
        <f>SUMIFS('Diags Raw Data'!$Z$6:$Z$4668,'Diags Raw Data'!$D$6:$D$4668,$A19,'Diags Raw Data'!$L$6:$L$4668,"Legacy")</f>
        <v>0</v>
      </c>
      <c r="Q19" s="195">
        <f>SUMIFS('Diags Raw Data'!$AA$6:$AA$4668,'Diags Raw Data'!$D$6:$D$4668,$A19,'Diags Raw Data'!$L$6:$L$4668,"Legacy")</f>
        <v>0</v>
      </c>
      <c r="R19" s="193">
        <f>SUMIFS('Diags Raw Data'!$AB$6:$AB$4668,'Diags Raw Data'!$D$6:$D$4668,$A19,'Diags Raw Data'!$L$6:$L$4668,"Legacy")</f>
        <v>0</v>
      </c>
      <c r="S19" s="195">
        <f>SUMIFS('Diags Raw Data'!$AC$6:$AC$4668,'Diags Raw Data'!$D$6:$D$4668,$A19,'Diags Raw Data'!$L$6:$L$4668,"Legacy")</f>
        <v>0</v>
      </c>
      <c r="T19" s="194" t="str">
        <f>IF(NOT($B19=0), O19/$B19, "---")</f>
        <v>---</v>
      </c>
      <c r="U19" s="205" t="str">
        <f>IF(NOT($O19=0), (P19+Q19)/$O19, "---")</f>
        <v>---</v>
      </c>
      <c r="V19" s="207" t="str">
        <f>IF(NOT($B19=0), (P19+Q19)/$B19, "---")</f>
        <v>---</v>
      </c>
    </row>
    <row r="20" spans="1:22" ht="15.75" thickBot="1" x14ac:dyDescent="0.3">
      <c r="A20" s="540"/>
      <c r="B20" s="228">
        <f>SUMIFS('Diags Raw Data'!$K$6:$K$4668,'Diags Raw Data'!$D$6:$D$4668,$A20,'Diags Raw Data'!$L$6:$L$4668,"Legacy")</f>
        <v>0</v>
      </c>
      <c r="C20" s="219">
        <f>SUMIFS('Diags Raw Data'!$Q$6:$Q$4668,'Diags Raw Data'!$D$6:$D$4668,$A20,'Diags Raw Data'!$L$6:$L$4668,"Legacy")</f>
        <v>0</v>
      </c>
      <c r="D20" s="219">
        <f>SUMIFS('Diags Raw Data'!$J$6:$J$4668,'Diags Raw Data'!$D$6:$D$4668,$A20,'Diags Raw Data'!$L$6:$L$4668,"Legacy")</f>
        <v>0</v>
      </c>
      <c r="E20" s="219">
        <f>SUMIFS('Diags Raw Data'!$N$6:$N$4668,'Diags Raw Data'!$D$6:$D$4668,$A20,'Diags Raw Data'!$L$6:$L$4668,"Legacy")</f>
        <v>0</v>
      </c>
      <c r="F20" s="224" t="str">
        <f>IF(NOT($B20=0), E20/$B20, "---")</f>
        <v>---</v>
      </c>
      <c r="G20" s="208">
        <f>SUMIFS('Diags Raw Data'!$R$6:$R$4668,'Diags Raw Data'!$D$6:$D$4668,$A20,'Diags Raw Data'!$L$6:$L$4668,"Legacy")</f>
        <v>0</v>
      </c>
      <c r="H20" s="209">
        <f>SUMIFS('Diags Raw Data'!$S$6:$S$4668,'Diags Raw Data'!$D$6:$D$4668,$A20,'Diags Raw Data'!$L$6:$L$4668,"Legacy")</f>
        <v>0</v>
      </c>
      <c r="I20" s="210">
        <f>SUMIFS('Diags Raw Data'!$T$6:$T$4668,'Diags Raw Data'!$D$6:$D$4668,$A20,'Diags Raw Data'!$L$6:$L$4668,"Legacy")</f>
        <v>0</v>
      </c>
      <c r="J20" s="209">
        <f>SUMIFS('Diags Raw Data'!$U$6:$U$4668,'Diags Raw Data'!$D$6:$D$4668,$A20,'Diags Raw Data'!$L$6:$L$4668,"Legacy")</f>
        <v>0</v>
      </c>
      <c r="K20" s="210">
        <f>SUMIFS('Diags Raw Data'!$V$6:$V$4668,'Diags Raw Data'!$D$6:$D$4668,$A20,'Diags Raw Data'!$L$6:$L$4668,"Legacy")</f>
        <v>0</v>
      </c>
      <c r="L20" s="220" t="str">
        <f>IF(NOT($C20=0), G20/$C20, "---")</f>
        <v>---</v>
      </c>
      <c r="M20" s="211" t="str">
        <f>IF(NOT($G20=0), (H20+I20)/$G20, "---")</f>
        <v>---</v>
      </c>
      <c r="N20" s="214" t="str">
        <f>IF(NOT($C20=0), (H20+I20)/$C20, "---")</f>
        <v>---</v>
      </c>
      <c r="O20" s="200">
        <f>SUMIFS('Diags Raw Data'!$Y$6:$Y$4668,'Diags Raw Data'!$D$6:$D$4668,$A20,'Diags Raw Data'!$L$6:$L$4668,"Legacy")</f>
        <v>0</v>
      </c>
      <c r="P20" s="196">
        <f>SUMIFS('Diags Raw Data'!$Z$6:$Z$4668,'Diags Raw Data'!$D$6:$D$4668,$A20,'Diags Raw Data'!$L$6:$L$4668,"Legacy")</f>
        <v>0</v>
      </c>
      <c r="Q20" s="198">
        <f>SUMIFS('Diags Raw Data'!$AA$6:$AA$4668,'Diags Raw Data'!$D$6:$D$4668,$A20,'Diags Raw Data'!$L$6:$L$4668,"Legacy")</f>
        <v>0</v>
      </c>
      <c r="R20" s="196">
        <f>SUMIFS('Diags Raw Data'!$AB$6:$AB$4668,'Diags Raw Data'!$D$6:$D$4668,$A20,'Diags Raw Data'!$L$6:$L$4668,"Legacy")</f>
        <v>0</v>
      </c>
      <c r="S20" s="198">
        <f>SUMIFS('Diags Raw Data'!$AC$6:$AC$4668,'Diags Raw Data'!$D$6:$D$4668,$A20,'Diags Raw Data'!$L$6:$L$4668,"Legacy")</f>
        <v>0</v>
      </c>
      <c r="T20" s="197" t="str">
        <f>IF(NOT($B20=0), O20/$B20, "---")</f>
        <v>---</v>
      </c>
      <c r="U20" s="215" t="str">
        <f>IF(NOT($O20=0), (P20+Q20)/$O20, "---")</f>
        <v>---</v>
      </c>
      <c r="V20" s="212" t="str">
        <f>IF(NOT($B20=0), (P20+Q20)/$B20, "---")</f>
        <v>---</v>
      </c>
    </row>
    <row r="21" spans="1:22" ht="16.5" thickBot="1" x14ac:dyDescent="0.3">
      <c r="A21" s="484" t="s">
        <v>252</v>
      </c>
      <c r="B21" s="525">
        <f>SUM(B18:B20)</f>
        <v>33</v>
      </c>
      <c r="C21" s="526">
        <f t="shared" ref="C21:E21" si="12">SUM(C18:C20)</f>
        <v>31</v>
      </c>
      <c r="D21" s="526">
        <f t="shared" si="12"/>
        <v>33</v>
      </c>
      <c r="E21" s="526">
        <f t="shared" si="12"/>
        <v>19.200000000000003</v>
      </c>
      <c r="F21" s="229" cm="1">
        <f t="array" ref="F21">SUMPRODUCT(--(ISNUMBER(SEARCH("Legacy",'Diags Raw Data'!$L$6:$L$4668))),'Diags Raw Data'!$J$6:$J$4668,'Diags Raw Data'!$O$6:$O$4668)/D21</f>
        <v>0.5818181818181819</v>
      </c>
      <c r="G21" s="230">
        <f>SUM(G18:G20)</f>
        <v>0</v>
      </c>
      <c r="H21" s="231">
        <f t="shared" ref="H21:K21" si="13">SUM(H18:H20)</f>
        <v>0</v>
      </c>
      <c r="I21" s="231">
        <f t="shared" si="13"/>
        <v>0</v>
      </c>
      <c r="J21" s="231">
        <f t="shared" si="13"/>
        <v>0</v>
      </c>
      <c r="K21" s="231">
        <f t="shared" si="13"/>
        <v>0</v>
      </c>
      <c r="L21" s="232">
        <f>IF(NOT($C21=0), G21/$C21, "---")</f>
        <v>0</v>
      </c>
      <c r="M21" s="233" t="str">
        <f t="shared" ref="M21" si="14">IF(NOT($G21=0), (H21+I21)/$G21, "---")</f>
        <v>---</v>
      </c>
      <c r="N21" s="234">
        <f t="shared" ref="N21" si="15">IF(NOT($C21=0), (H21+I21)/$C21, "---")</f>
        <v>0</v>
      </c>
      <c r="O21" s="235">
        <f>SUM(O18:O20)</f>
        <v>0</v>
      </c>
      <c r="P21" s="236">
        <f t="shared" ref="P21:S21" si="16">SUM(P18:P20)</f>
        <v>0</v>
      </c>
      <c r="Q21" s="236">
        <f t="shared" si="16"/>
        <v>0</v>
      </c>
      <c r="R21" s="236">
        <f t="shared" si="16"/>
        <v>0</v>
      </c>
      <c r="S21" s="236">
        <f t="shared" si="16"/>
        <v>0</v>
      </c>
      <c r="T21" s="237">
        <f>IF(NOT($B21=0), O21/$B21, "---")</f>
        <v>0</v>
      </c>
      <c r="U21" s="238" t="str">
        <f t="shared" ref="U21" si="17">IF(NOT($O21=0), (P21+Q21)/$O21, "---")</f>
        <v>---</v>
      </c>
      <c r="V21" s="239">
        <f>IF(NOT($B21=0), (P21+Q21)/$B21, "---")</f>
        <v>0</v>
      </c>
    </row>
    <row r="22" spans="1:22" x14ac:dyDescent="0.25">
      <c r="A22" s="221"/>
      <c r="B22" s="221"/>
      <c r="C22" s="221"/>
      <c r="D22" s="221"/>
      <c r="E22" s="221"/>
      <c r="F22" s="221"/>
      <c r="G22" s="221"/>
      <c r="H22" s="221"/>
      <c r="I22" s="221"/>
      <c r="J22" s="221"/>
      <c r="K22" s="221"/>
      <c r="L22" s="221"/>
      <c r="M22" s="221"/>
      <c r="N22" s="221"/>
      <c r="O22" s="221"/>
      <c r="P22" s="221"/>
      <c r="Q22" s="221"/>
      <c r="R22" s="221"/>
      <c r="S22" s="221"/>
      <c r="T22" s="221"/>
      <c r="U22" s="221"/>
      <c r="V22" s="221"/>
    </row>
    <row r="24" spans="1:22" x14ac:dyDescent="0.25">
      <c r="F24" s="130"/>
    </row>
    <row r="27" spans="1:22" x14ac:dyDescent="0.25">
      <c r="F27" s="332"/>
    </row>
    <row r="28" spans="1:22" x14ac:dyDescent="0.25">
      <c r="F28" s="331"/>
    </row>
    <row r="29" spans="1:22" x14ac:dyDescent="0.25">
      <c r="F29" s="33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91">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onditionalFormatting>
  <conditionalFormatting sqref="F5">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311">
      <colorScale>
        <cfvo type="percentile" val="10"/>
        <cfvo type="percentile" val="50"/>
        <cfvo type="percentile" val="90"/>
        <color rgb="FFF8696B"/>
        <color rgb="FFFFEB84"/>
        <color rgb="FF63BE7B"/>
      </colorScale>
    </cfRule>
    <cfRule type="colorScale" priority="310">
      <colorScale>
        <cfvo type="percent" val="0"/>
        <cfvo type="percent" val="50"/>
        <cfvo type="percent" val="100"/>
        <color rgb="FFF8696B"/>
        <color rgb="FFFFEB84"/>
        <color rgb="FF63BE7B"/>
      </colorScale>
    </cfRule>
    <cfRule type="colorScale" priority="309">
      <colorScale>
        <cfvo type="percent" val="0"/>
        <cfvo type="percent" val="50"/>
        <cfvo type="percent" val="100"/>
        <color rgb="FFF8696B"/>
        <color rgb="FFFFEB84"/>
        <color rgb="FF63BE7B"/>
      </colorScale>
    </cfRule>
    <cfRule type="colorScale" priority="312">
      <colorScale>
        <cfvo type="percent" val="0"/>
        <cfvo type="percent" val="50"/>
        <cfvo type="percent" val="100"/>
        <color rgb="FFF8696B"/>
        <color rgb="FFFFEB84"/>
        <color rgb="FF63BE7B"/>
      </colorScale>
    </cfRule>
    <cfRule type="colorScale" priority="315">
      <colorScale>
        <cfvo type="min"/>
        <cfvo type="percentile" val="50"/>
        <cfvo type="max"/>
        <color rgb="FFF8696B"/>
        <color rgb="FFFFEB84"/>
        <color rgb="FF63BE7B"/>
      </colorScale>
    </cfRule>
    <cfRule type="colorScale" priority="314">
      <colorScale>
        <cfvo type="percent" val="20"/>
        <cfvo type="percent" val="50"/>
        <cfvo type="percent" val="100"/>
        <color rgb="FFF8696B"/>
        <color rgb="FFFFEB84"/>
        <color rgb="FF63BE7B"/>
      </colorScale>
    </cfRule>
    <cfRule type="colorScale" priority="313">
      <colorScale>
        <cfvo type="percentile" val="10"/>
        <cfvo type="percentile" val="50"/>
        <cfvo type="percentile" val="90"/>
        <color rgb="FFF8696B"/>
        <color rgb="FFFFEB84"/>
        <color rgb="FF63BE7B"/>
      </colorScale>
    </cfRule>
  </conditionalFormatting>
  <conditionalFormatting sqref="F11">
    <cfRule type="colorScale" priority="42">
      <colorScale>
        <cfvo type="percent" val="0"/>
        <cfvo type="percent" val="50"/>
        <cfvo type="percent" val="10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58">
      <colorScale>
        <cfvo type="percentile" val="10"/>
        <cfvo type="percentile" val="50"/>
        <cfvo type="percentile" val="90"/>
        <color rgb="FFF8696B"/>
        <color rgb="FFFFEB84"/>
        <color rgb="FF63BE7B"/>
      </colorScale>
    </cfRule>
  </conditionalFormatting>
  <conditionalFormatting sqref="F13">
    <cfRule type="colorScale" priority="328">
      <colorScale>
        <cfvo type="percentile" val="10"/>
        <cfvo type="percentile" val="50"/>
        <cfvo type="percentile" val="90"/>
        <color rgb="FFF8696B"/>
        <color rgb="FFFFEB84"/>
        <color rgb="FF63BE7B"/>
      </colorScale>
    </cfRule>
    <cfRule type="colorScale" priority="329">
      <colorScale>
        <cfvo type="percent" val="0"/>
        <cfvo type="percent" val="50"/>
        <cfvo type="percent" val="100"/>
        <color rgb="FFF8696B"/>
        <color rgb="FFFFEB84"/>
        <color rgb="FF63BE7B"/>
      </colorScale>
    </cfRule>
    <cfRule type="colorScale" priority="330">
      <colorScale>
        <cfvo type="percentile" val="10"/>
        <cfvo type="percentile" val="50"/>
        <cfvo type="percentile" val="90"/>
        <color rgb="FFF8696B"/>
        <color rgb="FFFFEB84"/>
        <color rgb="FF63BE7B"/>
      </colorScale>
    </cfRule>
    <cfRule type="colorScale" priority="331">
      <colorScale>
        <cfvo type="percent" val="2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fRule type="colorScale" priority="326">
      <colorScale>
        <cfvo type="percent" val="0"/>
        <cfvo type="percent" val="50"/>
        <cfvo type="percent" val="100"/>
        <color rgb="FFF8696B"/>
        <color rgb="FFFFEB84"/>
        <color rgb="FF63BE7B"/>
      </colorScale>
    </cfRule>
    <cfRule type="colorScale" priority="332">
      <colorScale>
        <cfvo type="min"/>
        <cfvo type="percentile" val="50"/>
        <cfvo type="max"/>
        <color rgb="FFF8696B"/>
        <color rgb="FFFFEB84"/>
        <color rgb="FF63BE7B"/>
      </colorScale>
    </cfRule>
  </conditionalFormatting>
  <conditionalFormatting sqref="F18">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onditionalFormatting>
  <conditionalFormatting sqref="F19">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1">
      <colorScale>
        <cfvo type="percent" val="0"/>
        <cfvo type="percent" val="50"/>
        <cfvo type="percent" val="100"/>
        <color rgb="FFF8696B"/>
        <color rgb="FFFFEB84"/>
        <color rgb="FF63BE7B"/>
      </colorScale>
    </cfRule>
  </conditionalFormatting>
  <conditionalFormatting sqref="F20">
    <cfRule type="colorScale" priority="362">
      <colorScale>
        <cfvo type="percent" val="0"/>
        <cfvo type="percent" val="50"/>
        <cfvo type="percent" val="100"/>
        <color rgb="FFF8696B"/>
        <color rgb="FFFFEB84"/>
        <color rgb="FF63BE7B"/>
      </colorScale>
    </cfRule>
    <cfRule type="colorScale" priority="363">
      <colorScale>
        <cfvo type="percent" val="20"/>
        <cfvo type="percent" val="60"/>
        <cfvo type="percent" val="90"/>
        <color rgb="FFF8696B"/>
        <color rgb="FFFFEB84"/>
        <color rgb="FF63BE7B"/>
      </colorScale>
    </cfRule>
    <cfRule type="colorScale" priority="364">
      <colorScale>
        <cfvo type="percent" val="0"/>
        <cfvo type="percent" val="50"/>
        <cfvo type="percent" val="100"/>
        <color rgb="FFF8696B"/>
        <color rgb="FFFFEB84"/>
        <color rgb="FF63BE7B"/>
      </colorScale>
    </cfRule>
    <cfRule type="colorScale" priority="365">
      <colorScale>
        <cfvo type="percent" val="0"/>
        <cfvo type="percent" val="50"/>
        <cfvo type="percent" val="100"/>
        <color rgb="FFF8696B"/>
        <color rgb="FFFFEB84"/>
        <color rgb="FF63BE7B"/>
      </colorScale>
    </cfRule>
    <cfRule type="colorScale" priority="366">
      <colorScale>
        <cfvo type="percent" val="0"/>
        <cfvo type="percent" val="50"/>
        <cfvo type="percent" val="100"/>
        <color rgb="FFF8696B"/>
        <color rgb="FFFFEB84"/>
        <color rgb="FF63BE7B"/>
      </colorScale>
    </cfRule>
    <cfRule type="colorScale" priority="367">
      <colorScale>
        <cfvo type="percentile" val="10"/>
        <cfvo type="percentile" val="50"/>
        <cfvo type="percentile" val="90"/>
        <color rgb="FFF8696B"/>
        <color rgb="FFFFEB84"/>
        <color rgb="FF63BE7B"/>
      </colorScale>
    </cfRule>
    <cfRule type="colorScale" priority="368">
      <colorScale>
        <cfvo type="percent" val="0"/>
        <cfvo type="percent" val="50"/>
        <cfvo type="percent" val="100"/>
        <color rgb="FFF8696B"/>
        <color rgb="FFFFEB84"/>
        <color rgb="FF63BE7B"/>
      </colorScale>
    </cfRule>
    <cfRule type="colorScale" priority="369">
      <colorScale>
        <cfvo type="percentile" val="10"/>
        <cfvo type="percentile" val="50"/>
        <cfvo type="percentile" val="90"/>
        <color rgb="FFF8696B"/>
        <color rgb="FFFFEB84"/>
        <color rgb="FF63BE7B"/>
      </colorScale>
    </cfRule>
    <cfRule type="colorScale" priority="370">
      <colorScale>
        <cfvo type="percent" val="20"/>
        <cfvo type="percent" val="50"/>
        <cfvo type="percent" val="100"/>
        <color rgb="FFF8696B"/>
        <color rgb="FFFFEB84"/>
        <color rgb="FF63BE7B"/>
      </colorScale>
    </cfRule>
    <cfRule type="colorScale" priority="371">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316">
      <colorScale>
        <cfvo type="percent" val="0"/>
        <cfvo type="percent" val="50"/>
        <cfvo type="percent" val="100"/>
        <color rgb="FFF8696B"/>
        <color rgb="FFFFEB84"/>
        <color rgb="FF63BE7B"/>
      </colorScale>
    </cfRule>
  </conditionalFormatting>
  <conditionalFormatting sqref="L11 N11">
    <cfRule type="colorScale" priority="49">
      <colorScale>
        <cfvo type="percent" val="0"/>
        <cfvo type="percent" val="50"/>
        <cfvo type="percent" val="100"/>
        <color rgb="FFF8696B"/>
        <color rgb="FFFFEB84"/>
        <color rgb="FF63BE7B"/>
      </colorScale>
    </cfRule>
    <cfRule type="colorScale" priority="48">
      <colorScale>
        <cfvo type="percent" val="0"/>
        <cfvo type="percent" val="50"/>
        <cfvo type="percent" val="100"/>
        <color rgb="FFF8696B"/>
        <color rgb="FFFFEB84"/>
        <color rgb="FF63BE7B"/>
      </colorScale>
    </cfRule>
  </conditionalFormatting>
  <conditionalFormatting sqref="L12 N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L13 N13">
    <cfRule type="colorScale" priority="344">
      <colorScale>
        <cfvo type="percent" val="0"/>
        <cfvo type="percent" val="50"/>
        <cfvo type="percent" val="100"/>
        <color rgb="FFF8696B"/>
        <color rgb="FFFFEB84"/>
        <color rgb="FF63BE7B"/>
      </colorScale>
    </cfRule>
    <cfRule type="colorScale" priority="343">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372">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324">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360">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380">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318">
      <colorScale>
        <cfvo type="percent" val="0"/>
        <cfvo type="percent" val="50"/>
        <cfvo type="percent" val="100"/>
        <color rgb="FFF8696B"/>
        <color rgb="FFFFEB84"/>
        <color rgb="FF63BE7B"/>
      </colorScale>
    </cfRule>
    <cfRule type="colorScale" priority="319">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8">
      <colorScale>
        <cfvo type="percent" val="0"/>
        <cfvo type="percent" val="50"/>
        <cfvo type="percent" val="100"/>
        <color rgb="FFF8696B"/>
        <color rgb="FFFFEB84"/>
        <color rgb="FF63BE7B"/>
      </colorScale>
    </cfRule>
    <cfRule type="colorScale" priority="67">
      <colorScale>
        <cfvo type="percent" val="0"/>
        <cfvo type="percent" val="50"/>
        <cfvo type="percent" val="100"/>
        <color rgb="FFF8696B"/>
        <color rgb="FFFFEB84"/>
        <color rgb="FF63BE7B"/>
      </colorScale>
    </cfRule>
  </conditionalFormatting>
  <conditionalFormatting sqref="M13">
    <cfRule type="colorScale" priority="353">
      <colorScale>
        <cfvo type="percent" val="0"/>
        <cfvo type="percent" val="50"/>
        <cfvo type="percent" val="100"/>
        <color rgb="FFF8696B"/>
        <color rgb="FFFFEB84"/>
        <color rgb="FF63BE7B"/>
      </colorScale>
    </cfRule>
    <cfRule type="colorScale" priority="352">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4">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20">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321">
      <colorScale>
        <cfvo type="percent" val="0"/>
        <cfvo type="percent" val="50"/>
        <cfvo type="percent" val="100"/>
        <color rgb="FFF8696B"/>
        <color rgb="FFFFEB84"/>
        <color rgb="FF63BE7B"/>
      </colorScale>
    </cfRule>
    <cfRule type="colorScale" priority="322">
      <colorScale>
        <cfvo type="percent" val="0"/>
        <cfvo type="percent" val="50"/>
        <cfvo type="percent" val="100"/>
        <color rgb="FFF8696B"/>
        <color rgb="FFFFEB84"/>
        <color rgb="FF63BE7B"/>
      </colorScale>
    </cfRule>
  </conditionalFormatting>
  <conditionalFormatting sqref="N18">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N19">
    <cfRule type="colorScale" priority="37">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20">
    <cfRule type="colorScale" priority="377">
      <colorScale>
        <cfvo type="percent" val="0"/>
        <cfvo type="percent" val="50"/>
        <cfvo type="percent" val="100"/>
        <color rgb="FFF8696B"/>
        <color rgb="FFFFEB84"/>
        <color rgb="FF63BE7B"/>
      </colorScale>
    </cfRule>
    <cfRule type="colorScale" priority="378">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317">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373">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325">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361">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381">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320">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351">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376">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323">
      <colorScale>
        <cfvo type="percent" val="0"/>
        <cfvo type="percent" val="50"/>
        <cfvo type="percent" val="100"/>
        <color rgb="FFF8696B"/>
        <color rgb="FFFFEB84"/>
        <color rgb="FF63BE7B"/>
      </colorScale>
    </cfRule>
  </conditionalFormatting>
  <conditionalFormatting sqref="V11 T11">
    <cfRule type="colorScale" priority="50">
      <colorScale>
        <cfvo type="percent" val="0"/>
        <cfvo type="percent" val="50"/>
        <cfvo type="percent" val="100"/>
        <color rgb="FFF8696B"/>
        <color rgb="FFFFEB84"/>
        <color rgb="FF63BE7B"/>
      </colorScale>
    </cfRule>
  </conditionalFormatting>
  <conditionalFormatting sqref="V13 T13">
    <cfRule type="colorScale" priority="347">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37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5"/>
  <sheetViews>
    <sheetView workbookViewId="0">
      <pane ySplit="2" topLeftCell="A56" activePane="bottomLeft" state="frozen"/>
      <selection pane="bottomLeft" activeCell="E77" sqref="E77:E85"/>
    </sheetView>
  </sheetViews>
  <sheetFormatPr defaultRowHeight="15" x14ac:dyDescent="0.25"/>
  <cols>
    <col min="1" max="1" width="16.85546875" bestFit="1" customWidth="1"/>
    <col min="2" max="2" width="55.5703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77" t="s">
        <v>253</v>
      </c>
      <c r="B1" s="678"/>
      <c r="C1" s="678"/>
      <c r="D1" s="678"/>
      <c r="E1" s="678"/>
      <c r="F1" s="678"/>
      <c r="G1" s="678"/>
      <c r="H1" s="678"/>
      <c r="I1" s="679"/>
    </row>
    <row r="2" spans="1:9" s="79" customFormat="1" ht="15.75" thickBot="1" x14ac:dyDescent="0.3">
      <c r="A2" s="388" t="s">
        <v>72</v>
      </c>
      <c r="B2" s="389" t="s">
        <v>76</v>
      </c>
      <c r="C2" s="390" t="s">
        <v>91</v>
      </c>
      <c r="D2" s="390" t="s">
        <v>197</v>
      </c>
      <c r="E2" s="391" t="s">
        <v>1</v>
      </c>
    </row>
    <row r="3" spans="1:9" ht="15.75" thickBot="1" x14ac:dyDescent="0.3">
      <c r="A3" s="462" t="s">
        <v>254</v>
      </c>
      <c r="B3" s="463" t="s">
        <v>255</v>
      </c>
      <c r="C3" s="403" t="s">
        <v>260</v>
      </c>
      <c r="D3" s="302" t="s">
        <v>34</v>
      </c>
      <c r="E3" s="376" t="s">
        <v>38</v>
      </c>
      <c r="G3" s="256" t="s">
        <v>72</v>
      </c>
      <c r="H3" s="257" t="s">
        <v>257</v>
      </c>
      <c r="I3" s="406">
        <f>COUNTA(A3:A3940)</f>
        <v>83</v>
      </c>
    </row>
    <row r="4" spans="1:9" x14ac:dyDescent="0.25">
      <c r="A4" s="464" t="s">
        <v>258</v>
      </c>
      <c r="B4" s="457" t="s">
        <v>259</v>
      </c>
      <c r="C4" s="404" t="s">
        <v>260</v>
      </c>
      <c r="D4" s="283" t="s">
        <v>34</v>
      </c>
      <c r="E4" s="378" t="s">
        <v>38</v>
      </c>
      <c r="G4" s="669" t="s">
        <v>91</v>
      </c>
      <c r="H4" s="258" t="s">
        <v>261</v>
      </c>
      <c r="I4" s="407">
        <f>COUNTIFS($C3:$C3940,"P1")</f>
        <v>3</v>
      </c>
    </row>
    <row r="5" spans="1:9" x14ac:dyDescent="0.25">
      <c r="A5" s="464" t="s">
        <v>262</v>
      </c>
      <c r="B5" s="457" t="s">
        <v>263</v>
      </c>
      <c r="C5" s="404" t="s">
        <v>256</v>
      </c>
      <c r="D5" s="283" t="s">
        <v>34</v>
      </c>
      <c r="E5" s="378" t="s">
        <v>33</v>
      </c>
      <c r="G5" s="670"/>
      <c r="H5" s="259" t="s">
        <v>264</v>
      </c>
      <c r="I5" s="408">
        <f>COUNTIFS($C3:$C3940,"P2")</f>
        <v>80</v>
      </c>
    </row>
    <row r="6" spans="1:9" ht="15.75" thickBot="1" x14ac:dyDescent="0.3">
      <c r="A6" s="464" t="s">
        <v>265</v>
      </c>
      <c r="B6" s="457" t="s">
        <v>266</v>
      </c>
      <c r="C6" s="404" t="s">
        <v>260</v>
      </c>
      <c r="D6" s="283" t="s">
        <v>34</v>
      </c>
      <c r="E6" s="378" t="s">
        <v>38</v>
      </c>
      <c r="G6" s="671"/>
      <c r="H6" s="260" t="s">
        <v>267</v>
      </c>
      <c r="I6" s="409">
        <f>COUNTIFS($C3:$C3940,"P3")</f>
        <v>0</v>
      </c>
    </row>
    <row r="7" spans="1:9" x14ac:dyDescent="0.25">
      <c r="A7" s="464" t="s">
        <v>268</v>
      </c>
      <c r="B7" s="457" t="s">
        <v>269</v>
      </c>
      <c r="C7" s="404" t="s">
        <v>256</v>
      </c>
      <c r="D7" s="283" t="s">
        <v>34</v>
      </c>
      <c r="E7" s="378" t="s">
        <v>33</v>
      </c>
      <c r="G7" s="672" t="s">
        <v>197</v>
      </c>
      <c r="H7" s="258" t="s">
        <v>270</v>
      </c>
      <c r="I7" s="407">
        <f>COUNTIFS($D3:$D3940,"Diagnostics")</f>
        <v>83</v>
      </c>
    </row>
    <row r="8" spans="1:9" x14ac:dyDescent="0.25">
      <c r="A8" s="464" t="s">
        <v>271</v>
      </c>
      <c r="B8" s="457" t="s">
        <v>272</v>
      </c>
      <c r="C8" s="404" t="s">
        <v>256</v>
      </c>
      <c r="D8" s="283" t="s">
        <v>34</v>
      </c>
      <c r="E8" s="378" t="s">
        <v>33</v>
      </c>
      <c r="G8" s="673"/>
      <c r="H8" s="259" t="s">
        <v>273</v>
      </c>
      <c r="I8" s="408">
        <f>COUNTIFS($D3:$D3940,"Driver")</f>
        <v>0</v>
      </c>
    </row>
    <row r="9" spans="1:9" x14ac:dyDescent="0.25">
      <c r="A9" s="464" t="s">
        <v>274</v>
      </c>
      <c r="B9" s="457" t="s">
        <v>275</v>
      </c>
      <c r="C9" s="404" t="s">
        <v>256</v>
      </c>
      <c r="D9" s="283" t="s">
        <v>34</v>
      </c>
      <c r="E9" s="378" t="s">
        <v>33</v>
      </c>
      <c r="G9" s="673"/>
      <c r="H9" s="259" t="s">
        <v>276</v>
      </c>
      <c r="I9" s="408">
        <f>COUNTIFS($D3:$D3940,"IPSE")</f>
        <v>0</v>
      </c>
    </row>
    <row r="10" spans="1:9" ht="15.75" thickBot="1" x14ac:dyDescent="0.3">
      <c r="A10" s="464" t="s">
        <v>277</v>
      </c>
      <c r="B10" s="457" t="s">
        <v>278</v>
      </c>
      <c r="C10" s="404" t="s">
        <v>256</v>
      </c>
      <c r="D10" s="283" t="s">
        <v>34</v>
      </c>
      <c r="E10" s="378" t="s">
        <v>33</v>
      </c>
      <c r="G10" s="674"/>
      <c r="H10" s="260" t="s">
        <v>279</v>
      </c>
      <c r="I10" s="409">
        <f>COUNTIFS($D3:$D3940,"N/A")</f>
        <v>0</v>
      </c>
    </row>
    <row r="11" spans="1:9" x14ac:dyDescent="0.25">
      <c r="A11" s="567" t="s">
        <v>280</v>
      </c>
      <c r="B11" s="457" t="s">
        <v>281</v>
      </c>
      <c r="C11" s="404" t="s">
        <v>256</v>
      </c>
      <c r="D11" s="283" t="s">
        <v>34</v>
      </c>
      <c r="E11" s="378" t="s">
        <v>33</v>
      </c>
      <c r="G11" s="672" t="s">
        <v>1</v>
      </c>
      <c r="H11" s="258" t="s">
        <v>282</v>
      </c>
      <c r="I11" s="407">
        <f>COUNTIFS($E3:$E3940,"Legacy")</f>
        <v>80</v>
      </c>
    </row>
    <row r="12" spans="1:9" x14ac:dyDescent="0.25">
      <c r="A12" s="464" t="s">
        <v>283</v>
      </c>
      <c r="B12" s="457" t="s">
        <v>284</v>
      </c>
      <c r="C12" s="404" t="s">
        <v>256</v>
      </c>
      <c r="D12" s="283" t="s">
        <v>34</v>
      </c>
      <c r="E12" s="378" t="s">
        <v>33</v>
      </c>
      <c r="G12" s="673"/>
      <c r="H12" s="259" t="s">
        <v>285</v>
      </c>
      <c r="I12" s="408">
        <f>COUNTIFS($E3:$E3940,"Delta")</f>
        <v>3</v>
      </c>
    </row>
    <row r="13" spans="1:9" x14ac:dyDescent="0.25">
      <c r="A13" s="464" t="s">
        <v>286</v>
      </c>
      <c r="B13" s="457" t="s">
        <v>287</v>
      </c>
      <c r="C13" s="404" t="s">
        <v>256</v>
      </c>
      <c r="D13" s="283" t="s">
        <v>34</v>
      </c>
      <c r="E13" s="378" t="s">
        <v>33</v>
      </c>
      <c r="G13" s="674"/>
      <c r="H13" s="260" t="s">
        <v>288</v>
      </c>
      <c r="I13" s="409">
        <f>COUNTIFS($E3:$E3940,"New")</f>
        <v>0</v>
      </c>
    </row>
    <row r="14" spans="1:9" x14ac:dyDescent="0.25">
      <c r="A14" s="464" t="s">
        <v>289</v>
      </c>
      <c r="B14" s="457" t="s">
        <v>290</v>
      </c>
      <c r="C14" s="404" t="s">
        <v>256</v>
      </c>
      <c r="D14" s="283" t="s">
        <v>34</v>
      </c>
      <c r="E14" s="378" t="s">
        <v>33</v>
      </c>
      <c r="G14" s="330" t="s">
        <v>202</v>
      </c>
      <c r="H14" s="675"/>
      <c r="I14" s="676"/>
    </row>
    <row r="15" spans="1:9" x14ac:dyDescent="0.25">
      <c r="A15" s="464" t="s">
        <v>291</v>
      </c>
      <c r="B15" s="457" t="s">
        <v>292</v>
      </c>
      <c r="C15" s="404" t="s">
        <v>256</v>
      </c>
      <c r="D15" s="283" t="s">
        <v>34</v>
      </c>
      <c r="E15" s="378" t="s">
        <v>33</v>
      </c>
    </row>
    <row r="16" spans="1:9" x14ac:dyDescent="0.25">
      <c r="A16" s="464" t="s">
        <v>293</v>
      </c>
      <c r="B16" s="457" t="s">
        <v>294</v>
      </c>
      <c r="C16" s="404" t="s">
        <v>256</v>
      </c>
      <c r="D16" s="283" t="s">
        <v>34</v>
      </c>
      <c r="E16" s="378" t="s">
        <v>33</v>
      </c>
    </row>
    <row r="17" spans="1:5" x14ac:dyDescent="0.25">
      <c r="A17" s="464" t="s">
        <v>295</v>
      </c>
      <c r="B17" s="457" t="s">
        <v>296</v>
      </c>
      <c r="C17" s="404" t="s">
        <v>256</v>
      </c>
      <c r="D17" s="283" t="s">
        <v>34</v>
      </c>
      <c r="E17" s="378" t="s">
        <v>33</v>
      </c>
    </row>
    <row r="18" spans="1:5" x14ac:dyDescent="0.25">
      <c r="A18" s="464" t="s">
        <v>297</v>
      </c>
      <c r="B18" s="457" t="s">
        <v>298</v>
      </c>
      <c r="C18" s="404" t="s">
        <v>256</v>
      </c>
      <c r="D18" s="283" t="s">
        <v>34</v>
      </c>
      <c r="E18" s="378" t="s">
        <v>33</v>
      </c>
    </row>
    <row r="19" spans="1:5" x14ac:dyDescent="0.25">
      <c r="A19" s="464" t="s">
        <v>299</v>
      </c>
      <c r="B19" s="457" t="s">
        <v>300</v>
      </c>
      <c r="C19" s="404" t="s">
        <v>256</v>
      </c>
      <c r="D19" s="283" t="s">
        <v>34</v>
      </c>
      <c r="E19" s="378" t="s">
        <v>33</v>
      </c>
    </row>
    <row r="20" spans="1:5" x14ac:dyDescent="0.25">
      <c r="A20" s="464" t="s">
        <v>301</v>
      </c>
      <c r="B20" s="457" t="s">
        <v>302</v>
      </c>
      <c r="C20" s="404" t="s">
        <v>256</v>
      </c>
      <c r="D20" s="283" t="s">
        <v>34</v>
      </c>
      <c r="E20" s="378" t="s">
        <v>33</v>
      </c>
    </row>
    <row r="21" spans="1:5" x14ac:dyDescent="0.25">
      <c r="A21" s="464" t="s">
        <v>303</v>
      </c>
      <c r="B21" s="457" t="s">
        <v>304</v>
      </c>
      <c r="C21" s="404" t="s">
        <v>256</v>
      </c>
      <c r="D21" s="283" t="s">
        <v>34</v>
      </c>
      <c r="E21" s="378" t="s">
        <v>33</v>
      </c>
    </row>
    <row r="22" spans="1:5" x14ac:dyDescent="0.25">
      <c r="A22" s="464" t="s">
        <v>305</v>
      </c>
      <c r="B22" s="457" t="s">
        <v>306</v>
      </c>
      <c r="C22" s="404" t="s">
        <v>256</v>
      </c>
      <c r="D22" s="283" t="s">
        <v>34</v>
      </c>
      <c r="E22" s="378" t="s">
        <v>33</v>
      </c>
    </row>
    <row r="23" spans="1:5" x14ac:dyDescent="0.25">
      <c r="A23" s="464" t="s">
        <v>307</v>
      </c>
      <c r="B23" s="457" t="s">
        <v>308</v>
      </c>
      <c r="C23" s="404" t="s">
        <v>256</v>
      </c>
      <c r="D23" s="283" t="s">
        <v>34</v>
      </c>
      <c r="E23" s="378" t="s">
        <v>33</v>
      </c>
    </row>
    <row r="24" spans="1:5" x14ac:dyDescent="0.25">
      <c r="A24" s="464" t="s">
        <v>309</v>
      </c>
      <c r="B24" s="457" t="s">
        <v>310</v>
      </c>
      <c r="C24" s="404" t="s">
        <v>256</v>
      </c>
      <c r="D24" s="283" t="s">
        <v>34</v>
      </c>
      <c r="E24" s="378" t="s">
        <v>33</v>
      </c>
    </row>
    <row r="25" spans="1:5" x14ac:dyDescent="0.25">
      <c r="A25" s="464" t="s">
        <v>311</v>
      </c>
      <c r="B25" s="457" t="s">
        <v>312</v>
      </c>
      <c r="C25" s="404" t="s">
        <v>256</v>
      </c>
      <c r="D25" s="283" t="s">
        <v>34</v>
      </c>
      <c r="E25" s="378" t="s">
        <v>33</v>
      </c>
    </row>
    <row r="26" spans="1:5" x14ac:dyDescent="0.25">
      <c r="A26" s="464" t="s">
        <v>313</v>
      </c>
      <c r="B26" s="457" t="s">
        <v>314</v>
      </c>
      <c r="C26" s="404" t="s">
        <v>256</v>
      </c>
      <c r="D26" s="283" t="s">
        <v>34</v>
      </c>
      <c r="E26" s="378" t="s">
        <v>33</v>
      </c>
    </row>
    <row r="27" spans="1:5" x14ac:dyDescent="0.25">
      <c r="A27" s="464" t="s">
        <v>315</v>
      </c>
      <c r="B27" s="457" t="s">
        <v>316</v>
      </c>
      <c r="C27" s="404" t="s">
        <v>256</v>
      </c>
      <c r="D27" s="283" t="s">
        <v>34</v>
      </c>
      <c r="E27" s="378" t="s">
        <v>33</v>
      </c>
    </row>
    <row r="28" spans="1:5" x14ac:dyDescent="0.25">
      <c r="A28" s="464" t="s">
        <v>317</v>
      </c>
      <c r="B28" s="457" t="s">
        <v>318</v>
      </c>
      <c r="C28" s="404" t="s">
        <v>256</v>
      </c>
      <c r="D28" s="283" t="s">
        <v>34</v>
      </c>
      <c r="E28" s="378" t="s">
        <v>33</v>
      </c>
    </row>
    <row r="29" spans="1:5" x14ac:dyDescent="0.25">
      <c r="A29" s="464" t="s">
        <v>319</v>
      </c>
      <c r="B29" s="457" t="s">
        <v>320</v>
      </c>
      <c r="C29" s="404" t="s">
        <v>256</v>
      </c>
      <c r="D29" s="283" t="s">
        <v>34</v>
      </c>
      <c r="E29" s="378" t="s">
        <v>33</v>
      </c>
    </row>
    <row r="30" spans="1:5" x14ac:dyDescent="0.25">
      <c r="A30" s="464" t="s">
        <v>321</v>
      </c>
      <c r="B30" s="457" t="s">
        <v>322</v>
      </c>
      <c r="C30" s="404" t="s">
        <v>256</v>
      </c>
      <c r="D30" s="283" t="s">
        <v>34</v>
      </c>
      <c r="E30" s="378" t="s">
        <v>33</v>
      </c>
    </row>
    <row r="31" spans="1:5" x14ac:dyDescent="0.25">
      <c r="A31" s="464" t="s">
        <v>323</v>
      </c>
      <c r="B31" s="457" t="s">
        <v>324</v>
      </c>
      <c r="C31" s="404" t="s">
        <v>256</v>
      </c>
      <c r="D31" s="283" t="s">
        <v>34</v>
      </c>
      <c r="E31" s="378" t="s">
        <v>33</v>
      </c>
    </row>
    <row r="32" spans="1:5" x14ac:dyDescent="0.25">
      <c r="A32" s="464" t="s">
        <v>325</v>
      </c>
      <c r="B32" s="457" t="s">
        <v>326</v>
      </c>
      <c r="C32" s="404" t="s">
        <v>256</v>
      </c>
      <c r="D32" s="283" t="s">
        <v>34</v>
      </c>
      <c r="E32" s="378" t="s">
        <v>33</v>
      </c>
    </row>
    <row r="33" spans="1:5" x14ac:dyDescent="0.25">
      <c r="A33" s="464" t="s">
        <v>327</v>
      </c>
      <c r="B33" s="457" t="s">
        <v>328</v>
      </c>
      <c r="C33" s="404" t="s">
        <v>256</v>
      </c>
      <c r="D33" s="283" t="s">
        <v>34</v>
      </c>
      <c r="E33" s="378" t="s">
        <v>33</v>
      </c>
    </row>
    <row r="34" spans="1:5" x14ac:dyDescent="0.25">
      <c r="A34" s="464" t="s">
        <v>329</v>
      </c>
      <c r="B34" s="457" t="s">
        <v>330</v>
      </c>
      <c r="C34" s="404" t="s">
        <v>256</v>
      </c>
      <c r="D34" s="283" t="s">
        <v>34</v>
      </c>
      <c r="E34" s="378" t="s">
        <v>33</v>
      </c>
    </row>
    <row r="35" spans="1:5" x14ac:dyDescent="0.25">
      <c r="A35" s="464" t="s">
        <v>331</v>
      </c>
      <c r="B35" s="457" t="s">
        <v>332</v>
      </c>
      <c r="C35" s="404" t="s">
        <v>256</v>
      </c>
      <c r="D35" s="283" t="s">
        <v>34</v>
      </c>
      <c r="E35" s="378" t="s">
        <v>33</v>
      </c>
    </row>
    <row r="36" spans="1:5" x14ac:dyDescent="0.25">
      <c r="A36" s="464" t="s">
        <v>333</v>
      </c>
      <c r="B36" s="457" t="s">
        <v>334</v>
      </c>
      <c r="C36" s="404" t="s">
        <v>256</v>
      </c>
      <c r="D36" s="283" t="s">
        <v>34</v>
      </c>
      <c r="E36" s="378" t="s">
        <v>33</v>
      </c>
    </row>
    <row r="37" spans="1:5" x14ac:dyDescent="0.25">
      <c r="A37" s="464" t="s">
        <v>335</v>
      </c>
      <c r="B37" s="457" t="s">
        <v>336</v>
      </c>
      <c r="C37" s="404" t="s">
        <v>256</v>
      </c>
      <c r="D37" s="283" t="s">
        <v>34</v>
      </c>
      <c r="E37" s="378" t="s">
        <v>33</v>
      </c>
    </row>
    <row r="38" spans="1:5" x14ac:dyDescent="0.25">
      <c r="A38" s="464" t="s">
        <v>337</v>
      </c>
      <c r="B38" s="457" t="s">
        <v>338</v>
      </c>
      <c r="C38" s="404" t="s">
        <v>256</v>
      </c>
      <c r="D38" s="283" t="s">
        <v>34</v>
      </c>
      <c r="E38" s="378" t="s">
        <v>33</v>
      </c>
    </row>
    <row r="39" spans="1:5" x14ac:dyDescent="0.25">
      <c r="A39" s="464" t="s">
        <v>339</v>
      </c>
      <c r="B39" s="457" t="s">
        <v>340</v>
      </c>
      <c r="C39" s="404" t="s">
        <v>256</v>
      </c>
      <c r="D39" s="283" t="s">
        <v>34</v>
      </c>
      <c r="E39" s="378" t="s">
        <v>33</v>
      </c>
    </row>
    <row r="40" spans="1:5" x14ac:dyDescent="0.25">
      <c r="A40" s="464" t="s">
        <v>341</v>
      </c>
      <c r="B40" s="457" t="s">
        <v>342</v>
      </c>
      <c r="C40" s="404" t="s">
        <v>256</v>
      </c>
      <c r="D40" s="283" t="s">
        <v>34</v>
      </c>
      <c r="E40" s="378" t="s">
        <v>33</v>
      </c>
    </row>
    <row r="41" spans="1:5" x14ac:dyDescent="0.25">
      <c r="A41" s="464" t="s">
        <v>343</v>
      </c>
      <c r="B41" s="457" t="s">
        <v>344</v>
      </c>
      <c r="C41" s="404" t="s">
        <v>256</v>
      </c>
      <c r="D41" s="283" t="s">
        <v>34</v>
      </c>
      <c r="E41" s="378" t="s">
        <v>33</v>
      </c>
    </row>
    <row r="42" spans="1:5" x14ac:dyDescent="0.25">
      <c r="A42" s="464" t="s">
        <v>345</v>
      </c>
      <c r="B42" s="457" t="s">
        <v>346</v>
      </c>
      <c r="C42" s="404" t="s">
        <v>256</v>
      </c>
      <c r="D42" s="283" t="s">
        <v>34</v>
      </c>
      <c r="E42" s="378" t="s">
        <v>33</v>
      </c>
    </row>
    <row r="43" spans="1:5" x14ac:dyDescent="0.25">
      <c r="A43" s="464" t="s">
        <v>347</v>
      </c>
      <c r="B43" s="457" t="s">
        <v>348</v>
      </c>
      <c r="C43" s="404" t="s">
        <v>256</v>
      </c>
      <c r="D43" s="283" t="s">
        <v>34</v>
      </c>
      <c r="E43" s="378" t="s">
        <v>33</v>
      </c>
    </row>
    <row r="44" spans="1:5" x14ac:dyDescent="0.25">
      <c r="A44" s="464" t="s">
        <v>349</v>
      </c>
      <c r="B44" s="457" t="s">
        <v>350</v>
      </c>
      <c r="C44" s="404" t="s">
        <v>256</v>
      </c>
      <c r="D44" s="283" t="s">
        <v>34</v>
      </c>
      <c r="E44" s="378" t="s">
        <v>33</v>
      </c>
    </row>
    <row r="45" spans="1:5" x14ac:dyDescent="0.25">
      <c r="A45" s="464" t="s">
        <v>351</v>
      </c>
      <c r="B45" s="457" t="s">
        <v>352</v>
      </c>
      <c r="C45" s="404" t="s">
        <v>256</v>
      </c>
      <c r="D45" s="283" t="s">
        <v>34</v>
      </c>
      <c r="E45" s="378" t="s">
        <v>33</v>
      </c>
    </row>
    <row r="46" spans="1:5" x14ac:dyDescent="0.25">
      <c r="A46" s="464" t="s">
        <v>353</v>
      </c>
      <c r="B46" s="457" t="s">
        <v>354</v>
      </c>
      <c r="C46" s="404" t="s">
        <v>256</v>
      </c>
      <c r="D46" s="283" t="s">
        <v>34</v>
      </c>
      <c r="E46" s="378" t="s">
        <v>33</v>
      </c>
    </row>
    <row r="47" spans="1:5" x14ac:dyDescent="0.25">
      <c r="A47" s="464" t="s">
        <v>355</v>
      </c>
      <c r="B47" s="457" t="s">
        <v>356</v>
      </c>
      <c r="C47" s="404" t="s">
        <v>256</v>
      </c>
      <c r="D47" s="283" t="s">
        <v>34</v>
      </c>
      <c r="E47" s="378" t="s">
        <v>33</v>
      </c>
    </row>
    <row r="48" spans="1:5" x14ac:dyDescent="0.25">
      <c r="A48" s="464" t="s">
        <v>357</v>
      </c>
      <c r="B48" s="457" t="s">
        <v>358</v>
      </c>
      <c r="C48" s="404" t="s">
        <v>256</v>
      </c>
      <c r="D48" s="283" t="s">
        <v>34</v>
      </c>
      <c r="E48" s="378" t="s">
        <v>33</v>
      </c>
    </row>
    <row r="49" spans="1:5" x14ac:dyDescent="0.25">
      <c r="A49" s="464" t="s">
        <v>359</v>
      </c>
      <c r="B49" s="457" t="s">
        <v>360</v>
      </c>
      <c r="C49" s="404" t="s">
        <v>256</v>
      </c>
      <c r="D49" s="283" t="s">
        <v>34</v>
      </c>
      <c r="E49" s="378" t="s">
        <v>33</v>
      </c>
    </row>
    <row r="50" spans="1:5" x14ac:dyDescent="0.25">
      <c r="A50" s="464" t="s">
        <v>361</v>
      </c>
      <c r="B50" s="457" t="s">
        <v>362</v>
      </c>
      <c r="C50" s="404" t="s">
        <v>256</v>
      </c>
      <c r="D50" s="283" t="s">
        <v>34</v>
      </c>
      <c r="E50" s="378" t="s">
        <v>33</v>
      </c>
    </row>
    <row r="51" spans="1:5" x14ac:dyDescent="0.25">
      <c r="A51" s="464" t="s">
        <v>363</v>
      </c>
      <c r="B51" s="457" t="s">
        <v>364</v>
      </c>
      <c r="C51" s="404" t="s">
        <v>256</v>
      </c>
      <c r="D51" s="283" t="s">
        <v>34</v>
      </c>
      <c r="E51" s="378" t="s">
        <v>33</v>
      </c>
    </row>
    <row r="52" spans="1:5" x14ac:dyDescent="0.25">
      <c r="A52" s="464" t="s">
        <v>365</v>
      </c>
      <c r="B52" s="457" t="s">
        <v>366</v>
      </c>
      <c r="C52" s="404" t="s">
        <v>256</v>
      </c>
      <c r="D52" s="283" t="s">
        <v>34</v>
      </c>
      <c r="E52" s="378" t="s">
        <v>33</v>
      </c>
    </row>
    <row r="53" spans="1:5" x14ac:dyDescent="0.25">
      <c r="A53" s="458" t="s">
        <v>367</v>
      </c>
      <c r="B53" s="457" t="s">
        <v>368</v>
      </c>
      <c r="C53" s="404" t="s">
        <v>256</v>
      </c>
      <c r="D53" s="283" t="s">
        <v>34</v>
      </c>
      <c r="E53" s="378" t="s">
        <v>33</v>
      </c>
    </row>
    <row r="54" spans="1:5" x14ac:dyDescent="0.25">
      <c r="A54" s="458" t="s">
        <v>369</v>
      </c>
      <c r="B54" s="457" t="s">
        <v>370</v>
      </c>
      <c r="C54" s="404" t="s">
        <v>256</v>
      </c>
      <c r="D54" s="283" t="s">
        <v>34</v>
      </c>
      <c r="E54" s="378" t="s">
        <v>33</v>
      </c>
    </row>
    <row r="55" spans="1:5" x14ac:dyDescent="0.25">
      <c r="A55" s="464" t="s">
        <v>371</v>
      </c>
      <c r="B55" s="459" t="s">
        <v>372</v>
      </c>
      <c r="C55" s="404" t="s">
        <v>256</v>
      </c>
      <c r="D55" s="283" t="s">
        <v>34</v>
      </c>
      <c r="E55" s="378" t="s">
        <v>33</v>
      </c>
    </row>
    <row r="56" spans="1:5" x14ac:dyDescent="0.25">
      <c r="A56" s="464" t="s">
        <v>373</v>
      </c>
      <c r="B56" s="459" t="s">
        <v>374</v>
      </c>
      <c r="C56" s="404" t="s">
        <v>256</v>
      </c>
      <c r="D56" s="283" t="s">
        <v>34</v>
      </c>
      <c r="E56" s="378" t="s">
        <v>33</v>
      </c>
    </row>
    <row r="57" spans="1:5" x14ac:dyDescent="0.25">
      <c r="A57" s="464" t="s">
        <v>375</v>
      </c>
      <c r="B57" s="459" t="s">
        <v>376</v>
      </c>
      <c r="C57" s="404" t="s">
        <v>256</v>
      </c>
      <c r="D57" s="283" t="s">
        <v>34</v>
      </c>
      <c r="E57" s="378" t="s">
        <v>33</v>
      </c>
    </row>
    <row r="58" spans="1:5" x14ac:dyDescent="0.25">
      <c r="A58" s="464" t="s">
        <v>377</v>
      </c>
      <c r="B58" s="459" t="s">
        <v>378</v>
      </c>
      <c r="C58" s="404" t="s">
        <v>256</v>
      </c>
      <c r="D58" s="283" t="s">
        <v>34</v>
      </c>
      <c r="E58" s="378" t="s">
        <v>33</v>
      </c>
    </row>
    <row r="59" spans="1:5" x14ac:dyDescent="0.25">
      <c r="A59" s="460" t="s">
        <v>379</v>
      </c>
      <c r="B59" s="459" t="s">
        <v>380</v>
      </c>
      <c r="C59" s="404" t="s">
        <v>256</v>
      </c>
      <c r="D59" s="283" t="s">
        <v>34</v>
      </c>
      <c r="E59" s="378" t="s">
        <v>33</v>
      </c>
    </row>
    <row r="60" spans="1:5" x14ac:dyDescent="0.25">
      <c r="A60" s="460" t="s">
        <v>381</v>
      </c>
      <c r="B60" s="459" t="s">
        <v>382</v>
      </c>
      <c r="C60" s="404" t="s">
        <v>256</v>
      </c>
      <c r="D60" s="283" t="s">
        <v>34</v>
      </c>
      <c r="E60" s="378" t="s">
        <v>33</v>
      </c>
    </row>
    <row r="61" spans="1:5" x14ac:dyDescent="0.25">
      <c r="A61" s="460" t="s">
        <v>383</v>
      </c>
      <c r="B61" s="459" t="s">
        <v>259</v>
      </c>
      <c r="C61" s="404" t="s">
        <v>256</v>
      </c>
      <c r="D61" s="283" t="s">
        <v>34</v>
      </c>
      <c r="E61" s="378" t="s">
        <v>33</v>
      </c>
    </row>
    <row r="62" spans="1:5" x14ac:dyDescent="0.25">
      <c r="A62" s="460" t="s">
        <v>384</v>
      </c>
      <c r="B62" s="459" t="s">
        <v>385</v>
      </c>
      <c r="C62" s="404" t="s">
        <v>256</v>
      </c>
      <c r="D62" s="283" t="s">
        <v>34</v>
      </c>
      <c r="E62" s="378" t="s">
        <v>33</v>
      </c>
    </row>
    <row r="63" spans="1:5" ht="15.75" thickBot="1" x14ac:dyDescent="0.3">
      <c r="A63" s="565" t="s">
        <v>386</v>
      </c>
      <c r="B63" s="466" t="s">
        <v>387</v>
      </c>
      <c r="C63" s="404" t="s">
        <v>256</v>
      </c>
      <c r="D63" s="405" t="s">
        <v>34</v>
      </c>
      <c r="E63" s="378" t="s">
        <v>33</v>
      </c>
    </row>
    <row r="64" spans="1:5" ht="15.75" thickBot="1" x14ac:dyDescent="0.3">
      <c r="A64" s="566" t="s">
        <v>388</v>
      </c>
      <c r="B64" s="564" t="s">
        <v>389</v>
      </c>
      <c r="C64" s="404" t="s">
        <v>256</v>
      </c>
      <c r="D64" s="405" t="s">
        <v>34</v>
      </c>
      <c r="E64" s="378" t="s">
        <v>33</v>
      </c>
    </row>
    <row r="65" spans="1:5" x14ac:dyDescent="0.25">
      <c r="A65" s="566" t="s">
        <v>390</v>
      </c>
      <c r="B65" s="459" t="s">
        <v>391</v>
      </c>
      <c r="C65" s="404" t="s">
        <v>256</v>
      </c>
      <c r="D65" s="283" t="s">
        <v>34</v>
      </c>
      <c r="E65" s="378" t="s">
        <v>33</v>
      </c>
    </row>
    <row r="66" spans="1:5" x14ac:dyDescent="0.25">
      <c r="A66" s="566" t="s">
        <v>392</v>
      </c>
      <c r="B66" s="459" t="s">
        <v>393</v>
      </c>
      <c r="C66" s="404" t="s">
        <v>256</v>
      </c>
      <c r="D66" s="283" t="s">
        <v>34</v>
      </c>
      <c r="E66" s="378" t="s">
        <v>33</v>
      </c>
    </row>
    <row r="67" spans="1:5" x14ac:dyDescent="0.25">
      <c r="A67" s="566" t="s">
        <v>394</v>
      </c>
      <c r="B67" s="459" t="s">
        <v>395</v>
      </c>
      <c r="C67" s="404" t="s">
        <v>256</v>
      </c>
      <c r="D67" s="283" t="s">
        <v>34</v>
      </c>
      <c r="E67" s="378" t="s">
        <v>33</v>
      </c>
    </row>
    <row r="68" spans="1:5" x14ac:dyDescent="0.25">
      <c r="A68" s="566" t="s">
        <v>396</v>
      </c>
      <c r="B68" s="459" t="s">
        <v>397</v>
      </c>
      <c r="C68" s="404" t="s">
        <v>256</v>
      </c>
      <c r="D68" s="283" t="s">
        <v>34</v>
      </c>
      <c r="E68" s="378" t="s">
        <v>33</v>
      </c>
    </row>
    <row r="69" spans="1:5" x14ac:dyDescent="0.25">
      <c r="A69" s="566" t="s">
        <v>398</v>
      </c>
      <c r="B69" s="459" t="s">
        <v>399</v>
      </c>
      <c r="C69" s="404" t="s">
        <v>256</v>
      </c>
      <c r="D69" s="283" t="s">
        <v>34</v>
      </c>
      <c r="E69" s="378" t="s">
        <v>33</v>
      </c>
    </row>
    <row r="70" spans="1:5" x14ac:dyDescent="0.25">
      <c r="A70" s="566" t="s">
        <v>400</v>
      </c>
      <c r="B70" s="459" t="s">
        <v>401</v>
      </c>
      <c r="C70" s="404" t="s">
        <v>256</v>
      </c>
      <c r="D70" s="283" t="s">
        <v>34</v>
      </c>
      <c r="E70" s="378" t="s">
        <v>33</v>
      </c>
    </row>
    <row r="71" spans="1:5" x14ac:dyDescent="0.25">
      <c r="A71" s="464" t="s">
        <v>402</v>
      </c>
      <c r="B71" s="457" t="s">
        <v>403</v>
      </c>
      <c r="C71" s="404" t="s">
        <v>256</v>
      </c>
      <c r="D71" s="283" t="s">
        <v>34</v>
      </c>
      <c r="E71" s="378" t="s">
        <v>33</v>
      </c>
    </row>
    <row r="72" spans="1:5" ht="14.1" customHeight="1" x14ac:dyDescent="0.25">
      <c r="A72" s="464" t="s">
        <v>404</v>
      </c>
      <c r="B72" s="457" t="s">
        <v>405</v>
      </c>
      <c r="C72" s="404" t="s">
        <v>256</v>
      </c>
      <c r="D72" s="283" t="s">
        <v>34</v>
      </c>
      <c r="E72" s="378" t="s">
        <v>33</v>
      </c>
    </row>
    <row r="73" spans="1:5" ht="14.1" customHeight="1" x14ac:dyDescent="0.25">
      <c r="A73" s="464" t="s">
        <v>406</v>
      </c>
      <c r="B73" s="457" t="s">
        <v>407</v>
      </c>
      <c r="C73" s="404" t="s">
        <v>256</v>
      </c>
      <c r="D73" s="283" t="s">
        <v>34</v>
      </c>
      <c r="E73" s="378" t="s">
        <v>33</v>
      </c>
    </row>
    <row r="74" spans="1:5" ht="14.1" customHeight="1" x14ac:dyDescent="0.25">
      <c r="A74" s="464" t="s">
        <v>408</v>
      </c>
      <c r="B74" s="457" t="s">
        <v>409</v>
      </c>
      <c r="C74" s="404" t="s">
        <v>256</v>
      </c>
      <c r="D74" s="283" t="s">
        <v>34</v>
      </c>
      <c r="E74" s="378" t="s">
        <v>33</v>
      </c>
    </row>
    <row r="75" spans="1:5" ht="14.1" customHeight="1" x14ac:dyDescent="0.25">
      <c r="A75" s="464" t="s">
        <v>410</v>
      </c>
      <c r="B75" s="457" t="s">
        <v>411</v>
      </c>
      <c r="C75" s="404" t="s">
        <v>256</v>
      </c>
      <c r="D75" s="283" t="s">
        <v>34</v>
      </c>
      <c r="E75" s="378" t="s">
        <v>33</v>
      </c>
    </row>
    <row r="76" spans="1:5" ht="14.1" customHeight="1" x14ac:dyDescent="0.25">
      <c r="A76" s="464" t="s">
        <v>412</v>
      </c>
      <c r="B76" s="457" t="s">
        <v>413</v>
      </c>
      <c r="C76" s="404" t="s">
        <v>256</v>
      </c>
      <c r="D76" s="283" t="s">
        <v>34</v>
      </c>
      <c r="E76" s="378" t="s">
        <v>33</v>
      </c>
    </row>
    <row r="77" spans="1:5" ht="14.1" customHeight="1" x14ac:dyDescent="0.25">
      <c r="A77" s="464" t="s">
        <v>414</v>
      </c>
      <c r="B77" s="457" t="s">
        <v>415</v>
      </c>
      <c r="C77" s="404" t="s">
        <v>256</v>
      </c>
      <c r="D77" s="283" t="s">
        <v>34</v>
      </c>
      <c r="E77" s="378" t="s">
        <v>33</v>
      </c>
    </row>
    <row r="78" spans="1:5" x14ac:dyDescent="0.25">
      <c r="A78" s="464" t="s">
        <v>416</v>
      </c>
      <c r="B78" s="457" t="s">
        <v>417</v>
      </c>
      <c r="C78" s="404" t="s">
        <v>256</v>
      </c>
      <c r="D78" s="283" t="s">
        <v>34</v>
      </c>
      <c r="E78" s="378" t="s">
        <v>33</v>
      </c>
    </row>
    <row r="79" spans="1:5" x14ac:dyDescent="0.25">
      <c r="A79" s="464" t="s">
        <v>418</v>
      </c>
      <c r="B79" s="457" t="s">
        <v>419</v>
      </c>
      <c r="C79" s="404" t="s">
        <v>256</v>
      </c>
      <c r="D79" s="283" t="s">
        <v>34</v>
      </c>
      <c r="E79" s="378" t="s">
        <v>33</v>
      </c>
    </row>
    <row r="80" spans="1:5" x14ac:dyDescent="0.25">
      <c r="A80" s="464" t="s">
        <v>420</v>
      </c>
      <c r="B80" s="457" t="s">
        <v>421</v>
      </c>
      <c r="C80" s="404" t="s">
        <v>256</v>
      </c>
      <c r="D80" s="283" t="s">
        <v>34</v>
      </c>
      <c r="E80" s="378" t="s">
        <v>33</v>
      </c>
    </row>
    <row r="81" spans="1:5" x14ac:dyDescent="0.25">
      <c r="A81" s="464" t="s">
        <v>422</v>
      </c>
      <c r="B81" s="457" t="s">
        <v>423</v>
      </c>
      <c r="C81" s="404" t="s">
        <v>256</v>
      </c>
      <c r="D81" s="283" t="s">
        <v>34</v>
      </c>
      <c r="E81" s="378" t="s">
        <v>33</v>
      </c>
    </row>
    <row r="82" spans="1:5" x14ac:dyDescent="0.25">
      <c r="A82" s="464" t="s">
        <v>424</v>
      </c>
      <c r="B82" s="457" t="s">
        <v>425</v>
      </c>
      <c r="C82" s="404" t="s">
        <v>256</v>
      </c>
      <c r="D82" s="283" t="s">
        <v>34</v>
      </c>
      <c r="E82" s="378" t="s">
        <v>33</v>
      </c>
    </row>
    <row r="83" spans="1:5" x14ac:dyDescent="0.25">
      <c r="A83" s="464" t="s">
        <v>426</v>
      </c>
      <c r="B83" s="457" t="s">
        <v>427</v>
      </c>
      <c r="C83" s="404" t="s">
        <v>256</v>
      </c>
      <c r="D83" s="283" t="s">
        <v>34</v>
      </c>
      <c r="E83" s="378" t="s">
        <v>33</v>
      </c>
    </row>
    <row r="84" spans="1:5" x14ac:dyDescent="0.25">
      <c r="A84" s="566" t="s">
        <v>428</v>
      </c>
      <c r="B84" s="457" t="s">
        <v>429</v>
      </c>
      <c r="C84" s="404" t="s">
        <v>256</v>
      </c>
      <c r="D84" s="283" t="s">
        <v>34</v>
      </c>
      <c r="E84" s="378" t="s">
        <v>33</v>
      </c>
    </row>
    <row r="85" spans="1:5" x14ac:dyDescent="0.25">
      <c r="A85" s="566" t="s">
        <v>430</v>
      </c>
      <c r="B85" s="457" t="s">
        <v>431</v>
      </c>
      <c r="C85" s="404" t="s">
        <v>256</v>
      </c>
      <c r="D85" s="283" t="s">
        <v>34</v>
      </c>
      <c r="E85" s="378" t="s">
        <v>33</v>
      </c>
    </row>
  </sheetData>
  <autoFilter ref="A2:E63" xr:uid="{2E753270-8E41-4CC5-97C2-EE4540C41FD1}"/>
  <mergeCells count="5">
    <mergeCell ref="G4:G6"/>
    <mergeCell ref="G7:G10"/>
    <mergeCell ref="G11:G13"/>
    <mergeCell ref="H14:I14"/>
    <mergeCell ref="A1:I1"/>
  </mergeCells>
  <phoneticPr fontId="30" type="noConversion"/>
  <hyperlinks>
    <hyperlink ref="A3" r:id="rId1" display="http://ontrack-internal.amd.com/browse/PMFW-1808" xr:uid="{472FDA5D-CFDC-4303-A314-F7C2BE500743}"/>
    <hyperlink ref="A4" r:id="rId2" display="http://ontrack-internal.amd.com/browse/PMFW-1818" xr:uid="{D31815BF-2176-45AB-B365-6B475DDF7AD5}"/>
    <hyperlink ref="A7" r:id="rId3" display="http://ontrack-internal.amd.com/browse/PMFW-1824" xr:uid="{B549FEE2-200B-4354-83ED-77814FA7F334}"/>
    <hyperlink ref="A6" r:id="rId4" display="http://ontrack-internal.amd.com/browse/PMFW-1823" xr:uid="{C37608B0-1AD9-4786-803B-C2CC8F0926D6}"/>
    <hyperlink ref="A5" r:id="rId5" display="http://ontrack-internal.amd.com/browse/PMFW-1922" xr:uid="{802BEDED-E343-42DE-934A-0B7552D60B01}"/>
    <hyperlink ref="A10" r:id="rId6" display="http://ontrack-internal.amd.com/browse/PMFW-1831" xr:uid="{2F0AB2C0-455D-4C22-8DA9-76CAB6E36CE1}"/>
    <hyperlink ref="A9" r:id="rId7" display="http://ontrack-internal.amd.com/browse/PMFW-1828" xr:uid="{579AA26E-FE45-42E0-82EB-71923919AE03}"/>
    <hyperlink ref="A8" r:id="rId8" display="http://ontrack-internal.amd.com/browse/PMFW-1828" xr:uid="{E4B51433-E413-4D41-84E5-EB4B8758447F}"/>
    <hyperlink ref="A12" r:id="rId9" display="http://ontrack-internal.amd.com/browse/PMFW-1842" xr:uid="{DA47F3ED-CABC-4964-A21F-3064476707FA}"/>
    <hyperlink ref="A13" r:id="rId10" display="http://ontrack-internal.amd.com/browse/PMFW-1847" xr:uid="{2164AA59-90C8-4BBA-90E3-FEAC5FDE23FA}"/>
    <hyperlink ref="A14" r:id="rId11" display="http://ontrack-internal.amd.com/browse/PMFW-1849" xr:uid="{0161D693-47AD-40A4-958D-B68F15BB8A77}"/>
    <hyperlink ref="A16" r:id="rId12" display="http://ontrack-internal.amd.com/browse/PMFW-1853" xr:uid="{B57CB7D3-750F-41EE-A5F3-C7B49B2C1191}"/>
    <hyperlink ref="A15" r:id="rId13" display="http://ontrack-internal.amd.com/browse/PMFW-1851" xr:uid="{21896BEE-40EA-4720-A2D4-5B289DD8CDBB}"/>
    <hyperlink ref="A17" r:id="rId14" display="http://ontrack-internal.amd.com/browse/PMFW-1856" xr:uid="{1D1066B1-0CD2-470F-9326-95D98A3E50ED}"/>
    <hyperlink ref="A18" r:id="rId15" display="http://ontrack-internal.amd.com/browse/PMFW-1866" xr:uid="{39062E60-2DF0-494B-8D14-7B8F06C226FF}"/>
    <hyperlink ref="A19" r:id="rId16" display="http://ontrack-internal.amd.com/browse/PMFW-11875" xr:uid="{02D266AC-9187-4908-A1BF-D59C20D6D3E8}"/>
    <hyperlink ref="A24" r:id="rId17" display="http://ontrack-internal.amd.com/browse/PMFW-1883" xr:uid="{C8FF9FE5-C438-4366-A5E2-6B3931B0D138}"/>
    <hyperlink ref="A23" r:id="rId18" display="http://ontrack-internal.amd.com/browse/PMFW-1882" xr:uid="{309F7639-B00A-4032-BDB7-706FFB85D8DE}"/>
    <hyperlink ref="A22" r:id="rId19" display="http://ontrack-internal.amd.com/browse/PMFW-1881" xr:uid="{B845127C-5A63-4703-89D5-0E7EE18A26B8}"/>
    <hyperlink ref="A21" r:id="rId20" display="http://ontrack-internal.amd.com/browse/PMFW-1880" xr:uid="{805DA877-A904-4F4C-AAE4-13E375126FA6}"/>
    <hyperlink ref="A20" r:id="rId21" display="http://ontrack-internal.amd.com/browse/PMFW-1879" xr:uid="{38EC51F7-7D41-4F0A-B464-526A7943DFD0}"/>
    <hyperlink ref="A25" r:id="rId22" display="http://ontrack-internal.amd.com/browse/PMFW-1889" xr:uid="{52D3B7EF-8EB8-437D-BD08-E1EA24338475}"/>
    <hyperlink ref="A26" r:id="rId23" display="http://ontrack-internal.amd.com/browse/PMFW-1891" xr:uid="{AD44F6A5-3D32-4DC8-BC1D-1809AA3EC63C}"/>
    <hyperlink ref="A37" r:id="rId24" display="http://ontrack-internal.amd.com/browse/PMFW-1910" xr:uid="{A2767FF1-3E5C-437F-949B-9339AEE78560}"/>
    <hyperlink ref="A36" r:id="rId25" display="http://ontrack-internal.amd.com/browse/PMFW-1908" xr:uid="{57353FCF-2E30-46D8-AB5B-F20356962B0D}"/>
    <hyperlink ref="A35" r:id="rId26" display="http://ontrack-internal.amd.com/browse/PMFW-1907" xr:uid="{8C597995-3875-44C3-9E5A-766593F5395A}"/>
    <hyperlink ref="A34" r:id="rId27" display="http://ontrack-internal.amd.com/browse/PMFW-1906" xr:uid="{3C4B1B4E-CE18-45B7-AE7D-E17282577BD9}"/>
    <hyperlink ref="A33" r:id="rId28" display="http://ontrack-internal.amd.com/browse/PMFW-1905" xr:uid="{4EEB9C6B-CE29-4D22-9377-E91C6AC5DC78}"/>
    <hyperlink ref="A32" r:id="rId29" display="http://ontrack-internal.amd.com/browse/PMFW-1903" xr:uid="{563FFC63-F9DC-4B9E-BEB5-43138E765554}"/>
    <hyperlink ref="A31" r:id="rId30" display="http://ontrack-internal.amd.com/browse/PMFW-1902" xr:uid="{C980E48F-618E-459A-A582-D0F2239FF462}"/>
    <hyperlink ref="A30" r:id="rId31" display="http://ontrack-internal.amd.com/browse/PMFW-1901" xr:uid="{2063B271-C2A0-486F-96EB-0EAC3F5C2C06}"/>
    <hyperlink ref="A29" r:id="rId32" display="http://ontrack-internal.amd.com/browse/PMFW-1898" xr:uid="{39AAFD16-D510-48A3-812D-CD7899895DC1}"/>
    <hyperlink ref="A28" r:id="rId33" display="http://ontrack-internal.amd.com/browse/PMFW-1897" xr:uid="{E2C889D2-68BC-44FA-8F74-BD27CD3CA18A}"/>
    <hyperlink ref="A27" r:id="rId34" display="http://ontrack-internal.amd.com/browse/PMFW-1896" xr:uid="{70F0D2FF-017A-47A3-A83F-0A2912A4DA4D}"/>
    <hyperlink ref="A45" r:id="rId35" display="http://ontrack-internal.amd.com/browse/PMFW-1929" xr:uid="{5EA707D2-68A5-45D6-9AE7-85F21BC817D5}"/>
    <hyperlink ref="A44" r:id="rId36" display="http://ontrack-internal.amd.com/browse/PMFW-1928" xr:uid="{BB7FD5B9-FA6B-45E7-BE72-391745086C19}"/>
    <hyperlink ref="A43" r:id="rId37" display="http://ontrack-internal.amd.com/browse/PMFW-1927" xr:uid="{C469F35E-0D2B-4120-AAF1-05057BF6ADF4}"/>
    <hyperlink ref="A42" r:id="rId38" display="http://ontrack-internal.amd.com/browse/PMFW-1926" xr:uid="{7F3759AE-6929-4B07-A8EE-630EEDD192A4}"/>
    <hyperlink ref="A41" r:id="rId39" display="http://ontrack-internal.amd.com/browse/PMFW-1925" xr:uid="{82784D0F-DE37-43B2-8D80-01F4444B93AB}"/>
    <hyperlink ref="A40" r:id="rId40" display="http://ontrack-internal.amd.com/browse/PMFW-1924" xr:uid="{9DE721F5-4FA7-47D1-88CE-64149DC61999}"/>
    <hyperlink ref="A39" r:id="rId41" display="http://ontrack-internal.amd.com/browse/PMFW-1923" xr:uid="{33596491-9D11-4FF4-894D-7CB9521A8E66}"/>
    <hyperlink ref="A38" r:id="rId42" display="http://ontrack-internal.amd.com/browse/PMFW-1922" xr:uid="{DC78704F-141E-4E21-A445-6F5C11352897}"/>
    <hyperlink ref="A48" r:id="rId43" display="http://ontrack-internal.amd.com/browse/PMFW-1934" xr:uid="{83BFEC0F-8EA1-48B0-A81C-B4AAD3583699}"/>
    <hyperlink ref="A47" r:id="rId44" display="http://ontrack-internal.amd.com/browse/PMFW-1932" xr:uid="{C4433C2E-5FDD-4534-9156-93533515B12E}"/>
    <hyperlink ref="A46" r:id="rId45" display="http://ontrack-internal.amd.com/browse/PMFW-1921" xr:uid="{695CD294-E559-4DF1-B5AC-3DBE3D4141A1}"/>
    <hyperlink ref="A52" r:id="rId46" display="http://ontrack-internal.amd.com/browse/PMFW-1939" xr:uid="{0B5BCA2A-043A-4473-AC15-263E3ED64EAD}"/>
    <hyperlink ref="A51" r:id="rId47" display="http://ontrack-internal.amd.com/browse/PMFW-1938" xr:uid="{30865BEB-4549-4CF7-B94E-27B5B4F2E7FD}"/>
    <hyperlink ref="A50" r:id="rId48" display="http://ontrack-internal.amd.com/browse/PMFW-1937" xr:uid="{F23F7D78-2CC1-4AB0-99B7-EF995A57F9BE}"/>
    <hyperlink ref="A49" r:id="rId49" display="http://ontrack-internal.amd.com/browse/PMFW-1936" xr:uid="{4452E3FE-AFDE-4D2E-9D63-45C6F494C6AF}"/>
    <hyperlink ref="A59" r:id="rId50" xr:uid="{2EC6A967-D018-442F-B99D-D7D00845BE14}"/>
    <hyperlink ref="A60" r:id="rId51" xr:uid="{2F749ADF-1AF4-401C-A2CC-17044B706416}"/>
    <hyperlink ref="A62" r:id="rId52" xr:uid="{C363921A-0AEB-44B4-B57E-35E2599C5596}"/>
    <hyperlink ref="A63" r:id="rId53" xr:uid="{45F56CE2-33E0-4355-92A9-8C5EB3DC3913}"/>
    <hyperlink ref="A64" r:id="rId54" display="http://ontrack-internal.amd.com/browse/PMFW-5490" xr:uid="{BF0402EC-E738-456D-81ED-B2D42899181A}"/>
    <hyperlink ref="A66" r:id="rId55" display="http://ontrack-internal.amd.com/browse/PMFW-5497" xr:uid="{33BDA21E-1B31-4F0B-B363-D275724BCA14}"/>
    <hyperlink ref="A65" r:id="rId56" display="http://ontrack-internal.amd.com/browse/PMFW-5489" xr:uid="{D2AD67C1-5BA4-47B6-89B6-F6868561917C}"/>
    <hyperlink ref="A67" r:id="rId57" xr:uid="{93E9C7AE-03F4-4EB8-8594-7363222CAC92}"/>
    <hyperlink ref="A11" r:id="rId58" display="http://ontrack-internal.amd.com/browse/PMFW-5400" xr:uid="{1AF94CD6-0817-4F45-A385-75C458DBAE69}"/>
    <hyperlink ref="A68" r:id="rId59" xr:uid="{C48DB285-9709-4C6C-B50C-9CAD6A4F4E9C}"/>
    <hyperlink ref="A69" r:id="rId60" xr:uid="{ED0D1D07-D85E-451A-BAC3-8DB3ED2CBEE2}"/>
    <hyperlink ref="A70" r:id="rId61" xr:uid="{8CD95EE7-F3CF-4BE8-AEB8-7E8E82833809}"/>
    <hyperlink ref="A71" r:id="rId62" xr:uid="{66930698-CDBF-4BDA-B774-7756EAB0BAB4}"/>
    <hyperlink ref="A72" r:id="rId63" xr:uid="{0EA31B2C-0431-4BFE-A329-21B1F2B12BD5}"/>
    <hyperlink ref="A73" r:id="rId64" xr:uid="{698F73DE-CD9F-47F1-963F-9A6E1E9496DE}"/>
    <hyperlink ref="A61" r:id="rId65" xr:uid="{10A1B5C9-D84D-4AED-B073-60455E11CD34}"/>
    <hyperlink ref="A76" r:id="rId66" xr:uid="{63BC23E0-9E35-40A2-9D82-42B47ED2B429}"/>
    <hyperlink ref="A77" r:id="rId67" xr:uid="{727CC3C2-8ED0-453C-B1B2-78D861F04F70}"/>
    <hyperlink ref="A82" r:id="rId68" display="https://ontrack-internal.amd.com/browse/PMFW-11886" xr:uid="{779D17F5-A0CC-42EB-90D7-451C835CB36C}"/>
    <hyperlink ref="A84" r:id="rId69" xr:uid="{B0E5B57E-957C-4C09-9BDC-0BE8C23DCD4C}"/>
    <hyperlink ref="A85" r:id="rId70" xr:uid="{DBE1A357-E042-45DF-AAD0-56364B4DD866}"/>
  </hyperlinks>
  <pageMargins left="0.7" right="0.7" top="0.75" bottom="0.75" header="0.3" footer="0.3"/>
  <pageSetup orientation="portrait" r:id="rId71"/>
  <headerFooter>
    <oddHeader>&amp;L&amp;"Arial"&amp;10&amp;K0000FF[AMD Official Use Only]&amp;1#</oddHeader>
  </headerFooter>
  <legacyDrawing r:id="rId7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D3:D85</xm:sqref>
        </x14:dataValidation>
        <x14:dataValidation type="list" allowBlank="1" showInputMessage="1" showErrorMessage="1" xr:uid="{AA1AC074-A7B7-4C8D-9132-118B458773B2}">
          <x14:formula1>
            <xm:f>'List Options'!$G$1:$G$3</xm:f>
          </x14:formula1>
          <xm:sqref>E3:E85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432</v>
      </c>
      <c r="C1" s="36" t="s">
        <v>433</v>
      </c>
      <c r="D1" s="36" t="s">
        <v>434</v>
      </c>
      <c r="E1" s="36" t="s">
        <v>435</v>
      </c>
      <c r="F1" s="36" t="s">
        <v>436</v>
      </c>
      <c r="G1" s="37" t="s">
        <v>437</v>
      </c>
      <c r="H1" s="12"/>
      <c r="I1" s="12"/>
      <c r="J1" s="12"/>
      <c r="K1" s="12"/>
      <c r="L1" s="13"/>
      <c r="M1" s="1"/>
      <c r="N1" s="11"/>
      <c r="X1" s="11"/>
      <c r="AB1" s="680" t="s">
        <v>438</v>
      </c>
      <c r="AM1" s="680" t="s">
        <v>439</v>
      </c>
    </row>
    <row r="2" spans="1:40" s="14" customFormat="1" ht="12" x14ac:dyDescent="0.2">
      <c r="A2" s="35" t="s">
        <v>440</v>
      </c>
      <c r="B2" s="15">
        <v>42994</v>
      </c>
      <c r="C2" s="15">
        <v>43190</v>
      </c>
      <c r="D2" s="16" t="e">
        <f>#REF!</f>
        <v>#REF!</v>
      </c>
      <c r="E2" s="16" t="e">
        <f>#REF!</f>
        <v>#REF!</v>
      </c>
      <c r="F2" s="16">
        <f>(C2-B2)/7</f>
        <v>28</v>
      </c>
      <c r="G2" s="17" t="e">
        <f>E2/F2</f>
        <v>#REF!</v>
      </c>
      <c r="H2" s="18"/>
      <c r="I2" s="18"/>
      <c r="J2" s="18"/>
      <c r="K2" s="18"/>
      <c r="L2" s="19"/>
      <c r="M2" s="20"/>
      <c r="N2" s="21"/>
      <c r="X2" s="21"/>
      <c r="AB2" s="681"/>
      <c r="AM2" s="68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2" t="s">
        <v>441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83"/>
      <c r="B5" s="47" t="s">
        <v>442</v>
      </c>
      <c r="C5" s="47" t="s">
        <v>443</v>
      </c>
      <c r="D5" s="47" t="s">
        <v>444</v>
      </c>
      <c r="E5" s="47" t="s">
        <v>445</v>
      </c>
      <c r="F5" s="47" t="s">
        <v>446</v>
      </c>
      <c r="G5" s="47" t="s">
        <v>447</v>
      </c>
      <c r="H5" s="47" t="s">
        <v>448</v>
      </c>
      <c r="I5" s="47" t="s">
        <v>449</v>
      </c>
      <c r="J5" s="47" t="s">
        <v>450</v>
      </c>
      <c r="K5" s="47" t="s">
        <v>451</v>
      </c>
      <c r="L5" s="47" t="s">
        <v>452</v>
      </c>
      <c r="M5" s="47" t="s">
        <v>453</v>
      </c>
      <c r="N5" s="47" t="s">
        <v>454</v>
      </c>
      <c r="O5" s="47" t="s">
        <v>455</v>
      </c>
      <c r="P5" s="47" t="s">
        <v>456</v>
      </c>
      <c r="Q5" s="47" t="s">
        <v>457</v>
      </c>
      <c r="R5" s="47" t="s">
        <v>458</v>
      </c>
      <c r="S5" s="47" t="s">
        <v>459</v>
      </c>
      <c r="T5" s="47" t="s">
        <v>460</v>
      </c>
      <c r="U5" s="47" t="s">
        <v>461</v>
      </c>
      <c r="V5" s="47" t="s">
        <v>462</v>
      </c>
      <c r="W5" s="47" t="s">
        <v>463</v>
      </c>
      <c r="X5" s="47" t="s">
        <v>464</v>
      </c>
      <c r="Y5" s="47" t="s">
        <v>465</v>
      </c>
      <c r="Z5" s="47" t="s">
        <v>466</v>
      </c>
      <c r="AA5" s="47" t="s">
        <v>467</v>
      </c>
      <c r="AB5" s="47" t="s">
        <v>468</v>
      </c>
      <c r="AC5" s="47" t="s">
        <v>469</v>
      </c>
      <c r="AD5" s="47" t="s">
        <v>470</v>
      </c>
      <c r="AE5" s="47" t="s">
        <v>471</v>
      </c>
      <c r="AF5" s="47" t="s">
        <v>472</v>
      </c>
      <c r="AG5" s="47" t="s">
        <v>473</v>
      </c>
      <c r="AH5" s="47" t="s">
        <v>474</v>
      </c>
      <c r="AI5" s="47" t="s">
        <v>475</v>
      </c>
      <c r="AJ5" s="47" t="s">
        <v>476</v>
      </c>
      <c r="AK5" s="47" t="s">
        <v>477</v>
      </c>
      <c r="AL5" s="66" t="s">
        <v>478</v>
      </c>
      <c r="AM5" s="65" t="s">
        <v>479</v>
      </c>
      <c r="AN5" s="50"/>
    </row>
    <row r="6" spans="1:40" ht="12" x14ac:dyDescent="0.2">
      <c r="A6" s="48" t="s">
        <v>480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481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2" t="s">
        <v>482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84"/>
      <c r="B10" s="32" t="s">
        <v>442</v>
      </c>
      <c r="C10" s="32" t="s">
        <v>443</v>
      </c>
      <c r="D10" s="32" t="s">
        <v>444</v>
      </c>
      <c r="E10" s="32" t="s">
        <v>445</v>
      </c>
      <c r="F10" s="32" t="s">
        <v>446</v>
      </c>
      <c r="G10" s="32" t="s">
        <v>447</v>
      </c>
      <c r="H10" s="32" t="s">
        <v>448</v>
      </c>
      <c r="I10" s="32" t="s">
        <v>449</v>
      </c>
      <c r="J10" s="32" t="s">
        <v>450</v>
      </c>
      <c r="K10" s="32" t="s">
        <v>451</v>
      </c>
      <c r="L10" s="32" t="s">
        <v>452</v>
      </c>
      <c r="M10" s="32" t="s">
        <v>453</v>
      </c>
      <c r="N10" s="32" t="s">
        <v>454</v>
      </c>
      <c r="O10" s="32" t="s">
        <v>455</v>
      </c>
      <c r="P10" s="32" t="s">
        <v>456</v>
      </c>
      <c r="Q10" s="32" t="s">
        <v>457</v>
      </c>
      <c r="R10" s="32" t="s">
        <v>458</v>
      </c>
      <c r="S10" s="32" t="s">
        <v>459</v>
      </c>
      <c r="T10" s="32" t="s">
        <v>460</v>
      </c>
      <c r="U10" s="32" t="s">
        <v>461</v>
      </c>
      <c r="V10" s="32" t="s">
        <v>462</v>
      </c>
      <c r="W10" s="32" t="s">
        <v>463</v>
      </c>
      <c r="X10" s="32" t="s">
        <v>464</v>
      </c>
      <c r="Y10" s="32" t="s">
        <v>465</v>
      </c>
      <c r="Z10" s="32" t="s">
        <v>466</v>
      </c>
      <c r="AA10" s="32" t="s">
        <v>467</v>
      </c>
      <c r="AB10" s="32" t="s">
        <v>468</v>
      </c>
      <c r="AC10" s="32" t="s">
        <v>469</v>
      </c>
      <c r="AD10" s="32" t="s">
        <v>470</v>
      </c>
      <c r="AE10" s="32" t="s">
        <v>471</v>
      </c>
      <c r="AF10" s="32" t="s">
        <v>472</v>
      </c>
      <c r="AG10" s="32" t="s">
        <v>473</v>
      </c>
      <c r="AH10" s="32" t="s">
        <v>474</v>
      </c>
      <c r="AI10" s="32" t="s">
        <v>475</v>
      </c>
      <c r="AJ10" s="64" t="s">
        <v>476</v>
      </c>
      <c r="AK10" s="63" t="s">
        <v>477</v>
      </c>
      <c r="AL10" s="47" t="s">
        <v>478</v>
      </c>
      <c r="AM10" s="72" t="s">
        <v>479</v>
      </c>
      <c r="AN10" s="68"/>
    </row>
    <row r="11" spans="1:40" x14ac:dyDescent="0.25">
      <c r="A11" s="42" t="s">
        <v>480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481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483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484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91"/>
  <sheetViews>
    <sheetView workbookViewId="0">
      <pane xSplit="4" ySplit="6" topLeftCell="E72" activePane="bottomRight" state="frozen"/>
      <selection pane="topRight" activeCell="D1" sqref="D1"/>
      <selection pane="bottomLeft" activeCell="A3" sqref="A3"/>
      <selection pane="bottomRight" activeCell="A83" sqref="A83:XFD83"/>
    </sheetView>
  </sheetViews>
  <sheetFormatPr defaultColWidth="8.5703125" defaultRowHeight="15" x14ac:dyDescent="0.25"/>
  <cols>
    <col min="1" max="1" width="16.85546875" style="171" bestFit="1" customWidth="1"/>
    <col min="2" max="2" width="55.5703125" style="180" bestFit="1" customWidth="1"/>
    <col min="3" max="3" width="9.85546875" style="180" bestFit="1" customWidth="1"/>
    <col min="4" max="4" width="34" style="171" bestFit="1" customWidth="1"/>
    <col min="5" max="5" width="14.140625" style="180" bestFit="1" customWidth="1"/>
    <col min="6" max="6" width="11.140625" style="180" bestFit="1" customWidth="1"/>
    <col min="7" max="7" width="26.42578125" style="180" customWidth="1"/>
    <col min="8" max="8" width="14.28515625" style="180" bestFit="1" customWidth="1"/>
    <col min="9" max="9" width="8.28515625" style="182" bestFit="1" customWidth="1"/>
    <col min="10" max="10" width="20" style="182" bestFit="1" customWidth="1"/>
    <col min="11" max="11" width="13.140625" style="186" customWidth="1"/>
    <col min="12" max="12" width="15.140625" style="186" customWidth="1"/>
    <col min="13" max="13" width="12" style="187" hidden="1" customWidth="1"/>
    <col min="14" max="14" width="10.85546875" style="187" bestFit="1" customWidth="1"/>
    <col min="15" max="15" width="13.5703125" style="186" bestFit="1" customWidth="1"/>
    <col min="16" max="16" width="12.85546875" style="80" bestFit="1" customWidth="1"/>
    <col min="17" max="17" width="10.85546875" style="80" bestFit="1" customWidth="1"/>
    <col min="18" max="19" width="13.5703125" style="190" bestFit="1" customWidth="1"/>
    <col min="20" max="20" width="13.85546875" style="191" bestFit="1" customWidth="1"/>
    <col min="21" max="21" width="10.85546875" style="171" bestFit="1" customWidth="1"/>
    <col min="22" max="16384" width="8.5703125" style="171"/>
  </cols>
  <sheetData>
    <row r="1" spans="1:22" s="166" customFormat="1" ht="19.5" thickBot="1" x14ac:dyDescent="0.3">
      <c r="A1" s="703" t="s">
        <v>485</v>
      </c>
      <c r="B1" s="704"/>
      <c r="C1" s="704"/>
      <c r="D1" s="704"/>
      <c r="E1" s="704"/>
      <c r="F1" s="704"/>
      <c r="G1" s="704"/>
      <c r="H1" s="704"/>
      <c r="I1" s="704"/>
      <c r="J1" s="704"/>
      <c r="K1" s="704"/>
      <c r="L1" s="704"/>
      <c r="M1" s="704"/>
      <c r="N1" s="704"/>
      <c r="O1" s="704"/>
      <c r="P1" s="704"/>
      <c r="Q1" s="704"/>
      <c r="R1" s="704"/>
      <c r="S1" s="704"/>
      <c r="T1" s="704"/>
      <c r="U1" s="705"/>
      <c r="V1" s="165"/>
    </row>
    <row r="2" spans="1:22" s="177" customFormat="1" ht="18.75" x14ac:dyDescent="0.25">
      <c r="A2" s="685" t="s">
        <v>486</v>
      </c>
      <c r="B2" s="686"/>
      <c r="C2" s="686"/>
      <c r="D2" s="686"/>
      <c r="E2" s="686"/>
      <c r="F2" s="687"/>
      <c r="G2" s="328">
        <f>COUNTIF(G7:G86,"Yes")</f>
        <v>61</v>
      </c>
      <c r="H2" s="328">
        <f>COUNTIF(H7:H86,"Yes")</f>
        <v>33</v>
      </c>
      <c r="I2" s="699">
        <f>'Diags Raw Data'!J58</f>
        <v>50</v>
      </c>
      <c r="J2" s="710">
        <f>'Diags Raw Data'!K58</f>
        <v>50</v>
      </c>
      <c r="K2" s="712">
        <f>'Diags Raw Data'!M58</f>
        <v>1</v>
      </c>
      <c r="L2" s="714">
        <f>'Diags Raw Data'!O58</f>
        <v>0.58800000000000052</v>
      </c>
      <c r="M2" s="716">
        <f>'Diags Raw Data'!Q58</f>
        <v>46</v>
      </c>
      <c r="N2" s="718">
        <f>SUM('Diags Raw Data'!S58+'Diags Raw Data'!T58)</f>
        <v>0</v>
      </c>
      <c r="O2" s="706">
        <f>IF((M89=0),0,N89/M89)</f>
        <v>0</v>
      </c>
      <c r="P2" s="708">
        <f>'Diags Raw Data'!Y58</f>
        <v>0</v>
      </c>
      <c r="Q2" s="695">
        <f>SUM('Diags Raw Data'!Z58+'Diags Raw Data'!AA58)</f>
        <v>0</v>
      </c>
      <c r="R2" s="697">
        <f>IF((J89=0),0,P89/J89)</f>
        <v>0</v>
      </c>
      <c r="S2" s="697">
        <f>IF((P89=0),0,Q89/P89)</f>
        <v>0</v>
      </c>
      <c r="T2" s="697">
        <f>R89*S89</f>
        <v>0</v>
      </c>
      <c r="U2" s="729"/>
      <c r="V2" s="176"/>
    </row>
    <row r="3" spans="1:22" ht="19.5" thickBot="1" x14ac:dyDescent="0.3">
      <c r="A3" s="688"/>
      <c r="B3" s="689"/>
      <c r="C3" s="689"/>
      <c r="D3" s="689"/>
      <c r="E3" s="689"/>
      <c r="F3" s="690"/>
      <c r="G3" s="329">
        <f>COUNTIF(G7:G86,"Yes")/COUNTA(A7:A86)</f>
        <v>0.76249999999999996</v>
      </c>
      <c r="H3" s="329">
        <f>(COUNTIF(H7:H86,"Yes")/G89)</f>
        <v>0.54098360655737709</v>
      </c>
      <c r="I3" s="700"/>
      <c r="J3" s="711"/>
      <c r="K3" s="713"/>
      <c r="L3" s="715"/>
      <c r="M3" s="717"/>
      <c r="N3" s="719"/>
      <c r="O3" s="707"/>
      <c r="P3" s="709"/>
      <c r="Q3" s="696"/>
      <c r="R3" s="698"/>
      <c r="S3" s="698"/>
      <c r="T3" s="698"/>
      <c r="U3" s="730"/>
      <c r="V3" s="170"/>
    </row>
    <row r="4" spans="1:22" ht="19.5" thickBot="1" x14ac:dyDescent="0.3">
      <c r="A4" s="720" t="s">
        <v>487</v>
      </c>
      <c r="B4" s="721"/>
      <c r="C4" s="721"/>
      <c r="D4" s="721"/>
      <c r="E4" s="721"/>
      <c r="F4" s="721"/>
      <c r="G4" s="721"/>
      <c r="H4" s="721"/>
      <c r="I4" s="721"/>
      <c r="J4" s="721"/>
      <c r="K4" s="721"/>
      <c r="L4" s="721"/>
      <c r="M4" s="721"/>
      <c r="N4" s="721"/>
      <c r="O4" s="721"/>
      <c r="P4" s="721"/>
      <c r="Q4" s="721"/>
      <c r="R4" s="721"/>
      <c r="S4" s="721"/>
      <c r="T4" s="721"/>
      <c r="U4" s="722"/>
      <c r="V4" s="170"/>
    </row>
    <row r="5" spans="1:22" s="166" customFormat="1" ht="19.5" thickBot="1" x14ac:dyDescent="0.3">
      <c r="A5" s="733" t="s">
        <v>71</v>
      </c>
      <c r="B5" s="734"/>
      <c r="C5" s="734"/>
      <c r="D5" s="734"/>
      <c r="E5" s="734"/>
      <c r="F5" s="734"/>
      <c r="G5" s="734"/>
      <c r="H5" s="734"/>
      <c r="I5" s="734"/>
      <c r="J5" s="735"/>
      <c r="K5" s="731" t="s">
        <v>108</v>
      </c>
      <c r="L5" s="732"/>
      <c r="M5" s="736" t="s">
        <v>119</v>
      </c>
      <c r="N5" s="737"/>
      <c r="O5" s="738"/>
      <c r="P5" s="739" t="s">
        <v>139</v>
      </c>
      <c r="Q5" s="740"/>
      <c r="R5" s="740"/>
      <c r="S5" s="740"/>
      <c r="T5" s="740"/>
      <c r="U5" s="741"/>
      <c r="V5" s="165"/>
    </row>
    <row r="6" spans="1:22" s="168" customFormat="1" ht="15.75" thickBot="1" x14ac:dyDescent="0.3">
      <c r="A6" s="301" t="s">
        <v>72</v>
      </c>
      <c r="B6" s="317" t="s">
        <v>76</v>
      </c>
      <c r="C6" s="317" t="s">
        <v>91</v>
      </c>
      <c r="D6" s="317" t="s">
        <v>207</v>
      </c>
      <c r="E6" s="317" t="s">
        <v>83</v>
      </c>
      <c r="F6" s="317" t="s">
        <v>1</v>
      </c>
      <c r="G6" s="318" t="s">
        <v>210</v>
      </c>
      <c r="H6" s="318" t="s">
        <v>213</v>
      </c>
      <c r="I6" s="319" t="s">
        <v>100</v>
      </c>
      <c r="J6" s="319" t="s">
        <v>216</v>
      </c>
      <c r="K6" s="306" t="s">
        <v>109</v>
      </c>
      <c r="L6" s="307" t="s">
        <v>116</v>
      </c>
      <c r="M6" s="298" t="s">
        <v>222</v>
      </c>
      <c r="N6" s="299" t="s">
        <v>224</v>
      </c>
      <c r="O6" s="297" t="s">
        <v>182</v>
      </c>
      <c r="P6" s="393" t="s">
        <v>227</v>
      </c>
      <c r="Q6" s="394" t="s">
        <v>224</v>
      </c>
      <c r="R6" s="395" t="s">
        <v>179</v>
      </c>
      <c r="S6" s="395" t="s">
        <v>135</v>
      </c>
      <c r="T6" s="396" t="s">
        <v>182</v>
      </c>
      <c r="U6" s="392" t="s">
        <v>152</v>
      </c>
      <c r="V6" s="167"/>
    </row>
    <row r="7" spans="1:22" ht="15.75" thickBot="1" x14ac:dyDescent="0.3">
      <c r="A7" s="462" t="s">
        <v>254</v>
      </c>
      <c r="B7" s="572" t="str">
        <f>VLOOKUP(A7,'Feature Raw Data'!$A$3:$B$3940,2,FALSE)</f>
        <v>Core Cstates</v>
      </c>
      <c r="C7" s="573" t="str">
        <f>VLOOKUP(A7,'Feature Raw Data'!$A$3:$C$3940,3,FALSE)</f>
        <v>P1</v>
      </c>
      <c r="D7" s="574" t="str" cm="1">
        <f t="array" ref="D7">_xlfn.TEXTJOIN("",TRUE,IF(ISNUMBER(SEARCH($A7,'Diags Raw Data'!$A$6:$A$3664)),CONCATENATE('Diags Raw Data'!$H$6:$H$3664,", "),""))</f>
        <v xml:space="preserve">PM004.011, PM004.016, PM004.019, </v>
      </c>
      <c r="E7" s="304" t="s">
        <v>248</v>
      </c>
      <c r="F7" s="304" t="str">
        <f>VLOOKUP(A7,'Feature Raw Data'!$A$3:$E$3940,5,FALSE)</f>
        <v>Delta</v>
      </c>
      <c r="G7" s="304" t="str">
        <f t="shared" ref="G7:H15" si="0">IF(D7="","No","Yes")</f>
        <v>Yes</v>
      </c>
      <c r="H7" s="304" t="str">
        <f t="shared" ref="H7:H14" si="1">IF(D7="","No","Yes")</f>
        <v>Yes</v>
      </c>
      <c r="I7" s="303">
        <f>SUMIF('Diags Raw Data'!$A$6:$A$3664,"*"&amp;$A7&amp;"*",'Diags Raw Data'!$J$6:$J$3664)</f>
        <v>3</v>
      </c>
      <c r="J7" s="305">
        <f>SUMIF('Diags Raw Data'!$A$6:$A$3664,"*"&amp;$A7&amp;"*",'Diags Raw Data'!$K$6:$K$3664)</f>
        <v>3</v>
      </c>
      <c r="K7" s="410" cm="1">
        <f t="array" ref="K7">IF(D7="",0, SUMPRODUCT(--(ISNUMBER(SEARCH($A7,'Diags Raw Data'!$A$6:$A$3664))),'Diags Raw Data'!$K$6:$K$3664,'Diags Raw Data'!$M$6:$M$3664)/J7)</f>
        <v>1</v>
      </c>
      <c r="L7" s="411" cm="1">
        <f t="array" ref="L7">IF(D7="",0, SUMPRODUCT(--(ISNUMBER(SEARCH($A7,'Diags Raw Data'!$A$6:$A$3664))),'Diags Raw Data'!$K$6:$K$3664,'Diags Raw Data'!$O$6:$O$3664)/J7)</f>
        <v>0.6</v>
      </c>
      <c r="M7" s="412" cm="1">
        <f t="array" ref="M7">SUMPRODUCT(--(ISNUMBER(SEARCH($A7,'Diags Raw Data'!$A$6:$A$3664))),--('Diags Raw Data'!$P$6:$P$3664&lt;&gt;"N/A"),'Diags Raw Data'!$Q$6:$Q$3664)</f>
        <v>3</v>
      </c>
      <c r="N7" s="421">
        <v>0</v>
      </c>
      <c r="O7" s="413">
        <f>IF((M7=0),0,N7/M7)</f>
        <v>0</v>
      </c>
      <c r="P7" s="414">
        <f>SUMIF('Diags Raw Data'!$A$6:$A$3664,"*"&amp;$A7&amp;"*",'Diags Raw Data'!$Y$6:$Y$3664)</f>
        <v>0</v>
      </c>
      <c r="Q7" s="415">
        <f>SUM(SUMIF('Diags Raw Data'!$A$6:$A$3664,"*"&amp;$A7&amp;"*",'Diags Raw Data'!$Z$6:$Z$3664),SUMIF('Diags Raw Data'!$A$6:$A$3664,"*"&amp;$A7&amp;"*",'Diags Raw Data'!$AA$6:$AA$3664))</f>
        <v>0</v>
      </c>
      <c r="R7" s="416">
        <f>IF((J7=0),0,P7/J7)</f>
        <v>0</v>
      </c>
      <c r="S7" s="416">
        <f>IF((P7=0),0,Q7/P7)</f>
        <v>0</v>
      </c>
      <c r="T7" s="417">
        <f>R7*S7</f>
        <v>0</v>
      </c>
      <c r="U7" s="429" t="s">
        <v>488</v>
      </c>
      <c r="V7" s="170"/>
    </row>
    <row r="8" spans="1:22" ht="15.75" thickBot="1" x14ac:dyDescent="0.3">
      <c r="A8" s="464" t="s">
        <v>258</v>
      </c>
      <c r="B8" s="570" t="str">
        <f>VLOOKUP(A8,'Feature Raw Data'!$A$3:$B$3940,2,FALSE)</f>
        <v>VDDOFF</v>
      </c>
      <c r="C8" s="571" t="str">
        <f>VLOOKUP(A8,'Feature Raw Data'!$A$3:$C$3940,3,FALSE)</f>
        <v>P1</v>
      </c>
      <c r="D8" s="300" t="str" cm="1">
        <f t="array" ref="D8">_xlfn.TEXTJOIN("",TRUE,IF(ISNUMBER(SEARCH($A8,'Diags Raw Data'!$A$6:$A$3664)),CONCATENATE('Diags Raw Data'!$H$6:$H$3664,", "),""))</f>
        <v xml:space="preserve">PM004.020, </v>
      </c>
      <c r="E8" s="304" t="s">
        <v>248</v>
      </c>
      <c r="F8" s="169" t="str">
        <f>VLOOKUP(A8,'Feature Raw Data'!$A$3:$E$3940,5,FALSE)</f>
        <v>Delta</v>
      </c>
      <c r="G8" s="169" t="str">
        <f t="shared" si="0"/>
        <v>Yes</v>
      </c>
      <c r="H8" s="169" t="str">
        <f t="shared" si="1"/>
        <v>Yes</v>
      </c>
      <c r="I8" s="293">
        <f>SUMIF('Diags Raw Data'!$A$6:$A$3664,"*"&amp;$A8&amp;"*",'Diags Raw Data'!$J$6:$J$3664)</f>
        <v>1</v>
      </c>
      <c r="J8" s="183">
        <f>SUMIF('Diags Raw Data'!$A$6:$A$3664,"*"&amp;$A8&amp;"*",'Diags Raw Data'!$K$6:$K$3664)</f>
        <v>1</v>
      </c>
      <c r="K8" s="418" cm="1">
        <f t="array" ref="K8">IF(D8="",0, SUMPRODUCT(--(ISNUMBER(SEARCH($A8,'Diags Raw Data'!$A$6:$A$3664))),'Diags Raw Data'!$K$6:$K$3664,'Diags Raw Data'!$M$6:$M$3664)/J8)</f>
        <v>1</v>
      </c>
      <c r="L8" s="419" cm="1">
        <f t="array" ref="L8">IF(D8="",0, SUMPRODUCT(--(ISNUMBER(SEARCH($A8,'Diags Raw Data'!$A$6:$A$3664))),'Diags Raw Data'!$K$6:$K$3664,'Diags Raw Data'!$O$6:$O$3664)/J8)</f>
        <v>0.6</v>
      </c>
      <c r="M8" s="420" cm="1">
        <f t="array" ref="M8">SUMPRODUCT(--(ISNUMBER(SEARCH($A8,'Diags Raw Data'!$A$6:$A$3664))),--('Diags Raw Data'!$P$6:$P$3664&lt;&gt;"N/A"),'Diags Raw Data'!$Q$6:$Q$3664)</f>
        <v>1</v>
      </c>
      <c r="N8" s="421" cm="1">
        <f t="array" ref="N8">SUMPRODUCT(--(ISNUMBER(SEARCH($A8,'Diags Raw Data'!$A$6:$A$3664))),--('Diags Raw Data'!$P$6:$P$3664&lt;&gt;"N/A"),'Diags Raw Data'!$S$6:$S$3664)+SUMPRODUCT(--(ISNUMBER(SEARCH($A8,'Diags Raw Data'!$A$6:$A$3664))),--('Diags Raw Data'!$P$6:$P$3664&lt;&gt;"N/A"),'Diags Raw Data'!$T$6:$T$3664)</f>
        <v>0</v>
      </c>
      <c r="O8" s="422">
        <f t="shared" ref="O8:O14" si="2">IF((M8=0),0,N8/M8)</f>
        <v>0</v>
      </c>
      <c r="P8" s="423">
        <v>1</v>
      </c>
      <c r="Q8" s="424">
        <v>1</v>
      </c>
      <c r="R8" s="425">
        <f t="shared" ref="R8:R14" si="3">IF((J8=0),0,P8/J8)</f>
        <v>1</v>
      </c>
      <c r="S8" s="425">
        <f t="shared" ref="S8:S14" si="4">IF((P8=0),0,Q8/P8)</f>
        <v>1</v>
      </c>
      <c r="T8" s="426">
        <f t="shared" ref="T8:T14" si="5">R8*S8</f>
        <v>1</v>
      </c>
      <c r="U8" s="397" t="s">
        <v>489</v>
      </c>
      <c r="V8" s="170"/>
    </row>
    <row r="9" spans="1:22" ht="15.75" thickBot="1" x14ac:dyDescent="0.3">
      <c r="A9" s="464" t="s">
        <v>262</v>
      </c>
      <c r="B9" s="570" t="str">
        <f>VLOOKUP(A9,'Feature Raw Data'!$A$3:$B$3940,2,FALSE)</f>
        <v>Cstate Boost</v>
      </c>
      <c r="C9" s="571" t="str">
        <f>VLOOKUP(A9,'Feature Raw Data'!$A$3:$C$3940,3,FALSE)</f>
        <v>P2</v>
      </c>
      <c r="D9" s="300" t="str" cm="1">
        <f t="array" ref="D9">_xlfn.TEXTJOIN("",TRUE,IF(ISNUMBER(SEARCH($A9,'Diags Raw Data'!$A$6:$A$3664)),CONCATENATE('Diags Raw Data'!$H$6:$H$3664,", "),""))</f>
        <v xml:space="preserve">PM004.026, </v>
      </c>
      <c r="E9" s="304" t="s">
        <v>248</v>
      </c>
      <c r="F9" s="169" t="str">
        <f>VLOOKUP(A9,'Feature Raw Data'!$A$3:$E$3940,5,FALSE)</f>
        <v>Legacy</v>
      </c>
      <c r="G9" s="169" t="str">
        <f t="shared" si="0"/>
        <v>Yes</v>
      </c>
      <c r="H9" s="169" t="str">
        <f t="shared" si="1"/>
        <v>Yes</v>
      </c>
      <c r="I9" s="293">
        <f>SUMIF('Diags Raw Data'!$A$6:$A$3664,"*"&amp;$A9&amp;"*",'Diags Raw Data'!$J$6:$J$3664)</f>
        <v>1</v>
      </c>
      <c r="J9" s="183">
        <f>SUMIF('Diags Raw Data'!$A$6:$A$3664,"*"&amp;$A9&amp;"*",'Diags Raw Data'!$K$6:$K$3664)</f>
        <v>1</v>
      </c>
      <c r="K9" s="418" cm="1">
        <f t="array" ref="K9">IF(D9="",0, SUMPRODUCT(--(ISNUMBER(SEARCH($A9,'Diags Raw Data'!$A$6:$A$3664))),'Diags Raw Data'!$K$6:$K$3664,'Diags Raw Data'!$M$6:$M$3664)/J9)</f>
        <v>1</v>
      </c>
      <c r="L9" s="419" cm="1">
        <f t="array" ref="L9">IF(D9="",0, SUMPRODUCT(--(ISNUMBER(SEARCH($A9,'Diags Raw Data'!$A$6:$A$3664))),'Diags Raw Data'!$K$6:$K$3664,'Diags Raw Data'!$O$6:$O$3664)/J9)</f>
        <v>0.6</v>
      </c>
      <c r="M9" s="420" cm="1">
        <f t="array" ref="M9">SUMPRODUCT(--(ISNUMBER(SEARCH($A9,'Diags Raw Data'!$A$6:$A$3664))),--('Diags Raw Data'!$P$6:$P$3664&lt;&gt;"N/A"),'Diags Raw Data'!$Q$6:$Q$3664)</f>
        <v>0</v>
      </c>
      <c r="N9" s="421" cm="1">
        <f t="array" ref="N9">SUMPRODUCT(--(ISNUMBER(SEARCH($A9,'Diags Raw Data'!$A$6:$A$3664))),--('Diags Raw Data'!$P$6:$P$3664&lt;&gt;"N/A"),'Diags Raw Data'!$S$6:$S$3664)+SUMPRODUCT(--(ISNUMBER(SEARCH($A9,'Diags Raw Data'!$A$6:$A$3664))),--('Diags Raw Data'!$P$6:$P$3664&lt;&gt;"N/A"),'Diags Raw Data'!$T$6:$T$3664)</f>
        <v>0</v>
      </c>
      <c r="O9" s="422">
        <f t="shared" si="2"/>
        <v>0</v>
      </c>
      <c r="P9" s="423">
        <v>1</v>
      </c>
      <c r="Q9" s="424">
        <v>1</v>
      </c>
      <c r="R9" s="425">
        <f t="shared" si="3"/>
        <v>1</v>
      </c>
      <c r="S9" s="425">
        <f t="shared" si="4"/>
        <v>1</v>
      </c>
      <c r="T9" s="426">
        <f t="shared" si="5"/>
        <v>1</v>
      </c>
      <c r="U9" s="397" t="s">
        <v>489</v>
      </c>
      <c r="V9" s="170"/>
    </row>
    <row r="10" spans="1:22" ht="15.75" thickBot="1" x14ac:dyDescent="0.3">
      <c r="A10" s="464" t="s">
        <v>265</v>
      </c>
      <c r="B10" s="570" t="str">
        <f>VLOOKUP(A10,'Feature Raw Data'!$A$3:$B$3940,2,FALSE)</f>
        <v>CCLK DPM</v>
      </c>
      <c r="C10" s="571" t="str">
        <f>VLOOKUP(A10,'Feature Raw Data'!$A$3:$C$3940,3,FALSE)</f>
        <v>P1</v>
      </c>
      <c r="D10" s="300" t="str" cm="1">
        <f t="array" ref="D10">_xlfn.TEXTJOIN("",TRUE,IF(ISNUMBER(SEARCH($A10,'Diags Raw Data'!$A$6:$A$3664)),CONCATENATE('Diags Raw Data'!$H$6:$H$3664,", "),""))</f>
        <v xml:space="preserve">PM34.1, PM80.100, PM80.12.1, </v>
      </c>
      <c r="E10" s="304" t="s">
        <v>248</v>
      </c>
      <c r="F10" s="169" t="str">
        <f>VLOOKUP(A10,'Feature Raw Data'!$A$3:$E$3940,5,FALSE)</f>
        <v>Delta</v>
      </c>
      <c r="G10" s="169" t="str">
        <f t="shared" si="0"/>
        <v>Yes</v>
      </c>
      <c r="H10" s="169" t="str">
        <f t="shared" si="1"/>
        <v>Yes</v>
      </c>
      <c r="I10" s="293">
        <f>SUMIF('Diags Raw Data'!$A$6:$A$3664,"*"&amp;$A10&amp;"*",'Diags Raw Data'!$J$6:$J$3664)</f>
        <v>3</v>
      </c>
      <c r="J10" s="183">
        <f>SUMIF('Diags Raw Data'!$A$6:$A$3664,"*"&amp;$A10&amp;"*",'Diags Raw Data'!$K$6:$K$3664)</f>
        <v>3</v>
      </c>
      <c r="K10" s="418" cm="1">
        <f t="array" ref="K10">IF(D10="",0, SUMPRODUCT(--(ISNUMBER(SEARCH($A10,'Diags Raw Data'!$A$6:$A$3664))),'Diags Raw Data'!$K$6:$K$3664,'Diags Raw Data'!$M$6:$M$3664)/J10)</f>
        <v>1</v>
      </c>
      <c r="L10" s="419" cm="1">
        <f t="array" ref="L10">IF(D10="",0, SUMPRODUCT(--(ISNUMBER(SEARCH($A10,'Diags Raw Data'!$A$6:$A$3664))),'Diags Raw Data'!$K$6:$K$3664,'Diags Raw Data'!$O$6:$O$3664)/J10)</f>
        <v>0.6</v>
      </c>
      <c r="M10" s="420" cm="1">
        <f t="array" ref="M10">SUMPRODUCT(--(ISNUMBER(SEARCH($A10,'Diags Raw Data'!$A$6:$A$3664))),--('Diags Raw Data'!$P$6:$P$3664&lt;&gt;"N/A"),'Diags Raw Data'!$Q$6:$Q$3664)</f>
        <v>3</v>
      </c>
      <c r="N10" s="421" cm="1">
        <f t="array" ref="N10">SUMPRODUCT(--(ISNUMBER(SEARCH($A10,'Diags Raw Data'!$A$6:$A$3664))),--('Diags Raw Data'!$P$6:$P$3664&lt;&gt;"N/A"),'Diags Raw Data'!$S$6:$S$3664)+SUMPRODUCT(--(ISNUMBER(SEARCH($A10,'Diags Raw Data'!$A$6:$A$3664))),--('Diags Raw Data'!$P$6:$P$3664&lt;&gt;"N/A"),'Diags Raw Data'!$T$6:$T$3664)</f>
        <v>0</v>
      </c>
      <c r="O10" s="422">
        <f t="shared" si="2"/>
        <v>0</v>
      </c>
      <c r="P10" s="423">
        <f>SUMIF('Diags Raw Data'!$A$6:$A$3664,"*"&amp;$A10&amp;"*",'Diags Raw Data'!$Y$6:$Y$3664)</f>
        <v>0</v>
      </c>
      <c r="Q10" s="424">
        <f>SUM(SUMIF('Diags Raw Data'!$A$6:$A$3664,"*"&amp;$A10&amp;"*",'Diags Raw Data'!$Z$6:$Z$3664),SUMIF('Diags Raw Data'!$A$6:$A$3664,"*"&amp;$A10&amp;"*",'Diags Raw Data'!$AA$6:$AA$3664))</f>
        <v>0</v>
      </c>
      <c r="R10" s="425">
        <f t="shared" si="3"/>
        <v>0</v>
      </c>
      <c r="S10" s="425">
        <f t="shared" si="4"/>
        <v>0</v>
      </c>
      <c r="T10" s="426">
        <f t="shared" si="5"/>
        <v>0</v>
      </c>
      <c r="U10" s="397" t="s">
        <v>489</v>
      </c>
      <c r="V10" s="170"/>
    </row>
    <row r="11" spans="1:22" ht="120.75" thickBot="1" x14ac:dyDescent="0.3">
      <c r="A11" s="464" t="s">
        <v>268</v>
      </c>
      <c r="B11" s="346" t="str">
        <f>VLOOKUP(A11,'Feature Raw Data'!$A$3:$B$3940,2,FALSE)</f>
        <v>Core clock control - CPPC</v>
      </c>
      <c r="C11" s="293" t="str">
        <f>VLOOKUP(A11,'Feature Raw Data'!$A$3:$C$3940,3,FALSE)</f>
        <v>P2</v>
      </c>
      <c r="D11" s="82" t="str" cm="1">
        <f t="array" ref="D11">_xlfn.TEXTJOIN("",TRUE,IF(ISNUMBER(SEARCH($A11,'Diags Raw Data'!$A$6:$A$3664)),CONCATENATE('Diags Raw Data'!$H$6:$H$3664,", "),""))</f>
        <v/>
      </c>
      <c r="E11" s="304" t="s">
        <v>248</v>
      </c>
      <c r="F11" s="169" t="str">
        <f>VLOOKUP(A11,'Feature Raw Data'!$A$3:$E$3940,5,FALSE)</f>
        <v>Legacy</v>
      </c>
      <c r="G11" s="169" t="s">
        <v>31</v>
      </c>
      <c r="H11" s="481" t="s">
        <v>490</v>
      </c>
      <c r="I11" s="562">
        <v>0</v>
      </c>
      <c r="J11" s="183">
        <v>1</v>
      </c>
      <c r="K11" s="418" cm="1">
        <f t="array" ref="K11">IF(D11="",0, SUMPRODUCT(--(ISNUMBER(SEARCH($A11,'Diags Raw Data'!$A$6:$A$3664))),'Diags Raw Data'!$K$6:$K$3664,'Diags Raw Data'!$M$6:$M$3664)/J11)</f>
        <v>0</v>
      </c>
      <c r="L11" s="419" cm="1">
        <f t="array" ref="L11">IF(D11="",0, SUMPRODUCT(--(ISNUMBER(SEARCH($A11,'Diags Raw Data'!$A$6:$A$3664))),'Diags Raw Data'!$K$6:$K$3664,'Diags Raw Data'!$O$6:$O$3664)/J11)</f>
        <v>0</v>
      </c>
      <c r="M11" s="420" cm="1">
        <f t="array" ref="M11">SUMPRODUCT(--(ISNUMBER(SEARCH($A11,'Diags Raw Data'!$A$6:$A$3664))),--('Diags Raw Data'!$P$6:$P$3664&lt;&gt;"N/A"),'Diags Raw Data'!$Q$6:$Q$3664)</f>
        <v>0</v>
      </c>
      <c r="N11" s="421" cm="1">
        <f t="array" ref="N11">SUMPRODUCT(--(ISNUMBER(SEARCH($A11,'Diags Raw Data'!$A$6:$A$3664))),--('Diags Raw Data'!$P$6:$P$3664&lt;&gt;"N/A"),'Diags Raw Data'!$S$6:$S$3664)+SUMPRODUCT(--(ISNUMBER(SEARCH($A11,'Diags Raw Data'!$A$6:$A$3664))),--('Diags Raw Data'!$P$6:$P$3664&lt;&gt;"N/A"),'Diags Raw Data'!$T$6:$T$3664)</f>
        <v>0</v>
      </c>
      <c r="O11" s="422">
        <f t="shared" si="2"/>
        <v>0</v>
      </c>
      <c r="P11" s="423">
        <f>SUMIF('Diags Raw Data'!$A$6:$A$3664,"*"&amp;$A11&amp;"*",'Diags Raw Data'!$Y$6:$Y$3664)</f>
        <v>0</v>
      </c>
      <c r="Q11" s="424">
        <f>SUM(SUMIF('Diags Raw Data'!$A$6:$A$3664,"*"&amp;$A11&amp;"*",'Diags Raw Data'!$Z$6:$Z$3664),SUMIF('Diags Raw Data'!$A$6:$A$3664,"*"&amp;$A11&amp;"*",'Diags Raw Data'!$AA$6:$AA$3664))</f>
        <v>0</v>
      </c>
      <c r="R11" s="425">
        <f t="shared" si="3"/>
        <v>0</v>
      </c>
      <c r="S11" s="425">
        <f t="shared" si="4"/>
        <v>0</v>
      </c>
      <c r="T11" s="426">
        <f t="shared" si="5"/>
        <v>0</v>
      </c>
      <c r="U11" s="397" t="s">
        <v>489</v>
      </c>
      <c r="V11" s="170"/>
    </row>
    <row r="12" spans="1:22" ht="30.75" thickBot="1" x14ac:dyDescent="0.3">
      <c r="A12" s="464" t="s">
        <v>271</v>
      </c>
      <c r="B12" s="346" t="str">
        <f>VLOOKUP(A12,'Feature Raw Data'!$A$3:$B$3940,2,FALSE)</f>
        <v>Core EDC control</v>
      </c>
      <c r="C12" s="293" t="str">
        <f>VLOOKUP(A12,'Feature Raw Data'!$A$3:$C$3940,3,FALSE)</f>
        <v>P2</v>
      </c>
      <c r="D12" s="82" t="str" cm="1">
        <f t="array" ref="D12">_xlfn.TEXTJOIN("",TRUE,IF(ISNUMBER(SEARCH($A12,'Diags Raw Data'!$A$6:$A$3664)),CONCATENATE('Diags Raw Data'!$H$6:$H$3664,", "),""))</f>
        <v/>
      </c>
      <c r="E12" s="304" t="s">
        <v>248</v>
      </c>
      <c r="F12" s="169" t="str">
        <f>VLOOKUP(A12,'Feature Raw Data'!$A$3:$E$3940,5,FALSE)</f>
        <v>Legacy</v>
      </c>
      <c r="G12" s="294" t="str">
        <f t="shared" si="0"/>
        <v>No</v>
      </c>
      <c r="H12" s="481" t="s">
        <v>491</v>
      </c>
      <c r="I12" s="293">
        <f>SUMIF('Diags Raw Data'!$A$6:$A$3664,"*"&amp;$A12&amp;"*",'Diags Raw Data'!$J$6:$J$3664)</f>
        <v>0</v>
      </c>
      <c r="J12" s="183">
        <f>SUMIF('Diags Raw Data'!$A$6:$A$3664,"*"&amp;$A12&amp;"*",'Diags Raw Data'!$K$6:$K$3664)</f>
        <v>0</v>
      </c>
      <c r="K12" s="418" cm="1">
        <f t="array" ref="K12">IF(D12="",0, SUMPRODUCT(--(ISNUMBER(SEARCH($A12,'Diags Raw Data'!$A$6:$A$3664))),'Diags Raw Data'!$K$6:$K$3664,'Diags Raw Data'!$M$6:$M$3664)/J12)</f>
        <v>0</v>
      </c>
      <c r="L12" s="419" cm="1">
        <f t="array" ref="L12">IF(D12="",0, SUMPRODUCT(--(ISNUMBER(SEARCH($A12,'Diags Raw Data'!$A$6:$A$3664))),'Diags Raw Data'!$K$6:$K$3664,'Diags Raw Data'!$O$6:$O$3664)/J12)</f>
        <v>0</v>
      </c>
      <c r="M12" s="420" cm="1">
        <f t="array" ref="M12">SUMPRODUCT(--(ISNUMBER(SEARCH($A12,'Diags Raw Data'!$A$6:$A$3664))),--('Diags Raw Data'!$P$6:$P$3664&lt;&gt;"N/A"),'Diags Raw Data'!$Q$6:$Q$3664)</f>
        <v>0</v>
      </c>
      <c r="N12" s="421" cm="1">
        <f t="array" ref="N12">SUMPRODUCT(--(ISNUMBER(SEARCH($A12,'Diags Raw Data'!$A$6:$A$3664))),--('Diags Raw Data'!$P$6:$P$3664&lt;&gt;"N/A"),'Diags Raw Data'!$S$6:$S$3664)+SUMPRODUCT(--(ISNUMBER(SEARCH($A12,'Diags Raw Data'!$A$6:$A$3664))),--('Diags Raw Data'!$P$6:$P$3664&lt;&gt;"N/A"),'Diags Raw Data'!$T$6:$T$3664)</f>
        <v>0</v>
      </c>
      <c r="O12" s="422">
        <f t="shared" si="2"/>
        <v>0</v>
      </c>
      <c r="P12" s="423">
        <f>SUMIF('Diags Raw Data'!$A$6:$A$3664,"*"&amp;$A12&amp;"*",'Diags Raw Data'!$Y$6:$Y$3664)</f>
        <v>0</v>
      </c>
      <c r="Q12" s="424">
        <f>SUM(SUMIF('Diags Raw Data'!$A$6:$A$3664,"*"&amp;$A12&amp;"*",'Diags Raw Data'!$Z$6:$Z$3664),SUMIF('Diags Raw Data'!$A$6:$A$3664,"*"&amp;$A12&amp;"*",'Diags Raw Data'!$AA$6:$AA$3664))</f>
        <v>0</v>
      </c>
      <c r="R12" s="425">
        <f t="shared" si="3"/>
        <v>0</v>
      </c>
      <c r="S12" s="425">
        <f t="shared" si="4"/>
        <v>0</v>
      </c>
      <c r="T12" s="426">
        <f t="shared" si="5"/>
        <v>0</v>
      </c>
      <c r="U12" s="397" t="s">
        <v>489</v>
      </c>
      <c r="V12" s="170"/>
    </row>
    <row r="13" spans="1:22" ht="15.75" thickBot="1" x14ac:dyDescent="0.3">
      <c r="A13" s="464" t="s">
        <v>274</v>
      </c>
      <c r="B13" s="346" t="str">
        <f>VLOOKUP(A13,'Feature Raw Data'!$A$3:$B$3940,2,FALSE)</f>
        <v>Reliability Tracker/FIT controller</v>
      </c>
      <c r="C13" s="293" t="str">
        <f>VLOOKUP(A13,'Feature Raw Data'!$A$3:$C$3940,3,FALSE)</f>
        <v>P2</v>
      </c>
      <c r="D13" s="82" t="str" cm="1">
        <f t="array" ref="D13">_xlfn.TEXTJOIN("",TRUE,IF(ISNUMBER(SEARCH($A13,'Diags Raw Data'!$A$6:$A$3664)),CONCATENATE('Diags Raw Data'!$H$6:$H$3664,", "),""))</f>
        <v/>
      </c>
      <c r="E13" s="304" t="s">
        <v>248</v>
      </c>
      <c r="F13" s="169" t="str">
        <f>VLOOKUP(A13,'Feature Raw Data'!$A$3:$E$3940,5,FALSE)</f>
        <v>Legacy</v>
      </c>
      <c r="G13" s="169" t="s">
        <v>31</v>
      </c>
      <c r="H13" s="481" t="s">
        <v>36</v>
      </c>
      <c r="I13" s="293">
        <f>SUMIF('Diags Raw Data'!$A$6:$A$3664,"*"&amp;$A13&amp;"*",'Diags Raw Data'!$J$6:$J$3664)</f>
        <v>0</v>
      </c>
      <c r="J13" s="183">
        <f>SUMIF('Diags Raw Data'!$A$6:$A$3664,"*"&amp;$A13&amp;"*",'Diags Raw Data'!$K$6:$K$3664)</f>
        <v>0</v>
      </c>
      <c r="K13" s="418" cm="1">
        <f t="array" ref="K13">IF(D13="",0, SUMPRODUCT(--(ISNUMBER(SEARCH($A13,'Diags Raw Data'!$A$6:$A$3664))),'Diags Raw Data'!$K$6:$K$3664,'Diags Raw Data'!$M$6:$M$3664)/J13)</f>
        <v>0</v>
      </c>
      <c r="L13" s="419" cm="1">
        <f t="array" ref="L13">IF(D13="",0, SUMPRODUCT(--(ISNUMBER(SEARCH($A13,'Diags Raw Data'!$A$6:$A$3664))),'Diags Raw Data'!$K$6:$K$3664,'Diags Raw Data'!$O$6:$O$3664)/J13)</f>
        <v>0</v>
      </c>
      <c r="M13" s="420" cm="1">
        <f t="array" ref="M13">SUMPRODUCT(--(ISNUMBER(SEARCH($A13,'Diags Raw Data'!$A$6:$A$3664))),--('Diags Raw Data'!$P$6:$P$3664&lt;&gt;"N/A"),'Diags Raw Data'!$Q$6:$Q$3664)</f>
        <v>0</v>
      </c>
      <c r="N13" s="421" cm="1">
        <f t="array" ref="N13">SUMPRODUCT(--(ISNUMBER(SEARCH($A13,'Diags Raw Data'!$A$6:$A$3664))),--('Diags Raw Data'!$P$6:$P$3664&lt;&gt;"N/A"),'Diags Raw Data'!$S$6:$S$3664)+SUMPRODUCT(--(ISNUMBER(SEARCH($A13,'Diags Raw Data'!$A$6:$A$3664))),--('Diags Raw Data'!$P$6:$P$3664&lt;&gt;"N/A"),'Diags Raw Data'!$T$6:$T$3664)</f>
        <v>0</v>
      </c>
      <c r="O13" s="422">
        <f>IF((M13=0),0,N13/M13)</f>
        <v>0</v>
      </c>
      <c r="P13" s="423">
        <f>SUMIF('Diags Raw Data'!$A$6:$A$3664,"*"&amp;$A13&amp;"*",'Diags Raw Data'!$Y$6:$Y$3664)</f>
        <v>0</v>
      </c>
      <c r="Q13" s="424">
        <f>SUM(SUMIF('Diags Raw Data'!$A$6:$A$3664,"*"&amp;$A13&amp;"*",'Diags Raw Data'!$Z$6:$Z$3664),SUMIF('Diags Raw Data'!$A$6:$A$3664,"*"&amp;$A13&amp;"*",'Diags Raw Data'!$AA$6:$AA$3664))</f>
        <v>0</v>
      </c>
      <c r="R13" s="425">
        <f t="shared" si="3"/>
        <v>0</v>
      </c>
      <c r="S13" s="425">
        <f t="shared" si="4"/>
        <v>0</v>
      </c>
      <c r="T13" s="426">
        <f t="shared" si="5"/>
        <v>0</v>
      </c>
      <c r="U13" s="397" t="s">
        <v>489</v>
      </c>
      <c r="V13" s="170"/>
    </row>
    <row r="14" spans="1:22" ht="15.75" thickBot="1" x14ac:dyDescent="0.3">
      <c r="A14" s="464" t="s">
        <v>277</v>
      </c>
      <c r="B14" s="346" t="str">
        <f>VLOOKUP(A14,'Feature Raw Data'!$A$3:$B$3940,2,FALSE)</f>
        <v>CLDO: L2/L3 CLDO</v>
      </c>
      <c r="C14" s="293" t="str">
        <f>VLOOKUP(A14,'Feature Raw Data'!$A$3:$C$3940,3,FALSE)</f>
        <v>P2</v>
      </c>
      <c r="D14" s="82" t="str" cm="1">
        <f t="array" ref="D14">_xlfn.TEXTJOIN("",TRUE,IF(ISNUMBER(SEARCH($A14,'Diags Raw Data'!$A$6:$A$3664)),CONCATENATE('Diags Raw Data'!$H$6:$H$3664,", "),""))</f>
        <v xml:space="preserve">PM33.11, </v>
      </c>
      <c r="E14" s="304" t="s">
        <v>248</v>
      </c>
      <c r="F14" s="169" t="str">
        <f>VLOOKUP(A14,'Feature Raw Data'!$A$3:$E$3940,5,FALSE)</f>
        <v>Legacy</v>
      </c>
      <c r="G14" s="169" t="str">
        <f t="shared" si="0"/>
        <v>Yes</v>
      </c>
      <c r="H14" s="169" t="str">
        <f t="shared" si="1"/>
        <v>Yes</v>
      </c>
      <c r="I14" s="293">
        <f>SUMIF('Diags Raw Data'!$A$6:$A$3664,"*"&amp;$A14&amp;"*",'Diags Raw Data'!$J$6:$J$3664)</f>
        <v>1</v>
      </c>
      <c r="J14" s="183">
        <f>SUMIF('Diags Raw Data'!$A$6:$A$3664,"*"&amp;$A14&amp;"*",'Diags Raw Data'!$K$6:$K$3664)</f>
        <v>1</v>
      </c>
      <c r="K14" s="418" cm="1">
        <f t="array" ref="K14">IF(D14="",0, SUMPRODUCT(--(ISNUMBER(SEARCH($A14,'Diags Raw Data'!$A$6:$A$3664))),'Diags Raw Data'!$K$6:$K$3664,'Diags Raw Data'!$M$6:$M$3664)/J14)</f>
        <v>1</v>
      </c>
      <c r="L14" s="419" cm="1">
        <f t="array" ref="L14">IF(D14="",0, SUMPRODUCT(--(ISNUMBER(SEARCH($A14,'Diags Raw Data'!$A$6:$A$3664))),'Diags Raw Data'!$K$6:$K$3664,'Diags Raw Data'!$O$6:$O$3664)/J14)</f>
        <v>0.6</v>
      </c>
      <c r="M14" s="420" cm="1">
        <f t="array" ref="M14">SUMPRODUCT(--(ISNUMBER(SEARCH($A14,'Diags Raw Data'!$A$6:$A$3664))),--('Diags Raw Data'!$P$6:$P$3664&lt;&gt;"N/A"),'Diags Raw Data'!$Q$6:$Q$3664)</f>
        <v>1</v>
      </c>
      <c r="N14" s="421" cm="1">
        <f t="array" ref="N14">SUMPRODUCT(--(ISNUMBER(SEARCH($A14,'Diags Raw Data'!$A$6:$A$3664))),--('Diags Raw Data'!$P$6:$P$3664&lt;&gt;"N/A"),'Diags Raw Data'!$S$6:$S$3664)+SUMPRODUCT(--(ISNUMBER(SEARCH($A14,'Diags Raw Data'!$A$6:$A$3664))),--('Diags Raw Data'!$P$6:$P$3664&lt;&gt;"N/A"),'Diags Raw Data'!$T$6:$T$3664)</f>
        <v>0</v>
      </c>
      <c r="O14" s="422">
        <f t="shared" si="2"/>
        <v>0</v>
      </c>
      <c r="P14" s="423">
        <f>SUMIF('Diags Raw Data'!$A$6:$A$3664,"*"&amp;$A14&amp;"*",'Diags Raw Data'!$Y$6:$Y$3664)</f>
        <v>0</v>
      </c>
      <c r="Q14" s="424">
        <f>SUM(SUMIF('Diags Raw Data'!$A$6:$A$3664,"*"&amp;$A14&amp;"*",'Diags Raw Data'!$Z$6:$Z$3664),SUMIF('Diags Raw Data'!$A$6:$A$3664,"*"&amp;$A14&amp;"*",'Diags Raw Data'!$AA$6:$AA$3664))</f>
        <v>0</v>
      </c>
      <c r="R14" s="425">
        <f t="shared" si="3"/>
        <v>0</v>
      </c>
      <c r="S14" s="425">
        <f t="shared" si="4"/>
        <v>0</v>
      </c>
      <c r="T14" s="426">
        <f t="shared" si="5"/>
        <v>0</v>
      </c>
      <c r="U14" s="397" t="s">
        <v>489</v>
      </c>
      <c r="V14" s="170"/>
    </row>
    <row r="15" spans="1:22" ht="15.75" thickBot="1" x14ac:dyDescent="0.3">
      <c r="A15" s="567" t="s">
        <v>280</v>
      </c>
      <c r="B15" s="570" t="str">
        <f>VLOOKUP(A15,'Feature Raw Data'!$A$3:$B$3940,2,FALSE)</f>
        <v>GFXOFF</v>
      </c>
      <c r="C15" s="571" t="str">
        <f>VLOOKUP(A15,'Feature Raw Data'!$A$3:$C$3940,3,FALSE)</f>
        <v>P2</v>
      </c>
      <c r="D15" s="300" t="str" cm="1">
        <f t="array" ref="D15">_xlfn.TEXTJOIN("",TRUE,IF(ISNUMBER(SEARCH($A15,'Diags Raw Data'!$A$6:$A$3664)),CONCATENATE('Diags Raw Data'!$H$6:$H$3664,", "),""))</f>
        <v xml:space="preserve">PM41.28, </v>
      </c>
      <c r="E15" s="304" t="s">
        <v>248</v>
      </c>
      <c r="F15" s="169" t="str">
        <f>VLOOKUP(A15,'Feature Raw Data'!$A$3:$E$3940,5,FALSE)</f>
        <v>Legacy</v>
      </c>
      <c r="G15" s="169" t="str">
        <f t="shared" si="0"/>
        <v>Yes</v>
      </c>
      <c r="H15" s="169" t="str">
        <f t="shared" si="0"/>
        <v>Yes</v>
      </c>
      <c r="I15" s="293">
        <f>SUMIF('Diags Raw Data'!$A$6:$A$3664,"*"&amp;$A15&amp;"*",'Diags Raw Data'!$J$6:$J$3664)</f>
        <v>1</v>
      </c>
      <c r="J15" s="183">
        <f>SUMIF('Diags Raw Data'!$A$6:$A$3664,"*"&amp;$A15&amp;"*",'Diags Raw Data'!$K$6:$K$3664)</f>
        <v>1</v>
      </c>
      <c r="K15" s="418" cm="1">
        <f t="array" ref="K15">IF(D15="",0, SUMPRODUCT(--(ISNUMBER(SEARCH($A15,'Diags Raw Data'!$A$6:$A$3664))),'Diags Raw Data'!$K$6:$K$3664,'Diags Raw Data'!$M$6:$M$3664)/J15)</f>
        <v>1</v>
      </c>
      <c r="L15" s="419" cm="1">
        <f t="array" ref="L15">IF(D15="",0, SUMPRODUCT(--(ISNUMBER(SEARCH($A15,'Diags Raw Data'!$A$6:$A$3664))),'Diags Raw Data'!$K$6:$K$3664,'Diags Raw Data'!$O$6:$O$3664)/J15)</f>
        <v>0.6</v>
      </c>
      <c r="M15" s="420" cm="1">
        <f t="array" ref="M15">SUMPRODUCT(--(ISNUMBER(SEARCH($A15,'Diags Raw Data'!$A$6:$A$3664))),--('Diags Raw Data'!$P$6:$P$3664&lt;&gt;"N/A"),'Diags Raw Data'!$Q$6:$Q$3664)</f>
        <v>1</v>
      </c>
      <c r="N15" s="421" cm="1">
        <f t="array" ref="N15">SUMPRODUCT(--(ISNUMBER(SEARCH($A15,'Diags Raw Data'!$A$6:$A$3664))),--('Diags Raw Data'!$P$6:$P$3664&lt;&gt;"N/A"),'Diags Raw Data'!$S$6:$S$3664)+SUMPRODUCT(--(ISNUMBER(SEARCH($A15,'Diags Raw Data'!$A$6:$A$3664))),--('Diags Raw Data'!$P$6:$P$3664&lt;&gt;"N/A"),'Diags Raw Data'!$T$6:$T$3664)</f>
        <v>0</v>
      </c>
      <c r="O15" s="422">
        <f t="shared" ref="O15:O27" si="6">IF((M15=0),0,N15/M15)</f>
        <v>0</v>
      </c>
      <c r="P15" s="423">
        <f>SUMIF('Diags Raw Data'!$A$6:$A$3664,"*"&amp;$A15&amp;"*",'Diags Raw Data'!$Y$6:$Y$3664)</f>
        <v>0</v>
      </c>
      <c r="Q15" s="424">
        <f>SUM(SUMIF('Diags Raw Data'!$A$6:$A$3664,"*"&amp;$A15&amp;"*",'Diags Raw Data'!$Z$6:$Z$3664),SUMIF('Diags Raw Data'!$A$6:$A$3664,"*"&amp;$A15&amp;"*",'Diags Raw Data'!$AA$6:$AA$3664))</f>
        <v>0</v>
      </c>
      <c r="R15" s="425">
        <f t="shared" ref="R15:R27" si="7">IF((J15=0),0,P15/J15)</f>
        <v>0</v>
      </c>
      <c r="S15" s="425">
        <f t="shared" ref="S15:S27" si="8">IF((P15=0),0,Q15/P15)</f>
        <v>0</v>
      </c>
      <c r="T15" s="426">
        <f t="shared" ref="T15:T27" si="9">R15*S15</f>
        <v>0</v>
      </c>
      <c r="U15" s="397" t="s">
        <v>489</v>
      </c>
      <c r="V15" s="170"/>
    </row>
    <row r="16" spans="1:22" s="173" customFormat="1" ht="15.75" thickBot="1" x14ac:dyDescent="0.3">
      <c r="A16" s="464" t="s">
        <v>283</v>
      </c>
      <c r="B16" s="346" t="str">
        <f>VLOOKUP(A16,'Feature Raw Data'!$A$3:$B$3940,2,FALSE)</f>
        <v>GFXCLK DPM</v>
      </c>
      <c r="C16" s="293" t="str">
        <f>VLOOKUP(A16,'Feature Raw Data'!$A$3:$C$3940,3,FALSE)</f>
        <v>P2</v>
      </c>
      <c r="D16" s="82" t="str" cm="1">
        <f t="array" ref="D16">_xlfn.TEXTJOIN("",TRUE,IF(ISNUMBER(SEARCH($A16,'Diags Raw Data'!$A$6:$A$3664)),CONCATENATE('Diags Raw Data'!$H$6:$H$3664,", "),""))</f>
        <v xml:space="preserve">PM21.1, PM80.12.2, </v>
      </c>
      <c r="E16" s="304" t="s">
        <v>248</v>
      </c>
      <c r="F16" s="169" t="str">
        <f>VLOOKUP(A16,'Feature Raw Data'!$A$3:$E$3940,5,FALSE)</f>
        <v>Legacy</v>
      </c>
      <c r="G16" s="169" t="str">
        <f t="shared" ref="G16:G58" si="10">IF(D16="","No","Yes")</f>
        <v>Yes</v>
      </c>
      <c r="H16" s="169" t="str">
        <f t="shared" ref="H16:H58" si="11">IF(D16="","No","Yes")</f>
        <v>Yes</v>
      </c>
      <c r="I16" s="293">
        <f>SUMIF('Diags Raw Data'!$A$6:$A$3664,"*"&amp;$A16&amp;"*",'Diags Raw Data'!$J$6:$J$3664)</f>
        <v>2</v>
      </c>
      <c r="J16" s="183">
        <f>SUMIF('Diags Raw Data'!$A$6:$A$3664,"*"&amp;$A16&amp;"*",'Diags Raw Data'!$K$6:$K$3664)</f>
        <v>2</v>
      </c>
      <c r="K16" s="418" cm="1">
        <f t="array" ref="K16">IF(D16="",0, SUMPRODUCT(--(ISNUMBER(SEARCH($A16,'Diags Raw Data'!$A$6:$A$3664))),'Diags Raw Data'!$K$6:$K$3664,'Diags Raw Data'!$M$6:$M$3664)/J16)</f>
        <v>1</v>
      </c>
      <c r="L16" s="419" cm="1">
        <f t="array" ref="L16">IF(D16="",0, SUMPRODUCT(--(ISNUMBER(SEARCH($A16,'Diags Raw Data'!$A$6:$A$3664))),'Diags Raw Data'!$K$6:$K$3664,'Diags Raw Data'!$O$6:$O$3664)/J16)</f>
        <v>0.6</v>
      </c>
      <c r="M16" s="420" cm="1">
        <f t="array" ref="M16">SUMPRODUCT(--(ISNUMBER(SEARCH($A16,'Diags Raw Data'!$A$6:$A$3664))),--('Diags Raw Data'!$P$6:$P$3664&lt;&gt;"N/A"),'Diags Raw Data'!$Q$6:$Q$3664)</f>
        <v>2</v>
      </c>
      <c r="N16" s="421" cm="1">
        <f t="array" ref="N16">SUMPRODUCT(--(ISNUMBER(SEARCH($A16,'Diags Raw Data'!$A$6:$A$3664))),--('Diags Raw Data'!$P$6:$P$3664&lt;&gt;"N/A"),'Diags Raw Data'!$S$6:$S$3664)+SUMPRODUCT(--(ISNUMBER(SEARCH($A16,'Diags Raw Data'!$A$6:$A$3664))),--('Diags Raw Data'!$P$6:$P$3664&lt;&gt;"N/A"),'Diags Raw Data'!$T$6:$T$3664)</f>
        <v>0</v>
      </c>
      <c r="O16" s="422">
        <f t="shared" si="6"/>
        <v>0</v>
      </c>
      <c r="P16" s="423">
        <f>SUMIF('Diags Raw Data'!$A$6:$A$3664,"*"&amp;$A16&amp;"*",'Diags Raw Data'!$Y$6:$Y$3664)</f>
        <v>0</v>
      </c>
      <c r="Q16" s="424">
        <f>SUM(SUMIF('Diags Raw Data'!$A$6:$A$3664,"*"&amp;$A16&amp;"*",'Diags Raw Data'!$Z$6:$Z$3664),SUMIF('Diags Raw Data'!$A$6:$A$3664,"*"&amp;$A16&amp;"*",'Diags Raw Data'!$AA$6:$AA$3664))</f>
        <v>0</v>
      </c>
      <c r="R16" s="425">
        <f t="shared" si="7"/>
        <v>0</v>
      </c>
      <c r="S16" s="427">
        <f t="shared" si="8"/>
        <v>0</v>
      </c>
      <c r="T16" s="428">
        <f t="shared" si="9"/>
        <v>0</v>
      </c>
      <c r="U16" s="397" t="s">
        <v>489</v>
      </c>
      <c r="V16" s="172"/>
    </row>
    <row r="17" spans="1:22" ht="15.75" thickBot="1" x14ac:dyDescent="0.3">
      <c r="A17" s="464" t="s">
        <v>286</v>
      </c>
      <c r="B17" s="346" t="str">
        <f>VLOOKUP(A17,'Feature Raw Data'!$A$3:$B$3940,2,FALSE)</f>
        <v>GFXCLK DFLL</v>
      </c>
      <c r="C17" s="293" t="str">
        <f>VLOOKUP(A17,'Feature Raw Data'!$A$3:$C$3940,3,FALSE)</f>
        <v>P2</v>
      </c>
      <c r="D17" s="82" t="str" cm="1">
        <f t="array" ref="D17">_xlfn.TEXTJOIN("",TRUE,IF(ISNUMBER(SEARCH($A17,'Diags Raw Data'!$A$6:$A$3664)),CONCATENATE('Diags Raw Data'!$H$6:$H$3664,", "),""))</f>
        <v xml:space="preserve">PM80.12.2, </v>
      </c>
      <c r="E17" s="304" t="s">
        <v>248</v>
      </c>
      <c r="F17" s="169" t="str">
        <f>VLOOKUP(A17,'Feature Raw Data'!$A$3:$E$3940,5,FALSE)</f>
        <v>Legacy</v>
      </c>
      <c r="G17" s="169" t="str">
        <f t="shared" si="10"/>
        <v>Yes</v>
      </c>
      <c r="H17" s="169" t="str">
        <f t="shared" si="11"/>
        <v>Yes</v>
      </c>
      <c r="I17" s="293">
        <f>SUMIF('Diags Raw Data'!$A$6:$A$3664,"*"&amp;$A17&amp;"*",'Diags Raw Data'!$J$6:$J$3664)</f>
        <v>1</v>
      </c>
      <c r="J17" s="183">
        <f>SUMIF('Diags Raw Data'!$A$6:$A$3664,"*"&amp;$A17&amp;"*",'Diags Raw Data'!$K$6:$K$3664)</f>
        <v>1</v>
      </c>
      <c r="K17" s="418" cm="1">
        <f t="array" ref="K17">IF(D17="",0, SUMPRODUCT(--(ISNUMBER(SEARCH($A17,'Diags Raw Data'!$A$6:$A$3664))),'Diags Raw Data'!$K$6:$K$3664,'Diags Raw Data'!$M$6:$M$3664)/J17)</f>
        <v>1</v>
      </c>
      <c r="L17" s="419" cm="1">
        <f t="array" ref="L17">IF(D17="",0, SUMPRODUCT(--(ISNUMBER(SEARCH($A17,'Diags Raw Data'!$A$6:$A$3664))),'Diags Raw Data'!$K$6:$K$3664,'Diags Raw Data'!$O$6:$O$3664)/J17)</f>
        <v>0.6</v>
      </c>
      <c r="M17" s="420" cm="1">
        <f t="array" ref="M17">SUMPRODUCT(--(ISNUMBER(SEARCH($A17,'Diags Raw Data'!$A$6:$A$3664))),--('Diags Raw Data'!$P$6:$P$3664&lt;&gt;"N/A"),'Diags Raw Data'!$Q$6:$Q$3664)</f>
        <v>1</v>
      </c>
      <c r="N17" s="421" cm="1">
        <f t="array" ref="N17">SUMPRODUCT(--(ISNUMBER(SEARCH($A17,'Diags Raw Data'!$A$6:$A$3664))),--('Diags Raw Data'!$P$6:$P$3664&lt;&gt;"N/A"),'Diags Raw Data'!$S$6:$S$3664)+SUMPRODUCT(--(ISNUMBER(SEARCH($A17,'Diags Raw Data'!$A$6:$A$3664))),--('Diags Raw Data'!$P$6:$P$3664&lt;&gt;"N/A"),'Diags Raw Data'!$T$6:$T$3664)</f>
        <v>0</v>
      </c>
      <c r="O17" s="422">
        <f t="shared" si="6"/>
        <v>0</v>
      </c>
      <c r="P17" s="423">
        <f>SUMIF('Diags Raw Data'!$A$6:$A$3664,"*"&amp;$A17&amp;"*",'Diags Raw Data'!$Y$6:$Y$3664)</f>
        <v>0</v>
      </c>
      <c r="Q17" s="424">
        <f>SUM(SUMIF('Diags Raw Data'!$A$6:$A$3664,"*"&amp;$A17&amp;"*",'Diags Raw Data'!$Z$6:$Z$3664),SUMIF('Diags Raw Data'!$A$6:$A$3664,"*"&amp;$A17&amp;"*",'Diags Raw Data'!$AA$6:$AA$3664))</f>
        <v>0</v>
      </c>
      <c r="R17" s="425">
        <f t="shared" si="7"/>
        <v>0</v>
      </c>
      <c r="S17" s="425">
        <f t="shared" si="8"/>
        <v>0</v>
      </c>
      <c r="T17" s="426">
        <f t="shared" si="9"/>
        <v>0</v>
      </c>
      <c r="U17" s="397" t="s">
        <v>489</v>
      </c>
      <c r="V17" s="170"/>
    </row>
    <row r="18" spans="1:22" ht="15.75" thickBot="1" x14ac:dyDescent="0.3">
      <c r="A18" s="464" t="s">
        <v>289</v>
      </c>
      <c r="B18" s="346" t="str">
        <f>VLOOKUP(A18,'Feature Raw Data'!$A$3:$B$3940,2,FALSE)</f>
        <v>GFX EDC control</v>
      </c>
      <c r="C18" s="293" t="str">
        <f>VLOOKUP(A18,'Feature Raw Data'!$A$3:$C$3940,3,FALSE)</f>
        <v>P2</v>
      </c>
      <c r="D18" s="82" t="str" cm="1">
        <f t="array" ref="D18">_xlfn.TEXTJOIN("",TRUE,IF(ISNUMBER(SEARCH($A18,'Diags Raw Data'!$A$6:$A$3664)),CONCATENATE('Diags Raw Data'!$H$6:$H$3664,", "),""))</f>
        <v/>
      </c>
      <c r="E18" s="304" t="s">
        <v>248</v>
      </c>
      <c r="F18" s="169" t="str">
        <f>VLOOKUP(A18,'Feature Raw Data'!$A$3:$E$3940,5,FALSE)</f>
        <v>Legacy</v>
      </c>
      <c r="G18" s="169" t="str">
        <f t="shared" si="10"/>
        <v>No</v>
      </c>
      <c r="H18" s="169" t="s">
        <v>36</v>
      </c>
      <c r="I18" s="293">
        <f>SUMIF('Diags Raw Data'!$A$6:$A$3664,"*"&amp;$A18&amp;"*",'Diags Raw Data'!$J$6:$J$3664)</f>
        <v>0</v>
      </c>
      <c r="J18" s="183">
        <f>SUMIF('Diags Raw Data'!$A$6:$A$3664,"*"&amp;$A18&amp;"*",'Diags Raw Data'!$K$6:$K$3664)</f>
        <v>0</v>
      </c>
      <c r="K18" s="418" cm="1">
        <f t="array" ref="K18">IF(D18="",0, SUMPRODUCT(--(ISNUMBER(SEARCH($A18,'Diags Raw Data'!$A$6:$A$3664))),'Diags Raw Data'!$K$6:$K$3664,'Diags Raw Data'!$M$6:$M$3664)/J18)</f>
        <v>0</v>
      </c>
      <c r="L18" s="419" cm="1">
        <f t="array" ref="L18">IF(D18="",0, SUMPRODUCT(--(ISNUMBER(SEARCH($A18,'Diags Raw Data'!$A$6:$A$3664))),'Diags Raw Data'!$K$6:$K$3664,'Diags Raw Data'!$O$6:$O$3664)/J18)</f>
        <v>0</v>
      </c>
      <c r="M18" s="420" cm="1">
        <f t="array" ref="M18">SUMPRODUCT(--(ISNUMBER(SEARCH($A18,'Diags Raw Data'!$A$6:$A$3664))),--('Diags Raw Data'!$P$6:$P$3664&lt;&gt;"N/A"),'Diags Raw Data'!$Q$6:$Q$3664)</f>
        <v>0</v>
      </c>
      <c r="N18" s="421" cm="1">
        <f t="array" ref="N18">SUMPRODUCT(--(ISNUMBER(SEARCH($A18,'Diags Raw Data'!$A$6:$A$3664))),--('Diags Raw Data'!$P$6:$P$3664&lt;&gt;"N/A"),'Diags Raw Data'!$S$6:$S$3664)+SUMPRODUCT(--(ISNUMBER(SEARCH($A18,'Diags Raw Data'!$A$6:$A$3664))),--('Diags Raw Data'!$P$6:$P$3664&lt;&gt;"N/A"),'Diags Raw Data'!$T$6:$T$3664)</f>
        <v>0</v>
      </c>
      <c r="O18" s="422">
        <f t="shared" si="6"/>
        <v>0</v>
      </c>
      <c r="P18" s="423">
        <f>SUMIF('Diags Raw Data'!$A$6:$A$3664,"*"&amp;$A18&amp;"*",'Diags Raw Data'!$Y$6:$Y$3664)</f>
        <v>0</v>
      </c>
      <c r="Q18" s="424">
        <f>SUM(SUMIF('Diags Raw Data'!$A$6:$A$3664,"*"&amp;$A18&amp;"*",'Diags Raw Data'!$Z$6:$Z$3664),SUMIF('Diags Raw Data'!$A$6:$A$3664,"*"&amp;$A18&amp;"*",'Diags Raw Data'!$AA$6:$AA$3664))</f>
        <v>0</v>
      </c>
      <c r="R18" s="425">
        <f t="shared" si="7"/>
        <v>0</v>
      </c>
      <c r="S18" s="425">
        <f t="shared" si="8"/>
        <v>0</v>
      </c>
      <c r="T18" s="426">
        <f t="shared" si="9"/>
        <v>0</v>
      </c>
      <c r="U18" s="397" t="s">
        <v>489</v>
      </c>
      <c r="V18" s="170"/>
    </row>
    <row r="19" spans="1:22" ht="15.75" thickBot="1" x14ac:dyDescent="0.3">
      <c r="A19" s="464" t="s">
        <v>291</v>
      </c>
      <c r="B19" s="570" t="str">
        <f>VLOOKUP(A19,'Feature Raw Data'!$A$3:$B$3940,2,FALSE)</f>
        <v>SVI 3.0 support</v>
      </c>
      <c r="C19" s="571" t="str">
        <f>VLOOKUP(A19,'Feature Raw Data'!$A$3:$C$3940,3,FALSE)</f>
        <v>P2</v>
      </c>
      <c r="D19" s="300" t="str" cm="1">
        <f t="array" ref="D19">_xlfn.TEXTJOIN("",TRUE,IF(ISNUMBER(SEARCH($A19,'Diags Raw Data'!$A$6:$A$3664)),CONCATENATE('Diags Raw Data'!$H$6:$H$3664,", "),""))</f>
        <v xml:space="preserve">PM80.340, PM80.342, </v>
      </c>
      <c r="E19" s="304" t="s">
        <v>248</v>
      </c>
      <c r="F19" s="169" t="str">
        <f>VLOOKUP(A19,'Feature Raw Data'!$A$3:$E$3940,5,FALSE)</f>
        <v>Legacy</v>
      </c>
      <c r="G19" s="169" t="str">
        <f t="shared" si="10"/>
        <v>Yes</v>
      </c>
      <c r="H19" s="169" t="str">
        <f t="shared" si="11"/>
        <v>Yes</v>
      </c>
      <c r="I19" s="293">
        <f>SUMIF('Diags Raw Data'!$A$6:$A$3664,"*"&amp;$A19&amp;"*",'Diags Raw Data'!$J$6:$J$3664)</f>
        <v>2</v>
      </c>
      <c r="J19" s="183">
        <f>SUMIF('Diags Raw Data'!$A$6:$A$3664,"*"&amp;$A19&amp;"*",'Diags Raw Data'!$K$6:$K$3664)</f>
        <v>2</v>
      </c>
      <c r="K19" s="418" cm="1">
        <f t="array" ref="K19">IF(D19="",0, SUMPRODUCT(--(ISNUMBER(SEARCH($A19,'Diags Raw Data'!$A$6:$A$3664))),'Diags Raw Data'!$K$6:$K$3664,'Diags Raw Data'!$M$6:$M$3664)/J19)</f>
        <v>1</v>
      </c>
      <c r="L19" s="419" cm="1">
        <f t="array" ref="L19">IF(D19="",0, SUMPRODUCT(--(ISNUMBER(SEARCH($A19,'Diags Raw Data'!$A$6:$A$3664))),'Diags Raw Data'!$K$6:$K$3664,'Diags Raw Data'!$O$6:$O$3664)/J19)</f>
        <v>0.3</v>
      </c>
      <c r="M19" s="420" cm="1">
        <f t="array" ref="M19">SUMPRODUCT(--(ISNUMBER(SEARCH($A19,'Diags Raw Data'!$A$6:$A$3664))),--('Diags Raw Data'!$P$6:$P$3664&lt;&gt;"N/A"),'Diags Raw Data'!$Q$6:$Q$3664)</f>
        <v>1</v>
      </c>
      <c r="N19" s="421" cm="1">
        <f t="array" ref="N19">SUMPRODUCT(--(ISNUMBER(SEARCH($A19,'Diags Raw Data'!$A$6:$A$3664))),--('Diags Raw Data'!$P$6:$P$3664&lt;&gt;"N/A"),'Diags Raw Data'!$S$6:$S$3664)+SUMPRODUCT(--(ISNUMBER(SEARCH($A19,'Diags Raw Data'!$A$6:$A$3664))),--('Diags Raw Data'!$P$6:$P$3664&lt;&gt;"N/A"),'Diags Raw Data'!$T$6:$T$3664)</f>
        <v>0</v>
      </c>
      <c r="O19" s="422">
        <f t="shared" si="6"/>
        <v>0</v>
      </c>
      <c r="P19" s="423">
        <f>SUMIF('Diags Raw Data'!$A$6:$A$3664,"*"&amp;$A19&amp;"*",'Diags Raw Data'!$Y$6:$Y$3664)</f>
        <v>0</v>
      </c>
      <c r="Q19" s="424">
        <f>SUM(SUMIF('Diags Raw Data'!$A$6:$A$3664,"*"&amp;$A19&amp;"*",'Diags Raw Data'!$Z$6:$Z$3664),SUMIF('Diags Raw Data'!$A$6:$A$3664,"*"&amp;$A19&amp;"*",'Diags Raw Data'!$AA$6:$AA$3664))</f>
        <v>0</v>
      </c>
      <c r="R19" s="425">
        <f t="shared" si="7"/>
        <v>0</v>
      </c>
      <c r="S19" s="425">
        <f t="shared" si="8"/>
        <v>0</v>
      </c>
      <c r="T19" s="426">
        <f t="shared" si="9"/>
        <v>0</v>
      </c>
      <c r="U19" s="397" t="s">
        <v>489</v>
      </c>
      <c r="V19" s="170"/>
    </row>
    <row r="20" spans="1:22" ht="15.75" thickBot="1" x14ac:dyDescent="0.3">
      <c r="A20" s="464" t="s">
        <v>293</v>
      </c>
      <c r="B20" s="346" t="str">
        <f>VLOOKUP(A20,'Feature Raw Data'!$A$3:$B$3940,2,FALSE)</f>
        <v>SVI 3.0 telemetry for all rails</v>
      </c>
      <c r="C20" s="293" t="str">
        <f>VLOOKUP(A20,'Feature Raw Data'!$A$3:$C$3940,3,FALSE)</f>
        <v>P2</v>
      </c>
      <c r="D20" s="82" t="str" cm="1">
        <f t="array" ref="D20">_xlfn.TEXTJOIN("",TRUE,IF(ISNUMBER(SEARCH($A20,'Diags Raw Data'!$A$6:$A$3664)),CONCATENATE('Diags Raw Data'!$H$6:$H$3664,", "),""))</f>
        <v xml:space="preserve">Covered by SMU HW TP, </v>
      </c>
      <c r="E20" s="304" t="s">
        <v>248</v>
      </c>
      <c r="F20" s="169" t="str">
        <f>VLOOKUP(A20,'Feature Raw Data'!$A$3:$E$3940,5,FALSE)</f>
        <v>Legacy</v>
      </c>
      <c r="G20" s="169" t="str">
        <f t="shared" si="10"/>
        <v>Yes</v>
      </c>
      <c r="H20" s="169" t="str">
        <f t="shared" si="11"/>
        <v>Yes</v>
      </c>
      <c r="I20" s="293">
        <f>SUMIF('Diags Raw Data'!$A$6:$A$3664,"*"&amp;$A20&amp;"*",'Diags Raw Data'!$J$6:$J$3664)</f>
        <v>1</v>
      </c>
      <c r="J20" s="183">
        <f>SUMIF('Diags Raw Data'!$A$6:$A$3664,"*"&amp;$A20&amp;"*",'Diags Raw Data'!$K$6:$K$3664)</f>
        <v>1</v>
      </c>
      <c r="K20" s="418" cm="1">
        <f t="array" ref="K20">IF(D20="",0, SUMPRODUCT(--(ISNUMBER(SEARCH($A20,'Diags Raw Data'!$A$6:$A$3664))),'Diags Raw Data'!$K$6:$K$3664,'Diags Raw Data'!$M$6:$M$3664)/J20)</f>
        <v>1</v>
      </c>
      <c r="L20" s="419" cm="1">
        <f t="array" ref="L20">IF(D20="",0, SUMPRODUCT(--(ISNUMBER(SEARCH($A20,'Diags Raw Data'!$A$6:$A$3664))),'Diags Raw Data'!$K$6:$K$3664,'Diags Raw Data'!$O$6:$O$3664)/J20)</f>
        <v>0.6</v>
      </c>
      <c r="M20" s="420" cm="1">
        <f t="array" ref="M20">SUMPRODUCT(--(ISNUMBER(SEARCH($A20,'Diags Raw Data'!$A$6:$A$3664))),--('Diags Raw Data'!$P$6:$P$3664&lt;&gt;"N/A"),'Diags Raw Data'!$Q$6:$Q$3664)</f>
        <v>1</v>
      </c>
      <c r="N20" s="421" cm="1">
        <f t="array" ref="N20">SUMPRODUCT(--(ISNUMBER(SEARCH($A20,'Diags Raw Data'!$A$6:$A$3664))),--('Diags Raw Data'!$P$6:$P$3664&lt;&gt;"N/A"),'Diags Raw Data'!$S$6:$S$3664)+SUMPRODUCT(--(ISNUMBER(SEARCH($A20,'Diags Raw Data'!$A$6:$A$3664))),--('Diags Raw Data'!$P$6:$P$3664&lt;&gt;"N/A"),'Diags Raw Data'!$T$6:$T$3664)</f>
        <v>0</v>
      </c>
      <c r="O20" s="422">
        <f t="shared" si="6"/>
        <v>0</v>
      </c>
      <c r="P20" s="423">
        <f>SUMIF('Diags Raw Data'!$A$6:$A$3664,"*"&amp;$A20&amp;"*",'Diags Raw Data'!$Y$6:$Y$3664)</f>
        <v>0</v>
      </c>
      <c r="Q20" s="424">
        <f>SUM(SUMIF('Diags Raw Data'!$A$6:$A$3664,"*"&amp;$A20&amp;"*",'Diags Raw Data'!$Z$6:$Z$3664),SUMIF('Diags Raw Data'!$A$6:$A$3664,"*"&amp;$A20&amp;"*",'Diags Raw Data'!$AA$6:$AA$3664))</f>
        <v>0</v>
      </c>
      <c r="R20" s="425">
        <f t="shared" si="7"/>
        <v>0</v>
      </c>
      <c r="S20" s="425">
        <f t="shared" si="8"/>
        <v>0</v>
      </c>
      <c r="T20" s="426">
        <f t="shared" si="9"/>
        <v>0</v>
      </c>
      <c r="U20" s="397" t="s">
        <v>489</v>
      </c>
      <c r="V20" s="170"/>
    </row>
    <row r="21" spans="1:22" ht="15.75" thickBot="1" x14ac:dyDescent="0.3">
      <c r="A21" s="464" t="s">
        <v>295</v>
      </c>
      <c r="B21" s="570" t="str">
        <f>VLOOKUP(A21,'Feature Raw Data'!$A$3:$B$3940,2,FALSE)</f>
        <v xml:space="preserve">DF Pstates </v>
      </c>
      <c r="C21" s="571" t="str">
        <f>VLOOKUP(A21,'Feature Raw Data'!$A$3:$C$3940,3,FALSE)</f>
        <v>P2</v>
      </c>
      <c r="D21" s="300" t="str" cm="1">
        <f t="array" ref="D21">_xlfn.TEXTJOIN("",TRUE,IF(ISNUMBER(SEARCH($A21,'Diags Raw Data'!$A$6:$A$3664)),CONCATENATE('Diags Raw Data'!$H$6:$H$3664,", "),""))</f>
        <v xml:space="preserve">PM80.310, PM15.1, </v>
      </c>
      <c r="E21" s="304" t="s">
        <v>248</v>
      </c>
      <c r="F21" s="169" t="str">
        <f>VLOOKUP(A21,'Feature Raw Data'!$A$3:$E$3940,5,FALSE)</f>
        <v>Legacy</v>
      </c>
      <c r="G21" s="169" t="str">
        <f t="shared" si="10"/>
        <v>Yes</v>
      </c>
      <c r="H21" s="169" t="str">
        <f t="shared" si="11"/>
        <v>Yes</v>
      </c>
      <c r="I21" s="293">
        <f>SUMIF('Diags Raw Data'!$A$6:$A$3664,"*"&amp;$A21&amp;"*",'Diags Raw Data'!$J$6:$J$3664)</f>
        <v>2</v>
      </c>
      <c r="J21" s="183">
        <f>SUMIF('Diags Raw Data'!$A$6:$A$3664,"*"&amp;$A21&amp;"*",'Diags Raw Data'!$K$6:$K$3664)</f>
        <v>2</v>
      </c>
      <c r="K21" s="418" cm="1">
        <f t="array" ref="K21">IF(D21="",0, SUMPRODUCT(--(ISNUMBER(SEARCH($A21,'Diags Raw Data'!$A$6:$A$3664))),'Diags Raw Data'!$K$6:$K$3664,'Diags Raw Data'!$M$6:$M$3664)/J21)</f>
        <v>1</v>
      </c>
      <c r="L21" s="419" cm="1">
        <f t="array" ref="L21">IF(D21="",0, SUMPRODUCT(--(ISNUMBER(SEARCH($A21,'Diags Raw Data'!$A$6:$A$3664))),'Diags Raw Data'!$K$6:$K$3664,'Diags Raw Data'!$O$6:$O$3664)/J21)</f>
        <v>0.6</v>
      </c>
      <c r="M21" s="420" cm="1">
        <f t="array" ref="M21">SUMPRODUCT(--(ISNUMBER(SEARCH($A21,'Diags Raw Data'!$A$6:$A$3664))),--('Diags Raw Data'!$P$6:$P$3664&lt;&gt;"N/A"),'Diags Raw Data'!$Q$6:$Q$3664)</f>
        <v>2</v>
      </c>
      <c r="N21" s="421" cm="1">
        <f t="array" ref="N21">SUMPRODUCT(--(ISNUMBER(SEARCH($A21,'Diags Raw Data'!$A$6:$A$3664))),--('Diags Raw Data'!$P$6:$P$3664&lt;&gt;"N/A"),'Diags Raw Data'!$S$6:$S$3664)+SUMPRODUCT(--(ISNUMBER(SEARCH($A21,'Diags Raw Data'!$A$6:$A$3664))),--('Diags Raw Data'!$P$6:$P$3664&lt;&gt;"N/A"),'Diags Raw Data'!$T$6:$T$3664)</f>
        <v>0</v>
      </c>
      <c r="O21" s="422">
        <f t="shared" si="6"/>
        <v>0</v>
      </c>
      <c r="P21" s="423">
        <v>2</v>
      </c>
      <c r="Q21" s="424">
        <v>2</v>
      </c>
      <c r="R21" s="425">
        <f t="shared" si="7"/>
        <v>1</v>
      </c>
      <c r="S21" s="425">
        <f t="shared" si="8"/>
        <v>1</v>
      </c>
      <c r="T21" s="426">
        <f t="shared" si="9"/>
        <v>1</v>
      </c>
      <c r="U21" s="397" t="s">
        <v>489</v>
      </c>
      <c r="V21" s="170"/>
    </row>
    <row r="22" spans="1:22" ht="15.75" thickBot="1" x14ac:dyDescent="0.3">
      <c r="A22" s="464" t="s">
        <v>297</v>
      </c>
      <c r="B22" s="346" t="str">
        <f>VLOOKUP(A22,'Feature Raw Data'!$A$3:$B$3940,2,FALSE)</f>
        <v>Memory P-states</v>
      </c>
      <c r="C22" s="293" t="str">
        <f>VLOOKUP(A22,'Feature Raw Data'!$A$3:$C$3940,3,FALSE)</f>
        <v>P2</v>
      </c>
      <c r="D22" s="82" t="str" cm="1">
        <f t="array" ref="D22">_xlfn.TEXTJOIN("",TRUE,IF(ISNUMBER(SEARCH($A22,'Diags Raw Data'!$A$6:$A$3664)),CONCATENATE('Diags Raw Data'!$H$6:$H$3664,", "),""))</f>
        <v/>
      </c>
      <c r="E22" s="304" t="s">
        <v>248</v>
      </c>
      <c r="F22" s="169" t="str">
        <f>VLOOKUP(A22,'Feature Raw Data'!$A$3:$E$3940,5,FALSE)</f>
        <v>Legacy</v>
      </c>
      <c r="G22" s="169" t="str">
        <f t="shared" si="10"/>
        <v>No</v>
      </c>
      <c r="H22" s="169" t="str">
        <f t="shared" si="11"/>
        <v>No</v>
      </c>
      <c r="I22" s="293">
        <f>SUMIF('Diags Raw Data'!$A$6:$A$3664,"*"&amp;$A22&amp;"*",'Diags Raw Data'!$J$6:$J$3664)</f>
        <v>0</v>
      </c>
      <c r="J22" s="183">
        <f>SUMIF('Diags Raw Data'!$A$6:$A$3664,"*"&amp;$A22&amp;"*",'Diags Raw Data'!$K$6:$K$3664)</f>
        <v>0</v>
      </c>
      <c r="K22" s="418" cm="1">
        <f t="array" ref="K22">IF(D22="",0, SUMPRODUCT(--(ISNUMBER(SEARCH($A22,'Diags Raw Data'!$A$6:$A$3664))),'Diags Raw Data'!$K$6:$K$3664,'Diags Raw Data'!$M$6:$M$3664)/J22)</f>
        <v>0</v>
      </c>
      <c r="L22" s="419" cm="1">
        <f t="array" ref="L22">IF(D22="",0, SUMPRODUCT(--(ISNUMBER(SEARCH($A22,'Diags Raw Data'!$A$6:$A$3664))),'Diags Raw Data'!$K$6:$K$3664,'Diags Raw Data'!$O$6:$O$3664)/J22)</f>
        <v>0</v>
      </c>
      <c r="M22" s="420" cm="1">
        <f t="array" ref="M22">SUMPRODUCT(--(ISNUMBER(SEARCH($A22,'Diags Raw Data'!$A$6:$A$3664))),--('Diags Raw Data'!$P$6:$P$3664&lt;&gt;"N/A"),'Diags Raw Data'!$Q$6:$Q$3664)</f>
        <v>0</v>
      </c>
      <c r="N22" s="421" cm="1">
        <f t="array" ref="N22">SUMPRODUCT(--(ISNUMBER(SEARCH($A22,'Diags Raw Data'!$A$6:$A$3664))),--('Diags Raw Data'!$P$6:$P$3664&lt;&gt;"N/A"),'Diags Raw Data'!$S$6:$S$3664)+SUMPRODUCT(--(ISNUMBER(SEARCH($A22,'Diags Raw Data'!$A$6:$A$3664))),--('Diags Raw Data'!$P$6:$P$3664&lt;&gt;"N/A"),'Diags Raw Data'!$T$6:$T$3664)</f>
        <v>0</v>
      </c>
      <c r="O22" s="422">
        <f t="shared" si="6"/>
        <v>0</v>
      </c>
      <c r="P22" s="423">
        <v>1</v>
      </c>
      <c r="Q22" s="424">
        <v>1</v>
      </c>
      <c r="R22" s="425">
        <f>IF((J22=0),0,P22/J22)</f>
        <v>0</v>
      </c>
      <c r="S22" s="425">
        <f t="shared" si="8"/>
        <v>1</v>
      </c>
      <c r="T22" s="426">
        <f t="shared" si="9"/>
        <v>0</v>
      </c>
      <c r="U22" s="397" t="s">
        <v>489</v>
      </c>
      <c r="V22" s="170"/>
    </row>
    <row r="23" spans="1:22" ht="15.75" thickBot="1" x14ac:dyDescent="0.3">
      <c r="A23" s="464" t="s">
        <v>299</v>
      </c>
      <c r="B23" s="570" t="str">
        <f>VLOOKUP(A23,'Feature Raw Data'!$A$3:$B$3940,2,FALSE)</f>
        <v>VCN DPM</v>
      </c>
      <c r="C23" s="571" t="str">
        <f>VLOOKUP(A23,'Feature Raw Data'!$A$3:$C$3940,3,FALSE)</f>
        <v>P2</v>
      </c>
      <c r="D23" s="300" t="str" cm="1">
        <f t="array" ref="D23">_xlfn.TEXTJOIN("",TRUE,IF(ISNUMBER(SEARCH($A23,'Diags Raw Data'!$A$6:$A$3664)),CONCATENATE('Diags Raw Data'!$H$6:$H$3664,", "),""))</f>
        <v xml:space="preserve">PM18.1, </v>
      </c>
      <c r="E23" s="304" t="s">
        <v>248</v>
      </c>
      <c r="F23" s="169" t="str">
        <f>VLOOKUP(A23,'Feature Raw Data'!$A$3:$E$3940,5,FALSE)</f>
        <v>Legacy</v>
      </c>
      <c r="G23" s="169" t="str">
        <f t="shared" si="10"/>
        <v>Yes</v>
      </c>
      <c r="H23" s="169" t="str">
        <f t="shared" si="11"/>
        <v>Yes</v>
      </c>
      <c r="I23" s="293">
        <f>SUMIF('Diags Raw Data'!$A$6:$A$3664,"*"&amp;$A23&amp;"*",'Diags Raw Data'!$J$6:$J$3664)</f>
        <v>1</v>
      </c>
      <c r="J23" s="183">
        <f>SUMIF('Diags Raw Data'!$A$6:$A$3664,"*"&amp;$A23&amp;"*",'Diags Raw Data'!$K$6:$K$3664)</f>
        <v>1</v>
      </c>
      <c r="K23" s="418" cm="1">
        <f t="array" ref="K23">IF(D23="",0, SUMPRODUCT(--(ISNUMBER(SEARCH($A23,'Diags Raw Data'!$A$6:$A$3664))),'Diags Raw Data'!$K$6:$K$3664,'Diags Raw Data'!$M$6:$M$3664)/J23)</f>
        <v>1</v>
      </c>
      <c r="L23" s="419" cm="1">
        <f t="array" ref="L23">IF(D23="",0, SUMPRODUCT(--(ISNUMBER(SEARCH($A23,'Diags Raw Data'!$A$6:$A$3664))),'Diags Raw Data'!$K$6:$K$3664,'Diags Raw Data'!$O$6:$O$3664)/J23)</f>
        <v>0.6</v>
      </c>
      <c r="M23" s="420" cm="1">
        <f t="array" ref="M23">SUMPRODUCT(--(ISNUMBER(SEARCH($A23,'Diags Raw Data'!$A$6:$A$3664))),--('Diags Raw Data'!$P$6:$P$3664&lt;&gt;"N/A"),'Diags Raw Data'!$Q$6:$Q$3664)</f>
        <v>1</v>
      </c>
      <c r="N23" s="421" cm="1">
        <f t="array" ref="N23">SUMPRODUCT(--(ISNUMBER(SEARCH($A23,'Diags Raw Data'!$A$6:$A$3664))),--('Diags Raw Data'!$P$6:$P$3664&lt;&gt;"N/A"),'Diags Raw Data'!$S$6:$S$3664)+SUMPRODUCT(--(ISNUMBER(SEARCH($A23,'Diags Raw Data'!$A$6:$A$3664))),--('Diags Raw Data'!$P$6:$P$3664&lt;&gt;"N/A"),'Diags Raw Data'!$T$6:$T$3664)</f>
        <v>0</v>
      </c>
      <c r="O23" s="422">
        <f t="shared" si="6"/>
        <v>0</v>
      </c>
      <c r="P23" s="423">
        <f>SUMIF('Diags Raw Data'!$A$6:$A$3664,"*"&amp;$A23&amp;"*",'Diags Raw Data'!$Y$6:$Y$3664)</f>
        <v>0</v>
      </c>
      <c r="Q23" s="424">
        <f>SUM(SUMIF('Diags Raw Data'!$A$6:$A$3664,"*"&amp;$A23&amp;"*",'Diags Raw Data'!$Z$6:$Z$3664),SUMIF('Diags Raw Data'!$A$6:$A$3664,"*"&amp;$A23&amp;"*",'Diags Raw Data'!$AA$6:$AA$3664))</f>
        <v>0</v>
      </c>
      <c r="R23" s="425">
        <f t="shared" si="7"/>
        <v>0</v>
      </c>
      <c r="S23" s="425">
        <f t="shared" si="8"/>
        <v>0</v>
      </c>
      <c r="T23" s="426">
        <f t="shared" si="9"/>
        <v>0</v>
      </c>
      <c r="U23" s="397" t="s">
        <v>489</v>
      </c>
      <c r="V23" s="170"/>
    </row>
    <row r="24" spans="1:22" ht="120.75" thickBot="1" x14ac:dyDescent="0.3">
      <c r="A24" s="464" t="s">
        <v>301</v>
      </c>
      <c r="B24" s="346" t="str">
        <f>VLOOKUP(A24,'Feature Raw Data'!$A$3:$B$3940,2,FALSE)</f>
        <v>PPT Controller</v>
      </c>
      <c r="C24" s="293" t="str">
        <f>VLOOKUP(A24,'Feature Raw Data'!$A$3:$C$3940,3,FALSE)</f>
        <v>P2</v>
      </c>
      <c r="D24" s="82" t="str" cm="1">
        <f t="array" ref="D24">_xlfn.TEXTJOIN("",TRUE,IF(ISNUMBER(SEARCH($A24,'Diags Raw Data'!$A$6:$A$3664)),CONCATENATE('Diags Raw Data'!$H$6:$H$3664,", "),""))</f>
        <v/>
      </c>
      <c r="E24" s="304" t="s">
        <v>248</v>
      </c>
      <c r="F24" s="169" t="str">
        <f>VLOOKUP(A24,'Feature Raw Data'!$A$3:$E$3940,5,FALSE)</f>
        <v>Legacy</v>
      </c>
      <c r="G24" s="169" t="s">
        <v>31</v>
      </c>
      <c r="H24" s="481" t="s">
        <v>490</v>
      </c>
      <c r="I24" s="562">
        <v>0</v>
      </c>
      <c r="J24" s="183">
        <f>SUMIF('Diags Raw Data'!$A$6:$A$3664,"*"&amp;$A24&amp;"*",'Diags Raw Data'!$K$6:$K$3664)</f>
        <v>0</v>
      </c>
      <c r="K24" s="418" cm="1">
        <f t="array" ref="K24">IF(D24="",0, SUMPRODUCT(--(ISNUMBER(SEARCH($A24,'Diags Raw Data'!$A$6:$A$3664))),'Diags Raw Data'!$K$6:$K$3664,'Diags Raw Data'!$M$6:$M$3664)/J24)</f>
        <v>0</v>
      </c>
      <c r="L24" s="419" cm="1">
        <f t="array" ref="L24">IF(D24="",0, SUMPRODUCT(--(ISNUMBER(SEARCH($A24,'Diags Raw Data'!$A$6:$A$3664))),'Diags Raw Data'!$K$6:$K$3664,'Diags Raw Data'!$O$6:$O$3664)/J24)</f>
        <v>0</v>
      </c>
      <c r="M24" s="420" cm="1">
        <f t="array" ref="M24">SUMPRODUCT(--(ISNUMBER(SEARCH($A24,'Diags Raw Data'!$A$6:$A$3664))),--('Diags Raw Data'!$P$6:$P$3664&lt;&gt;"N/A"),'Diags Raw Data'!$Q$6:$Q$3664)</f>
        <v>0</v>
      </c>
      <c r="N24" s="421" cm="1">
        <f t="array" ref="N24">SUMPRODUCT(--(ISNUMBER(SEARCH($A24,'Diags Raw Data'!$A$6:$A$3664))),--('Diags Raw Data'!$P$6:$P$3664&lt;&gt;"N/A"),'Diags Raw Data'!$S$6:$S$3664)+SUMPRODUCT(--(ISNUMBER(SEARCH($A24,'Diags Raw Data'!$A$6:$A$3664))),--('Diags Raw Data'!$P$6:$P$3664&lt;&gt;"N/A"),'Diags Raw Data'!$T$6:$T$3664)</f>
        <v>0</v>
      </c>
      <c r="O24" s="422">
        <f t="shared" si="6"/>
        <v>0</v>
      </c>
      <c r="P24" s="423">
        <f>SUMIF('Diags Raw Data'!$A$6:$A$3664,"*"&amp;$A24&amp;"*",'Diags Raw Data'!$Y$6:$Y$3664)</f>
        <v>0</v>
      </c>
      <c r="Q24" s="424">
        <f>SUM(SUMIF('Diags Raw Data'!$A$6:$A$3664,"*"&amp;$A24&amp;"*",'Diags Raw Data'!$Z$6:$Z$3664),SUMIF('Diags Raw Data'!$A$6:$A$3664,"*"&amp;$A24&amp;"*",'Diags Raw Data'!$AA$6:$AA$3664))</f>
        <v>0</v>
      </c>
      <c r="R24" s="425">
        <f t="shared" si="7"/>
        <v>0</v>
      </c>
      <c r="S24" s="425">
        <f t="shared" si="8"/>
        <v>0</v>
      </c>
      <c r="T24" s="426">
        <f t="shared" si="9"/>
        <v>0</v>
      </c>
      <c r="U24" s="397" t="s">
        <v>489</v>
      </c>
      <c r="V24" s="170"/>
    </row>
    <row r="25" spans="1:22" ht="120.75" thickBot="1" x14ac:dyDescent="0.3">
      <c r="A25" s="464" t="s">
        <v>303</v>
      </c>
      <c r="B25" s="346" t="str">
        <f>VLOOKUP(A25,'Feature Raw Data'!$A$3:$B$3940,2,FALSE)</f>
        <v>TDC Controller</v>
      </c>
      <c r="C25" s="293" t="str">
        <f>VLOOKUP(A25,'Feature Raw Data'!$A$3:$C$3940,3,FALSE)</f>
        <v>P2</v>
      </c>
      <c r="D25" s="82" t="str" cm="1">
        <f t="array" ref="D25">_xlfn.TEXTJOIN("",TRUE,IF(ISNUMBER(SEARCH($A25,'Diags Raw Data'!$A$6:$A$3664)),CONCATENATE('Diags Raw Data'!$H$6:$H$3664,", "),""))</f>
        <v/>
      </c>
      <c r="E25" s="304" t="s">
        <v>248</v>
      </c>
      <c r="F25" s="169" t="str">
        <f>VLOOKUP(A25,'Feature Raw Data'!$A$3:$E$3940,5,FALSE)</f>
        <v>Legacy</v>
      </c>
      <c r="G25" s="169" t="s">
        <v>31</v>
      </c>
      <c r="H25" s="481" t="s">
        <v>490</v>
      </c>
      <c r="I25" s="562">
        <v>0</v>
      </c>
      <c r="J25" s="183">
        <f>SUMIF('Diags Raw Data'!$A$6:$A$3664,"*"&amp;$A25&amp;"*",'Diags Raw Data'!$K$6:$K$3664)</f>
        <v>0</v>
      </c>
      <c r="K25" s="418" cm="1">
        <f t="array" ref="K25">IF(D25="",0, SUMPRODUCT(--(ISNUMBER(SEARCH($A25,'Diags Raw Data'!$A$6:$A$3664))),'Diags Raw Data'!$K$6:$K$3664,'Diags Raw Data'!$M$6:$M$3664)/J25)</f>
        <v>0</v>
      </c>
      <c r="L25" s="419" cm="1">
        <f t="array" ref="L25">IF(D25="",0, SUMPRODUCT(--(ISNUMBER(SEARCH($A25,'Diags Raw Data'!$A$6:$A$3664))),'Diags Raw Data'!$K$6:$K$3664,'Diags Raw Data'!$O$6:$O$3664)/J25)</f>
        <v>0</v>
      </c>
      <c r="M25" s="420" cm="1">
        <f t="array" ref="M25">SUMPRODUCT(--(ISNUMBER(SEARCH($A25,'Diags Raw Data'!$A$6:$A$3664))),--('Diags Raw Data'!$P$6:$P$3664&lt;&gt;"N/A"),'Diags Raw Data'!$Q$6:$Q$3664)</f>
        <v>0</v>
      </c>
      <c r="N25" s="421" cm="1">
        <f t="array" ref="N25">SUMPRODUCT(--(ISNUMBER(SEARCH($A25,'Diags Raw Data'!$A$6:$A$3664))),--('Diags Raw Data'!$P$6:$P$3664&lt;&gt;"N/A"),'Diags Raw Data'!$S$6:$S$3664)+SUMPRODUCT(--(ISNUMBER(SEARCH($A25,'Diags Raw Data'!$A$6:$A$3664))),--('Diags Raw Data'!$P$6:$P$3664&lt;&gt;"N/A"),'Diags Raw Data'!$T$6:$T$3664)</f>
        <v>0</v>
      </c>
      <c r="O25" s="422">
        <f t="shared" si="6"/>
        <v>0</v>
      </c>
      <c r="P25" s="423">
        <f>SUMIF('Diags Raw Data'!$A$6:$A$3664,"*"&amp;$A25&amp;"*",'Diags Raw Data'!$Y$6:$Y$3664)</f>
        <v>0</v>
      </c>
      <c r="Q25" s="424">
        <f>SUM(SUMIF('Diags Raw Data'!$A$6:$A$3664,"*"&amp;$A25&amp;"*",'Diags Raw Data'!$Z$6:$Z$3664),SUMIF('Diags Raw Data'!$A$6:$A$3664,"*"&amp;$A25&amp;"*",'Diags Raw Data'!$AA$6:$AA$3664))</f>
        <v>0</v>
      </c>
      <c r="R25" s="425">
        <f t="shared" si="7"/>
        <v>0</v>
      </c>
      <c r="S25" s="425">
        <f t="shared" si="8"/>
        <v>0</v>
      </c>
      <c r="T25" s="426">
        <f t="shared" si="9"/>
        <v>0</v>
      </c>
      <c r="U25" s="397" t="s">
        <v>489</v>
      </c>
      <c r="V25" s="170"/>
    </row>
    <row r="26" spans="1:22" ht="120.75" thickBot="1" x14ac:dyDescent="0.3">
      <c r="A26" s="464" t="s">
        <v>305</v>
      </c>
      <c r="B26" s="346" t="str">
        <f>VLOOKUP(A26,'Feature Raw Data'!$A$3:$B$3940,2,FALSE)</f>
        <v>STAPM</v>
      </c>
      <c r="C26" s="293" t="str">
        <f>VLOOKUP(A26,'Feature Raw Data'!$A$3:$C$3940,3,FALSE)</f>
        <v>P2</v>
      </c>
      <c r="D26" s="82" t="str" cm="1">
        <f t="array" ref="D26">_xlfn.TEXTJOIN("",TRUE,IF(ISNUMBER(SEARCH($A26,'Diags Raw Data'!$A$6:$A$3664)),CONCATENATE('Diags Raw Data'!$H$6:$H$3664,", "),""))</f>
        <v/>
      </c>
      <c r="E26" s="304" t="s">
        <v>248</v>
      </c>
      <c r="F26" s="169" t="str">
        <f>VLOOKUP(A26,'Feature Raw Data'!$A$3:$E$3940,5,FALSE)</f>
        <v>Legacy</v>
      </c>
      <c r="G26" s="169" t="s">
        <v>31</v>
      </c>
      <c r="H26" s="481" t="s">
        <v>490</v>
      </c>
      <c r="I26" s="562">
        <v>0</v>
      </c>
      <c r="J26" s="183">
        <f>SUMIF('Diags Raw Data'!$A$6:$A$3664,"*"&amp;$A26&amp;"*",'Diags Raw Data'!$K$6:$K$3664)</f>
        <v>0</v>
      </c>
      <c r="K26" s="418" cm="1">
        <f t="array" ref="K26">IF(D26="",0, SUMPRODUCT(--(ISNUMBER(SEARCH($A26,'Diags Raw Data'!$A$6:$A$3664))),'Diags Raw Data'!$K$6:$K$3664,'Diags Raw Data'!$M$6:$M$3664)/J26)</f>
        <v>0</v>
      </c>
      <c r="L26" s="419" cm="1">
        <f t="array" ref="L26">IF(D26="",0, SUMPRODUCT(--(ISNUMBER(SEARCH($A26,'Diags Raw Data'!$A$6:$A$3664))),'Diags Raw Data'!$K$6:$K$3664,'Diags Raw Data'!$O$6:$O$3664)/J26)</f>
        <v>0</v>
      </c>
      <c r="M26" s="420" cm="1">
        <f t="array" ref="M26">SUMPRODUCT(--(ISNUMBER(SEARCH($A26,'Diags Raw Data'!$A$6:$A$3664))),--('Diags Raw Data'!$P$6:$P$3664&lt;&gt;"N/A"),'Diags Raw Data'!$Q$6:$Q$3664)</f>
        <v>0</v>
      </c>
      <c r="N26" s="421" cm="1">
        <f t="array" ref="N26">SUMPRODUCT(--(ISNUMBER(SEARCH($A26,'Diags Raw Data'!$A$6:$A$3664))),--('Diags Raw Data'!$P$6:$P$3664&lt;&gt;"N/A"),'Diags Raw Data'!$S$6:$S$3664)+SUMPRODUCT(--(ISNUMBER(SEARCH($A26,'Diags Raw Data'!$A$6:$A$3664))),--('Diags Raw Data'!$P$6:$P$3664&lt;&gt;"N/A"),'Diags Raw Data'!$T$6:$T$3664)</f>
        <v>0</v>
      </c>
      <c r="O26" s="422">
        <f t="shared" si="6"/>
        <v>0</v>
      </c>
      <c r="P26" s="423">
        <f>SUMIF('Diags Raw Data'!$A$6:$A$3664,"*"&amp;$A26&amp;"*",'Diags Raw Data'!$Y$6:$Y$3664)</f>
        <v>0</v>
      </c>
      <c r="Q26" s="424">
        <f>SUM(SUMIF('Diags Raw Data'!$A$6:$A$3664,"*"&amp;$A26&amp;"*",'Diags Raw Data'!$Z$6:$Z$3664),SUMIF('Diags Raw Data'!$A$6:$A$3664,"*"&amp;$A26&amp;"*",'Diags Raw Data'!$AA$6:$AA$3664))</f>
        <v>0</v>
      </c>
      <c r="R26" s="425">
        <f t="shared" si="7"/>
        <v>0</v>
      </c>
      <c r="S26" s="425">
        <f t="shared" si="8"/>
        <v>0</v>
      </c>
      <c r="T26" s="426">
        <f t="shared" si="9"/>
        <v>0</v>
      </c>
      <c r="U26" s="397" t="s">
        <v>489</v>
      </c>
      <c r="V26" s="170"/>
    </row>
    <row r="27" spans="1:22" ht="120.75" thickBot="1" x14ac:dyDescent="0.3">
      <c r="A27" s="464" t="s">
        <v>307</v>
      </c>
      <c r="B27" s="346" t="str">
        <f>VLOOKUP(A27,'Feature Raw Data'!$A$3:$B$3940,2,FALSE)</f>
        <v>Thermal Controller</v>
      </c>
      <c r="C27" s="293" t="str">
        <f>VLOOKUP(A27,'Feature Raw Data'!$A$3:$C$3940,3,FALSE)</f>
        <v>P2</v>
      </c>
      <c r="D27" s="82" t="str" cm="1">
        <f t="array" ref="D27">_xlfn.TEXTJOIN("",TRUE,IF(ISNUMBER(SEARCH($A27,'Diags Raw Data'!$A$6:$A$3664)),CONCATENATE('Diags Raw Data'!$H$6:$H$3664,", "),""))</f>
        <v/>
      </c>
      <c r="E27" s="304" t="s">
        <v>248</v>
      </c>
      <c r="F27" s="169" t="str">
        <f>VLOOKUP(A27,'Feature Raw Data'!$A$3:$E$3940,5,FALSE)</f>
        <v>Legacy</v>
      </c>
      <c r="G27" s="169" t="str">
        <f t="shared" si="10"/>
        <v>No</v>
      </c>
      <c r="H27" s="481" t="s">
        <v>490</v>
      </c>
      <c r="I27" s="293">
        <f>SUMIF('Diags Raw Data'!$A$6:$A$3664,"*"&amp;$A27&amp;"*",'Diags Raw Data'!$J$6:$J$3664)</f>
        <v>0</v>
      </c>
      <c r="J27" s="183">
        <f>SUMIF('Diags Raw Data'!$A$6:$A$3664,"*"&amp;$A27&amp;"*",'Diags Raw Data'!$K$6:$K$3664)</f>
        <v>0</v>
      </c>
      <c r="K27" s="418" cm="1">
        <f t="array" ref="K27">IF(D27="",0, SUMPRODUCT(--(ISNUMBER(SEARCH($A27,'Diags Raw Data'!$A$6:$A$3664))),'Diags Raw Data'!$K$6:$K$3664,'Diags Raw Data'!$M$6:$M$3664)/J27)</f>
        <v>0</v>
      </c>
      <c r="L27" s="419" cm="1">
        <f t="array" ref="L27">IF(D27="",0, SUMPRODUCT(--(ISNUMBER(SEARCH($A27,'Diags Raw Data'!$A$6:$A$3664))),'Diags Raw Data'!$K$6:$K$3664,'Diags Raw Data'!$O$6:$O$3664)/J27)</f>
        <v>0</v>
      </c>
      <c r="M27" s="420" cm="1">
        <f t="array" ref="M27">SUMPRODUCT(--(ISNUMBER(SEARCH($A27,'Diags Raw Data'!$A$6:$A$3664))),--('Diags Raw Data'!$P$6:$P$3664&lt;&gt;"N/A"),'Diags Raw Data'!$Q$6:$Q$3664)</f>
        <v>0</v>
      </c>
      <c r="N27" s="421" cm="1">
        <f t="array" ref="N27">SUMPRODUCT(--(ISNUMBER(SEARCH($A27,'Diags Raw Data'!$A$6:$A$3664))),--('Diags Raw Data'!$P$6:$P$3664&lt;&gt;"N/A"),'Diags Raw Data'!$S$6:$S$3664)+SUMPRODUCT(--(ISNUMBER(SEARCH($A27,'Diags Raw Data'!$A$6:$A$3664))),--('Diags Raw Data'!$P$6:$P$3664&lt;&gt;"N/A"),'Diags Raw Data'!$T$6:$T$3664)</f>
        <v>0</v>
      </c>
      <c r="O27" s="422">
        <f t="shared" si="6"/>
        <v>0</v>
      </c>
      <c r="P27" s="423">
        <f>SUMIF('Diags Raw Data'!$A$6:$A$3664,"*"&amp;$A27&amp;"*",'Diags Raw Data'!$Y$6:$Y$3664)</f>
        <v>0</v>
      </c>
      <c r="Q27" s="424">
        <f>SUM(SUMIF('Diags Raw Data'!$A$6:$A$3664,"*"&amp;$A27&amp;"*",'Diags Raw Data'!$Z$6:$Z$3664),SUMIF('Diags Raw Data'!$A$6:$A$3664,"*"&amp;$A27&amp;"*",'Diags Raw Data'!$AA$6:$AA$3664))</f>
        <v>0</v>
      </c>
      <c r="R27" s="425">
        <f t="shared" si="7"/>
        <v>0</v>
      </c>
      <c r="S27" s="425">
        <f t="shared" si="8"/>
        <v>0</v>
      </c>
      <c r="T27" s="426">
        <f t="shared" si="9"/>
        <v>0</v>
      </c>
      <c r="U27" s="397" t="s">
        <v>489</v>
      </c>
      <c r="V27" s="170"/>
    </row>
    <row r="28" spans="1:22" ht="15.75" thickBot="1" x14ac:dyDescent="0.3">
      <c r="A28" s="464" t="s">
        <v>309</v>
      </c>
      <c r="B28" s="570" t="str">
        <f>VLOOKUP(A28,'Feature Raw Data'!$A$3:$B$3940,2,FALSE)</f>
        <v>PROCHOT</v>
      </c>
      <c r="C28" s="571" t="str">
        <f>VLOOKUP(A28,'Feature Raw Data'!$A$3:$C$3940,3,FALSE)</f>
        <v>P2</v>
      </c>
      <c r="D28" s="300" t="str" cm="1">
        <f t="array" ref="D28">_xlfn.TEXTJOIN("",TRUE,IF(ISNUMBER(SEARCH($A28,'Diags Raw Data'!$A$6:$A$3664)),CONCATENATE('Diags Raw Data'!$H$6:$H$3664,", "),""))</f>
        <v xml:space="preserve">PM12.21, </v>
      </c>
      <c r="E28" s="304" t="s">
        <v>248</v>
      </c>
      <c r="F28" s="169" t="str">
        <f>VLOOKUP(A28,'Feature Raw Data'!$A$3:$E$3940,5,FALSE)</f>
        <v>Legacy</v>
      </c>
      <c r="G28" s="169" t="str">
        <f t="shared" si="10"/>
        <v>Yes</v>
      </c>
      <c r="H28" s="169" t="str">
        <f t="shared" si="11"/>
        <v>Yes</v>
      </c>
      <c r="I28" s="293">
        <f>SUMIF('Diags Raw Data'!$A$6:$A$3664,"*"&amp;$A28&amp;"*",'Diags Raw Data'!$J$6:$J$3664)</f>
        <v>1</v>
      </c>
      <c r="J28" s="183">
        <f>SUMIF('Diags Raw Data'!$A$6:$A$3664,"*"&amp;$A28&amp;"*",'Diags Raw Data'!$K$6:$K$3664)</f>
        <v>1</v>
      </c>
      <c r="K28" s="418" cm="1">
        <f t="array" ref="K28">IF(D28="",0, SUMPRODUCT(--(ISNUMBER(SEARCH($A28,'Diags Raw Data'!$A$6:$A$3664))),'Diags Raw Data'!$K$6:$K$3664,'Diags Raw Data'!$M$6:$M$3664)/J28)</f>
        <v>1</v>
      </c>
      <c r="L28" s="419" cm="1">
        <f t="array" ref="L28">IF(D28="",0, SUMPRODUCT(--(ISNUMBER(SEARCH($A28,'Diags Raw Data'!$A$6:$A$3664))),'Diags Raw Data'!$K$6:$K$3664,'Diags Raw Data'!$O$6:$O$3664)/J28)</f>
        <v>0.6</v>
      </c>
      <c r="M28" s="420" cm="1">
        <f t="array" ref="M28">SUMPRODUCT(--(ISNUMBER(SEARCH($A28,'Diags Raw Data'!$A$6:$A$3664))),--('Diags Raw Data'!$P$6:$P$3664&lt;&gt;"N/A"),'Diags Raw Data'!$Q$6:$Q$3664)</f>
        <v>1</v>
      </c>
      <c r="N28" s="421" cm="1">
        <f t="array" ref="N28">SUMPRODUCT(--(ISNUMBER(SEARCH($A28,'Diags Raw Data'!$A$6:$A$3664))),--('Diags Raw Data'!$P$6:$P$3664&lt;&gt;"N/A"),'Diags Raw Data'!$S$6:$S$3664)+SUMPRODUCT(--(ISNUMBER(SEARCH($A28,'Diags Raw Data'!$A$6:$A$3664))),--('Diags Raw Data'!$P$6:$P$3664&lt;&gt;"N/A"),'Diags Raw Data'!$T$6:$T$3664)</f>
        <v>0</v>
      </c>
      <c r="O28" s="422">
        <f>IF((M28=0),0,N28/M28)</f>
        <v>0</v>
      </c>
      <c r="P28" s="423">
        <f>SUMIF('Diags Raw Data'!$A$6:$A$3664,"*"&amp;$A28&amp;"*",'Diags Raw Data'!$Y$6:$Y$3664)</f>
        <v>0</v>
      </c>
      <c r="Q28" s="424">
        <f>SUM(SUMIF('Diags Raw Data'!$A$6:$A$3664,"*"&amp;$A28&amp;"*",'Diags Raw Data'!$Z$6:$Z$3664),SUMIF('Diags Raw Data'!$A$6:$A$3664,"*"&amp;$A28&amp;"*",'Diags Raw Data'!$AA$6:$AA$3664))</f>
        <v>0</v>
      </c>
      <c r="R28" s="425">
        <f>IF((J28=0),0,P28/J28)</f>
        <v>0</v>
      </c>
      <c r="S28" s="425">
        <f>IF((P28=0),0,Q28/P28)</f>
        <v>0</v>
      </c>
      <c r="T28" s="426">
        <f>R28*S28</f>
        <v>0</v>
      </c>
      <c r="U28" s="397" t="s">
        <v>489</v>
      </c>
      <c r="V28" s="170"/>
    </row>
    <row r="29" spans="1:22" ht="120.75" thickBot="1" x14ac:dyDescent="0.3">
      <c r="A29" s="464" t="s">
        <v>311</v>
      </c>
      <c r="B29" s="346" t="str">
        <f>VLOOKUP(A29,'Feature Raw Data'!$A$3:$B$3940,2,FALSE)</f>
        <v>System temperature tracker STT</v>
      </c>
      <c r="C29" s="293" t="str">
        <f>VLOOKUP(A29,'Feature Raw Data'!$A$3:$C$3940,3,FALSE)</f>
        <v>P2</v>
      </c>
      <c r="D29" s="82" t="str" cm="1">
        <f t="array" ref="D29">_xlfn.TEXTJOIN("",TRUE,IF(ISNUMBER(SEARCH($A29,'Diags Raw Data'!$A$6:$A$3664)),CONCATENATE('Diags Raw Data'!$H$6:$H$3664,", "),""))</f>
        <v/>
      </c>
      <c r="E29" s="304" t="s">
        <v>248</v>
      </c>
      <c r="F29" s="169" t="str">
        <f>VLOOKUP(A29,'Feature Raw Data'!$A$3:$E$3940,5,FALSE)</f>
        <v>Legacy</v>
      </c>
      <c r="G29" s="169" t="s">
        <v>31</v>
      </c>
      <c r="H29" s="481" t="s">
        <v>490</v>
      </c>
      <c r="I29" s="562">
        <v>0</v>
      </c>
      <c r="J29" s="183">
        <f>SUMIF('Diags Raw Data'!$A$6:$A$3664,"*"&amp;$A29&amp;"*",'Diags Raw Data'!$K$6:$K$3664)</f>
        <v>0</v>
      </c>
      <c r="K29" s="418" cm="1">
        <f t="array" ref="K29">IF(D29="",0, SUMPRODUCT(--(ISNUMBER(SEARCH($A29,'Diags Raw Data'!$A$6:$A$3664))),'Diags Raw Data'!$K$6:$K$3664,'Diags Raw Data'!$M$6:$M$3664)/J29)</f>
        <v>0</v>
      </c>
      <c r="L29" s="419" cm="1">
        <f t="array" ref="L29">IF(D29="",0, SUMPRODUCT(--(ISNUMBER(SEARCH($A29,'Diags Raw Data'!$A$6:$A$3664))),'Diags Raw Data'!$K$6:$K$3664,'Diags Raw Data'!$O$6:$O$3664)/J29)</f>
        <v>0</v>
      </c>
      <c r="M29" s="420" cm="1">
        <f t="array" ref="M29">SUMPRODUCT(--(ISNUMBER(SEARCH($A29,'Diags Raw Data'!$A$6:$A$3664))),--('Diags Raw Data'!$P$6:$P$3664&lt;&gt;"N/A"),'Diags Raw Data'!$Q$6:$Q$3664)</f>
        <v>0</v>
      </c>
      <c r="N29" s="421" cm="1">
        <f t="array" ref="N29">SUMPRODUCT(--(ISNUMBER(SEARCH($A29,'Diags Raw Data'!$A$6:$A$3664))),--('Diags Raw Data'!$P$6:$P$3664&lt;&gt;"N/A"),'Diags Raw Data'!$S$6:$S$3664)+SUMPRODUCT(--(ISNUMBER(SEARCH($A29,'Diags Raw Data'!$A$6:$A$3664))),--('Diags Raw Data'!$P$6:$P$3664&lt;&gt;"N/A"),'Diags Raw Data'!$T$6:$T$3664)</f>
        <v>0</v>
      </c>
      <c r="O29" s="422">
        <f t="shared" ref="O29:O66" si="12">IF((M29=0),0,N29/M29)</f>
        <v>0</v>
      </c>
      <c r="P29" s="423">
        <f>SUMIF('Diags Raw Data'!$A$6:$A$3664,"*"&amp;$A29&amp;"*",'Diags Raw Data'!$Y$6:$Y$3664)</f>
        <v>0</v>
      </c>
      <c r="Q29" s="424">
        <f>SUM(SUMIF('Diags Raw Data'!$A$6:$A$3664,"*"&amp;$A29&amp;"*",'Diags Raw Data'!$Z$6:$Z$3664),SUMIF('Diags Raw Data'!$A$6:$A$3664,"*"&amp;$A29&amp;"*",'Diags Raw Data'!$AA$6:$AA$3664))</f>
        <v>0</v>
      </c>
      <c r="R29" s="425">
        <f t="shared" ref="R29:R66" si="13">IF((J29=0),0,P29/J29)</f>
        <v>0</v>
      </c>
      <c r="S29" s="425">
        <f t="shared" ref="S29:S66" si="14">IF((P29=0),0,Q29/P29)</f>
        <v>0</v>
      </c>
      <c r="T29" s="426">
        <f t="shared" ref="T29:T66" si="15">R29*S29</f>
        <v>0</v>
      </c>
      <c r="U29" s="397" t="s">
        <v>489</v>
      </c>
      <c r="V29" s="170"/>
    </row>
    <row r="30" spans="1:22" ht="120.75" thickBot="1" x14ac:dyDescent="0.3">
      <c r="A30" s="464" t="s">
        <v>313</v>
      </c>
      <c r="B30" s="346" t="str">
        <f>VLOOKUP(A30,'Feature Raw Data'!$A$3:$B$3940,2,FALSE)</f>
        <v>SHUBCLK DPM</v>
      </c>
      <c r="C30" s="293" t="str">
        <f>VLOOKUP(A30,'Feature Raw Data'!$A$3:$C$3940,3,FALSE)</f>
        <v>P2</v>
      </c>
      <c r="D30" s="82" t="str" cm="1">
        <f t="array" ref="D30">_xlfn.TEXTJOIN("",TRUE,IF(ISNUMBER(SEARCH($A30,'Diags Raw Data'!$A$6:$A$3664)),CONCATENATE('Diags Raw Data'!$H$6:$H$3664,", "),""))</f>
        <v/>
      </c>
      <c r="E30" s="304" t="s">
        <v>248</v>
      </c>
      <c r="F30" s="169" t="str">
        <f>VLOOKUP(A30,'Feature Raw Data'!$A$3:$E$3940,5,FALSE)</f>
        <v>Legacy</v>
      </c>
      <c r="G30" s="169" t="str">
        <f t="shared" si="10"/>
        <v>No</v>
      </c>
      <c r="H30" s="481" t="s">
        <v>490</v>
      </c>
      <c r="I30" s="293">
        <f>SUMIF('Diags Raw Data'!$A$6:$A$3664,"*"&amp;$A30&amp;"*",'Diags Raw Data'!$J$6:$J$3664)</f>
        <v>0</v>
      </c>
      <c r="J30" s="183">
        <f>SUMIF('Diags Raw Data'!$A$6:$A$3664,"*"&amp;$A30&amp;"*",'Diags Raw Data'!$K$6:$K$3664)</f>
        <v>0</v>
      </c>
      <c r="K30" s="418" cm="1">
        <f t="array" ref="K30">IF(D30="",0, SUMPRODUCT(--(ISNUMBER(SEARCH($A30,'Diags Raw Data'!$A$6:$A$3664))),'Diags Raw Data'!$K$6:$K$3664,'Diags Raw Data'!$M$6:$M$3664)/J30)</f>
        <v>0</v>
      </c>
      <c r="L30" s="419" cm="1">
        <f t="array" ref="L30">IF(D30="",0, SUMPRODUCT(--(ISNUMBER(SEARCH($A30,'Diags Raw Data'!$A$6:$A$3664))),'Diags Raw Data'!$K$6:$K$3664,'Diags Raw Data'!$O$6:$O$3664)/J30)</f>
        <v>0</v>
      </c>
      <c r="M30" s="420" cm="1">
        <f t="array" ref="M30">SUMPRODUCT(--(ISNUMBER(SEARCH($A30,'Diags Raw Data'!$A$6:$A$3664))),--('Diags Raw Data'!$P$6:$P$3664&lt;&gt;"N/A"),'Diags Raw Data'!$Q$6:$Q$3664)</f>
        <v>0</v>
      </c>
      <c r="N30" s="421" cm="1">
        <f t="array" ref="N30">SUMPRODUCT(--(ISNUMBER(SEARCH($A30,'Diags Raw Data'!$A$6:$A$3664))),--('Diags Raw Data'!$P$6:$P$3664&lt;&gt;"N/A"),'Diags Raw Data'!$S$6:$S$3664)+SUMPRODUCT(--(ISNUMBER(SEARCH($A30,'Diags Raw Data'!$A$6:$A$3664))),--('Diags Raw Data'!$P$6:$P$3664&lt;&gt;"N/A"),'Diags Raw Data'!$T$6:$T$3664)</f>
        <v>0</v>
      </c>
      <c r="O30" s="422">
        <f t="shared" si="12"/>
        <v>0</v>
      </c>
      <c r="P30" s="423">
        <f>SUMIF('Diags Raw Data'!$A$6:$A$3664,"*"&amp;$A30&amp;"*",'Diags Raw Data'!$Y$6:$Y$3664)</f>
        <v>0</v>
      </c>
      <c r="Q30" s="424">
        <f>SUM(SUMIF('Diags Raw Data'!$A$6:$A$3664,"*"&amp;$A30&amp;"*",'Diags Raw Data'!$Z$6:$Z$3664),SUMIF('Diags Raw Data'!$A$6:$A$3664,"*"&amp;$A30&amp;"*",'Diags Raw Data'!$AA$6:$AA$3664))</f>
        <v>0</v>
      </c>
      <c r="R30" s="425">
        <f t="shared" si="13"/>
        <v>0</v>
      </c>
      <c r="S30" s="425">
        <f t="shared" si="14"/>
        <v>0</v>
      </c>
      <c r="T30" s="426">
        <f t="shared" si="15"/>
        <v>0</v>
      </c>
      <c r="U30" s="397" t="s">
        <v>489</v>
      </c>
      <c r="V30" s="170"/>
    </row>
    <row r="31" spans="1:22" ht="120.75" thickBot="1" x14ac:dyDescent="0.3">
      <c r="A31" s="464" t="s">
        <v>315</v>
      </c>
      <c r="B31" s="346" t="str">
        <f>VLOOKUP(A31,'Feature Raw Data'!$A$3:$B$3940,2,FALSE)</f>
        <v>LCLK Deep Sleep</v>
      </c>
      <c r="C31" s="293" t="str">
        <f>VLOOKUP(A31,'Feature Raw Data'!$A$3:$C$3940,3,FALSE)</f>
        <v>P2</v>
      </c>
      <c r="D31" s="82" t="str" cm="1">
        <f t="array" ref="D31">_xlfn.TEXTJOIN("",TRUE,IF(ISNUMBER(SEARCH($A31,'Diags Raw Data'!$A$6:$A$3664)),CONCATENATE('Diags Raw Data'!$H$6:$H$3664,", "),""))</f>
        <v/>
      </c>
      <c r="E31" s="304" t="s">
        <v>248</v>
      </c>
      <c r="F31" s="169" t="str">
        <f>VLOOKUP(A31,'Feature Raw Data'!$A$3:$E$3940,5,FALSE)</f>
        <v>Legacy</v>
      </c>
      <c r="G31" s="169" t="str">
        <f t="shared" si="10"/>
        <v>No</v>
      </c>
      <c r="H31" s="481" t="s">
        <v>490</v>
      </c>
      <c r="I31" s="293">
        <f>SUMIF('Diags Raw Data'!$A$6:$A$3664,"*"&amp;$A31&amp;"*",'Diags Raw Data'!$J$6:$J$3664)</f>
        <v>0</v>
      </c>
      <c r="J31" s="183">
        <f>SUMIF('Diags Raw Data'!$A$6:$A$3664,"*"&amp;$A31&amp;"*",'Diags Raw Data'!$K$6:$K$3664)</f>
        <v>0</v>
      </c>
      <c r="K31" s="418" cm="1">
        <f t="array" ref="K31">IF(D31="",0, SUMPRODUCT(--(ISNUMBER(SEARCH($A31,'Diags Raw Data'!$A$6:$A$3664))),'Diags Raw Data'!$K$6:$K$3664,'Diags Raw Data'!$M$6:$M$3664)/J31)</f>
        <v>0</v>
      </c>
      <c r="L31" s="419" cm="1">
        <f t="array" ref="L31">IF(D31="",0, SUMPRODUCT(--(ISNUMBER(SEARCH($A31,'Diags Raw Data'!$A$6:$A$3664))),'Diags Raw Data'!$K$6:$K$3664,'Diags Raw Data'!$O$6:$O$3664)/J31)</f>
        <v>0</v>
      </c>
      <c r="M31" s="420" cm="1">
        <f t="array" ref="M31">SUMPRODUCT(--(ISNUMBER(SEARCH($A31,'Diags Raw Data'!$A$6:$A$3664))),--('Diags Raw Data'!$P$6:$P$3664&lt;&gt;"N/A"),'Diags Raw Data'!$Q$6:$Q$3664)</f>
        <v>0</v>
      </c>
      <c r="N31" s="421" cm="1">
        <f t="array" ref="N31">SUMPRODUCT(--(ISNUMBER(SEARCH($A31,'Diags Raw Data'!$A$6:$A$3664))),--('Diags Raw Data'!$P$6:$P$3664&lt;&gt;"N/A"),'Diags Raw Data'!$S$6:$S$3664)+SUMPRODUCT(--(ISNUMBER(SEARCH($A31,'Diags Raw Data'!$A$6:$A$3664))),--('Diags Raw Data'!$P$6:$P$3664&lt;&gt;"N/A"),'Diags Raw Data'!$T$6:$T$3664)</f>
        <v>0</v>
      </c>
      <c r="O31" s="422">
        <f t="shared" si="12"/>
        <v>0</v>
      </c>
      <c r="P31" s="423">
        <f>SUMIF('Diags Raw Data'!$A$6:$A$3664,"*"&amp;$A31&amp;"*",'Diags Raw Data'!$Y$6:$Y$3664)</f>
        <v>0</v>
      </c>
      <c r="Q31" s="424">
        <f>SUM(SUMIF('Diags Raw Data'!$A$6:$A$3664,"*"&amp;$A31&amp;"*",'Diags Raw Data'!$Z$6:$Z$3664),SUMIF('Diags Raw Data'!$A$6:$A$3664,"*"&amp;$A31&amp;"*",'Diags Raw Data'!$AA$6:$AA$3664))</f>
        <v>0</v>
      </c>
      <c r="R31" s="425">
        <f t="shared" si="13"/>
        <v>0</v>
      </c>
      <c r="S31" s="425">
        <f t="shared" si="14"/>
        <v>0</v>
      </c>
      <c r="T31" s="426">
        <f t="shared" si="15"/>
        <v>0</v>
      </c>
      <c r="U31" s="397" t="s">
        <v>489</v>
      </c>
      <c r="V31" s="170"/>
    </row>
    <row r="32" spans="1:22" ht="15.75" thickBot="1" x14ac:dyDescent="0.3">
      <c r="A32" s="464" t="s">
        <v>317</v>
      </c>
      <c r="B32" s="570" t="str">
        <f>VLOOKUP(A32,'Feature Raw Data'!$A$3:$B$3940,2,FALSE)</f>
        <v>SOCCLK Deep Sleep</v>
      </c>
      <c r="C32" s="571" t="str">
        <f>VLOOKUP(A32,'Feature Raw Data'!$A$3:$C$3940,3,FALSE)</f>
        <v>P2</v>
      </c>
      <c r="D32" s="300" t="str" cm="1">
        <f t="array" ref="D32">_xlfn.TEXTJOIN("",TRUE,IF(ISNUMBER(SEARCH($A32,'Diags Raw Data'!$A$6:$A$3664)),CONCATENATE('Diags Raw Data'!$H$6:$H$3664,", "),""))</f>
        <v xml:space="preserve">PM10.32, </v>
      </c>
      <c r="E32" s="304" t="s">
        <v>248</v>
      </c>
      <c r="F32" s="169" t="str">
        <f>VLOOKUP(A32,'Feature Raw Data'!$A$3:$E$3940,5,FALSE)</f>
        <v>Legacy</v>
      </c>
      <c r="G32" s="169" t="str">
        <f t="shared" si="10"/>
        <v>Yes</v>
      </c>
      <c r="H32" s="169" t="str">
        <f t="shared" si="11"/>
        <v>Yes</v>
      </c>
      <c r="I32" s="293">
        <f>SUMIF('Diags Raw Data'!$A$6:$A$3664,"*"&amp;$A32&amp;"*",'Diags Raw Data'!$J$6:$J$3664)</f>
        <v>1</v>
      </c>
      <c r="J32" s="183">
        <f>SUMIF('Diags Raw Data'!$A$6:$A$3664,"*"&amp;$A32&amp;"*",'Diags Raw Data'!$K$6:$K$3664)</f>
        <v>1</v>
      </c>
      <c r="K32" s="418" cm="1">
        <f t="array" ref="K32">IF(D32="",0, SUMPRODUCT(--(ISNUMBER(SEARCH($A32,'Diags Raw Data'!$A$6:$A$3664))),'Diags Raw Data'!$K$6:$K$3664,'Diags Raw Data'!$M$6:$M$3664)/J32)</f>
        <v>1</v>
      </c>
      <c r="L32" s="419" cm="1">
        <f t="array" ref="L32">IF(D32="",0, SUMPRODUCT(--(ISNUMBER(SEARCH($A32,'Diags Raw Data'!$A$6:$A$3664))),'Diags Raw Data'!$K$6:$K$3664,'Diags Raw Data'!$O$6:$O$3664)/J32)</f>
        <v>0.6</v>
      </c>
      <c r="M32" s="420" cm="1">
        <f t="array" ref="M32">SUMPRODUCT(--(ISNUMBER(SEARCH($A32,'Diags Raw Data'!$A$6:$A$3664))),--('Diags Raw Data'!$P$6:$P$3664&lt;&gt;"N/A"),'Diags Raw Data'!$Q$6:$Q$3664)</f>
        <v>1</v>
      </c>
      <c r="N32" s="421" cm="1">
        <f t="array" ref="N32">SUMPRODUCT(--(ISNUMBER(SEARCH($A32,'Diags Raw Data'!$A$6:$A$3664))),--('Diags Raw Data'!$P$6:$P$3664&lt;&gt;"N/A"),'Diags Raw Data'!$S$6:$S$3664)+SUMPRODUCT(--(ISNUMBER(SEARCH($A32,'Diags Raw Data'!$A$6:$A$3664))),--('Diags Raw Data'!$P$6:$P$3664&lt;&gt;"N/A"),'Diags Raw Data'!$T$6:$T$3664)</f>
        <v>0</v>
      </c>
      <c r="O32" s="422">
        <f t="shared" si="12"/>
        <v>0</v>
      </c>
      <c r="P32" s="423">
        <f>SUMIF('Diags Raw Data'!$A$6:$A$3664,"*"&amp;$A32&amp;"*",'Diags Raw Data'!$Y$6:$Y$3664)</f>
        <v>0</v>
      </c>
      <c r="Q32" s="575">
        <f>SUM(SUMIF('Diags Raw Data'!$A$6:$A$3664,"*"&amp;$A32&amp;"*",'Diags Raw Data'!$Z$6:$Z$3664),SUMIF('Diags Raw Data'!$A$6:$A$3664,"*"&amp;$A32&amp;"*",'Diags Raw Data'!$AA$6:$AA$3664))</f>
        <v>0</v>
      </c>
      <c r="R32" s="425">
        <f t="shared" si="13"/>
        <v>0</v>
      </c>
      <c r="S32" s="425">
        <f t="shared" si="14"/>
        <v>0</v>
      </c>
      <c r="T32" s="426">
        <f t="shared" si="15"/>
        <v>0</v>
      </c>
      <c r="U32" s="397" t="s">
        <v>489</v>
      </c>
      <c r="V32" s="170"/>
    </row>
    <row r="33" spans="1:22" ht="30.75" thickBot="1" x14ac:dyDescent="0.3">
      <c r="A33" s="464" t="s">
        <v>319</v>
      </c>
      <c r="B33" s="346" t="str">
        <f>VLOOKUP(A33,'Feature Raw Data'!$A$3:$B$3940,2,FALSE)</f>
        <v>SHUBCLK Deep Sleep</v>
      </c>
      <c r="C33" s="293" t="str">
        <f>VLOOKUP(A33,'Feature Raw Data'!$A$3:$C$3940,3,FALSE)</f>
        <v>P2</v>
      </c>
      <c r="D33" s="82" t="str" cm="1">
        <f t="array" ref="D33">_xlfn.TEXTJOIN("",TRUE,IF(ISNUMBER(SEARCH($A33,'Diags Raw Data'!$A$6:$A$3664)),CONCATENATE('Diags Raw Data'!$H$6:$H$3664,", "),""))</f>
        <v xml:space="preserve">PM10.39, </v>
      </c>
      <c r="E33" s="304" t="s">
        <v>248</v>
      </c>
      <c r="F33" s="169" t="str">
        <f>VLOOKUP(A33,'Feature Raw Data'!$A$3:$E$3940,5,FALSE)</f>
        <v>Legacy</v>
      </c>
      <c r="G33" s="169" t="str">
        <f t="shared" si="10"/>
        <v>Yes</v>
      </c>
      <c r="H33" s="598" t="s">
        <v>491</v>
      </c>
      <c r="I33" s="293">
        <f>SUMIF('Diags Raw Data'!$A$6:$A$3664,"*"&amp;$A33&amp;"*",'Diags Raw Data'!$J$6:$J$3664)</f>
        <v>1</v>
      </c>
      <c r="J33" s="183">
        <f>SUMIF('Diags Raw Data'!$A$6:$A$3664,"*"&amp;$A33&amp;"*",'Diags Raw Data'!$K$6:$K$3664)</f>
        <v>1</v>
      </c>
      <c r="K33" s="418" cm="1">
        <f t="array" ref="K33">IF(D33="",0, SUMPRODUCT(--(ISNUMBER(SEARCH($A33,'Diags Raw Data'!$A$6:$A$3664))),'Diags Raw Data'!$K$6:$K$3664,'Diags Raw Data'!$M$6:$M$3664)/J33)</f>
        <v>1</v>
      </c>
      <c r="L33" s="419" cm="1">
        <f t="array" ref="L33">IF(D33="",0, SUMPRODUCT(--(ISNUMBER(SEARCH($A33,'Diags Raw Data'!$A$6:$A$3664))),'Diags Raw Data'!$K$6:$K$3664,'Diags Raw Data'!$O$6:$O$3664)/J33)</f>
        <v>0.6</v>
      </c>
      <c r="M33" s="420" cm="1">
        <f t="array" ref="M33">SUMPRODUCT(--(ISNUMBER(SEARCH($A33,'Diags Raw Data'!$A$6:$A$3664))),--('Diags Raw Data'!$P$6:$P$3664&lt;&gt;"N/A"),'Diags Raw Data'!$Q$6:$Q$3664)</f>
        <v>1</v>
      </c>
      <c r="N33" s="421" cm="1">
        <f t="array" ref="N33">SUMPRODUCT(--(ISNUMBER(SEARCH($A33,'Diags Raw Data'!$A$6:$A$3664))),--('Diags Raw Data'!$P$6:$P$3664&lt;&gt;"N/A"),'Diags Raw Data'!$S$6:$S$3664)+SUMPRODUCT(--(ISNUMBER(SEARCH($A33,'Diags Raw Data'!$A$6:$A$3664))),--('Diags Raw Data'!$P$6:$P$3664&lt;&gt;"N/A"),'Diags Raw Data'!$T$6:$T$3664)</f>
        <v>0</v>
      </c>
      <c r="O33" s="422">
        <f t="shared" si="12"/>
        <v>0</v>
      </c>
      <c r="P33" s="423">
        <f>SUMIF('Diags Raw Data'!$A$6:$A$3664,"*"&amp;$A33&amp;"*",'Diags Raw Data'!$Y$6:$Y$3664)</f>
        <v>0</v>
      </c>
      <c r="Q33" s="424">
        <f>SUM(SUMIF('Diags Raw Data'!$A$6:$A$3664,"*"&amp;$A33&amp;"*",'Diags Raw Data'!$Z$6:$Z$3664),SUMIF('Diags Raw Data'!$A$6:$A$3664,"*"&amp;$A33&amp;"*",'Diags Raw Data'!$AA$6:$AA$3664))</f>
        <v>0</v>
      </c>
      <c r="R33" s="425">
        <f t="shared" si="13"/>
        <v>0</v>
      </c>
      <c r="S33" s="425">
        <f t="shared" si="14"/>
        <v>0</v>
      </c>
      <c r="T33" s="426">
        <f t="shared" si="15"/>
        <v>0</v>
      </c>
      <c r="U33" s="397" t="s">
        <v>489</v>
      </c>
      <c r="V33" s="170"/>
    </row>
    <row r="34" spans="1:22" ht="30.75" thickBot="1" x14ac:dyDescent="0.3">
      <c r="A34" s="464" t="s">
        <v>321</v>
      </c>
      <c r="B34" s="346" t="str">
        <f>VLOOKUP(A34,'Feature Raw Data'!$A$3:$B$3940,2,FALSE)</f>
        <v>SMNCLK Deep Sleep</v>
      </c>
      <c r="C34" s="293" t="str">
        <f>VLOOKUP(A34,'Feature Raw Data'!$A$3:$C$3940,3,FALSE)</f>
        <v>P2</v>
      </c>
      <c r="D34" s="82" t="str" cm="1">
        <f t="array" ref="D34">_xlfn.TEXTJOIN("",TRUE,IF(ISNUMBER(SEARCH($A34,'Diags Raw Data'!$A$6:$A$3664)),CONCATENATE('Diags Raw Data'!$H$6:$H$3664,", "),""))</f>
        <v xml:space="preserve">PM10.36, </v>
      </c>
      <c r="E34" s="304" t="s">
        <v>248</v>
      </c>
      <c r="F34" s="169" t="str">
        <f>VLOOKUP(A34,'Feature Raw Data'!$A$3:$E$3940,5,FALSE)</f>
        <v>Legacy</v>
      </c>
      <c r="G34" s="169" t="str">
        <f t="shared" si="10"/>
        <v>Yes</v>
      </c>
      <c r="H34" s="598" t="s">
        <v>491</v>
      </c>
      <c r="I34" s="293">
        <f>SUMIF('Diags Raw Data'!$A$6:$A$3664,"*"&amp;$A34&amp;"*",'Diags Raw Data'!$J$6:$J$3664)</f>
        <v>1</v>
      </c>
      <c r="J34" s="183">
        <f>SUMIF('Diags Raw Data'!$A$6:$A$3664,"*"&amp;$A34&amp;"*",'Diags Raw Data'!$K$6:$K$3664)</f>
        <v>1</v>
      </c>
      <c r="K34" s="418" cm="1">
        <f t="array" ref="K34">IF(D34="",0, SUMPRODUCT(--(ISNUMBER(SEARCH($A34,'Diags Raw Data'!$A$6:$A$3664))),'Diags Raw Data'!$K$6:$K$3664,'Diags Raw Data'!$M$6:$M$3664)/J34)</f>
        <v>1</v>
      </c>
      <c r="L34" s="419" cm="1">
        <f t="array" ref="L34">IF(D34="",0, SUMPRODUCT(--(ISNUMBER(SEARCH($A34,'Diags Raw Data'!$A$6:$A$3664))),'Diags Raw Data'!$K$6:$K$3664,'Diags Raw Data'!$O$6:$O$3664)/J34)</f>
        <v>0.6</v>
      </c>
      <c r="M34" s="420" cm="1">
        <f t="array" ref="M34">SUMPRODUCT(--(ISNUMBER(SEARCH($A34,'Diags Raw Data'!$A$6:$A$3664))),--('Diags Raw Data'!$P$6:$P$3664&lt;&gt;"N/A"),'Diags Raw Data'!$Q$6:$Q$3664)</f>
        <v>1</v>
      </c>
      <c r="N34" s="421" cm="1">
        <f t="array" ref="N34">SUMPRODUCT(--(ISNUMBER(SEARCH($A34,'Diags Raw Data'!$A$6:$A$3664))),--('Diags Raw Data'!$P$6:$P$3664&lt;&gt;"N/A"),'Diags Raw Data'!$S$6:$S$3664)+SUMPRODUCT(--(ISNUMBER(SEARCH($A34,'Diags Raw Data'!$A$6:$A$3664))),--('Diags Raw Data'!$P$6:$P$3664&lt;&gt;"N/A"),'Diags Raw Data'!$T$6:$T$3664)</f>
        <v>0</v>
      </c>
      <c r="O34" s="422">
        <f t="shared" si="12"/>
        <v>0</v>
      </c>
      <c r="P34" s="423">
        <f>SUMIF('Diags Raw Data'!$A$6:$A$3664,"*"&amp;$A34&amp;"*",'Diags Raw Data'!$Y$6:$Y$3664)</f>
        <v>0</v>
      </c>
      <c r="Q34" s="424">
        <f>SUM(SUMIF('Diags Raw Data'!$A$6:$A$3664,"*"&amp;$A34&amp;"*",'Diags Raw Data'!$Z$6:$Z$3664),SUMIF('Diags Raw Data'!$A$6:$A$3664,"*"&amp;$A34&amp;"*",'Diags Raw Data'!$AA$6:$AA$3664))</f>
        <v>0</v>
      </c>
      <c r="R34" s="425">
        <f t="shared" si="13"/>
        <v>0</v>
      </c>
      <c r="S34" s="425">
        <f t="shared" si="14"/>
        <v>0</v>
      </c>
      <c r="T34" s="426">
        <f t="shared" si="15"/>
        <v>0</v>
      </c>
      <c r="U34" s="397" t="s">
        <v>489</v>
      </c>
      <c r="V34" s="170"/>
    </row>
    <row r="35" spans="1:22" s="175" customFormat="1" ht="30.75" thickBot="1" x14ac:dyDescent="0.3">
      <c r="A35" s="464" t="s">
        <v>323</v>
      </c>
      <c r="B35" s="346" t="str">
        <f>VLOOKUP(A35,'Feature Raw Data'!$A$3:$B$3940,2,FALSE)</f>
        <v>MP1CLK Deep Sleep</v>
      </c>
      <c r="C35" s="293" t="str">
        <f>VLOOKUP(A35,'Feature Raw Data'!$A$3:$C$3940,3,FALSE)</f>
        <v>P2</v>
      </c>
      <c r="D35" s="82" t="str" cm="1">
        <f t="array" ref="D35">_xlfn.TEXTJOIN("",TRUE,IF(ISNUMBER(SEARCH($A35,'Diags Raw Data'!$A$6:$A$3664)),CONCATENATE('Diags Raw Data'!$H$6:$H$3664,", "),""))</f>
        <v xml:space="preserve">PM10.35, </v>
      </c>
      <c r="E35" s="304" t="s">
        <v>248</v>
      </c>
      <c r="F35" s="169" t="str">
        <f>VLOOKUP(A35,'Feature Raw Data'!$A$3:$E$3940,5,FALSE)</f>
        <v>Legacy</v>
      </c>
      <c r="G35" s="169" t="str">
        <f t="shared" si="10"/>
        <v>Yes</v>
      </c>
      <c r="H35" s="598" t="s">
        <v>491</v>
      </c>
      <c r="I35" s="293">
        <f>SUMIF('Diags Raw Data'!$A$6:$A$3664,"*"&amp;$A35&amp;"*",'Diags Raw Data'!$J$6:$J$3664)</f>
        <v>1</v>
      </c>
      <c r="J35" s="183">
        <f>SUMIF('Diags Raw Data'!$A$6:$A$3664,"*"&amp;$A35&amp;"*",'Diags Raw Data'!$K$6:$K$3664)</f>
        <v>1</v>
      </c>
      <c r="K35" s="418" cm="1">
        <f t="array" ref="K35">IF(D35="",0, SUMPRODUCT(--(ISNUMBER(SEARCH($A35,'Diags Raw Data'!$A$6:$A$3664))),'Diags Raw Data'!$K$6:$K$3664,'Diags Raw Data'!$M$6:$M$3664)/J35)</f>
        <v>1</v>
      </c>
      <c r="L35" s="419" cm="1">
        <f t="array" ref="L35">IF(D35="",0, SUMPRODUCT(--(ISNUMBER(SEARCH($A35,'Diags Raw Data'!$A$6:$A$3664))),'Diags Raw Data'!$K$6:$K$3664,'Diags Raw Data'!$O$6:$O$3664)/J35)</f>
        <v>0.6</v>
      </c>
      <c r="M35" s="420" cm="1">
        <f t="array" ref="M35">SUMPRODUCT(--(ISNUMBER(SEARCH($A35,'Diags Raw Data'!$A$6:$A$3664))),--('Diags Raw Data'!$P$6:$P$3664&lt;&gt;"N/A"),'Diags Raw Data'!$Q$6:$Q$3664)</f>
        <v>1</v>
      </c>
      <c r="N35" s="421" cm="1">
        <f t="array" ref="N35">SUMPRODUCT(--(ISNUMBER(SEARCH($A35,'Diags Raw Data'!$A$6:$A$3664))),--('Diags Raw Data'!$P$6:$P$3664&lt;&gt;"N/A"),'Diags Raw Data'!$S$6:$S$3664)+SUMPRODUCT(--(ISNUMBER(SEARCH($A35,'Diags Raw Data'!$A$6:$A$3664))),--('Diags Raw Data'!$P$6:$P$3664&lt;&gt;"N/A"),'Diags Raw Data'!$T$6:$T$3664)</f>
        <v>0</v>
      </c>
      <c r="O35" s="422">
        <f t="shared" si="12"/>
        <v>0</v>
      </c>
      <c r="P35" s="423">
        <f>SUMIF('Diags Raw Data'!$A$6:$A$3664,"*"&amp;$A35&amp;"*",'Diags Raw Data'!$Y$6:$Y$3664)</f>
        <v>0</v>
      </c>
      <c r="Q35" s="424">
        <f>SUM(SUMIF('Diags Raw Data'!$A$6:$A$3664,"*"&amp;$A35&amp;"*",'Diags Raw Data'!$Z$6:$Z$3664),SUMIF('Diags Raw Data'!$A$6:$A$3664,"*"&amp;$A35&amp;"*",'Diags Raw Data'!$AA$6:$AA$3664))</f>
        <v>0</v>
      </c>
      <c r="R35" s="427">
        <f t="shared" si="13"/>
        <v>0</v>
      </c>
      <c r="S35" s="427">
        <f t="shared" si="14"/>
        <v>0</v>
      </c>
      <c r="T35" s="428">
        <f t="shared" si="15"/>
        <v>0</v>
      </c>
      <c r="U35" s="397" t="s">
        <v>489</v>
      </c>
      <c r="V35" s="174"/>
    </row>
    <row r="36" spans="1:22" ht="30.75" thickBot="1" x14ac:dyDescent="0.3">
      <c r="A36" s="464" t="s">
        <v>325</v>
      </c>
      <c r="B36" s="346" t="str">
        <f>VLOOKUP(A36,'Feature Raw Data'!$A$3:$B$3940,2,FALSE)</f>
        <v>MP1 SRAM deep sleep</v>
      </c>
      <c r="C36" s="293" t="str">
        <f>VLOOKUP(A36,'Feature Raw Data'!$A$3:$C$3940,3,FALSE)</f>
        <v>P2</v>
      </c>
      <c r="D36" s="82" t="str" cm="1">
        <f t="array" ref="D36">_xlfn.TEXTJOIN("",TRUE,IF(ISNUMBER(SEARCH($A36,'Diags Raw Data'!$A$6:$A$3664)),CONCATENATE('Diags Raw Data'!$H$6:$H$3664,", "),""))</f>
        <v xml:space="preserve">PM10.41, </v>
      </c>
      <c r="E36" s="304" t="s">
        <v>248</v>
      </c>
      <c r="F36" s="169" t="str">
        <f>VLOOKUP(A36,'Feature Raw Data'!$A$3:$E$3940,5,FALSE)</f>
        <v>Legacy</v>
      </c>
      <c r="G36" s="169" t="str">
        <f t="shared" si="10"/>
        <v>Yes</v>
      </c>
      <c r="H36" s="598" t="s">
        <v>491</v>
      </c>
      <c r="I36" s="293">
        <f>SUMIF('Diags Raw Data'!$A$6:$A$3664,"*"&amp;$A36&amp;"*",'Diags Raw Data'!$J$6:$J$3664)</f>
        <v>1</v>
      </c>
      <c r="J36" s="183">
        <f>SUMIF('Diags Raw Data'!$A$6:$A$3664,"*"&amp;$A36&amp;"*",'Diags Raw Data'!$K$6:$K$3664)</f>
        <v>1</v>
      </c>
      <c r="K36" s="418" cm="1">
        <f t="array" ref="K36">IF(D36="",0, SUMPRODUCT(--(ISNUMBER(SEARCH($A36,'Diags Raw Data'!$A$6:$A$3664))),'Diags Raw Data'!$K$6:$K$3664,'Diags Raw Data'!$M$6:$M$3664)/J36)</f>
        <v>1</v>
      </c>
      <c r="L36" s="419" cm="1">
        <f t="array" ref="L36">IF(D36="",0, SUMPRODUCT(--(ISNUMBER(SEARCH($A36,'Diags Raw Data'!$A$6:$A$3664))),'Diags Raw Data'!$K$6:$K$3664,'Diags Raw Data'!$O$6:$O$3664)/J36)</f>
        <v>0.6</v>
      </c>
      <c r="M36" s="420" cm="1">
        <f t="array" ref="M36">SUMPRODUCT(--(ISNUMBER(SEARCH($A36,'Diags Raw Data'!$A$6:$A$3664))),--('Diags Raw Data'!$P$6:$P$3664&lt;&gt;"N/A"),'Diags Raw Data'!$Q$6:$Q$3664)</f>
        <v>1</v>
      </c>
      <c r="N36" s="421" cm="1">
        <f t="array" ref="N36">SUMPRODUCT(--(ISNUMBER(SEARCH($A36,'Diags Raw Data'!$A$6:$A$3664))),--('Diags Raw Data'!$P$6:$P$3664&lt;&gt;"N/A"),'Diags Raw Data'!$S$6:$S$3664)+SUMPRODUCT(--(ISNUMBER(SEARCH($A36,'Diags Raw Data'!$A$6:$A$3664))),--('Diags Raw Data'!$P$6:$P$3664&lt;&gt;"N/A"),'Diags Raw Data'!$T$6:$T$3664)</f>
        <v>0</v>
      </c>
      <c r="O36" s="422">
        <f t="shared" si="12"/>
        <v>0</v>
      </c>
      <c r="P36" s="423">
        <f>SUMIF('Diags Raw Data'!$A$6:$A$3664,"*"&amp;$A36&amp;"*",'Diags Raw Data'!$Y$6:$Y$3664)</f>
        <v>0</v>
      </c>
      <c r="Q36" s="424">
        <f>SUM(SUMIF('Diags Raw Data'!$A$6:$A$3664,"*"&amp;$A36&amp;"*",'Diags Raw Data'!$Z$6:$Z$3664),SUMIF('Diags Raw Data'!$A$6:$A$3664,"*"&amp;$A36&amp;"*",'Diags Raw Data'!$AA$6:$AA$3664))</f>
        <v>0</v>
      </c>
      <c r="R36" s="425">
        <f t="shared" si="13"/>
        <v>0</v>
      </c>
      <c r="S36" s="425">
        <f t="shared" si="14"/>
        <v>0</v>
      </c>
      <c r="T36" s="426">
        <f t="shared" si="15"/>
        <v>0</v>
      </c>
      <c r="U36" s="397" t="s">
        <v>489</v>
      </c>
      <c r="V36" s="170"/>
    </row>
    <row r="37" spans="1:22" ht="15.75" thickBot="1" x14ac:dyDescent="0.3">
      <c r="A37" s="464" t="s">
        <v>327</v>
      </c>
      <c r="B37" s="346" t="str">
        <f>VLOOKUP(A37,'Feature Raw Data'!$A$3:$B$3940,2,FALSE)</f>
        <v>MP0CLK Deep Sleep</v>
      </c>
      <c r="C37" s="293" t="str">
        <f>VLOOKUP(A37,'Feature Raw Data'!$A$3:$C$3940,3,FALSE)</f>
        <v>P2</v>
      </c>
      <c r="D37" s="82" t="str" cm="1">
        <f t="array" ref="D37">_xlfn.TEXTJOIN("",TRUE,IF(ISNUMBER(SEARCH($A37,'Diags Raw Data'!$A$6:$A$3664)),CONCATENATE('Diags Raw Data'!$H$6:$H$3664,", "),""))</f>
        <v/>
      </c>
      <c r="E37" s="304" t="s">
        <v>248</v>
      </c>
      <c r="F37" s="169" t="str">
        <f>VLOOKUP(A37,'Feature Raw Data'!$A$3:$E$3940,5,FALSE)</f>
        <v>Legacy</v>
      </c>
      <c r="G37" s="169" t="str">
        <f t="shared" si="10"/>
        <v>No</v>
      </c>
      <c r="H37" s="598" t="s">
        <v>36</v>
      </c>
      <c r="I37" s="293">
        <f>SUMIF('Diags Raw Data'!$A$6:$A$3664,"*"&amp;$A37&amp;"*",'Diags Raw Data'!$J$6:$J$3664)</f>
        <v>0</v>
      </c>
      <c r="J37" s="183">
        <f>SUMIF('Diags Raw Data'!$A$6:$A$3664,"*"&amp;$A37&amp;"*",'Diags Raw Data'!$K$6:$K$3664)</f>
        <v>0</v>
      </c>
      <c r="K37" s="418" cm="1">
        <f t="array" ref="K37">IF(D37="",0, SUMPRODUCT(--(ISNUMBER(SEARCH($A37,'Diags Raw Data'!$A$6:$A$3664))),'Diags Raw Data'!$K$6:$K$3664,'Diags Raw Data'!$M$6:$M$3664)/J37)</f>
        <v>0</v>
      </c>
      <c r="L37" s="419" cm="1">
        <f t="array" ref="L37">IF(D37="",0, SUMPRODUCT(--(ISNUMBER(SEARCH($A37,'Diags Raw Data'!$A$6:$A$3664))),'Diags Raw Data'!$K$6:$K$3664,'Diags Raw Data'!$O$6:$O$3664)/J37)</f>
        <v>0</v>
      </c>
      <c r="M37" s="420" cm="1">
        <f t="array" ref="M37">SUMPRODUCT(--(ISNUMBER(SEARCH($A37,'Diags Raw Data'!$A$6:$A$3664))),--('Diags Raw Data'!$P$6:$P$3664&lt;&gt;"N/A"),'Diags Raw Data'!$Q$6:$Q$3664)</f>
        <v>0</v>
      </c>
      <c r="N37" s="421" cm="1">
        <f t="array" ref="N37">SUMPRODUCT(--(ISNUMBER(SEARCH($A37,'Diags Raw Data'!$A$6:$A$3664))),--('Diags Raw Data'!$P$6:$P$3664&lt;&gt;"N/A"),'Diags Raw Data'!$S$6:$S$3664)+SUMPRODUCT(--(ISNUMBER(SEARCH($A37,'Diags Raw Data'!$A$6:$A$3664))),--('Diags Raw Data'!$P$6:$P$3664&lt;&gt;"N/A"),'Diags Raw Data'!$T$6:$T$3664)</f>
        <v>0</v>
      </c>
      <c r="O37" s="422">
        <f t="shared" si="12"/>
        <v>0</v>
      </c>
      <c r="P37" s="423">
        <f>SUMIF('Diags Raw Data'!$A$6:$A$3664,"*"&amp;$A37&amp;"*",'Diags Raw Data'!$Y$6:$Y$3664)</f>
        <v>0</v>
      </c>
      <c r="Q37" s="424">
        <f>SUM(SUMIF('Diags Raw Data'!$A$6:$A$3664,"*"&amp;$A37&amp;"*",'Diags Raw Data'!$Z$6:$Z$3664),SUMIF('Diags Raw Data'!$A$6:$A$3664,"*"&amp;$A37&amp;"*",'Diags Raw Data'!$AA$6:$AA$3664))</f>
        <v>0</v>
      </c>
      <c r="R37" s="425">
        <f t="shared" si="13"/>
        <v>0</v>
      </c>
      <c r="S37" s="425">
        <f t="shared" si="14"/>
        <v>0</v>
      </c>
      <c r="T37" s="426">
        <f t="shared" si="15"/>
        <v>0</v>
      </c>
      <c r="U37" s="397" t="s">
        <v>489</v>
      </c>
      <c r="V37" s="170"/>
    </row>
    <row r="38" spans="1:22" ht="120.75" thickBot="1" x14ac:dyDescent="0.3">
      <c r="A38" s="464" t="s">
        <v>329</v>
      </c>
      <c r="B38" s="346" t="str">
        <f>VLOOKUP(A38,'Feature Raw Data'!$A$3:$B$3940,2,FALSE)</f>
        <v>MP2CLK Deep Sleep</v>
      </c>
      <c r="C38" s="293" t="str">
        <f>VLOOKUP(A38,'Feature Raw Data'!$A$3:$C$3940,3,FALSE)</f>
        <v>P2</v>
      </c>
      <c r="D38" s="82" t="str" cm="1">
        <f t="array" ref="D38">_xlfn.TEXTJOIN("",TRUE,IF(ISNUMBER(SEARCH($A38,'Diags Raw Data'!$A$6:$A$3664)),CONCATENATE('Diags Raw Data'!$H$6:$H$3664,", "),""))</f>
        <v/>
      </c>
      <c r="E38" s="304" t="s">
        <v>248</v>
      </c>
      <c r="F38" s="169" t="str">
        <f>VLOOKUP(A38,'Feature Raw Data'!$A$3:$E$3940,5,FALSE)</f>
        <v>Legacy</v>
      </c>
      <c r="G38" s="561" t="s">
        <v>31</v>
      </c>
      <c r="H38" s="481" t="s">
        <v>490</v>
      </c>
      <c r="I38" s="562">
        <v>0</v>
      </c>
      <c r="J38" s="183">
        <v>1</v>
      </c>
      <c r="K38" s="418" cm="1">
        <f t="array" ref="K38">IF(D38="",0, SUMPRODUCT(--(ISNUMBER(SEARCH($A38,'Diags Raw Data'!$A$6:$A$3664))),'Diags Raw Data'!$K$6:$K$3664,'Diags Raw Data'!$M$6:$M$3664)/J38)</f>
        <v>0</v>
      </c>
      <c r="L38" s="419" cm="1">
        <f t="array" ref="L38">IF(D38="",0, SUMPRODUCT(--(ISNUMBER(SEARCH($A38,'Diags Raw Data'!$A$6:$A$3664))),'Diags Raw Data'!$K$6:$K$3664,'Diags Raw Data'!$O$6:$O$3664)/J38)</f>
        <v>0</v>
      </c>
      <c r="M38" s="420" cm="1">
        <f t="array" ref="M38">SUMPRODUCT(--(ISNUMBER(SEARCH($A38,'Diags Raw Data'!$A$6:$A$3664))),--('Diags Raw Data'!$P$6:$P$3664&lt;&gt;"N/A"),'Diags Raw Data'!$Q$6:$Q$3664)</f>
        <v>0</v>
      </c>
      <c r="N38" s="421" cm="1">
        <f t="array" ref="N38">SUMPRODUCT(--(ISNUMBER(SEARCH($A38,'Diags Raw Data'!$A$6:$A$3664))),--('Diags Raw Data'!$P$6:$P$3664&lt;&gt;"N/A"),'Diags Raw Data'!$S$6:$S$3664)+SUMPRODUCT(--(ISNUMBER(SEARCH($A38,'Diags Raw Data'!$A$6:$A$3664))),--('Diags Raw Data'!$P$6:$P$3664&lt;&gt;"N/A"),'Diags Raw Data'!$T$6:$T$3664)</f>
        <v>0</v>
      </c>
      <c r="O38" s="422">
        <f t="shared" si="12"/>
        <v>0</v>
      </c>
      <c r="P38" s="423">
        <f>SUMIF('Diags Raw Data'!$A$6:$A$3664,"*"&amp;$A38&amp;"*",'Diags Raw Data'!$Y$6:$Y$3664)</f>
        <v>0</v>
      </c>
      <c r="Q38" s="424">
        <f>SUM(SUMIF('Diags Raw Data'!$A$6:$A$3664,"*"&amp;$A38&amp;"*",'Diags Raw Data'!$Z$6:$Z$3664),SUMIF('Diags Raw Data'!$A$6:$A$3664,"*"&amp;$A38&amp;"*",'Diags Raw Data'!$AA$6:$AA$3664))</f>
        <v>0</v>
      </c>
      <c r="R38" s="425">
        <f t="shared" si="13"/>
        <v>0</v>
      </c>
      <c r="S38" s="425">
        <f t="shared" si="14"/>
        <v>0</v>
      </c>
      <c r="T38" s="426">
        <f t="shared" si="15"/>
        <v>0</v>
      </c>
      <c r="U38" s="397" t="s">
        <v>489</v>
      </c>
      <c r="V38" s="170"/>
    </row>
    <row r="39" spans="1:22" ht="120.75" thickBot="1" x14ac:dyDescent="0.3">
      <c r="A39" s="464" t="s">
        <v>331</v>
      </c>
      <c r="B39" s="346" t="str">
        <f>VLOOKUP(A39,'Feature Raw Data'!$A$3:$B$3940,2,FALSE)</f>
        <v>VCN CLK deep sleep - VCLK &amp; DCLK</v>
      </c>
      <c r="C39" s="293" t="str">
        <f>VLOOKUP(A39,'Feature Raw Data'!$A$3:$C$3940,3,FALSE)</f>
        <v>P2</v>
      </c>
      <c r="D39" s="82" t="str" cm="1">
        <f t="array" ref="D39">_xlfn.TEXTJOIN("",TRUE,IF(ISNUMBER(SEARCH($A39,'Diags Raw Data'!$A$6:$A$3664)),CONCATENATE('Diags Raw Data'!$H$6:$H$3664,", "),""))</f>
        <v/>
      </c>
      <c r="E39" s="304" t="s">
        <v>248</v>
      </c>
      <c r="F39" s="169" t="str">
        <f>VLOOKUP(A39,'Feature Raw Data'!$A$3:$E$3940,5,FALSE)</f>
        <v>Legacy</v>
      </c>
      <c r="G39" s="169" t="str">
        <f t="shared" si="10"/>
        <v>No</v>
      </c>
      <c r="H39" s="481" t="s">
        <v>490</v>
      </c>
      <c r="I39" s="293">
        <f>SUMIF('Diags Raw Data'!$A$6:$A$3664,"*"&amp;$A39&amp;"*",'Diags Raw Data'!$J$6:$J$3664)</f>
        <v>0</v>
      </c>
      <c r="J39" s="183">
        <v>1</v>
      </c>
      <c r="K39" s="418" cm="1">
        <f t="array" ref="K39">IF(D39="",0, SUMPRODUCT(--(ISNUMBER(SEARCH($A39,'Diags Raw Data'!$A$6:$A$3664))),'Diags Raw Data'!$K$6:$K$3664,'Diags Raw Data'!$M$6:$M$3664)/J39)</f>
        <v>0</v>
      </c>
      <c r="L39" s="419" cm="1">
        <f t="array" ref="L39">IF(D39="",0, SUMPRODUCT(--(ISNUMBER(SEARCH($A39,'Diags Raw Data'!$A$6:$A$3664))),'Diags Raw Data'!$K$6:$K$3664,'Diags Raw Data'!$O$6:$O$3664)/J39)</f>
        <v>0</v>
      </c>
      <c r="M39" s="420" cm="1">
        <f t="array" ref="M39">SUMPRODUCT(--(ISNUMBER(SEARCH($A39,'Diags Raw Data'!$A$6:$A$3664))),--('Diags Raw Data'!$P$6:$P$3664&lt;&gt;"N/A"),'Diags Raw Data'!$Q$6:$Q$3664)</f>
        <v>0</v>
      </c>
      <c r="N39" s="421" cm="1">
        <f t="array" ref="N39">SUMPRODUCT(--(ISNUMBER(SEARCH($A39,'Diags Raw Data'!$A$6:$A$3664))),--('Diags Raw Data'!$P$6:$P$3664&lt;&gt;"N/A"),'Diags Raw Data'!$S$6:$S$3664)+SUMPRODUCT(--(ISNUMBER(SEARCH($A39,'Diags Raw Data'!$A$6:$A$3664))),--('Diags Raw Data'!$P$6:$P$3664&lt;&gt;"N/A"),'Diags Raw Data'!$T$6:$T$3664)</f>
        <v>0</v>
      </c>
      <c r="O39" s="422">
        <f t="shared" si="12"/>
        <v>0</v>
      </c>
      <c r="P39" s="423">
        <f>SUMIF('Diags Raw Data'!$A$6:$A$3664,"*"&amp;$A39&amp;"*",'Diags Raw Data'!$Y$6:$Y$3664)</f>
        <v>0</v>
      </c>
      <c r="Q39" s="424">
        <f>SUM(SUMIF('Diags Raw Data'!$A$6:$A$3664,"*"&amp;$A39&amp;"*",'Diags Raw Data'!$Z$6:$Z$3664),SUMIF('Diags Raw Data'!$A$6:$A$3664,"*"&amp;$A39&amp;"*",'Diags Raw Data'!$AA$6:$AA$3664))</f>
        <v>0</v>
      </c>
      <c r="R39" s="425">
        <f t="shared" si="13"/>
        <v>0</v>
      </c>
      <c r="S39" s="425">
        <f t="shared" si="14"/>
        <v>0</v>
      </c>
      <c r="T39" s="426">
        <f t="shared" si="15"/>
        <v>0</v>
      </c>
      <c r="U39" s="397" t="s">
        <v>489</v>
      </c>
      <c r="V39" s="170"/>
    </row>
    <row r="40" spans="1:22" ht="30.75" thickBot="1" x14ac:dyDescent="0.3">
      <c r="A40" s="464" t="s">
        <v>333</v>
      </c>
      <c r="B40" s="346" t="str">
        <f>VLOOKUP(A40,'Feature Raw Data'!$A$3:$B$3940,2,FALSE)</f>
        <v>ACLK deep sleep</v>
      </c>
      <c r="C40" s="293" t="str">
        <f>VLOOKUP(A40,'Feature Raw Data'!$A$3:$C$3940,3,FALSE)</f>
        <v>P2</v>
      </c>
      <c r="D40" s="82" t="str" cm="1">
        <f t="array" ref="D40">_xlfn.TEXTJOIN("",TRUE,IF(ISNUMBER(SEARCH($A40,'Diags Raw Data'!$A$6:$A$3664)),CONCATENATE('Diags Raw Data'!$H$6:$H$3664,", "),""))</f>
        <v xml:space="preserve">PM10.44, </v>
      </c>
      <c r="E40" s="304" t="s">
        <v>248</v>
      </c>
      <c r="F40" s="169" t="str">
        <f>VLOOKUP(A40,'Feature Raw Data'!$A$3:$E$3940,5,FALSE)</f>
        <v>Legacy</v>
      </c>
      <c r="G40" s="169" t="str">
        <f t="shared" si="10"/>
        <v>Yes</v>
      </c>
      <c r="H40" s="598" t="s">
        <v>491</v>
      </c>
      <c r="I40" s="293">
        <f>SUMIF('Diags Raw Data'!$A$6:$A$3664,"*"&amp;$A40&amp;"*",'Diags Raw Data'!$J$6:$J$3664)</f>
        <v>1</v>
      </c>
      <c r="J40" s="183">
        <f>SUMIF('Diags Raw Data'!$A$6:$A$3664,"*"&amp;$A40&amp;"*",'Diags Raw Data'!$K$6:$K$3664)</f>
        <v>1</v>
      </c>
      <c r="K40" s="418" cm="1">
        <f t="array" ref="K40">IF(D40="",0, SUMPRODUCT(--(ISNUMBER(SEARCH($A40,'Diags Raw Data'!$A$6:$A$3664))),'Diags Raw Data'!$K$6:$K$3664,'Diags Raw Data'!$M$6:$M$3664)/J40)</f>
        <v>1</v>
      </c>
      <c r="L40" s="419" cm="1">
        <f t="array" ref="L40">IF(D40="",0, SUMPRODUCT(--(ISNUMBER(SEARCH($A40,'Diags Raw Data'!$A$6:$A$3664))),'Diags Raw Data'!$K$6:$K$3664,'Diags Raw Data'!$O$6:$O$3664)/J40)</f>
        <v>0.6</v>
      </c>
      <c r="M40" s="420" cm="1">
        <f t="array" ref="M40">SUMPRODUCT(--(ISNUMBER(SEARCH($A40,'Diags Raw Data'!$A$6:$A$3664))),--('Diags Raw Data'!$P$6:$P$3664&lt;&gt;"N/A"),'Diags Raw Data'!$Q$6:$Q$3664)</f>
        <v>1</v>
      </c>
      <c r="N40" s="421" cm="1">
        <f t="array" ref="N40">SUMPRODUCT(--(ISNUMBER(SEARCH($A40,'Diags Raw Data'!$A$6:$A$3664))),--('Diags Raw Data'!$P$6:$P$3664&lt;&gt;"N/A"),'Diags Raw Data'!$S$6:$S$3664)+SUMPRODUCT(--(ISNUMBER(SEARCH($A40,'Diags Raw Data'!$A$6:$A$3664))),--('Diags Raw Data'!$P$6:$P$3664&lt;&gt;"N/A"),'Diags Raw Data'!$T$6:$T$3664)</f>
        <v>0</v>
      </c>
      <c r="O40" s="422">
        <f t="shared" si="12"/>
        <v>0</v>
      </c>
      <c r="P40" s="423">
        <f>SUMIF('Diags Raw Data'!$A$6:$A$3664,"*"&amp;$A40&amp;"*",'Diags Raw Data'!$Y$6:$Y$3664)</f>
        <v>0</v>
      </c>
      <c r="Q40" s="424">
        <f>SUM(SUMIF('Diags Raw Data'!$A$6:$A$3664,"*"&amp;$A40&amp;"*",'Diags Raw Data'!$Z$6:$Z$3664),SUMIF('Diags Raw Data'!$A$6:$A$3664,"*"&amp;$A40&amp;"*",'Diags Raw Data'!$AA$6:$AA$3664))</f>
        <v>0</v>
      </c>
      <c r="R40" s="425">
        <f t="shared" si="13"/>
        <v>0</v>
      </c>
      <c r="S40" s="425">
        <f t="shared" si="14"/>
        <v>0</v>
      </c>
      <c r="T40" s="426">
        <f t="shared" si="15"/>
        <v>0</v>
      </c>
      <c r="U40" s="397" t="s">
        <v>489</v>
      </c>
      <c r="V40" s="170"/>
    </row>
    <row r="41" spans="1:22" ht="30.75" thickBot="1" x14ac:dyDescent="0.3">
      <c r="A41" s="464" t="s">
        <v>335</v>
      </c>
      <c r="B41" s="346" t="str">
        <f>VLOOKUP(A41,'Feature Raw Data'!$A$3:$B$3940,2,FALSE)</f>
        <v>DCFCLK deep sleep</v>
      </c>
      <c r="C41" s="293" t="str">
        <f>VLOOKUP(A41,'Feature Raw Data'!$A$3:$C$3940,3,FALSE)</f>
        <v>P2</v>
      </c>
      <c r="D41" s="82" t="str" cm="1">
        <f t="array" ref="D41">_xlfn.TEXTJOIN("",TRUE,IF(ISNUMBER(SEARCH($A41,'Diags Raw Data'!$A$6:$A$3664)),CONCATENATE('Diags Raw Data'!$H$6:$H$3664,", "),""))</f>
        <v xml:space="preserve">PM10.37, </v>
      </c>
      <c r="E41" s="304" t="s">
        <v>248</v>
      </c>
      <c r="F41" s="169" t="str">
        <f>VLOOKUP(A41,'Feature Raw Data'!$A$3:$E$3940,5,FALSE)</f>
        <v>Legacy</v>
      </c>
      <c r="G41" s="169" t="str">
        <f t="shared" si="10"/>
        <v>Yes</v>
      </c>
      <c r="H41" s="598" t="s">
        <v>491</v>
      </c>
      <c r="I41" s="293">
        <f>SUMIF('Diags Raw Data'!$A$6:$A$3664,"*"&amp;$A41&amp;"*",'Diags Raw Data'!$J$6:$J$3664)</f>
        <v>1</v>
      </c>
      <c r="J41" s="183">
        <f>SUMIF('Diags Raw Data'!$A$6:$A$3664,"*"&amp;$A41&amp;"*",'Diags Raw Data'!$K$6:$K$3664)</f>
        <v>1</v>
      </c>
      <c r="K41" s="418" cm="1">
        <f t="array" ref="K41">IF(D41="",0, SUMPRODUCT(--(ISNUMBER(SEARCH($A41,'Diags Raw Data'!$A$6:$A$3664))),'Diags Raw Data'!$K$6:$K$3664,'Diags Raw Data'!$M$6:$M$3664)/J41)</f>
        <v>1</v>
      </c>
      <c r="L41" s="419" cm="1">
        <f t="array" ref="L41">IF(D41="",0, SUMPRODUCT(--(ISNUMBER(SEARCH($A41,'Diags Raw Data'!$A$6:$A$3664))),'Diags Raw Data'!$K$6:$K$3664,'Diags Raw Data'!$O$6:$O$3664)/J41)</f>
        <v>0.6</v>
      </c>
      <c r="M41" s="420" cm="1">
        <f t="array" ref="M41">SUMPRODUCT(--(ISNUMBER(SEARCH($A41,'Diags Raw Data'!$A$6:$A$3664))),--('Diags Raw Data'!$P$6:$P$3664&lt;&gt;"N/A"),'Diags Raw Data'!$Q$6:$Q$3664)</f>
        <v>1</v>
      </c>
      <c r="N41" s="421" cm="1">
        <f t="array" ref="N41">SUMPRODUCT(--(ISNUMBER(SEARCH($A41,'Diags Raw Data'!$A$6:$A$3664))),--('Diags Raw Data'!$P$6:$P$3664&lt;&gt;"N/A"),'Diags Raw Data'!$S$6:$S$3664)+SUMPRODUCT(--(ISNUMBER(SEARCH($A41,'Diags Raw Data'!$A$6:$A$3664))),--('Diags Raw Data'!$P$6:$P$3664&lt;&gt;"N/A"),'Diags Raw Data'!$T$6:$T$3664)</f>
        <v>0</v>
      </c>
      <c r="O41" s="422">
        <f t="shared" si="12"/>
        <v>0</v>
      </c>
      <c r="P41" s="423">
        <f>SUMIF('Diags Raw Data'!$A$6:$A$3664,"*"&amp;$A41&amp;"*",'Diags Raw Data'!$Y$6:$Y$3664)</f>
        <v>0</v>
      </c>
      <c r="Q41" s="424">
        <f>SUM(SUMIF('Diags Raw Data'!$A$6:$A$3664,"*"&amp;$A41&amp;"*",'Diags Raw Data'!$Z$6:$Z$3664),SUMIF('Diags Raw Data'!$A$6:$A$3664,"*"&amp;$A41&amp;"*",'Diags Raw Data'!$AA$6:$AA$3664))</f>
        <v>0</v>
      </c>
      <c r="R41" s="425">
        <f t="shared" si="13"/>
        <v>0</v>
      </c>
      <c r="S41" s="425">
        <f t="shared" si="14"/>
        <v>0</v>
      </c>
      <c r="T41" s="426">
        <f t="shared" si="15"/>
        <v>0</v>
      </c>
      <c r="U41" s="397" t="s">
        <v>489</v>
      </c>
      <c r="V41" s="170"/>
    </row>
    <row r="42" spans="1:22" ht="15.75" thickBot="1" x14ac:dyDescent="0.3">
      <c r="A42" s="464" t="s">
        <v>337</v>
      </c>
      <c r="B42" s="570" t="str">
        <f>VLOOKUP(A42,'Feature Raw Data'!$A$3:$B$3940,2,FALSE)</f>
        <v>LCLK DPM</v>
      </c>
      <c r="C42" s="571" t="str">
        <f>VLOOKUP(A42,'Feature Raw Data'!$A$3:$C$3940,3,FALSE)</f>
        <v>P2</v>
      </c>
      <c r="D42" s="300" t="str" cm="1">
        <f t="array" ref="D42">_xlfn.TEXTJOIN("",TRUE,IF(ISNUMBER(SEARCH($A42,'Diags Raw Data'!$A$6:$A$3664)),CONCATENATE('Diags Raw Data'!$H$6:$H$3664,", "),""))</f>
        <v xml:space="preserve">PM24.1, </v>
      </c>
      <c r="E42" s="304" t="s">
        <v>248</v>
      </c>
      <c r="F42" s="169" t="str">
        <f>VLOOKUP(A42,'Feature Raw Data'!$A$3:$E$3940,5,FALSE)</f>
        <v>Legacy</v>
      </c>
      <c r="G42" s="169" t="str">
        <f t="shared" si="10"/>
        <v>Yes</v>
      </c>
      <c r="H42" s="169" t="str">
        <f t="shared" si="11"/>
        <v>Yes</v>
      </c>
      <c r="I42" s="293">
        <f>SUMIF('Diags Raw Data'!$A$6:$A$3664,"*"&amp;$A42&amp;"*",'Diags Raw Data'!$J$6:$J$3664)</f>
        <v>1</v>
      </c>
      <c r="J42" s="183">
        <f>SUMIF('Diags Raw Data'!$A$6:$A$3664,"*"&amp;$A42&amp;"*",'Diags Raw Data'!$K$6:$K$3664)</f>
        <v>1</v>
      </c>
      <c r="K42" s="418" cm="1">
        <f t="array" ref="K42">IF(D42="",0, SUMPRODUCT(--(ISNUMBER(SEARCH($A42,'Diags Raw Data'!$A$6:$A$3664))),'Diags Raw Data'!$K$6:$K$3664,'Diags Raw Data'!$M$6:$M$3664)/J42)</f>
        <v>1</v>
      </c>
      <c r="L42" s="419" cm="1">
        <f t="array" ref="L42">IF(D42="",0, SUMPRODUCT(--(ISNUMBER(SEARCH($A42,'Diags Raw Data'!$A$6:$A$3664))),'Diags Raw Data'!$K$6:$K$3664,'Diags Raw Data'!$O$6:$O$3664)/J42)</f>
        <v>0.6</v>
      </c>
      <c r="M42" s="420" cm="1">
        <f t="array" ref="M42">SUMPRODUCT(--(ISNUMBER(SEARCH($A42,'Diags Raw Data'!$A$6:$A$3664))),--('Diags Raw Data'!$P$6:$P$3664&lt;&gt;"N/A"),'Diags Raw Data'!$Q$6:$Q$3664)</f>
        <v>1</v>
      </c>
      <c r="N42" s="421" cm="1">
        <f t="array" ref="N42">SUMPRODUCT(--(ISNUMBER(SEARCH($A42,'Diags Raw Data'!$A$6:$A$3664))),--('Diags Raw Data'!$P$6:$P$3664&lt;&gt;"N/A"),'Diags Raw Data'!$S$6:$S$3664)+SUMPRODUCT(--(ISNUMBER(SEARCH($A42,'Diags Raw Data'!$A$6:$A$3664))),--('Diags Raw Data'!$P$6:$P$3664&lt;&gt;"N/A"),'Diags Raw Data'!$T$6:$T$3664)</f>
        <v>0</v>
      </c>
      <c r="O42" s="422">
        <f t="shared" si="12"/>
        <v>0</v>
      </c>
      <c r="P42" s="423">
        <f>SUMIF('Diags Raw Data'!$A$6:$A$3664,"*"&amp;$A42&amp;"*",'Diags Raw Data'!$Y$6:$Y$3664)</f>
        <v>0</v>
      </c>
      <c r="Q42" s="424">
        <f>SUM(SUMIF('Diags Raw Data'!$A$6:$A$3664,"*"&amp;$A42&amp;"*",'Diags Raw Data'!$Z$6:$Z$3664),SUMIF('Diags Raw Data'!$A$6:$A$3664,"*"&amp;$A42&amp;"*",'Diags Raw Data'!$AA$6:$AA$3664))</f>
        <v>0</v>
      </c>
      <c r="R42" s="425">
        <f t="shared" si="13"/>
        <v>0</v>
      </c>
      <c r="S42" s="425">
        <f t="shared" si="14"/>
        <v>0</v>
      </c>
      <c r="T42" s="426">
        <f t="shared" si="15"/>
        <v>0</v>
      </c>
      <c r="U42" s="397" t="s">
        <v>489</v>
      </c>
      <c r="V42" s="170"/>
    </row>
    <row r="43" spans="1:22" ht="120.75" thickBot="1" x14ac:dyDescent="0.3">
      <c r="A43" s="464" t="s">
        <v>492</v>
      </c>
      <c r="B43" s="346" t="e">
        <f>VLOOKUP(A43,'Feature Raw Data'!$A$3:$B$3940,2,FALSE)</f>
        <v>#N/A</v>
      </c>
      <c r="C43" s="293" t="e">
        <f>VLOOKUP(A43,'Feature Raw Data'!$A$3:$C$3940,3,FALSE)</f>
        <v>#N/A</v>
      </c>
      <c r="D43" s="82" t="str" cm="1">
        <f t="array" ref="D43">_xlfn.TEXTJOIN("",TRUE,IF(ISNUMBER(SEARCH($A43,'Diags Raw Data'!$A$6:$A$3664)),CONCATENATE('Diags Raw Data'!$H$6:$H$3664,", "),""))</f>
        <v/>
      </c>
      <c r="E43" s="304" t="s">
        <v>248</v>
      </c>
      <c r="F43" s="169" t="e">
        <f>VLOOKUP(A43,'Feature Raw Data'!$A$3:$E$3940,5,FALSE)</f>
        <v>#N/A</v>
      </c>
      <c r="G43" s="169" t="str">
        <f t="shared" si="10"/>
        <v>No</v>
      </c>
      <c r="H43" s="481" t="s">
        <v>490</v>
      </c>
      <c r="I43" s="293">
        <f>SUMIF('Diags Raw Data'!$A$6:$A$3664,"*"&amp;$A43&amp;"*",'Diags Raw Data'!$J$6:$J$3664)</f>
        <v>0</v>
      </c>
      <c r="J43" s="183">
        <v>1</v>
      </c>
      <c r="K43" s="418" cm="1">
        <f t="array" ref="K43">IF(D43="",0, SUMPRODUCT(--(ISNUMBER(SEARCH($A43,'Diags Raw Data'!$A$6:$A$3664))),'Diags Raw Data'!$K$6:$K$3664,'Diags Raw Data'!$M$6:$M$3664)/J43)</f>
        <v>0</v>
      </c>
      <c r="L43" s="419" cm="1">
        <f t="array" ref="L43">IF(D43="",0, SUMPRODUCT(--(ISNUMBER(SEARCH($A43,'Diags Raw Data'!$A$6:$A$3664))),'Diags Raw Data'!$K$6:$K$3664,'Diags Raw Data'!$O$6:$O$3664)/J43)</f>
        <v>0</v>
      </c>
      <c r="M43" s="420" cm="1">
        <f t="array" ref="M43">SUMPRODUCT(--(ISNUMBER(SEARCH($A43,'Diags Raw Data'!$A$6:$A$3664))),--('Diags Raw Data'!$P$6:$P$3664&lt;&gt;"N/A"),'Diags Raw Data'!$Q$6:$Q$3664)</f>
        <v>0</v>
      </c>
      <c r="N43" s="421" cm="1">
        <f t="array" ref="N43">SUMPRODUCT(--(ISNUMBER(SEARCH($A43,'Diags Raw Data'!$A$6:$A$3664))),--('Diags Raw Data'!$P$6:$P$3664&lt;&gt;"N/A"),'Diags Raw Data'!$S$6:$S$3664)+SUMPRODUCT(--(ISNUMBER(SEARCH($A43,'Diags Raw Data'!$A$6:$A$3664))),--('Diags Raw Data'!$P$6:$P$3664&lt;&gt;"N/A"),'Diags Raw Data'!$T$6:$T$3664)</f>
        <v>0</v>
      </c>
      <c r="O43" s="422">
        <f t="shared" si="12"/>
        <v>0</v>
      </c>
      <c r="P43" s="423">
        <f>SUMIF('Diags Raw Data'!$A$6:$A$3664,"*"&amp;$A43&amp;"*",'Diags Raw Data'!$Y$6:$Y$3664)</f>
        <v>0</v>
      </c>
      <c r="Q43" s="424">
        <f>SUM(SUMIF('Diags Raw Data'!$A$6:$A$3664,"*"&amp;$A43&amp;"*",'Diags Raw Data'!$Z$6:$Z$3664),SUMIF('Diags Raw Data'!$A$6:$A$3664,"*"&amp;$A43&amp;"*",'Diags Raw Data'!$AA$6:$AA$3664))</f>
        <v>0</v>
      </c>
      <c r="R43" s="425">
        <f t="shared" si="13"/>
        <v>0</v>
      </c>
      <c r="S43" s="425">
        <f t="shared" si="14"/>
        <v>0</v>
      </c>
      <c r="T43" s="426">
        <f t="shared" si="15"/>
        <v>0</v>
      </c>
      <c r="U43" s="397" t="s">
        <v>489</v>
      </c>
      <c r="V43" s="170"/>
    </row>
    <row r="44" spans="1:22" ht="120.75" thickBot="1" x14ac:dyDescent="0.3">
      <c r="A44" s="464" t="s">
        <v>341</v>
      </c>
      <c r="B44" s="346" t="str">
        <f>VLOOKUP(A44,'Feature Raw Data'!$A$3:$B$3940,2,FALSE)</f>
        <v>ISPCLK DPM</v>
      </c>
      <c r="C44" s="293" t="str">
        <f>VLOOKUP(A44,'Feature Raw Data'!$A$3:$C$3940,3,FALSE)</f>
        <v>P2</v>
      </c>
      <c r="D44" s="82" t="str" cm="1">
        <f t="array" ref="D44">_xlfn.TEXTJOIN("",TRUE,IF(ISNUMBER(SEARCH($A44,'Diags Raw Data'!$A$6:$A$3664)),CONCATENATE('Diags Raw Data'!$H$6:$H$3664,", "),""))</f>
        <v/>
      </c>
      <c r="E44" s="304" t="s">
        <v>248</v>
      </c>
      <c r="F44" s="169" t="str">
        <f>VLOOKUP(A44,'Feature Raw Data'!$A$3:$E$3940,5,FALSE)</f>
        <v>Legacy</v>
      </c>
      <c r="G44" s="169" t="s">
        <v>31</v>
      </c>
      <c r="H44" s="481" t="s">
        <v>490</v>
      </c>
      <c r="I44" s="293">
        <f>SUMIF('Diags Raw Data'!$A$6:$A$3664,"*"&amp;$A44&amp;"*",'Diags Raw Data'!$J$6:$J$3664)</f>
        <v>0</v>
      </c>
      <c r="J44" s="183">
        <f>SUMIF('Diags Raw Data'!$A$6:$A$3664,"*"&amp;$A44&amp;"*",'Diags Raw Data'!$K$6:$K$3664)</f>
        <v>0</v>
      </c>
      <c r="K44" s="418" cm="1">
        <f t="array" ref="K44">IF(D44="",0, SUMPRODUCT(--(ISNUMBER(SEARCH($A44,'Diags Raw Data'!$A$6:$A$3664))),'Diags Raw Data'!$K$6:$K$3664,'Diags Raw Data'!$M$6:$M$3664)/J44)</f>
        <v>0</v>
      </c>
      <c r="L44" s="419" cm="1">
        <f t="array" ref="L44">IF(D44="",0, SUMPRODUCT(--(ISNUMBER(SEARCH($A44,'Diags Raw Data'!$A$6:$A$3664))),'Diags Raw Data'!$K$6:$K$3664,'Diags Raw Data'!$O$6:$O$3664)/J44)</f>
        <v>0</v>
      </c>
      <c r="M44" s="420" cm="1">
        <f t="array" ref="M44">SUMPRODUCT(--(ISNUMBER(SEARCH($A44,'Diags Raw Data'!$A$6:$A$3664))),--('Diags Raw Data'!$P$6:$P$3664&lt;&gt;"N/A"),'Diags Raw Data'!$Q$6:$Q$3664)</f>
        <v>0</v>
      </c>
      <c r="N44" s="421" cm="1">
        <f t="array" ref="N44">SUMPRODUCT(--(ISNUMBER(SEARCH($A44,'Diags Raw Data'!$A$6:$A$3664))),--('Diags Raw Data'!$P$6:$P$3664&lt;&gt;"N/A"),'Diags Raw Data'!$S$6:$S$3664)+SUMPRODUCT(--(ISNUMBER(SEARCH($A44,'Diags Raw Data'!$A$6:$A$3664))),--('Diags Raw Data'!$P$6:$P$3664&lt;&gt;"N/A"),'Diags Raw Data'!$T$6:$T$3664)</f>
        <v>0</v>
      </c>
      <c r="O44" s="422">
        <f t="shared" si="12"/>
        <v>0</v>
      </c>
      <c r="P44" s="423">
        <f>SUMIF('Diags Raw Data'!$A$6:$A$3664,"*"&amp;$A44&amp;"*",'Diags Raw Data'!$Y$6:$Y$3664)</f>
        <v>0</v>
      </c>
      <c r="Q44" s="424">
        <f>SUM(SUMIF('Diags Raw Data'!$A$6:$A$3664,"*"&amp;$A44&amp;"*",'Diags Raw Data'!$Z$6:$Z$3664),SUMIF('Diags Raw Data'!$A$6:$A$3664,"*"&amp;$A44&amp;"*",'Diags Raw Data'!$AA$6:$AA$3664))</f>
        <v>0</v>
      </c>
      <c r="R44" s="425">
        <f t="shared" si="13"/>
        <v>0</v>
      </c>
      <c r="S44" s="425">
        <f t="shared" si="14"/>
        <v>0</v>
      </c>
      <c r="T44" s="426">
        <f t="shared" si="15"/>
        <v>0</v>
      </c>
      <c r="U44" s="397" t="s">
        <v>489</v>
      </c>
      <c r="V44" s="170"/>
    </row>
    <row r="45" spans="1:22" ht="15.75" thickBot="1" x14ac:dyDescent="0.3">
      <c r="A45" s="464" t="s">
        <v>343</v>
      </c>
      <c r="B45" s="570" t="str">
        <f>VLOOKUP(A45,'Feature Raw Data'!$A$3:$B$3940,2,FALSE)</f>
        <v>SOCCLK DPM</v>
      </c>
      <c r="C45" s="571" t="str">
        <f>VLOOKUP(A45,'Feature Raw Data'!$A$3:$C$3940,3,FALSE)</f>
        <v>P2</v>
      </c>
      <c r="D45" s="300" t="str" cm="1">
        <f t="array" ref="D45">_xlfn.TEXTJOIN("",TRUE,IF(ISNUMBER(SEARCH($A45,'Diags Raw Data'!$A$6:$A$3664)),CONCATENATE('Diags Raw Data'!$H$6:$H$3664,", "),""))</f>
        <v xml:space="preserve">PM20.01, </v>
      </c>
      <c r="E45" s="304" t="s">
        <v>248</v>
      </c>
      <c r="F45" s="169" t="str">
        <f>VLOOKUP(A45,'Feature Raw Data'!$A$3:$E$3940,5,FALSE)</f>
        <v>Legacy</v>
      </c>
      <c r="G45" s="169" t="str">
        <f t="shared" si="10"/>
        <v>Yes</v>
      </c>
      <c r="H45" s="169" t="str">
        <f t="shared" si="11"/>
        <v>Yes</v>
      </c>
      <c r="I45" s="293">
        <f>SUMIF('Diags Raw Data'!$A$6:$A$3664,"*"&amp;$A45&amp;"*",'Diags Raw Data'!$J$6:$J$3664)</f>
        <v>1</v>
      </c>
      <c r="J45" s="183">
        <f>SUMIF('Diags Raw Data'!$A$6:$A$3664,"*"&amp;$A45&amp;"*",'Diags Raw Data'!$K$6:$K$3664)</f>
        <v>1</v>
      </c>
      <c r="K45" s="418" cm="1">
        <f t="array" ref="K45">IF(D45="",0, SUMPRODUCT(--(ISNUMBER(SEARCH($A45,'Diags Raw Data'!$A$6:$A$3664))),'Diags Raw Data'!$K$6:$K$3664,'Diags Raw Data'!$M$6:$M$3664)/J45)</f>
        <v>1</v>
      </c>
      <c r="L45" s="419" cm="1">
        <f t="array" ref="L45">IF(D45="",0, SUMPRODUCT(--(ISNUMBER(SEARCH($A45,'Diags Raw Data'!$A$6:$A$3664))),'Diags Raw Data'!$K$6:$K$3664,'Diags Raw Data'!$O$6:$O$3664)/J45)</f>
        <v>0.6</v>
      </c>
      <c r="M45" s="420" cm="1">
        <f t="array" ref="M45">SUMPRODUCT(--(ISNUMBER(SEARCH($A45,'Diags Raw Data'!$A$6:$A$3664))),--('Diags Raw Data'!$P$6:$P$3664&lt;&gt;"N/A"),'Diags Raw Data'!$Q$6:$Q$3664)</f>
        <v>1</v>
      </c>
      <c r="N45" s="421" cm="1">
        <f t="array" ref="N45">SUMPRODUCT(--(ISNUMBER(SEARCH($A45,'Diags Raw Data'!$A$6:$A$3664))),--('Diags Raw Data'!$P$6:$P$3664&lt;&gt;"N/A"),'Diags Raw Data'!$S$6:$S$3664)+SUMPRODUCT(--(ISNUMBER(SEARCH($A45,'Diags Raw Data'!$A$6:$A$3664))),--('Diags Raw Data'!$P$6:$P$3664&lt;&gt;"N/A"),'Diags Raw Data'!$T$6:$T$3664)</f>
        <v>0</v>
      </c>
      <c r="O45" s="422">
        <f t="shared" si="12"/>
        <v>0</v>
      </c>
      <c r="P45" s="423">
        <f>SUMIF('Diags Raw Data'!$A$6:$A$3664,"*"&amp;$A45&amp;"*",'Diags Raw Data'!$Y$6:$Y$3664)</f>
        <v>0</v>
      </c>
      <c r="Q45" s="424">
        <f>SUM(SUMIF('Diags Raw Data'!$A$6:$A$3664,"*"&amp;$A45&amp;"*",'Diags Raw Data'!$Z$6:$Z$3664),SUMIF('Diags Raw Data'!$A$6:$A$3664,"*"&amp;$A45&amp;"*",'Diags Raw Data'!$AA$6:$AA$3664))</f>
        <v>0</v>
      </c>
      <c r="R45" s="425">
        <f t="shared" si="13"/>
        <v>0</v>
      </c>
      <c r="S45" s="425">
        <f t="shared" si="14"/>
        <v>0</v>
      </c>
      <c r="T45" s="426">
        <f t="shared" si="15"/>
        <v>0</v>
      </c>
      <c r="U45" s="397" t="s">
        <v>489</v>
      </c>
      <c r="V45" s="170"/>
    </row>
    <row r="46" spans="1:22" ht="120.75" thickBot="1" x14ac:dyDescent="0.3">
      <c r="A46" s="464" t="s">
        <v>345</v>
      </c>
      <c r="B46" s="346" t="str">
        <f>VLOOKUP(A46,'Feature Raw Data'!$A$3:$B$3940,2,FALSE)</f>
        <v>MP0CLK DPM</v>
      </c>
      <c r="C46" s="293" t="str">
        <f>VLOOKUP(A46,'Feature Raw Data'!$A$3:$C$3940,3,FALSE)</f>
        <v>P2</v>
      </c>
      <c r="D46" s="82" t="str" cm="1">
        <f t="array" ref="D46">_xlfn.TEXTJOIN("",TRUE,IF(ISNUMBER(SEARCH($A46,'Diags Raw Data'!$A$6:$A$3664)),CONCATENATE('Diags Raw Data'!$H$6:$H$3664,", "),""))</f>
        <v/>
      </c>
      <c r="E46" s="304" t="s">
        <v>248</v>
      </c>
      <c r="F46" s="169" t="str">
        <f>VLOOKUP(A46,'Feature Raw Data'!$A$3:$E$3940,5,FALSE)</f>
        <v>Legacy</v>
      </c>
      <c r="G46" s="169" t="str">
        <f t="shared" si="10"/>
        <v>No</v>
      </c>
      <c r="H46" s="481" t="s">
        <v>490</v>
      </c>
      <c r="I46" s="293">
        <f>SUMIF('Diags Raw Data'!$A$6:$A$3664,"*"&amp;$A46&amp;"*",'Diags Raw Data'!$J$6:$J$3664)</f>
        <v>0</v>
      </c>
      <c r="J46" s="183">
        <v>1</v>
      </c>
      <c r="K46" s="418" cm="1">
        <f t="array" ref="K46">IF(D46="",0, SUMPRODUCT(--(ISNUMBER(SEARCH($A46,'Diags Raw Data'!$A$6:$A$3664))),'Diags Raw Data'!$K$6:$K$3664,'Diags Raw Data'!$M$6:$M$3664)/J46)</f>
        <v>0</v>
      </c>
      <c r="L46" s="419" cm="1">
        <f t="array" ref="L46">IF(D46="",0, SUMPRODUCT(--(ISNUMBER(SEARCH($A46,'Diags Raw Data'!$A$6:$A$3664))),'Diags Raw Data'!$K$6:$K$3664,'Diags Raw Data'!$O$6:$O$3664)/J46)</f>
        <v>0</v>
      </c>
      <c r="M46" s="420" cm="1">
        <f t="array" ref="M46">SUMPRODUCT(--(ISNUMBER(SEARCH($A46,'Diags Raw Data'!$A$6:$A$3664))),--('Diags Raw Data'!$P$6:$P$3664&lt;&gt;"N/A"),'Diags Raw Data'!$Q$6:$Q$3664)</f>
        <v>0</v>
      </c>
      <c r="N46" s="421" cm="1">
        <f t="array" ref="N46">SUMPRODUCT(--(ISNUMBER(SEARCH($A46,'Diags Raw Data'!$A$6:$A$3664))),--('Diags Raw Data'!$P$6:$P$3664&lt;&gt;"N/A"),'Diags Raw Data'!$S$6:$S$3664)+SUMPRODUCT(--(ISNUMBER(SEARCH($A46,'Diags Raw Data'!$A$6:$A$3664))),--('Diags Raw Data'!$P$6:$P$3664&lt;&gt;"N/A"),'Diags Raw Data'!$T$6:$T$3664)</f>
        <v>0</v>
      </c>
      <c r="O46" s="422">
        <f t="shared" si="12"/>
        <v>0</v>
      </c>
      <c r="P46" s="423">
        <f>SUMIF('Diags Raw Data'!$A$6:$A$3664,"*"&amp;$A46&amp;"*",'Diags Raw Data'!$Y$6:$Y$3664)</f>
        <v>0</v>
      </c>
      <c r="Q46" s="424">
        <f>SUM(SUMIF('Diags Raw Data'!$A$6:$A$3664,"*"&amp;$A46&amp;"*",'Diags Raw Data'!$Z$6:$Z$3664),SUMIF('Diags Raw Data'!$A$6:$A$3664,"*"&amp;$A46&amp;"*",'Diags Raw Data'!$AA$6:$AA$3664))</f>
        <v>0</v>
      </c>
      <c r="R46" s="425">
        <f t="shared" si="13"/>
        <v>0</v>
      </c>
      <c r="S46" s="425">
        <f t="shared" si="14"/>
        <v>0</v>
      </c>
      <c r="T46" s="426">
        <f t="shared" si="15"/>
        <v>0</v>
      </c>
      <c r="U46" s="397" t="s">
        <v>489</v>
      </c>
      <c r="V46" s="170"/>
    </row>
    <row r="47" spans="1:22" ht="90.75" thickBot="1" x14ac:dyDescent="0.3">
      <c r="A47" s="464" t="s">
        <v>347</v>
      </c>
      <c r="B47" s="346" t="str">
        <f>VLOOKUP(A47,'Feature Raw Data'!$A$3:$B$3940,2,FALSE)</f>
        <v>VDDSOC ULV</v>
      </c>
      <c r="C47" s="293" t="str">
        <f>VLOOKUP(A47,'Feature Raw Data'!$A$3:$C$3940,3,FALSE)</f>
        <v>P2</v>
      </c>
      <c r="D47" s="82" t="str" cm="1">
        <f t="array" ref="D47">_xlfn.TEXTJOIN("",TRUE,IF(ISNUMBER(SEARCH($A47,'Diags Raw Data'!$A$6:$A$3664)),CONCATENATE('Diags Raw Data'!$H$6:$H$3664,", "),""))</f>
        <v/>
      </c>
      <c r="E47" s="304" t="s">
        <v>248</v>
      </c>
      <c r="F47" s="169" t="str">
        <f>VLOOKUP(A47,'Feature Raw Data'!$A$3:$E$3940,5,FALSE)</f>
        <v>Legacy</v>
      </c>
      <c r="G47" s="169" t="s">
        <v>31</v>
      </c>
      <c r="H47" s="481" t="s">
        <v>493</v>
      </c>
      <c r="I47" s="562">
        <v>0</v>
      </c>
      <c r="J47" s="183">
        <v>1</v>
      </c>
      <c r="K47" s="418" cm="1">
        <f t="array" ref="K47">IF(D47="",0, SUMPRODUCT(--(ISNUMBER(SEARCH($A47,'Diags Raw Data'!$A$6:$A$3664))),'Diags Raw Data'!$K$6:$K$3664,'Diags Raw Data'!$M$6:$M$3664)/J47)</f>
        <v>0</v>
      </c>
      <c r="L47" s="419" cm="1">
        <f t="array" ref="L47">IF(D47="",0, SUMPRODUCT(--(ISNUMBER(SEARCH($A47,'Diags Raw Data'!$A$6:$A$3664))),'Diags Raw Data'!$K$6:$K$3664,'Diags Raw Data'!$O$6:$O$3664)/J47)</f>
        <v>0</v>
      </c>
      <c r="M47" s="420" cm="1">
        <f t="array" ref="M47">SUMPRODUCT(--(ISNUMBER(SEARCH($A47,'Diags Raw Data'!$A$6:$A$3664))),--('Diags Raw Data'!$P$6:$P$3664&lt;&gt;"N/A"),'Diags Raw Data'!$Q$6:$Q$3664)</f>
        <v>0</v>
      </c>
      <c r="N47" s="421" cm="1">
        <f t="array" ref="N47">SUMPRODUCT(--(ISNUMBER(SEARCH($A47,'Diags Raw Data'!$A$6:$A$3664))),--('Diags Raw Data'!$P$6:$P$3664&lt;&gt;"N/A"),'Diags Raw Data'!$S$6:$S$3664)+SUMPRODUCT(--(ISNUMBER(SEARCH($A47,'Diags Raw Data'!$A$6:$A$3664))),--('Diags Raw Data'!$P$6:$P$3664&lt;&gt;"N/A"),'Diags Raw Data'!$T$6:$T$3664)</f>
        <v>0</v>
      </c>
      <c r="O47" s="422">
        <f t="shared" si="12"/>
        <v>0</v>
      </c>
      <c r="P47" s="423">
        <f>SUMIF('Diags Raw Data'!$A$6:$A$3664,"*"&amp;$A47&amp;"*",'Diags Raw Data'!$Y$6:$Y$3664)</f>
        <v>0</v>
      </c>
      <c r="Q47" s="424">
        <f>SUM(SUMIF('Diags Raw Data'!$A$6:$A$3664,"*"&amp;$A47&amp;"*",'Diags Raw Data'!$Z$6:$Z$3664),SUMIF('Diags Raw Data'!$A$6:$A$3664,"*"&amp;$A47&amp;"*",'Diags Raw Data'!$AA$6:$AA$3664))</f>
        <v>0</v>
      </c>
      <c r="R47" s="425">
        <f t="shared" si="13"/>
        <v>0</v>
      </c>
      <c r="S47" s="425">
        <f t="shared" si="14"/>
        <v>0</v>
      </c>
      <c r="T47" s="426">
        <f t="shared" si="15"/>
        <v>0</v>
      </c>
      <c r="U47" s="397" t="s">
        <v>489</v>
      </c>
      <c r="V47" s="170"/>
    </row>
    <row r="48" spans="1:22" ht="90.75" thickBot="1" x14ac:dyDescent="0.3">
      <c r="A48" s="464" t="s">
        <v>349</v>
      </c>
      <c r="B48" s="346" t="str">
        <f>VLOOKUP(A48,'Feature Raw Data'!$A$3:$B$3940,2,FALSE)</f>
        <v xml:space="preserve">PLL Power Down Monitor
</v>
      </c>
      <c r="C48" s="293" t="str">
        <f>VLOOKUP(A48,'Feature Raw Data'!$A$3:$C$3940,3,FALSE)</f>
        <v>P2</v>
      </c>
      <c r="D48" s="82" t="str" cm="1">
        <f t="array" ref="D48">_xlfn.TEXTJOIN("",TRUE,IF(ISNUMBER(SEARCH($A48,'Diags Raw Data'!$A$6:$A$3664)),CONCATENATE('Diags Raw Data'!$H$6:$H$3664,", "),""))</f>
        <v/>
      </c>
      <c r="E48" s="304" t="s">
        <v>248</v>
      </c>
      <c r="F48" s="169" t="str">
        <f>VLOOKUP(A48,'Feature Raw Data'!$A$3:$E$3940,5,FALSE)</f>
        <v>Legacy</v>
      </c>
      <c r="G48" s="169" t="s">
        <v>31</v>
      </c>
      <c r="H48" s="481" t="s">
        <v>493</v>
      </c>
      <c r="I48" s="562">
        <v>0</v>
      </c>
      <c r="J48" s="183">
        <v>1</v>
      </c>
      <c r="K48" s="418" cm="1">
        <f t="array" ref="K48">IF(D48="",0, SUMPRODUCT(--(ISNUMBER(SEARCH($A48,'Diags Raw Data'!$A$6:$A$3664))),'Diags Raw Data'!$K$6:$K$3664,'Diags Raw Data'!$M$6:$M$3664)/J48)</f>
        <v>0</v>
      </c>
      <c r="L48" s="419" cm="1">
        <f t="array" ref="L48">IF(D48="",0, SUMPRODUCT(--(ISNUMBER(SEARCH($A48,'Diags Raw Data'!$A$6:$A$3664))),'Diags Raw Data'!$K$6:$K$3664,'Diags Raw Data'!$O$6:$O$3664)/J48)</f>
        <v>0</v>
      </c>
      <c r="M48" s="420" cm="1">
        <f t="array" ref="M48">SUMPRODUCT(--(ISNUMBER(SEARCH($A48,'Diags Raw Data'!$A$6:$A$3664))),--('Diags Raw Data'!$P$6:$P$3664&lt;&gt;"N/A"),'Diags Raw Data'!$Q$6:$Q$3664)</f>
        <v>0</v>
      </c>
      <c r="N48" s="421" cm="1">
        <f t="array" ref="N48">SUMPRODUCT(--(ISNUMBER(SEARCH($A48,'Diags Raw Data'!$A$6:$A$3664))),--('Diags Raw Data'!$P$6:$P$3664&lt;&gt;"N/A"),'Diags Raw Data'!$S$6:$S$3664)+SUMPRODUCT(--(ISNUMBER(SEARCH($A48,'Diags Raw Data'!$A$6:$A$3664))),--('Diags Raw Data'!$P$6:$P$3664&lt;&gt;"N/A"),'Diags Raw Data'!$T$6:$T$3664)</f>
        <v>0</v>
      </c>
      <c r="O48" s="422">
        <f t="shared" si="12"/>
        <v>0</v>
      </c>
      <c r="P48" s="423">
        <f>SUMIF('Diags Raw Data'!$A$6:$A$3664,"*"&amp;$A48&amp;"*",'Diags Raw Data'!$Y$6:$Y$3664)</f>
        <v>0</v>
      </c>
      <c r="Q48" s="424">
        <f>SUM(SUMIF('Diags Raw Data'!$A$6:$A$3664,"*"&amp;$A48&amp;"*",'Diags Raw Data'!$Z$6:$Z$3664),SUMIF('Diags Raw Data'!$A$6:$A$3664,"*"&amp;$A48&amp;"*",'Diags Raw Data'!$AA$6:$AA$3664))</f>
        <v>0</v>
      </c>
      <c r="R48" s="425">
        <f t="shared" si="13"/>
        <v>0</v>
      </c>
      <c r="S48" s="425">
        <f t="shared" si="14"/>
        <v>0</v>
      </c>
      <c r="T48" s="426">
        <f t="shared" si="15"/>
        <v>0</v>
      </c>
      <c r="U48" s="397" t="s">
        <v>489</v>
      </c>
      <c r="V48" s="170"/>
    </row>
    <row r="49" spans="1:22" s="480" customFormat="1" ht="90.75" thickBot="1" x14ac:dyDescent="0.3">
      <c r="A49" s="460" t="s">
        <v>351</v>
      </c>
      <c r="B49" s="467" t="str">
        <f>VLOOKUP(A49,'Feature Raw Data'!$A$3:$B$3940,2,FALSE)</f>
        <v xml:space="preserve">PLL bypass
</v>
      </c>
      <c r="C49" s="468" t="str">
        <f>VLOOKUP(A49,'Feature Raw Data'!$A$3:$C$3940,3,FALSE)</f>
        <v>P2</v>
      </c>
      <c r="D49" s="469" t="str" cm="1">
        <f t="array" ref="D49">_xlfn.TEXTJOIN("",TRUE,IF(ISNUMBER(SEARCH($A49,'Diags Raw Data'!$A$6:$A$3664)),CONCATENATE('Diags Raw Data'!$H$6:$H$3664,", "),""))</f>
        <v/>
      </c>
      <c r="E49" s="304" t="s">
        <v>248</v>
      </c>
      <c r="F49" s="308" t="str">
        <f>VLOOKUP(A49,'Feature Raw Data'!$A$3:$E$3940,5,FALSE)</f>
        <v>Legacy</v>
      </c>
      <c r="G49" s="169" t="s">
        <v>31</v>
      </c>
      <c r="H49" s="481" t="s">
        <v>493</v>
      </c>
      <c r="I49" s="562">
        <v>0</v>
      </c>
      <c r="J49" s="470">
        <v>1</v>
      </c>
      <c r="K49" s="471" cm="1">
        <f t="array" ref="K49">IF(D49="",0, SUMPRODUCT(--(ISNUMBER(SEARCH($A49,'Diags Raw Data'!$A$6:$A$3664))),'Diags Raw Data'!$K$6:$K$3664,'Diags Raw Data'!$M$6:$M$3664)/J49)</f>
        <v>0</v>
      </c>
      <c r="L49" s="472" cm="1">
        <f t="array" ref="L49">IF(D49="",0, SUMPRODUCT(--(ISNUMBER(SEARCH($A49,'Diags Raw Data'!$A$6:$A$3664))),'Diags Raw Data'!$K$6:$K$3664,'Diags Raw Data'!$O$6:$O$3664)/J49)</f>
        <v>0</v>
      </c>
      <c r="M49" s="473" cm="1">
        <f t="array" ref="M49">SUMPRODUCT(--(ISNUMBER(SEARCH($A49,'Diags Raw Data'!$A$6:$A$3664))),--('Diags Raw Data'!$P$6:$P$3664&lt;&gt;"N/A"),'Diags Raw Data'!$Q$6:$Q$3664)</f>
        <v>0</v>
      </c>
      <c r="N49" s="474" cm="1">
        <f t="array" ref="N49">SUMPRODUCT(--(ISNUMBER(SEARCH($A49,'Diags Raw Data'!$A$6:$A$3664))),--('Diags Raw Data'!$P$6:$P$3664&lt;&gt;"N/A"),'Diags Raw Data'!$S$6:$S$3664)+SUMPRODUCT(--(ISNUMBER(SEARCH($A49,'Diags Raw Data'!$A$6:$A$3664))),--('Diags Raw Data'!$P$6:$P$3664&lt;&gt;"N/A"),'Diags Raw Data'!$T$6:$T$3664)</f>
        <v>0</v>
      </c>
      <c r="O49" s="475">
        <f t="shared" si="12"/>
        <v>0</v>
      </c>
      <c r="P49" s="476">
        <f>SUMIF('Diags Raw Data'!$A$6:$A$3664,"*"&amp;$A49&amp;"*",'Diags Raw Data'!$Y$6:$Y$3664)</f>
        <v>0</v>
      </c>
      <c r="Q49" s="477">
        <f>SUM(SUMIF('Diags Raw Data'!$A$6:$A$3664,"*"&amp;$A49&amp;"*",'Diags Raw Data'!$Z$6:$Z$3664),SUMIF('Diags Raw Data'!$A$6:$A$3664,"*"&amp;$A49&amp;"*",'Diags Raw Data'!$AA$6:$AA$3664))</f>
        <v>0</v>
      </c>
      <c r="R49" s="377">
        <f t="shared" si="13"/>
        <v>0</v>
      </c>
      <c r="S49" s="377">
        <f t="shared" si="14"/>
        <v>0</v>
      </c>
      <c r="T49" s="478">
        <f t="shared" si="15"/>
        <v>0</v>
      </c>
      <c r="U49" s="397" t="s">
        <v>489</v>
      </c>
      <c r="V49" s="479"/>
    </row>
    <row r="50" spans="1:22" ht="15.75" thickBot="1" x14ac:dyDescent="0.3">
      <c r="A50" s="464" t="s">
        <v>353</v>
      </c>
      <c r="B50" s="346" t="str">
        <f>VLOOKUP(A50,'Feature Raw Data'!$A$3:$B$3940,2,FALSE)</f>
        <v>S3</v>
      </c>
      <c r="C50" s="293" t="str">
        <f>VLOOKUP(A50,'Feature Raw Data'!$A$3:$C$3940,3,FALSE)</f>
        <v>P2</v>
      </c>
      <c r="D50" s="82" t="str" cm="1">
        <f t="array" ref="D50">_xlfn.TEXTJOIN("",TRUE,IF(ISNUMBER(SEARCH($A50,'Diags Raw Data'!$A$6:$A$3664)),CONCATENATE('Diags Raw Data'!$H$6:$H$3664,", "),""))</f>
        <v xml:space="preserve">PM4.21, </v>
      </c>
      <c r="E50" s="304" t="s">
        <v>248</v>
      </c>
      <c r="F50" s="169" t="str">
        <f>VLOOKUP(A50,'Feature Raw Data'!$A$3:$E$3940,5,FALSE)</f>
        <v>Legacy</v>
      </c>
      <c r="G50" s="169" t="str">
        <f t="shared" si="10"/>
        <v>Yes</v>
      </c>
      <c r="H50" s="169" t="str">
        <f t="shared" si="11"/>
        <v>Yes</v>
      </c>
      <c r="I50" s="293">
        <f>SUMIF('Diags Raw Data'!$A$6:$A$3664,"*"&amp;$A50&amp;"*",'Diags Raw Data'!$J$6:$J$3664)</f>
        <v>1</v>
      </c>
      <c r="J50" s="183">
        <f>SUMIF('Diags Raw Data'!$A$6:$A$3664,"*"&amp;$A50&amp;"*",'Diags Raw Data'!$K$6:$K$3664)</f>
        <v>1</v>
      </c>
      <c r="K50" s="418" cm="1">
        <f t="array" ref="K50">IF(D50="",0, SUMPRODUCT(--(ISNUMBER(SEARCH($A50,'Diags Raw Data'!$A$6:$A$3664))),'Diags Raw Data'!$K$6:$K$3664,'Diags Raw Data'!$M$6:$M$3664)/J50)</f>
        <v>1</v>
      </c>
      <c r="L50" s="419" cm="1">
        <f t="array" ref="L50">IF(D50="",0, SUMPRODUCT(--(ISNUMBER(SEARCH($A50,'Diags Raw Data'!$A$6:$A$3664))),'Diags Raw Data'!$K$6:$K$3664,'Diags Raw Data'!$O$6:$O$3664)/J50)</f>
        <v>0.6</v>
      </c>
      <c r="M50" s="420" cm="1">
        <f t="array" ref="M50">SUMPRODUCT(--(ISNUMBER(SEARCH($A50,'Diags Raw Data'!$A$6:$A$3664))),--('Diags Raw Data'!$P$6:$P$3664&lt;&gt;"N/A"),'Diags Raw Data'!$Q$6:$Q$3664)</f>
        <v>1</v>
      </c>
      <c r="N50" s="421" cm="1">
        <f t="array" ref="N50">SUMPRODUCT(--(ISNUMBER(SEARCH($A50,'Diags Raw Data'!$A$6:$A$3664))),--('Diags Raw Data'!$P$6:$P$3664&lt;&gt;"N/A"),'Diags Raw Data'!$S$6:$S$3664)+SUMPRODUCT(--(ISNUMBER(SEARCH($A50,'Diags Raw Data'!$A$6:$A$3664))),--('Diags Raw Data'!$P$6:$P$3664&lt;&gt;"N/A"),'Diags Raw Data'!$T$6:$T$3664)</f>
        <v>0</v>
      </c>
      <c r="O50" s="422">
        <f t="shared" si="12"/>
        <v>0</v>
      </c>
      <c r="P50" s="423">
        <f>SUMIF('Diags Raw Data'!$A$6:$A$3664,"*"&amp;$A50&amp;"*",'Diags Raw Data'!$Y$6:$Y$3664)</f>
        <v>0</v>
      </c>
      <c r="Q50" s="424">
        <f>SUM(SUMIF('Diags Raw Data'!$A$6:$A$3664,"*"&amp;$A50&amp;"*",'Diags Raw Data'!$Z$6:$Z$3664),SUMIF('Diags Raw Data'!$A$6:$A$3664,"*"&amp;$A50&amp;"*",'Diags Raw Data'!$AA$6:$AA$3664))</f>
        <v>0</v>
      </c>
      <c r="R50" s="425">
        <f t="shared" si="13"/>
        <v>0</v>
      </c>
      <c r="S50" s="425">
        <f t="shared" si="14"/>
        <v>0</v>
      </c>
      <c r="T50" s="426">
        <f t="shared" si="15"/>
        <v>0</v>
      </c>
      <c r="U50" s="397" t="s">
        <v>489</v>
      </c>
      <c r="V50" s="170"/>
    </row>
    <row r="51" spans="1:22" ht="105.75" thickBot="1" x14ac:dyDescent="0.3">
      <c r="A51" s="464" t="s">
        <v>355</v>
      </c>
      <c r="B51" s="346" t="str">
        <f>VLOOKUP(A51,'Feature Raw Data'!$A$3:$B$3940,2,FALSE)</f>
        <v>Whisper Mode</v>
      </c>
      <c r="C51" s="293" t="str">
        <f>VLOOKUP(A51,'Feature Raw Data'!$A$3:$C$3940,3,FALSE)</f>
        <v>P2</v>
      </c>
      <c r="D51" s="82" t="str" cm="1">
        <f t="array" ref="D51">_xlfn.TEXTJOIN("",TRUE,IF(ISNUMBER(SEARCH($A51,'Diags Raw Data'!$A$6:$A$3664)),CONCATENATE('Diags Raw Data'!$H$6:$H$3664,", "),""))</f>
        <v/>
      </c>
      <c r="E51" s="304" t="s">
        <v>248</v>
      </c>
      <c r="F51" s="169" t="str">
        <f>VLOOKUP(A51,'Feature Raw Data'!$A$3:$E$3940,5,FALSE)</f>
        <v>Legacy</v>
      </c>
      <c r="G51" s="169" t="s">
        <v>31</v>
      </c>
      <c r="H51" s="481" t="s">
        <v>494</v>
      </c>
      <c r="I51" s="562"/>
      <c r="J51" s="183">
        <v>1</v>
      </c>
      <c r="K51" s="418" cm="1">
        <f t="array" ref="K51">IF(D51="",0, SUMPRODUCT(--(ISNUMBER(SEARCH($A51,'Diags Raw Data'!$A$6:$A$3664))),'Diags Raw Data'!$K$6:$K$3664,'Diags Raw Data'!$M$6:$M$3664)/J51)</f>
        <v>0</v>
      </c>
      <c r="L51" s="419" cm="1">
        <f t="array" ref="L51">IF(D51="",0, SUMPRODUCT(--(ISNUMBER(SEARCH($A51,'Diags Raw Data'!$A$6:$A$3664))),'Diags Raw Data'!$K$6:$K$3664,'Diags Raw Data'!$O$6:$O$3664)/J51)</f>
        <v>0</v>
      </c>
      <c r="M51" s="420" cm="1">
        <f t="array" ref="M51">SUMPRODUCT(--(ISNUMBER(SEARCH($A51,'Diags Raw Data'!$A$6:$A$3664))),--('Diags Raw Data'!$P$6:$P$3664&lt;&gt;"N/A"),'Diags Raw Data'!$Q$6:$Q$3664)</f>
        <v>0</v>
      </c>
      <c r="N51" s="421" cm="1">
        <f t="array" ref="N51">SUMPRODUCT(--(ISNUMBER(SEARCH($A51,'Diags Raw Data'!$A$6:$A$3664))),--('Diags Raw Data'!$P$6:$P$3664&lt;&gt;"N/A"),'Diags Raw Data'!$S$6:$S$3664)+SUMPRODUCT(--(ISNUMBER(SEARCH($A51,'Diags Raw Data'!$A$6:$A$3664))),--('Diags Raw Data'!$P$6:$P$3664&lt;&gt;"N/A"),'Diags Raw Data'!$T$6:$T$3664)</f>
        <v>0</v>
      </c>
      <c r="O51" s="422">
        <f t="shared" si="12"/>
        <v>0</v>
      </c>
      <c r="P51" s="423">
        <f>SUMIF('Diags Raw Data'!$A$6:$A$3664,"*"&amp;$A51&amp;"*",'Diags Raw Data'!$Y$6:$Y$3664)</f>
        <v>0</v>
      </c>
      <c r="Q51" s="424">
        <f>SUM(SUMIF('Diags Raw Data'!$A$6:$A$3664,"*"&amp;$A51&amp;"*",'Diags Raw Data'!$Z$6:$Z$3664),SUMIF('Diags Raw Data'!$A$6:$A$3664,"*"&amp;$A51&amp;"*",'Diags Raw Data'!$AA$6:$AA$3664))</f>
        <v>0</v>
      </c>
      <c r="R51" s="425">
        <f t="shared" si="13"/>
        <v>0</v>
      </c>
      <c r="S51" s="425">
        <f t="shared" si="14"/>
        <v>0</v>
      </c>
      <c r="T51" s="426">
        <f t="shared" si="15"/>
        <v>0</v>
      </c>
      <c r="U51" s="397" t="s">
        <v>489</v>
      </c>
      <c r="V51" s="170"/>
    </row>
    <row r="52" spans="1:22" ht="60.75" thickBot="1" x14ac:dyDescent="0.3">
      <c r="A52" s="464" t="s">
        <v>357</v>
      </c>
      <c r="B52" s="346" t="str">
        <f>VLOOKUP(A52,'Feature Raw Data'!$A$3:$B$3940,2,FALSE)</f>
        <v>Dynamic Power &amp; Thermal Control (DPTC)</v>
      </c>
      <c r="C52" s="293" t="str">
        <f>VLOOKUP(A52,'Feature Raw Data'!$A$3:$C$3940,3,FALSE)</f>
        <v>P2</v>
      </c>
      <c r="D52" s="82" t="str" cm="1">
        <f t="array" ref="D52">_xlfn.TEXTJOIN("",TRUE,IF(ISNUMBER(SEARCH($A52,'Diags Raw Data'!$A$6:$A$3664)),CONCATENATE('Diags Raw Data'!$H$6:$H$3664,", "),""))</f>
        <v/>
      </c>
      <c r="E52" s="304" t="s">
        <v>248</v>
      </c>
      <c r="F52" s="169" t="str">
        <f>VLOOKUP(A52,'Feature Raw Data'!$A$3:$E$3940,5,FALSE)</f>
        <v>Legacy</v>
      </c>
      <c r="G52" s="169" t="s">
        <v>31</v>
      </c>
      <c r="H52" s="481" t="s">
        <v>495</v>
      </c>
      <c r="I52" s="562">
        <v>0</v>
      </c>
      <c r="J52" s="183">
        <v>1</v>
      </c>
      <c r="K52" s="418" cm="1">
        <f t="array" ref="K52">IF(D52="",0, SUMPRODUCT(--(ISNUMBER(SEARCH($A52,'Diags Raw Data'!$A$6:$A$3664))),'Diags Raw Data'!$K$6:$K$3664,'Diags Raw Data'!$M$6:$M$3664)/J52)</f>
        <v>0</v>
      </c>
      <c r="L52" s="419" cm="1">
        <f t="array" ref="L52">IF(D52="",0, SUMPRODUCT(--(ISNUMBER(SEARCH($A52,'Diags Raw Data'!$A$6:$A$3664))),'Diags Raw Data'!$K$6:$K$3664,'Diags Raw Data'!$O$6:$O$3664)/J52)</f>
        <v>0</v>
      </c>
      <c r="M52" s="420" cm="1">
        <f t="array" ref="M52">SUMPRODUCT(--(ISNUMBER(SEARCH($A52,'Diags Raw Data'!$A$6:$A$3664))),--('Diags Raw Data'!$P$6:$P$3664&lt;&gt;"N/A"),'Diags Raw Data'!$Q$6:$Q$3664)</f>
        <v>0</v>
      </c>
      <c r="N52" s="421" cm="1">
        <f t="array" ref="N52">SUMPRODUCT(--(ISNUMBER(SEARCH($A52,'Diags Raw Data'!$A$6:$A$3664))),--('Diags Raw Data'!$P$6:$P$3664&lt;&gt;"N/A"),'Diags Raw Data'!$S$6:$S$3664)+SUMPRODUCT(--(ISNUMBER(SEARCH($A52,'Diags Raw Data'!$A$6:$A$3664))),--('Diags Raw Data'!$P$6:$P$3664&lt;&gt;"N/A"),'Diags Raw Data'!$T$6:$T$3664)</f>
        <v>0</v>
      </c>
      <c r="O52" s="422">
        <f t="shared" si="12"/>
        <v>0</v>
      </c>
      <c r="P52" s="423">
        <f>SUMIF('Diags Raw Data'!$A$6:$A$3664,"*"&amp;$A52&amp;"*",'Diags Raw Data'!$Y$6:$Y$3664)</f>
        <v>0</v>
      </c>
      <c r="Q52" s="424">
        <f>SUM(SUMIF('Diags Raw Data'!$A$6:$A$3664,"*"&amp;$A52&amp;"*",'Diags Raw Data'!$Z$6:$Z$3664),SUMIF('Diags Raw Data'!$A$6:$A$3664,"*"&amp;$A52&amp;"*",'Diags Raw Data'!$AA$6:$AA$3664))</f>
        <v>0</v>
      </c>
      <c r="R52" s="425">
        <f t="shared" si="13"/>
        <v>0</v>
      </c>
      <c r="S52" s="425">
        <f t="shared" si="14"/>
        <v>0</v>
      </c>
      <c r="T52" s="426">
        <f t="shared" si="15"/>
        <v>0</v>
      </c>
      <c r="U52" s="397" t="s">
        <v>489</v>
      </c>
      <c r="V52" s="170"/>
    </row>
    <row r="53" spans="1:22" ht="90.75" thickBot="1" x14ac:dyDescent="0.3">
      <c r="A53" s="464" t="s">
        <v>359</v>
      </c>
      <c r="B53" s="346" t="str">
        <f>VLOOKUP(A53,'Feature Raw Data'!$A$3:$B$3940,2,FALSE)</f>
        <v>RAPL</v>
      </c>
      <c r="C53" s="293" t="str">
        <f>VLOOKUP(A53,'Feature Raw Data'!$A$3:$C$3940,3,FALSE)</f>
        <v>P2</v>
      </c>
      <c r="D53" s="82" t="str" cm="1">
        <f t="array" ref="D53">_xlfn.TEXTJOIN("",TRUE,IF(ISNUMBER(SEARCH($A53,'Diags Raw Data'!$A$6:$A$3664)),CONCATENATE('Diags Raw Data'!$H$6:$H$3664,", "),""))</f>
        <v/>
      </c>
      <c r="E53" s="304" t="s">
        <v>248</v>
      </c>
      <c r="F53" s="169" t="str">
        <f>VLOOKUP(A53,'Feature Raw Data'!$A$3:$E$3940,5,FALSE)</f>
        <v>Legacy</v>
      </c>
      <c r="G53" s="169" t="str">
        <f t="shared" si="10"/>
        <v>No</v>
      </c>
      <c r="H53" s="481" t="s">
        <v>496</v>
      </c>
      <c r="I53" s="293">
        <f>SUMIF('Diags Raw Data'!$A$6:$A$3664,"*"&amp;$A53&amp;"*",'Diags Raw Data'!$J$6:$J$3664)</f>
        <v>0</v>
      </c>
      <c r="J53" s="183">
        <v>1</v>
      </c>
      <c r="K53" s="418" cm="1">
        <f t="array" ref="K53">IF(D53="",0, SUMPRODUCT(--(ISNUMBER(SEARCH($A53,'Diags Raw Data'!$A$6:$A$3664))),'Diags Raw Data'!$K$6:$K$3664,'Diags Raw Data'!$M$6:$M$3664)/J53)</f>
        <v>0</v>
      </c>
      <c r="L53" s="419" cm="1">
        <f t="array" ref="L53">IF(D53="",0, SUMPRODUCT(--(ISNUMBER(SEARCH($A53,'Diags Raw Data'!$A$6:$A$3664))),'Diags Raw Data'!$K$6:$K$3664,'Diags Raw Data'!$O$6:$O$3664)/J53)</f>
        <v>0</v>
      </c>
      <c r="M53" s="420" cm="1">
        <f t="array" ref="M53">SUMPRODUCT(--(ISNUMBER(SEARCH($A53,'Diags Raw Data'!$A$6:$A$3664))),--('Diags Raw Data'!$P$6:$P$3664&lt;&gt;"N/A"),'Diags Raw Data'!$Q$6:$Q$3664)</f>
        <v>0</v>
      </c>
      <c r="N53" s="421" cm="1">
        <f t="array" ref="N53">SUMPRODUCT(--(ISNUMBER(SEARCH($A53,'Diags Raw Data'!$A$6:$A$3664))),--('Diags Raw Data'!$P$6:$P$3664&lt;&gt;"N/A"),'Diags Raw Data'!$S$6:$S$3664)+SUMPRODUCT(--(ISNUMBER(SEARCH($A53,'Diags Raw Data'!$A$6:$A$3664))),--('Diags Raw Data'!$P$6:$P$3664&lt;&gt;"N/A"),'Diags Raw Data'!$T$6:$T$3664)</f>
        <v>0</v>
      </c>
      <c r="O53" s="422">
        <f t="shared" si="12"/>
        <v>0</v>
      </c>
      <c r="P53" s="423">
        <f>SUMIF('Diags Raw Data'!$A$6:$A$3664,"*"&amp;$A53&amp;"*",'Diags Raw Data'!$Y$6:$Y$3664)</f>
        <v>0</v>
      </c>
      <c r="Q53" s="424">
        <f>SUM(SUMIF('Diags Raw Data'!$A$6:$A$3664,"*"&amp;$A53&amp;"*",'Diags Raw Data'!$Z$6:$Z$3664),SUMIF('Diags Raw Data'!$A$6:$A$3664,"*"&amp;$A53&amp;"*",'Diags Raw Data'!$AA$6:$AA$3664))</f>
        <v>0</v>
      </c>
      <c r="R53" s="425">
        <f t="shared" si="13"/>
        <v>0</v>
      </c>
      <c r="S53" s="425">
        <f t="shared" si="14"/>
        <v>0</v>
      </c>
      <c r="T53" s="426">
        <f t="shared" si="15"/>
        <v>0</v>
      </c>
      <c r="U53" s="397" t="s">
        <v>489</v>
      </c>
      <c r="V53" s="170"/>
    </row>
    <row r="54" spans="1:22" ht="135.75" thickBot="1" x14ac:dyDescent="0.3">
      <c r="A54" s="464" t="s">
        <v>361</v>
      </c>
      <c r="B54" s="346" t="str">
        <f>VLOOKUP(A54,'Feature Raw Data'!$A$3:$B$3940,2,FALSE)</f>
        <v>DRAM logging</v>
      </c>
      <c r="C54" s="293" t="str">
        <f>VLOOKUP(A54,'Feature Raw Data'!$A$3:$C$3940,3,FALSE)</f>
        <v>P2</v>
      </c>
      <c r="D54" s="82" t="str" cm="1">
        <f t="array" ref="D54">_xlfn.TEXTJOIN("",TRUE,IF(ISNUMBER(SEARCH($A54,'Diags Raw Data'!$A$6:$A$3664)),CONCATENATE('Diags Raw Data'!$H$6:$H$3664,", "),""))</f>
        <v/>
      </c>
      <c r="E54" s="304" t="s">
        <v>248</v>
      </c>
      <c r="F54" s="169" t="str">
        <f>VLOOKUP(A54,'Feature Raw Data'!$A$3:$E$3940,5,FALSE)</f>
        <v>Legacy</v>
      </c>
      <c r="G54" s="169" t="str">
        <f t="shared" si="10"/>
        <v>No</v>
      </c>
      <c r="H54" s="481" t="s">
        <v>497</v>
      </c>
      <c r="I54" s="293">
        <f>SUMIF('Diags Raw Data'!$A$6:$A$3664,"*"&amp;$A54&amp;"*",'Diags Raw Data'!$J$6:$J$3664)</f>
        <v>0</v>
      </c>
      <c r="J54" s="183">
        <v>1</v>
      </c>
      <c r="K54" s="418" cm="1">
        <f t="array" ref="K54">IF(D54="",0, SUMPRODUCT(--(ISNUMBER(SEARCH($A54,'Diags Raw Data'!$A$6:$A$3664))),'Diags Raw Data'!$K$6:$K$3664,'Diags Raw Data'!$M$6:$M$3664)/J54)</f>
        <v>0</v>
      </c>
      <c r="L54" s="419" cm="1">
        <f t="array" ref="L54">IF(D54="",0, SUMPRODUCT(--(ISNUMBER(SEARCH($A54,'Diags Raw Data'!$A$6:$A$3664))),'Diags Raw Data'!$K$6:$K$3664,'Diags Raw Data'!$O$6:$O$3664)/J54)</f>
        <v>0</v>
      </c>
      <c r="M54" s="420" cm="1">
        <f t="array" ref="M54">SUMPRODUCT(--(ISNUMBER(SEARCH($A54,'Diags Raw Data'!$A$6:$A$3664))),--('Diags Raw Data'!$P$6:$P$3664&lt;&gt;"N/A"),'Diags Raw Data'!$Q$6:$Q$3664)</f>
        <v>0</v>
      </c>
      <c r="N54" s="421" cm="1">
        <f t="array" ref="N54">SUMPRODUCT(--(ISNUMBER(SEARCH($A54,'Diags Raw Data'!$A$6:$A$3664))),--('Diags Raw Data'!$P$6:$P$3664&lt;&gt;"N/A"),'Diags Raw Data'!$S$6:$S$3664)+SUMPRODUCT(--(ISNUMBER(SEARCH($A54,'Diags Raw Data'!$A$6:$A$3664))),--('Diags Raw Data'!$P$6:$P$3664&lt;&gt;"N/A"),'Diags Raw Data'!$T$6:$T$3664)</f>
        <v>0</v>
      </c>
      <c r="O54" s="422">
        <f t="shared" si="12"/>
        <v>0</v>
      </c>
      <c r="P54" s="423">
        <f>SUMIF('Diags Raw Data'!$A$6:$A$3664,"*"&amp;$A54&amp;"*",'Diags Raw Data'!$Y$6:$Y$3664)</f>
        <v>0</v>
      </c>
      <c r="Q54" s="424">
        <f>SUM(SUMIF('Diags Raw Data'!$A$6:$A$3664,"*"&amp;$A54&amp;"*",'Diags Raw Data'!$Z$6:$Z$3664),SUMIF('Diags Raw Data'!$A$6:$A$3664,"*"&amp;$A54&amp;"*",'Diags Raw Data'!$AA$6:$AA$3664))</f>
        <v>0</v>
      </c>
      <c r="R54" s="425">
        <f t="shared" si="13"/>
        <v>0</v>
      </c>
      <c r="S54" s="425">
        <f t="shared" si="14"/>
        <v>0</v>
      </c>
      <c r="T54" s="426">
        <f t="shared" si="15"/>
        <v>0</v>
      </c>
      <c r="U54" s="397" t="s">
        <v>489</v>
      </c>
      <c r="V54" s="170"/>
    </row>
    <row r="55" spans="1:22" ht="135.75" thickBot="1" x14ac:dyDescent="0.3">
      <c r="A55" s="464" t="s">
        <v>363</v>
      </c>
      <c r="B55" s="346" t="str">
        <f>VLOOKUP(A55,'Feature Raw Data'!$A$3:$B$3940,2,FALSE)</f>
        <v>SLT logging</v>
      </c>
      <c r="C55" s="293" t="str">
        <f>VLOOKUP(A55,'Feature Raw Data'!$A$3:$C$3940,3,FALSE)</f>
        <v>P2</v>
      </c>
      <c r="D55" s="82" t="str" cm="1">
        <f t="array" ref="D55">_xlfn.TEXTJOIN("",TRUE,IF(ISNUMBER(SEARCH($A55,'Diags Raw Data'!$A$6:$A$3664)),CONCATENATE('Diags Raw Data'!$H$6:$H$3664,", "),""))</f>
        <v/>
      </c>
      <c r="E55" s="304" t="s">
        <v>248</v>
      </c>
      <c r="F55" s="169" t="str">
        <f>VLOOKUP(A55,'Feature Raw Data'!$A$3:$E$3940,5,FALSE)</f>
        <v>Legacy</v>
      </c>
      <c r="G55" s="169" t="str">
        <f t="shared" si="10"/>
        <v>No</v>
      </c>
      <c r="H55" s="481" t="s">
        <v>498</v>
      </c>
      <c r="I55" s="293">
        <f>SUMIF('Diags Raw Data'!$A$6:$A$3664,"*"&amp;$A55&amp;"*",'Diags Raw Data'!$J$6:$J$3664)</f>
        <v>0</v>
      </c>
      <c r="J55" s="183">
        <v>1</v>
      </c>
      <c r="K55" s="418" cm="1">
        <f t="array" ref="K55">IF(D55="",0, SUMPRODUCT(--(ISNUMBER(SEARCH($A55,'Diags Raw Data'!$A$6:$A$3664))),'Diags Raw Data'!$K$6:$K$3664,'Diags Raw Data'!$M$6:$M$3664)/J55)</f>
        <v>0</v>
      </c>
      <c r="L55" s="419" cm="1">
        <f t="array" ref="L55">IF(D55="",0, SUMPRODUCT(--(ISNUMBER(SEARCH($A55,'Diags Raw Data'!$A$6:$A$3664))),'Diags Raw Data'!$K$6:$K$3664,'Diags Raw Data'!$O$6:$O$3664)/J55)</f>
        <v>0</v>
      </c>
      <c r="M55" s="420" cm="1">
        <f t="array" ref="M55">SUMPRODUCT(--(ISNUMBER(SEARCH($A55,'Diags Raw Data'!$A$6:$A$3664))),--('Diags Raw Data'!$P$6:$P$3664&lt;&gt;"N/A"),'Diags Raw Data'!$Q$6:$Q$3664)</f>
        <v>0</v>
      </c>
      <c r="N55" s="421" cm="1">
        <f t="array" ref="N55">SUMPRODUCT(--(ISNUMBER(SEARCH($A55,'Diags Raw Data'!$A$6:$A$3664))),--('Diags Raw Data'!$P$6:$P$3664&lt;&gt;"N/A"),'Diags Raw Data'!$S$6:$S$3664)+SUMPRODUCT(--(ISNUMBER(SEARCH($A55,'Diags Raw Data'!$A$6:$A$3664))),--('Diags Raw Data'!$P$6:$P$3664&lt;&gt;"N/A"),'Diags Raw Data'!$T$6:$T$3664)</f>
        <v>0</v>
      </c>
      <c r="O55" s="422">
        <f t="shared" si="12"/>
        <v>0</v>
      </c>
      <c r="P55" s="423">
        <f>SUMIF('Diags Raw Data'!$A$6:$A$3664,"*"&amp;$A55&amp;"*",'Diags Raw Data'!$Y$6:$Y$3664)</f>
        <v>0</v>
      </c>
      <c r="Q55" s="424">
        <f>SUM(SUMIF('Diags Raw Data'!$A$6:$A$3664,"*"&amp;$A55&amp;"*",'Diags Raw Data'!$Z$6:$Z$3664),SUMIF('Diags Raw Data'!$A$6:$A$3664,"*"&amp;$A55&amp;"*",'Diags Raw Data'!$AA$6:$AA$3664))</f>
        <v>0</v>
      </c>
      <c r="R55" s="425">
        <f t="shared" si="13"/>
        <v>0</v>
      </c>
      <c r="S55" s="425">
        <f t="shared" si="14"/>
        <v>0</v>
      </c>
      <c r="T55" s="426">
        <f t="shared" si="15"/>
        <v>0</v>
      </c>
      <c r="U55" s="397" t="s">
        <v>489</v>
      </c>
      <c r="V55" s="170"/>
    </row>
    <row r="56" spans="1:22" ht="135.75" thickBot="1" x14ac:dyDescent="0.3">
      <c r="A56" s="464" t="s">
        <v>365</v>
      </c>
      <c r="B56" s="346" t="str">
        <f>VLOOKUP(A56,'Feature Raw Data'!$A$3:$B$3940,2,FALSE)</f>
        <v>AGM logging</v>
      </c>
      <c r="C56" s="293" t="str">
        <f>VLOOKUP(A56,'Feature Raw Data'!$A$3:$C$3940,3,FALSE)</f>
        <v>P2</v>
      </c>
      <c r="D56" s="82" t="str" cm="1">
        <f t="array" ref="D56">_xlfn.TEXTJOIN("",TRUE,IF(ISNUMBER(SEARCH($A56,'Diags Raw Data'!$A$6:$A$3664)),CONCATENATE('Diags Raw Data'!$H$6:$H$3664,", "),""))</f>
        <v/>
      </c>
      <c r="E56" s="304" t="s">
        <v>248</v>
      </c>
      <c r="F56" s="169" t="str">
        <f>VLOOKUP(A56,'Feature Raw Data'!$A$3:$E$3940,5,FALSE)</f>
        <v>Legacy</v>
      </c>
      <c r="G56" s="169" t="str">
        <f t="shared" si="10"/>
        <v>No</v>
      </c>
      <c r="H56" s="481" t="s">
        <v>497</v>
      </c>
      <c r="I56" s="293">
        <f>SUMIF('Diags Raw Data'!$A$6:$A$3664,"*"&amp;$A56&amp;"*",'Diags Raw Data'!$J$6:$J$3664)</f>
        <v>0</v>
      </c>
      <c r="J56" s="183">
        <v>1</v>
      </c>
      <c r="K56" s="418" cm="1">
        <f t="array" ref="K56">IF(D56="",0, SUMPRODUCT(--(ISNUMBER(SEARCH($A56,'Diags Raw Data'!$A$6:$A$3664))),'Diags Raw Data'!$K$6:$K$3664,'Diags Raw Data'!$M$6:$M$3664)/J56)</f>
        <v>0</v>
      </c>
      <c r="L56" s="419" cm="1">
        <f t="array" ref="L56">IF(D56="",0, SUMPRODUCT(--(ISNUMBER(SEARCH($A56,'Diags Raw Data'!$A$6:$A$3664))),'Diags Raw Data'!$K$6:$K$3664,'Diags Raw Data'!$O$6:$O$3664)/J56)</f>
        <v>0</v>
      </c>
      <c r="M56" s="420" cm="1">
        <f t="array" ref="M56">SUMPRODUCT(--(ISNUMBER(SEARCH($A56,'Diags Raw Data'!$A$6:$A$3664))),--('Diags Raw Data'!$P$6:$P$3664&lt;&gt;"N/A"),'Diags Raw Data'!$Q$6:$Q$3664)</f>
        <v>0</v>
      </c>
      <c r="N56" s="421" cm="1">
        <f t="array" ref="N56">SUMPRODUCT(--(ISNUMBER(SEARCH($A56,'Diags Raw Data'!$A$6:$A$3664))),--('Diags Raw Data'!$P$6:$P$3664&lt;&gt;"N/A"),'Diags Raw Data'!$S$6:$S$3664)+SUMPRODUCT(--(ISNUMBER(SEARCH($A56,'Diags Raw Data'!$A$6:$A$3664))),--('Diags Raw Data'!$P$6:$P$3664&lt;&gt;"N/A"),'Diags Raw Data'!$T$6:$T$3664)</f>
        <v>0</v>
      </c>
      <c r="O56" s="422">
        <f t="shared" si="12"/>
        <v>0</v>
      </c>
      <c r="P56" s="423">
        <f>SUMIF('Diags Raw Data'!$A$6:$A$3664,"*"&amp;$A56&amp;"*",'Diags Raw Data'!$Y$6:$Y$3664)</f>
        <v>0</v>
      </c>
      <c r="Q56" s="424">
        <f>SUM(SUMIF('Diags Raw Data'!$A$6:$A$3664,"*"&amp;$A56&amp;"*",'Diags Raw Data'!$Z$6:$Z$3664),SUMIF('Diags Raw Data'!$A$6:$A$3664,"*"&amp;$A56&amp;"*",'Diags Raw Data'!$AA$6:$AA$3664))</f>
        <v>0</v>
      </c>
      <c r="R56" s="425">
        <f t="shared" si="13"/>
        <v>0</v>
      </c>
      <c r="S56" s="425">
        <f t="shared" si="14"/>
        <v>0</v>
      </c>
      <c r="T56" s="426">
        <f t="shared" si="15"/>
        <v>0</v>
      </c>
      <c r="U56" s="397" t="s">
        <v>489</v>
      </c>
      <c r="V56" s="170"/>
    </row>
    <row r="57" spans="1:22" ht="15.75" thickBot="1" x14ac:dyDescent="0.3">
      <c r="A57" s="458" t="s">
        <v>367</v>
      </c>
      <c r="B57" s="570" t="str">
        <f>VLOOKUP(A57,'Feature Raw Data'!$A$3:$B$3940,2,FALSE)</f>
        <v>RSMU Clock Gating</v>
      </c>
      <c r="C57" s="571" t="str">
        <f>VLOOKUP(A57,'Feature Raw Data'!$A$3:$C$3940,3,FALSE)</f>
        <v>P2</v>
      </c>
      <c r="D57" s="300" t="str" cm="1">
        <f t="array" ref="D57">_xlfn.TEXTJOIN("",TRUE,IF(ISNUMBER(SEARCH($A57,'Diags Raw Data'!$A$6:$A$3664)),CONCATENATE('Diags Raw Data'!$H$6:$H$3664,", "),""))</f>
        <v xml:space="preserve">PM51.10, </v>
      </c>
      <c r="E57" s="304" t="s">
        <v>248</v>
      </c>
      <c r="F57" s="169" t="str">
        <f>VLOOKUP(A57,'Feature Raw Data'!$A$3:$E$3940,5,FALSE)</f>
        <v>Legacy</v>
      </c>
      <c r="G57" s="169" t="str">
        <f t="shared" si="10"/>
        <v>Yes</v>
      </c>
      <c r="H57" s="169" t="str">
        <f t="shared" si="11"/>
        <v>Yes</v>
      </c>
      <c r="I57" s="293">
        <f>SUMIF('Diags Raw Data'!$A$6:$A$3664,"*"&amp;$A57&amp;"*",'Diags Raw Data'!$J$6:$J$3664)</f>
        <v>1</v>
      </c>
      <c r="J57" s="183">
        <f>SUMIF('Diags Raw Data'!$A$6:$A$3664,"*"&amp;$A57&amp;"*",'Diags Raw Data'!$K$6:$K$3664)</f>
        <v>1</v>
      </c>
      <c r="K57" s="418" cm="1">
        <f t="array" ref="K57">IF(D57="",0, SUMPRODUCT(--(ISNUMBER(SEARCH($A57,'Diags Raw Data'!$A$6:$A$3664))),'Diags Raw Data'!$K$6:$K$3664,'Diags Raw Data'!$M$6:$M$3664)/J57)</f>
        <v>1</v>
      </c>
      <c r="L57" s="419" cm="1">
        <f t="array" ref="L57">IF(D57="",0, SUMPRODUCT(--(ISNUMBER(SEARCH($A57,'Diags Raw Data'!$A$6:$A$3664))),'Diags Raw Data'!$K$6:$K$3664,'Diags Raw Data'!$O$6:$O$3664)/J57)</f>
        <v>0.6</v>
      </c>
      <c r="M57" s="420" cm="1">
        <f t="array" ref="M57">SUMPRODUCT(--(ISNUMBER(SEARCH($A57,'Diags Raw Data'!$A$6:$A$3664))),--('Diags Raw Data'!$P$6:$P$3664&lt;&gt;"N/A"),'Diags Raw Data'!$Q$6:$Q$3664)</f>
        <v>1</v>
      </c>
      <c r="N57" s="421" cm="1">
        <f t="array" ref="N57">SUMPRODUCT(--(ISNUMBER(SEARCH($A57,'Diags Raw Data'!$A$6:$A$3664))),--('Diags Raw Data'!$P$6:$P$3664&lt;&gt;"N/A"),'Diags Raw Data'!$S$6:$S$3664)+SUMPRODUCT(--(ISNUMBER(SEARCH($A57,'Diags Raw Data'!$A$6:$A$3664))),--('Diags Raw Data'!$P$6:$P$3664&lt;&gt;"N/A"),'Diags Raw Data'!$T$6:$T$3664)</f>
        <v>0</v>
      </c>
      <c r="O57" s="422">
        <f t="shared" si="12"/>
        <v>0</v>
      </c>
      <c r="P57" s="423">
        <f>SUMIF('Diags Raw Data'!$A$6:$A$3664,"*"&amp;$A57&amp;"*",'Diags Raw Data'!$Y$6:$Y$3664)</f>
        <v>0</v>
      </c>
      <c r="Q57" s="424">
        <f>SUM(SUMIF('Diags Raw Data'!$A$6:$A$3664,"*"&amp;$A57&amp;"*",'Diags Raw Data'!$Z$6:$Z$3664),SUMIF('Diags Raw Data'!$A$6:$A$3664,"*"&amp;$A57&amp;"*",'Diags Raw Data'!$AA$6:$AA$3664))</f>
        <v>0</v>
      </c>
      <c r="R57" s="425">
        <f t="shared" si="13"/>
        <v>0</v>
      </c>
      <c r="S57" s="425">
        <f t="shared" si="14"/>
        <v>0</v>
      </c>
      <c r="T57" s="426">
        <f t="shared" si="15"/>
        <v>0</v>
      </c>
      <c r="U57" s="397" t="s">
        <v>489</v>
      </c>
      <c r="V57" s="170"/>
    </row>
    <row r="58" spans="1:22" ht="15.75" thickBot="1" x14ac:dyDescent="0.3">
      <c r="A58" s="458" t="s">
        <v>369</v>
      </c>
      <c r="B58" s="346" t="str">
        <f>VLOOKUP(A58,'Feature Raw Data'!$A$3:$B$3940,2,FALSE)</f>
        <v>GFX CGCG</v>
      </c>
      <c r="C58" s="293" t="str">
        <f>VLOOKUP(A58,'Feature Raw Data'!$A$3:$C$3940,3,FALSE)</f>
        <v>P2</v>
      </c>
      <c r="D58" s="82" t="str" cm="1">
        <f t="array" ref="D58">_xlfn.TEXTJOIN("",TRUE,IF(ISNUMBER(SEARCH($A58,'Diags Raw Data'!$A$6:$A$3664)),CONCATENATE('Diags Raw Data'!$H$6:$H$3664,", "),""))</f>
        <v xml:space="preserve">PM80.12.3, </v>
      </c>
      <c r="E58" s="304" t="s">
        <v>248</v>
      </c>
      <c r="F58" s="169" t="str">
        <f>VLOOKUP(A58,'Feature Raw Data'!$A$3:$E$3940,5,FALSE)</f>
        <v>Legacy</v>
      </c>
      <c r="G58" s="169" t="str">
        <f t="shared" si="10"/>
        <v>Yes</v>
      </c>
      <c r="H58" s="169" t="str">
        <f t="shared" si="11"/>
        <v>Yes</v>
      </c>
      <c r="I58" s="293">
        <f>SUMIF('Diags Raw Data'!$A$6:$A$3664,"*"&amp;$A58&amp;"*",'Diags Raw Data'!$J$6:$J$3664)</f>
        <v>1</v>
      </c>
      <c r="J58" s="183">
        <f>SUMIF('Diags Raw Data'!$A$6:$A$3664,"*"&amp;$A58&amp;"*",'Diags Raw Data'!$K$6:$K$3664)</f>
        <v>1</v>
      </c>
      <c r="K58" s="418" cm="1">
        <f t="array" ref="K58">IF(D58="",0, SUMPRODUCT(--(ISNUMBER(SEARCH($A58,'Diags Raw Data'!$A$6:$A$3664))),'Diags Raw Data'!$K$6:$K$3664,'Diags Raw Data'!$M$6:$M$3664)/J58)</f>
        <v>1</v>
      </c>
      <c r="L58" s="419" cm="1">
        <f t="array" ref="L58">IF(D58="",0, SUMPRODUCT(--(ISNUMBER(SEARCH($A58,'Diags Raw Data'!$A$6:$A$3664))),'Diags Raw Data'!$K$6:$K$3664,'Diags Raw Data'!$O$6:$O$3664)/J58)</f>
        <v>0.6</v>
      </c>
      <c r="M58" s="420" cm="1">
        <f t="array" ref="M58">SUMPRODUCT(--(ISNUMBER(SEARCH($A58,'Diags Raw Data'!$A$6:$A$3664))),--('Diags Raw Data'!$P$6:$P$3664&lt;&gt;"N/A"),'Diags Raw Data'!$Q$6:$Q$3664)</f>
        <v>1</v>
      </c>
      <c r="N58" s="421" cm="1">
        <f t="array" ref="N58">SUMPRODUCT(--(ISNUMBER(SEARCH($A58,'Diags Raw Data'!$A$6:$A$3664))),--('Diags Raw Data'!$P$6:$P$3664&lt;&gt;"N/A"),'Diags Raw Data'!$S$6:$S$3664)+SUMPRODUCT(--(ISNUMBER(SEARCH($A58,'Diags Raw Data'!$A$6:$A$3664))),--('Diags Raw Data'!$P$6:$P$3664&lt;&gt;"N/A"),'Diags Raw Data'!$T$6:$T$3664)</f>
        <v>0</v>
      </c>
      <c r="O58" s="422">
        <f t="shared" ref="O58" si="16">IF((M58=0),0,N58/M58)</f>
        <v>0</v>
      </c>
      <c r="P58" s="423">
        <v>1</v>
      </c>
      <c r="Q58" s="424">
        <v>1</v>
      </c>
      <c r="R58" s="425">
        <f t="shared" si="13"/>
        <v>1</v>
      </c>
      <c r="S58" s="425">
        <f t="shared" si="14"/>
        <v>1</v>
      </c>
      <c r="T58" s="426">
        <f t="shared" si="15"/>
        <v>1</v>
      </c>
      <c r="U58" s="397" t="s">
        <v>489</v>
      </c>
      <c r="V58" s="170"/>
    </row>
    <row r="59" spans="1:22" ht="45.75" thickBot="1" x14ac:dyDescent="0.3">
      <c r="A59" s="464" t="s">
        <v>371</v>
      </c>
      <c r="B59" s="346" t="str">
        <f>VLOOKUP(A59,'Feature Raw Data'!$A$3:$B$3940,2,FALSE)</f>
        <v>DF C-states</v>
      </c>
      <c r="C59" s="293" t="str">
        <f>VLOOKUP(A59,'Feature Raw Data'!$A$3:$C$3940,3,FALSE)</f>
        <v>P2</v>
      </c>
      <c r="D59" s="82" t="str" cm="1">
        <f t="array" ref="D59">_xlfn.TEXTJOIN("",TRUE,IF(ISNUMBER(SEARCH($A59,'Diags Raw Data'!$A$6:$A$3664)),CONCATENATE('Diags Raw Data'!$H$6:$H$3664,", "),""))</f>
        <v/>
      </c>
      <c r="E59" s="304" t="s">
        <v>248</v>
      </c>
      <c r="F59" s="169" t="str">
        <f>VLOOKUP(A59,'Feature Raw Data'!$A$3:$E$3940,5,FALSE)</f>
        <v>Legacy</v>
      </c>
      <c r="G59" s="561" t="s">
        <v>31</v>
      </c>
      <c r="H59" s="481" t="s">
        <v>499</v>
      </c>
      <c r="I59" s="562">
        <v>0</v>
      </c>
      <c r="J59" s="183">
        <v>1</v>
      </c>
      <c r="K59" s="418" cm="1">
        <f t="array" ref="K59">IF(D59="",0, SUMPRODUCT(--(ISNUMBER(SEARCH($A59,'Diags Raw Data'!$A$6:$A$3664))),'Diags Raw Data'!$K$6:$K$3664,'Diags Raw Data'!$M$6:$M$3664)/J59)</f>
        <v>0</v>
      </c>
      <c r="L59" s="419" cm="1">
        <f t="array" ref="L59">IF(D59="",0, SUMPRODUCT(--(ISNUMBER(SEARCH($A59,'Diags Raw Data'!$A$6:$A$3664))),'Diags Raw Data'!$K$6:$K$3664,'Diags Raw Data'!$O$6:$O$3664)/J59)</f>
        <v>0</v>
      </c>
      <c r="M59" s="420" cm="1">
        <f t="array" ref="M59">SUMPRODUCT(--(ISNUMBER(SEARCH($A59,'Diags Raw Data'!$A$6:$A$3664))),--('Diags Raw Data'!$P$6:$P$3664&lt;&gt;"N/A"),'Diags Raw Data'!$Q$6:$Q$3664)</f>
        <v>0</v>
      </c>
      <c r="N59" s="421" cm="1">
        <f t="array" ref="N59">SUMPRODUCT(--(ISNUMBER(SEARCH($A59,'Diags Raw Data'!$A$6:$A$3664))),--('Diags Raw Data'!$P$6:$P$3664&lt;&gt;"N/A"),'Diags Raw Data'!$S$6:$S$3664)+SUMPRODUCT(--(ISNUMBER(SEARCH($A59,'Diags Raw Data'!$A$6:$A$3664))),--('Diags Raw Data'!$P$6:$P$3664&lt;&gt;"N/A"),'Diags Raw Data'!$T$6:$T$3664)</f>
        <v>0</v>
      </c>
      <c r="O59" s="422">
        <f t="shared" si="12"/>
        <v>0</v>
      </c>
      <c r="P59" s="423">
        <f>SUMIF('Diags Raw Data'!$A$6:$A$3664,"*"&amp;$A59&amp;"*",'Diags Raw Data'!$Y$6:$Y$3664)</f>
        <v>0</v>
      </c>
      <c r="Q59" s="424">
        <f>SUM(SUMIF('Diags Raw Data'!$A$6:$A$3664,"*"&amp;$A59&amp;"*",'Diags Raw Data'!$Z$6:$Z$3664),SUMIF('Diags Raw Data'!$A$6:$A$3664,"*"&amp;$A59&amp;"*",'Diags Raw Data'!$AA$6:$AA$3664))</f>
        <v>0</v>
      </c>
      <c r="R59" s="425">
        <f t="shared" si="13"/>
        <v>0</v>
      </c>
      <c r="S59" s="425">
        <f t="shared" si="14"/>
        <v>0</v>
      </c>
      <c r="T59" s="426">
        <f t="shared" si="15"/>
        <v>0</v>
      </c>
      <c r="U59" s="397" t="s">
        <v>489</v>
      </c>
      <c r="V59" s="170"/>
    </row>
    <row r="60" spans="1:22" ht="45.75" thickBot="1" x14ac:dyDescent="0.3">
      <c r="A60" s="464" t="s">
        <v>373</v>
      </c>
      <c r="B60" s="346" t="str">
        <f>VLOOKUP(A60,'Feature Raw Data'!$A$3:$B$3940,2,FALSE)</f>
        <v>DF-based deep C-states</v>
      </c>
      <c r="C60" s="293" t="str">
        <f>VLOOKUP(A60,'Feature Raw Data'!$A$3:$C$3940,3,FALSE)</f>
        <v>P2</v>
      </c>
      <c r="D60" s="82" t="str" cm="1">
        <f t="array" ref="D60">_xlfn.TEXTJOIN("",TRUE,IF(ISNUMBER(SEARCH($A60,'Diags Raw Data'!$A$6:$A$3664)),CONCATENATE('Diags Raw Data'!$H$6:$H$3664,", "),""))</f>
        <v/>
      </c>
      <c r="E60" s="304" t="s">
        <v>248</v>
      </c>
      <c r="F60" s="169" t="str">
        <f>VLOOKUP(A60,'Feature Raw Data'!$A$3:$E$3940,5,FALSE)</f>
        <v>Legacy</v>
      </c>
      <c r="G60" s="561" t="s">
        <v>31</v>
      </c>
      <c r="H60" s="481" t="s">
        <v>499</v>
      </c>
      <c r="I60" s="562">
        <v>0</v>
      </c>
      <c r="J60" s="183">
        <v>1</v>
      </c>
      <c r="K60" s="418" cm="1">
        <f t="array" ref="K60">IF(D60="",0, SUMPRODUCT(--(ISNUMBER(SEARCH($A60,'Diags Raw Data'!$A$6:$A$3664))),'Diags Raw Data'!$K$6:$K$3664,'Diags Raw Data'!$M$6:$M$3664)/J60)</f>
        <v>0</v>
      </c>
      <c r="L60" s="419" cm="1">
        <f t="array" ref="L60">IF(D60="",0, SUMPRODUCT(--(ISNUMBER(SEARCH($A60,'Diags Raw Data'!$A$6:$A$3664))),'Diags Raw Data'!$K$6:$K$3664,'Diags Raw Data'!$O$6:$O$3664)/J60)</f>
        <v>0</v>
      </c>
      <c r="M60" s="420" cm="1">
        <f t="array" ref="M60">SUMPRODUCT(--(ISNUMBER(SEARCH($A60,'Diags Raw Data'!$A$6:$A$3664))),--('Diags Raw Data'!$P$6:$P$3664&lt;&gt;"N/A"),'Diags Raw Data'!$Q$6:$Q$3664)</f>
        <v>0</v>
      </c>
      <c r="N60" s="421" cm="1">
        <f t="array" ref="N60">SUMPRODUCT(--(ISNUMBER(SEARCH($A60,'Diags Raw Data'!$A$6:$A$3664))),--('Diags Raw Data'!$P$6:$P$3664&lt;&gt;"N/A"),'Diags Raw Data'!$S$6:$S$3664)+SUMPRODUCT(--(ISNUMBER(SEARCH($A60,'Diags Raw Data'!$A$6:$A$3664))),--('Diags Raw Data'!$P$6:$P$3664&lt;&gt;"N/A"),'Diags Raw Data'!$T$6:$T$3664)</f>
        <v>0</v>
      </c>
      <c r="O60" s="422">
        <f t="shared" si="12"/>
        <v>0</v>
      </c>
      <c r="P60" s="423">
        <f>SUMIF('Diags Raw Data'!$A$6:$A$3664,"*"&amp;$A60&amp;"*",'Diags Raw Data'!$Y$6:$Y$3664)</f>
        <v>0</v>
      </c>
      <c r="Q60" s="424">
        <f>SUM(SUMIF('Diags Raw Data'!$A$6:$A$3664,"*"&amp;$A60&amp;"*",'Diags Raw Data'!$Z$6:$Z$3664),SUMIF('Diags Raw Data'!$A$6:$A$3664,"*"&amp;$A60&amp;"*",'Diags Raw Data'!$AA$6:$AA$3664))</f>
        <v>0</v>
      </c>
      <c r="R60" s="425">
        <f t="shared" si="13"/>
        <v>0</v>
      </c>
      <c r="S60" s="425">
        <f t="shared" si="14"/>
        <v>0</v>
      </c>
      <c r="T60" s="426">
        <f t="shared" si="15"/>
        <v>0</v>
      </c>
      <c r="U60" s="397" t="s">
        <v>489</v>
      </c>
      <c r="V60" s="170"/>
    </row>
    <row r="61" spans="1:22" ht="120.75" thickBot="1" x14ac:dyDescent="0.3">
      <c r="A61" s="464" t="s">
        <v>375</v>
      </c>
      <c r="B61" s="346" t="str">
        <f>VLOOKUP(A61,'Feature Raw Data'!$A$3:$B$3940,2,FALSE)</f>
        <v>ACLK DPM</v>
      </c>
      <c r="C61" s="293" t="str">
        <f>VLOOKUP(A61,'Feature Raw Data'!$A$3:$C$3940,3,FALSE)</f>
        <v>P2</v>
      </c>
      <c r="D61" s="82" t="str" cm="1">
        <f t="array" ref="D61">_xlfn.TEXTJOIN("",TRUE,IF(ISNUMBER(SEARCH($A61,'Diags Raw Data'!$A$6:$A$3664)),CONCATENATE('Diags Raw Data'!$H$6:$H$3664,", "),""))</f>
        <v/>
      </c>
      <c r="E61" s="304" t="s">
        <v>248</v>
      </c>
      <c r="F61" s="169" t="str">
        <f>VLOOKUP(A61,'Feature Raw Data'!$A$3:$E$3940,5,FALSE)</f>
        <v>Legacy</v>
      </c>
      <c r="G61" s="169" t="s">
        <v>31</v>
      </c>
      <c r="H61" s="481" t="s">
        <v>500</v>
      </c>
      <c r="I61" s="293">
        <f>SUMIF('Diags Raw Data'!$A$6:$A$3664,"*"&amp;$A61&amp;"*",'Diags Raw Data'!$J$6:$J$3664)</f>
        <v>0</v>
      </c>
      <c r="J61" s="183">
        <v>1</v>
      </c>
      <c r="K61" s="418" cm="1">
        <f t="array" ref="K61">IF(D61="",0, SUMPRODUCT(--(ISNUMBER(SEARCH($A61,'Diags Raw Data'!$A$6:$A$3664))),'Diags Raw Data'!$K$6:$K$3664,'Diags Raw Data'!$M$6:$M$3664)/J61)</f>
        <v>0</v>
      </c>
      <c r="L61" s="419" cm="1">
        <f t="array" ref="L61">IF(D61="",0, SUMPRODUCT(--(ISNUMBER(SEARCH($A61,'Diags Raw Data'!$A$6:$A$3664))),'Diags Raw Data'!$K$6:$K$3664,'Diags Raw Data'!$O$6:$O$3664)/J61)</f>
        <v>0</v>
      </c>
      <c r="M61" s="420" cm="1">
        <f t="array" ref="M61">SUMPRODUCT(--(ISNUMBER(SEARCH($A61,'Diags Raw Data'!$A$6:$A$3664))),--('Diags Raw Data'!$P$6:$P$3664&lt;&gt;"N/A"),'Diags Raw Data'!$Q$6:$Q$3664)</f>
        <v>0</v>
      </c>
      <c r="N61" s="421" cm="1">
        <f t="array" ref="N61">SUMPRODUCT(--(ISNUMBER(SEARCH($A61,'Diags Raw Data'!$A$6:$A$3664))),--('Diags Raw Data'!$P$6:$P$3664&lt;&gt;"N/A"),'Diags Raw Data'!$S$6:$S$3664)+SUMPRODUCT(--(ISNUMBER(SEARCH($A61,'Diags Raw Data'!$A$6:$A$3664))),--('Diags Raw Data'!$P$6:$P$3664&lt;&gt;"N/A"),'Diags Raw Data'!$T$6:$T$3664)</f>
        <v>0</v>
      </c>
      <c r="O61" s="422">
        <f t="shared" si="12"/>
        <v>0</v>
      </c>
      <c r="P61" s="423">
        <f>SUMIF('Diags Raw Data'!$A$6:$A$3664,"*"&amp;$A61&amp;"*",'Diags Raw Data'!$Y$6:$Y$3664)</f>
        <v>0</v>
      </c>
      <c r="Q61" s="424">
        <f>SUM(SUMIF('Diags Raw Data'!$A$6:$A$3664,"*"&amp;$A61&amp;"*",'Diags Raw Data'!$Z$6:$Z$3664),SUMIF('Diags Raw Data'!$A$6:$A$3664,"*"&amp;$A61&amp;"*",'Diags Raw Data'!$AA$6:$AA$3664))</f>
        <v>0</v>
      </c>
      <c r="R61" s="425">
        <f t="shared" si="13"/>
        <v>0</v>
      </c>
      <c r="S61" s="425">
        <f t="shared" si="14"/>
        <v>0</v>
      </c>
      <c r="T61" s="426">
        <f t="shared" si="15"/>
        <v>0</v>
      </c>
      <c r="U61" s="397" t="s">
        <v>489</v>
      </c>
      <c r="V61" s="170"/>
    </row>
    <row r="62" spans="1:22" ht="90.75" thickBot="1" x14ac:dyDescent="0.3">
      <c r="A62" s="460" t="s">
        <v>379</v>
      </c>
      <c r="B62" s="346" t="str">
        <f>VLOOKUP(A62,'Feature Raw Data'!$A$3:$B$3940,2,FALSE)</f>
        <v>Graphics Power Optimizer</v>
      </c>
      <c r="C62" s="293" t="str">
        <f>VLOOKUP(A62,'Feature Raw Data'!$A$3:$C$3940,3,FALSE)</f>
        <v>P2</v>
      </c>
      <c r="D62" s="82" t="str" cm="1">
        <f t="array" ref="D62">_xlfn.TEXTJOIN("",TRUE,IF(ISNUMBER(SEARCH($A62,'Diags Raw Data'!$A$6:$A$3664)),CONCATENATE('Diags Raw Data'!$H$6:$H$3664,", "),""))</f>
        <v/>
      </c>
      <c r="E62" s="304" t="s">
        <v>248</v>
      </c>
      <c r="F62" s="169" t="str">
        <f>VLOOKUP(A62,'Feature Raw Data'!$A$3:$E$3940,5,FALSE)</f>
        <v>Legacy</v>
      </c>
      <c r="G62" s="561" t="s">
        <v>31</v>
      </c>
      <c r="H62" s="481" t="s">
        <v>501</v>
      </c>
      <c r="I62" s="293">
        <f>SUMIF('Diags Raw Data'!$A$6:$A$3664,"*"&amp;$A62&amp;"*",'Diags Raw Data'!$J$6:$J$3664)</f>
        <v>0</v>
      </c>
      <c r="J62" s="183">
        <v>1</v>
      </c>
      <c r="K62" s="418" cm="1">
        <f t="array" ref="K62">IF(D62="",0, SUMPRODUCT(--(ISNUMBER(SEARCH($A62,'Diags Raw Data'!$A$6:$A$3664))),'Diags Raw Data'!$K$6:$K$3664,'Diags Raw Data'!$M$6:$M$3664)/J62)</f>
        <v>0</v>
      </c>
      <c r="L62" s="419" cm="1">
        <f t="array" ref="L62">IF(D62="",0, SUMPRODUCT(--(ISNUMBER(SEARCH($A62,'Diags Raw Data'!$A$6:$A$3664))),'Diags Raw Data'!$K$6:$K$3664,'Diags Raw Data'!$O$6:$O$3664)/J62)</f>
        <v>0</v>
      </c>
      <c r="M62" s="420" cm="1">
        <f t="array" ref="M62">SUMPRODUCT(--(ISNUMBER(SEARCH($A62,'Diags Raw Data'!$A$6:$A$3664))),--('Diags Raw Data'!$P$6:$P$3664&lt;&gt;"N/A"),'Diags Raw Data'!$Q$6:$Q$3664)</f>
        <v>0</v>
      </c>
      <c r="N62" s="421" cm="1">
        <f t="array" ref="N62">SUMPRODUCT(--(ISNUMBER(SEARCH($A62,'Diags Raw Data'!$A$6:$A$3664))),--('Diags Raw Data'!$P$6:$P$3664&lt;&gt;"N/A"),'Diags Raw Data'!$S$6:$S$3664)+SUMPRODUCT(--(ISNUMBER(SEARCH($A62,'Diags Raw Data'!$A$6:$A$3664))),--('Diags Raw Data'!$P$6:$P$3664&lt;&gt;"N/A"),'Diags Raw Data'!$T$6:$T$3664)</f>
        <v>0</v>
      </c>
      <c r="O62" s="422">
        <f t="shared" si="12"/>
        <v>0</v>
      </c>
      <c r="P62" s="423">
        <f>SUMIF('Diags Raw Data'!$A$6:$A$3664,"*"&amp;$A62&amp;"*",'Diags Raw Data'!$Y$6:$Y$3664)</f>
        <v>0</v>
      </c>
      <c r="Q62" s="424">
        <f>SUM(SUMIF('Diags Raw Data'!$A$6:$A$3664,"*"&amp;$A62&amp;"*",'Diags Raw Data'!$Z$6:$Z$3664),SUMIF('Diags Raw Data'!$A$6:$A$3664,"*"&amp;$A62&amp;"*",'Diags Raw Data'!$AA$6:$AA$3664))</f>
        <v>0</v>
      </c>
      <c r="R62" s="425">
        <f t="shared" si="13"/>
        <v>0</v>
      </c>
      <c r="S62" s="425">
        <f t="shared" si="14"/>
        <v>0</v>
      </c>
      <c r="T62" s="426">
        <f t="shared" si="15"/>
        <v>0</v>
      </c>
      <c r="U62" s="397" t="s">
        <v>489</v>
      </c>
      <c r="V62" s="170"/>
    </row>
    <row r="63" spans="1:22" ht="15.75" thickBot="1" x14ac:dyDescent="0.3">
      <c r="A63" s="456" t="s">
        <v>258</v>
      </c>
      <c r="B63" s="570" t="str">
        <f>VLOOKUP(A63,'Feature Raw Data'!$A$3:$B$3940,2,FALSE)</f>
        <v>VDDOFF</v>
      </c>
      <c r="C63" s="571" t="str">
        <f>VLOOKUP(A63,'Feature Raw Data'!$A$3:$C$3940,3,FALSE)</f>
        <v>P1</v>
      </c>
      <c r="D63" s="300" t="str" cm="1">
        <f t="array" ref="D63">_xlfn.TEXTJOIN("",TRUE,IF(ISNUMBER(SEARCH($A63,'Diags Raw Data'!$A$6:$A$3664)),CONCATENATE('Diags Raw Data'!$H$6:$H$3664,", "),""))</f>
        <v xml:space="preserve">PM004.020, </v>
      </c>
      <c r="E63" s="304" t="s">
        <v>248</v>
      </c>
      <c r="F63" s="169" t="str">
        <f>VLOOKUP(A63,'Feature Raw Data'!$A$3:$E$3940,5,FALSE)</f>
        <v>Delta</v>
      </c>
      <c r="G63" s="481" t="s">
        <v>31</v>
      </c>
      <c r="H63" s="169" t="str">
        <f t="shared" ref="H63" si="17">IF(D63="","No","Yes")</f>
        <v>Yes</v>
      </c>
      <c r="I63" s="293">
        <f>SUMIF('Diags Raw Data'!$A$6:$A$3664,"*"&amp;$A63&amp;"*",'Diags Raw Data'!$J$6:$J$3664)</f>
        <v>1</v>
      </c>
      <c r="J63" s="183">
        <f>SUMIF('Diags Raw Data'!$A$6:$A$3664,"*"&amp;$A63&amp;"*",'Diags Raw Data'!$K$6:$K$3664)</f>
        <v>1</v>
      </c>
      <c r="K63" s="418" cm="1">
        <f t="array" ref="K63">IF(D63="",0, SUMPRODUCT(--(ISNUMBER(SEARCH($A63,'Diags Raw Data'!$A$6:$A$3664))),'Diags Raw Data'!$K$6:$K$3664,'Diags Raw Data'!$M$6:$M$3664)/J63)</f>
        <v>1</v>
      </c>
      <c r="L63" s="419" cm="1">
        <f t="array" ref="L63">IF(D63="",0, SUMPRODUCT(--(ISNUMBER(SEARCH($A63,'Diags Raw Data'!$A$6:$A$3664))),'Diags Raw Data'!$K$6:$K$3664,'Diags Raw Data'!$O$6:$O$3664)/J63)</f>
        <v>0.6</v>
      </c>
      <c r="M63" s="420" cm="1">
        <f t="array" ref="M63">SUMPRODUCT(--(ISNUMBER(SEARCH($A63,'Diags Raw Data'!$A$6:$A$3664))),--('Diags Raw Data'!$P$6:$P$3664&lt;&gt;"N/A"),'Diags Raw Data'!$Q$6:$Q$3664)</f>
        <v>1</v>
      </c>
      <c r="N63" s="421" cm="1">
        <f t="array" ref="N63">SUMPRODUCT(--(ISNUMBER(SEARCH($A63,'Diags Raw Data'!$A$6:$A$3664))),--('Diags Raw Data'!$P$6:$P$3664&lt;&gt;"N/A"),'Diags Raw Data'!$S$6:$S$3664)+SUMPRODUCT(--(ISNUMBER(SEARCH($A63,'Diags Raw Data'!$A$6:$A$3664))),--('Diags Raw Data'!$P$6:$P$3664&lt;&gt;"N/A"),'Diags Raw Data'!$T$6:$T$3664)</f>
        <v>0</v>
      </c>
      <c r="O63" s="422">
        <f t="shared" ref="O63" si="18">IF((M63=0),0,N63/M63)</f>
        <v>0</v>
      </c>
      <c r="P63" s="423">
        <v>1</v>
      </c>
      <c r="Q63" s="424">
        <v>1</v>
      </c>
      <c r="R63" s="425">
        <f t="shared" si="13"/>
        <v>1</v>
      </c>
      <c r="S63" s="425">
        <f t="shared" si="14"/>
        <v>1</v>
      </c>
      <c r="T63" s="426">
        <f t="shared" si="15"/>
        <v>1</v>
      </c>
      <c r="U63" s="397" t="s">
        <v>489</v>
      </c>
      <c r="V63" s="170"/>
    </row>
    <row r="64" spans="1:22" ht="45.75" thickBot="1" x14ac:dyDescent="0.3">
      <c r="A64" s="460" t="s">
        <v>381</v>
      </c>
      <c r="B64" s="346" t="str">
        <f>VLOOKUP(A64,'Feature Raw Data'!$A$3:$B$3940,2,FALSE)</f>
        <v>Delayed L3 Wake</v>
      </c>
      <c r="C64" s="293" t="str">
        <f>VLOOKUP(A64,'Feature Raw Data'!$A$3:$C$3940,3,FALSE)</f>
        <v>P2</v>
      </c>
      <c r="D64" s="82" t="str" cm="1">
        <f t="array" ref="D64">_xlfn.TEXTJOIN("",TRUE,IF(ISNUMBER(SEARCH($A64,'Diags Raw Data'!$A$6:$A$3664)),CONCATENATE('Diags Raw Data'!$H$6:$H$3664,", "),""))</f>
        <v/>
      </c>
      <c r="E64" s="304" t="s">
        <v>248</v>
      </c>
      <c r="F64" s="169" t="str">
        <f>VLOOKUP(A64,'Feature Raw Data'!$A$3:$E$3940,5,FALSE)</f>
        <v>Legacy</v>
      </c>
      <c r="G64" s="481" t="s">
        <v>502</v>
      </c>
      <c r="H64" s="481" t="s">
        <v>36</v>
      </c>
      <c r="I64" s="293">
        <f>SUMIF('Diags Raw Data'!$A$6:$A$3664,"*"&amp;$A64&amp;"*",'Diags Raw Data'!$J$6:$J$3664)</f>
        <v>0</v>
      </c>
      <c r="J64" s="183">
        <v>1</v>
      </c>
      <c r="K64" s="418" cm="1">
        <f t="array" ref="K64">IF(D64="",0, SUMPRODUCT(--(ISNUMBER(SEARCH($A64,'Diags Raw Data'!$A$6:$A$3664))),'Diags Raw Data'!$K$6:$K$3664,'Diags Raw Data'!$M$6:$M$3664)/J64)</f>
        <v>0</v>
      </c>
      <c r="L64" s="419" cm="1">
        <f t="array" ref="L64">IF(D64="",0, SUMPRODUCT(--(ISNUMBER(SEARCH($A64,'Diags Raw Data'!$A$6:$A$3664))),'Diags Raw Data'!$K$6:$K$3664,'Diags Raw Data'!$O$6:$O$3664)/J64)</f>
        <v>0</v>
      </c>
      <c r="M64" s="420" cm="1">
        <f t="array" ref="M64">SUMPRODUCT(--(ISNUMBER(SEARCH($A64,'Diags Raw Data'!$A$6:$A$3664))),--('Diags Raw Data'!$P$6:$P$3664&lt;&gt;"N/A"),'Diags Raw Data'!$Q$6:$Q$3664)</f>
        <v>0</v>
      </c>
      <c r="N64" s="421" cm="1">
        <f t="array" ref="N64">SUMPRODUCT(--(ISNUMBER(SEARCH($A64,'Diags Raw Data'!$A$6:$A$3664))),--('Diags Raw Data'!$P$6:$P$3664&lt;&gt;"N/A"),'Diags Raw Data'!$S$6:$S$3664)+SUMPRODUCT(--(ISNUMBER(SEARCH($A64,'Diags Raw Data'!$A$6:$A$3664))),--('Diags Raw Data'!$P$6:$P$3664&lt;&gt;"N/A"),'Diags Raw Data'!$T$6:$T$3664)</f>
        <v>0</v>
      </c>
      <c r="O64" s="422">
        <f t="shared" si="12"/>
        <v>0</v>
      </c>
      <c r="P64" s="423">
        <f>SUMIF('Diags Raw Data'!$A$6:$A$3664,"*"&amp;$A64&amp;"*",'Diags Raw Data'!$Y$6:$Y$3664)</f>
        <v>0</v>
      </c>
      <c r="Q64" s="424">
        <f>SUM(SUMIF('Diags Raw Data'!$A$6:$A$3664,"*"&amp;$A64&amp;"*",'Diags Raw Data'!$Z$6:$Z$3664),SUMIF('Diags Raw Data'!$A$6:$A$3664,"*"&amp;$A64&amp;"*",'Diags Raw Data'!$AA$6:$AA$3664))</f>
        <v>0</v>
      </c>
      <c r="R64" s="425">
        <f t="shared" si="13"/>
        <v>0</v>
      </c>
      <c r="S64" s="425">
        <f t="shared" si="14"/>
        <v>0</v>
      </c>
      <c r="T64" s="426">
        <f t="shared" si="15"/>
        <v>0</v>
      </c>
      <c r="U64" s="397" t="s">
        <v>489</v>
      </c>
      <c r="V64" s="170"/>
    </row>
    <row r="65" spans="1:22" ht="90.75" thickBot="1" x14ac:dyDescent="0.3">
      <c r="A65" s="460" t="s">
        <v>384</v>
      </c>
      <c r="B65" s="346" t="str">
        <f>VLOOKUP(A65,'Feature Raw Data'!$A$3:$B$3940,2,FALSE)</f>
        <v>Expose Fastest Core</v>
      </c>
      <c r="C65" s="293" t="str">
        <f>VLOOKUP(A65,'Feature Raw Data'!$A$3:$C$3940,3,FALSE)</f>
        <v>P2</v>
      </c>
      <c r="D65" s="82" t="str" cm="1">
        <f t="array" ref="D65">_xlfn.TEXTJOIN("",TRUE,IF(ISNUMBER(SEARCH($A65,'Diags Raw Data'!$A$6:$A$3664)),CONCATENATE('Diags Raw Data'!$H$6:$H$3664,", "),""))</f>
        <v/>
      </c>
      <c r="E65" s="304" t="s">
        <v>248</v>
      </c>
      <c r="F65" s="169" t="str">
        <f>VLOOKUP(A65,'Feature Raw Data'!$A$3:$E$3940,5,FALSE)</f>
        <v>Legacy</v>
      </c>
      <c r="G65" s="481" t="s">
        <v>31</v>
      </c>
      <c r="H65" s="481" t="s">
        <v>503</v>
      </c>
      <c r="I65" s="293">
        <f>SUMIF('Diags Raw Data'!$A$6:$A$3664,"*"&amp;$A65&amp;"*",'Diags Raw Data'!$J$6:$J$3664)</f>
        <v>0</v>
      </c>
      <c r="J65" s="183">
        <v>1</v>
      </c>
      <c r="K65" s="418" cm="1">
        <f t="array" ref="K65">IF(D65="",0, SUMPRODUCT(--(ISNUMBER(SEARCH($A65,'Diags Raw Data'!$A$6:$A$3664))),'Diags Raw Data'!$K$6:$K$3664,'Diags Raw Data'!$M$6:$M$3664)/J65)</f>
        <v>0</v>
      </c>
      <c r="L65" s="419" cm="1">
        <f t="array" ref="L65">IF(D65="",0, SUMPRODUCT(--(ISNUMBER(SEARCH($A65,'Diags Raw Data'!$A$6:$A$3664))),'Diags Raw Data'!$K$6:$K$3664,'Diags Raw Data'!$O$6:$O$3664)/J65)</f>
        <v>0</v>
      </c>
      <c r="M65" s="420" cm="1">
        <f t="array" ref="M65">SUMPRODUCT(--(ISNUMBER(SEARCH($A65,'Diags Raw Data'!$A$6:$A$3664))),--('Diags Raw Data'!$P$6:$P$3664&lt;&gt;"N/A"),'Diags Raw Data'!$Q$6:$Q$3664)</f>
        <v>0</v>
      </c>
      <c r="N65" s="421" cm="1">
        <f t="array" ref="N65">SUMPRODUCT(--(ISNUMBER(SEARCH($A65,'Diags Raw Data'!$A$6:$A$3664))),--('Diags Raw Data'!$P$6:$P$3664&lt;&gt;"N/A"),'Diags Raw Data'!$S$6:$S$3664)+SUMPRODUCT(--(ISNUMBER(SEARCH($A65,'Diags Raw Data'!$A$6:$A$3664))),--('Diags Raw Data'!$P$6:$P$3664&lt;&gt;"N/A"),'Diags Raw Data'!$T$6:$T$3664)</f>
        <v>0</v>
      </c>
      <c r="O65" s="422">
        <f t="shared" si="12"/>
        <v>0</v>
      </c>
      <c r="P65" s="423">
        <f>SUMIF('Diags Raw Data'!$A$6:$A$3664,"*"&amp;$A65&amp;"*",'Diags Raw Data'!$Y$6:$Y$3664)</f>
        <v>0</v>
      </c>
      <c r="Q65" s="424">
        <f>SUM(SUMIF('Diags Raw Data'!$A$6:$A$3664,"*"&amp;$A65&amp;"*",'Diags Raw Data'!$Z$6:$Z$3664),SUMIF('Diags Raw Data'!$A$6:$A$3664,"*"&amp;$A65&amp;"*",'Diags Raw Data'!$AA$6:$AA$3664))</f>
        <v>0</v>
      </c>
      <c r="R65" s="425">
        <f t="shared" si="13"/>
        <v>0</v>
      </c>
      <c r="S65" s="425">
        <f t="shared" si="14"/>
        <v>0</v>
      </c>
      <c r="T65" s="426">
        <f t="shared" si="15"/>
        <v>0</v>
      </c>
      <c r="U65" s="397" t="s">
        <v>489</v>
      </c>
      <c r="V65" s="170"/>
    </row>
    <row r="66" spans="1:22" ht="75.75" thickBot="1" x14ac:dyDescent="0.3">
      <c r="A66" s="465" t="s">
        <v>386</v>
      </c>
      <c r="B66" s="346" t="str">
        <f>VLOOKUP(A66,'Feature Raw Data'!$A$3:$B$3940,2,FALSE)</f>
        <v>AVFS + BTC</v>
      </c>
      <c r="C66" s="293" t="str">
        <f>VLOOKUP(A66,'Feature Raw Data'!$A$3:$C$3940,3,FALSE)</f>
        <v>P2</v>
      </c>
      <c r="D66" s="82" t="str" cm="1">
        <f t="array" ref="D66">_xlfn.TEXTJOIN("",TRUE,IF(ISNUMBER(SEARCH($A66,'Diags Raw Data'!$A$6:$A$3664)),CONCATENATE('Diags Raw Data'!$H$6:$H$3664,", "),""))</f>
        <v/>
      </c>
      <c r="E66" s="304" t="s">
        <v>248</v>
      </c>
      <c r="F66" s="169" t="str">
        <f>VLOOKUP(A66,'Feature Raw Data'!$A$3:$E$3940,5,FALSE)</f>
        <v>Legacy</v>
      </c>
      <c r="G66" s="481" t="s">
        <v>504</v>
      </c>
      <c r="H66" s="481" t="s">
        <v>36</v>
      </c>
      <c r="I66" s="293">
        <f>SUMIF('Diags Raw Data'!$A$6:$A$3664,"*"&amp;$A66&amp;"*",'Diags Raw Data'!$J$6:$J$3664)</f>
        <v>0</v>
      </c>
      <c r="J66" s="183">
        <v>1</v>
      </c>
      <c r="K66" s="418" cm="1">
        <f t="array" ref="K66">IF(D66="",0, SUMPRODUCT(--(ISNUMBER(SEARCH($A66,'Diags Raw Data'!$A$6:$A$3664))),'Diags Raw Data'!$K$6:$K$3664,'Diags Raw Data'!$M$6:$M$3664)/J66)</f>
        <v>0</v>
      </c>
      <c r="L66" s="419" cm="1">
        <f t="array" ref="L66">IF(D66="",0, SUMPRODUCT(--(ISNUMBER(SEARCH($A66,'Diags Raw Data'!$A$6:$A$3664))),'Diags Raw Data'!$K$6:$K$3664,'Diags Raw Data'!$O$6:$O$3664)/J66)</f>
        <v>0</v>
      </c>
      <c r="M66" s="420" cm="1">
        <f t="array" ref="M66">SUMPRODUCT(--(ISNUMBER(SEARCH($A66,'Diags Raw Data'!$A$6:$A$3664))),--('Diags Raw Data'!$P$6:$P$3664&lt;&gt;"N/A"),'Diags Raw Data'!$Q$6:$Q$3664)</f>
        <v>0</v>
      </c>
      <c r="N66" s="421" cm="1">
        <f t="array" ref="N66">SUMPRODUCT(--(ISNUMBER(SEARCH($A66,'Diags Raw Data'!$A$6:$A$3664))),--('Diags Raw Data'!$P$6:$P$3664&lt;&gt;"N/A"),'Diags Raw Data'!$S$6:$S$3664)+SUMPRODUCT(--(ISNUMBER(SEARCH($A66,'Diags Raw Data'!$A$6:$A$3664))),--('Diags Raw Data'!$P$6:$P$3664&lt;&gt;"N/A"),'Diags Raw Data'!$T$6:$T$3664)</f>
        <v>0</v>
      </c>
      <c r="O66" s="422">
        <f t="shared" si="12"/>
        <v>0</v>
      </c>
      <c r="P66" s="423">
        <f>SUMIF('Diags Raw Data'!$A$6:$A$3664,"*"&amp;$A66&amp;"*",'Diags Raw Data'!$Y$6:$Y$3664)</f>
        <v>0</v>
      </c>
      <c r="Q66" s="424">
        <f>SUM(SUMIF('Diags Raw Data'!$A$6:$A$3664,"*"&amp;$A66&amp;"*",'Diags Raw Data'!$Z$6:$Z$3664),SUMIF('Diags Raw Data'!$A$6:$A$3664,"*"&amp;$A66&amp;"*",'Diags Raw Data'!$AA$6:$AA$3664))</f>
        <v>0</v>
      </c>
      <c r="R66" s="425">
        <f t="shared" si="13"/>
        <v>0</v>
      </c>
      <c r="S66" s="425">
        <f t="shared" si="14"/>
        <v>0</v>
      </c>
      <c r="T66" s="426">
        <f t="shared" si="15"/>
        <v>0</v>
      </c>
      <c r="U66" s="397" t="s">
        <v>489</v>
      </c>
      <c r="V66" s="170"/>
    </row>
    <row r="67" spans="1:22" ht="15.75" thickBot="1" x14ac:dyDescent="0.3">
      <c r="A67" s="566" t="s">
        <v>388</v>
      </c>
      <c r="B67" s="570" t="str">
        <f>VLOOKUP(A67,'Feature Raw Data'!$A$3:$B$3940,2,FALSE)</f>
        <v>Z8 state</v>
      </c>
      <c r="C67" s="571" t="str">
        <f>VLOOKUP(A67,'Feature Raw Data'!$A$3:$C$3940,3,FALSE)</f>
        <v>P2</v>
      </c>
      <c r="D67" s="300" t="str" cm="1">
        <f t="array" ref="D67">_xlfn.TEXTJOIN("",TRUE,IF(ISNUMBER(SEARCH($A67,'Diags Raw Data'!$A$6:$A$3664)),CONCATENATE('Diags Raw Data'!$H$6:$H$3664,", "),""))</f>
        <v xml:space="preserve">PM68.7, </v>
      </c>
      <c r="E67" s="304" t="s">
        <v>248</v>
      </c>
      <c r="F67" s="169" t="str">
        <f>VLOOKUP(A67,'Feature Raw Data'!$A$3:$E$3940,5,FALSE)</f>
        <v>Legacy</v>
      </c>
      <c r="G67" s="481" t="s">
        <v>31</v>
      </c>
      <c r="H67" s="169" t="str">
        <f t="shared" ref="H67" si="19">IF(D67="","No","Yes")</f>
        <v>Yes</v>
      </c>
      <c r="I67" s="293">
        <f>SUMIF('Diags Raw Data'!$A$6:$A$3664,"*"&amp;$A67&amp;"*",'Diags Raw Data'!$J$6:$J$3664)</f>
        <v>1</v>
      </c>
      <c r="J67" s="183">
        <f>SUMIF('Diags Raw Data'!$A$6:$A$3664,"*"&amp;$A67&amp;"*",'Diags Raw Data'!$K$6:$K$3664)</f>
        <v>1</v>
      </c>
      <c r="K67" s="418" cm="1">
        <f t="array" ref="K67">IF(D67="",0, SUMPRODUCT(--(ISNUMBER(SEARCH($A67,'Diags Raw Data'!$A$6:$A$3664))),'Diags Raw Data'!$K$6:$K$3664,'Diags Raw Data'!$M$6:$M$3664)/J67)</f>
        <v>1</v>
      </c>
      <c r="L67" s="419" cm="1">
        <f t="array" ref="L67">IF(D67="",0, SUMPRODUCT(--(ISNUMBER(SEARCH($A67,'Diags Raw Data'!$A$6:$A$3664))),'Diags Raw Data'!$K$6:$K$3664,'Diags Raw Data'!$O$6:$O$3664)/J67)</f>
        <v>0.6</v>
      </c>
      <c r="M67" s="420" cm="1">
        <f t="array" ref="M67">SUMPRODUCT(--(ISNUMBER(SEARCH($A67,'Diags Raw Data'!$A$6:$A$3664))),--('Diags Raw Data'!$P$6:$P$3664&lt;&gt;"N/A"),'Diags Raw Data'!$Q$6:$Q$3664)</f>
        <v>1</v>
      </c>
      <c r="N67" s="421" cm="1">
        <f t="array" ref="N67">SUMPRODUCT(--(ISNUMBER(SEARCH($A67,'Diags Raw Data'!$A$6:$A$3664))),--('Diags Raw Data'!$P$6:$P$3664&lt;&gt;"N/A"),'Diags Raw Data'!$S$6:$S$3664)+SUMPRODUCT(--(ISNUMBER(SEARCH($A67,'Diags Raw Data'!$A$6:$A$3664))),--('Diags Raw Data'!$P$6:$P$3664&lt;&gt;"N/A"),'Diags Raw Data'!$T$6:$T$3664)</f>
        <v>0</v>
      </c>
      <c r="O67" s="422">
        <f t="shared" ref="O67:O68" si="20">IF((M67=0),0,N67/M67)</f>
        <v>0</v>
      </c>
      <c r="P67" s="423">
        <f>SUMIF('Diags Raw Data'!$A$6:$A$3664,"*"&amp;$A67&amp;"*",'Diags Raw Data'!$Y$6:$Y$3664)</f>
        <v>0</v>
      </c>
      <c r="Q67" s="424">
        <f>SUM(SUMIF('Diags Raw Data'!$A$6:$A$3664,"*"&amp;$A67&amp;"*",'Diags Raw Data'!$Z$6:$Z$3664),SUMIF('Diags Raw Data'!$A$6:$A$3664,"*"&amp;$A67&amp;"*",'Diags Raw Data'!$AA$6:$AA$3664))</f>
        <v>0</v>
      </c>
      <c r="R67" s="425">
        <f t="shared" ref="R67:R71" si="21">IF((J67=0),0,P67/J67)</f>
        <v>0</v>
      </c>
      <c r="S67" s="425">
        <f t="shared" ref="S67:S71" si="22">IF((P67=0),0,Q67/P67)</f>
        <v>0</v>
      </c>
      <c r="T67" s="426">
        <f t="shared" ref="T67:T71" si="23">R67*S67</f>
        <v>0</v>
      </c>
      <c r="U67" s="397" t="s">
        <v>489</v>
      </c>
      <c r="V67" s="170"/>
    </row>
    <row r="68" spans="1:22" ht="15.75" thickBot="1" x14ac:dyDescent="0.3">
      <c r="A68" s="566" t="s">
        <v>390</v>
      </c>
      <c r="B68" s="570" t="str">
        <f>VLOOKUP(A68,'Feature Raw Data'!$A$3:$B$3940,2,FALSE)</f>
        <v>Z10 state</v>
      </c>
      <c r="C68" s="571" t="str">
        <f>VLOOKUP(A68,'Feature Raw Data'!$A$3:$C$3940,3,FALSE)</f>
        <v>P2</v>
      </c>
      <c r="D68" s="300" t="str" cm="1">
        <f t="array" ref="D68">_xlfn.TEXTJOIN("",TRUE,IF(ISNUMBER(SEARCH($A68,'Diags Raw Data'!$A$6:$A$3664)),CONCATENATE('Diags Raw Data'!$H$6:$H$3664,", "),""))</f>
        <v xml:space="preserve">PM68.6, </v>
      </c>
      <c r="E68" s="304" t="s">
        <v>248</v>
      </c>
      <c r="F68" s="169" t="str">
        <f>VLOOKUP(A68,'Feature Raw Data'!$A$3:$E$3940,5,FALSE)</f>
        <v>Legacy</v>
      </c>
      <c r="G68" s="481" t="s">
        <v>31</v>
      </c>
      <c r="H68" s="169" t="s">
        <v>31</v>
      </c>
      <c r="I68" s="293">
        <f>SUMIF('Diags Raw Data'!$A$6:$A$3664,"*"&amp;$A68&amp;"*",'Diags Raw Data'!$J$6:$J$3664)</f>
        <v>1</v>
      </c>
      <c r="J68" s="183">
        <f>SUMIF('Diags Raw Data'!$A$6:$A$3664,"*"&amp;$A68&amp;"*",'Diags Raw Data'!$K$6:$K$3664)</f>
        <v>1</v>
      </c>
      <c r="K68" s="418" cm="1">
        <f t="array" ref="K68">IF(D68="",0, SUMPRODUCT(--(ISNUMBER(SEARCH($A68,'Diags Raw Data'!$A$6:$A$3664))),'Diags Raw Data'!$K$6:$K$3664,'Diags Raw Data'!$M$6:$M$3664)/J68)</f>
        <v>1</v>
      </c>
      <c r="L68" s="419" cm="1">
        <f t="array" ref="L68">IF(D68="",0, SUMPRODUCT(--(ISNUMBER(SEARCH($A68,'Diags Raw Data'!$A$6:$A$3664))),'Diags Raw Data'!$K$6:$K$3664,'Diags Raw Data'!$O$6:$O$3664)/J68)</f>
        <v>0.6</v>
      </c>
      <c r="M68" s="420" cm="1">
        <f t="array" ref="M68">SUMPRODUCT(--(ISNUMBER(SEARCH($A68,'Diags Raw Data'!$A$6:$A$3664))),--('Diags Raw Data'!$P$6:$P$3664&lt;&gt;"N/A"),'Diags Raw Data'!$Q$6:$Q$3664)</f>
        <v>1</v>
      </c>
      <c r="N68" s="421" cm="1">
        <f t="array" ref="N68">SUMPRODUCT(--(ISNUMBER(SEARCH($A68,'Diags Raw Data'!$A$6:$A$3664))),--('Diags Raw Data'!$P$6:$P$3664&lt;&gt;"N/A"),'Diags Raw Data'!$S$6:$S$3664)+SUMPRODUCT(--(ISNUMBER(SEARCH($A68,'Diags Raw Data'!$A$6:$A$3664))),--('Diags Raw Data'!$P$6:$P$3664&lt;&gt;"N/A"),'Diags Raw Data'!$T$6:$T$3664)</f>
        <v>0</v>
      </c>
      <c r="O68" s="422">
        <f t="shared" si="20"/>
        <v>0</v>
      </c>
      <c r="P68" s="423">
        <f>SUMIF('Diags Raw Data'!$A$6:$A$3664,"*"&amp;$A68&amp;"*",'Diags Raw Data'!$Y$6:$Y$3664)</f>
        <v>0</v>
      </c>
      <c r="Q68" s="424">
        <f>SUM(SUMIF('Diags Raw Data'!$A$6:$A$3664,"*"&amp;$A68&amp;"*",'Diags Raw Data'!$Z$6:$Z$3664),SUMIF('Diags Raw Data'!$A$6:$A$3664,"*"&amp;$A68&amp;"*",'Diags Raw Data'!$AA$6:$AA$3664))</f>
        <v>0</v>
      </c>
      <c r="R68" s="425">
        <f t="shared" si="21"/>
        <v>0</v>
      </c>
      <c r="S68" s="425">
        <f t="shared" si="22"/>
        <v>0</v>
      </c>
      <c r="T68" s="426">
        <f t="shared" si="23"/>
        <v>0</v>
      </c>
      <c r="U68" s="397" t="s">
        <v>489</v>
      </c>
      <c r="V68" s="170"/>
    </row>
    <row r="69" spans="1:22" ht="150.75" thickBot="1" x14ac:dyDescent="0.3">
      <c r="A69" s="566" t="s">
        <v>392</v>
      </c>
      <c r="B69" s="467" t="s">
        <v>393</v>
      </c>
      <c r="C69" s="293" t="str">
        <f>VLOOKUP(A69,'Feature Raw Data'!$A$3:$C$3940,3,FALSE)</f>
        <v>P2</v>
      </c>
      <c r="D69" s="82" t="str" cm="1">
        <f t="array" ref="D69">_xlfn.TEXTJOIN("",TRUE,IF(ISNUMBER(SEARCH($A69,'Diags Raw Data'!$A$6:$A$3664)),CONCATENATE('Diags Raw Data'!$H$6:$H$3664,", "),""))</f>
        <v/>
      </c>
      <c r="E69" s="304" t="s">
        <v>248</v>
      </c>
      <c r="F69" s="169" t="str">
        <f>VLOOKUP(A69,'Feature Raw Data'!$A$3:$E$3940,5,FALSE)</f>
        <v>Legacy</v>
      </c>
      <c r="G69" s="481" t="s">
        <v>31</v>
      </c>
      <c r="H69" s="481" t="s">
        <v>505</v>
      </c>
      <c r="I69" s="293">
        <v>2</v>
      </c>
      <c r="J69" s="183">
        <v>1</v>
      </c>
      <c r="K69" s="418" cm="1">
        <f t="array" ref="K69">IF(D69="",0, SUMPRODUCT(--(ISNUMBER(SEARCH($A69,'Diags Raw Data'!$A$6:$A$3664))),'Diags Raw Data'!$K$6:$K$3664,'Diags Raw Data'!$M$6:$M$3664)/J69)</f>
        <v>0</v>
      </c>
      <c r="L69" s="419" cm="1">
        <f t="array" ref="L69">IF(D69="",0, SUMPRODUCT(--(ISNUMBER(SEARCH($A69,'Diags Raw Data'!$A$6:$A$3664))),'Diags Raw Data'!$K$6:$K$3664,'Diags Raw Data'!$O$6:$O$3664)/J69)</f>
        <v>0</v>
      </c>
      <c r="M69" s="420" cm="1">
        <f t="array" ref="M69">SUMPRODUCT(--(ISNUMBER(SEARCH($A69,'Diags Raw Data'!$A$6:$A$3664))),--('Diags Raw Data'!$P$6:$P$3664&lt;&gt;"N/A"),'Diags Raw Data'!$Q$6:$Q$3664)</f>
        <v>0</v>
      </c>
      <c r="N69" s="421" cm="1">
        <f t="array" ref="N69">SUMPRODUCT(--(ISNUMBER(SEARCH($A69,'Diags Raw Data'!$A$6:$A$3664))),--('Diags Raw Data'!$P$6:$P$3664&lt;&gt;"N/A"),'Diags Raw Data'!$S$6:$S$3664)+SUMPRODUCT(--(ISNUMBER(SEARCH($A69,'Diags Raw Data'!$A$6:$A$3664))),--('Diags Raw Data'!$P$6:$P$3664&lt;&gt;"N/A"),'Diags Raw Data'!$T$6:$T$3664)</f>
        <v>0</v>
      </c>
      <c r="O69" s="422">
        <f t="shared" ref="O69:O71" si="24">IF((M69=0),0,N69/M69)</f>
        <v>0</v>
      </c>
      <c r="P69" s="423">
        <f>SUMIF('Diags Raw Data'!$A$6:$A$3664,"*"&amp;$A69&amp;"*",'Diags Raw Data'!$Y$6:$Y$3664)</f>
        <v>0</v>
      </c>
      <c r="Q69" s="424">
        <f>SUM(SUMIF('Diags Raw Data'!$A$6:$A$3664,"*"&amp;$A69&amp;"*",'Diags Raw Data'!$Z$6:$Z$3664),SUMIF('Diags Raw Data'!$A$6:$A$3664,"*"&amp;$A69&amp;"*",'Diags Raw Data'!$AA$6:$AA$3664))</f>
        <v>0</v>
      </c>
      <c r="R69" s="425">
        <f t="shared" si="21"/>
        <v>0</v>
      </c>
      <c r="S69" s="425">
        <f t="shared" si="22"/>
        <v>0</v>
      </c>
      <c r="T69" s="426">
        <f t="shared" si="23"/>
        <v>0</v>
      </c>
      <c r="U69" s="397" t="s">
        <v>489</v>
      </c>
      <c r="V69" s="170"/>
    </row>
    <row r="70" spans="1:22" ht="45.75" thickBot="1" x14ac:dyDescent="0.3">
      <c r="A70" s="566" t="s">
        <v>394</v>
      </c>
      <c r="B70" s="467" t="s">
        <v>395</v>
      </c>
      <c r="C70" s="293" t="str">
        <f>VLOOKUP(A70,'Feature Raw Data'!$A$3:$C$3940,3,FALSE)</f>
        <v>P2</v>
      </c>
      <c r="D70" s="82" t="str" cm="1">
        <f t="array" ref="D70">_xlfn.TEXTJOIN("",TRUE,IF(ISNUMBER(SEARCH($A70,'Diags Raw Data'!$A$6:$A$3664)),CONCATENATE('Diags Raw Data'!$H$6:$H$3664,", "),""))</f>
        <v/>
      </c>
      <c r="E70" s="304" t="s">
        <v>248</v>
      </c>
      <c r="F70" s="169" t="str">
        <f>VLOOKUP(A70,'Feature Raw Data'!$A$3:$E$3940,5,FALSE)</f>
        <v>Legacy</v>
      </c>
      <c r="G70" s="481" t="s">
        <v>31</v>
      </c>
      <c r="H70" s="481" t="s">
        <v>506</v>
      </c>
      <c r="I70" s="293"/>
      <c r="J70" s="183">
        <v>1</v>
      </c>
      <c r="K70" s="418" cm="1">
        <f t="array" ref="K70">IF(D70="",0, SUMPRODUCT(--(ISNUMBER(SEARCH($A70,'Diags Raw Data'!$A$6:$A$3664))),'Diags Raw Data'!$K$6:$K$3664,'Diags Raw Data'!$M$6:$M$3664)/J70)</f>
        <v>0</v>
      </c>
      <c r="L70" s="419" cm="1">
        <f t="array" ref="L70">IF(D70="",0, SUMPRODUCT(--(ISNUMBER(SEARCH($A70,'Diags Raw Data'!$A$6:$A$3664))),'Diags Raw Data'!$K$6:$K$3664,'Diags Raw Data'!$O$6:$O$3664)/J70)</f>
        <v>0</v>
      </c>
      <c r="M70" s="420" cm="1">
        <f t="array" ref="M70">SUMPRODUCT(--(ISNUMBER(SEARCH($A70,'Diags Raw Data'!$A$6:$A$3664))),--('Diags Raw Data'!$P$6:$P$3664&lt;&gt;"N/A"),'Diags Raw Data'!$Q$6:$Q$3664)</f>
        <v>0</v>
      </c>
      <c r="N70" s="421" cm="1">
        <f t="array" ref="N70">SUMPRODUCT(--(ISNUMBER(SEARCH($A70,'Diags Raw Data'!$A$6:$A$3664))),--('Diags Raw Data'!$P$6:$P$3664&lt;&gt;"N/A"),'Diags Raw Data'!$S$6:$S$3664)+SUMPRODUCT(--(ISNUMBER(SEARCH($A70,'Diags Raw Data'!$A$6:$A$3664))),--('Diags Raw Data'!$P$6:$P$3664&lt;&gt;"N/A"),'Diags Raw Data'!$T$6:$T$3664)</f>
        <v>0</v>
      </c>
      <c r="O70" s="422">
        <f t="shared" si="24"/>
        <v>0</v>
      </c>
      <c r="P70" s="423">
        <f>SUMIF('Diags Raw Data'!$A$6:$A$3664,"*"&amp;$A70&amp;"*",'Diags Raw Data'!$Y$6:$Y$3664)</f>
        <v>0</v>
      </c>
      <c r="Q70" s="424">
        <f>SUM(SUMIF('Diags Raw Data'!$A$6:$A$3664,"*"&amp;$A70&amp;"*",'Diags Raw Data'!$Z$6:$Z$3664),SUMIF('Diags Raw Data'!$A$6:$A$3664,"*"&amp;$A70&amp;"*",'Diags Raw Data'!$AA$6:$AA$3664))</f>
        <v>0</v>
      </c>
      <c r="R70" s="425">
        <f t="shared" si="21"/>
        <v>0</v>
      </c>
      <c r="S70" s="425">
        <f t="shared" si="22"/>
        <v>0</v>
      </c>
      <c r="T70" s="426">
        <f t="shared" si="23"/>
        <v>0</v>
      </c>
      <c r="U70" s="397" t="s">
        <v>489</v>
      </c>
      <c r="V70" s="170"/>
    </row>
    <row r="71" spans="1:22" ht="120.75" thickBot="1" x14ac:dyDescent="0.3">
      <c r="A71" s="568" t="s">
        <v>396</v>
      </c>
      <c r="B71" s="569" t="s">
        <v>397</v>
      </c>
      <c r="C71" s="293" t="str">
        <f>VLOOKUP(A71,'Feature Raw Data'!$A$3:$C$3940,3,FALSE)</f>
        <v>P2</v>
      </c>
      <c r="D71" s="82" t="str" cm="1">
        <f t="array" ref="D71">_xlfn.TEXTJOIN("",TRUE,IF(ISNUMBER(SEARCH($A71,'Diags Raw Data'!$A$6:$A$3664)),CONCATENATE('Diags Raw Data'!$H$6:$H$3664,", "),""))</f>
        <v/>
      </c>
      <c r="E71" s="304" t="s">
        <v>248</v>
      </c>
      <c r="F71" s="169" t="str">
        <f>VLOOKUP(A71,'Feature Raw Data'!$A$3:$E$3940,5,FALSE)</f>
        <v>Legacy</v>
      </c>
      <c r="G71" s="481" t="s">
        <v>31</v>
      </c>
      <c r="H71" s="481" t="s">
        <v>507</v>
      </c>
      <c r="I71" s="293">
        <f>SUMIF('Diags Raw Data'!$A$6:$A$3664,"*"&amp;$A71&amp;"*",'Diags Raw Data'!$J$6:$J$3664)</f>
        <v>0</v>
      </c>
      <c r="J71" s="183">
        <v>1</v>
      </c>
      <c r="K71" s="418" cm="1">
        <f t="array" ref="K71">IF(D71="",0, SUMPRODUCT(--(ISNUMBER(SEARCH($A71,'Diags Raw Data'!$A$6:$A$3664))),'Diags Raw Data'!$K$6:$K$3664,'Diags Raw Data'!$M$6:$M$3664)/J71)</f>
        <v>0</v>
      </c>
      <c r="L71" s="419" cm="1">
        <f t="array" ref="L71">IF(D71="",0, SUMPRODUCT(--(ISNUMBER(SEARCH($A71,'Diags Raw Data'!$A$6:$A$3664))),'Diags Raw Data'!$K$6:$K$3664,'Diags Raw Data'!$O$6:$O$3664)/J71)</f>
        <v>0</v>
      </c>
      <c r="M71" s="420" cm="1">
        <f t="array" ref="M71">SUMPRODUCT(--(ISNUMBER(SEARCH($A71,'Diags Raw Data'!$A$6:$A$3664))),--('Diags Raw Data'!$P$6:$P$3664&lt;&gt;"N/A"),'Diags Raw Data'!$Q$6:$Q$3664)</f>
        <v>0</v>
      </c>
      <c r="N71" s="421" cm="1">
        <f t="array" ref="N71">SUMPRODUCT(--(ISNUMBER(SEARCH($A71,'Diags Raw Data'!$A$6:$A$3664))),--('Diags Raw Data'!$P$6:$P$3664&lt;&gt;"N/A"),'Diags Raw Data'!$S$6:$S$3664)+SUMPRODUCT(--(ISNUMBER(SEARCH($A71,'Diags Raw Data'!$A$6:$A$3664))),--('Diags Raw Data'!$P$6:$P$3664&lt;&gt;"N/A"),'Diags Raw Data'!$T$6:$T$3664)</f>
        <v>0</v>
      </c>
      <c r="O71" s="422">
        <f t="shared" si="24"/>
        <v>0</v>
      </c>
      <c r="P71" s="423">
        <f>SUMIF('Diags Raw Data'!$A$6:$A$3664,"*"&amp;$A71&amp;"*",'Diags Raw Data'!$Y$6:$Y$3664)</f>
        <v>0</v>
      </c>
      <c r="Q71" s="424">
        <f>SUM(SUMIF('Diags Raw Data'!$A$6:$A$3664,"*"&amp;$A71&amp;"*",'Diags Raw Data'!$Z$6:$Z$3664),SUMIF('Diags Raw Data'!$A$6:$A$3664,"*"&amp;$A71&amp;"*",'Diags Raw Data'!$AA$6:$AA$3664))</f>
        <v>0</v>
      </c>
      <c r="R71" s="425">
        <f t="shared" si="21"/>
        <v>0</v>
      </c>
      <c r="S71" s="425">
        <f t="shared" si="22"/>
        <v>0</v>
      </c>
      <c r="T71" s="426">
        <f t="shared" si="23"/>
        <v>0</v>
      </c>
      <c r="U71" s="397" t="s">
        <v>489</v>
      </c>
      <c r="V71" s="170"/>
    </row>
    <row r="72" spans="1:22" ht="90.75" thickBot="1" x14ac:dyDescent="0.3">
      <c r="A72" s="568" t="s">
        <v>400</v>
      </c>
      <c r="B72" s="569" t="s">
        <v>401</v>
      </c>
      <c r="C72" s="293" t="str">
        <f>VLOOKUP(A72,'Feature Raw Data'!$A$3:$C$3940,3,FALSE)</f>
        <v>P2</v>
      </c>
      <c r="D72" s="82" t="str" cm="1">
        <f t="array" ref="D72">_xlfn.TEXTJOIN("",TRUE,IF(ISNUMBER(SEARCH($A72,'Diags Raw Data'!$A$6:$A$3664)),CONCATENATE('Diags Raw Data'!$H$6:$H$3664,", "),""))</f>
        <v/>
      </c>
      <c r="E72" s="304" t="s">
        <v>248</v>
      </c>
      <c r="F72" s="169" t="str">
        <f>VLOOKUP(A72,'Feature Raw Data'!$A$3:$E$3940,5,FALSE)</f>
        <v>Legacy</v>
      </c>
      <c r="G72" s="481" t="s">
        <v>508</v>
      </c>
      <c r="H72" s="481" t="s">
        <v>36</v>
      </c>
      <c r="I72" s="293">
        <f>SUMIF('Diags Raw Data'!$A$6:$A$3664,"*"&amp;$A72&amp;"*",'Diags Raw Data'!$J$6:$J$3664)</f>
        <v>0</v>
      </c>
      <c r="J72" s="183">
        <v>1</v>
      </c>
      <c r="K72" s="418" cm="1">
        <f t="array" ref="K72">IF(D72="",0, SUMPRODUCT(--(ISNUMBER(SEARCH($A72,'Diags Raw Data'!$A$6:$A$3664))),'Diags Raw Data'!$K$6:$K$3664,'Diags Raw Data'!$M$6:$M$3664)/J72)</f>
        <v>0</v>
      </c>
      <c r="L72" s="419" cm="1">
        <f t="array" ref="L72">IF(D72="",0, SUMPRODUCT(--(ISNUMBER(SEARCH($A72,'Diags Raw Data'!$A$6:$A$3664))),'Diags Raw Data'!$K$6:$K$3664,'Diags Raw Data'!$O$6:$O$3664)/J72)</f>
        <v>0</v>
      </c>
      <c r="M72" s="420" cm="1">
        <f t="array" ref="M72">SUMPRODUCT(--(ISNUMBER(SEARCH($A72,'Diags Raw Data'!$A$6:$A$3664))),--('Diags Raw Data'!$P$6:$P$3664&lt;&gt;"N/A"),'Diags Raw Data'!$Q$6:$Q$3664)</f>
        <v>0</v>
      </c>
      <c r="N72" s="421" cm="1">
        <f t="array" ref="N72">SUMPRODUCT(--(ISNUMBER(SEARCH($A72,'Diags Raw Data'!$A$6:$A$3664))),--('Diags Raw Data'!$P$6:$P$3664&lt;&gt;"N/A"),'Diags Raw Data'!$S$6:$S$3664)+SUMPRODUCT(--(ISNUMBER(SEARCH($A72,'Diags Raw Data'!$A$6:$A$3664))),--('Diags Raw Data'!$P$6:$P$3664&lt;&gt;"N/A"),'Diags Raw Data'!$T$6:$T$3664)</f>
        <v>0</v>
      </c>
      <c r="O72" s="422">
        <f t="shared" ref="O72" si="25">IF((M72=0),0,N72/M72)</f>
        <v>0</v>
      </c>
      <c r="P72" s="423">
        <f>SUMIF('Diags Raw Data'!$A$6:$A$3664,"*"&amp;$A72&amp;"*",'Diags Raw Data'!$Y$6:$Y$3664)</f>
        <v>0</v>
      </c>
      <c r="Q72" s="424">
        <f>SUM(SUMIF('Diags Raw Data'!$A$6:$A$3664,"*"&amp;$A72&amp;"*",'Diags Raw Data'!$Z$6:$Z$3664),SUMIF('Diags Raw Data'!$A$6:$A$3664,"*"&amp;$A72&amp;"*",'Diags Raw Data'!$AA$6:$AA$3664))</f>
        <v>0</v>
      </c>
      <c r="R72" s="425">
        <f t="shared" ref="R72" si="26">IF((J72=0),0,P72/J72)</f>
        <v>0</v>
      </c>
      <c r="S72" s="425">
        <f t="shared" ref="S72" si="27">IF((P72=0),0,Q72/P72)</f>
        <v>0</v>
      </c>
      <c r="T72" s="426">
        <f t="shared" ref="T72" si="28">R72*S72</f>
        <v>0</v>
      </c>
      <c r="U72" s="397" t="s">
        <v>489</v>
      </c>
      <c r="V72" s="170"/>
    </row>
    <row r="73" spans="1:22" ht="90.75" thickBot="1" x14ac:dyDescent="0.3">
      <c r="A73" s="568" t="s">
        <v>402</v>
      </c>
      <c r="B73" s="569" t="s">
        <v>403</v>
      </c>
      <c r="C73" s="293" t="str">
        <f>VLOOKUP(A73,'Feature Raw Data'!$A$3:$C$3940,3,FALSE)</f>
        <v>P2</v>
      </c>
      <c r="D73" s="82" t="str" cm="1">
        <f t="array" ref="D73">_xlfn.TEXTJOIN("",TRUE,IF(ISNUMBER(SEARCH($A73,'Diags Raw Data'!$A$6:$A$3664)),CONCATENATE('Diags Raw Data'!$H$6:$H$3664,", "),""))</f>
        <v/>
      </c>
      <c r="E73" s="304" t="s">
        <v>248</v>
      </c>
      <c r="F73" s="169" t="str">
        <f>VLOOKUP(A73,'Feature Raw Data'!$A$3:$E$3940,5,FALSE)</f>
        <v>Legacy</v>
      </c>
      <c r="G73" s="481" t="s">
        <v>509</v>
      </c>
      <c r="H73" s="481" t="s">
        <v>36</v>
      </c>
      <c r="I73" s="293">
        <f>SUMIF('Diags Raw Data'!$A$6:$A$3664,"*"&amp;$A73&amp;"*",'Diags Raw Data'!$J$6:$J$3664)</f>
        <v>0</v>
      </c>
      <c r="J73" s="183">
        <v>1</v>
      </c>
      <c r="K73" s="418" cm="1">
        <f t="array" ref="K73">IF(D73="",0, SUMPRODUCT(--(ISNUMBER(SEARCH($A73,'Diags Raw Data'!$A$6:$A$3664))),'Diags Raw Data'!$K$6:$K$3664,'Diags Raw Data'!$M$6:$M$3664)/J73)</f>
        <v>0</v>
      </c>
      <c r="L73" s="419" cm="1">
        <f t="array" ref="L73">IF(D73="",0, SUMPRODUCT(--(ISNUMBER(SEARCH($A73,'Diags Raw Data'!$A$6:$A$3664))),'Diags Raw Data'!$K$6:$K$3664,'Diags Raw Data'!$O$6:$O$3664)/J73)</f>
        <v>0</v>
      </c>
      <c r="M73" s="420" cm="1">
        <f t="array" ref="M73">SUMPRODUCT(--(ISNUMBER(SEARCH($A73,'Diags Raw Data'!$A$6:$A$3664))),--('Diags Raw Data'!$P$6:$P$3664&lt;&gt;"N/A"),'Diags Raw Data'!$Q$6:$Q$3664)</f>
        <v>0</v>
      </c>
      <c r="N73" s="421" cm="1">
        <f t="array" ref="N73">SUMPRODUCT(--(ISNUMBER(SEARCH($A73,'Diags Raw Data'!$A$6:$A$3664))),--('Diags Raw Data'!$P$6:$P$3664&lt;&gt;"N/A"),'Diags Raw Data'!$S$6:$S$3664)+SUMPRODUCT(--(ISNUMBER(SEARCH($A73,'Diags Raw Data'!$A$6:$A$3664))),--('Diags Raw Data'!$P$6:$P$3664&lt;&gt;"N/A"),'Diags Raw Data'!$T$6:$T$3664)</f>
        <v>0</v>
      </c>
      <c r="O73" s="422">
        <f t="shared" ref="O73" si="29">IF((M73=0),0,N73/M73)</f>
        <v>0</v>
      </c>
      <c r="P73" s="423">
        <f>SUMIF('Diags Raw Data'!$A$6:$A$3664,"*"&amp;$A73&amp;"*",'Diags Raw Data'!$Y$6:$Y$3664)</f>
        <v>0</v>
      </c>
      <c r="Q73" s="424">
        <f>SUM(SUMIF('Diags Raw Data'!$A$6:$A$3664,"*"&amp;$A73&amp;"*",'Diags Raw Data'!$Z$6:$Z$3664),SUMIF('Diags Raw Data'!$A$6:$A$3664,"*"&amp;$A73&amp;"*",'Diags Raw Data'!$AA$6:$AA$3664))</f>
        <v>0</v>
      </c>
      <c r="R73" s="425">
        <f t="shared" ref="R73" si="30">IF((J73=0),0,P73/J73)</f>
        <v>0</v>
      </c>
      <c r="S73" s="425">
        <f t="shared" ref="S73" si="31">IF((P73=0),0,Q73/P73)</f>
        <v>0</v>
      </c>
      <c r="T73" s="426">
        <f t="shared" ref="T73" si="32">R73*S73</f>
        <v>0</v>
      </c>
      <c r="U73" s="397" t="s">
        <v>489</v>
      </c>
      <c r="V73" s="170"/>
    </row>
    <row r="74" spans="1:22" ht="120.75" thickBot="1" x14ac:dyDescent="0.3">
      <c r="A74" s="568" t="s">
        <v>404</v>
      </c>
      <c r="B74" s="346" t="str">
        <f>VLOOKUP(A74,'Feature Raw Data'!$A$3:$B$3940,2,FALSE)</f>
        <v>Fan Controller</v>
      </c>
      <c r="C74" s="293" t="str">
        <f>VLOOKUP(A74,'Feature Raw Data'!$A$3:$C$3940,3,FALSE)</f>
        <v>P2</v>
      </c>
      <c r="D74" s="82" t="str" cm="1">
        <f t="array" ref="D74">_xlfn.TEXTJOIN("",TRUE,IF(ISNUMBER(SEARCH($A74,'Diags Raw Data'!$A$6:$A$3664)),CONCATENATE('Diags Raw Data'!$H$6:$H$3664,", "),""))</f>
        <v/>
      </c>
      <c r="E74" s="304" t="s">
        <v>248</v>
      </c>
      <c r="F74" s="169" t="str">
        <f>VLOOKUP(A74,'Feature Raw Data'!$A$3:$E$3940,5,FALSE)</f>
        <v>Legacy</v>
      </c>
      <c r="G74" s="481" t="s">
        <v>31</v>
      </c>
      <c r="H74" s="481" t="s">
        <v>500</v>
      </c>
      <c r="I74" s="293">
        <f>SUMIF('Diags Raw Data'!$A$6:$A$3664,"*"&amp;$A74&amp;"*",'Diags Raw Data'!$J$6:$J$3664)</f>
        <v>0</v>
      </c>
      <c r="J74" s="183">
        <v>1</v>
      </c>
      <c r="K74" s="418" cm="1">
        <f t="array" ref="K74">IF(D74="",0, SUMPRODUCT(--(ISNUMBER(SEARCH($A74,'Diags Raw Data'!$A$6:$A$3664))),'Diags Raw Data'!$K$6:$K$3664,'Diags Raw Data'!$M$6:$M$3664)/J74)</f>
        <v>0</v>
      </c>
      <c r="L74" s="419" cm="1">
        <f t="array" ref="L74">IF(D74="",0, SUMPRODUCT(--(ISNUMBER(SEARCH($A74,'Diags Raw Data'!$A$6:$A$3664))),'Diags Raw Data'!$K$6:$K$3664,'Diags Raw Data'!$O$6:$O$3664)/J74)</f>
        <v>0</v>
      </c>
      <c r="M74" s="420" cm="1">
        <f t="array" ref="M74">SUMPRODUCT(--(ISNUMBER(SEARCH($A74,'Diags Raw Data'!$A$6:$A$3664))),--('Diags Raw Data'!$P$6:$P$3664&lt;&gt;"N/A"),'Diags Raw Data'!$Q$6:$Q$3664)</f>
        <v>0</v>
      </c>
      <c r="N74" s="421" cm="1">
        <f t="array" ref="N74">SUMPRODUCT(--(ISNUMBER(SEARCH($A74,'Diags Raw Data'!$A$6:$A$3664))),--('Diags Raw Data'!$P$6:$P$3664&lt;&gt;"N/A"),'Diags Raw Data'!$S$6:$S$3664)+SUMPRODUCT(--(ISNUMBER(SEARCH($A74,'Diags Raw Data'!$A$6:$A$3664))),--('Diags Raw Data'!$P$6:$P$3664&lt;&gt;"N/A"),'Diags Raw Data'!$T$6:$T$3664)</f>
        <v>0</v>
      </c>
      <c r="O74" s="422">
        <f t="shared" ref="O74:O85" si="33">IF((M74=0),0,N74/M74)</f>
        <v>0</v>
      </c>
      <c r="P74" s="423">
        <f>SUMIF('Diags Raw Data'!$A$6:$A$3664,"*"&amp;$A74&amp;"*",'Diags Raw Data'!$Y$6:$Y$3664)</f>
        <v>0</v>
      </c>
      <c r="Q74" s="424">
        <f>SUM(SUMIF('Diags Raw Data'!$A$6:$A$3664,"*"&amp;$A74&amp;"*",'Diags Raw Data'!$Z$6:$Z$3664),SUMIF('Diags Raw Data'!$A$6:$A$3664,"*"&amp;$A74&amp;"*",'Diags Raw Data'!$AA$6:$AA$3664))</f>
        <v>0</v>
      </c>
      <c r="R74" s="425">
        <f t="shared" ref="R74:R85" si="34">IF((J74=0),0,P74/J74)</f>
        <v>0</v>
      </c>
      <c r="S74" s="425">
        <f t="shared" ref="S74:S85" si="35">IF((P74=0),0,Q74/P74)</f>
        <v>0</v>
      </c>
      <c r="T74" s="426">
        <f t="shared" ref="T74:T85" si="36">R74*S74</f>
        <v>0</v>
      </c>
      <c r="U74" s="397" t="s">
        <v>489</v>
      </c>
      <c r="V74" s="170"/>
    </row>
    <row r="75" spans="1:22" ht="17.25" customHeight="1" thickBot="1" x14ac:dyDescent="0.3">
      <c r="A75" s="464" t="s">
        <v>410</v>
      </c>
      <c r="B75" s="346" t="str">
        <f>VLOOKUP(A75,'Feature Raw Data'!$A$3:$B$3940,2,FALSE)</f>
        <v>VPE DPM</v>
      </c>
      <c r="C75" s="293" t="str">
        <f>VLOOKUP(A75,'Feature Raw Data'!$A$3:$C$3940,3,FALSE)</f>
        <v>P2</v>
      </c>
      <c r="D75" s="82" t="str" cm="1">
        <f t="array" ref="D75">_xlfn.TEXTJOIN("",TRUE,IF(ISNUMBER(SEARCH($A75,'Diags Raw Data'!$A$6:$A$3664)),CONCATENATE('Diags Raw Data'!$H$6:$H$3664,", "),""))</f>
        <v/>
      </c>
      <c r="E75" s="304" t="s">
        <v>248</v>
      </c>
      <c r="F75" s="169" t="str">
        <f>VLOOKUP(A75,'Feature Raw Data'!$A$3:$E$3940,5,FALSE)</f>
        <v>Legacy</v>
      </c>
      <c r="G75" s="585" t="s">
        <v>31</v>
      </c>
      <c r="H75" s="585" t="s">
        <v>31</v>
      </c>
      <c r="I75" s="583">
        <f>SUMIF('Diags Raw Data'!$A$6:$A$3664,"*"&amp;$A75&amp;"*",'Diags Raw Data'!$J$6:$J$3664)</f>
        <v>0</v>
      </c>
      <c r="J75" s="586">
        <v>1</v>
      </c>
      <c r="K75" s="418" cm="1">
        <f t="array" ref="K75">IF(D75="",0, SUMPRODUCT(--(ISNUMBER(SEARCH($A75,'Diags Raw Data'!$A$6:$A$3664))),'Diags Raw Data'!$K$6:$K$3664,'Diags Raw Data'!$M$6:$M$3664)/J75)</f>
        <v>0</v>
      </c>
      <c r="L75" s="419" cm="1">
        <f t="array" ref="L75">IF(D75="",0, SUMPRODUCT(--(ISNUMBER(SEARCH($A75,'Diags Raw Data'!$A$6:$A$3664))),'Diags Raw Data'!$K$6:$K$3664,'Diags Raw Data'!$O$6:$O$3664)/J75)</f>
        <v>0</v>
      </c>
      <c r="M75" s="420" cm="1">
        <f t="array" ref="M75">SUMPRODUCT(--(ISNUMBER(SEARCH($A75,'Diags Raw Data'!$A$6:$A$3664))),--('Diags Raw Data'!$P$6:$P$3664&lt;&gt;"N/A"),'Diags Raw Data'!$S$6:$S$3664)+SUMPRODUCT(--(ISNUMBER(SEARCH($A75,'Diags Raw Data'!$A$6:$A$3664))),--('Diags Raw Data'!$P$6:$P$3664&lt;&gt;"N/A"),'Diags Raw Data'!$T$6:$T$3664)</f>
        <v>0</v>
      </c>
      <c r="N75" s="421" cm="1">
        <f t="array" ref="N75">SUMPRODUCT(--(ISNUMBER(SEARCH($A75,'Diags Raw Data'!$A$6:$A$3664))),--('Diags Raw Data'!$P$6:$P$3664&lt;&gt;"N/A"),'Diags Raw Data'!$S$6:$S$3664)+SUMPRODUCT(--(ISNUMBER(SEARCH($A75,'Diags Raw Data'!$A$6:$A$3664))),--('Diags Raw Data'!$P$6:$P$3664&lt;&gt;"N/A"),'Diags Raw Data'!$T$6:$T$3664)</f>
        <v>0</v>
      </c>
      <c r="O75" s="422">
        <f t="shared" si="33"/>
        <v>0</v>
      </c>
      <c r="P75" s="423">
        <v>1</v>
      </c>
      <c r="Q75" s="424">
        <v>1</v>
      </c>
      <c r="R75" s="425">
        <f t="shared" si="34"/>
        <v>1</v>
      </c>
      <c r="S75" s="425">
        <f t="shared" si="35"/>
        <v>1</v>
      </c>
      <c r="T75" s="426">
        <f t="shared" si="36"/>
        <v>1</v>
      </c>
      <c r="U75" s="397" t="s">
        <v>489</v>
      </c>
      <c r="V75" s="170"/>
    </row>
    <row r="76" spans="1:22" ht="15.75" thickBot="1" x14ac:dyDescent="0.3">
      <c r="A76" s="464" t="s">
        <v>412</v>
      </c>
      <c r="B76" s="346" t="str">
        <f>VLOOKUP(A76,'Feature Raw Data'!$A$3:$B$3940,2,FALSE)</f>
        <v>Per-CCX PC6</v>
      </c>
      <c r="C76" s="293" t="str">
        <f>VLOOKUP(A76,'Feature Raw Data'!$A$3:$C$3940,3,FALSE)</f>
        <v>P2</v>
      </c>
      <c r="D76" s="82" t="str" cm="1">
        <f t="array" ref="D76">_xlfn.TEXTJOIN("",TRUE,IF(ISNUMBER(SEARCH($A76,'Diags Raw Data'!$A$6:$A$3664)),CONCATENATE('Diags Raw Data'!$H$6:$H$3664,", "),""))</f>
        <v/>
      </c>
      <c r="E76" s="304" t="s">
        <v>248</v>
      </c>
      <c r="F76" s="169" t="str">
        <f>VLOOKUP(A76,'Feature Raw Data'!$A$3:$E$3940,5,FALSE)</f>
        <v>Legacy</v>
      </c>
      <c r="G76" s="585" t="s">
        <v>31</v>
      </c>
      <c r="H76" s="585" t="s">
        <v>31</v>
      </c>
      <c r="I76" s="583">
        <f>SUMIF('Diags Raw Data'!$A$6:$A$3664,"*"&amp;$A76&amp;"*",'Diags Raw Data'!$J$6:$J$3664)</f>
        <v>0</v>
      </c>
      <c r="J76" s="586">
        <v>1</v>
      </c>
      <c r="K76" s="418" cm="1">
        <f t="array" ref="K76">IF(D76="",0, SUMPRODUCT(--(ISNUMBER(SEARCH($A76,'Diags Raw Data'!$A$6:$A$3664))),'Diags Raw Data'!$K$6:$K$3664,'Diags Raw Data'!$M$6:$M$3664)/J76)</f>
        <v>0</v>
      </c>
      <c r="L76" s="419" cm="1">
        <f t="array" ref="L76">IF(D76="",0, SUMPRODUCT(--(ISNUMBER(SEARCH($A76,'Diags Raw Data'!$A$6:$A$3664))),'Diags Raw Data'!$K$6:$K$3664,'Diags Raw Data'!$O$6:$O$3664)/J76)</f>
        <v>0</v>
      </c>
      <c r="M76" s="420"/>
      <c r="N76" s="421" cm="1">
        <f t="array" ref="N76">SUMPRODUCT(--(ISNUMBER(SEARCH($A76,'Diags Raw Data'!$A$6:$A$3664))),--('Diags Raw Data'!$P$6:$P$3664&lt;&gt;"N/A"),'Diags Raw Data'!$S$6:$S$3664)+SUMPRODUCT(--(ISNUMBER(SEARCH($A76,'Diags Raw Data'!$A$6:$A$3664))),--('Diags Raw Data'!$P$6:$P$3664&lt;&gt;"N/A"),'Diags Raw Data'!$T$6:$T$3664)</f>
        <v>0</v>
      </c>
      <c r="O76" s="422">
        <f t="shared" si="33"/>
        <v>0</v>
      </c>
      <c r="P76" s="423">
        <v>1</v>
      </c>
      <c r="Q76" s="424">
        <v>1</v>
      </c>
      <c r="R76" s="425">
        <f t="shared" si="34"/>
        <v>1</v>
      </c>
      <c r="S76" s="425">
        <f t="shared" si="35"/>
        <v>1</v>
      </c>
      <c r="T76" s="426">
        <f t="shared" si="36"/>
        <v>1</v>
      </c>
      <c r="U76" s="397" t="s">
        <v>489</v>
      </c>
      <c r="V76" s="170"/>
    </row>
    <row r="77" spans="1:22" ht="15.75" thickBot="1" x14ac:dyDescent="0.3">
      <c r="A77" s="464" t="s">
        <v>414</v>
      </c>
      <c r="B77" s="346" t="str">
        <f>VLOOKUP(A77,'Feature Raw Data'!$A$3:$B$3940,2,FALSE)</f>
        <v>Fast GFXOFF</v>
      </c>
      <c r="C77" s="293" t="str">
        <f>VLOOKUP(A77,'Feature Raw Data'!$A$3:$C$3940,3,FALSE)</f>
        <v>P2</v>
      </c>
      <c r="D77" s="82" t="str" cm="1">
        <f t="array" ref="D77">_xlfn.TEXTJOIN("",TRUE,IF(ISNUMBER(SEARCH($A77,'Diags Raw Data'!$A$6:$A$3664)),CONCATENATE('Diags Raw Data'!$H$6:$H$3664,", "),""))</f>
        <v xml:space="preserve">PM80.12.3, </v>
      </c>
      <c r="E77" s="304" t="s">
        <v>248</v>
      </c>
      <c r="F77" s="169" t="str">
        <f>VLOOKUP(A77,'Feature Raw Data'!$A$3:$E$3940,5,FALSE)</f>
        <v>Legacy</v>
      </c>
      <c r="G77" s="585" t="s">
        <v>31</v>
      </c>
      <c r="H77" s="585" t="s">
        <v>31</v>
      </c>
      <c r="I77" s="583">
        <f>SUMIF('Diags Raw Data'!$A$6:$A$3664,"*"&amp;$A77&amp;"*",'Diags Raw Data'!$J$6:$J$3664)</f>
        <v>1</v>
      </c>
      <c r="J77" s="586">
        <v>1</v>
      </c>
      <c r="K77" s="418" cm="1">
        <f t="array" ref="K77">IF(D77="",0, SUMPRODUCT(--(ISNUMBER(SEARCH($A77,'Diags Raw Data'!$A$6:$A$3664))),'Diags Raw Data'!$K$6:$K$3664,'Diags Raw Data'!$M$6:$M$3664)/J77)</f>
        <v>1</v>
      </c>
      <c r="L77" s="419" cm="1">
        <f t="array" ref="L77">IF(D77="",0, SUMPRODUCT(--(ISNUMBER(SEARCH($A77,'Diags Raw Data'!$A$6:$A$3664))),'Diags Raw Data'!$K$6:$K$3664,'Diags Raw Data'!$O$6:$O$3664)/J77)</f>
        <v>0.6</v>
      </c>
      <c r="M77" s="420"/>
      <c r="N77" s="421" cm="1">
        <f t="array" ref="N77">SUMPRODUCT(--(ISNUMBER(SEARCH($A77,'Diags Raw Data'!$A$6:$A$3664))),--('Diags Raw Data'!$P$6:$P$3664&lt;&gt;"N/A"),'Diags Raw Data'!$S$6:$S$3664)+SUMPRODUCT(--(ISNUMBER(SEARCH($A77,'Diags Raw Data'!$A$6:$A$3664))),--('Diags Raw Data'!$P$6:$P$3664&lt;&gt;"N/A"),'Diags Raw Data'!$T$6:$T$3664)</f>
        <v>0</v>
      </c>
      <c r="O77" s="422">
        <f t="shared" si="33"/>
        <v>0</v>
      </c>
      <c r="P77" s="423">
        <v>1</v>
      </c>
      <c r="Q77" s="424">
        <v>1</v>
      </c>
      <c r="R77" s="425">
        <f t="shared" si="34"/>
        <v>1</v>
      </c>
      <c r="S77" s="425">
        <f t="shared" si="35"/>
        <v>1</v>
      </c>
      <c r="T77" s="426">
        <f t="shared" si="36"/>
        <v>1</v>
      </c>
      <c r="U77" s="397" t="s">
        <v>489</v>
      </c>
      <c r="V77" s="170"/>
    </row>
    <row r="78" spans="1:22" ht="15.75" thickBot="1" x14ac:dyDescent="0.3">
      <c r="A78" s="464" t="s">
        <v>416</v>
      </c>
      <c r="B78" s="346" t="str">
        <f>VLOOKUP(A78,'Feature Raw Data'!$A$3:$B$3940,2,FALSE)</f>
        <v>VDDOFF Dense CCX</v>
      </c>
      <c r="C78" s="293" t="str">
        <f>VLOOKUP(A78,'Feature Raw Data'!$A$3:$C$3940,3,FALSE)</f>
        <v>P2</v>
      </c>
      <c r="D78" s="82" t="str" cm="1">
        <f t="array" ref="D78">_xlfn.TEXTJOIN("",TRUE,IF(ISNUMBER(SEARCH($A78,'Diags Raw Data'!$A$6:$A$3664)),CONCATENATE('Diags Raw Data'!$H$6:$H$3664,", "),""))</f>
        <v xml:space="preserve">PMxx.xx, </v>
      </c>
      <c r="E78" s="304" t="s">
        <v>248</v>
      </c>
      <c r="F78" s="169" t="str">
        <f>VLOOKUP(A78,'Feature Raw Data'!$A$3:$E$3940,5,FALSE)</f>
        <v>Legacy</v>
      </c>
      <c r="G78" s="585" t="s">
        <v>31</v>
      </c>
      <c r="H78" s="585" t="s">
        <v>31</v>
      </c>
      <c r="I78" s="583">
        <f>SUMIF('Diags Raw Data'!$A$6:$A$3664,"*"&amp;$A78&amp;"*",'Diags Raw Data'!$J$6:$J$3664)</f>
        <v>1</v>
      </c>
      <c r="J78" s="586">
        <v>1</v>
      </c>
      <c r="K78" s="418" cm="1">
        <f t="array" ref="K78">IF(D78="",0, SUMPRODUCT(--(ISNUMBER(SEARCH($A78,'Diags Raw Data'!$A$6:$A$3664))),'Diags Raw Data'!$K$6:$K$3664,'Diags Raw Data'!$M$6:$M$3664)/J78)</f>
        <v>1</v>
      </c>
      <c r="L78" s="419" cm="1">
        <f t="array" ref="L78">IF(D78="",0, SUMPRODUCT(--(ISNUMBER(SEARCH($A78,'Diags Raw Data'!$A$6:$A$3664))),'Diags Raw Data'!$K$6:$K$3664,'Diags Raw Data'!$O$6:$O$3664)/J78)</f>
        <v>0.6</v>
      </c>
      <c r="M78" s="420"/>
      <c r="N78" s="421" cm="1">
        <f t="array" ref="N78">SUMPRODUCT(--(ISNUMBER(SEARCH($A78,'Diags Raw Data'!$A$6:$A$3664))),--('Diags Raw Data'!$P$6:$P$3664&lt;&gt;"N/A"),'Diags Raw Data'!$S$6:$S$3664)+SUMPRODUCT(--(ISNUMBER(SEARCH($A78,'Diags Raw Data'!$A$6:$A$3664))),--('Diags Raw Data'!$P$6:$P$3664&lt;&gt;"N/A"),'Diags Raw Data'!$T$6:$T$3664)</f>
        <v>0</v>
      </c>
      <c r="O78" s="422">
        <f t="shared" si="33"/>
        <v>0</v>
      </c>
      <c r="P78" s="423">
        <f>SUMIF('Diags Raw Data'!$A$6:$A$3664,"*"&amp;$A78&amp;"*",'Diags Raw Data'!$Y$6:$Y$3664)</f>
        <v>0</v>
      </c>
      <c r="Q78" s="424">
        <f>SUM(SUMIF('Diags Raw Data'!$A$6:$A$3664,"*"&amp;$A78&amp;"*",'Diags Raw Data'!$Z$6:$Z$3664),SUMIF('Diags Raw Data'!$A$6:$A$3664,"*"&amp;$A78&amp;"*",'Diags Raw Data'!$AA$6:$AA$3664))</f>
        <v>0</v>
      </c>
      <c r="R78" s="425">
        <f t="shared" si="34"/>
        <v>0</v>
      </c>
      <c r="S78" s="425">
        <f t="shared" si="35"/>
        <v>0</v>
      </c>
      <c r="T78" s="426">
        <f t="shared" si="36"/>
        <v>0</v>
      </c>
      <c r="U78" s="397" t="s">
        <v>489</v>
      </c>
      <c r="V78" s="170"/>
    </row>
    <row r="79" spans="1:22" ht="15.75" thickBot="1" x14ac:dyDescent="0.3">
      <c r="A79" s="464" t="s">
        <v>418</v>
      </c>
      <c r="B79" s="346" t="str">
        <f>VLOOKUP(A79,'Feature Raw Data'!$A$3:$B$3940,2,FALSE)</f>
        <v>VPE On/Off</v>
      </c>
      <c r="C79" s="293" t="str">
        <f>VLOOKUP(A79,'Feature Raw Data'!$A$3:$C$3940,3,FALSE)</f>
        <v>P2</v>
      </c>
      <c r="D79" s="82" t="str" cm="1">
        <f t="array" ref="D79">_xlfn.TEXTJOIN("",TRUE,IF(ISNUMBER(SEARCH($A79,'Diags Raw Data'!$A$6:$A$3664)),CONCATENATE('Diags Raw Data'!$H$6:$H$3664,", "),""))</f>
        <v xml:space="preserve">PM041.961, PM041.962, </v>
      </c>
      <c r="E79" s="304" t="s">
        <v>248</v>
      </c>
      <c r="F79" s="169" t="str">
        <f>VLOOKUP(A79,'Feature Raw Data'!$A$3:$E$3940,5,FALSE)</f>
        <v>Legacy</v>
      </c>
      <c r="G79" s="585" t="s">
        <v>31</v>
      </c>
      <c r="H79" s="585" t="s">
        <v>31</v>
      </c>
      <c r="I79" s="583">
        <f>SUMIF('Diags Raw Data'!$A$6:$A$3664,"*"&amp;$A79&amp;"*",'Diags Raw Data'!$J$6:$J$3664)</f>
        <v>2</v>
      </c>
      <c r="J79" s="586">
        <v>1</v>
      </c>
      <c r="K79" s="418" cm="1">
        <f t="array" ref="K79">IF(D79="",0, SUMPRODUCT(--(ISNUMBER(SEARCH($A79,'Diags Raw Data'!$A$6:$A$3664))),'Diags Raw Data'!$K$6:$K$3664,'Diags Raw Data'!$M$6:$M$3664)/J79)</f>
        <v>2</v>
      </c>
      <c r="L79" s="419" cm="1">
        <f t="array" ref="L79">IF(D79="",0, SUMPRODUCT(--(ISNUMBER(SEARCH($A79,'Diags Raw Data'!$A$6:$A$3664))),'Diags Raw Data'!$K$6:$K$3664,'Diags Raw Data'!$O$6:$O$3664)/J79)</f>
        <v>1.2</v>
      </c>
      <c r="M79" s="420"/>
      <c r="N79" s="421" cm="1">
        <f t="array" ref="N79">SUMPRODUCT(--(ISNUMBER(SEARCH($A79,'Diags Raw Data'!$A$6:$A$3664))),--('Diags Raw Data'!$P$6:$P$3664&lt;&gt;"N/A"),'Diags Raw Data'!$S$6:$S$3664)+SUMPRODUCT(--(ISNUMBER(SEARCH($A79,'Diags Raw Data'!$A$6:$A$3664))),--('Diags Raw Data'!$P$6:$P$3664&lt;&gt;"N/A"),'Diags Raw Data'!$T$6:$T$3664)</f>
        <v>0</v>
      </c>
      <c r="O79" s="422">
        <f t="shared" si="33"/>
        <v>0</v>
      </c>
      <c r="P79" s="423">
        <f>SUMIF('Diags Raw Data'!$A$6:$A$3664,"*"&amp;$A79&amp;"*",'Diags Raw Data'!$Y$6:$Y$3664)</f>
        <v>0</v>
      </c>
      <c r="Q79" s="424">
        <f>SUM(SUMIF('Diags Raw Data'!$A$6:$A$3664,"*"&amp;$A79&amp;"*",'Diags Raw Data'!$Z$6:$Z$3664),SUMIF('Diags Raw Data'!$A$6:$A$3664,"*"&amp;$A79&amp;"*",'Diags Raw Data'!$AA$6:$AA$3664))</f>
        <v>0</v>
      </c>
      <c r="R79" s="425">
        <f t="shared" si="34"/>
        <v>0</v>
      </c>
      <c r="S79" s="425">
        <f t="shared" si="35"/>
        <v>0</v>
      </c>
      <c r="T79" s="426">
        <f t="shared" si="36"/>
        <v>0</v>
      </c>
      <c r="U79" s="397" t="s">
        <v>489</v>
      </c>
      <c r="V79" s="170"/>
    </row>
    <row r="80" spans="1:22" ht="15.75" thickBot="1" x14ac:dyDescent="0.3">
      <c r="A80" s="464" t="s">
        <v>420</v>
      </c>
      <c r="B80" s="346" t="str">
        <f>VLOOKUP(A80,'Feature Raw Data'!$A$3:$B$3940,2,FALSE)</f>
        <v>Power gate/ungate DPIA</v>
      </c>
      <c r="C80" s="293" t="str">
        <f>VLOOKUP(A80,'Feature Raw Data'!$A$3:$C$3940,3,FALSE)</f>
        <v>P2</v>
      </c>
      <c r="D80" s="82" t="str" cm="1">
        <f t="array" ref="D80">_xlfn.TEXTJOIN("",TRUE,IF(ISNUMBER(SEARCH($A80,'Diags Raw Data'!$A$6:$A$3664)),CONCATENATE('Diags Raw Data'!$H$6:$H$3664,", "),""))</f>
        <v xml:space="preserve">PM041.963, PM041.964, </v>
      </c>
      <c r="E80" s="304" t="s">
        <v>248</v>
      </c>
      <c r="F80" s="169" t="str">
        <f>VLOOKUP(A80,'Feature Raw Data'!$A$3:$E$3940,5,FALSE)</f>
        <v>Legacy</v>
      </c>
      <c r="G80" s="585" t="s">
        <v>31</v>
      </c>
      <c r="H80" s="585" t="s">
        <v>31</v>
      </c>
      <c r="I80" s="583">
        <f>SUMIF('Diags Raw Data'!$A$6:$A$3664,"*"&amp;$A80&amp;"*",'Diags Raw Data'!$J$6:$J$3664)</f>
        <v>2</v>
      </c>
      <c r="J80" s="586">
        <v>1</v>
      </c>
      <c r="K80" s="418" cm="1">
        <f t="array" ref="K80">IF(D80="",0, SUMPRODUCT(--(ISNUMBER(SEARCH($A80,'Diags Raw Data'!$A$6:$A$3664))),'Diags Raw Data'!$K$6:$K$3664,'Diags Raw Data'!$M$6:$M$3664)/J80)</f>
        <v>2</v>
      </c>
      <c r="L80" s="419" cm="1">
        <f t="array" ref="L80">IF(D80="",0, SUMPRODUCT(--(ISNUMBER(SEARCH($A80,'Diags Raw Data'!$A$6:$A$3664))),'Diags Raw Data'!$K$6:$K$3664,'Diags Raw Data'!$O$6:$O$3664)/J80)</f>
        <v>1.2</v>
      </c>
      <c r="M80" s="420"/>
      <c r="N80" s="421" cm="1">
        <f t="array" ref="N80">SUMPRODUCT(--(ISNUMBER(SEARCH($A80,'Diags Raw Data'!$A$6:$A$3664))),--('Diags Raw Data'!$P$6:$P$3664&lt;&gt;"N/A"),'Diags Raw Data'!$S$6:$S$3664)+SUMPRODUCT(--(ISNUMBER(SEARCH($A80,'Diags Raw Data'!$A$6:$A$3664))),--('Diags Raw Data'!$P$6:$P$3664&lt;&gt;"N/A"),'Diags Raw Data'!$T$6:$T$3664)</f>
        <v>0</v>
      </c>
      <c r="O80" s="422">
        <f t="shared" si="33"/>
        <v>0</v>
      </c>
      <c r="P80" s="423">
        <f>SUMIF('Diags Raw Data'!$A$6:$A$3664,"*"&amp;$A80&amp;"*",'Diags Raw Data'!$Y$6:$Y$3664)</f>
        <v>0</v>
      </c>
      <c r="Q80" s="424">
        <f>SUM(SUMIF('Diags Raw Data'!$A$6:$A$3664,"*"&amp;$A80&amp;"*",'Diags Raw Data'!$Z$6:$Z$3664),SUMIF('Diags Raw Data'!$A$6:$A$3664,"*"&amp;$A80&amp;"*",'Diags Raw Data'!$AA$6:$AA$3664))</f>
        <v>0</v>
      </c>
      <c r="R80" s="425">
        <f t="shared" si="34"/>
        <v>0</v>
      </c>
      <c r="S80" s="425">
        <f t="shared" si="35"/>
        <v>0</v>
      </c>
      <c r="T80" s="426">
        <f t="shared" si="36"/>
        <v>0</v>
      </c>
      <c r="U80" s="397" t="s">
        <v>489</v>
      </c>
      <c r="V80" s="170"/>
    </row>
    <row r="81" spans="1:22" ht="15.75" thickBot="1" x14ac:dyDescent="0.3">
      <c r="A81" s="464" t="s">
        <v>422</v>
      </c>
      <c r="B81" s="346" t="str">
        <f>VLOOKUP(A81,'Feature Raw Data'!$A$3:$B$3940,2,FALSE)</f>
        <v>Power gate/ungate LSDMA</v>
      </c>
      <c r="C81" s="293" t="str">
        <f>VLOOKUP(A81,'Feature Raw Data'!$A$3:$C$3940,3,FALSE)</f>
        <v>P2</v>
      </c>
      <c r="D81" s="82" t="str" cm="1">
        <f t="array" ref="D81">_xlfn.TEXTJOIN("",TRUE,IF(ISNUMBER(SEARCH($A81,'Diags Raw Data'!$A$6:$A$3664)),CONCATENATE('Diags Raw Data'!$H$6:$H$3664,", "),""))</f>
        <v xml:space="preserve">PM041.965, PM041.966, </v>
      </c>
      <c r="E81" s="304" t="s">
        <v>248</v>
      </c>
      <c r="F81" s="169" t="str">
        <f>VLOOKUP(A81,'Feature Raw Data'!$A$3:$E$3940,5,FALSE)</f>
        <v>Legacy</v>
      </c>
      <c r="G81" s="585" t="s">
        <v>31</v>
      </c>
      <c r="H81" s="585" t="s">
        <v>31</v>
      </c>
      <c r="I81" s="583">
        <f>SUMIF('Diags Raw Data'!$A$6:$A$3664,"*"&amp;$A81&amp;"*",'Diags Raw Data'!$J$6:$J$3664)</f>
        <v>2</v>
      </c>
      <c r="J81" s="586">
        <v>1</v>
      </c>
      <c r="K81" s="418" cm="1">
        <f t="array" ref="K81">IF(D81="",0, SUMPRODUCT(--(ISNUMBER(SEARCH($A81,'Diags Raw Data'!$A$6:$A$3664))),'Diags Raw Data'!$K$6:$K$3664,'Diags Raw Data'!$M$6:$M$3664)/J81)</f>
        <v>2</v>
      </c>
      <c r="L81" s="419" cm="1">
        <f t="array" ref="L81">IF(D81="",0, SUMPRODUCT(--(ISNUMBER(SEARCH($A81,'Diags Raw Data'!$A$6:$A$3664))),'Diags Raw Data'!$K$6:$K$3664,'Diags Raw Data'!$O$6:$O$3664)/J81)</f>
        <v>1.2</v>
      </c>
      <c r="M81" s="420"/>
      <c r="N81" s="421" cm="1">
        <f t="array" ref="N81">SUMPRODUCT(--(ISNUMBER(SEARCH($A81,'Diags Raw Data'!$A$6:$A$3664))),--('Diags Raw Data'!$P$6:$P$3664&lt;&gt;"N/A"),'Diags Raw Data'!$S$6:$S$3664)+SUMPRODUCT(--(ISNUMBER(SEARCH($A81,'Diags Raw Data'!$A$6:$A$3664))),--('Diags Raw Data'!$P$6:$P$3664&lt;&gt;"N/A"),'Diags Raw Data'!$T$6:$T$3664)</f>
        <v>0</v>
      </c>
      <c r="O81" s="422">
        <f t="shared" si="33"/>
        <v>0</v>
      </c>
      <c r="P81" s="423">
        <f>SUMIF('Diags Raw Data'!$A$6:$A$3664,"*"&amp;$A81&amp;"*",'Diags Raw Data'!$Y$6:$Y$3664)</f>
        <v>0</v>
      </c>
      <c r="Q81" s="424">
        <f>SUM(SUMIF('Diags Raw Data'!$A$6:$A$3664,"*"&amp;$A81&amp;"*",'Diags Raw Data'!$Z$6:$Z$3664),SUMIF('Diags Raw Data'!$A$6:$A$3664,"*"&amp;$A81&amp;"*",'Diags Raw Data'!$AA$6:$AA$3664))</f>
        <v>0</v>
      </c>
      <c r="R81" s="425">
        <f t="shared" si="34"/>
        <v>0</v>
      </c>
      <c r="S81" s="425">
        <f t="shared" si="35"/>
        <v>0</v>
      </c>
      <c r="T81" s="426">
        <f t="shared" si="36"/>
        <v>0</v>
      </c>
      <c r="U81" s="397" t="s">
        <v>489</v>
      </c>
      <c r="V81" s="170"/>
    </row>
    <row r="82" spans="1:22" ht="15.75" thickBot="1" x14ac:dyDescent="0.3">
      <c r="A82" s="464" t="s">
        <v>424</v>
      </c>
      <c r="B82" s="346" t="str">
        <f>VLOOKUP(A82,'Feature Raw Data'!$A$3:$B$3940,2,FALSE)</f>
        <v>DFX power gating</v>
      </c>
      <c r="C82" s="293" t="str">
        <f>VLOOKUP(A82,'Feature Raw Data'!$A$3:$C$3940,3,FALSE)</f>
        <v>P2</v>
      </c>
      <c r="D82" s="82" t="str" cm="1">
        <f t="array" ref="D82">_xlfn.TEXTJOIN("",TRUE,IF(ISNUMBER(SEARCH($A82,'Diags Raw Data'!$A$6:$A$3664)),CONCATENATE('Diags Raw Data'!$H$6:$H$3664,", "),""))</f>
        <v xml:space="preserve">PM041.967, PM041.968, </v>
      </c>
      <c r="E82" s="304" t="s">
        <v>248</v>
      </c>
      <c r="F82" s="169" t="str">
        <f>VLOOKUP(A82,'Feature Raw Data'!$A$3:$E$3940,5,FALSE)</f>
        <v>Legacy</v>
      </c>
      <c r="G82" s="585" t="s">
        <v>31</v>
      </c>
      <c r="H82" s="585" t="s">
        <v>31</v>
      </c>
      <c r="I82" s="583">
        <f>SUMIF('Diags Raw Data'!$A$6:$A$3664,"*"&amp;$A82&amp;"*",'Diags Raw Data'!$J$6:$J$3664)</f>
        <v>2</v>
      </c>
      <c r="J82" s="586">
        <v>1</v>
      </c>
      <c r="K82" s="418" cm="1">
        <f t="array" ref="K82">IF(D82="",0, SUMPRODUCT(--(ISNUMBER(SEARCH($A82,'Diags Raw Data'!$A$6:$A$3664))),'Diags Raw Data'!$K$6:$K$3664,'Diags Raw Data'!$M$6:$M$3664)/J82)</f>
        <v>2</v>
      </c>
      <c r="L82" s="419" cm="1">
        <f t="array" ref="L82">IF(D82="",0, SUMPRODUCT(--(ISNUMBER(SEARCH($A82,'Diags Raw Data'!$A$6:$A$3664))),'Diags Raw Data'!$K$6:$K$3664,'Diags Raw Data'!$O$6:$O$3664)/J82)</f>
        <v>1.2</v>
      </c>
      <c r="M82" s="420"/>
      <c r="N82" s="421" cm="1">
        <f t="array" ref="N82">SUMPRODUCT(--(ISNUMBER(SEARCH($A82,'Diags Raw Data'!$A$6:$A$3664))),--('Diags Raw Data'!$P$6:$P$3664&lt;&gt;"N/A"),'Diags Raw Data'!$S$6:$S$3664)+SUMPRODUCT(--(ISNUMBER(SEARCH($A82,'Diags Raw Data'!$A$6:$A$3664))),--('Diags Raw Data'!$P$6:$P$3664&lt;&gt;"N/A"),'Diags Raw Data'!$T$6:$T$3664)</f>
        <v>0</v>
      </c>
      <c r="O82" s="422">
        <f t="shared" si="33"/>
        <v>0</v>
      </c>
      <c r="P82" s="423">
        <f>SUMIF('Diags Raw Data'!$A$6:$A$3664,"*"&amp;$A82&amp;"*",'Diags Raw Data'!$Y$6:$Y$3664)</f>
        <v>0</v>
      </c>
      <c r="Q82" s="424">
        <f>SUM(SUMIF('Diags Raw Data'!$A$6:$A$3664,"*"&amp;$A82&amp;"*",'Diags Raw Data'!$Z$6:$Z$3664),SUMIF('Diags Raw Data'!$A$6:$A$3664,"*"&amp;$A82&amp;"*",'Diags Raw Data'!$AA$6:$AA$3664))</f>
        <v>0</v>
      </c>
      <c r="R82" s="425">
        <f t="shared" si="34"/>
        <v>0</v>
      </c>
      <c r="S82" s="425">
        <f t="shared" si="35"/>
        <v>0</v>
      </c>
      <c r="T82" s="426">
        <f t="shared" si="36"/>
        <v>0</v>
      </c>
      <c r="U82" s="397" t="s">
        <v>489</v>
      </c>
      <c r="V82" s="170"/>
    </row>
    <row r="83" spans="1:22" ht="15.75" thickBot="1" x14ac:dyDescent="0.3">
      <c r="A83" s="566" t="s">
        <v>428</v>
      </c>
      <c r="B83" s="346" t="str">
        <f>VLOOKUP(A83,'Feature Raw Data'!$A$3:$B$3940,2,FALSE)</f>
        <v>Power gate/ungate VCN</v>
      </c>
      <c r="C83" s="293" t="str">
        <f>VLOOKUP(A83,'Feature Raw Data'!$A$3:$C$3940,3,FALSE)</f>
        <v>P2</v>
      </c>
      <c r="D83" s="82" t="str" cm="1">
        <f t="array" ref="D83">_xlfn.TEXTJOIN("",TRUE,IF(ISNUMBER(SEARCH($A83,'Diags Raw Data'!$A$6:$A$3664)),CONCATENATE('Diags Raw Data'!$H$6:$H$3664,", "),""))</f>
        <v xml:space="preserve">PM041.969, PM041.970, </v>
      </c>
      <c r="E83" s="304" t="s">
        <v>248</v>
      </c>
      <c r="F83" s="169" t="str">
        <f>VLOOKUP(A83,'Feature Raw Data'!$A$3:$E$3940,5,FALSE)</f>
        <v>Legacy</v>
      </c>
      <c r="G83" s="585" t="s">
        <v>31</v>
      </c>
      <c r="H83" s="585" t="s">
        <v>31</v>
      </c>
      <c r="I83" s="583">
        <f>SUMIF('Diags Raw Data'!$A$6:$A$3664,"*"&amp;$A83&amp;"*",'Diags Raw Data'!$J$6:$J$3664)</f>
        <v>2</v>
      </c>
      <c r="J83" s="586">
        <v>1</v>
      </c>
      <c r="K83" s="418" cm="1">
        <f t="array" ref="K83">IF(D83="",0, SUMPRODUCT(--(ISNUMBER(SEARCH($A83,'Diags Raw Data'!$A$6:$A$3664))),'Diags Raw Data'!$K$6:$K$3664,'Diags Raw Data'!$M$6:$M$3664)/J83)</f>
        <v>2</v>
      </c>
      <c r="L83" s="419" cm="1">
        <f t="array" ref="L83">IF(D83="",0, SUMPRODUCT(--(ISNUMBER(SEARCH($A83,'Diags Raw Data'!$A$6:$A$3664))),'Diags Raw Data'!$K$6:$K$3664,'Diags Raw Data'!$O$6:$O$3664)/J83)</f>
        <v>1.2</v>
      </c>
      <c r="M83" s="597">
        <f t="shared" ref="M83" si="37">IF((K83=0),0,L83/K83)</f>
        <v>0.6</v>
      </c>
      <c r="N83" s="421" cm="1">
        <f t="array" ref="N83">SUMPRODUCT(--(ISNUMBER(SEARCH($A83,'Diags Raw Data'!$A$6:$A$3664))),--('Diags Raw Data'!$P$6:$P$3664&lt;&gt;"N/A"),'Diags Raw Data'!$S$6:$S$3664)+SUMPRODUCT(--(ISNUMBER(SEARCH($A83,'Diags Raw Data'!$A$6:$A$3664))),--('Diags Raw Data'!$P$6:$P$3664&lt;&gt;"N/A"),'Diags Raw Data'!$T$6:$T$3664)</f>
        <v>0</v>
      </c>
      <c r="O83" s="422">
        <f t="shared" si="33"/>
        <v>0</v>
      </c>
      <c r="P83" s="423">
        <f>SUMIF('Diags Raw Data'!$A$6:$A$3664,"*"&amp;$A83&amp;"*",'Diags Raw Data'!$Y$6:$Y$3664)</f>
        <v>0</v>
      </c>
      <c r="Q83" s="424">
        <f>SUM(SUMIF('Diags Raw Data'!$A$6:$A$3664,"*"&amp;$A83&amp;"*",'Diags Raw Data'!$Z$6:$Z$3664),SUMIF('Diags Raw Data'!$A$6:$A$3664,"*"&amp;$A83&amp;"*",'Diags Raw Data'!$AA$6:$AA$3664))</f>
        <v>0</v>
      </c>
      <c r="R83" s="425">
        <f t="shared" si="34"/>
        <v>0</v>
      </c>
      <c r="S83" s="425">
        <f t="shared" si="35"/>
        <v>0</v>
      </c>
      <c r="T83" s="426">
        <f t="shared" si="36"/>
        <v>0</v>
      </c>
      <c r="U83" s="397" t="s">
        <v>489</v>
      </c>
      <c r="V83" s="170"/>
    </row>
    <row r="84" spans="1:22" ht="15.75" thickBot="1" x14ac:dyDescent="0.3">
      <c r="A84" s="566" t="s">
        <v>430</v>
      </c>
      <c r="B84" s="346" t="str">
        <f>VLOOKUP(A84,'Feature Raw Data'!$A$3:$B$3940,2,FALSE)</f>
        <v>Dense C1e state support</v>
      </c>
      <c r="C84" s="293" t="str">
        <f>VLOOKUP(A84,'Feature Raw Data'!$A$3:$C$3940,3,FALSE)</f>
        <v>P2</v>
      </c>
      <c r="D84" s="82" t="str" cm="1">
        <f t="array" ref="D84">_xlfn.TEXTJOIN("",TRUE,IF(ISNUMBER(SEARCH($A84,'Diags Raw Data'!$A$6:$A$3664)),CONCATENATE('Diags Raw Data'!$H$6:$H$3664,", "),""))</f>
        <v xml:space="preserve">pm004.011, </v>
      </c>
      <c r="E84" s="304" t="s">
        <v>248</v>
      </c>
      <c r="F84" s="169" t="str">
        <f>VLOOKUP(A84,'Feature Raw Data'!$A$3:$E$3940,5,FALSE)</f>
        <v>Legacy</v>
      </c>
      <c r="G84" s="585" t="s">
        <v>31</v>
      </c>
      <c r="H84" s="585" t="s">
        <v>31</v>
      </c>
      <c r="I84" s="583">
        <f>SUMIF('Diags Raw Data'!$A$6:$A$3664,"*"&amp;$A84&amp;"*",'Diags Raw Data'!$J$6:$J$3664)</f>
        <v>1</v>
      </c>
      <c r="J84" s="586">
        <v>1</v>
      </c>
      <c r="K84" s="418" cm="1">
        <f t="array" ref="K84">IF(D84="",0, SUMPRODUCT(--(ISNUMBER(SEARCH($A84,'Diags Raw Data'!$A$6:$A$3664))),'Diags Raw Data'!$K$6:$K$3664,'Diags Raw Data'!$M$6:$M$3664)/J84)</f>
        <v>1</v>
      </c>
      <c r="L84" s="419" cm="1">
        <f t="array" ref="L84">IF(D84="",0, SUMPRODUCT(--(ISNUMBER(SEARCH($A84,'Diags Raw Data'!$A$6:$A$3664))),'Diags Raw Data'!$K$6:$K$3664,'Diags Raw Data'!$O$6:$O$3664)/J84)</f>
        <v>0.6</v>
      </c>
      <c r="M84" s="420"/>
      <c r="N84" s="421" cm="1">
        <f t="array" ref="N84">SUMPRODUCT(--(ISNUMBER(SEARCH($A84,'Diags Raw Data'!$A$6:$A$3664))),--('Diags Raw Data'!$P$6:$P$3664&lt;&gt;"N/A"),'Diags Raw Data'!$S$6:$S$3664)+SUMPRODUCT(--(ISNUMBER(SEARCH($A84,'Diags Raw Data'!$A$6:$A$3664))),--('Diags Raw Data'!$P$6:$P$3664&lt;&gt;"N/A"),'Diags Raw Data'!$T$6:$T$3664)</f>
        <v>0</v>
      </c>
      <c r="O84" s="422">
        <f t="shared" si="33"/>
        <v>0</v>
      </c>
      <c r="P84" s="423">
        <f>SUMIF('Diags Raw Data'!$A$6:$A$3664,"*"&amp;$A84&amp;"*",'Diags Raw Data'!$Y$6:$Y$3664)</f>
        <v>0</v>
      </c>
      <c r="Q84" s="424">
        <f>SUM(SUMIF('Diags Raw Data'!$A$6:$A$3664,"*"&amp;$A84&amp;"*",'Diags Raw Data'!$Z$6:$Z$3664),SUMIF('Diags Raw Data'!$A$6:$A$3664,"*"&amp;$A84&amp;"*",'Diags Raw Data'!$AA$6:$AA$3664))</f>
        <v>0</v>
      </c>
      <c r="R84" s="425">
        <f t="shared" si="34"/>
        <v>0</v>
      </c>
      <c r="S84" s="425">
        <f t="shared" si="35"/>
        <v>0</v>
      </c>
      <c r="T84" s="426">
        <f t="shared" si="36"/>
        <v>0</v>
      </c>
      <c r="U84" s="397" t="s">
        <v>489</v>
      </c>
      <c r="V84" s="170"/>
    </row>
    <row r="85" spans="1:22" ht="15.75" thickBot="1" x14ac:dyDescent="0.3">
      <c r="A85" s="464" t="s">
        <v>408</v>
      </c>
      <c r="B85" s="346" t="str">
        <f>VLOOKUP(A85,'Feature Raw Data'!$A$3:$B$3940,2,FALSE)</f>
        <v>IPUCLK DPM</v>
      </c>
      <c r="C85" s="293" t="str">
        <f>VLOOKUP(A85,'Feature Raw Data'!$A$3:$C$3940,3,FALSE)</f>
        <v>P2</v>
      </c>
      <c r="D85" s="82" t="str" cm="1">
        <f t="array" ref="D85">_xlfn.TEXTJOIN("",TRUE,IF(ISNUMBER(SEARCH($A85,'Diags Raw Data'!$A$6:$A$3664)),CONCATENATE('Diags Raw Data'!$H$6:$H$3664,", "),""))</f>
        <v xml:space="preserve">PM085.021, </v>
      </c>
      <c r="E85" s="304" t="s">
        <v>248</v>
      </c>
      <c r="F85" s="169" t="str">
        <f>VLOOKUP(A85,'Feature Raw Data'!$A$3:$E$3940,5,FALSE)</f>
        <v>Legacy</v>
      </c>
      <c r="G85" s="585" t="s">
        <v>31</v>
      </c>
      <c r="H85" s="585" t="s">
        <v>31</v>
      </c>
      <c r="I85" s="583">
        <f>SUMIF('Diags Raw Data'!$A$6:$A$3664,"*"&amp;$A85&amp;"*",'Diags Raw Data'!$J$6:$J$3664)</f>
        <v>1</v>
      </c>
      <c r="J85" s="586">
        <v>1</v>
      </c>
      <c r="K85" s="418" cm="1">
        <f t="array" ref="K85">IF(D85="",0, SUMPRODUCT(--(ISNUMBER(SEARCH($A85,'Diags Raw Data'!$A$6:$A$3664))),'Diags Raw Data'!$K$6:$K$3664,'Diags Raw Data'!$M$6:$M$3664)/J85)</f>
        <v>1</v>
      </c>
      <c r="L85" s="419" cm="1">
        <f t="array" ref="L85">IF(D85="",0, SUMPRODUCT(--(ISNUMBER(SEARCH($A85,'Diags Raw Data'!$A$6:$A$3664))),'Diags Raw Data'!$K$6:$K$3664,'Diags Raw Data'!$O$6:$O$3664)/J85)</f>
        <v>0.6</v>
      </c>
      <c r="M85" s="420" cm="1">
        <f t="array" ref="M85">SUMPRODUCT(--(ISNUMBER(SEARCH($A85,'Diags Raw Data'!$A$6:$A$3664))),--('Diags Raw Data'!$P$6:$P$3664&lt;&gt;"N/A"),'Diags Raw Data'!$S$6:$S$3664)+SUMPRODUCT(--(ISNUMBER(SEARCH($A85,'Diags Raw Data'!$A$6:$A$3664))),--('Diags Raw Data'!$P$6:$P$3664&lt;&gt;"N/A"),'Diags Raw Data'!$T$6:$T$3664)</f>
        <v>0</v>
      </c>
      <c r="N85" s="421" cm="1">
        <f t="array" ref="N85">SUMPRODUCT(--(ISNUMBER(SEARCH($A85,'Diags Raw Data'!$A$6:$A$3664))),--('Diags Raw Data'!$P$6:$P$3664&lt;&gt;"N/A"),'Diags Raw Data'!$S$6:$S$3664)+SUMPRODUCT(--(ISNUMBER(SEARCH($A85,'Diags Raw Data'!$A$6:$A$3664))),--('Diags Raw Data'!$P$6:$P$3664&lt;&gt;"N/A"),'Diags Raw Data'!$T$6:$T$3664)</f>
        <v>0</v>
      </c>
      <c r="O85" s="422">
        <f t="shared" si="33"/>
        <v>0</v>
      </c>
      <c r="P85" s="423">
        <f>SUMIF('Diags Raw Data'!$A$6:$A$3664,"*"&amp;$A85&amp;"*",'Diags Raw Data'!$Y$6:$Y$3664)</f>
        <v>0</v>
      </c>
      <c r="Q85" s="424">
        <f>SUM(SUMIF('Diags Raw Data'!$A$6:$A$3664,"*"&amp;$A85&amp;"*",'Diags Raw Data'!$Z$6:$Z$3664),SUMIF('Diags Raw Data'!$A$6:$A$3664,"*"&amp;$A85&amp;"*",'Diags Raw Data'!$AA$6:$AA$3664))</f>
        <v>0</v>
      </c>
      <c r="R85" s="425">
        <f t="shared" si="34"/>
        <v>0</v>
      </c>
      <c r="S85" s="425">
        <f t="shared" si="35"/>
        <v>0</v>
      </c>
      <c r="T85" s="426">
        <f t="shared" si="36"/>
        <v>0</v>
      </c>
      <c r="U85" s="595" t="s">
        <v>489</v>
      </c>
      <c r="V85" s="170"/>
    </row>
    <row r="86" spans="1:22" ht="45.75" thickBot="1" x14ac:dyDescent="0.3">
      <c r="A86" s="568" t="s">
        <v>406</v>
      </c>
      <c r="B86" s="582" t="str">
        <f>VLOOKUP(A86,'Feature Raw Data'!$A$3:$B$3940,2,FALSE)</f>
        <v>DVO</v>
      </c>
      <c r="C86" s="583" t="str">
        <f>VLOOKUP(A86,'Feature Raw Data'!$A$3:$C$3940,3,FALSE)</f>
        <v>P2</v>
      </c>
      <c r="D86" s="353" t="str" cm="1">
        <f t="array" ref="D86">_xlfn.TEXTJOIN("",TRUE,IF(ISNUMBER(SEARCH($A86,'Diags Raw Data'!$A$6:$A$3664)),CONCATENATE('Diags Raw Data'!$H$6:$H$3664,", "),""))</f>
        <v/>
      </c>
      <c r="E86" s="304" t="s">
        <v>248</v>
      </c>
      <c r="F86" s="584" t="str">
        <f>VLOOKUP(A86,'Feature Raw Data'!$A$3:$E$3940,5,FALSE)</f>
        <v>Legacy</v>
      </c>
      <c r="G86" s="585" t="s">
        <v>510</v>
      </c>
      <c r="H86" s="585" t="s">
        <v>36</v>
      </c>
      <c r="I86" s="583">
        <f>SUMIF('Diags Raw Data'!$A$6:$A$3664,"*"&amp;$A86&amp;"*",'Diags Raw Data'!$J$6:$J$3664)</f>
        <v>0</v>
      </c>
      <c r="J86" s="586">
        <v>1</v>
      </c>
      <c r="K86" s="587" cm="1">
        <f t="array" ref="K86">IF(D86="",0, SUMPRODUCT(--(ISNUMBER(SEARCH($A86,'Diags Raw Data'!$A$6:$A$3664))),'Diags Raw Data'!$K$6:$K$3664,'Diags Raw Data'!$M$6:$M$3664)/J86)</f>
        <v>0</v>
      </c>
      <c r="L86" s="588" cm="1">
        <f t="array" ref="L86">IF(D86="",0, SUMPRODUCT(--(ISNUMBER(SEARCH($A86,'Diags Raw Data'!$A$6:$A$3664))),'Diags Raw Data'!$K$6:$K$3664,'Diags Raw Data'!$O$6:$O$3664)/J86)</f>
        <v>0</v>
      </c>
      <c r="M86" s="420" cm="1">
        <f t="array" ref="M86">SUMPRODUCT(--(ISNUMBER(SEARCH($A86,'Diags Raw Data'!$A$6:$A$3664))),--('Diags Raw Data'!$P$6:$P$3664&lt;&gt;"N/A"),'Diags Raw Data'!$Q$6:$Q$3664)</f>
        <v>0</v>
      </c>
      <c r="N86" s="589" cm="1">
        <f t="array" ref="N86">SUMPRODUCT(--(ISNUMBER(SEARCH($A86,'Diags Raw Data'!$A$6:$A$3664))),--('Diags Raw Data'!$P$6:$P$3664&lt;&gt;"N/A"),'Diags Raw Data'!$S$6:$S$3664)+SUMPRODUCT(--(ISNUMBER(SEARCH($A86,'Diags Raw Data'!$A$6:$A$3664))),--('Diags Raw Data'!$P$6:$P$3664&lt;&gt;"N/A"),'Diags Raw Data'!$T$6:$T$3664)</f>
        <v>0</v>
      </c>
      <c r="O86" s="590">
        <f t="shared" ref="O86" si="38">IF((M86=0),0,N86/M86)</f>
        <v>0</v>
      </c>
      <c r="P86" s="591">
        <f>SUMIF('Diags Raw Data'!$A$6:$A$3664,"*"&amp;$A86&amp;"*",'Diags Raw Data'!$Y$6:$Y$3664)</f>
        <v>0</v>
      </c>
      <c r="Q86" s="592">
        <f>SUM(SUMIF('Diags Raw Data'!$A$6:$A$3664,"*"&amp;$A86&amp;"*",'Diags Raw Data'!$Z$6:$Z$3664),SUMIF('Diags Raw Data'!$A$6:$A$3664,"*"&amp;$A86&amp;"*",'Diags Raw Data'!$AA$6:$AA$3664))</f>
        <v>0</v>
      </c>
      <c r="R86" s="593">
        <f t="shared" ref="R86" si="39">IF((J86=0),0,P86/J86)</f>
        <v>0</v>
      </c>
      <c r="S86" s="593">
        <f t="shared" ref="S86" si="40">IF((P86=0),0,Q86/P86)</f>
        <v>0</v>
      </c>
      <c r="T86" s="594">
        <f t="shared" ref="T86" si="41">R86*S86</f>
        <v>0</v>
      </c>
      <c r="U86" s="595" t="s">
        <v>489</v>
      </c>
      <c r="V86" s="170"/>
    </row>
    <row r="87" spans="1:22" ht="14.25" customHeight="1" x14ac:dyDescent="0.25">
      <c r="A87" s="596" t="s">
        <v>511</v>
      </c>
      <c r="B87" s="580"/>
      <c r="C87" s="580"/>
      <c r="D87" s="580"/>
      <c r="E87" s="580"/>
      <c r="F87" s="580"/>
      <c r="G87" s="580"/>
      <c r="H87" s="580"/>
      <c r="I87" s="580"/>
      <c r="J87" s="580"/>
      <c r="K87" s="580"/>
      <c r="L87" s="580"/>
      <c r="M87" s="578"/>
      <c r="N87" s="580"/>
      <c r="O87" s="580"/>
      <c r="P87" s="580"/>
      <c r="Q87" s="580"/>
      <c r="R87" s="580"/>
      <c r="S87" s="580"/>
      <c r="T87" s="580"/>
      <c r="U87" s="581"/>
      <c r="V87" s="170"/>
    </row>
    <row r="88" spans="1:22" ht="15.75" thickBot="1" x14ac:dyDescent="0.3">
      <c r="A88" s="579"/>
      <c r="B88" s="580"/>
      <c r="C88" s="580"/>
      <c r="D88" s="580"/>
      <c r="E88" s="580"/>
      <c r="F88" s="580"/>
      <c r="G88" s="580"/>
      <c r="H88" s="580"/>
      <c r="I88" s="580"/>
      <c r="J88" s="580"/>
      <c r="K88" s="580"/>
      <c r="L88" s="580"/>
      <c r="M88" s="580"/>
      <c r="N88" s="580"/>
      <c r="O88" s="580"/>
      <c r="P88" s="580"/>
      <c r="Q88" s="580"/>
      <c r="R88" s="580"/>
      <c r="S88" s="580"/>
      <c r="T88" s="580"/>
      <c r="U88" s="581"/>
      <c r="V88" s="170"/>
    </row>
    <row r="89" spans="1:22" s="177" customFormat="1" ht="18.75" x14ac:dyDescent="0.25">
      <c r="A89" s="685" t="s">
        <v>486</v>
      </c>
      <c r="B89" s="686"/>
      <c r="C89" s="686"/>
      <c r="D89" s="686"/>
      <c r="E89" s="686"/>
      <c r="F89" s="687"/>
      <c r="G89" s="328">
        <f>COUNTIF(G7:G86,"Yes")</f>
        <v>61</v>
      </c>
      <c r="H89" s="328">
        <f>COUNTIF(H7:H86,"Yes")</f>
        <v>33</v>
      </c>
      <c r="I89" s="699">
        <f>'Diags Raw Data'!J58</f>
        <v>50</v>
      </c>
      <c r="J89" s="701">
        <f>'Diags Raw Data'!K58</f>
        <v>50</v>
      </c>
      <c r="K89" s="723">
        <f>'Diags Raw Data'!M58</f>
        <v>1</v>
      </c>
      <c r="L89" s="725">
        <f>'Diags Raw Data'!O58</f>
        <v>0.58800000000000052</v>
      </c>
      <c r="M89" s="727">
        <f>'Diags Raw Data'!Q58</f>
        <v>46</v>
      </c>
      <c r="N89" s="718">
        <f>SUM('Diags Raw Data'!S58+'Diags Raw Data'!T58)</f>
        <v>0</v>
      </c>
      <c r="O89" s="691">
        <f>IF((M89=0),0,N89/M89)</f>
        <v>0</v>
      </c>
      <c r="P89" s="693">
        <f>'Diags Raw Data'!Y58</f>
        <v>0</v>
      </c>
      <c r="Q89" s="695">
        <f>SUM('Diags Raw Data'!Z58+'Diags Raw Data'!AA58)</f>
        <v>0</v>
      </c>
      <c r="R89" s="697">
        <f>IF((J89=0),0,P89/J89)</f>
        <v>0</v>
      </c>
      <c r="S89" s="697">
        <f>IF((P89=0),0,Q89/P89)</f>
        <v>0</v>
      </c>
      <c r="T89" s="697">
        <f>R89*S89</f>
        <v>0</v>
      </c>
      <c r="U89" s="729"/>
      <c r="V89" s="176"/>
    </row>
    <row r="90" spans="1:22" ht="19.5" thickBot="1" x14ac:dyDescent="0.3">
      <c r="A90" s="688"/>
      <c r="B90" s="689"/>
      <c r="C90" s="689"/>
      <c r="D90" s="689"/>
      <c r="E90" s="689"/>
      <c r="F90" s="690"/>
      <c r="G90" s="329">
        <f>COUNTIF(G7:G86,"Yes")/COUNTA(A7:A86)</f>
        <v>0.76249999999999996</v>
      </c>
      <c r="H90" s="329">
        <f>(COUNTIF(H7:H86,"Yes")/G89)</f>
        <v>0.54098360655737709</v>
      </c>
      <c r="I90" s="700"/>
      <c r="J90" s="702"/>
      <c r="K90" s="724"/>
      <c r="L90" s="726"/>
      <c r="M90" s="728"/>
      <c r="N90" s="719"/>
      <c r="O90" s="692"/>
      <c r="P90" s="694"/>
      <c r="Q90" s="696"/>
      <c r="R90" s="698"/>
      <c r="S90" s="698"/>
      <c r="T90" s="698"/>
      <c r="U90" s="730"/>
      <c r="V90" s="170"/>
    </row>
    <row r="91" spans="1:22" x14ac:dyDescent="0.25">
      <c r="A91" s="178"/>
      <c r="B91" s="179"/>
      <c r="C91" s="179"/>
      <c r="D91" s="178"/>
      <c r="E91" s="179"/>
      <c r="F91" s="179"/>
      <c r="G91" s="316"/>
      <c r="H91" s="179"/>
      <c r="I91" s="320"/>
      <c r="J91" s="320"/>
      <c r="K91" s="184"/>
      <c r="L91" s="184"/>
      <c r="M91" s="185"/>
      <c r="N91" s="185"/>
      <c r="O91" s="184"/>
      <c r="P91" s="181"/>
      <c r="Q91" s="181"/>
      <c r="R91" s="188"/>
      <c r="S91" s="188"/>
      <c r="T91" s="189"/>
      <c r="U91" s="178"/>
    </row>
  </sheetData>
  <sheetProtection insertColumns="0" insertRows="0" deleteRows="0" sort="0"/>
  <autoFilter ref="A6:U90" xr:uid="{00000000-0009-0000-0000-000004000000}"/>
  <mergeCells count="34">
    <mergeCell ref="A4:U4"/>
    <mergeCell ref="K89:K90"/>
    <mergeCell ref="L89:L90"/>
    <mergeCell ref="M89:M90"/>
    <mergeCell ref="T2:T3"/>
    <mergeCell ref="U2:U3"/>
    <mergeCell ref="R2:R3"/>
    <mergeCell ref="S2:S3"/>
    <mergeCell ref="S89:S90"/>
    <mergeCell ref="T89:T90"/>
    <mergeCell ref="U89:U90"/>
    <mergeCell ref="K5:L5"/>
    <mergeCell ref="A5:J5"/>
    <mergeCell ref="M5:O5"/>
    <mergeCell ref="P5:U5"/>
    <mergeCell ref="N89:N90"/>
    <mergeCell ref="A1:U1"/>
    <mergeCell ref="I2:I3"/>
    <mergeCell ref="A2:F3"/>
    <mergeCell ref="O2:O3"/>
    <mergeCell ref="P2:P3"/>
    <mergeCell ref="Q2:Q3"/>
    <mergeCell ref="J2:J3"/>
    <mergeCell ref="K2:K3"/>
    <mergeCell ref="L2:L3"/>
    <mergeCell ref="M2:M3"/>
    <mergeCell ref="N2:N3"/>
    <mergeCell ref="A89:F90"/>
    <mergeCell ref="O89:O90"/>
    <mergeCell ref="P89:P90"/>
    <mergeCell ref="Q89:Q90"/>
    <mergeCell ref="R89:R90"/>
    <mergeCell ref="I89:I90"/>
    <mergeCell ref="J89:J90"/>
  </mergeCells>
  <phoneticPr fontId="30" type="noConversion"/>
  <hyperlinks>
    <hyperlink ref="A7" r:id="rId1" display="http://ontrack-internal.amd.com/browse/PMFW-1808" xr:uid="{3D539C01-CE72-4246-A556-7A19E6BD677A}"/>
    <hyperlink ref="A8" r:id="rId2" display="http://ontrack-internal.amd.com/browse/PMFW-1818" xr:uid="{D19B6A77-B7E1-4064-80CE-FB98EB75AB93}"/>
    <hyperlink ref="A11" r:id="rId3" display="http://ontrack-internal.amd.com/browse/PMFW-1824" xr:uid="{12DE0F70-C634-47D0-93E8-51A8ECC3D54A}"/>
    <hyperlink ref="A10" r:id="rId4" display="http://ontrack-internal.amd.com/browse/PMFW-1823" xr:uid="{69908C69-2744-4216-9414-75A3E360AA75}"/>
    <hyperlink ref="A9" r:id="rId5" display="http://ontrack-internal.amd.com/browse/PMFW-1922" xr:uid="{AF1B94A2-394E-4CF9-A210-5BF3ED46022B}"/>
    <hyperlink ref="A14" r:id="rId6" display="http://ontrack-internal.amd.com/browse/PMFW-1831" xr:uid="{652ECDFB-1B24-4439-8DA7-A8EBA4FF2004}"/>
    <hyperlink ref="A13" r:id="rId7" display="http://ontrack-internal.amd.com/browse/PMFW-1828" xr:uid="{F616AF52-26BC-4277-BCAE-36EEA20F4970}"/>
    <hyperlink ref="A12" r:id="rId8" display="http://ontrack-internal.amd.com/browse/PMFW-1828" xr:uid="{9C7CF581-101A-4FD7-B1C3-C60F4733E0DF}"/>
    <hyperlink ref="A16" r:id="rId9" display="http://ontrack-internal.amd.com/browse/PMFW-1842" xr:uid="{BCD8240F-E155-46F7-B1BC-D231DC5DE6BE}"/>
    <hyperlink ref="A17" r:id="rId10" display="http://ontrack-internal.amd.com/browse/PMFW-1847" xr:uid="{DE172C1C-DEA4-4C35-AE85-E3EBD7D58113}"/>
    <hyperlink ref="A18" r:id="rId11" display="http://ontrack-internal.amd.com/browse/PMFW-1849" xr:uid="{70C19564-DF41-4C92-A99A-A1C637158B48}"/>
    <hyperlink ref="A20" r:id="rId12" display="http://ontrack-internal.amd.com/browse/PMFW-1853" xr:uid="{3E73888B-0938-4DC0-B122-9556DF1BFF1E}"/>
    <hyperlink ref="A19" r:id="rId13" display="http://ontrack-internal.amd.com/browse/PMFW-1851" xr:uid="{1E59D693-2FDB-44F1-8BA2-6823695D31ED}"/>
    <hyperlink ref="A21" r:id="rId14" display="http://ontrack-internal.amd.com/browse/PMFW-1856" xr:uid="{2E0C2FCB-F817-4C83-8FE2-D2AE15D237FF}"/>
    <hyperlink ref="A22" r:id="rId15" display="http://ontrack-internal.amd.com/browse/PMFW-1866" xr:uid="{1338434C-4113-42DC-A6DA-D002CCF110C8}"/>
    <hyperlink ref="A23" r:id="rId16" display="http://ontrack-internal.amd.com/browse/PMFW-11875" xr:uid="{60ED2053-5FDB-4FB6-9B5E-FA1AA97DC6E0}"/>
    <hyperlink ref="A28" r:id="rId17" display="http://ontrack-internal.amd.com/browse/PMFW-1883" xr:uid="{906014FE-BF44-4EC0-BA05-C1C1188EFB35}"/>
    <hyperlink ref="A27" r:id="rId18" display="http://ontrack-internal.amd.com/browse/PMFW-1882" xr:uid="{3435DFA8-64B4-4910-98E7-5271BAA180AA}"/>
    <hyperlink ref="A26" r:id="rId19" display="http://ontrack-internal.amd.com/browse/PMFW-1881" xr:uid="{1C0F8297-BC52-4022-8B0C-9A8B44E41682}"/>
    <hyperlink ref="A25" r:id="rId20" display="http://ontrack-internal.amd.com/browse/PMFW-1880" xr:uid="{E6F74212-2A92-431F-ABA6-914BAFDEB369}"/>
    <hyperlink ref="A24" r:id="rId21" display="http://ontrack-internal.amd.com/browse/PMFW-1879" xr:uid="{A1B7A316-817C-48D2-BB42-44DF694514B5}"/>
    <hyperlink ref="A29" r:id="rId22" display="http://ontrack-internal.amd.com/browse/PMFW-1889" xr:uid="{BB68E216-C1FB-4527-80E3-B47FDAE67B79}"/>
    <hyperlink ref="A30" r:id="rId23" display="http://ontrack-internal.amd.com/browse/PMFW-1891" xr:uid="{80B47E90-1DDF-4F25-A242-984373F1F36E}"/>
    <hyperlink ref="A41" r:id="rId24" display="http://ontrack-internal.amd.com/browse/PMFW-1910" xr:uid="{F91FE4B0-722F-4363-958E-BAC024914B4A}"/>
    <hyperlink ref="A40" r:id="rId25" display="http://ontrack-internal.amd.com/browse/PMFW-1908" xr:uid="{D6DBD2E2-ED03-4A94-BE5D-20E55327A649}"/>
    <hyperlink ref="A39" r:id="rId26" display="http://ontrack-internal.amd.com/browse/PMFW-1907" xr:uid="{32360C1D-5773-4901-A488-853B6F607E9A}"/>
    <hyperlink ref="A38" r:id="rId27" display="http://ontrack-internal.amd.com/browse/PMFW-1906" xr:uid="{348D5672-0AED-45CC-88E6-92BD8E552CD9}"/>
    <hyperlink ref="A37" r:id="rId28" display="http://ontrack-internal.amd.com/browse/PMFW-1905" xr:uid="{3EC1E552-BB5C-4F30-9886-3D1BFE57374F}"/>
    <hyperlink ref="A36" r:id="rId29" display="http://ontrack-internal.amd.com/browse/PMFW-1903" xr:uid="{203C7BEA-078F-4F8E-9C99-D0C3FB54E19A}"/>
    <hyperlink ref="A35" r:id="rId30" display="http://ontrack-internal.amd.com/browse/PMFW-1902" xr:uid="{F20C2C68-8875-4BCB-BB93-D8467254D000}"/>
    <hyperlink ref="A34" r:id="rId31" display="http://ontrack-internal.amd.com/browse/PMFW-1901" xr:uid="{2207C376-9083-409C-BF66-1C54085BE682}"/>
    <hyperlink ref="A33" r:id="rId32" display="http://ontrack-internal.amd.com/browse/PMFW-1898" xr:uid="{58FF424B-031C-4304-A19D-52FA7CC654F4}"/>
    <hyperlink ref="A32" r:id="rId33" display="http://ontrack-internal.amd.com/browse/PMFW-1897" xr:uid="{BDC2D504-B98E-434E-A5EA-8A64E68D3DE8}"/>
    <hyperlink ref="A31" r:id="rId34" display="http://ontrack-internal.amd.com/browse/PMFW-1896" xr:uid="{58353E56-BFEF-4643-BA09-1BB0A28F20DE}"/>
    <hyperlink ref="A49" r:id="rId35" display="http://ontrack-internal.amd.com/browse/PMFW-1929" xr:uid="{59295F5C-16B3-4105-BEF6-48E9289B3FD7}"/>
    <hyperlink ref="A48" r:id="rId36" display="http://ontrack-internal.amd.com/browse/PMFW-1928" xr:uid="{1D93FFF5-A1E7-4F52-A00B-58DB6E788BA6}"/>
    <hyperlink ref="A47" r:id="rId37" display="http://ontrack-internal.amd.com/browse/PMFW-1927" xr:uid="{859A7C7D-BE81-46D7-9DA9-9B17A9B84120}"/>
    <hyperlink ref="A46" r:id="rId38" display="http://ontrack-internal.amd.com/browse/PMFW-1926" xr:uid="{21110D4A-FDF4-403C-A3A0-E237CD580549}"/>
    <hyperlink ref="A45" r:id="rId39" display="http://ontrack-internal.amd.com/browse/PMFW-1925" xr:uid="{70B1EEF4-12F9-4DCA-B366-98536D5777A8}"/>
    <hyperlink ref="A44" r:id="rId40" display="http://ontrack-internal.amd.com/browse/PMFW-1924" xr:uid="{88A8E693-03FB-48C5-8442-BBC2DCB0FA60}"/>
    <hyperlink ref="A43" r:id="rId41" display="http://ontrack-internal.amd.com/browse/PMFW-1923" xr:uid="{6C645BE7-D216-474F-99C4-16F76F708AB9}"/>
    <hyperlink ref="A42" r:id="rId42" display="http://ontrack-internal.amd.com/browse/PMFW-1922" xr:uid="{2BF98050-7FE5-433F-AF27-DB294B3C739A}"/>
    <hyperlink ref="A52" r:id="rId43" display="http://ontrack-internal.amd.com/browse/PMFW-1934" xr:uid="{0AA98EB8-0342-4354-BEDB-6AAE5B2F6BC6}"/>
    <hyperlink ref="A51" r:id="rId44" display="http://ontrack-internal.amd.com/browse/PMFW-1932" xr:uid="{E87402C6-D7EC-429C-BF81-C88CBC6350D0}"/>
    <hyperlink ref="A50" r:id="rId45" display="http://ontrack-internal.amd.com/browse/PMFW-1921" xr:uid="{29FC00B0-8ADC-4A28-BB55-7BD0FC32F558}"/>
    <hyperlink ref="A56" r:id="rId46" display="http://ontrack-internal.amd.com/browse/PMFW-1939" xr:uid="{71E72E8D-99CE-4FBC-B8C0-C09C8BDBFD73}"/>
    <hyperlink ref="A55" r:id="rId47" display="http://ontrack-internal.amd.com/browse/PMFW-1938" xr:uid="{CF8ABA8A-95FC-44D2-AEBF-7DC8970B96E1}"/>
    <hyperlink ref="A54" r:id="rId48" display="http://ontrack-internal.amd.com/browse/PMFW-1937" xr:uid="{1FB82163-7ED4-4957-9370-52C3F478B90A}"/>
    <hyperlink ref="A53" r:id="rId49" display="http://ontrack-internal.amd.com/browse/PMFW-1936" xr:uid="{869DC620-D5D0-483E-B6C3-EEB883D1CB03}"/>
    <hyperlink ref="A62" r:id="rId50" xr:uid="{0CBF587C-7185-424E-8BAA-E76050EAA724}"/>
    <hyperlink ref="A64" r:id="rId51" xr:uid="{C87AA63F-A339-4C3B-AC6D-C93A9079DD14}"/>
    <hyperlink ref="A65" r:id="rId52" xr:uid="{0FF5718F-3C94-4B14-A6B5-BE1079D9F5D2}"/>
    <hyperlink ref="A66" r:id="rId53" xr:uid="{F2A5AC74-67D2-4E4D-8BA3-46D148E9FB49}"/>
    <hyperlink ref="A67" r:id="rId54" display="http://ontrack-internal.amd.com/browse/PMFW-5490" xr:uid="{E89711E4-7131-46DF-8824-EB3736843E6B}"/>
    <hyperlink ref="A69" r:id="rId55" display="http://ontrack-internal.amd.com/browse/PMFW-5497" xr:uid="{08472CC4-C5BD-4CDE-81A8-DF7004D9E368}"/>
    <hyperlink ref="A68" r:id="rId56" display="http://ontrack-internal.amd.com/browse/PMFW-5489" xr:uid="{9309FBDE-40EA-42F9-AF8C-5DE5B28AE2E5}"/>
    <hyperlink ref="A70" r:id="rId57" xr:uid="{67D5091E-AB64-4984-B745-8120C4A3F34F}"/>
    <hyperlink ref="A15" r:id="rId58" display="http://ontrack-internal.amd.com/browse/PMFW-5400" xr:uid="{AF93F4F4-AA64-4E92-81AA-D8291C785956}"/>
    <hyperlink ref="A63" r:id="rId59" display="http://ontrack-internal.amd.com/browse/PMFW-1818" xr:uid="{BDCDFF02-E6FA-454D-89FE-84961D9B3B5A}"/>
    <hyperlink ref="A76" r:id="rId60" xr:uid="{50966A9E-5557-465D-A28C-359459EF6EA7}"/>
    <hyperlink ref="A77" r:id="rId61" xr:uid="{3416F5A9-37F7-4074-B5B0-BDC8F1C5B461}"/>
    <hyperlink ref="A82" r:id="rId62" display="https://ontrack-internal.amd.com/browse/PMFW-11886" xr:uid="{72A55876-0903-4BDB-B2DF-EDCA071F04E0}"/>
    <hyperlink ref="A84" r:id="rId63" xr:uid="{77A6D8CB-5D81-4334-BD40-84A4500DDA60}"/>
    <hyperlink ref="A83" r:id="rId64" xr:uid="{94664EEB-04FA-4EA9-A03A-41FE87FEB7BA}"/>
  </hyperlinks>
  <pageMargins left="0.7" right="0.7" top="0.75" bottom="0.75" header="0.3" footer="0.3"/>
  <pageSetup orientation="portrait" r:id="rId65"/>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G70"/>
  <sheetViews>
    <sheetView tabSelected="1" workbookViewId="0">
      <pane xSplit="2" ySplit="5" topLeftCell="F6" activePane="bottomRight" state="frozen"/>
      <selection pane="topRight" activeCell="C1" sqref="C1"/>
      <selection pane="bottomLeft" activeCell="A4" sqref="A4"/>
      <selection pane="bottomRight" activeCell="I29" sqref="I29"/>
    </sheetView>
  </sheetViews>
  <sheetFormatPr defaultColWidth="9.140625" defaultRowHeight="15" x14ac:dyDescent="0.25"/>
  <cols>
    <col min="1" max="1" width="16.85546875" style="161" bestFit="1" customWidth="1"/>
    <col min="2" max="2" width="26.42578125" style="159" customWidth="1"/>
    <col min="3" max="3" width="10" style="159" customWidth="1"/>
    <col min="4" max="4" width="12.42578125" style="162" customWidth="1"/>
    <col min="5" max="5" width="30.5703125" style="159" customWidth="1"/>
    <col min="6" max="6" width="49.28515625" style="159" customWidth="1"/>
    <col min="7" max="7" width="9.85546875" style="159" bestFit="1" customWidth="1"/>
    <col min="8" max="8" width="24.7109375" style="162" customWidth="1"/>
    <col min="9" max="9" width="46" style="159" customWidth="1"/>
    <col min="10" max="10" width="8" style="159" customWidth="1"/>
    <col min="11" max="11" width="7.42578125" style="159" customWidth="1"/>
    <col min="12" max="12" width="10.7109375" style="159" customWidth="1"/>
    <col min="13" max="13" width="12" style="159" customWidth="1"/>
    <col min="14" max="14" width="11.140625" style="159" customWidth="1"/>
    <col min="15" max="15" width="14.140625" style="159" customWidth="1"/>
    <col min="16" max="16" width="9.85546875" style="159" customWidth="1"/>
    <col min="17" max="17" width="14.7109375" style="164" customWidth="1"/>
    <col min="18" max="18" width="11.140625" style="164" customWidth="1"/>
    <col min="19" max="19" width="6.85546875" style="163" customWidth="1"/>
    <col min="20" max="20" width="9.42578125" style="163" customWidth="1"/>
    <col min="21" max="21" width="5.85546875" style="163" customWidth="1"/>
    <col min="22" max="22" width="6.5703125" style="163" customWidth="1"/>
    <col min="23" max="23" width="13" style="163" customWidth="1"/>
    <col min="24" max="24" width="36.42578125" style="164" customWidth="1"/>
    <col min="25" max="25" width="11.5703125" style="164" bestFit="1" customWidth="1"/>
    <col min="26" max="26" width="7.140625" style="163" bestFit="1" customWidth="1"/>
    <col min="27" max="27" width="10.140625" style="163" bestFit="1" customWidth="1"/>
    <col min="28" max="28" width="6.42578125" style="163" bestFit="1" customWidth="1"/>
    <col min="29" max="29" width="7" style="163" bestFit="1" customWidth="1"/>
    <col min="30" max="30" width="13.5703125" style="163" bestFit="1" customWidth="1"/>
    <col min="31" max="31" width="40.42578125" style="159" bestFit="1" customWidth="1"/>
    <col min="32" max="32" width="10.85546875" style="159" bestFit="1" customWidth="1"/>
    <col min="33" max="33" width="49.28515625" style="159" bestFit="1" customWidth="1"/>
    <col min="34" max="16384" width="9.140625" style="159"/>
  </cols>
  <sheetData>
    <row r="1" spans="1:33" ht="15" customHeight="1" thickBot="1" x14ac:dyDescent="0.3">
      <c r="A1" s="742" t="s">
        <v>512</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4"/>
    </row>
    <row r="2" spans="1:33" ht="19.5" customHeight="1" thickBot="1" x14ac:dyDescent="0.3">
      <c r="A2" s="745" t="s">
        <v>486</v>
      </c>
      <c r="B2" s="746"/>
      <c r="C2" s="746"/>
      <c r="D2" s="746"/>
      <c r="E2" s="746"/>
      <c r="F2" s="746"/>
      <c r="G2" s="746"/>
      <c r="H2" s="746"/>
      <c r="I2" s="747"/>
      <c r="J2" s="321">
        <f>SUM(J6:J57)</f>
        <v>50</v>
      </c>
      <c r="K2" s="321">
        <f>SUM(K6:K57)</f>
        <v>50</v>
      </c>
      <c r="L2" s="322"/>
      <c r="M2" s="367">
        <f>SUMPRODUCT(J6:J57,M6:M57)/J58</f>
        <v>1</v>
      </c>
      <c r="N2" s="368">
        <f>SUM(N6:N57)</f>
        <v>29.400000000000027</v>
      </c>
      <c r="O2" s="369">
        <f>SUMPRODUCT(J6:J57,O6:O57)/J58</f>
        <v>0.58800000000000052</v>
      </c>
      <c r="P2" s="323"/>
      <c r="Q2" s="324">
        <f t="shared" ref="Q2:V2" si="0">SUM(Q6:Q55)</f>
        <v>46</v>
      </c>
      <c r="R2" s="370">
        <f t="shared" si="0"/>
        <v>0</v>
      </c>
      <c r="S2" s="370">
        <f t="shared" si="0"/>
        <v>0</v>
      </c>
      <c r="T2" s="370">
        <f t="shared" si="0"/>
        <v>0</v>
      </c>
      <c r="U2" s="370">
        <f t="shared" si="0"/>
        <v>0</v>
      </c>
      <c r="V2" s="370">
        <f t="shared" si="0"/>
        <v>0</v>
      </c>
      <c r="W2" s="371">
        <f>IF((R58=0),0,((S58+T58)/R58*100%))</f>
        <v>0</v>
      </c>
      <c r="X2" s="325"/>
      <c r="Y2" s="372">
        <f>SUM(Y6:Y55)</f>
        <v>0</v>
      </c>
      <c r="Z2" s="373">
        <f>SUM(Z6:Z55)</f>
        <v>0</v>
      </c>
      <c r="AA2" s="373">
        <f>SUM(AA6:AA55)</f>
        <v>0</v>
      </c>
      <c r="AB2" s="373">
        <f>SUM(AB6:AB55)</f>
        <v>0</v>
      </c>
      <c r="AC2" s="373">
        <f>SUM(AC6:AC55)</f>
        <v>0</v>
      </c>
      <c r="AD2" s="374">
        <f>IF((Y58=0),0,((Z58+AA58)/Y58*100%))</f>
        <v>0</v>
      </c>
      <c r="AE2" s="326"/>
      <c r="AF2" s="326"/>
      <c r="AG2" s="327"/>
    </row>
    <row r="3" spans="1:33" ht="7.5" customHeight="1" thickBot="1" x14ac:dyDescent="0.3">
      <c r="A3" s="742" t="s">
        <v>513</v>
      </c>
      <c r="B3" s="743"/>
      <c r="C3" s="743"/>
      <c r="D3" s="743"/>
      <c r="E3" s="743"/>
      <c r="F3" s="743"/>
      <c r="G3" s="743"/>
      <c r="H3" s="743"/>
      <c r="I3" s="743"/>
      <c r="J3" s="743"/>
      <c r="K3" s="743"/>
      <c r="L3" s="743"/>
      <c r="M3" s="743"/>
      <c r="N3" s="743"/>
      <c r="O3" s="743"/>
      <c r="P3" s="743"/>
      <c r="Q3" s="743"/>
      <c r="R3" s="743"/>
      <c r="S3" s="743"/>
      <c r="T3" s="743"/>
      <c r="U3" s="743"/>
      <c r="V3" s="743"/>
      <c r="W3" s="743"/>
      <c r="X3" s="743"/>
      <c r="Y3" s="743"/>
      <c r="Z3" s="743"/>
      <c r="AA3" s="743"/>
      <c r="AB3" s="743"/>
      <c r="AC3" s="743"/>
      <c r="AD3" s="743"/>
      <c r="AE3" s="743"/>
      <c r="AF3" s="743"/>
      <c r="AG3" s="744"/>
    </row>
    <row r="4" spans="1:33" ht="18" customHeight="1" thickBot="1" x14ac:dyDescent="0.3">
      <c r="A4" s="748" t="s">
        <v>71</v>
      </c>
      <c r="B4" s="749"/>
      <c r="C4" s="749"/>
      <c r="D4" s="749"/>
      <c r="E4" s="749"/>
      <c r="F4" s="749"/>
      <c r="G4" s="749"/>
      <c r="H4" s="749"/>
      <c r="I4" s="749"/>
      <c r="J4" s="749"/>
      <c r="K4" s="749"/>
      <c r="L4" s="750"/>
      <c r="M4" s="751" t="s">
        <v>514</v>
      </c>
      <c r="N4" s="752"/>
      <c r="O4" s="753"/>
      <c r="P4" s="757" t="s">
        <v>515</v>
      </c>
      <c r="Q4" s="758"/>
      <c r="R4" s="758"/>
      <c r="S4" s="758"/>
      <c r="T4" s="758"/>
      <c r="U4" s="758"/>
      <c r="V4" s="758"/>
      <c r="W4" s="758"/>
      <c r="X4" s="759"/>
      <c r="Y4" s="754" t="s">
        <v>516</v>
      </c>
      <c r="Z4" s="755"/>
      <c r="AA4" s="755"/>
      <c r="AB4" s="755"/>
      <c r="AC4" s="755"/>
      <c r="AD4" s="755"/>
      <c r="AE4" s="755"/>
      <c r="AF4" s="755"/>
      <c r="AG4" s="756"/>
    </row>
    <row r="5" spans="1:33" s="160" customFormat="1" ht="15.75" thickBot="1" x14ac:dyDescent="0.3">
      <c r="A5" s="443" t="s">
        <v>72</v>
      </c>
      <c r="B5" s="444" t="s">
        <v>76</v>
      </c>
      <c r="C5" s="444" t="s">
        <v>79</v>
      </c>
      <c r="D5" s="445" t="s">
        <v>83</v>
      </c>
      <c r="E5" s="444" t="s">
        <v>86</v>
      </c>
      <c r="F5" s="444" t="s">
        <v>89</v>
      </c>
      <c r="G5" s="444" t="s">
        <v>91</v>
      </c>
      <c r="H5" s="444" t="s">
        <v>94</v>
      </c>
      <c r="I5" s="444" t="s">
        <v>97</v>
      </c>
      <c r="J5" s="446" t="s">
        <v>100</v>
      </c>
      <c r="K5" s="446" t="s">
        <v>103</v>
      </c>
      <c r="L5" s="541" t="s">
        <v>1</v>
      </c>
      <c r="M5" s="448" t="s">
        <v>109</v>
      </c>
      <c r="N5" s="449" t="s">
        <v>113</v>
      </c>
      <c r="O5" s="450" t="s">
        <v>116</v>
      </c>
      <c r="P5" s="451" t="s">
        <v>120</v>
      </c>
      <c r="Q5" s="452" t="s">
        <v>123</v>
      </c>
      <c r="R5" s="452" t="s">
        <v>127</v>
      </c>
      <c r="S5" s="453" t="s">
        <v>30</v>
      </c>
      <c r="T5" s="453" t="s">
        <v>130</v>
      </c>
      <c r="U5" s="453" t="s">
        <v>35</v>
      </c>
      <c r="V5" s="453" t="s">
        <v>133</v>
      </c>
      <c r="W5" s="453" t="s">
        <v>135</v>
      </c>
      <c r="X5" s="447" t="s">
        <v>137</v>
      </c>
      <c r="Y5" s="454" t="s">
        <v>127</v>
      </c>
      <c r="Z5" s="453" t="s">
        <v>30</v>
      </c>
      <c r="AA5" s="453" t="s">
        <v>130</v>
      </c>
      <c r="AB5" s="453" t="s">
        <v>35</v>
      </c>
      <c r="AC5" s="453" t="s">
        <v>133</v>
      </c>
      <c r="AD5" s="453" t="s">
        <v>135</v>
      </c>
      <c r="AE5" s="444" t="s">
        <v>150</v>
      </c>
      <c r="AF5" s="444" t="s">
        <v>152</v>
      </c>
      <c r="AG5" s="455" t="s">
        <v>155</v>
      </c>
    </row>
    <row r="6" spans="1:33" ht="15.75" thickBot="1" x14ac:dyDescent="0.3">
      <c r="A6" s="456" t="s">
        <v>254</v>
      </c>
      <c r="B6" s="487" t="s">
        <v>255</v>
      </c>
      <c r="C6" s="461"/>
      <c r="D6" s="488" t="s">
        <v>248</v>
      </c>
      <c r="E6" s="485" t="s">
        <v>517</v>
      </c>
      <c r="F6" s="485" t="s">
        <v>518</v>
      </c>
      <c r="G6" s="303" t="str">
        <f>VLOOKUP(A6,'Feature Summary'!$A$7:$C$3982,3,FALSE)</f>
        <v>P1</v>
      </c>
      <c r="H6" s="485" t="s">
        <v>519</v>
      </c>
      <c r="I6" s="489"/>
      <c r="J6" s="490">
        <v>1</v>
      </c>
      <c r="K6" s="491">
        <v>1</v>
      </c>
      <c r="L6" s="492" t="s">
        <v>33</v>
      </c>
      <c r="M6" s="493">
        <v>1</v>
      </c>
      <c r="N6" s="399">
        <v>0.6</v>
      </c>
      <c r="O6" s="494">
        <f>IF((N6=0),0,(N6/K6))</f>
        <v>0.6</v>
      </c>
      <c r="P6" s="495" t="s">
        <v>45</v>
      </c>
      <c r="Q6" s="491">
        <v>1</v>
      </c>
      <c r="R6" s="496"/>
      <c r="S6" s="491"/>
      <c r="T6" s="497"/>
      <c r="U6" s="497"/>
      <c r="V6" s="497"/>
      <c r="W6" s="498">
        <f t="shared" ref="W6" si="1">IF((R6=0),0,((S6+T6)/R6*100%))</f>
        <v>0</v>
      </c>
      <c r="X6" s="499" t="s">
        <v>520</v>
      </c>
      <c r="Y6" s="500"/>
      <c r="Z6" s="497"/>
      <c r="AA6" s="497"/>
      <c r="AB6" s="497"/>
      <c r="AC6" s="497"/>
      <c r="AD6" s="416">
        <f>IF((Y6=0),0,((Z6+AA6)/Y6*100%))</f>
        <v>0</v>
      </c>
      <c r="AE6" s="501"/>
      <c r="AF6" s="111" t="str">
        <f>VLOOKUP(A6,'Feature Summary'!$A$7:$U$3982,21,FALSE)</f>
        <v xml:space="preserve">WK </v>
      </c>
      <c r="AG6" s="502"/>
    </row>
    <row r="7" spans="1:33" ht="15.75" thickBot="1" x14ac:dyDescent="0.3">
      <c r="A7" s="456" t="s">
        <v>254</v>
      </c>
      <c r="B7" s="487" t="s">
        <v>255</v>
      </c>
      <c r="C7" s="461"/>
      <c r="D7" s="503" t="s">
        <v>248</v>
      </c>
      <c r="E7" s="485" t="s">
        <v>521</v>
      </c>
      <c r="F7" s="485" t="s">
        <v>522</v>
      </c>
      <c r="G7" s="303" t="str">
        <f>VLOOKUP(A7,'Feature Summary'!$A$7:$C$3982,3,FALSE)</f>
        <v>P1</v>
      </c>
      <c r="H7" s="485" t="s">
        <v>523</v>
      </c>
      <c r="I7" s="489"/>
      <c r="J7" s="504">
        <v>1</v>
      </c>
      <c r="K7" s="491">
        <v>1</v>
      </c>
      <c r="L7" s="492" t="s">
        <v>33</v>
      </c>
      <c r="M7" s="505">
        <v>1</v>
      </c>
      <c r="N7" s="399">
        <v>0.6</v>
      </c>
      <c r="O7" s="494">
        <f t="shared" ref="O7:O54" si="2">IF((N7=0),0,(N7/K7))</f>
        <v>0.6</v>
      </c>
      <c r="P7" s="506" t="s">
        <v>45</v>
      </c>
      <c r="Q7" s="491">
        <v>1</v>
      </c>
      <c r="R7" s="507"/>
      <c r="S7" s="491"/>
      <c r="T7" s="508"/>
      <c r="U7" s="508"/>
      <c r="V7" s="508"/>
      <c r="W7" s="509">
        <f>IF((R7=0),0,((S7+T7)/R7*100%))</f>
        <v>0</v>
      </c>
      <c r="X7" s="510"/>
      <c r="Y7" s="511"/>
      <c r="Z7" s="508"/>
      <c r="AA7" s="508"/>
      <c r="AB7" s="497"/>
      <c r="AC7" s="508"/>
      <c r="AD7" s="425">
        <f>IF((Y7=0),0,((Z7+AA7)/Y7*100%))</f>
        <v>0</v>
      </c>
      <c r="AE7" s="284"/>
      <c r="AF7" s="83" t="str">
        <f>VLOOKUP(A7,'Feature Summary'!$A$7:$U$3982,21,FALSE)</f>
        <v xml:space="preserve">WK </v>
      </c>
      <c r="AG7" s="512"/>
    </row>
    <row r="8" spans="1:33" ht="15.75" thickBot="1" x14ac:dyDescent="0.3">
      <c r="A8" s="456" t="s">
        <v>254</v>
      </c>
      <c r="B8" s="487" t="s">
        <v>255</v>
      </c>
      <c r="C8" s="461"/>
      <c r="D8" s="503" t="s">
        <v>248</v>
      </c>
      <c r="E8" s="485" t="s">
        <v>524</v>
      </c>
      <c r="F8" s="485" t="s">
        <v>525</v>
      </c>
      <c r="G8" s="303" t="str">
        <f>VLOOKUP(A8,'Feature Summary'!$A$7:$C$3982,3,FALSE)</f>
        <v>P1</v>
      </c>
      <c r="H8" s="485" t="s">
        <v>526</v>
      </c>
      <c r="I8" s="489"/>
      <c r="J8" s="504">
        <v>1</v>
      </c>
      <c r="K8" s="491">
        <v>1</v>
      </c>
      <c r="L8" s="492" t="s">
        <v>33</v>
      </c>
      <c r="M8" s="505">
        <v>1</v>
      </c>
      <c r="N8" s="399">
        <v>0.6</v>
      </c>
      <c r="O8" s="494">
        <f t="shared" si="2"/>
        <v>0.6</v>
      </c>
      <c r="P8" s="506" t="s">
        <v>45</v>
      </c>
      <c r="Q8" s="491">
        <v>1</v>
      </c>
      <c r="R8" s="507"/>
      <c r="S8" s="491"/>
      <c r="T8" s="508"/>
      <c r="U8" s="508"/>
      <c r="V8" s="508"/>
      <c r="W8" s="509">
        <f>IF((R8=0),0,((S8+T8)/R8*100%))</f>
        <v>0</v>
      </c>
      <c r="X8" s="510"/>
      <c r="Y8" s="511"/>
      <c r="Z8" s="508"/>
      <c r="AA8" s="508"/>
      <c r="AB8" s="497"/>
      <c r="AC8" s="508"/>
      <c r="AD8" s="425">
        <f>IF((Y8=0),0,((Z8+AA8)/Y8*100%))</f>
        <v>0</v>
      </c>
      <c r="AE8" s="284"/>
      <c r="AF8" s="83" t="str">
        <f>VLOOKUP(A8,'Feature Summary'!$A$7:$U$3982,21,FALSE)</f>
        <v xml:space="preserve">WK </v>
      </c>
      <c r="AG8" s="512"/>
    </row>
    <row r="9" spans="1:33" ht="15.75" thickBot="1" x14ac:dyDescent="0.3">
      <c r="A9" s="456" t="s">
        <v>258</v>
      </c>
      <c r="B9" s="487" t="s">
        <v>527</v>
      </c>
      <c r="C9" s="461"/>
      <c r="D9" s="503" t="s">
        <v>248</v>
      </c>
      <c r="E9" s="461" t="s">
        <v>528</v>
      </c>
      <c r="F9" s="461" t="s">
        <v>529</v>
      </c>
      <c r="G9" s="303" t="str">
        <f>VLOOKUP(A9,'Feature Summary'!$A$7:$C$3982,3,FALSE)</f>
        <v>P1</v>
      </c>
      <c r="H9" s="461" t="s">
        <v>530</v>
      </c>
      <c r="I9" s="486" t="s">
        <v>531</v>
      </c>
      <c r="J9" s="504">
        <v>1</v>
      </c>
      <c r="K9" s="399">
        <v>1</v>
      </c>
      <c r="L9" s="492" t="s">
        <v>33</v>
      </c>
      <c r="M9" s="505">
        <v>1</v>
      </c>
      <c r="N9" s="399">
        <v>0.6</v>
      </c>
      <c r="O9" s="494">
        <f t="shared" si="2"/>
        <v>0.6</v>
      </c>
      <c r="P9" s="495" t="s">
        <v>45</v>
      </c>
      <c r="Q9" s="491">
        <v>1</v>
      </c>
      <c r="R9" s="507"/>
      <c r="S9" s="399"/>
      <c r="T9" s="508"/>
      <c r="U9" s="508"/>
      <c r="V9" s="508"/>
      <c r="W9" s="509">
        <f t="shared" ref="W9" si="3">IF((R9=0),0,((S9+T9)/R9*100%))</f>
        <v>0</v>
      </c>
      <c r="X9" s="510" t="s">
        <v>532</v>
      </c>
      <c r="Y9" s="511"/>
      <c r="Z9" s="508"/>
      <c r="AA9" s="508"/>
      <c r="AB9" s="497"/>
      <c r="AC9" s="508"/>
      <c r="AD9" s="425">
        <f>IF((Y9=0),0,((Z9+AA9)/Y9*100%))</f>
        <v>0</v>
      </c>
      <c r="AE9" s="284"/>
      <c r="AF9" s="83" t="str">
        <f>VLOOKUP(A9,'Feature Summary'!$A$7:$U$3982,21,FALSE)</f>
        <v>WK</v>
      </c>
      <c r="AG9" s="512"/>
    </row>
    <row r="10" spans="1:33" ht="15.75" thickBot="1" x14ac:dyDescent="0.3">
      <c r="A10" s="456" t="s">
        <v>262</v>
      </c>
      <c r="B10" s="487" t="s">
        <v>263</v>
      </c>
      <c r="C10" s="461"/>
      <c r="D10" s="503" t="s">
        <v>248</v>
      </c>
      <c r="E10" s="461" t="s">
        <v>533</v>
      </c>
      <c r="F10" s="461" t="s">
        <v>533</v>
      </c>
      <c r="G10" s="303" t="str">
        <f>VLOOKUP(A10,'Feature Summary'!$A$7:$C$3982,3,FALSE)</f>
        <v>P2</v>
      </c>
      <c r="H10" s="461" t="s">
        <v>534</v>
      </c>
      <c r="I10" s="486"/>
      <c r="J10" s="504">
        <v>1</v>
      </c>
      <c r="K10" s="399">
        <v>1</v>
      </c>
      <c r="L10" s="492" t="s">
        <v>33</v>
      </c>
      <c r="M10" s="505">
        <v>1</v>
      </c>
      <c r="N10" s="399">
        <v>0.6</v>
      </c>
      <c r="O10" s="494">
        <f t="shared" si="2"/>
        <v>0.6</v>
      </c>
      <c r="P10" s="506" t="s">
        <v>44</v>
      </c>
      <c r="Q10" s="491">
        <v>0</v>
      </c>
      <c r="R10" s="507"/>
      <c r="S10" s="399"/>
      <c r="T10" s="508"/>
      <c r="U10" s="508"/>
      <c r="V10" s="508"/>
      <c r="W10" s="509">
        <f>IF((R10=0),0,((S10+T10)/R10*100%))</f>
        <v>0</v>
      </c>
      <c r="X10" s="510"/>
      <c r="Y10" s="511"/>
      <c r="Z10" s="508"/>
      <c r="AA10" s="508"/>
      <c r="AB10" s="497"/>
      <c r="AC10" s="508"/>
      <c r="AD10" s="425">
        <f t="shared" ref="AD10" si="4">IF((Y10=0),0,((Z10+AA10)/Y10*100%))</f>
        <v>0</v>
      </c>
      <c r="AE10" s="284" t="s">
        <v>535</v>
      </c>
      <c r="AF10" s="83" t="str">
        <f>VLOOKUP(A10,'Feature Summary'!$A$7:$U$3982,21,FALSE)</f>
        <v>WK</v>
      </c>
      <c r="AG10" s="512"/>
    </row>
    <row r="11" spans="1:33" ht="15.75" thickBot="1" x14ac:dyDescent="0.3">
      <c r="A11" s="456" t="s">
        <v>265</v>
      </c>
      <c r="B11" s="487" t="s">
        <v>266</v>
      </c>
      <c r="C11" s="461"/>
      <c r="D11" s="503" t="s">
        <v>248</v>
      </c>
      <c r="E11" s="461" t="s">
        <v>266</v>
      </c>
      <c r="F11" s="461" t="s">
        <v>536</v>
      </c>
      <c r="G11" s="303" t="str">
        <f>VLOOKUP(A11,'Feature Summary'!$A$7:$C$3982,3,FALSE)</f>
        <v>P1</v>
      </c>
      <c r="H11" s="461" t="s">
        <v>537</v>
      </c>
      <c r="I11" s="486"/>
      <c r="J11" s="504">
        <v>1</v>
      </c>
      <c r="K11" s="399">
        <v>1</v>
      </c>
      <c r="L11" s="492" t="s">
        <v>33</v>
      </c>
      <c r="M11" s="505">
        <v>1</v>
      </c>
      <c r="N11" s="399">
        <v>0.6</v>
      </c>
      <c r="O11" s="494">
        <f t="shared" si="2"/>
        <v>0.6</v>
      </c>
      <c r="P11" s="495" t="s">
        <v>45</v>
      </c>
      <c r="Q11" s="491">
        <v>1</v>
      </c>
      <c r="R11" s="507"/>
      <c r="S11" s="399"/>
      <c r="T11" s="508"/>
      <c r="U11" s="508"/>
      <c r="V11" s="508"/>
      <c r="W11" s="509">
        <f>IF((R11=0),0,((S11+T11)/R11*100%))</f>
        <v>0</v>
      </c>
      <c r="X11" s="510"/>
      <c r="Y11" s="511"/>
      <c r="Z11" s="508"/>
      <c r="AA11" s="508"/>
      <c r="AB11" s="497"/>
      <c r="AC11" s="508"/>
      <c r="AD11" s="425">
        <f>IF((Y11=0),0,((Z11+AA11)/Y11*100%))</f>
        <v>0</v>
      </c>
      <c r="AE11" s="284"/>
      <c r="AF11" s="83" t="str">
        <f>VLOOKUP(A11,'Feature Summary'!$A$7:$U$3982,21,FALSE)</f>
        <v>WK</v>
      </c>
      <c r="AG11" s="512"/>
    </row>
    <row r="12" spans="1:33" ht="15.75" thickBot="1" x14ac:dyDescent="0.3">
      <c r="A12" s="456" t="s">
        <v>265</v>
      </c>
      <c r="B12" s="487" t="s">
        <v>266</v>
      </c>
      <c r="C12" s="461"/>
      <c r="D12" s="503" t="s">
        <v>248</v>
      </c>
      <c r="E12" s="461" t="s">
        <v>266</v>
      </c>
      <c r="F12" s="461" t="s">
        <v>538</v>
      </c>
      <c r="G12" s="303" t="str">
        <f>VLOOKUP(A12,'Feature Summary'!$A$7:$C$3982,3,FALSE)</f>
        <v>P1</v>
      </c>
      <c r="H12" s="461" t="s">
        <v>539</v>
      </c>
      <c r="I12" s="486"/>
      <c r="J12" s="504">
        <v>1</v>
      </c>
      <c r="K12" s="399">
        <v>1</v>
      </c>
      <c r="L12" s="492" t="s">
        <v>33</v>
      </c>
      <c r="M12" s="505">
        <v>1</v>
      </c>
      <c r="N12" s="399">
        <v>0.6</v>
      </c>
      <c r="O12" s="494">
        <f t="shared" si="2"/>
        <v>0.6</v>
      </c>
      <c r="P12" s="495" t="s">
        <v>45</v>
      </c>
      <c r="Q12" s="491">
        <v>1</v>
      </c>
      <c r="R12" s="507"/>
      <c r="S12" s="399"/>
      <c r="T12" s="508"/>
      <c r="U12" s="508"/>
      <c r="V12" s="508"/>
      <c r="W12" s="509">
        <f>IF((R12=0),0,((S12+T12)/R12*100%))</f>
        <v>0</v>
      </c>
      <c r="X12" s="510"/>
      <c r="Y12" s="511"/>
      <c r="Z12" s="508"/>
      <c r="AA12" s="508"/>
      <c r="AB12" s="497"/>
      <c r="AC12" s="508"/>
      <c r="AD12" s="425">
        <f>IF((Y12=0),0,((Z12+AA12)/Y12*100%))</f>
        <v>0</v>
      </c>
      <c r="AE12" s="284"/>
      <c r="AF12" s="83" t="str">
        <f>VLOOKUP(A12,'Feature Summary'!$A$7:$U$3982,21,FALSE)</f>
        <v>WK</v>
      </c>
      <c r="AG12" s="512"/>
    </row>
    <row r="13" spans="1:33" ht="30.75" thickBot="1" x14ac:dyDescent="0.3">
      <c r="A13" s="456" t="s">
        <v>265</v>
      </c>
      <c r="B13" s="487" t="s">
        <v>540</v>
      </c>
      <c r="C13" s="461"/>
      <c r="D13" s="503" t="s">
        <v>248</v>
      </c>
      <c r="E13" s="461" t="s">
        <v>541</v>
      </c>
      <c r="F13" s="461" t="s">
        <v>542</v>
      </c>
      <c r="G13" s="303" t="str">
        <f>VLOOKUP(A13,'Feature Summary'!$A$7:$C$3982,3,FALSE)</f>
        <v>P1</v>
      </c>
      <c r="H13" s="461" t="s">
        <v>706</v>
      </c>
      <c r="I13" s="486" t="s">
        <v>544</v>
      </c>
      <c r="J13" s="504">
        <v>1</v>
      </c>
      <c r="K13" s="399">
        <v>1</v>
      </c>
      <c r="L13" s="492" t="s">
        <v>33</v>
      </c>
      <c r="M13" s="505">
        <v>1</v>
      </c>
      <c r="N13" s="399">
        <v>0.6</v>
      </c>
      <c r="O13" s="494">
        <f t="shared" si="2"/>
        <v>0.6</v>
      </c>
      <c r="P13" s="506" t="s">
        <v>45</v>
      </c>
      <c r="Q13" s="491">
        <v>1</v>
      </c>
      <c r="R13" s="507"/>
      <c r="S13" s="399"/>
      <c r="T13" s="508"/>
      <c r="U13" s="508"/>
      <c r="V13" s="508"/>
      <c r="W13" s="509">
        <f t="shared" ref="W13" si="5">IF((R13=0),0,((S13+T13)/R13*100%))</f>
        <v>0</v>
      </c>
      <c r="X13" s="510" t="s">
        <v>545</v>
      </c>
      <c r="Y13" s="511"/>
      <c r="Z13" s="508"/>
      <c r="AA13" s="508"/>
      <c r="AB13" s="497"/>
      <c r="AC13" s="508"/>
      <c r="AD13" s="425">
        <f>IF((Y13=0),0,((Z13+AA13)/Y13*100%))</f>
        <v>0</v>
      </c>
      <c r="AE13" s="284"/>
      <c r="AF13" s="83" t="str">
        <f>VLOOKUP(A13,'Feature Summary'!$A$7:$U$3982,21,FALSE)</f>
        <v>WK</v>
      </c>
      <c r="AG13" s="512"/>
    </row>
    <row r="14" spans="1:33" ht="15.75" thickBot="1" x14ac:dyDescent="0.3">
      <c r="A14" s="456" t="s">
        <v>277</v>
      </c>
      <c r="B14" s="487" t="s">
        <v>278</v>
      </c>
      <c r="C14" s="461"/>
      <c r="D14" s="503" t="s">
        <v>248</v>
      </c>
      <c r="E14" s="461" t="s">
        <v>546</v>
      </c>
      <c r="F14" s="461" t="s">
        <v>546</v>
      </c>
      <c r="G14" s="303" t="str">
        <f>VLOOKUP(A14,'Feature Summary'!$A$7:$C$3982,3,FALSE)</f>
        <v>P2</v>
      </c>
      <c r="H14" s="461" t="s">
        <v>547</v>
      </c>
      <c r="I14" s="486"/>
      <c r="J14" s="504">
        <v>1</v>
      </c>
      <c r="K14" s="399">
        <v>1</v>
      </c>
      <c r="L14" s="492" t="s">
        <v>33</v>
      </c>
      <c r="M14" s="505">
        <v>1</v>
      </c>
      <c r="N14" s="399">
        <v>0.6</v>
      </c>
      <c r="O14" s="494">
        <f t="shared" si="2"/>
        <v>0.6</v>
      </c>
      <c r="P14" s="506" t="s">
        <v>45</v>
      </c>
      <c r="Q14" s="491">
        <v>1</v>
      </c>
      <c r="R14" s="507"/>
      <c r="S14" s="399"/>
      <c r="T14" s="508"/>
      <c r="U14" s="508"/>
      <c r="V14" s="508"/>
      <c r="W14" s="509">
        <f t="shared" ref="W14" si="6">IF((R14=0),0,((S14+T14)/R14*100%))</f>
        <v>0</v>
      </c>
      <c r="X14" s="510"/>
      <c r="Y14" s="511"/>
      <c r="Z14" s="508"/>
      <c r="AA14" s="508"/>
      <c r="AB14" s="508"/>
      <c r="AC14" s="508"/>
      <c r="AD14" s="425">
        <f t="shared" ref="AD14:AD25" si="7">IF((Y14=0),0,((Z14+AA14)/Y14*100%))</f>
        <v>0</v>
      </c>
      <c r="AE14" s="284"/>
      <c r="AF14" s="83" t="str">
        <f>VLOOKUP(A14,'Feature Summary'!$A$7:$U$3982,21,FALSE)</f>
        <v>WK</v>
      </c>
      <c r="AG14" s="512"/>
    </row>
    <row r="15" spans="1:33" s="546" customFormat="1" ht="15.75" thickBot="1" x14ac:dyDescent="0.3">
      <c r="A15" s="567" t="s">
        <v>280</v>
      </c>
      <c r="B15" s="487" t="s">
        <v>548</v>
      </c>
      <c r="C15" s="461"/>
      <c r="D15" s="503" t="s">
        <v>248</v>
      </c>
      <c r="E15" s="461" t="s">
        <v>549</v>
      </c>
      <c r="F15" s="461" t="s">
        <v>548</v>
      </c>
      <c r="G15" s="303" t="str">
        <f>VLOOKUP(A15,'Feature Summary'!$A$7:$C$3982,3,FALSE)</f>
        <v>P2</v>
      </c>
      <c r="H15" s="461" t="s">
        <v>550</v>
      </c>
      <c r="I15" s="486" t="s">
        <v>551</v>
      </c>
      <c r="J15" s="399">
        <v>1</v>
      </c>
      <c r="K15" s="399">
        <v>1</v>
      </c>
      <c r="L15" s="492" t="s">
        <v>33</v>
      </c>
      <c r="M15" s="563">
        <v>1</v>
      </c>
      <c r="N15" s="399">
        <v>0.6</v>
      </c>
      <c r="O15" s="494">
        <f t="shared" si="2"/>
        <v>0.6</v>
      </c>
      <c r="P15" s="506" t="s">
        <v>45</v>
      </c>
      <c r="Q15" s="491">
        <v>1</v>
      </c>
      <c r="R15" s="507"/>
      <c r="S15" s="512"/>
      <c r="T15" s="508"/>
      <c r="U15" s="508"/>
      <c r="V15" s="508"/>
      <c r="W15" s="509">
        <f>IF((R15=0),0,((S15+T15)/R15*100%))</f>
        <v>0</v>
      </c>
      <c r="X15" s="510"/>
      <c r="Y15" s="511"/>
      <c r="Z15" s="508"/>
      <c r="AA15" s="543"/>
      <c r="AB15" s="543"/>
      <c r="AC15" s="543"/>
      <c r="AD15" s="425">
        <f t="shared" si="7"/>
        <v>0</v>
      </c>
      <c r="AE15" s="544"/>
      <c r="AF15" s="83" t="str">
        <f>VLOOKUP(A15,'Feature Summary'!$A$7:$U$3982,21,FALSE)</f>
        <v>WK</v>
      </c>
      <c r="AG15" s="545"/>
    </row>
    <row r="16" spans="1:33" ht="120.75" thickBot="1" x14ac:dyDescent="0.3">
      <c r="A16" s="456" t="s">
        <v>552</v>
      </c>
      <c r="B16" s="487" t="s">
        <v>553</v>
      </c>
      <c r="C16" s="461"/>
      <c r="D16" s="503" t="s">
        <v>248</v>
      </c>
      <c r="E16" s="461" t="s">
        <v>549</v>
      </c>
      <c r="F16" s="461" t="s">
        <v>553</v>
      </c>
      <c r="G16" s="303" t="e">
        <f>VLOOKUP(A16,'Feature Summary'!$A$7:$C$3982,3,FALSE)</f>
        <v>#N/A</v>
      </c>
      <c r="H16" s="461" t="str">
        <f>H15</f>
        <v>PM41.28</v>
      </c>
      <c r="I16" s="486" t="s">
        <v>554</v>
      </c>
      <c r="J16" s="504">
        <v>1</v>
      </c>
      <c r="K16" s="399">
        <v>1</v>
      </c>
      <c r="L16" s="492" t="s">
        <v>33</v>
      </c>
      <c r="M16" s="505">
        <v>1</v>
      </c>
      <c r="N16" s="399">
        <v>0.6</v>
      </c>
      <c r="O16" s="494">
        <f t="shared" si="2"/>
        <v>0.6</v>
      </c>
      <c r="P16" s="506" t="s">
        <v>45</v>
      </c>
      <c r="Q16" s="491">
        <v>1</v>
      </c>
      <c r="R16" s="507"/>
      <c r="S16" s="399"/>
      <c r="T16" s="508"/>
      <c r="U16" s="508"/>
      <c r="V16" s="508"/>
      <c r="W16" s="509">
        <f t="shared" ref="W16:W25" si="8">IF((R16=0),0,((S16+T16)/R16*100%))</f>
        <v>0</v>
      </c>
      <c r="X16" s="510" t="s">
        <v>543</v>
      </c>
      <c r="Y16" s="511"/>
      <c r="Z16" s="508"/>
      <c r="AA16" s="508"/>
      <c r="AB16" s="508"/>
      <c r="AC16" s="508"/>
      <c r="AD16" s="425">
        <f t="shared" si="7"/>
        <v>0</v>
      </c>
      <c r="AE16" s="284"/>
      <c r="AF16" s="83" t="e">
        <f>VLOOKUP(A16,'Feature Summary'!$A$7:$U$3982,21,FALSE)</f>
        <v>#N/A</v>
      </c>
      <c r="AG16" s="512"/>
    </row>
    <row r="17" spans="1:33" ht="15.75" thickBot="1" x14ac:dyDescent="0.3">
      <c r="A17" s="456" t="s">
        <v>283</v>
      </c>
      <c r="B17" s="487" t="s">
        <v>284</v>
      </c>
      <c r="C17" s="461"/>
      <c r="D17" s="503" t="s">
        <v>248</v>
      </c>
      <c r="E17" s="461" t="s">
        <v>555</v>
      </c>
      <c r="F17" s="461" t="s">
        <v>556</v>
      </c>
      <c r="G17" s="303" t="str">
        <f>VLOOKUP(A17,'Feature Summary'!$A$7:$C$3982,3,FALSE)</f>
        <v>P2</v>
      </c>
      <c r="H17" s="461" t="s">
        <v>557</v>
      </c>
      <c r="I17" s="486"/>
      <c r="J17" s="504">
        <v>1</v>
      </c>
      <c r="K17" s="399">
        <v>1</v>
      </c>
      <c r="L17" s="492" t="s">
        <v>33</v>
      </c>
      <c r="M17" s="505">
        <v>1</v>
      </c>
      <c r="N17" s="399">
        <v>0.6</v>
      </c>
      <c r="O17" s="494">
        <f t="shared" si="2"/>
        <v>0.6</v>
      </c>
      <c r="P17" s="506" t="s">
        <v>45</v>
      </c>
      <c r="Q17" s="491">
        <v>1</v>
      </c>
      <c r="R17" s="507"/>
      <c r="S17" s="399"/>
      <c r="T17" s="508"/>
      <c r="U17" s="508"/>
      <c r="V17" s="508"/>
      <c r="W17" s="509">
        <f t="shared" si="8"/>
        <v>0</v>
      </c>
      <c r="X17" s="510"/>
      <c r="Y17" s="511"/>
      <c r="Z17" s="508"/>
      <c r="AA17" s="508"/>
      <c r="AB17" s="508"/>
      <c r="AC17" s="508"/>
      <c r="AD17" s="425">
        <f t="shared" si="7"/>
        <v>0</v>
      </c>
      <c r="AE17" s="284"/>
      <c r="AF17" s="83" t="str">
        <f>VLOOKUP(A17,'Feature Summary'!$A$7:$U$3982,21,FALSE)</f>
        <v>WK</v>
      </c>
      <c r="AG17" s="512"/>
    </row>
    <row r="18" spans="1:33" ht="15.75" thickBot="1" x14ac:dyDescent="0.3">
      <c r="A18" s="456" t="s">
        <v>283</v>
      </c>
      <c r="B18" s="487" t="s">
        <v>284</v>
      </c>
      <c r="C18" s="461"/>
      <c r="D18" s="503" t="s">
        <v>248</v>
      </c>
      <c r="E18" s="461" t="s">
        <v>555</v>
      </c>
      <c r="F18" s="461" t="s">
        <v>558</v>
      </c>
      <c r="G18" s="303" t="str">
        <f>VLOOKUP(A18,'Feature Summary'!$A$7:$C$3982,3,FALSE)</f>
        <v>P2</v>
      </c>
      <c r="H18" s="461" t="s">
        <v>707</v>
      </c>
      <c r="I18" s="486" t="s">
        <v>559</v>
      </c>
      <c r="J18" s="504">
        <v>1</v>
      </c>
      <c r="K18" s="399">
        <v>1</v>
      </c>
      <c r="L18" s="492" t="s">
        <v>33</v>
      </c>
      <c r="M18" s="505">
        <v>1</v>
      </c>
      <c r="N18" s="399">
        <v>0.6</v>
      </c>
      <c r="O18" s="494">
        <f t="shared" si="2"/>
        <v>0.6</v>
      </c>
      <c r="P18" s="506" t="s">
        <v>45</v>
      </c>
      <c r="Q18" s="491">
        <v>1</v>
      </c>
      <c r="R18" s="507"/>
      <c r="S18" s="399"/>
      <c r="T18" s="508"/>
      <c r="U18" s="508"/>
      <c r="V18" s="508"/>
      <c r="W18" s="509">
        <f t="shared" si="8"/>
        <v>0</v>
      </c>
      <c r="X18" s="510" t="s">
        <v>560</v>
      </c>
      <c r="Y18" s="511"/>
      <c r="Z18" s="508"/>
      <c r="AA18" s="508"/>
      <c r="AB18" s="508"/>
      <c r="AC18" s="508"/>
      <c r="AD18" s="425">
        <f t="shared" si="7"/>
        <v>0</v>
      </c>
      <c r="AE18" s="284"/>
      <c r="AF18" s="83" t="str">
        <f>VLOOKUP(A18,'Feature Summary'!$A$7:$U$3982,21,FALSE)</f>
        <v>WK</v>
      </c>
      <c r="AG18" s="512"/>
    </row>
    <row r="19" spans="1:33" ht="15.75" thickBot="1" x14ac:dyDescent="0.3">
      <c r="A19" s="456" t="s">
        <v>286</v>
      </c>
      <c r="B19" s="487" t="s">
        <v>287</v>
      </c>
      <c r="C19" s="461"/>
      <c r="D19" s="503" t="s">
        <v>248</v>
      </c>
      <c r="E19" s="461" t="s">
        <v>549</v>
      </c>
      <c r="F19" s="461" t="s">
        <v>561</v>
      </c>
      <c r="G19" s="303" t="str">
        <f>VLOOKUP(A19,'Feature Summary'!$A$7:$C$3982,3,FALSE)</f>
        <v>P2</v>
      </c>
      <c r="H19" s="461" t="s">
        <v>707</v>
      </c>
      <c r="I19" s="486"/>
      <c r="J19" s="504">
        <v>1</v>
      </c>
      <c r="K19" s="399">
        <v>1</v>
      </c>
      <c r="L19" s="492" t="s">
        <v>33</v>
      </c>
      <c r="M19" s="505">
        <v>1</v>
      </c>
      <c r="N19" s="399">
        <v>0.6</v>
      </c>
      <c r="O19" s="494">
        <f t="shared" si="2"/>
        <v>0.6</v>
      </c>
      <c r="P19" s="506" t="s">
        <v>45</v>
      </c>
      <c r="Q19" s="491">
        <v>1</v>
      </c>
      <c r="R19" s="507"/>
      <c r="S19" s="399"/>
      <c r="T19" s="508"/>
      <c r="U19" s="508"/>
      <c r="V19" s="508"/>
      <c r="W19" s="509">
        <f t="shared" si="8"/>
        <v>0</v>
      </c>
      <c r="X19" s="510"/>
      <c r="Y19" s="511"/>
      <c r="Z19" s="508"/>
      <c r="AA19" s="508"/>
      <c r="AB19" s="508"/>
      <c r="AC19" s="508"/>
      <c r="AD19" s="425">
        <f t="shared" si="7"/>
        <v>0</v>
      </c>
      <c r="AE19" s="284" t="s">
        <v>562</v>
      </c>
      <c r="AF19" s="83" t="str">
        <f>VLOOKUP(A19,'Feature Summary'!$A$7:$U$3982,21,FALSE)</f>
        <v>WK</v>
      </c>
      <c r="AG19" s="512"/>
    </row>
    <row r="20" spans="1:33" ht="15.75" thickBot="1" x14ac:dyDescent="0.3">
      <c r="A20" s="456" t="s">
        <v>291</v>
      </c>
      <c r="B20" s="487" t="s">
        <v>292</v>
      </c>
      <c r="C20" s="461"/>
      <c r="D20" s="503" t="s">
        <v>248</v>
      </c>
      <c r="E20" s="461" t="s">
        <v>563</v>
      </c>
      <c r="F20" s="461" t="s">
        <v>564</v>
      </c>
      <c r="G20" s="303" t="str">
        <f>VLOOKUP(A20,'Feature Summary'!$A$7:$C$3982,3,FALSE)</f>
        <v>P2</v>
      </c>
      <c r="H20" s="461" t="s">
        <v>710</v>
      </c>
      <c r="I20" s="486" t="s">
        <v>565</v>
      </c>
      <c r="J20" s="504">
        <v>2</v>
      </c>
      <c r="K20" s="399">
        <v>2</v>
      </c>
      <c r="L20" s="492" t="s">
        <v>33</v>
      </c>
      <c r="M20" s="505">
        <v>1</v>
      </c>
      <c r="N20" s="399">
        <v>0.6</v>
      </c>
      <c r="O20" s="494">
        <f t="shared" si="2"/>
        <v>0.3</v>
      </c>
      <c r="P20" s="506" t="s">
        <v>45</v>
      </c>
      <c r="Q20" s="491">
        <v>1</v>
      </c>
      <c r="R20" s="507"/>
      <c r="S20" s="399"/>
      <c r="T20" s="508"/>
      <c r="U20" s="508"/>
      <c r="V20" s="508"/>
      <c r="W20" s="509">
        <f t="shared" si="8"/>
        <v>0</v>
      </c>
      <c r="X20" s="510"/>
      <c r="Y20" s="511"/>
      <c r="Z20" s="508"/>
      <c r="AA20" s="508"/>
      <c r="AB20" s="508"/>
      <c r="AC20" s="508"/>
      <c r="AD20" s="425">
        <f t="shared" si="7"/>
        <v>0</v>
      </c>
      <c r="AE20" s="284"/>
      <c r="AF20" s="83" t="str">
        <f>VLOOKUP(A20,'Feature Summary'!$A$7:$U$3982,21,FALSE)</f>
        <v>WK</v>
      </c>
      <c r="AG20" s="512"/>
    </row>
    <row r="21" spans="1:33" ht="30.75" thickBot="1" x14ac:dyDescent="0.3">
      <c r="A21" s="456" t="s">
        <v>293</v>
      </c>
      <c r="B21" s="487" t="s">
        <v>294</v>
      </c>
      <c r="C21" s="461"/>
      <c r="D21" s="503" t="s">
        <v>248</v>
      </c>
      <c r="E21" s="461" t="s">
        <v>563</v>
      </c>
      <c r="F21" s="461"/>
      <c r="G21" s="303" t="str">
        <f>VLOOKUP(A21,'Feature Summary'!$A$7:$C$3982,3,FALSE)</f>
        <v>P2</v>
      </c>
      <c r="H21" s="461" t="s">
        <v>566</v>
      </c>
      <c r="I21" s="486"/>
      <c r="J21" s="504">
        <v>1</v>
      </c>
      <c r="K21" s="399">
        <v>1</v>
      </c>
      <c r="L21" s="492" t="s">
        <v>33</v>
      </c>
      <c r="M21" s="505">
        <v>1</v>
      </c>
      <c r="N21" s="399">
        <v>0.6</v>
      </c>
      <c r="O21" s="494">
        <f t="shared" si="2"/>
        <v>0.6</v>
      </c>
      <c r="P21" s="506" t="s">
        <v>45</v>
      </c>
      <c r="Q21" s="491">
        <v>1</v>
      </c>
      <c r="R21" s="507"/>
      <c r="S21" s="399"/>
      <c r="T21" s="508"/>
      <c r="U21" s="508"/>
      <c r="V21" s="508"/>
      <c r="W21" s="509">
        <f t="shared" si="8"/>
        <v>0</v>
      </c>
      <c r="X21" s="510"/>
      <c r="Y21" s="511"/>
      <c r="Z21" s="508"/>
      <c r="AA21" s="508"/>
      <c r="AB21" s="508"/>
      <c r="AC21" s="508"/>
      <c r="AD21" s="425">
        <f t="shared" si="7"/>
        <v>0</v>
      </c>
      <c r="AE21" s="284"/>
      <c r="AF21" s="83" t="str">
        <f>VLOOKUP(A21,'Feature Summary'!$A$7:$U$3982,21,FALSE)</f>
        <v>WK</v>
      </c>
      <c r="AG21" s="512"/>
    </row>
    <row r="22" spans="1:33" ht="15.75" thickBot="1" x14ac:dyDescent="0.3">
      <c r="A22" s="456" t="s">
        <v>295</v>
      </c>
      <c r="B22" s="487" t="s">
        <v>296</v>
      </c>
      <c r="C22" s="461"/>
      <c r="D22" s="503" t="s">
        <v>248</v>
      </c>
      <c r="E22" s="461" t="s">
        <v>567</v>
      </c>
      <c r="F22" s="461" t="s">
        <v>568</v>
      </c>
      <c r="G22" s="303" t="str">
        <f>VLOOKUP(A22,'Feature Summary'!$A$7:$C$3982,3,FALSE)</f>
        <v>P2</v>
      </c>
      <c r="H22" s="461" t="s">
        <v>569</v>
      </c>
      <c r="I22" s="486"/>
      <c r="J22" s="504">
        <v>1</v>
      </c>
      <c r="K22" s="399">
        <v>1</v>
      </c>
      <c r="L22" s="492" t="s">
        <v>33</v>
      </c>
      <c r="M22" s="505">
        <v>1</v>
      </c>
      <c r="N22" s="399">
        <v>0.6</v>
      </c>
      <c r="O22" s="494">
        <f t="shared" si="2"/>
        <v>0.6</v>
      </c>
      <c r="P22" s="506" t="s">
        <v>45</v>
      </c>
      <c r="Q22" s="491">
        <v>1</v>
      </c>
      <c r="R22" s="507"/>
      <c r="S22" s="399"/>
      <c r="T22" s="508"/>
      <c r="U22" s="508"/>
      <c r="V22" s="508"/>
      <c r="W22" s="509">
        <f t="shared" si="8"/>
        <v>0</v>
      </c>
      <c r="X22" s="510"/>
      <c r="Y22" s="511"/>
      <c r="Z22" s="508"/>
      <c r="AA22" s="508"/>
      <c r="AB22" s="508"/>
      <c r="AC22" s="508"/>
      <c r="AD22" s="425">
        <f t="shared" si="7"/>
        <v>0</v>
      </c>
      <c r="AE22" s="284"/>
      <c r="AF22" s="83" t="str">
        <f>VLOOKUP(A22,'Feature Summary'!$A$7:$U$3982,21,FALSE)</f>
        <v>WK</v>
      </c>
      <c r="AG22" s="512"/>
    </row>
    <row r="23" spans="1:33" ht="15.75" thickBot="1" x14ac:dyDescent="0.3">
      <c r="A23" s="456" t="s">
        <v>295</v>
      </c>
      <c r="B23" s="487" t="s">
        <v>296</v>
      </c>
      <c r="C23" s="461"/>
      <c r="D23" s="503" t="s">
        <v>248</v>
      </c>
      <c r="E23" s="461" t="s">
        <v>567</v>
      </c>
      <c r="F23" s="461" t="s">
        <v>570</v>
      </c>
      <c r="G23" s="303" t="str">
        <f>VLOOKUP(A23,'Feature Summary'!$A$7:$C$3982,3,FALSE)</f>
        <v>P2</v>
      </c>
      <c r="H23" s="461" t="s">
        <v>571</v>
      </c>
      <c r="I23" s="486"/>
      <c r="J23" s="504">
        <v>1</v>
      </c>
      <c r="K23" s="399">
        <v>1</v>
      </c>
      <c r="L23" s="492" t="s">
        <v>33</v>
      </c>
      <c r="M23" s="505">
        <v>1</v>
      </c>
      <c r="N23" s="399">
        <v>0.6</v>
      </c>
      <c r="O23" s="494">
        <f t="shared" si="2"/>
        <v>0.6</v>
      </c>
      <c r="P23" s="506" t="s">
        <v>45</v>
      </c>
      <c r="Q23" s="491">
        <v>1</v>
      </c>
      <c r="R23" s="507"/>
      <c r="S23" s="399"/>
      <c r="T23" s="508"/>
      <c r="U23" s="508"/>
      <c r="V23" s="508"/>
      <c r="W23" s="509">
        <f t="shared" si="8"/>
        <v>0</v>
      </c>
      <c r="X23" s="510"/>
      <c r="Y23" s="511"/>
      <c r="Z23" s="508"/>
      <c r="AA23" s="508"/>
      <c r="AB23" s="508"/>
      <c r="AC23" s="508"/>
      <c r="AD23" s="425">
        <f t="shared" si="7"/>
        <v>0</v>
      </c>
      <c r="AE23" s="284"/>
      <c r="AF23" s="83" t="str">
        <f>VLOOKUP(A23,'Feature Summary'!$A$7:$U$3982,21,FALSE)</f>
        <v>WK</v>
      </c>
      <c r="AG23" s="512"/>
    </row>
    <row r="24" spans="1:33" ht="15.75" thickBot="1" x14ac:dyDescent="0.3">
      <c r="A24" s="456" t="s">
        <v>299</v>
      </c>
      <c r="B24" s="487" t="s">
        <v>300</v>
      </c>
      <c r="C24" s="461"/>
      <c r="D24" s="503" t="s">
        <v>248</v>
      </c>
      <c r="E24" s="461" t="s">
        <v>555</v>
      </c>
      <c r="F24" s="461" t="s">
        <v>572</v>
      </c>
      <c r="G24" s="303" t="str">
        <f>VLOOKUP(A24,'Feature Summary'!$A$7:$C$3982,3,FALSE)</f>
        <v>P2</v>
      </c>
      <c r="H24" s="461" t="s">
        <v>573</v>
      </c>
      <c r="I24" s="486"/>
      <c r="J24" s="504">
        <v>1</v>
      </c>
      <c r="K24" s="399">
        <v>1</v>
      </c>
      <c r="L24" s="492" t="s">
        <v>33</v>
      </c>
      <c r="M24" s="505">
        <v>1</v>
      </c>
      <c r="N24" s="399">
        <v>0.6</v>
      </c>
      <c r="O24" s="494">
        <f t="shared" si="2"/>
        <v>0.6</v>
      </c>
      <c r="P24" s="506" t="s">
        <v>45</v>
      </c>
      <c r="Q24" s="491">
        <v>1</v>
      </c>
      <c r="R24" s="507"/>
      <c r="S24" s="399"/>
      <c r="T24" s="508"/>
      <c r="U24" s="508"/>
      <c r="V24" s="508"/>
      <c r="W24" s="509">
        <f t="shared" si="8"/>
        <v>0</v>
      </c>
      <c r="X24" s="510"/>
      <c r="Y24" s="511"/>
      <c r="Z24" s="508"/>
      <c r="AA24" s="508"/>
      <c r="AB24" s="508"/>
      <c r="AC24" s="508"/>
      <c r="AD24" s="425">
        <f t="shared" si="7"/>
        <v>0</v>
      </c>
      <c r="AE24" s="284"/>
      <c r="AF24" s="83" t="str">
        <f>VLOOKUP(A24,'Feature Summary'!$A$7:$U$3982,21,FALSE)</f>
        <v>WK</v>
      </c>
      <c r="AG24" s="512"/>
    </row>
    <row r="25" spans="1:33" ht="15.75" thickBot="1" x14ac:dyDescent="0.3">
      <c r="A25" s="456" t="s">
        <v>309</v>
      </c>
      <c r="B25" s="487" t="s">
        <v>310</v>
      </c>
      <c r="C25" s="461"/>
      <c r="D25" s="503" t="s">
        <v>248</v>
      </c>
      <c r="E25" s="461" t="s">
        <v>574</v>
      </c>
      <c r="F25" s="461" t="s">
        <v>575</v>
      </c>
      <c r="G25" s="303" t="str">
        <f>VLOOKUP(A25,'Feature Summary'!$A$7:$C$3982,3,FALSE)</f>
        <v>P2</v>
      </c>
      <c r="H25" s="461" t="s">
        <v>576</v>
      </c>
      <c r="I25" s="486"/>
      <c r="J25" s="504">
        <v>1</v>
      </c>
      <c r="K25" s="399">
        <v>1</v>
      </c>
      <c r="L25" s="492" t="s">
        <v>33</v>
      </c>
      <c r="M25" s="505">
        <v>1</v>
      </c>
      <c r="N25" s="399">
        <v>0.6</v>
      </c>
      <c r="O25" s="494">
        <f t="shared" si="2"/>
        <v>0.6</v>
      </c>
      <c r="P25" s="506" t="s">
        <v>45</v>
      </c>
      <c r="Q25" s="491">
        <v>1</v>
      </c>
      <c r="R25" s="507"/>
      <c r="S25" s="399"/>
      <c r="T25" s="508"/>
      <c r="U25" s="508"/>
      <c r="V25" s="508"/>
      <c r="W25" s="509">
        <f t="shared" si="8"/>
        <v>0</v>
      </c>
      <c r="X25" s="606"/>
      <c r="Y25" s="511"/>
      <c r="Z25" s="508"/>
      <c r="AA25" s="508"/>
      <c r="AB25" s="508"/>
      <c r="AC25" s="508"/>
      <c r="AD25" s="425">
        <f t="shared" si="7"/>
        <v>0</v>
      </c>
      <c r="AE25" s="284"/>
      <c r="AF25" s="83" t="str">
        <f>VLOOKUP(A25,'Feature Summary'!$A$7:$U$3982,21,FALSE)</f>
        <v>WK</v>
      </c>
      <c r="AG25" s="512"/>
    </row>
    <row r="26" spans="1:33" ht="15.75" thickBot="1" x14ac:dyDescent="0.3">
      <c r="A26" s="456" t="s">
        <v>317</v>
      </c>
      <c r="B26" s="487" t="s">
        <v>318</v>
      </c>
      <c r="C26" s="461"/>
      <c r="D26" s="503" t="s">
        <v>248</v>
      </c>
      <c r="E26" s="461" t="s">
        <v>577</v>
      </c>
      <c r="F26" s="461" t="s">
        <v>578</v>
      </c>
      <c r="G26" s="303" t="str">
        <f>VLOOKUP(A26,'Feature Summary'!$A$7:$C$3982,3,FALSE)</f>
        <v>P2</v>
      </c>
      <c r="H26" s="461" t="s">
        <v>579</v>
      </c>
      <c r="I26" s="486"/>
      <c r="J26" s="504">
        <v>1</v>
      </c>
      <c r="K26" s="399">
        <v>1</v>
      </c>
      <c r="L26" s="492" t="s">
        <v>33</v>
      </c>
      <c r="M26" s="505">
        <v>1</v>
      </c>
      <c r="N26" s="399">
        <v>0.6</v>
      </c>
      <c r="O26" s="494">
        <f t="shared" si="2"/>
        <v>0.6</v>
      </c>
      <c r="P26" s="506" t="s">
        <v>45</v>
      </c>
      <c r="Q26" s="491">
        <v>1</v>
      </c>
      <c r="R26" s="507"/>
      <c r="S26" s="399"/>
      <c r="T26" s="508"/>
      <c r="U26" s="508"/>
      <c r="V26" s="508"/>
      <c r="W26" s="509">
        <f>IF((R26=0),0,((S26+T26)/R26*100%))</f>
        <v>0</v>
      </c>
      <c r="X26" s="510"/>
      <c r="Y26" s="511"/>
      <c r="Z26" s="576"/>
      <c r="AA26" s="508"/>
      <c r="AB26" s="508"/>
      <c r="AC26" s="508"/>
      <c r="AD26" s="425">
        <f>IF((Y26=0),0,((Z26+AA26)/Y26*100%))</f>
        <v>0</v>
      </c>
      <c r="AE26" s="284"/>
      <c r="AF26" s="83" t="str">
        <f>VLOOKUP(A26,'Feature Summary'!$A$7:$U$3982,21,FALSE)</f>
        <v>WK</v>
      </c>
      <c r="AG26" s="512"/>
    </row>
    <row r="27" spans="1:33" ht="15.75" thickBot="1" x14ac:dyDescent="0.3">
      <c r="A27" s="456" t="s">
        <v>319</v>
      </c>
      <c r="B27" s="487" t="s">
        <v>320</v>
      </c>
      <c r="C27" s="461"/>
      <c r="D27" s="503" t="s">
        <v>248</v>
      </c>
      <c r="E27" s="461" t="s">
        <v>577</v>
      </c>
      <c r="F27" s="461" t="s">
        <v>580</v>
      </c>
      <c r="G27" s="303" t="str">
        <f>VLOOKUP(A27,'Feature Summary'!$A$7:$C$3982,3,FALSE)</f>
        <v>P2</v>
      </c>
      <c r="H27" s="461" t="s">
        <v>581</v>
      </c>
      <c r="I27" s="486" t="s">
        <v>582</v>
      </c>
      <c r="J27" s="504">
        <v>1</v>
      </c>
      <c r="K27" s="399">
        <v>1</v>
      </c>
      <c r="L27" s="492" t="s">
        <v>33</v>
      </c>
      <c r="M27" s="505">
        <v>1</v>
      </c>
      <c r="N27" s="399">
        <v>0.6</v>
      </c>
      <c r="O27" s="494">
        <f t="shared" si="2"/>
        <v>0.6</v>
      </c>
      <c r="P27" s="506" t="s">
        <v>45</v>
      </c>
      <c r="Q27" s="491">
        <v>1</v>
      </c>
      <c r="R27" s="507"/>
      <c r="S27" s="399"/>
      <c r="T27" s="508"/>
      <c r="U27" s="508"/>
      <c r="V27" s="508"/>
      <c r="W27" s="509">
        <f>IF((R27=0),0,((S27+T27)/R27*100%))</f>
        <v>0</v>
      </c>
      <c r="X27" s="510"/>
      <c r="Y27" s="511"/>
      <c r="Z27" s="508"/>
      <c r="AA27" s="508"/>
      <c r="AB27" s="508"/>
      <c r="AC27" s="508"/>
      <c r="AD27" s="425">
        <f>IF((Y27=0),0,((Z27+AA27)/Y27*100%))</f>
        <v>0</v>
      </c>
      <c r="AE27" s="284"/>
      <c r="AF27" s="83" t="str">
        <f>VLOOKUP(A27,'Feature Summary'!$A$7:$U$3982,21,FALSE)</f>
        <v>WK</v>
      </c>
      <c r="AG27" s="512"/>
    </row>
    <row r="28" spans="1:33" ht="15.75" thickBot="1" x14ac:dyDescent="0.3">
      <c r="A28" s="456" t="s">
        <v>321</v>
      </c>
      <c r="B28" s="487" t="s">
        <v>322</v>
      </c>
      <c r="C28" s="461"/>
      <c r="D28" s="503" t="s">
        <v>248</v>
      </c>
      <c r="E28" s="461" t="s">
        <v>577</v>
      </c>
      <c r="F28" s="461" t="s">
        <v>583</v>
      </c>
      <c r="G28" s="303" t="str">
        <f>VLOOKUP(A28,'Feature Summary'!$A$7:$C$3982,3,FALSE)</f>
        <v>P2</v>
      </c>
      <c r="H28" s="461" t="s">
        <v>584</v>
      </c>
      <c r="I28" s="486"/>
      <c r="J28" s="504">
        <v>1</v>
      </c>
      <c r="K28" s="399">
        <v>1</v>
      </c>
      <c r="L28" s="492" t="s">
        <v>33</v>
      </c>
      <c r="M28" s="505">
        <v>1</v>
      </c>
      <c r="N28" s="399">
        <v>0.6</v>
      </c>
      <c r="O28" s="494">
        <f t="shared" si="2"/>
        <v>0.6</v>
      </c>
      <c r="P28" s="506" t="s">
        <v>45</v>
      </c>
      <c r="Q28" s="491">
        <v>1</v>
      </c>
      <c r="R28" s="507"/>
      <c r="S28" s="399"/>
      <c r="T28" s="508"/>
      <c r="U28" s="508"/>
      <c r="V28" s="508"/>
      <c r="W28" s="509">
        <f>IF((R28=0),0,((S28+T28)/R28*100%))</f>
        <v>0</v>
      </c>
      <c r="X28" s="510"/>
      <c r="Y28" s="511"/>
      <c r="Z28" s="508"/>
      <c r="AA28" s="508"/>
      <c r="AB28" s="508"/>
      <c r="AC28" s="508"/>
      <c r="AD28" s="425">
        <f t="shared" ref="AD28" si="9">IF((Y28=0),0,((Z28+AA28)/Y28*100%))</f>
        <v>0</v>
      </c>
      <c r="AE28" s="284"/>
      <c r="AF28" s="83" t="str">
        <f>VLOOKUP(A28,'Feature Summary'!$A$7:$U$3982,21,FALSE)</f>
        <v>WK</v>
      </c>
      <c r="AG28" s="512"/>
    </row>
    <row r="29" spans="1:33" ht="15.75" thickBot="1" x14ac:dyDescent="0.3">
      <c r="A29" s="456" t="s">
        <v>323</v>
      </c>
      <c r="B29" s="487" t="s">
        <v>324</v>
      </c>
      <c r="C29" s="461"/>
      <c r="D29" s="503" t="s">
        <v>248</v>
      </c>
      <c r="E29" s="461" t="s">
        <v>577</v>
      </c>
      <c r="F29" s="461" t="s">
        <v>585</v>
      </c>
      <c r="G29" s="303" t="str">
        <f>VLOOKUP(A29,'Feature Summary'!$A$7:$C$3982,3,FALSE)</f>
        <v>P2</v>
      </c>
      <c r="H29" s="461" t="s">
        <v>586</v>
      </c>
      <c r="I29" s="486"/>
      <c r="J29" s="504">
        <v>1</v>
      </c>
      <c r="K29" s="399">
        <v>1</v>
      </c>
      <c r="L29" s="492" t="s">
        <v>33</v>
      </c>
      <c r="M29" s="505">
        <v>1</v>
      </c>
      <c r="N29" s="399">
        <v>0.6</v>
      </c>
      <c r="O29" s="494">
        <f t="shared" si="2"/>
        <v>0.6</v>
      </c>
      <c r="P29" s="506" t="s">
        <v>45</v>
      </c>
      <c r="Q29" s="491">
        <v>1</v>
      </c>
      <c r="R29" s="507"/>
      <c r="S29" s="399"/>
      <c r="T29" s="508"/>
      <c r="U29" s="508"/>
      <c r="V29" s="508"/>
      <c r="W29" s="509">
        <f t="shared" ref="W29:W30" si="10">IF((R29=0),0,((S29+T29)/R29*100%))</f>
        <v>0</v>
      </c>
      <c r="X29" s="510"/>
      <c r="Y29" s="511"/>
      <c r="Z29" s="576"/>
      <c r="AA29" s="508"/>
      <c r="AB29" s="508"/>
      <c r="AC29" s="508"/>
      <c r="AD29" s="425">
        <f>IF((Y29=0),0,((Z29+AA29)/Y29*100%))</f>
        <v>0</v>
      </c>
      <c r="AE29" s="284"/>
      <c r="AF29" s="83" t="str">
        <f>VLOOKUP(A29,'Feature Summary'!$A$7:$U$3982,21,FALSE)</f>
        <v>WK</v>
      </c>
      <c r="AG29" s="512"/>
    </row>
    <row r="30" spans="1:33" s="560" customFormat="1" ht="15.75" thickBot="1" x14ac:dyDescent="0.3">
      <c r="A30" s="456" t="s">
        <v>325</v>
      </c>
      <c r="B30" s="487" t="s">
        <v>326</v>
      </c>
      <c r="C30" s="547"/>
      <c r="D30" s="548" t="s">
        <v>248</v>
      </c>
      <c r="E30" s="547" t="s">
        <v>577</v>
      </c>
      <c r="F30" s="547" t="s">
        <v>587</v>
      </c>
      <c r="G30" s="303" t="str">
        <f>VLOOKUP(A30,'Feature Summary'!$A$7:$C$3982,3,FALSE)</f>
        <v>P2</v>
      </c>
      <c r="H30" s="547" t="s">
        <v>588</v>
      </c>
      <c r="I30" s="549"/>
      <c r="J30" s="550">
        <v>1</v>
      </c>
      <c r="K30" s="399">
        <v>1</v>
      </c>
      <c r="L30" s="492" t="s">
        <v>33</v>
      </c>
      <c r="M30" s="505">
        <v>1</v>
      </c>
      <c r="N30" s="399">
        <v>0.6</v>
      </c>
      <c r="O30" s="494">
        <f t="shared" si="2"/>
        <v>0.6</v>
      </c>
      <c r="P30" s="506" t="s">
        <v>45</v>
      </c>
      <c r="Q30" s="491">
        <v>1</v>
      </c>
      <c r="R30" s="551"/>
      <c r="S30" s="399"/>
      <c r="T30" s="552"/>
      <c r="U30" s="552"/>
      <c r="V30" s="552"/>
      <c r="W30" s="553">
        <f t="shared" si="10"/>
        <v>0</v>
      </c>
      <c r="X30" s="554"/>
      <c r="Y30" s="555"/>
      <c r="Z30" s="577"/>
      <c r="AA30" s="552"/>
      <c r="AB30" s="552"/>
      <c r="AC30" s="552"/>
      <c r="AD30" s="556">
        <f t="shared" ref="AD30:AD39" si="11">IF((Y30=0),0,((Z30+AA30)/Y30*100%))</f>
        <v>0</v>
      </c>
      <c r="AE30" s="557"/>
      <c r="AF30" s="558" t="str">
        <f>VLOOKUP(A30,'Feature Summary'!$A$7:$U$3982,21,FALSE)</f>
        <v>WK</v>
      </c>
      <c r="AG30" s="559"/>
    </row>
    <row r="31" spans="1:33" ht="15.75" thickBot="1" x14ac:dyDescent="0.3">
      <c r="A31" s="456" t="s">
        <v>333</v>
      </c>
      <c r="B31" s="487" t="s">
        <v>334</v>
      </c>
      <c r="C31" s="461"/>
      <c r="D31" s="503" t="s">
        <v>248</v>
      </c>
      <c r="E31" s="461" t="s">
        <v>577</v>
      </c>
      <c r="F31" s="461" t="s">
        <v>589</v>
      </c>
      <c r="G31" s="303" t="str">
        <f>VLOOKUP(A31,'Feature Summary'!$A$7:$C$3982,3,FALSE)</f>
        <v>P2</v>
      </c>
      <c r="H31" s="461" t="s">
        <v>590</v>
      </c>
      <c r="I31" s="486"/>
      <c r="J31" s="504">
        <v>1</v>
      </c>
      <c r="K31" s="399">
        <v>1</v>
      </c>
      <c r="L31" s="492" t="s">
        <v>33</v>
      </c>
      <c r="M31" s="505">
        <v>1</v>
      </c>
      <c r="N31" s="399">
        <v>0.6</v>
      </c>
      <c r="O31" s="494">
        <f t="shared" si="2"/>
        <v>0.6</v>
      </c>
      <c r="P31" s="506" t="s">
        <v>45</v>
      </c>
      <c r="Q31" s="491">
        <v>1</v>
      </c>
      <c r="R31" s="507"/>
      <c r="S31" s="399"/>
      <c r="T31" s="508"/>
      <c r="U31" s="508"/>
      <c r="V31" s="508"/>
      <c r="W31" s="509">
        <f t="shared" ref="W31:W39" si="12">IF((R31=0),0,((S31+T31)/R31*100%))</f>
        <v>0</v>
      </c>
      <c r="X31" s="510"/>
      <c r="Y31" s="511"/>
      <c r="Z31" s="576"/>
      <c r="AA31" s="508"/>
      <c r="AB31" s="508"/>
      <c r="AC31" s="508"/>
      <c r="AD31" s="425">
        <f t="shared" si="11"/>
        <v>0</v>
      </c>
      <c r="AE31" s="284"/>
      <c r="AF31" s="83" t="str">
        <f>VLOOKUP(A31,'Feature Summary'!$A$7:$U$3982,21,FALSE)</f>
        <v>WK</v>
      </c>
      <c r="AG31" s="512"/>
    </row>
    <row r="32" spans="1:33" ht="15.75" thickBot="1" x14ac:dyDescent="0.3">
      <c r="A32" s="456" t="s">
        <v>335</v>
      </c>
      <c r="B32" s="487" t="s">
        <v>336</v>
      </c>
      <c r="C32" s="461"/>
      <c r="D32" s="503" t="s">
        <v>248</v>
      </c>
      <c r="E32" s="461" t="s">
        <v>577</v>
      </c>
      <c r="F32" s="461" t="s">
        <v>591</v>
      </c>
      <c r="G32" s="303" t="str">
        <f>VLOOKUP(A32,'Feature Summary'!$A$7:$C$3982,3,FALSE)</f>
        <v>P2</v>
      </c>
      <c r="H32" s="461" t="s">
        <v>592</v>
      </c>
      <c r="I32" s="486"/>
      <c r="J32" s="504">
        <v>1</v>
      </c>
      <c r="K32" s="399">
        <v>1</v>
      </c>
      <c r="L32" s="492" t="s">
        <v>33</v>
      </c>
      <c r="M32" s="505">
        <v>1</v>
      </c>
      <c r="N32" s="399">
        <v>0.6</v>
      </c>
      <c r="O32" s="494">
        <f t="shared" si="2"/>
        <v>0.6</v>
      </c>
      <c r="P32" s="506" t="s">
        <v>45</v>
      </c>
      <c r="Q32" s="491">
        <v>1</v>
      </c>
      <c r="R32" s="507"/>
      <c r="S32" s="399"/>
      <c r="T32" s="508"/>
      <c r="U32" s="508"/>
      <c r="V32" s="508"/>
      <c r="W32" s="509">
        <f t="shared" si="12"/>
        <v>0</v>
      </c>
      <c r="X32" s="510"/>
      <c r="Y32" s="511"/>
      <c r="Z32" s="576"/>
      <c r="AA32" s="508"/>
      <c r="AB32" s="508"/>
      <c r="AC32" s="508"/>
      <c r="AD32" s="425">
        <f t="shared" si="11"/>
        <v>0</v>
      </c>
      <c r="AE32" s="284"/>
      <c r="AF32" s="83" t="str">
        <f>VLOOKUP(A32,'Feature Summary'!$A$7:$U$3982,21,FALSE)</f>
        <v>WK</v>
      </c>
      <c r="AG32" s="512"/>
    </row>
    <row r="33" spans="1:33" ht="15.75" thickBot="1" x14ac:dyDescent="0.3">
      <c r="A33" s="456" t="s">
        <v>337</v>
      </c>
      <c r="B33" s="487" t="s">
        <v>338</v>
      </c>
      <c r="C33" s="461"/>
      <c r="D33" s="503" t="s">
        <v>248</v>
      </c>
      <c r="E33" s="461" t="s">
        <v>555</v>
      </c>
      <c r="F33" s="461" t="s">
        <v>593</v>
      </c>
      <c r="G33" s="303" t="str">
        <f>VLOOKUP(A33,'Feature Summary'!$A$7:$C$3982,3,FALSE)</f>
        <v>P2</v>
      </c>
      <c r="H33" s="461" t="s">
        <v>594</v>
      </c>
      <c r="I33" s="486"/>
      <c r="J33" s="504">
        <v>1</v>
      </c>
      <c r="K33" s="399">
        <v>1</v>
      </c>
      <c r="L33" s="492" t="s">
        <v>33</v>
      </c>
      <c r="M33" s="505">
        <v>1</v>
      </c>
      <c r="N33" s="399">
        <v>0.6</v>
      </c>
      <c r="O33" s="494">
        <f t="shared" si="2"/>
        <v>0.6</v>
      </c>
      <c r="P33" s="506" t="s">
        <v>45</v>
      </c>
      <c r="Q33" s="491">
        <v>1</v>
      </c>
      <c r="R33" s="507"/>
      <c r="S33" s="399"/>
      <c r="T33" s="508"/>
      <c r="U33" s="508"/>
      <c r="V33" s="508"/>
      <c r="W33" s="509">
        <f t="shared" si="12"/>
        <v>0</v>
      </c>
      <c r="X33" s="510"/>
      <c r="Y33" s="511"/>
      <c r="Z33" s="508"/>
      <c r="AA33" s="508"/>
      <c r="AB33" s="508"/>
      <c r="AC33" s="508"/>
      <c r="AD33" s="425">
        <f t="shared" si="11"/>
        <v>0</v>
      </c>
      <c r="AE33" s="284"/>
      <c r="AF33" s="83" t="str">
        <f>VLOOKUP(A33,'Feature Summary'!$A$7:$U$3982,21,FALSE)</f>
        <v>WK</v>
      </c>
      <c r="AG33" s="512"/>
    </row>
    <row r="34" spans="1:33" ht="15.75" thickBot="1" x14ac:dyDescent="0.3">
      <c r="A34" s="456" t="s">
        <v>343</v>
      </c>
      <c r="B34" s="487" t="s">
        <v>344</v>
      </c>
      <c r="C34" s="461"/>
      <c r="D34" s="503" t="s">
        <v>248</v>
      </c>
      <c r="E34" s="461" t="s">
        <v>555</v>
      </c>
      <c r="F34" s="461" t="s">
        <v>595</v>
      </c>
      <c r="G34" s="303" t="str">
        <f>VLOOKUP(A34,'Feature Summary'!$A$7:$C$3982,3,FALSE)</f>
        <v>P2</v>
      </c>
      <c r="H34" s="461" t="s">
        <v>596</v>
      </c>
      <c r="I34" s="486"/>
      <c r="J34" s="504">
        <v>1</v>
      </c>
      <c r="K34" s="399">
        <v>1</v>
      </c>
      <c r="L34" s="492" t="s">
        <v>33</v>
      </c>
      <c r="M34" s="505">
        <v>1</v>
      </c>
      <c r="N34" s="399">
        <v>0.6</v>
      </c>
      <c r="O34" s="494">
        <f t="shared" si="2"/>
        <v>0.6</v>
      </c>
      <c r="P34" s="506" t="s">
        <v>45</v>
      </c>
      <c r="Q34" s="491">
        <v>1</v>
      </c>
      <c r="R34" s="507"/>
      <c r="S34" s="399"/>
      <c r="T34" s="508"/>
      <c r="U34" s="508"/>
      <c r="V34" s="508"/>
      <c r="W34" s="509">
        <f t="shared" si="12"/>
        <v>0</v>
      </c>
      <c r="X34" s="510"/>
      <c r="Y34" s="511"/>
      <c r="Z34" s="576"/>
      <c r="AA34" s="508"/>
      <c r="AB34" s="508"/>
      <c r="AC34" s="508"/>
      <c r="AD34" s="425">
        <f t="shared" si="11"/>
        <v>0</v>
      </c>
      <c r="AE34" s="284"/>
      <c r="AF34" s="83" t="str">
        <f>VLOOKUP(A34,'Feature Summary'!$A$7:$U$3982,21,FALSE)</f>
        <v>WK</v>
      </c>
      <c r="AG34" s="512"/>
    </row>
    <row r="35" spans="1:33" ht="15.75" thickBot="1" x14ac:dyDescent="0.3">
      <c r="A35" s="456" t="s">
        <v>353</v>
      </c>
      <c r="B35" s="487" t="s">
        <v>354</v>
      </c>
      <c r="C35" s="461"/>
      <c r="D35" s="503" t="s">
        <v>248</v>
      </c>
      <c r="E35" s="461" t="s">
        <v>597</v>
      </c>
      <c r="F35" s="461" t="s">
        <v>598</v>
      </c>
      <c r="G35" s="303" t="str">
        <f>VLOOKUP(A35,'Feature Summary'!$A$7:$C$3982,3,FALSE)</f>
        <v>P2</v>
      </c>
      <c r="H35" s="461" t="s">
        <v>599</v>
      </c>
      <c r="I35" s="486"/>
      <c r="J35" s="504">
        <v>1</v>
      </c>
      <c r="K35" s="399">
        <v>1</v>
      </c>
      <c r="L35" s="492" t="s">
        <v>33</v>
      </c>
      <c r="M35" s="505">
        <v>1</v>
      </c>
      <c r="N35" s="399">
        <v>0.6</v>
      </c>
      <c r="O35" s="494">
        <f t="shared" si="2"/>
        <v>0.6</v>
      </c>
      <c r="P35" s="506" t="s">
        <v>45</v>
      </c>
      <c r="Q35" s="491">
        <v>1</v>
      </c>
      <c r="R35" s="507"/>
      <c r="S35" s="399"/>
      <c r="T35" s="508"/>
      <c r="U35" s="508"/>
      <c r="V35" s="508"/>
      <c r="W35" s="509">
        <f t="shared" si="12"/>
        <v>0</v>
      </c>
      <c r="X35" s="510"/>
      <c r="Y35" s="511"/>
      <c r="Z35" s="508"/>
      <c r="AA35" s="508"/>
      <c r="AB35" s="508"/>
      <c r="AC35" s="508"/>
      <c r="AD35" s="425">
        <f t="shared" si="11"/>
        <v>0</v>
      </c>
      <c r="AE35" s="284"/>
      <c r="AF35" s="83" t="str">
        <f>VLOOKUP(A35,'Feature Summary'!$A$7:$U$3982,21,FALSE)</f>
        <v>WK</v>
      </c>
      <c r="AG35" s="512"/>
    </row>
    <row r="36" spans="1:33" ht="15.75" thickBot="1" x14ac:dyDescent="0.3">
      <c r="A36" s="458" t="s">
        <v>367</v>
      </c>
      <c r="B36" s="487" t="s">
        <v>368</v>
      </c>
      <c r="C36" s="461"/>
      <c r="D36" s="503" t="s">
        <v>248</v>
      </c>
      <c r="E36" s="461" t="s">
        <v>600</v>
      </c>
      <c r="F36" s="461" t="s">
        <v>601</v>
      </c>
      <c r="G36" s="303" t="str">
        <f>VLOOKUP(A36,'Feature Summary'!$A$7:$C$3982,3,FALSE)</f>
        <v>P2</v>
      </c>
      <c r="H36" s="461" t="s">
        <v>602</v>
      </c>
      <c r="I36" s="486" t="s">
        <v>603</v>
      </c>
      <c r="J36" s="504">
        <v>1</v>
      </c>
      <c r="K36" s="399">
        <v>1</v>
      </c>
      <c r="L36" s="492" t="s">
        <v>33</v>
      </c>
      <c r="M36" s="505">
        <v>1</v>
      </c>
      <c r="N36" s="399">
        <v>0.6</v>
      </c>
      <c r="O36" s="494">
        <f t="shared" si="2"/>
        <v>0.6</v>
      </c>
      <c r="P36" s="506" t="s">
        <v>45</v>
      </c>
      <c r="Q36" s="491">
        <v>1</v>
      </c>
      <c r="R36" s="507"/>
      <c r="S36" s="399"/>
      <c r="T36" s="508"/>
      <c r="U36" s="508"/>
      <c r="V36" s="508"/>
      <c r="W36" s="509">
        <f t="shared" si="12"/>
        <v>0</v>
      </c>
      <c r="X36" s="510"/>
      <c r="Y36" s="511"/>
      <c r="Z36" s="508"/>
      <c r="AA36" s="508"/>
      <c r="AB36" s="508"/>
      <c r="AC36" s="508"/>
      <c r="AD36" s="425">
        <f t="shared" si="11"/>
        <v>0</v>
      </c>
      <c r="AE36" s="284"/>
      <c r="AF36" s="83" t="str">
        <f>VLOOKUP(A36,'Feature Summary'!$A$7:$U$3982,21,FALSE)</f>
        <v>WK</v>
      </c>
      <c r="AG36" s="512"/>
    </row>
    <row r="37" spans="1:33" ht="15.75" thickBot="1" x14ac:dyDescent="0.3">
      <c r="A37" s="458" t="s">
        <v>369</v>
      </c>
      <c r="B37" s="487" t="s">
        <v>370</v>
      </c>
      <c r="C37" s="461"/>
      <c r="D37" s="503" t="s">
        <v>248</v>
      </c>
      <c r="E37" s="461" t="s">
        <v>370</v>
      </c>
      <c r="F37" s="461" t="s">
        <v>604</v>
      </c>
      <c r="G37" s="303" t="str">
        <f>VLOOKUP(A37,'Feature Summary'!$A$7:$C$3982,3,FALSE)</f>
        <v>P2</v>
      </c>
      <c r="H37" s="461" t="s">
        <v>708</v>
      </c>
      <c r="I37" s="486"/>
      <c r="J37" s="504">
        <v>1</v>
      </c>
      <c r="K37" s="399">
        <v>1</v>
      </c>
      <c r="L37" s="492" t="s">
        <v>33</v>
      </c>
      <c r="M37" s="505">
        <v>1</v>
      </c>
      <c r="N37" s="399">
        <v>0.6</v>
      </c>
      <c r="O37" s="494">
        <f t="shared" si="2"/>
        <v>0.6</v>
      </c>
      <c r="P37" s="506" t="s">
        <v>45</v>
      </c>
      <c r="Q37" s="491">
        <v>1</v>
      </c>
      <c r="R37" s="507"/>
      <c r="S37" s="399"/>
      <c r="T37" s="508"/>
      <c r="U37" s="508"/>
      <c r="V37" s="508"/>
      <c r="W37" s="509">
        <f t="shared" si="12"/>
        <v>0</v>
      </c>
      <c r="X37" s="510"/>
      <c r="Y37" s="511"/>
      <c r="Z37" s="508"/>
      <c r="AA37" s="508"/>
      <c r="AB37" s="508"/>
      <c r="AC37" s="508"/>
      <c r="AD37" s="425">
        <f t="shared" si="11"/>
        <v>0</v>
      </c>
      <c r="AE37" s="284"/>
      <c r="AF37" s="83" t="str">
        <f>VLOOKUP(A37,'Feature Summary'!$A$7:$U$3982,21,FALSE)</f>
        <v>WK</v>
      </c>
      <c r="AG37" s="512"/>
    </row>
    <row r="38" spans="1:33" ht="15.75" thickBot="1" x14ac:dyDescent="0.3">
      <c r="A38" s="566" t="s">
        <v>388</v>
      </c>
      <c r="B38" s="461" t="s">
        <v>605</v>
      </c>
      <c r="C38" s="461"/>
      <c r="D38" s="503" t="s">
        <v>248</v>
      </c>
      <c r="E38" s="461" t="s">
        <v>597</v>
      </c>
      <c r="F38" s="461" t="s">
        <v>606</v>
      </c>
      <c r="G38" s="303" t="str">
        <f>VLOOKUP(A38,'Feature Summary'!$A$7:$C$3982,3,FALSE)</f>
        <v>P2</v>
      </c>
      <c r="H38" s="461" t="s">
        <v>607</v>
      </c>
      <c r="I38" s="486"/>
      <c r="J38" s="504">
        <v>1</v>
      </c>
      <c r="K38" s="399">
        <v>1</v>
      </c>
      <c r="L38" s="513" t="s">
        <v>42</v>
      </c>
      <c r="M38" s="505">
        <v>1</v>
      </c>
      <c r="N38" s="399">
        <v>0.6</v>
      </c>
      <c r="O38" s="494">
        <f t="shared" si="2"/>
        <v>0.6</v>
      </c>
      <c r="P38" s="506" t="s">
        <v>45</v>
      </c>
      <c r="Q38" s="491">
        <v>1</v>
      </c>
      <c r="R38" s="507"/>
      <c r="S38" s="399"/>
      <c r="T38" s="508"/>
      <c r="U38" s="508"/>
      <c r="V38" s="508"/>
      <c r="W38" s="509">
        <f t="shared" ref="W38" si="13">IF((R38=0),0,((S38+T38)/R38*100%))</f>
        <v>0</v>
      </c>
      <c r="X38" s="510"/>
      <c r="Y38" s="511"/>
      <c r="Z38" s="508"/>
      <c r="AA38" s="508"/>
      <c r="AB38" s="508"/>
      <c r="AC38" s="508"/>
      <c r="AD38" s="425">
        <f t="shared" ref="AD38" si="14">IF((Y38=0),0,((Z38+AA38)/Y38*100%))</f>
        <v>0</v>
      </c>
      <c r="AE38" s="284"/>
      <c r="AF38" s="83" t="str">
        <f>VLOOKUP(A38,'Feature Summary'!$A$7:$U$3982,21,FALSE)</f>
        <v>WK</v>
      </c>
      <c r="AG38" s="512"/>
    </row>
    <row r="39" spans="1:33" ht="244.5" customHeight="1" thickBot="1" x14ac:dyDescent="0.3">
      <c r="A39" s="566" t="s">
        <v>390</v>
      </c>
      <c r="B39" s="461" t="s">
        <v>608</v>
      </c>
      <c r="C39" s="461"/>
      <c r="D39" s="503" t="s">
        <v>248</v>
      </c>
      <c r="E39" s="461" t="s">
        <v>597</v>
      </c>
      <c r="F39" s="461" t="s">
        <v>609</v>
      </c>
      <c r="G39" s="303" t="str">
        <f>VLOOKUP(A39,'Feature Summary'!$A$7:$C$3982,3,FALSE)</f>
        <v>P2</v>
      </c>
      <c r="H39" s="461" t="s">
        <v>610</v>
      </c>
      <c r="I39" s="461" t="s">
        <v>611</v>
      </c>
      <c r="J39" s="504">
        <v>1</v>
      </c>
      <c r="K39" s="399">
        <v>1</v>
      </c>
      <c r="L39" s="513" t="s">
        <v>42</v>
      </c>
      <c r="M39" s="505">
        <v>1</v>
      </c>
      <c r="N39" s="399">
        <v>0.6</v>
      </c>
      <c r="O39" s="494">
        <f t="shared" si="2"/>
        <v>0.6</v>
      </c>
      <c r="P39" s="506" t="s">
        <v>45</v>
      </c>
      <c r="Q39" s="491">
        <v>1</v>
      </c>
      <c r="R39" s="507"/>
      <c r="S39" s="399"/>
      <c r="T39" s="508"/>
      <c r="U39" s="508"/>
      <c r="V39" s="508"/>
      <c r="W39" s="509">
        <f t="shared" si="12"/>
        <v>0</v>
      </c>
      <c r="X39" s="510"/>
      <c r="Y39" s="511"/>
      <c r="Z39" s="508"/>
      <c r="AA39" s="508"/>
      <c r="AB39" s="508"/>
      <c r="AC39" s="508"/>
      <c r="AD39" s="425">
        <f t="shared" si="11"/>
        <v>0</v>
      </c>
      <c r="AE39" s="284"/>
      <c r="AF39" s="83" t="str">
        <f>VLOOKUP(A39,'Feature Summary'!$A$7:$U$3982,21,FALSE)</f>
        <v>WK</v>
      </c>
      <c r="AG39" s="512"/>
    </row>
    <row r="40" spans="1:33" ht="15.75" thickBot="1" x14ac:dyDescent="0.3">
      <c r="A40" s="464" t="s">
        <v>408</v>
      </c>
      <c r="B40" s="457" t="s">
        <v>409</v>
      </c>
      <c r="C40" s="461"/>
      <c r="D40" s="503" t="s">
        <v>248</v>
      </c>
      <c r="E40" s="461" t="s">
        <v>555</v>
      </c>
      <c r="F40" s="461"/>
      <c r="G40" s="303" t="str">
        <f>VLOOKUP(A40,'Feature Summary'!$A$7:$C$3982,3,FALSE)</f>
        <v>P2</v>
      </c>
      <c r="H40" s="459" t="s">
        <v>612</v>
      </c>
      <c r="I40" s="486" t="s">
        <v>613</v>
      </c>
      <c r="J40" s="504">
        <v>1</v>
      </c>
      <c r="K40" s="399">
        <v>1</v>
      </c>
      <c r="L40" s="513" t="s">
        <v>42</v>
      </c>
      <c r="M40" s="505">
        <v>1</v>
      </c>
      <c r="N40" s="399">
        <v>0.6</v>
      </c>
      <c r="O40" s="494">
        <f t="shared" si="2"/>
        <v>0.6</v>
      </c>
      <c r="P40" s="506" t="s">
        <v>45</v>
      </c>
      <c r="Q40" s="491">
        <v>1</v>
      </c>
      <c r="R40" s="507"/>
      <c r="S40" s="399"/>
      <c r="T40" s="508"/>
      <c r="U40" s="508"/>
      <c r="V40" s="508"/>
      <c r="W40" s="509">
        <f t="shared" ref="W40" si="15">IF((R40=0),0,((S40+T40)/R40*100%))</f>
        <v>0</v>
      </c>
      <c r="X40" s="510"/>
      <c r="Y40" s="511"/>
      <c r="Z40" s="508"/>
      <c r="AA40" s="508"/>
      <c r="AB40" s="508"/>
      <c r="AC40" s="508"/>
      <c r="AD40" s="425">
        <f t="shared" ref="AD40" si="16">IF((Y40=0),0,((Z40+AA40)/Y40*100%))</f>
        <v>0</v>
      </c>
      <c r="AE40" s="284"/>
      <c r="AF40" s="83" t="str">
        <f>VLOOKUP(A40,'Feature Summary'!$A$7:$U$3982,21,FALSE)</f>
        <v>WK</v>
      </c>
      <c r="AG40" s="512"/>
    </row>
    <row r="41" spans="1:33" ht="15.75" thickBot="1" x14ac:dyDescent="0.3">
      <c r="A41" s="566" t="s">
        <v>614</v>
      </c>
      <c r="B41" s="457" t="s">
        <v>413</v>
      </c>
      <c r="C41" s="461"/>
      <c r="D41" s="503" t="s">
        <v>248</v>
      </c>
      <c r="E41" s="461" t="s">
        <v>615</v>
      </c>
      <c r="F41" s="461"/>
      <c r="G41" s="303" t="e">
        <f>VLOOKUP(A41,'Feature Summary'!$A$7:$C$3982,3,FALSE)</f>
        <v>#N/A</v>
      </c>
      <c r="H41" s="485" t="s">
        <v>526</v>
      </c>
      <c r="I41" s="486"/>
      <c r="J41" s="504">
        <v>1</v>
      </c>
      <c r="K41" s="399">
        <v>1</v>
      </c>
      <c r="L41" s="513" t="s">
        <v>42</v>
      </c>
      <c r="M41" s="505">
        <v>1</v>
      </c>
      <c r="N41" s="399">
        <v>0.6</v>
      </c>
      <c r="O41" s="494">
        <f t="shared" si="2"/>
        <v>0.6</v>
      </c>
      <c r="P41" s="506" t="s">
        <v>45</v>
      </c>
      <c r="Q41" s="491">
        <v>1</v>
      </c>
      <c r="R41" s="507"/>
      <c r="S41" s="399"/>
      <c r="T41" s="508"/>
      <c r="U41" s="508"/>
      <c r="V41" s="508"/>
      <c r="W41" s="509">
        <f t="shared" ref="W41" si="17">IF((R41=0),0,((S41+T41)/R41*100%))</f>
        <v>0</v>
      </c>
      <c r="X41" s="510"/>
      <c r="Y41" s="511"/>
      <c r="Z41" s="508"/>
      <c r="AA41" s="508"/>
      <c r="AB41" s="508"/>
      <c r="AC41" s="508"/>
      <c r="AD41" s="425">
        <f t="shared" ref="AD41" si="18">IF((Y41=0),0,((Z41+AA41)/Y41*100%))</f>
        <v>0</v>
      </c>
      <c r="AE41" s="284"/>
      <c r="AF41" s="83" t="e">
        <f>VLOOKUP(A41,'Feature Summary'!$A$7:$U$3982,21,FALSE)</f>
        <v>#N/A</v>
      </c>
      <c r="AG41" s="512"/>
    </row>
    <row r="42" spans="1:33" ht="15.75" thickBot="1" x14ac:dyDescent="0.3">
      <c r="A42" s="464" t="s">
        <v>414</v>
      </c>
      <c r="B42" s="457" t="s">
        <v>415</v>
      </c>
      <c r="C42" s="461"/>
      <c r="D42" s="503" t="s">
        <v>248</v>
      </c>
      <c r="E42" s="461" t="s">
        <v>281</v>
      </c>
      <c r="F42" s="461"/>
      <c r="G42" s="303" t="str">
        <f>VLOOKUP(A42,'Feature Summary'!$A$7:$C$3982,3,FALSE)</f>
        <v>P2</v>
      </c>
      <c r="H42" s="461" t="s">
        <v>708</v>
      </c>
      <c r="I42" s="486"/>
      <c r="J42" s="504">
        <v>1</v>
      </c>
      <c r="K42" s="399">
        <v>1</v>
      </c>
      <c r="L42" s="513" t="s">
        <v>42</v>
      </c>
      <c r="M42" s="505">
        <v>1</v>
      </c>
      <c r="N42" s="399">
        <v>0.6</v>
      </c>
      <c r="O42" s="494">
        <f t="shared" si="2"/>
        <v>0.6</v>
      </c>
      <c r="P42" s="506" t="s">
        <v>45</v>
      </c>
      <c r="Q42" s="491">
        <v>1</v>
      </c>
      <c r="R42" s="507"/>
      <c r="S42" s="399"/>
      <c r="T42" s="508"/>
      <c r="U42" s="508"/>
      <c r="V42" s="508"/>
      <c r="W42" s="509">
        <f t="shared" ref="W42" si="19">IF((R42=0),0,((S42+T42)/R42*100%))</f>
        <v>0</v>
      </c>
      <c r="X42" s="510"/>
      <c r="Y42" s="511"/>
      <c r="Z42" s="508"/>
      <c r="AA42" s="508"/>
      <c r="AB42" s="508"/>
      <c r="AC42" s="508"/>
      <c r="AD42" s="425">
        <f t="shared" ref="AD42" si="20">IF((Y42=0),0,((Z42+AA42)/Y42*100%))</f>
        <v>0</v>
      </c>
      <c r="AE42" s="284"/>
      <c r="AF42" s="83" t="str">
        <f>VLOOKUP(A42,'Feature Summary'!$A$7:$U$3982,21,FALSE)</f>
        <v>WK</v>
      </c>
      <c r="AG42" s="512"/>
    </row>
    <row r="43" spans="1:33" ht="15.75" thickBot="1" x14ac:dyDescent="0.3">
      <c r="A43" s="464" t="s">
        <v>416</v>
      </c>
      <c r="B43" s="457" t="s">
        <v>417</v>
      </c>
      <c r="C43" s="461"/>
      <c r="D43" s="503" t="s">
        <v>248</v>
      </c>
      <c r="E43" s="461" t="s">
        <v>259</v>
      </c>
      <c r="F43" s="461"/>
      <c r="G43" s="303" t="str">
        <f>VLOOKUP(A43,'Feature Summary'!$A$7:$C$3982,3,FALSE)</f>
        <v>P2</v>
      </c>
      <c r="H43" s="461" t="s">
        <v>709</v>
      </c>
      <c r="I43" s="486"/>
      <c r="J43" s="504">
        <v>1</v>
      </c>
      <c r="K43" s="399">
        <v>1</v>
      </c>
      <c r="L43" s="513" t="s">
        <v>42</v>
      </c>
      <c r="M43" s="505">
        <v>1</v>
      </c>
      <c r="N43" s="399">
        <v>0.6</v>
      </c>
      <c r="O43" s="494">
        <f t="shared" si="2"/>
        <v>0.6</v>
      </c>
      <c r="P43" s="506" t="s">
        <v>45</v>
      </c>
      <c r="Q43" s="491">
        <v>1</v>
      </c>
      <c r="R43" s="507"/>
      <c r="S43" s="399"/>
      <c r="T43" s="508"/>
      <c r="U43" s="508"/>
      <c r="V43" s="508"/>
      <c r="W43" s="509">
        <f t="shared" ref="W43" si="21">IF((R43=0),0,((S43+T43)/R43*100%))</f>
        <v>0</v>
      </c>
      <c r="X43" s="510"/>
      <c r="Y43" s="511"/>
      <c r="Z43" s="508"/>
      <c r="AA43" s="508"/>
      <c r="AB43" s="508"/>
      <c r="AC43" s="508"/>
      <c r="AD43" s="425">
        <f t="shared" ref="AD43" si="22">IF((Y43=0),0,((Z43+AA43)/Y43*100%))</f>
        <v>0</v>
      </c>
      <c r="AE43" s="284"/>
      <c r="AF43" s="83" t="str">
        <f>VLOOKUP(A43,'Feature Summary'!$A$7:$U$3982,21,FALSE)</f>
        <v>WK</v>
      </c>
      <c r="AG43" s="512"/>
    </row>
    <row r="44" spans="1:33" ht="15.75" thickBot="1" x14ac:dyDescent="0.3">
      <c r="A44" s="464" t="s">
        <v>418</v>
      </c>
      <c r="B44" s="457" t="s">
        <v>616</v>
      </c>
      <c r="C44" s="403"/>
      <c r="D44" s="503" t="s">
        <v>248</v>
      </c>
      <c r="E44" s="459" t="s">
        <v>617</v>
      </c>
      <c r="F44" s="599"/>
      <c r="G44" s="303" t="str">
        <f>VLOOKUP(A44,'Feature Summary'!$A$7:$C$3982,3,FALSE)</f>
        <v>P2</v>
      </c>
      <c r="H44" s="459" t="s">
        <v>618</v>
      </c>
      <c r="I44" s="486"/>
      <c r="J44" s="504">
        <v>1</v>
      </c>
      <c r="K44" s="399">
        <v>1</v>
      </c>
      <c r="L44" s="513" t="s">
        <v>42</v>
      </c>
      <c r="M44" s="505">
        <v>1</v>
      </c>
      <c r="N44" s="399">
        <v>0.6</v>
      </c>
      <c r="O44" s="494">
        <f t="shared" si="2"/>
        <v>0.6</v>
      </c>
      <c r="P44" s="506" t="s">
        <v>45</v>
      </c>
      <c r="Q44" s="491">
        <v>1</v>
      </c>
      <c r="R44" s="507"/>
      <c r="S44" s="399"/>
      <c r="T44" s="508"/>
      <c r="U44" s="508"/>
      <c r="V44" s="508"/>
      <c r="W44" s="509">
        <f t="shared" ref="W44:W54" si="23">IF((R44=0),0,((S44+T44)/R44*100%))</f>
        <v>0</v>
      </c>
      <c r="X44" s="510"/>
      <c r="Y44" s="511"/>
      <c r="Z44" s="508"/>
      <c r="AA44" s="508"/>
      <c r="AB44" s="508"/>
      <c r="AC44" s="508"/>
      <c r="AD44" s="425">
        <f t="shared" ref="AD44:AD53" si="24">IF((Y44=0),0,((Z44+AA44)/Y44*100%))</f>
        <v>0</v>
      </c>
      <c r="AE44" s="284"/>
      <c r="AF44" s="83" t="str">
        <f>VLOOKUP(A44,'Feature Summary'!$A$7:$U$3982,21,FALSE)</f>
        <v>WK</v>
      </c>
      <c r="AG44" s="512"/>
    </row>
    <row r="45" spans="1:33" ht="15.75" thickBot="1" x14ac:dyDescent="0.3">
      <c r="A45" s="464" t="s">
        <v>418</v>
      </c>
      <c r="B45" s="457" t="s">
        <v>619</v>
      </c>
      <c r="C45" s="403"/>
      <c r="D45" s="503" t="s">
        <v>248</v>
      </c>
      <c r="E45" s="459" t="s">
        <v>617</v>
      </c>
      <c r="F45" s="599"/>
      <c r="G45" s="303" t="str">
        <f>VLOOKUP(A45,'Feature Summary'!$A$7:$C$3982,3,FALSE)</f>
        <v>P2</v>
      </c>
      <c r="H45" s="459" t="s">
        <v>620</v>
      </c>
      <c r="I45" s="486"/>
      <c r="J45" s="504">
        <v>1</v>
      </c>
      <c r="K45" s="399">
        <v>1</v>
      </c>
      <c r="L45" s="513" t="s">
        <v>42</v>
      </c>
      <c r="M45" s="505">
        <v>1</v>
      </c>
      <c r="N45" s="399">
        <v>0.6</v>
      </c>
      <c r="O45" s="494">
        <f t="shared" si="2"/>
        <v>0.6</v>
      </c>
      <c r="P45" s="506" t="s">
        <v>45</v>
      </c>
      <c r="Q45" s="491">
        <v>1</v>
      </c>
      <c r="R45" s="507"/>
      <c r="S45" s="399"/>
      <c r="T45" s="508"/>
      <c r="U45" s="508"/>
      <c r="V45" s="508"/>
      <c r="W45" s="509">
        <f t="shared" si="23"/>
        <v>0</v>
      </c>
      <c r="X45" s="510"/>
      <c r="Y45" s="511"/>
      <c r="Z45" s="508"/>
      <c r="AA45" s="508"/>
      <c r="AB45" s="508"/>
      <c r="AC45" s="508"/>
      <c r="AD45" s="425">
        <f t="shared" si="24"/>
        <v>0</v>
      </c>
      <c r="AE45" s="284"/>
      <c r="AF45" s="83"/>
      <c r="AG45" s="512"/>
    </row>
    <row r="46" spans="1:33" ht="15.75" thickBot="1" x14ac:dyDescent="0.3">
      <c r="A46" s="464" t="s">
        <v>420</v>
      </c>
      <c r="B46" s="457" t="s">
        <v>621</v>
      </c>
      <c r="C46" s="403"/>
      <c r="D46" s="503" t="s">
        <v>248</v>
      </c>
      <c r="E46" s="459" t="s">
        <v>617</v>
      </c>
      <c r="F46" s="599"/>
      <c r="G46" s="303" t="str">
        <f>VLOOKUP(A46,'Feature Summary'!$A$7:$C$3982,3,FALSE)</f>
        <v>P2</v>
      </c>
      <c r="H46" s="459" t="s">
        <v>622</v>
      </c>
      <c r="I46" s="486"/>
      <c r="J46" s="504">
        <v>1</v>
      </c>
      <c r="K46" s="399">
        <v>1</v>
      </c>
      <c r="L46" s="513" t="s">
        <v>42</v>
      </c>
      <c r="M46" s="505">
        <v>1</v>
      </c>
      <c r="N46" s="399">
        <v>0.6</v>
      </c>
      <c r="O46" s="494">
        <f t="shared" si="2"/>
        <v>0.6</v>
      </c>
      <c r="P46" s="506" t="s">
        <v>45</v>
      </c>
      <c r="Q46" s="491">
        <v>1</v>
      </c>
      <c r="R46" s="507"/>
      <c r="S46" s="399"/>
      <c r="T46" s="508"/>
      <c r="U46" s="508"/>
      <c r="V46" s="508"/>
      <c r="W46" s="509">
        <f t="shared" si="23"/>
        <v>0</v>
      </c>
      <c r="X46" s="510"/>
      <c r="Y46" s="511"/>
      <c r="Z46" s="508"/>
      <c r="AA46" s="508"/>
      <c r="AB46" s="508"/>
      <c r="AC46" s="508"/>
      <c r="AD46" s="425">
        <f t="shared" si="24"/>
        <v>0</v>
      </c>
      <c r="AE46" s="284" t="s">
        <v>623</v>
      </c>
      <c r="AF46" s="83" t="str">
        <f>VLOOKUP(A46,'Feature Summary'!$A$7:$U$3982,21,FALSE)</f>
        <v>WK</v>
      </c>
      <c r="AG46" s="512"/>
    </row>
    <row r="47" spans="1:33" ht="15.75" thickBot="1" x14ac:dyDescent="0.3">
      <c r="A47" s="464" t="s">
        <v>420</v>
      </c>
      <c r="B47" s="457" t="s">
        <v>624</v>
      </c>
      <c r="C47" s="403"/>
      <c r="D47" s="503" t="s">
        <v>248</v>
      </c>
      <c r="E47" s="459" t="s">
        <v>617</v>
      </c>
      <c r="F47" s="599"/>
      <c r="G47" s="303" t="str">
        <f>VLOOKUP(A47,'Feature Summary'!$A$7:$C$3982,3,FALSE)</f>
        <v>P2</v>
      </c>
      <c r="H47" s="459" t="s">
        <v>625</v>
      </c>
      <c r="I47" s="486"/>
      <c r="J47" s="504">
        <v>1</v>
      </c>
      <c r="K47" s="399">
        <v>1</v>
      </c>
      <c r="L47" s="513" t="s">
        <v>42</v>
      </c>
      <c r="M47" s="505">
        <v>1</v>
      </c>
      <c r="N47" s="399">
        <v>0.6</v>
      </c>
      <c r="O47" s="494">
        <f t="shared" si="2"/>
        <v>0.6</v>
      </c>
      <c r="P47" s="506" t="s">
        <v>44</v>
      </c>
      <c r="Q47" s="491">
        <v>0</v>
      </c>
      <c r="R47" s="507"/>
      <c r="S47" s="399"/>
      <c r="T47" s="508"/>
      <c r="U47" s="508"/>
      <c r="V47" s="508"/>
      <c r="W47" s="509">
        <f t="shared" si="23"/>
        <v>0</v>
      </c>
      <c r="X47" s="510"/>
      <c r="Y47" s="511"/>
      <c r="Z47" s="508"/>
      <c r="AA47" s="508"/>
      <c r="AB47" s="508"/>
      <c r="AC47" s="508"/>
      <c r="AD47" s="425">
        <f t="shared" si="24"/>
        <v>0</v>
      </c>
      <c r="AE47" s="284" t="s">
        <v>623</v>
      </c>
      <c r="AF47" s="83"/>
      <c r="AG47" s="512"/>
    </row>
    <row r="48" spans="1:33" ht="15.75" thickBot="1" x14ac:dyDescent="0.3">
      <c r="A48" s="464" t="s">
        <v>422</v>
      </c>
      <c r="B48" s="457" t="s">
        <v>626</v>
      </c>
      <c r="C48" s="403"/>
      <c r="D48" s="503" t="s">
        <v>248</v>
      </c>
      <c r="E48" s="459" t="s">
        <v>617</v>
      </c>
      <c r="F48" s="599"/>
      <c r="G48" s="303" t="str">
        <f>VLOOKUP(A48,'Feature Summary'!$A$7:$C$3982,3,FALSE)</f>
        <v>P2</v>
      </c>
      <c r="H48" s="459" t="s">
        <v>627</v>
      </c>
      <c r="I48" s="486"/>
      <c r="J48" s="504">
        <v>1</v>
      </c>
      <c r="K48" s="399">
        <v>1</v>
      </c>
      <c r="L48" s="513" t="s">
        <v>42</v>
      </c>
      <c r="M48" s="505">
        <v>1</v>
      </c>
      <c r="N48" s="399">
        <v>0.6</v>
      </c>
      <c r="O48" s="494">
        <f t="shared" si="2"/>
        <v>0.6</v>
      </c>
      <c r="P48" s="506" t="s">
        <v>44</v>
      </c>
      <c r="Q48" s="491">
        <v>0</v>
      </c>
      <c r="R48" s="507"/>
      <c r="S48" s="399"/>
      <c r="T48" s="508"/>
      <c r="U48" s="508"/>
      <c r="V48" s="508"/>
      <c r="W48" s="509">
        <f t="shared" si="23"/>
        <v>0</v>
      </c>
      <c r="X48" s="510"/>
      <c r="Y48" s="511"/>
      <c r="Z48" s="508"/>
      <c r="AA48" s="508"/>
      <c r="AB48" s="508"/>
      <c r="AC48" s="508"/>
      <c r="AD48" s="425">
        <f t="shared" si="24"/>
        <v>0</v>
      </c>
      <c r="AE48" s="284"/>
      <c r="AF48" s="83" t="str">
        <f>VLOOKUP(A48,'Feature Summary'!$A$7:$U$3982,21,FALSE)</f>
        <v>WK</v>
      </c>
      <c r="AG48" s="512"/>
    </row>
    <row r="49" spans="1:33" ht="15.75" thickBot="1" x14ac:dyDescent="0.3">
      <c r="A49" s="464" t="s">
        <v>422</v>
      </c>
      <c r="B49" s="457" t="s">
        <v>628</v>
      </c>
      <c r="C49" s="403"/>
      <c r="D49" s="503" t="s">
        <v>248</v>
      </c>
      <c r="E49" s="459" t="s">
        <v>617</v>
      </c>
      <c r="F49" s="599"/>
      <c r="G49" s="303" t="str">
        <f>VLOOKUP(A49,'Feature Summary'!$A$7:$C$3982,3,FALSE)</f>
        <v>P2</v>
      </c>
      <c r="H49" s="459" t="s">
        <v>629</v>
      </c>
      <c r="I49" s="486"/>
      <c r="J49" s="504">
        <v>1</v>
      </c>
      <c r="K49" s="399">
        <v>1</v>
      </c>
      <c r="L49" s="513" t="s">
        <v>42</v>
      </c>
      <c r="M49" s="505">
        <v>1</v>
      </c>
      <c r="N49" s="399">
        <v>0.6</v>
      </c>
      <c r="O49" s="494">
        <f t="shared" si="2"/>
        <v>0.6</v>
      </c>
      <c r="P49" s="506" t="s">
        <v>45</v>
      </c>
      <c r="Q49" s="491">
        <v>1</v>
      </c>
      <c r="R49" s="507"/>
      <c r="S49" s="399"/>
      <c r="T49" s="508"/>
      <c r="U49" s="508"/>
      <c r="V49" s="508"/>
      <c r="W49" s="509">
        <f t="shared" si="23"/>
        <v>0</v>
      </c>
      <c r="X49" s="510"/>
      <c r="Y49" s="511"/>
      <c r="Z49" s="508"/>
      <c r="AA49" s="508"/>
      <c r="AB49" s="508"/>
      <c r="AC49" s="508"/>
      <c r="AD49" s="425">
        <f t="shared" si="24"/>
        <v>0</v>
      </c>
      <c r="AE49" s="284"/>
      <c r="AF49" s="83"/>
      <c r="AG49" s="512"/>
    </row>
    <row r="50" spans="1:33" ht="15.75" thickBot="1" x14ac:dyDescent="0.3">
      <c r="A50" s="464" t="s">
        <v>424</v>
      </c>
      <c r="B50" s="457" t="s">
        <v>630</v>
      </c>
      <c r="C50" s="403"/>
      <c r="D50" s="503" t="s">
        <v>248</v>
      </c>
      <c r="E50" s="459" t="s">
        <v>617</v>
      </c>
      <c r="F50" s="599"/>
      <c r="G50" s="303" t="str">
        <f>VLOOKUP(A50,'Feature Summary'!$A$7:$C$3982,3,FALSE)</f>
        <v>P2</v>
      </c>
      <c r="H50" s="459" t="s">
        <v>631</v>
      </c>
      <c r="I50" s="486"/>
      <c r="J50" s="504">
        <v>1</v>
      </c>
      <c r="K50" s="399">
        <v>1</v>
      </c>
      <c r="L50" s="513" t="s">
        <v>42</v>
      </c>
      <c r="M50" s="505">
        <v>1</v>
      </c>
      <c r="N50" s="399">
        <v>0.6</v>
      </c>
      <c r="O50" s="494">
        <f t="shared" si="2"/>
        <v>0.6</v>
      </c>
      <c r="P50" s="506" t="s">
        <v>45</v>
      </c>
      <c r="Q50" s="491">
        <v>1</v>
      </c>
      <c r="R50" s="507"/>
      <c r="S50" s="399"/>
      <c r="T50" s="508"/>
      <c r="U50" s="508"/>
      <c r="V50" s="508"/>
      <c r="W50" s="509">
        <f t="shared" si="23"/>
        <v>0</v>
      </c>
      <c r="X50" s="510"/>
      <c r="Y50" s="511"/>
      <c r="Z50" s="508"/>
      <c r="AA50" s="508"/>
      <c r="AB50" s="508"/>
      <c r="AC50" s="508"/>
      <c r="AD50" s="425">
        <f t="shared" si="24"/>
        <v>0</v>
      </c>
      <c r="AE50" s="284"/>
      <c r="AF50" s="83" t="str">
        <f>VLOOKUP(A50,'Feature Summary'!$A$7:$U$3982,21,FALSE)</f>
        <v>WK</v>
      </c>
      <c r="AG50" s="512"/>
    </row>
    <row r="51" spans="1:33" ht="15.75" thickBot="1" x14ac:dyDescent="0.3">
      <c r="A51" s="464" t="s">
        <v>424</v>
      </c>
      <c r="B51" s="457" t="s">
        <v>632</v>
      </c>
      <c r="C51" s="403"/>
      <c r="D51" s="503" t="s">
        <v>248</v>
      </c>
      <c r="E51" s="459" t="s">
        <v>617</v>
      </c>
      <c r="F51" s="599"/>
      <c r="G51" s="303" t="str">
        <f>VLOOKUP(A51,'Feature Summary'!$A$7:$C$3982,3,FALSE)</f>
        <v>P2</v>
      </c>
      <c r="H51" s="459" t="s">
        <v>633</v>
      </c>
      <c r="I51" s="486"/>
      <c r="J51" s="504">
        <v>1</v>
      </c>
      <c r="K51" s="399">
        <v>1</v>
      </c>
      <c r="L51" s="513" t="s">
        <v>42</v>
      </c>
      <c r="M51" s="505">
        <v>1</v>
      </c>
      <c r="N51" s="399">
        <v>0.6</v>
      </c>
      <c r="O51" s="494">
        <f t="shared" si="2"/>
        <v>0.6</v>
      </c>
      <c r="P51" s="506" t="s">
        <v>45</v>
      </c>
      <c r="Q51" s="491">
        <v>1</v>
      </c>
      <c r="R51" s="507"/>
      <c r="S51" s="399"/>
      <c r="T51" s="508"/>
      <c r="U51" s="508"/>
      <c r="V51" s="508"/>
      <c r="W51" s="509">
        <f t="shared" si="23"/>
        <v>0</v>
      </c>
      <c r="X51" s="510"/>
      <c r="Y51" s="511"/>
      <c r="Z51" s="508"/>
      <c r="AA51" s="508"/>
      <c r="AB51" s="508"/>
      <c r="AC51" s="508"/>
      <c r="AD51" s="425">
        <f t="shared" si="24"/>
        <v>0</v>
      </c>
      <c r="AE51" s="284"/>
      <c r="AF51" s="83"/>
      <c r="AG51" s="512"/>
    </row>
    <row r="52" spans="1:33" ht="15.75" thickBot="1" x14ac:dyDescent="0.3">
      <c r="A52" s="566" t="s">
        <v>428</v>
      </c>
      <c r="B52" s="457" t="s">
        <v>634</v>
      </c>
      <c r="C52" s="403"/>
      <c r="D52" s="503" t="s">
        <v>248</v>
      </c>
      <c r="E52" s="459" t="s">
        <v>617</v>
      </c>
      <c r="F52" s="599"/>
      <c r="G52" s="303" t="str">
        <f>VLOOKUP(A52,'Feature Summary'!$A$7:$C$3982,3,FALSE)</f>
        <v>P2</v>
      </c>
      <c r="H52" s="459" t="s">
        <v>635</v>
      </c>
      <c r="I52" s="486"/>
      <c r="J52" s="504">
        <v>1</v>
      </c>
      <c r="K52" s="399">
        <v>1</v>
      </c>
      <c r="L52" s="513" t="s">
        <v>42</v>
      </c>
      <c r="M52" s="505">
        <v>1</v>
      </c>
      <c r="N52" s="399">
        <v>0.6</v>
      </c>
      <c r="O52" s="494">
        <f t="shared" si="2"/>
        <v>0.6</v>
      </c>
      <c r="P52" s="506" t="s">
        <v>45</v>
      </c>
      <c r="Q52" s="491">
        <v>1</v>
      </c>
      <c r="R52" s="507"/>
      <c r="S52" s="399"/>
      <c r="T52" s="508"/>
      <c r="U52" s="508"/>
      <c r="V52" s="508"/>
      <c r="W52" s="509">
        <f t="shared" si="23"/>
        <v>0</v>
      </c>
      <c r="X52" s="510"/>
      <c r="Y52" s="511"/>
      <c r="Z52" s="508"/>
      <c r="AA52" s="508"/>
      <c r="AB52" s="508"/>
      <c r="AC52" s="508"/>
      <c r="AD52" s="425">
        <f t="shared" si="24"/>
        <v>0</v>
      </c>
      <c r="AE52" s="284"/>
      <c r="AF52" s="83" t="str">
        <f>VLOOKUP(A52,'Feature Summary'!$A$7:$U$3982,21,FALSE)</f>
        <v>WK</v>
      </c>
      <c r="AG52" s="512"/>
    </row>
    <row r="53" spans="1:33" ht="15.75" thickBot="1" x14ac:dyDescent="0.3">
      <c r="A53" s="566" t="s">
        <v>428</v>
      </c>
      <c r="B53" s="457" t="s">
        <v>636</v>
      </c>
      <c r="C53" s="403"/>
      <c r="D53" s="503" t="s">
        <v>248</v>
      </c>
      <c r="E53" s="459" t="s">
        <v>617</v>
      </c>
      <c r="F53" s="599"/>
      <c r="G53" s="303" t="str">
        <f>VLOOKUP(A53,'Feature Summary'!$A$7:$C$3982,3,FALSE)</f>
        <v>P2</v>
      </c>
      <c r="H53" s="459" t="s">
        <v>637</v>
      </c>
      <c r="I53" s="486"/>
      <c r="J53" s="504">
        <v>1</v>
      </c>
      <c r="K53" s="399">
        <v>1</v>
      </c>
      <c r="L53" s="513" t="s">
        <v>42</v>
      </c>
      <c r="M53" s="505">
        <v>1</v>
      </c>
      <c r="N53" s="399">
        <v>0.6</v>
      </c>
      <c r="O53" s="494">
        <f t="shared" si="2"/>
        <v>0.6</v>
      </c>
      <c r="P53" s="506" t="s">
        <v>45</v>
      </c>
      <c r="Q53" s="491">
        <v>1</v>
      </c>
      <c r="R53" s="507"/>
      <c r="S53" s="399"/>
      <c r="T53" s="508"/>
      <c r="U53" s="508"/>
      <c r="V53" s="508"/>
      <c r="W53" s="509">
        <f t="shared" si="23"/>
        <v>0</v>
      </c>
      <c r="X53" s="510"/>
      <c r="Y53" s="511"/>
      <c r="Z53" s="508"/>
      <c r="AA53" s="508"/>
      <c r="AB53" s="508"/>
      <c r="AC53" s="508"/>
      <c r="AD53" s="425">
        <f t="shared" si="24"/>
        <v>0</v>
      </c>
      <c r="AE53" s="284"/>
      <c r="AF53" s="83"/>
      <c r="AG53" s="512"/>
    </row>
    <row r="54" spans="1:33" ht="30" x14ac:dyDescent="0.25">
      <c r="A54" s="566" t="s">
        <v>430</v>
      </c>
      <c r="B54" s="457" t="str">
        <f>VLOOKUP(A54,'Feature Raw Data'!$A$3:$B$3940,2,FALSE)</f>
        <v>Dense C1e state support</v>
      </c>
      <c r="C54" s="461"/>
      <c r="D54" s="503" t="s">
        <v>248</v>
      </c>
      <c r="E54" s="459" t="s">
        <v>617</v>
      </c>
      <c r="F54" s="461" t="s">
        <v>638</v>
      </c>
      <c r="G54" s="303" t="str">
        <f>VLOOKUP(A54,'Feature Summary'!$A$7:$C$3982,3,FALSE)</f>
        <v>P2</v>
      </c>
      <c r="H54" s="461" t="s">
        <v>639</v>
      </c>
      <c r="I54" s="486"/>
      <c r="J54" s="504">
        <v>1</v>
      </c>
      <c r="K54" s="399">
        <v>1</v>
      </c>
      <c r="L54" s="513" t="s">
        <v>42</v>
      </c>
      <c r="M54" s="505">
        <v>1</v>
      </c>
      <c r="N54" s="399">
        <v>0.6</v>
      </c>
      <c r="O54" s="494">
        <f t="shared" si="2"/>
        <v>0.6</v>
      </c>
      <c r="P54" s="506" t="s">
        <v>45</v>
      </c>
      <c r="Q54" s="491">
        <v>1</v>
      </c>
      <c r="R54" s="507"/>
      <c r="S54" s="399"/>
      <c r="T54" s="508"/>
      <c r="U54" s="508"/>
      <c r="V54" s="508"/>
      <c r="W54" s="509">
        <f t="shared" si="23"/>
        <v>0</v>
      </c>
      <c r="X54" s="510"/>
      <c r="Y54" s="511"/>
      <c r="Z54" s="508"/>
      <c r="AA54" s="508"/>
      <c r="AB54" s="508"/>
      <c r="AC54" s="508"/>
      <c r="AD54" s="425">
        <f t="shared" ref="AD54" si="25">IF((Y54=0),0,((Z54+AA54)/Y54*100%))</f>
        <v>0</v>
      </c>
      <c r="AE54" s="284"/>
      <c r="AF54" s="83" t="str">
        <f>VLOOKUP(A54,'Feature Summary'!$A$7:$U$3982,21,FALSE)</f>
        <v>WK</v>
      </c>
      <c r="AG54" s="512"/>
    </row>
    <row r="55" spans="1:33" ht="43.5" customHeight="1" thickBot="1" x14ac:dyDescent="0.3">
      <c r="A55" s="309"/>
      <c r="B55" s="310"/>
      <c r="C55" s="310"/>
      <c r="D55" s="311"/>
      <c r="E55" s="310"/>
      <c r="F55" s="310"/>
      <c r="G55" s="311"/>
      <c r="H55" s="345"/>
      <c r="I55" s="310"/>
      <c r="J55" s="310"/>
      <c r="K55" s="312"/>
      <c r="L55" s="398"/>
      <c r="M55" s="402"/>
      <c r="N55" s="379"/>
      <c r="O55" s="380"/>
      <c r="P55" s="400"/>
      <c r="Q55" s="313"/>
      <c r="R55" s="381"/>
      <c r="S55" s="382"/>
      <c r="T55" s="382"/>
      <c r="U55" s="382"/>
      <c r="V55" s="382"/>
      <c r="W55" s="383"/>
      <c r="X55" s="401"/>
      <c r="Y55" s="384"/>
      <c r="Z55" s="385"/>
      <c r="AA55" s="385"/>
      <c r="AB55" s="385"/>
      <c r="AC55" s="385"/>
      <c r="AD55" s="386"/>
      <c r="AE55" s="314"/>
      <c r="AF55" s="314"/>
      <c r="AG55" s="315"/>
    </row>
    <row r="56" spans="1:33" ht="42" customHeight="1" x14ac:dyDescent="0.25">
      <c r="A56" s="600" t="s">
        <v>640</v>
      </c>
      <c r="B56" s="601"/>
      <c r="C56" s="601"/>
      <c r="D56" s="601"/>
      <c r="E56" s="601"/>
      <c r="F56" s="601"/>
      <c r="G56" s="601"/>
      <c r="H56" s="601"/>
      <c r="I56" s="601"/>
      <c r="J56" s="601"/>
      <c r="K56" s="601"/>
      <c r="L56" s="601"/>
      <c r="M56" s="601"/>
      <c r="N56" s="601"/>
      <c r="O56" s="601"/>
      <c r="P56" s="601"/>
      <c r="Q56" s="601"/>
      <c r="R56" s="601"/>
      <c r="S56" s="601"/>
      <c r="T56" s="601"/>
      <c r="U56" s="601"/>
      <c r="V56" s="601"/>
      <c r="W56" s="601"/>
      <c r="X56" s="601"/>
      <c r="Y56" s="601"/>
      <c r="Z56" s="601"/>
      <c r="AA56" s="601"/>
      <c r="AB56" s="601"/>
      <c r="AC56" s="601"/>
      <c r="AD56" s="601"/>
      <c r="AE56" s="601"/>
      <c r="AF56" s="601"/>
      <c r="AG56" s="602"/>
    </row>
    <row r="57" spans="1:33" ht="63.75" customHeight="1" thickBot="1" x14ac:dyDescent="0.3">
      <c r="A57" s="603"/>
      <c r="B57" s="604"/>
      <c r="C57" s="604"/>
      <c r="D57" s="604"/>
      <c r="E57" s="604"/>
      <c r="F57" s="604"/>
      <c r="G57" s="604"/>
      <c r="H57" s="604"/>
      <c r="I57" s="604"/>
      <c r="J57" s="604"/>
      <c r="K57" s="604"/>
      <c r="L57" s="604"/>
      <c r="M57" s="604"/>
      <c r="N57" s="604"/>
      <c r="O57" s="604"/>
      <c r="P57" s="604"/>
      <c r="Q57" s="604"/>
      <c r="R57" s="604"/>
      <c r="S57" s="604"/>
      <c r="T57" s="604"/>
      <c r="U57" s="604"/>
      <c r="V57" s="604"/>
      <c r="W57" s="604"/>
      <c r="X57" s="604"/>
      <c r="Y57" s="604"/>
      <c r="Z57" s="604"/>
      <c r="AA57" s="604"/>
      <c r="AB57" s="604"/>
      <c r="AC57" s="604"/>
      <c r="AD57" s="604"/>
      <c r="AE57" s="604"/>
      <c r="AF57" s="604"/>
      <c r="AG57" s="605"/>
    </row>
    <row r="58" spans="1:33" ht="19.5" customHeight="1" thickBot="1" x14ac:dyDescent="0.3">
      <c r="A58" s="745" t="s">
        <v>486</v>
      </c>
      <c r="B58" s="746"/>
      <c r="C58" s="746"/>
      <c r="D58" s="746"/>
      <c r="E58" s="746"/>
      <c r="F58" s="746"/>
      <c r="G58" s="746"/>
      <c r="H58" s="746"/>
      <c r="I58" s="747"/>
      <c r="J58" s="321">
        <f>SUM(J6:J57)</f>
        <v>50</v>
      </c>
      <c r="K58" s="321">
        <f>SUM(K6:K57)</f>
        <v>50</v>
      </c>
      <c r="L58" s="322"/>
      <c r="M58" s="367">
        <f>SUMPRODUCT(J6:J57,M6:M57)/J58</f>
        <v>1</v>
      </c>
      <c r="N58" s="368">
        <f>SUM(N6:N57)</f>
        <v>29.400000000000027</v>
      </c>
      <c r="O58" s="369">
        <f>SUMPRODUCT(J6:J57,O6:O57)/J58</f>
        <v>0.58800000000000052</v>
      </c>
      <c r="P58" s="323"/>
      <c r="Q58" s="324">
        <f t="shared" ref="Q58:V58" si="26">SUM(Q6:Q55)</f>
        <v>46</v>
      </c>
      <c r="R58" s="370">
        <f t="shared" si="26"/>
        <v>0</v>
      </c>
      <c r="S58" s="370">
        <f t="shared" si="26"/>
        <v>0</v>
      </c>
      <c r="T58" s="324">
        <f t="shared" si="26"/>
        <v>0</v>
      </c>
      <c r="U58" s="324">
        <f t="shared" si="26"/>
        <v>0</v>
      </c>
      <c r="V58" s="324">
        <f t="shared" si="26"/>
        <v>0</v>
      </c>
      <c r="W58" s="371">
        <f>IF((R58=0),0,((S58+T58)/R58*100%))</f>
        <v>0</v>
      </c>
      <c r="X58" s="325"/>
      <c r="Y58" s="387">
        <f>SUM(Y6:Y55)</f>
        <v>0</v>
      </c>
      <c r="Z58" s="375">
        <f>SUM(Z6:Z55)</f>
        <v>0</v>
      </c>
      <c r="AA58" s="375">
        <f>SUM(AA6:AA55)</f>
        <v>0</v>
      </c>
      <c r="AB58" s="375">
        <f>SUM(AB6:AB55)</f>
        <v>0</v>
      </c>
      <c r="AC58" s="375">
        <f>SUM(AC6:AC55)</f>
        <v>0</v>
      </c>
      <c r="AD58" s="374">
        <f>IF((Y58=0),0,((Z58+AA58)/Y58*100%))</f>
        <v>0</v>
      </c>
      <c r="AE58" s="326"/>
      <c r="AF58" s="326"/>
      <c r="AG58" s="327"/>
    </row>
    <row r="59" spans="1:33" x14ac:dyDescent="0.25">
      <c r="I59" s="430"/>
      <c r="K59" s="159" t="s">
        <v>641</v>
      </c>
    </row>
    <row r="60" spans="1:33" x14ac:dyDescent="0.25">
      <c r="I60" s="431"/>
    </row>
    <row r="61" spans="1:33" x14ac:dyDescent="0.25">
      <c r="I61" s="431"/>
    </row>
    <row r="62" spans="1:33" x14ac:dyDescent="0.25">
      <c r="I62" s="431"/>
    </row>
    <row r="63" spans="1:33" x14ac:dyDescent="0.25">
      <c r="I63" s="431"/>
    </row>
    <row r="64" spans="1:33" x14ac:dyDescent="0.25">
      <c r="I64" s="431"/>
    </row>
    <row r="65" spans="9:9" x14ac:dyDescent="0.25">
      <c r="I65" s="431"/>
    </row>
    <row r="66" spans="9:9" x14ac:dyDescent="0.25">
      <c r="I66" s="431"/>
    </row>
    <row r="67" spans="9:9" x14ac:dyDescent="0.25">
      <c r="I67" s="431"/>
    </row>
    <row r="68" spans="9:9" x14ac:dyDescent="0.25">
      <c r="I68" s="431"/>
    </row>
    <row r="69" spans="9:9" x14ac:dyDescent="0.25">
      <c r="I69" s="431"/>
    </row>
    <row r="70" spans="9:9" x14ac:dyDescent="0.25">
      <c r="I70" s="431"/>
    </row>
  </sheetData>
  <sheetProtection insertColumns="0" insertRows="0" deleteRows="0" sort="0"/>
  <autoFilter ref="A5:AG59" xr:uid="{00000000-0009-0000-0000-000002000000}"/>
  <mergeCells count="8">
    <mergeCell ref="A1:AG1"/>
    <mergeCell ref="A3:AG3"/>
    <mergeCell ref="A2:I2"/>
    <mergeCell ref="A58:I58"/>
    <mergeCell ref="A4:L4"/>
    <mergeCell ref="M4:O4"/>
    <mergeCell ref="Y4:AG4"/>
    <mergeCell ref="P4:X4"/>
  </mergeCells>
  <phoneticPr fontId="30" type="noConversion"/>
  <hyperlinks>
    <hyperlink ref="A6" r:id="rId1" display="http://ontrack-internal.amd.com/browse/PMFW-1808" xr:uid="{376964B5-8D41-47BA-B878-8AD03D69C015}"/>
    <hyperlink ref="A9" r:id="rId2" display="http://ontrack-internal.amd.com/browse/PMFW-1818" xr:uid="{42C2C6CB-5C64-410C-BAE7-8F3934AD04A6}"/>
    <hyperlink ref="A11" r:id="rId3" display="http://ontrack-internal.amd.com/browse/PMFW-1823" xr:uid="{9CB1A7F7-B22E-4BC2-9725-588DFB09BB4D}"/>
    <hyperlink ref="A14" r:id="rId4" display="http://ontrack-internal.amd.com/browse/PMFW-1831" xr:uid="{D056929D-DE4D-4B44-B516-A6C884199E87}"/>
    <hyperlink ref="A16" r:id="rId5" display="http://ontrack-internal.amd.com/browse/PMFW-1840" xr:uid="{95F6D2EC-A9A3-4E5D-892E-8780906A5C7A}"/>
    <hyperlink ref="A17" r:id="rId6" display="http://ontrack-internal.amd.com/browse/PMFW-1842" xr:uid="{C9474798-1765-482B-B6D6-7AD2765C4CD5}"/>
    <hyperlink ref="A19" r:id="rId7" display="http://ontrack-internal.amd.com/browse/PMFW-1847" xr:uid="{1FBF3830-7C62-4701-A189-3564F12A4035}"/>
    <hyperlink ref="A21" r:id="rId8" display="http://ontrack-internal.amd.com/browse/PMFW-1853" xr:uid="{0A440958-0B75-4CB0-9433-61ACEA4FC1F9}"/>
    <hyperlink ref="A20" r:id="rId9" display="http://ontrack-internal.amd.com/browse/PMFW-1851" xr:uid="{42FF17EA-B532-4965-841C-807ABE137CF8}"/>
    <hyperlink ref="A22" r:id="rId10" display="http://ontrack-internal.amd.com/browse/PMFW-1856" xr:uid="{89604C17-70B6-4E08-A33A-59B3F37A6EC5}"/>
    <hyperlink ref="A24" r:id="rId11" display="http://ontrack-internal.amd.com/browse/PMFW-11875" xr:uid="{CA744CD3-62F5-4E1C-9F07-DA14CBC7C343}"/>
    <hyperlink ref="A25" r:id="rId12" display="http://ontrack-internal.amd.com/browse/PMFW-1883" xr:uid="{D0723F0E-1ADB-4F1D-9B30-16F47C7CBA17}"/>
    <hyperlink ref="A32" r:id="rId13" display="http://ontrack-internal.amd.com/browse/PMFW-1910" xr:uid="{9D5EC6A9-5799-428C-98AC-A800FBE00B19}"/>
    <hyperlink ref="A31" r:id="rId14" display="http://ontrack-internal.amd.com/browse/PMFW-1908" xr:uid="{9147C3C6-604C-482B-B9F0-D19DECAC1698}"/>
    <hyperlink ref="A30" r:id="rId15" display="http://ontrack-internal.amd.com/browse/PMFW-1903" xr:uid="{11755902-B08A-4961-9C64-EDC7F4DCB9C8}"/>
    <hyperlink ref="A29" r:id="rId16" display="http://ontrack-internal.amd.com/browse/PMFW-1902" xr:uid="{76DCB2AB-84F7-4114-A897-C62BC53AA3C4}"/>
    <hyperlink ref="A28" r:id="rId17" display="http://ontrack-internal.amd.com/browse/PMFW-1901" xr:uid="{21A00482-3036-48FC-81CA-DBD52B470C43}"/>
    <hyperlink ref="A27" r:id="rId18" display="http://ontrack-internal.amd.com/browse/PMFW-1898" xr:uid="{6DEB0AA3-4A3D-489E-9D17-E3748D6B93B7}"/>
    <hyperlink ref="A26" r:id="rId19" display="http://ontrack-internal.amd.com/browse/PMFW-1897" xr:uid="{2AD786BE-0ED7-4B98-9442-C3661132FD60}"/>
    <hyperlink ref="A34" r:id="rId20" display="http://ontrack-internal.amd.com/browse/PMFW-1925" xr:uid="{CAA0CE2C-C301-409A-A8FB-71C8263AEB21}"/>
    <hyperlink ref="A33" r:id="rId21" display="http://ontrack-internal.amd.com/browse/PMFW-1922" xr:uid="{E982E307-EA98-48DC-A500-2CE5F7CB7BA4}"/>
    <hyperlink ref="A35" r:id="rId22" display="http://ontrack-internal.amd.com/browse/PMFW-1921" xr:uid="{ACB8006A-3CC8-4824-A3BA-5EAC13ED9504}"/>
    <hyperlink ref="A8" r:id="rId23" display="http://ontrack-internal.amd.com/browse/PMFW-1808" xr:uid="{1EBD5AE9-3885-47C3-8251-C991DFA73466}"/>
    <hyperlink ref="A7" r:id="rId24" display="http://ontrack-internal.amd.com/browse/PMFW-1808" xr:uid="{CEC02006-DE8D-4CFA-A906-B8334671EA60}"/>
    <hyperlink ref="A13" r:id="rId25" display="http://ontrack-internal.amd.com/browse/PMFW-1823" xr:uid="{D30FF189-374B-48DD-9765-F75D27AD97B9}"/>
    <hyperlink ref="A18" r:id="rId26" display="http://ontrack-internal.amd.com/browse/PMFW-1842" xr:uid="{655F16BE-4EB1-4C66-ACD0-15700427F050}"/>
    <hyperlink ref="A12" r:id="rId27" display="http://ontrack-internal.amd.com/browse/PMFW-1823" xr:uid="{818A20A8-45A2-4FB2-B32E-4105BFFB3DD9}"/>
    <hyperlink ref="A23" r:id="rId28" display="http://ontrack-internal.amd.com/browse/PMFW-1856" xr:uid="{3D876A20-0C97-4F4B-8D30-E072D9FE9C53}"/>
    <hyperlink ref="A38" r:id="rId29" display="http://ontrack-internal.amd.com/browse/PMFW-5490" xr:uid="{0D43EBBF-980D-4CF4-9B41-5A72711C3AA3}"/>
    <hyperlink ref="A39" r:id="rId30" display="http://ontrack-internal.amd.com/browse/PMFW-5489" xr:uid="{F0C40601-80D1-46E0-94B8-D6A15148194C}"/>
    <hyperlink ref="A15" r:id="rId31" display="http://ontrack-internal.amd.com/browse/PMFW-5400" xr:uid="{6ABE57F5-F582-401E-95CB-97F587361030}"/>
    <hyperlink ref="A42" r:id="rId32" xr:uid="{E915AB4F-6919-4EC7-9F50-147A01D19F9D}"/>
    <hyperlink ref="A52" r:id="rId33" xr:uid="{3C225A12-2100-4DEE-A13C-9B21BBA79E48}"/>
    <hyperlink ref="A54" r:id="rId34" xr:uid="{1520D183-D018-4ED0-826B-FF016AD29DE8}"/>
    <hyperlink ref="A53" r:id="rId35" xr:uid="{B0691438-DB3E-4B20-BE70-36832D5A49C2}"/>
    <hyperlink ref="A41" r:id="rId36" xr:uid="{114FB95C-2090-4DF7-A212-C8444402AB2E}"/>
    <hyperlink ref="A10" r:id="rId37" display="http://ontrack-internal.amd.com/browse/PMFW-1922" xr:uid="{FEC6304C-FDBD-4CCC-B09A-3AAC269032D1}"/>
    <hyperlink ref="A50" r:id="rId38" display="https://ontrack-internal.amd.com/browse/PMFW-11886" xr:uid="{F6139036-36E4-4CAD-B160-BDF5F8F28EF0}"/>
    <hyperlink ref="A51" r:id="rId39" display="https://ontrack-internal.amd.com/browse/PMFW-11886" xr:uid="{E861F1CA-9EBB-4783-8D2E-409645A7784D}"/>
  </hyperlinks>
  <pageMargins left="0.7" right="0.7" top="0.75" bottom="0.75" header="0.3" footer="0.3"/>
  <pageSetup orientation="portrait" r:id="rId40"/>
  <headerFooter>
    <oddHeader>&amp;L&amp;"Arial"&amp;10&amp;K0000FF[AMD Official Use Only]&amp;1#</oddHeader>
  </headerFooter>
  <legacyDrawing r:id="rId41"/>
  <extLst>
    <ext xmlns:x14="http://schemas.microsoft.com/office/spreadsheetml/2009/9/main" uri="{CCE6A557-97BC-4b89-ADB6-D9C93CAAB3DF}">
      <x14:dataValidations xmlns:xm="http://schemas.microsoft.com/office/excel/2006/main" count="2">
        <x14:dataValidation type="list" allowBlank="1" showInputMessage="1" showErrorMessage="1" xr:uid="{5513F172-4253-4807-A8CE-34D720193895}">
          <x14:formula1>
            <xm:f>'List Options'!$G$1:$G$3</xm:f>
          </x14:formula1>
          <xm:sqref>L6:L55</xm:sqref>
        </x14:dataValidation>
        <x14:dataValidation type="list" allowBlank="1" showInputMessage="1" showErrorMessage="1" xr:uid="{237AC15D-702E-46B4-89E7-DAB1EF5DAEB1}">
          <x14:formula1>
            <xm:f>'List Options'!$E$1:$E$7</xm:f>
          </x14:formula1>
          <xm:sqref>P6:P55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B2" sqref="B2"/>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642</v>
      </c>
      <c r="B1" s="150" t="s">
        <v>643</v>
      </c>
      <c r="C1" s="151" t="s">
        <v>644</v>
      </c>
      <c r="D1" s="151" t="s">
        <v>645</v>
      </c>
      <c r="E1" s="151" t="s">
        <v>646</v>
      </c>
      <c r="F1" s="151" t="s">
        <v>647</v>
      </c>
      <c r="G1" s="151" t="s">
        <v>648</v>
      </c>
      <c r="H1" s="151" t="s">
        <v>649</v>
      </c>
      <c r="I1" s="151" t="s">
        <v>650</v>
      </c>
      <c r="J1" s="151" t="s">
        <v>651</v>
      </c>
      <c r="K1" s="151" t="s">
        <v>652</v>
      </c>
      <c r="L1" s="151" t="s">
        <v>653</v>
      </c>
      <c r="M1" s="151" t="s">
        <v>654</v>
      </c>
      <c r="N1" s="151" t="s">
        <v>655</v>
      </c>
      <c r="O1" s="151" t="s">
        <v>656</v>
      </c>
      <c r="P1" s="151" t="s">
        <v>657</v>
      </c>
      <c r="Q1" s="151" t="s">
        <v>658</v>
      </c>
      <c r="R1" s="151" t="s">
        <v>659</v>
      </c>
      <c r="S1" s="151" t="s">
        <v>660</v>
      </c>
      <c r="T1" s="151" t="s">
        <v>661</v>
      </c>
      <c r="U1" s="151" t="s">
        <v>662</v>
      </c>
      <c r="V1" s="151" t="s">
        <v>663</v>
      </c>
      <c r="W1" s="151" t="s">
        <v>664</v>
      </c>
      <c r="X1" s="151" t="s">
        <v>665</v>
      </c>
      <c r="Y1" s="151" t="s">
        <v>666</v>
      </c>
      <c r="Z1" s="151" t="s">
        <v>667</v>
      </c>
      <c r="AA1" s="151" t="s">
        <v>668</v>
      </c>
      <c r="AB1" s="151" t="s">
        <v>669</v>
      </c>
      <c r="AC1" s="151" t="s">
        <v>670</v>
      </c>
      <c r="AD1" s="151" t="s">
        <v>671</v>
      </c>
      <c r="AE1" s="151" t="s">
        <v>672</v>
      </c>
      <c r="AF1" s="151" t="s">
        <v>673</v>
      </c>
      <c r="AG1" s="151" t="s">
        <v>674</v>
      </c>
      <c r="AH1" s="151" t="s">
        <v>675</v>
      </c>
      <c r="AI1" s="151" t="s">
        <v>676</v>
      </c>
      <c r="AJ1" s="151" t="s">
        <v>677</v>
      </c>
      <c r="AK1" s="151" t="s">
        <v>678</v>
      </c>
      <c r="AL1" s="151" t="s">
        <v>679</v>
      </c>
      <c r="AM1" s="151" t="s">
        <v>680</v>
      </c>
      <c r="AN1" s="151" t="s">
        <v>681</v>
      </c>
      <c r="AO1" s="151" t="s">
        <v>682</v>
      </c>
      <c r="AP1" s="151" t="s">
        <v>683</v>
      </c>
      <c r="AQ1" s="151" t="s">
        <v>684</v>
      </c>
      <c r="AR1" s="151" t="s">
        <v>685</v>
      </c>
      <c r="AS1" s="151" t="s">
        <v>686</v>
      </c>
      <c r="AT1" s="151" t="s">
        <v>687</v>
      </c>
      <c r="AU1" s="151" t="s">
        <v>688</v>
      </c>
      <c r="AV1" s="151" t="s">
        <v>689</v>
      </c>
      <c r="AW1" s="151" t="s">
        <v>690</v>
      </c>
      <c r="AX1" s="151" t="s">
        <v>691</v>
      </c>
      <c r="AY1" s="151" t="s">
        <v>692</v>
      </c>
      <c r="AZ1" s="151" t="s">
        <v>693</v>
      </c>
      <c r="BA1" s="151" t="s">
        <v>694</v>
      </c>
      <c r="BB1" s="152" t="s">
        <v>695</v>
      </c>
    </row>
    <row r="2" spans="1:54" s="134" customFormat="1" x14ac:dyDescent="0.2">
      <c r="A2" s="146" t="s">
        <v>481</v>
      </c>
      <c r="B2" s="432">
        <v>0.1</v>
      </c>
      <c r="C2" s="433">
        <v>0.15</v>
      </c>
      <c r="D2" s="433">
        <v>0.17</v>
      </c>
      <c r="E2" s="433">
        <v>0.23</v>
      </c>
      <c r="F2" s="433">
        <v>0.28000000000000003</v>
      </c>
      <c r="G2" s="433">
        <v>0.35</v>
      </c>
      <c r="H2" s="433">
        <v>0.4</v>
      </c>
      <c r="I2" s="433">
        <v>0.45</v>
      </c>
      <c r="J2" s="433">
        <v>0.5</v>
      </c>
      <c r="K2" s="433">
        <v>0.57999999999999996</v>
      </c>
      <c r="L2" s="433">
        <v>0.62</v>
      </c>
      <c r="M2" s="433">
        <v>0.68</v>
      </c>
      <c r="N2" s="433">
        <v>0.71000000000000008</v>
      </c>
      <c r="O2" s="433">
        <v>0.7400000000000001</v>
      </c>
      <c r="P2" s="433">
        <v>0.75000000000000011</v>
      </c>
      <c r="Q2" s="433">
        <v>0.76000000000000012</v>
      </c>
      <c r="R2" s="433">
        <v>0.79000000000000015</v>
      </c>
      <c r="S2" s="433">
        <v>0.82000000000000017</v>
      </c>
      <c r="T2" s="433">
        <v>0.8500000000000002</v>
      </c>
      <c r="U2" s="433">
        <v>0.88000000000000023</v>
      </c>
      <c r="V2" s="433">
        <v>0.91000000000000025</v>
      </c>
      <c r="W2" s="433">
        <v>0.94000000000000028</v>
      </c>
      <c r="X2" s="433">
        <v>0.97000000000000031</v>
      </c>
      <c r="Y2" s="433">
        <v>1.0000000000000002</v>
      </c>
      <c r="Z2" s="433"/>
      <c r="AA2" s="433"/>
      <c r="AB2" s="433"/>
      <c r="AC2" s="433"/>
      <c r="AD2" s="433"/>
      <c r="AE2" s="433"/>
      <c r="AF2" s="433"/>
      <c r="AG2" s="433"/>
      <c r="AH2" s="433"/>
      <c r="AI2" s="433"/>
      <c r="AJ2" s="433"/>
      <c r="AK2" s="433"/>
      <c r="AL2" s="433"/>
      <c r="AM2" s="147"/>
      <c r="AN2" s="147"/>
      <c r="AO2" s="147"/>
      <c r="AP2" s="147"/>
      <c r="AQ2" s="147"/>
      <c r="AR2" s="147"/>
      <c r="AS2" s="147"/>
      <c r="AT2" s="147"/>
      <c r="AU2" s="147"/>
      <c r="AV2" s="147"/>
      <c r="AW2" s="147"/>
      <c r="AX2" s="147"/>
      <c r="AY2" s="147"/>
      <c r="AZ2" s="147"/>
      <c r="BA2" s="147"/>
      <c r="BB2" s="148"/>
    </row>
    <row r="3" spans="1:54" s="134" customFormat="1" x14ac:dyDescent="0.2">
      <c r="A3" s="143" t="s">
        <v>484</v>
      </c>
      <c r="B3" s="434"/>
      <c r="C3" s="435"/>
      <c r="D3" s="435"/>
      <c r="E3" s="435"/>
      <c r="F3" s="435"/>
      <c r="G3" s="435"/>
      <c r="H3" s="435"/>
      <c r="I3" s="435"/>
      <c r="J3" s="435"/>
      <c r="K3" s="435"/>
      <c r="L3" s="435">
        <v>0.1</v>
      </c>
      <c r="M3" s="435">
        <v>0.15</v>
      </c>
      <c r="N3" s="435">
        <v>0.2</v>
      </c>
      <c r="O3" s="435">
        <v>0.3</v>
      </c>
      <c r="P3" s="435">
        <v>0.35</v>
      </c>
      <c r="Q3" s="435">
        <v>0.4</v>
      </c>
      <c r="R3" s="435">
        <v>0.4</v>
      </c>
      <c r="S3" s="435">
        <v>0.4</v>
      </c>
      <c r="T3" s="435">
        <v>0.4</v>
      </c>
      <c r="U3" s="435">
        <v>0.4</v>
      </c>
      <c r="V3" s="435">
        <v>0.5</v>
      </c>
      <c r="W3" s="435">
        <v>0.6</v>
      </c>
      <c r="X3" s="435">
        <v>0.65</v>
      </c>
      <c r="Y3" s="435">
        <v>0.7</v>
      </c>
      <c r="Z3" s="435">
        <v>0.8</v>
      </c>
      <c r="AA3" s="435">
        <v>0.9</v>
      </c>
      <c r="AB3" s="435">
        <v>1</v>
      </c>
      <c r="AC3" s="435"/>
      <c r="AD3" s="435"/>
      <c r="AE3" s="435"/>
      <c r="AF3" s="435"/>
      <c r="AG3" s="435"/>
      <c r="AH3" s="435"/>
      <c r="AI3" s="435"/>
      <c r="AJ3" s="435"/>
      <c r="AK3" s="435"/>
      <c r="AL3" s="435"/>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436"/>
      <c r="C4" s="437"/>
      <c r="D4" s="437"/>
      <c r="E4" s="437"/>
      <c r="F4" s="437"/>
      <c r="G4" s="437"/>
      <c r="H4" s="437"/>
      <c r="I4" s="437"/>
      <c r="J4" s="437"/>
      <c r="K4" s="437"/>
      <c r="L4" s="437"/>
      <c r="M4" s="437"/>
      <c r="N4" s="437"/>
      <c r="O4" s="437"/>
      <c r="P4" s="437"/>
      <c r="Q4" s="437"/>
      <c r="R4" s="437"/>
      <c r="S4" s="437"/>
      <c r="T4" s="437"/>
      <c r="U4" s="437"/>
      <c r="V4" s="437"/>
      <c r="W4" s="437"/>
      <c r="X4" s="437"/>
      <c r="Y4" s="437"/>
      <c r="Z4" s="437"/>
      <c r="AA4" s="437"/>
      <c r="AB4" s="437">
        <v>0.05</v>
      </c>
      <c r="AC4" s="437">
        <v>0.2</v>
      </c>
      <c r="AD4" s="437">
        <v>0.3</v>
      </c>
      <c r="AE4" s="437">
        <v>0.5</v>
      </c>
      <c r="AF4" s="437">
        <v>0.6</v>
      </c>
      <c r="AG4" s="437">
        <v>0.65</v>
      </c>
      <c r="AH4" s="437">
        <v>0.7</v>
      </c>
      <c r="AI4" s="437">
        <v>0.85</v>
      </c>
      <c r="AJ4" s="437">
        <v>0.9</v>
      </c>
      <c r="AK4" s="437">
        <v>0.95</v>
      </c>
      <c r="AL4" s="437">
        <v>1</v>
      </c>
      <c r="AM4" s="138"/>
      <c r="AN4" s="138"/>
      <c r="AO4" s="138"/>
      <c r="AP4" s="138"/>
      <c r="AQ4" s="138"/>
      <c r="AR4" s="138"/>
      <c r="AS4" s="138"/>
      <c r="AT4" s="138"/>
      <c r="AU4" s="138"/>
      <c r="AV4" s="138"/>
      <c r="AW4" s="138"/>
      <c r="AX4" s="138"/>
      <c r="AY4" s="138"/>
      <c r="AZ4" s="138"/>
      <c r="BA4" s="138"/>
      <c r="BB4" s="139"/>
    </row>
    <row r="5" spans="1:54" x14ac:dyDescent="0.2">
      <c r="A5" s="153" t="s">
        <v>482</v>
      </c>
      <c r="B5" s="438">
        <v>5</v>
      </c>
      <c r="C5" s="439">
        <v>6</v>
      </c>
      <c r="D5" s="439">
        <v>7</v>
      </c>
      <c r="E5" s="439">
        <v>8</v>
      </c>
      <c r="F5" s="439">
        <v>9</v>
      </c>
      <c r="G5" s="439"/>
      <c r="H5" s="439"/>
      <c r="I5" s="439"/>
      <c r="J5" s="439"/>
      <c r="K5" s="439"/>
      <c r="L5" s="439"/>
      <c r="M5" s="439"/>
      <c r="N5" s="439"/>
      <c r="O5" s="439"/>
      <c r="P5" s="439"/>
      <c r="Q5" s="439"/>
      <c r="R5" s="439"/>
      <c r="S5" s="439"/>
      <c r="T5" s="439"/>
      <c r="U5" s="439"/>
      <c r="V5" s="439"/>
      <c r="W5" s="439"/>
      <c r="X5" s="439"/>
      <c r="Y5" s="439"/>
      <c r="Z5" s="439"/>
      <c r="AA5" s="439"/>
      <c r="AB5" s="439"/>
      <c r="AC5" s="439"/>
      <c r="AD5" s="439"/>
      <c r="AE5" s="439"/>
      <c r="AF5" s="440"/>
      <c r="AG5" s="441"/>
      <c r="AH5" s="440"/>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481</v>
      </c>
      <c r="B6" s="434">
        <v>0.08</v>
      </c>
      <c r="C6" s="435">
        <v>0.12</v>
      </c>
      <c r="D6" s="435">
        <v>0.15</v>
      </c>
      <c r="E6" s="435">
        <v>0.18</v>
      </c>
      <c r="F6" s="435">
        <v>0.24</v>
      </c>
      <c r="G6" s="435">
        <v>0.3</v>
      </c>
      <c r="H6" s="435">
        <v>0.35</v>
      </c>
      <c r="I6" s="435">
        <v>0.4</v>
      </c>
      <c r="J6" s="435">
        <v>0.45</v>
      </c>
      <c r="K6" s="435">
        <v>0.5</v>
      </c>
      <c r="L6" s="435">
        <v>0.57999999999999996</v>
      </c>
      <c r="M6" s="435">
        <v>0.59</v>
      </c>
      <c r="N6" s="435">
        <v>0.6</v>
      </c>
      <c r="O6" s="435">
        <v>0.65</v>
      </c>
      <c r="P6" s="435">
        <v>0.68</v>
      </c>
      <c r="Q6" s="435">
        <v>0.7</v>
      </c>
      <c r="R6" s="435">
        <v>0.72</v>
      </c>
      <c r="S6" s="435">
        <v>0.74</v>
      </c>
      <c r="T6" s="435">
        <v>0.76</v>
      </c>
      <c r="U6" s="435">
        <v>0.78</v>
      </c>
      <c r="V6" s="435">
        <v>0.8</v>
      </c>
      <c r="W6" s="435">
        <v>0.85</v>
      </c>
      <c r="X6" s="435">
        <v>0.88</v>
      </c>
      <c r="Y6" s="435">
        <v>0.9</v>
      </c>
      <c r="Z6" s="435"/>
      <c r="AA6" s="435"/>
      <c r="AB6" s="435"/>
      <c r="AC6" s="435"/>
      <c r="AD6" s="435"/>
      <c r="AE6" s="435"/>
      <c r="AF6" s="435"/>
      <c r="AG6" s="435"/>
      <c r="AH6" s="435"/>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483</v>
      </c>
      <c r="B7" s="434"/>
      <c r="C7" s="435"/>
      <c r="D7" s="435"/>
      <c r="E7" s="435"/>
      <c r="F7" s="435"/>
      <c r="G7" s="435"/>
      <c r="H7" s="435"/>
      <c r="I7" s="435"/>
      <c r="J7" s="435"/>
      <c r="K7" s="435"/>
      <c r="L7" s="435"/>
      <c r="M7" s="435">
        <v>7.0000000000000007E-2</v>
      </c>
      <c r="N7" s="435">
        <v>0.12</v>
      </c>
      <c r="O7" s="435">
        <v>0.17</v>
      </c>
      <c r="P7" s="435">
        <v>0.27</v>
      </c>
      <c r="Q7" s="435">
        <v>0.31999999999999995</v>
      </c>
      <c r="R7" s="435">
        <v>0.37</v>
      </c>
      <c r="S7" s="435">
        <v>0.37</v>
      </c>
      <c r="T7" s="435">
        <v>0.37</v>
      </c>
      <c r="U7" s="435">
        <v>0.37</v>
      </c>
      <c r="V7" s="435">
        <v>0.37</v>
      </c>
      <c r="W7" s="435">
        <v>0.47</v>
      </c>
      <c r="X7" s="435">
        <v>0.56999999999999995</v>
      </c>
      <c r="Y7" s="435">
        <v>0.62</v>
      </c>
      <c r="Z7" s="435">
        <v>0.66999999999999993</v>
      </c>
      <c r="AA7" s="435">
        <v>0.77</v>
      </c>
      <c r="AB7" s="435">
        <v>0.87</v>
      </c>
      <c r="AC7" s="435">
        <v>0.97</v>
      </c>
      <c r="AD7" s="435"/>
      <c r="AE7" s="435"/>
      <c r="AF7" s="442"/>
      <c r="AG7" s="435"/>
      <c r="AH7" s="442"/>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36"/>
      <c r="C8" s="437"/>
      <c r="D8" s="437"/>
      <c r="E8" s="437"/>
      <c r="F8" s="437"/>
      <c r="G8" s="437"/>
      <c r="H8" s="437"/>
      <c r="I8" s="437"/>
      <c r="J8" s="437"/>
      <c r="K8" s="437"/>
      <c r="L8" s="437"/>
      <c r="M8" s="437"/>
      <c r="N8" s="437"/>
      <c r="O8" s="437"/>
      <c r="P8" s="437"/>
      <c r="Q8" s="437"/>
      <c r="R8" s="437"/>
      <c r="S8" s="437"/>
      <c r="T8" s="437"/>
      <c r="U8" s="437"/>
      <c r="V8" s="437"/>
      <c r="W8" s="437"/>
      <c r="X8" s="437"/>
      <c r="Y8" s="437"/>
      <c r="Z8" s="437"/>
      <c r="AA8" s="437"/>
      <c r="AB8" s="437">
        <v>0.08</v>
      </c>
      <c r="AC8" s="437">
        <v>0.15</v>
      </c>
      <c r="AD8" s="437">
        <v>0.26</v>
      </c>
      <c r="AE8" s="437">
        <v>0.4</v>
      </c>
      <c r="AF8" s="437">
        <v>0.5</v>
      </c>
      <c r="AG8" s="437">
        <v>0.55000000000000004</v>
      </c>
      <c r="AH8" s="437">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696</v>
      </c>
      <c r="B3" s="129" t="s">
        <v>697</v>
      </c>
      <c r="C3" s="129"/>
      <c r="D3" s="201"/>
      <c r="E3" s="129"/>
    </row>
    <row r="4" spans="1:5" x14ac:dyDescent="0.25">
      <c r="A4" s="79" t="s">
        <v>44</v>
      </c>
      <c r="B4">
        <v>0</v>
      </c>
    </row>
    <row r="5" spans="1:5" x14ac:dyDescent="0.25">
      <c r="A5" s="79" t="s">
        <v>698</v>
      </c>
      <c r="B5">
        <v>85</v>
      </c>
      <c r="D5" s="130">
        <f>GETPIVOTDATA("#Tests",$A$3,"ETA","wk-1")/GETPIVOTDATA("#Tests",$A$3)</f>
        <v>0.17</v>
      </c>
      <c r="E5" s="131">
        <f>D5</f>
        <v>0.17</v>
      </c>
    </row>
    <row r="6" spans="1:5" x14ac:dyDescent="0.25">
      <c r="A6" s="79" t="s">
        <v>699</v>
      </c>
      <c r="B6">
        <v>48</v>
      </c>
      <c r="D6" s="130">
        <f>GETPIVOTDATA("#Tests",$A$3,"ETA","wk-2")/GETPIVOTDATA("#Tests",$A$3)</f>
        <v>9.6000000000000002E-2</v>
      </c>
      <c r="E6" s="131">
        <f t="shared" ref="E6:E12" si="0">E5+D6</f>
        <v>0.26600000000000001</v>
      </c>
    </row>
    <row r="7" spans="1:5" x14ac:dyDescent="0.25">
      <c r="A7" s="79" t="s">
        <v>700</v>
      </c>
      <c r="B7">
        <v>96</v>
      </c>
      <c r="D7" s="130">
        <f>GETPIVOTDATA("#Tests",$A$3,"ETA","wk-3")/GETPIVOTDATA("#Tests",$A$3)</f>
        <v>0.192</v>
      </c>
      <c r="E7" s="131">
        <f t="shared" si="0"/>
        <v>0.45800000000000002</v>
      </c>
    </row>
    <row r="8" spans="1:5" x14ac:dyDescent="0.25">
      <c r="A8" s="79" t="s">
        <v>701</v>
      </c>
      <c r="B8">
        <v>79</v>
      </c>
      <c r="D8" s="130">
        <f>GETPIVOTDATA("#Tests",$A$3,"ETA","wk-4")/GETPIVOTDATA("#Tests",$A$3)</f>
        <v>0.158</v>
      </c>
      <c r="E8" s="131">
        <f t="shared" si="0"/>
        <v>0.61599999999999999</v>
      </c>
    </row>
    <row r="9" spans="1:5" x14ac:dyDescent="0.25">
      <c r="A9" s="79" t="s">
        <v>702</v>
      </c>
      <c r="B9">
        <v>82</v>
      </c>
      <c r="D9" s="130">
        <f>GETPIVOTDATA("#Tests",$A$3,"ETA","wk-5")/GETPIVOTDATA("#Tests",$A$3)</f>
        <v>0.16400000000000001</v>
      </c>
      <c r="E9" s="131">
        <f t="shared" si="0"/>
        <v>0.78</v>
      </c>
    </row>
    <row r="10" spans="1:5" x14ac:dyDescent="0.25">
      <c r="A10" s="79" t="s">
        <v>703</v>
      </c>
      <c r="B10">
        <v>60</v>
      </c>
      <c r="D10" s="130">
        <f>GETPIVOTDATA("#Tests",$A$3,"ETA","wk-6")/GETPIVOTDATA("#Tests",$A$3)</f>
        <v>0.12</v>
      </c>
      <c r="E10" s="131">
        <f t="shared" si="0"/>
        <v>0.9</v>
      </c>
    </row>
    <row r="11" spans="1:5" x14ac:dyDescent="0.25">
      <c r="A11" s="79" t="s">
        <v>704</v>
      </c>
      <c r="B11">
        <v>30</v>
      </c>
      <c r="D11" s="130">
        <f>GETPIVOTDATA("#Tests",$A$3,"ETA","wk-7")/GETPIVOTDATA("#Tests",$A$3)</f>
        <v>0.06</v>
      </c>
      <c r="E11" s="131">
        <f t="shared" si="0"/>
        <v>0.96</v>
      </c>
    </row>
    <row r="12" spans="1:5" x14ac:dyDescent="0.25">
      <c r="A12" s="79" t="s">
        <v>705</v>
      </c>
      <c r="B12">
        <v>20</v>
      </c>
      <c r="D12" s="130">
        <f>GETPIVOTDATA("#Tests",$A$3,"ETA","wk-8")/GETPIVOTDATA("#Tests",$A$3)</f>
        <v>0.04</v>
      </c>
      <c r="E12" s="131">
        <f t="shared" si="0"/>
        <v>1</v>
      </c>
    </row>
    <row r="13" spans="1:5" x14ac:dyDescent="0.25">
      <c r="A13" s="79" t="s">
        <v>249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57610595-4D29-4693-90C8-AA800F50F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Sub-IP Block Summary</vt:lpstr>
      <vt:lpstr>Feature Raw Data</vt:lpstr>
      <vt:lpstr>Progress (WIP)</vt:lpstr>
      <vt:lpstr>Feature Summary</vt:lpstr>
      <vt:lpstr>Diags Raw Data</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2024-03-06T21:09:15Z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2022-02-28T02:24:46Z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25ca3d8c-fda6-48e2-86cf-3e0ed54cdcb4</vt:lpwstr>
  </property>
  <property fmtid="{D5CDD505-2E9C-101B-9397-08002B2CF9AE}" pid="9" name="MSIP_Label_88914ebd-7e6c-4e12-a031-a9906be2db14_ContentBits">
    <vt:lpwstr>1</vt:lpwstr>
  </property>
</Properties>
</file>