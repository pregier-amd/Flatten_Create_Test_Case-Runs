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D:\Project Traning document\Test Plan\Strix1\StrixHalo\"/>
    </mc:Choice>
  </mc:AlternateContent>
  <xr:revisionPtr revIDLastSave="0" documentId="13_ncr:1_{993D8EE6-2EB3-44C9-8060-4315E142E302}" xr6:coauthVersionLast="36" xr6:coauthVersionMax="47" xr10:uidLastSave="{00000000-0000-0000-0000-000000000000}"/>
  <bookViews>
    <workbookView xWindow="-110" yWindow="-16310" windowWidth="29020" windowHeight="15820" firstSheet="7" activeTab="8"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Data'!$A$5:$AH$17</definedName>
    <definedName name="_xlnm._FilterDatabase" localSheetId="7" hidden="1">'Feature Raw Data'!$A$2:$E$18</definedName>
    <definedName name="_xlnm._FilterDatabase" localSheetId="8" hidden="1">'Feature Summary'!$A$6:$U$19</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16021" r:id="rId13"/>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A8" i="55" l="1"/>
  <c r="B8" i="55"/>
  <c r="A9" i="55"/>
  <c r="B9" i="55"/>
  <c r="A10" i="55"/>
  <c r="B10" i="55"/>
  <c r="A11" i="55"/>
  <c r="B11" i="55"/>
  <c r="A12" i="55"/>
  <c r="B12" i="55"/>
  <c r="B7" i="55"/>
  <c r="A7" i="55"/>
  <c r="I9" i="52"/>
  <c r="B4" i="52"/>
  <c r="B5" i="52"/>
  <c r="B6" i="52"/>
  <c r="B7" i="52"/>
  <c r="B8" i="52"/>
  <c r="B3" i="52"/>
  <c r="A4" i="52"/>
  <c r="A5" i="52"/>
  <c r="A6" i="52"/>
  <c r="A7" i="52"/>
  <c r="A8" i="52"/>
  <c r="A3" i="52"/>
  <c r="P7" i="55"/>
  <c r="P8" i="55"/>
  <c r="P9" i="55"/>
  <c r="P10" i="55"/>
  <c r="P11" i="55"/>
  <c r="P12" i="55"/>
  <c r="AE11" i="53"/>
  <c r="X11" i="53"/>
  <c r="P11" i="53"/>
  <c r="AE10" i="53"/>
  <c r="X10" i="53"/>
  <c r="P10" i="53"/>
  <c r="AE9" i="53"/>
  <c r="X9" i="53"/>
  <c r="P9" i="53"/>
  <c r="AE8" i="53"/>
  <c r="X8" i="53"/>
  <c r="P8" i="53"/>
  <c r="AE7" i="53"/>
  <c r="X7" i="53"/>
  <c r="P7" i="53"/>
  <c r="AE6" i="53"/>
  <c r="X6" i="53"/>
  <c r="P6" i="53"/>
  <c r="B4" i="59"/>
  <c r="T2" i="53"/>
  <c r="R17" i="53"/>
  <c r="O17" i="53"/>
  <c r="K2" i="53"/>
  <c r="C10" i="59"/>
  <c r="I7" i="55"/>
  <c r="D17" i="59"/>
  <c r="D16" i="59"/>
  <c r="D11" i="59"/>
  <c r="D10" i="59"/>
  <c r="D5" i="59"/>
  <c r="D4" i="59"/>
  <c r="I8" i="55"/>
  <c r="AD2" i="53"/>
  <c r="AC2" i="53"/>
  <c r="AB2" i="53"/>
  <c r="AA2" i="53"/>
  <c r="W2" i="53"/>
  <c r="V2" i="53"/>
  <c r="U2" i="53"/>
  <c r="R2" i="53"/>
  <c r="O2" i="53"/>
  <c r="L2" i="53"/>
  <c r="S5" i="59"/>
  <c r="R5" i="59"/>
  <c r="Q5" i="59"/>
  <c r="P5" i="59"/>
  <c r="K5" i="59"/>
  <c r="J5" i="59"/>
  <c r="I5" i="59"/>
  <c r="H5" i="59"/>
  <c r="E5" i="59"/>
  <c r="C5" i="59"/>
  <c r="B5" i="59"/>
  <c r="S4" i="59"/>
  <c r="R4" i="59"/>
  <c r="Q4" i="59"/>
  <c r="P4" i="59"/>
  <c r="K4" i="59"/>
  <c r="J4" i="59"/>
  <c r="I4" i="59"/>
  <c r="H4" i="59"/>
  <c r="E4" i="59"/>
  <c r="C4" i="59"/>
  <c r="D9" i="55" a="1"/>
  <c r="D9" i="55"/>
  <c r="G9" i="55"/>
  <c r="D10" i="55" a="1"/>
  <c r="D10" i="55"/>
  <c r="H10" i="55"/>
  <c r="D11" i="55" a="1"/>
  <c r="D11" i="55"/>
  <c r="H11" i="55"/>
  <c r="D12" i="55" a="1"/>
  <c r="D12" i="55"/>
  <c r="H12" i="55"/>
  <c r="I9" i="55"/>
  <c r="I10" i="55"/>
  <c r="I11" i="55"/>
  <c r="I12" i="55"/>
  <c r="Q9" i="55"/>
  <c r="Q10" i="55"/>
  <c r="Q11" i="55"/>
  <c r="Q12" i="55"/>
  <c r="Q8" i="55"/>
  <c r="Q7" i="55"/>
  <c r="J9" i="55"/>
  <c r="J10" i="55"/>
  <c r="J11" i="55"/>
  <c r="J12" i="55"/>
  <c r="J8" i="55"/>
  <c r="J7" i="55"/>
  <c r="E9" i="55"/>
  <c r="E10" i="55"/>
  <c r="E11" i="55"/>
  <c r="E12" i="55"/>
  <c r="E8" i="55"/>
  <c r="E7" i="55"/>
  <c r="D8" i="55" a="1"/>
  <c r="D8" i="55"/>
  <c r="D7" i="55" a="1"/>
  <c r="D7" i="55"/>
  <c r="T17" i="53"/>
  <c r="K17" i="53"/>
  <c r="F8" i="55"/>
  <c r="I3" i="52"/>
  <c r="F9" i="55"/>
  <c r="F10" i="55"/>
  <c r="F11" i="55"/>
  <c r="F12" i="55"/>
  <c r="I13" i="52"/>
  <c r="I12" i="52"/>
  <c r="I11" i="52"/>
  <c r="I10" i="52"/>
  <c r="I8" i="52"/>
  <c r="I7" i="52"/>
  <c r="I6" i="52"/>
  <c r="I5" i="52"/>
  <c r="I4" i="52"/>
  <c r="B17" i="59"/>
  <c r="I11" i="59"/>
  <c r="K17" i="59"/>
  <c r="J17" i="59"/>
  <c r="K16" i="59"/>
  <c r="J16" i="59"/>
  <c r="K11" i="59"/>
  <c r="J11" i="59"/>
  <c r="K10" i="59"/>
  <c r="J10" i="59"/>
  <c r="S10" i="59"/>
  <c r="S17" i="59"/>
  <c r="R17" i="59"/>
  <c r="S16" i="59"/>
  <c r="R16" i="59"/>
  <c r="S11" i="59"/>
  <c r="R11" i="59"/>
  <c r="R10" i="59"/>
  <c r="AD17" i="53"/>
  <c r="AC17" i="53"/>
  <c r="AB17" i="53"/>
  <c r="AA17" i="53"/>
  <c r="W17" i="53"/>
  <c r="V17" i="53"/>
  <c r="U17" i="53"/>
  <c r="L17" i="53"/>
  <c r="J18" i="55"/>
  <c r="M8" i="55" a="1"/>
  <c r="M8" i="55"/>
  <c r="M2" i="55"/>
  <c r="M18" i="55"/>
  <c r="N11" i="55" a="1"/>
  <c r="N11" i="55"/>
  <c r="N8" i="55" a="1"/>
  <c r="N8" i="55"/>
  <c r="M9" i="55" a="1"/>
  <c r="M9" i="55"/>
  <c r="M10" i="55" a="1"/>
  <c r="M10" i="55"/>
  <c r="M7" i="55" a="1"/>
  <c r="M7" i="55"/>
  <c r="M11" i="55" a="1"/>
  <c r="M11" i="55"/>
  <c r="M12" i="55" a="1"/>
  <c r="M12" i="55"/>
  <c r="H16" i="59"/>
  <c r="C17" i="59"/>
  <c r="C16" i="59"/>
  <c r="C11" i="59"/>
  <c r="B16" i="59"/>
  <c r="B10" i="59"/>
  <c r="Q11" i="59"/>
  <c r="Q10" i="59"/>
  <c r="P11" i="59"/>
  <c r="P10" i="59"/>
  <c r="I10" i="59"/>
  <c r="H11" i="59"/>
  <c r="H10" i="59"/>
  <c r="E11" i="59"/>
  <c r="E10" i="59"/>
  <c r="B11" i="59"/>
  <c r="E17" i="59"/>
  <c r="Q17" i="59"/>
  <c r="Q16" i="59"/>
  <c r="P17" i="59"/>
  <c r="P16" i="59"/>
  <c r="I17" i="59"/>
  <c r="I16" i="59"/>
  <c r="H17" i="59"/>
  <c r="E16" i="59"/>
  <c r="G12" i="55"/>
  <c r="H9" i="55"/>
  <c r="C7" i="26"/>
  <c r="C6" i="26"/>
  <c r="D7" i="26"/>
  <c r="D6" i="26"/>
  <c r="E7" i="26"/>
  <c r="E6" i="26"/>
  <c r="F7" i="26"/>
  <c r="G7" i="26"/>
  <c r="H7" i="26"/>
  <c r="H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G2" i="26"/>
  <c r="D2" i="26"/>
  <c r="E2" i="26"/>
  <c r="AH14" i="26"/>
  <c r="AK12" i="26"/>
  <c r="AJ14" i="26"/>
  <c r="AI12" i="26"/>
  <c r="Q14" i="26"/>
  <c r="AG14" i="26"/>
  <c r="AG12" i="26"/>
  <c r="M12" i="26"/>
  <c r="H14" i="26"/>
  <c r="C12" i="26"/>
  <c r="AF12" i="26"/>
  <c r="Q12" i="26"/>
  <c r="R12" i="26"/>
  <c r="F12" i="26"/>
  <c r="I12" i="26"/>
  <c r="G14" i="26"/>
  <c r="V12" i="26"/>
  <c r="K12" i="26"/>
  <c r="N14" i="26"/>
  <c r="G12" i="26"/>
  <c r="AA14" i="26"/>
  <c r="M14" i="26"/>
  <c r="AE12" i="26"/>
  <c r="AB14" i="26"/>
  <c r="AD12" i="26"/>
  <c r="Y14" i="26"/>
  <c r="W14" i="26"/>
  <c r="E12" i="26"/>
  <c r="V14" i="26"/>
  <c r="O14" i="26"/>
  <c r="N12" i="26"/>
  <c r="R14" i="26"/>
  <c r="Y12" i="26"/>
  <c r="Z12" i="26"/>
  <c r="AC14" i="26"/>
  <c r="F14" i="26"/>
  <c r="AB12" i="26"/>
  <c r="F6" i="26"/>
  <c r="AL14" i="26"/>
  <c r="AI14" i="26"/>
  <c r="B6" i="26"/>
  <c r="X14" i="26"/>
  <c r="U14" i="26"/>
  <c r="H12" i="26"/>
  <c r="T14" i="26"/>
  <c r="P12" i="26"/>
  <c r="AC12" i="26"/>
  <c r="AK14" i="26"/>
  <c r="AH12" i="26"/>
  <c r="S12" i="26"/>
  <c r="L12" i="26"/>
  <c r="B12" i="26"/>
  <c r="AE14" i="26"/>
  <c r="AA12" i="26"/>
  <c r="J12" i="26"/>
  <c r="W12" i="26"/>
  <c r="S14" i="26"/>
  <c r="T12" i="26"/>
  <c r="AD14" i="26"/>
  <c r="J14" i="26"/>
  <c r="U12" i="26"/>
  <c r="X12" i="26"/>
  <c r="P14" i="26"/>
  <c r="AJ12" i="26"/>
  <c r="G6" i="26"/>
  <c r="I7" i="26"/>
  <c r="J7" i="26"/>
  <c r="I6" i="26"/>
  <c r="J6" i="26"/>
  <c r="K7" i="26"/>
  <c r="L7" i="26"/>
  <c r="L6" i="26"/>
  <c r="K6" i="26"/>
  <c r="F7" i="55"/>
  <c r="D8" i="57"/>
  <c r="D7" i="57"/>
  <c r="D9" i="57"/>
  <c r="D5" i="57"/>
  <c r="D10" i="57"/>
  <c r="D12" i="57"/>
  <c r="D11" i="57"/>
  <c r="D6" i="57"/>
  <c r="H6" i="59"/>
  <c r="O8" i="55"/>
  <c r="G11" i="55"/>
  <c r="S11" i="55"/>
  <c r="R12" i="59"/>
  <c r="R18" i="59"/>
  <c r="N10" i="55" a="1"/>
  <c r="N10" i="55"/>
  <c r="O10" i="55"/>
  <c r="G10" i="55"/>
  <c r="F17" i="59"/>
  <c r="F4" i="59"/>
  <c r="D18" i="59"/>
  <c r="N11" i="59"/>
  <c r="J6" i="59"/>
  <c r="V4" i="59"/>
  <c r="R8" i="55"/>
  <c r="R9" i="55"/>
  <c r="J12" i="59"/>
  <c r="K18" i="59"/>
  <c r="G16" i="59"/>
  <c r="M16" i="59"/>
  <c r="O11" i="55"/>
  <c r="N5" i="59"/>
  <c r="R11" i="55"/>
  <c r="V17" i="59"/>
  <c r="F10" i="59"/>
  <c r="J2" i="55"/>
  <c r="S12" i="59"/>
  <c r="S18" i="59"/>
  <c r="J18" i="59"/>
  <c r="E6" i="59"/>
  <c r="G7" i="55"/>
  <c r="H7" i="55"/>
  <c r="H8" i="55"/>
  <c r="G8" i="55"/>
  <c r="I6" i="59"/>
  <c r="D6" i="59"/>
  <c r="K6" i="59"/>
  <c r="D12" i="59"/>
  <c r="N10" i="59"/>
  <c r="I12" i="59"/>
  <c r="Q6" i="59"/>
  <c r="R6" i="59"/>
  <c r="O4" i="59"/>
  <c r="T4" i="59"/>
  <c r="Q18" i="59"/>
  <c r="S6" i="59"/>
  <c r="V5" i="59"/>
  <c r="K12" i="59"/>
  <c r="Q12" i="59"/>
  <c r="I18" i="59"/>
  <c r="P18" i="59"/>
  <c r="N4" i="59"/>
  <c r="D13" i="57"/>
  <c r="E5" i="57"/>
  <c r="E6" i="57"/>
  <c r="E7" i="57"/>
  <c r="E8" i="57"/>
  <c r="E9" i="57"/>
  <c r="E10" i="57"/>
  <c r="E11" i="57"/>
  <c r="E12" i="57"/>
  <c r="P2" i="53"/>
  <c r="P17" i="53"/>
  <c r="L12" i="55" a="1"/>
  <c r="L12" i="55"/>
  <c r="L8" i="55" a="1"/>
  <c r="L8" i="55"/>
  <c r="L9" i="55" a="1"/>
  <c r="L9" i="55"/>
  <c r="L7" i="55" a="1"/>
  <c r="L7" i="55"/>
  <c r="F18" i="59" a="1"/>
  <c r="F18" i="59"/>
  <c r="G10" i="59"/>
  <c r="G17" i="59"/>
  <c r="S2" i="53"/>
  <c r="S17" i="53"/>
  <c r="G5" i="59"/>
  <c r="M7" i="26"/>
  <c r="Z2" i="53"/>
  <c r="G11" i="59"/>
  <c r="O16" i="59"/>
  <c r="Z17" i="53"/>
  <c r="O10" i="59"/>
  <c r="O5" i="59"/>
  <c r="G4" i="59"/>
  <c r="O11" i="59"/>
  <c r="O17" i="59"/>
  <c r="B18" i="59"/>
  <c r="H18" i="59"/>
  <c r="N16" i="59"/>
  <c r="I14" i="26"/>
  <c r="K14" i="26"/>
  <c r="Z14" i="26"/>
  <c r="L14" i="26"/>
  <c r="AL12" i="26"/>
  <c r="O12" i="26"/>
  <c r="D12" i="26"/>
  <c r="AF14" i="26"/>
  <c r="E18" i="59"/>
  <c r="P12" i="59"/>
  <c r="C12" i="59"/>
  <c r="V10" i="59"/>
  <c r="V11" i="59"/>
  <c r="F11" i="59"/>
  <c r="B12" i="59"/>
  <c r="H12" i="59"/>
  <c r="E12" i="59"/>
  <c r="V16" i="59"/>
  <c r="F16" i="59"/>
  <c r="C18" i="59"/>
  <c r="N17" i="59"/>
  <c r="N17" i="53"/>
  <c r="Q18" i="55"/>
  <c r="Q2" i="55"/>
  <c r="I2" i="55"/>
  <c r="I18" i="55"/>
  <c r="N2" i="53"/>
  <c r="N2" i="55"/>
  <c r="N12" i="55" a="1"/>
  <c r="N12" i="55"/>
  <c r="O12" i="55"/>
  <c r="N9" i="55" a="1"/>
  <c r="N9" i="55"/>
  <c r="O9" i="55"/>
  <c r="N7" i="55" a="1"/>
  <c r="N7" i="55"/>
  <c r="O7" i="55"/>
  <c r="C6" i="59"/>
  <c r="P6" i="59"/>
  <c r="B6" i="59"/>
  <c r="F5" i="59"/>
  <c r="N18" i="55"/>
  <c r="S9" i="55"/>
  <c r="T11" i="55"/>
  <c r="U4" i="59"/>
  <c r="S8" i="55"/>
  <c r="T8" i="55"/>
  <c r="L16" i="59"/>
  <c r="H2" i="55"/>
  <c r="R12" i="55"/>
  <c r="S12" i="55"/>
  <c r="G2" i="55"/>
  <c r="O6" i="59"/>
  <c r="U6" i="59"/>
  <c r="N18" i="59"/>
  <c r="M11" i="59"/>
  <c r="L11" i="59"/>
  <c r="M5" i="59"/>
  <c r="L5" i="59"/>
  <c r="U17" i="59"/>
  <c r="T17" i="59"/>
  <c r="X2" i="53"/>
  <c r="X17" i="53"/>
  <c r="R10" i="55"/>
  <c r="S10" i="55"/>
  <c r="L4" i="59"/>
  <c r="M4" i="59"/>
  <c r="G6" i="59"/>
  <c r="M6" i="59"/>
  <c r="M10" i="59"/>
  <c r="G12" i="59"/>
  <c r="M12" i="59"/>
  <c r="L10" i="59"/>
  <c r="L10" i="55" a="1"/>
  <c r="L10" i="55"/>
  <c r="V6" i="59"/>
  <c r="U5" i="59"/>
  <c r="T5" i="59"/>
  <c r="L17" i="59"/>
  <c r="M17" i="59"/>
  <c r="U10" i="59"/>
  <c r="O12" i="59"/>
  <c r="U12" i="59"/>
  <c r="T10" i="59"/>
  <c r="F6" i="59" a="1"/>
  <c r="F6" i="59"/>
  <c r="T9" i="55"/>
  <c r="G18" i="55"/>
  <c r="L11" i="55" a="1"/>
  <c r="L11" i="55"/>
  <c r="P2" i="55"/>
  <c r="AE2" i="53"/>
  <c r="AE17" i="53"/>
  <c r="P18" i="55"/>
  <c r="N6" i="59"/>
  <c r="K18" i="55"/>
  <c r="K2" i="55"/>
  <c r="K10" i="55" a="1"/>
  <c r="K10" i="55"/>
  <c r="K7" i="55" a="1"/>
  <c r="K7" i="55"/>
  <c r="K11" i="55" a="1"/>
  <c r="K11" i="55"/>
  <c r="K9" i="55" a="1"/>
  <c r="K9" i="55"/>
  <c r="K8" i="55" a="1"/>
  <c r="K8" i="55"/>
  <c r="K12" i="55" a="1"/>
  <c r="K12" i="55"/>
  <c r="V12" i="59"/>
  <c r="G19" i="55"/>
  <c r="G3" i="55"/>
  <c r="V18" i="59"/>
  <c r="H18" i="55"/>
  <c r="R7" i="55"/>
  <c r="S7" i="55"/>
  <c r="L18" i="55"/>
  <c r="L2" i="55"/>
  <c r="F12" i="59" a="1"/>
  <c r="F12" i="59"/>
  <c r="O2" i="55"/>
  <c r="O18" i="55"/>
  <c r="N12" i="59"/>
  <c r="G18" i="59"/>
  <c r="M18" i="59"/>
  <c r="T11" i="59"/>
  <c r="U11" i="59"/>
  <c r="U16" i="59"/>
  <c r="O18" i="59"/>
  <c r="U18" i="59"/>
  <c r="T16" i="59"/>
  <c r="M6" i="26"/>
  <c r="N7" i="26"/>
  <c r="L12" i="59"/>
  <c r="T12" i="59"/>
  <c r="T6" i="59"/>
  <c r="T12" i="55"/>
  <c r="T10" i="55"/>
  <c r="S2" i="55"/>
  <c r="R2" i="55"/>
  <c r="S18" i="55"/>
  <c r="R18" i="55"/>
  <c r="N6" i="26"/>
  <c r="O7" i="26"/>
  <c r="H3" i="55"/>
  <c r="H19" i="55"/>
  <c r="T7" i="55"/>
  <c r="T18" i="59"/>
  <c r="L6" i="59"/>
  <c r="L18" i="59"/>
  <c r="T18" i="55"/>
  <c r="T2" i="55"/>
  <c r="P7" i="26"/>
  <c r="O6" i="26"/>
  <c r="Q7" i="26"/>
  <c r="P6" i="26"/>
  <c r="R7" i="26"/>
  <c r="Q6" i="26"/>
  <c r="R6" i="26"/>
  <c r="S7" i="26"/>
  <c r="S6" i="26"/>
  <c r="T7" i="26"/>
  <c r="T6" i="26"/>
  <c r="U7" i="26"/>
  <c r="V7" i="26"/>
  <c r="U6" i="26"/>
  <c r="W7" i="26"/>
  <c r="V6" i="26"/>
  <c r="X7" i="26"/>
  <c r="W6" i="26"/>
  <c r="Y7" i="26"/>
  <c r="X6" i="26"/>
  <c r="Y6" i="26"/>
  <c r="Z7" i="26"/>
  <c r="AA7" i="26"/>
  <c r="Z6" i="26"/>
  <c r="AA6" i="26"/>
  <c r="AB7" i="26"/>
  <c r="AB6" i="26"/>
  <c r="AC7" i="26"/>
  <c r="AD7" i="26"/>
  <c r="AC6" i="26"/>
  <c r="AD6" i="26"/>
  <c r="AE7" i="26"/>
  <c r="AF7" i="26"/>
  <c r="AE6" i="26"/>
  <c r="AG7" i="26"/>
  <c r="AF6" i="26"/>
  <c r="AH7" i="26"/>
  <c r="AG6" i="26"/>
  <c r="AH6" i="26"/>
  <c r="AI7" i="26"/>
  <c r="AJ7" i="26"/>
  <c r="AI6" i="26"/>
  <c r="AJ6" i="26"/>
  <c r="AK7" i="26"/>
  <c r="AK6" i="26"/>
  <c r="AL7"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9"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5"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<sst xmlns="http://schemas.openxmlformats.org/spreadsheetml/2006/main" count="1092" uniqueCount="472">
  <si>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</si>
  <si>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</si>
  <si>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</si>
  <si>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</si>
  <si>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</si>
  <si>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</si>
  <si>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</si>
  <si>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</si>
  <si>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</si>
  <si>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</si>
  <si>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</si>
  <si>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</si>
  <si>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</si>
  <si>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</si>
  <si>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</si>
  <si>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</si>
  <si>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</si>
  <si>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</si>
  <si>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</si>
  <si>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</si>
  <si>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</si>
  <si>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</si>
  <si>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</si>
  <si>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</si>
  <si>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</si>
  <si>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</si>
  <si>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</si>
  <si>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</si>
  <si>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</si>
  <si>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</si>
  <si>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</si>
  <si>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</si>
  <si>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</si>
  <si>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</si>
  <si>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</si>
  <si>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</si>
  <si>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</si>
  <si>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</si>
  <si>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</si>
  <si>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</si>
  <si>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</si>
  <si>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</si>
  <si>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</si>
  <si>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</si>
  <si>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</si>
  <si>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</si>
  <si>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</si>
  <si>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</si>
  <si>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</si>
  <si>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</si>
  <si>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</si>
  <si>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</si>
  <si>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</si>
  <si>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</si>
  <si>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</si>
  <si>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</si>
  <si>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</si>
  <si>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</si>
  <si>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</si>
  <si>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</si>
  <si>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</si>
  <si>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</si>
  <si>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</si>
  <si>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</si>
  <si>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</si>
  <si>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</si>
  <si>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</si>
  <si>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</si>
  <si>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</si>
  <si>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</si>
  <si>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</si>
  <si>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</si>
  <si>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</si>
  <si>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</si>
  <si>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</si>
  <si>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</si>
  <si>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</si>
  <si>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</si>
  <si>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</si>
  <si>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</si>
  <si>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</si>
  <si>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</si>
  <si>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</si>
  <si>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</si>
  <si>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</si>
  <si>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</si>
  <si>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</si>
  <si>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</si>
  <si>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</si>
  <si>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</si>
  <si>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</si>
  <si>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</si>
  <si>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</si>
  <si>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</si>
  <si>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</si>
  <si>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</si>
  <si>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</si>
  <si>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</si>
  <si>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</si>
  <si>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</si>
  <si>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</si>
  <si>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</si>
  <si>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</si>
  <si>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</si>
  <si>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</si>
  <si>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</si>
  <si>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</si>
  <si>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</si>
  <si>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</si>
  <si>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</si>
  <si>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</si>
  <si>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</si>
  <si>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</si>
  <si>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</si>
  <si>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</si>
  <si>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</si>
  <si>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</si>
  <si>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</si>
  <si>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</si>
  <si>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</si>
  <si>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</si>
  <si>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</si>
  <si>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</si>
  <si>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</si>
  <si>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</si>
  <si>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</si>
  <si>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</si>
  <si>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</si>
  <si>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</si>
  <si>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</si>
  <si>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</si>
  <si>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</si>
  <si>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</si>
  <si>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</si>
  <si>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</si>
  <si>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</si>
  <si>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</si>
  <si>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</si>
  <si>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</si>
  <si>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</si>
  <si>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</si>
  <si>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</si>
  <si>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</si>
  <si>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</si>
  <si>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</si>
  <si>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</si>
  <si>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</si>
  <si>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</si>
  <si>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</si>
  <si>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</si>
  <si>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</si>
  <si>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</si>
  <si>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</si>
  <si>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</si>
  <si>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</si>
  <si>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</si>
  <si>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</si>
  <si>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</si>
  <si>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</si>
  <si>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</si>
  <si>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</si>
  <si>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</si>
  <si>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</si>
  <si>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</si>
  <si>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</si>
  <si>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</si>
  <si>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</si>
  <si>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</si>
  <si>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</si>
  <si>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</si>
  <si>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</si>
  <si>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</si>
  <si>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</si>
  <si>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</si>
  <si>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</si>
  <si>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</si>
  <si>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</si>
  <si>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</si>
  <si>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</si>
  <si>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</si>
  <si>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</si>
  <si>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</si>
  <si>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</si>
  <si>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</si>
  <si>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</si>
  <si>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</si>
  <si>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</si>
  <si>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</si>
  <si>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</si>
  <si>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</si>
  <si>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</si>
  <si>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</si>
  <si>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</si>
  <si>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</si>
  <si>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</si>
  <si>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</si>
  <si>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</si>
  <si>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</si>
  <si>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</si>
  <si>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</si>
  <si>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</si>
  <si>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</si>
  <si>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</si>
  <si>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</si>
  <si>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</si>
  <si>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</si>
  <si>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</si>
  <si>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</si>
  <si>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</si>
  <si>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</si>
  <si>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</si>
  <si>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</si>
  <si>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</si>
  <si>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</si>
  <si>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</si>
  <si>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</si>
  <si>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</si>
  <si>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</si>
  <si>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</si>
  <si>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</si>
  <si>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</si>
  <si>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</si>
  <si>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</si>
  <si>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</si>
  <si>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</si>
  <si>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</si>
  <si>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</si>
  <si>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</si>
  <si>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</si>
  <si>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</si>
  <si>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</si>
  <si>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</si>
  <si>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</si>
  <si>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</si>
  <si>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</si>
  <si>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</si>
  <si>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</si>
  <si>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</si>
  <si>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</si>
  <si>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</si>
  <si>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</si>
  <si>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</si>
  <si>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</si>
  <si>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</si>
  <si>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</si>
  <si>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</si>
  <si>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</si>
  <si>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</si>
  <si>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</si>
  <si>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</si>
  <si>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</si>
  <si>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</si>
  <si>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</si>
  <si>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</si>
  <si>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</si>
  <si>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</si>
  <si>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</si>
  <si>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</si>
  <si>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</si>
  <si>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</si>
  <si>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</si>
  <si>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</si>
  <si>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</si>
  <si>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</si>
  <si>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</si>
  <si>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</si>
  <si>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</si>
  <si>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</si>
  <si>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</si>
  <si>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</si>
  <si>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</si>
  <si>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</si>
  <si>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</si>
  <si>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</si>
  <si>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</si>
  <si>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</si>
  <si>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</si>
  <si>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</si>
  <si>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</si>
  <si>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</si>
  <si>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</si>
  <si>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</si>
  <si>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</si>
  <si>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</si>
  <si>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</si>
  <si>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</si>
  <si>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</si>
  <si>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</si>
  <si>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</si>
  <si>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</si>
  <si>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</si>
  <si>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</si>
  <si>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</si>
  <si>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</si>
  <si>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</si>
  <si>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</si>
  <si>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</si>
  <si>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</si>
  <si>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</si>
  <si>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</si>
  <si>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</si>
  <si>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</si>
  <si>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</si>
  <si>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</si>
  <si>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</si>
  <si>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</si>
  <si>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</si>
  <si>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</si>
  <si>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KRK1.CPU-RAS.001</t>
  </si>
  <si>
    <t>Test PCIe AER Error Reporting</t>
  </si>
  <si>
    <t>Sunil Vasu</t>
  </si>
  <si>
    <t>NBIO-RAS</t>
  </si>
  <si>
    <t>PCIe AER Error Reporting</t>
  </si>
  <si>
    <t>CPU-RAS.PCIe.01</t>
  </si>
  <si>
    <t>WK-6</t>
  </si>
  <si>
    <t>KRK1.CPU-RAS.002</t>
  </si>
  <si>
    <t>PCIe AER LCRC Error Injection</t>
  </si>
  <si>
    <t>CPU-RAS.PCIe.02</t>
  </si>
  <si>
    <t>KRK1.CPU-RAS.003</t>
  </si>
  <si>
    <t>PCIe AER ECRC Error Injection</t>
  </si>
  <si>
    <t>CPU-RAS.PCIe.03</t>
  </si>
  <si>
    <t>KRK1.CPU-RAS.004</t>
  </si>
  <si>
    <t>PCIe AER ACS Error Injection</t>
  </si>
  <si>
    <t>CPU-RAS.PCIe.04</t>
  </si>
  <si>
    <t>KRK1.CPU-RAS.005</t>
  </si>
  <si>
    <t>PCIe eDPC Error</t>
  </si>
  <si>
    <t>CPU-RAS.PCIe.05</t>
  </si>
  <si>
    <t>KRK1.CPU-RAS.006</t>
  </si>
  <si>
    <t>FCH Watchdog Timer</t>
  </si>
  <si>
    <t>CPU-RAS.PCIe.06</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</si>
  <si>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</si>
  <si>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</si>
  <si>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</si>
  <si>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</si>
  <si>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CCX RAS</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</si>
  <si>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</si>
  <si>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</si>
  <si>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</si>
  <si>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</si>
  <si>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</si>
  <si>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</si>
  <si>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</si>
  <si>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</si>
  <si>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</si>
  <si>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</si>
  <si>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</si>
  <si>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</si>
  <si>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</si>
  <si>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</si>
  <si>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</si>
  <si>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</si>
  <si>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t>PLEASE CAREFULLY READ 'Usage' tab’s descriptions and instructions of all columns and tabs</t>
  </si>
  <si>
    <t>Pre Silicon completed and passed with 100%.</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</si>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</sst>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0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6" xfId="0" applyFill="1" applyBorder="1" applyAlignment="1">
      <alignment vertical="center"/>
    </xf>
    <xf numFmtId="0" fontId="18" fillId="52" borderId="10" xfId="0" applyFont="1" applyFill="1" applyBorder="1" applyAlignment="1">
      <alignment horizontal="center" vertical="center"/>
    </xf>
    <xf numFmtId="0" fontId="18" fillId="52" borderId="14" xfId="0"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0" fontId="18" fillId="52" borderId="37" xfId="0" applyFont="1" applyFill="1" applyBorder="1" applyAlignment="1" applyProtection="1">
      <alignment vertical="center"/>
      <protection locked="0"/>
    </xf>
    <xf numFmtId="1" fontId="18" fillId="52" borderId="14" xfId="0" applyNumberFormat="1" applyFont="1" applyFill="1" applyBorder="1" applyAlignment="1" applyProtection="1">
      <alignment vertical="center"/>
      <protection locked="0"/>
    </xf>
    <xf numFmtId="1" fontId="18" fillId="33" borderId="37" xfId="0" applyNumberFormat="1" applyFont="1" applyFill="1" applyBorder="1" applyAlignment="1">
      <alignment horizontal="center" vertical="center"/>
    </xf>
    <xf numFmtId="1" fontId="18" fillId="52" borderId="19" xfId="0" applyNumberFormat="1" applyFont="1" applyFill="1" applyBorder="1" applyAlignment="1" applyProtection="1">
      <alignment horizontal="center" vertical="center"/>
      <protection locked="0"/>
    </xf>
    <xf numFmtId="0" fontId="18" fillId="33" borderId="10" xfId="0" applyFont="1" applyFill="1" applyBorder="1" applyAlignment="1">
      <alignment horizontal="left" vertical="center"/>
    </xf>
    <xf numFmtId="0" fontId="18" fillId="52" borderId="10" xfId="0" applyFont="1" applyFill="1" applyBorder="1" applyAlignment="1">
      <alignment horizontal="left" vertical="center" wrapText="1"/>
    </xf>
    <xf numFmtId="0" fontId="18" fillId="52" borderId="20" xfId="0" applyFont="1" applyFill="1" applyBorder="1" applyAlignment="1" applyProtection="1">
      <alignment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0" fillId="0" borderId="16" xfId="0" applyFill="1" applyBorder="1" applyAlignment="1">
      <alignment vertical="center"/>
    </xf>
    <xf numFmtId="0" fontId="18" fillId="0" borderId="10" xfId="0" applyFont="1" applyFill="1" applyBorder="1" applyAlignment="1" applyProtection="1">
      <alignment horizontal="center" vertical="center"/>
      <protection locked="0"/>
    </xf>
    <xf numFmtId="0" fontId="18" fillId="0" borderId="14"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602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xr3:uid="{78B4E459-6924-5F8B-B7BA-2DD04133E49E}">
      <selection activeCell="K7" sqref="K7"/>
    </sheetView>
  </sheetViews>
  <sheetFormatPr defaultColWidth="8.42578125" defaultRowHeight="14.45"/>
  <cols>
    <col min="1" max="1" width="8.42578125" style="79"/>
    <col min="5" max="5" width="9" style="79" bestFit="1" customWidth="1"/>
    <col min="9" max="9" width="11" bestFit="1" customWidth="1"/>
  </cols>
  <sheetData>
    <row r="1" spans="1:11">
      <c r="A1" s="79" t="s">
        <v>30</v>
      </c>
      <c r="C1" t="s">
        <v>31</v>
      </c>
      <c r="E1" s="79" t="s">
        <v>32</v>
      </c>
      <c r="G1" t="s">
        <v>33</v>
      </c>
      <c r="I1" t="s">
        <v>34</v>
      </c>
      <c r="K1" t="s">
        <v>35</v>
      </c>
    </row>
    <row r="2" spans="1:11">
      <c r="A2" s="79" t="s">
        <v>36</v>
      </c>
      <c r="C2" t="s">
        <v>37</v>
      </c>
      <c r="E2" s="79" t="s">
        <v>38</v>
      </c>
      <c r="G2" t="s">
        <v>39</v>
      </c>
      <c r="I2" t="s">
        <v>40</v>
      </c>
      <c r="K2" t="s">
        <v>41</v>
      </c>
    </row>
    <row r="3" spans="1:11">
      <c r="A3" s="79" t="s">
        <v>42</v>
      </c>
      <c r="E3" s="79" t="s">
        <v>43</v>
      </c>
      <c r="G3" t="s">
        <v>44</v>
      </c>
      <c r="I3" t="s">
        <v>45</v>
      </c>
      <c r="K3" t="s">
        <v>46</v>
      </c>
    </row>
    <row r="4" spans="1:11">
      <c r="A4" s="79" t="s">
        <v>47</v>
      </c>
      <c r="E4" s="79" t="s">
        <v>48</v>
      </c>
      <c r="I4" t="s">
        <v>47</v>
      </c>
      <c r="K4" t="s">
        <v>49</v>
      </c>
    </row>
    <row r="5" spans="1:11">
      <c r="E5" s="79" t="s">
        <v>50</v>
      </c>
      <c r="K5" t="s">
        <v>51</v>
      </c>
    </row>
    <row r="6" spans="1:11">
      <c r="E6" s="79" t="s">
        <v>52</v>
      </c>
      <c r="K6" t="s">
        <v>47</v>
      </c>
    </row>
    <row r="7" spans="1:11">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9" activePane="bottomRight" state="frozen"/>
      <selection pane="bottomRight" activeCell="D20" sqref="D20"/>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53</v>
      </c>
      <c r="B1" s="555" t="s">
        <v>54</v>
      </c>
      <c r="C1" s="556"/>
      <c r="D1" s="556"/>
      <c r="E1" s="167" t="s">
        <v>55</v>
      </c>
      <c r="F1" s="167" t="s">
        <v>56</v>
      </c>
      <c r="G1" s="110" t="s">
        <v>57</v>
      </c>
    </row>
    <row r="2" spans="1:7">
      <c r="A2" s="116" t="s">
        <v>58</v>
      </c>
      <c r="B2" s="557" t="s">
        <v>59</v>
      </c>
      <c r="C2" s="558"/>
      <c r="D2" s="558"/>
      <c r="E2" s="276" t="s">
        <v>60</v>
      </c>
      <c r="F2" s="276" t="s">
        <v>61</v>
      </c>
      <c r="G2" s="307" t="s">
        <v>62</v>
      </c>
    </row>
    <row r="3" spans="1:7" s="81" customFormat="1">
      <c r="A3" s="199" t="s">
        <v>63</v>
      </c>
      <c r="B3" s="564" t="s">
        <v>64</v>
      </c>
      <c r="C3" s="565"/>
      <c r="D3" s="566"/>
      <c r="E3" s="80" t="s">
        <v>60</v>
      </c>
      <c r="F3" s="80" t="s">
        <v>61</v>
      </c>
      <c r="G3" s="308" t="s">
        <v>62</v>
      </c>
    </row>
    <row r="4" spans="1:7">
      <c r="A4" s="199" t="s">
        <v>65</v>
      </c>
      <c r="B4" s="561" t="s">
        <v>66</v>
      </c>
      <c r="C4" s="562"/>
      <c r="D4" s="563"/>
      <c r="E4" s="80" t="s">
        <v>67</v>
      </c>
      <c r="F4" s="80" t="s">
        <v>61</v>
      </c>
      <c r="G4" s="308" t="s">
        <v>62</v>
      </c>
    </row>
    <row r="5" spans="1:7">
      <c r="A5" s="117" t="s">
        <v>68</v>
      </c>
      <c r="B5" s="561" t="s">
        <v>69</v>
      </c>
      <c r="C5" s="562"/>
      <c r="D5" s="563"/>
      <c r="E5" s="80" t="s">
        <v>67</v>
      </c>
      <c r="F5" s="80" t="s">
        <v>61</v>
      </c>
      <c r="G5" s="308" t="s">
        <v>62</v>
      </c>
    </row>
    <row r="6" spans="1:7">
      <c r="A6" s="117" t="s">
        <v>70</v>
      </c>
      <c r="B6" s="561" t="s">
        <v>71</v>
      </c>
      <c r="C6" s="562"/>
      <c r="D6" s="563"/>
      <c r="E6" s="80" t="s">
        <v>72</v>
      </c>
      <c r="F6" s="80" t="s">
        <v>61</v>
      </c>
      <c r="G6" s="85"/>
    </row>
    <row r="7" spans="1:7" ht="15" thickBot="1">
      <c r="A7" s="118" t="s">
        <v>73</v>
      </c>
      <c r="B7" s="559" t="s">
        <v>74</v>
      </c>
      <c r="C7" s="560"/>
      <c r="D7" s="560"/>
      <c r="E7" s="86" t="s">
        <v>72</v>
      </c>
      <c r="F7" s="86"/>
      <c r="G7" s="87"/>
    </row>
    <row r="8" spans="1:7" s="84" customFormat="1" ht="15" thickBot="1">
      <c r="A8" s="115" t="s">
        <v>53</v>
      </c>
      <c r="B8" s="399" t="s">
        <v>1</v>
      </c>
      <c r="C8" s="167" t="s">
        <v>75</v>
      </c>
      <c r="D8" s="167" t="s">
        <v>54</v>
      </c>
      <c r="E8" s="167" t="s">
        <v>55</v>
      </c>
      <c r="F8" s="167" t="s">
        <v>56</v>
      </c>
      <c r="G8" s="110" t="s">
        <v>57</v>
      </c>
    </row>
    <row r="9" spans="1:7" ht="101.45">
      <c r="A9" s="541" t="s">
        <v>58</v>
      </c>
      <c r="B9" s="544" t="s">
        <v>76</v>
      </c>
      <c r="C9" s="314" t="s">
        <v>77</v>
      </c>
      <c r="D9" s="94" t="s">
        <v>78</v>
      </c>
      <c r="E9" s="94" t="s">
        <v>60</v>
      </c>
      <c r="F9" s="94" t="s">
        <v>79</v>
      </c>
      <c r="G9" s="400" t="s">
        <v>80</v>
      </c>
    </row>
    <row r="10" spans="1:7" ht="57.95">
      <c r="A10" s="542"/>
      <c r="B10" s="545"/>
      <c r="C10" s="310" t="s">
        <v>81</v>
      </c>
      <c r="D10" s="82" t="s">
        <v>82</v>
      </c>
      <c r="E10" s="82" t="s">
        <v>60</v>
      </c>
      <c r="F10" s="82" t="s">
        <v>79</v>
      </c>
      <c r="G10" s="303" t="s">
        <v>83</v>
      </c>
    </row>
    <row r="11" spans="1:7" ht="43.5">
      <c r="A11" s="542"/>
      <c r="B11" s="545"/>
      <c r="C11" s="310" t="s">
        <v>84</v>
      </c>
      <c r="D11" s="82" t="s">
        <v>85</v>
      </c>
      <c r="E11" s="82" t="s">
        <v>86</v>
      </c>
      <c r="F11" s="82" t="s">
        <v>79</v>
      </c>
      <c r="G11" s="95" t="s">
        <v>87</v>
      </c>
    </row>
    <row r="12" spans="1:7" ht="116.1">
      <c r="A12" s="542"/>
      <c r="B12" s="545"/>
      <c r="C12" s="310" t="s">
        <v>88</v>
      </c>
      <c r="D12" s="326" t="s">
        <v>89</v>
      </c>
      <c r="E12" s="82" t="s">
        <v>86</v>
      </c>
      <c r="F12" s="82" t="s">
        <v>79</v>
      </c>
      <c r="G12" s="303" t="s">
        <v>90</v>
      </c>
    </row>
    <row r="13" spans="1:7" ht="29.1">
      <c r="A13" s="542"/>
      <c r="B13" s="545"/>
      <c r="C13" s="310" t="s">
        <v>91</v>
      </c>
      <c r="D13" s="82" t="s">
        <v>92</v>
      </c>
      <c r="E13" s="82" t="s">
        <v>86</v>
      </c>
      <c r="F13" s="82" t="s">
        <v>79</v>
      </c>
      <c r="G13" s="95" t="s">
        <v>93</v>
      </c>
    </row>
    <row r="14" spans="1:7" ht="29.1">
      <c r="A14" s="542"/>
      <c r="B14" s="545"/>
      <c r="C14" s="310" t="s">
        <v>94</v>
      </c>
      <c r="D14" s="82" t="s">
        <v>95</v>
      </c>
      <c r="E14" s="82" t="s">
        <v>86</v>
      </c>
      <c r="F14" s="82" t="s">
        <v>79</v>
      </c>
      <c r="G14" s="95" t="s">
        <v>93</v>
      </c>
    </row>
    <row r="15" spans="1:7">
      <c r="A15" s="542"/>
      <c r="B15" s="545"/>
      <c r="C15" s="121" t="s">
        <v>96</v>
      </c>
      <c r="D15" s="82" t="s">
        <v>97</v>
      </c>
      <c r="E15" s="82" t="s">
        <v>60</v>
      </c>
      <c r="F15" s="82" t="s">
        <v>79</v>
      </c>
      <c r="G15" s="95" t="s">
        <v>98</v>
      </c>
    </row>
    <row r="16" spans="1:7" ht="57.95">
      <c r="A16" s="542"/>
      <c r="B16" s="545"/>
      <c r="C16" s="310" t="s">
        <v>99</v>
      </c>
      <c r="D16" s="326" t="s">
        <v>100</v>
      </c>
      <c r="E16" s="82" t="s">
        <v>86</v>
      </c>
      <c r="F16" s="82" t="s">
        <v>79</v>
      </c>
      <c r="G16" s="303" t="s">
        <v>101</v>
      </c>
    </row>
    <row r="17" spans="1:7" ht="29.1">
      <c r="A17" s="542"/>
      <c r="B17" s="545"/>
      <c r="C17" s="310" t="s">
        <v>102</v>
      </c>
      <c r="D17" s="82" t="s">
        <v>103</v>
      </c>
      <c r="E17" s="82" t="s">
        <v>86</v>
      </c>
      <c r="F17" s="82" t="s">
        <v>79</v>
      </c>
      <c r="G17" s="95" t="s">
        <v>104</v>
      </c>
    </row>
    <row r="18" spans="1:7" ht="43.5">
      <c r="A18" s="542"/>
      <c r="B18" s="545"/>
      <c r="C18" s="310" t="s">
        <v>105</v>
      </c>
      <c r="D18" s="82" t="s">
        <v>106</v>
      </c>
      <c r="E18" s="82" t="s">
        <v>86</v>
      </c>
      <c r="F18" s="82" t="s">
        <v>79</v>
      </c>
      <c r="G18" s="95" t="s">
        <v>107</v>
      </c>
    </row>
    <row r="19" spans="1:7">
      <c r="A19" s="542"/>
      <c r="B19" s="545"/>
      <c r="C19" s="310" t="s">
        <v>108</v>
      </c>
      <c r="D19" s="82" t="s">
        <v>109</v>
      </c>
      <c r="E19" s="82" t="s">
        <v>86</v>
      </c>
      <c r="F19" s="82" t="s">
        <v>79</v>
      </c>
      <c r="G19" s="95" t="s">
        <v>110</v>
      </c>
    </row>
    <row r="20" spans="1:7" ht="102" thickBot="1">
      <c r="A20" s="542"/>
      <c r="B20" s="546"/>
      <c r="C20" s="401" t="s">
        <v>1</v>
      </c>
      <c r="D20" s="498" t="s">
        <v>111</v>
      </c>
      <c r="E20" s="371" t="s">
        <v>86</v>
      </c>
      <c r="F20" s="371" t="s">
        <v>79</v>
      </c>
      <c r="G20" s="402" t="s">
        <v>112</v>
      </c>
    </row>
    <row r="21" spans="1:7" ht="43.5">
      <c r="A21" s="542"/>
      <c r="B21" s="578" t="s">
        <v>113</v>
      </c>
      <c r="C21" s="311" t="s">
        <v>114</v>
      </c>
      <c r="D21" s="105" t="s">
        <v>115</v>
      </c>
      <c r="E21" s="105" t="s">
        <v>86</v>
      </c>
      <c r="F21" s="105" t="s">
        <v>116</v>
      </c>
      <c r="G21" s="168" t="s">
        <v>117</v>
      </c>
    </row>
    <row r="22" spans="1:7" ht="29.1">
      <c r="A22" s="542"/>
      <c r="B22" s="579"/>
      <c r="C22" s="312" t="s">
        <v>118</v>
      </c>
      <c r="D22" s="406" t="s">
        <v>119</v>
      </c>
      <c r="E22" s="406" t="s">
        <v>86</v>
      </c>
      <c r="F22" s="406" t="s">
        <v>116</v>
      </c>
      <c r="G22" s="407" t="s">
        <v>120</v>
      </c>
    </row>
    <row r="23" spans="1:7" ht="15" thickBot="1">
      <c r="A23" s="542"/>
      <c r="B23" s="580"/>
      <c r="C23" s="408" t="s">
        <v>121</v>
      </c>
      <c r="D23" s="107" t="s">
        <v>122</v>
      </c>
      <c r="E23" s="107" t="s">
        <v>86</v>
      </c>
      <c r="F23" s="107" t="s">
        <v>116</v>
      </c>
      <c r="G23" s="108" t="s">
        <v>123</v>
      </c>
    </row>
    <row r="24" spans="1:7" ht="30" customHeight="1">
      <c r="A24" s="542"/>
      <c r="B24" s="581" t="s">
        <v>124</v>
      </c>
      <c r="C24" s="403" t="s">
        <v>125</v>
      </c>
      <c r="D24" s="404" t="s">
        <v>126</v>
      </c>
      <c r="E24" s="404" t="s">
        <v>86</v>
      </c>
      <c r="F24" s="404" t="s">
        <v>79</v>
      </c>
      <c r="G24" s="405" t="s">
        <v>127</v>
      </c>
    </row>
    <row r="25" spans="1:7" ht="30" customHeight="1">
      <c r="A25" s="542"/>
      <c r="B25" s="582"/>
      <c r="C25" s="312" t="s">
        <v>128</v>
      </c>
      <c r="D25" s="109" t="s">
        <v>129</v>
      </c>
      <c r="E25" s="109" t="s">
        <v>86</v>
      </c>
      <c r="F25" s="109" t="s">
        <v>130</v>
      </c>
      <c r="G25" s="535" t="s">
        <v>131</v>
      </c>
    </row>
    <row r="26" spans="1:7" ht="29.1">
      <c r="A26" s="542"/>
      <c r="B26" s="582"/>
      <c r="C26" s="257" t="s">
        <v>132</v>
      </c>
      <c r="D26" s="109" t="s">
        <v>133</v>
      </c>
      <c r="E26" s="109" t="s">
        <v>86</v>
      </c>
      <c r="F26" s="109" t="s">
        <v>130</v>
      </c>
      <c r="G26" s="536"/>
    </row>
    <row r="27" spans="1:7">
      <c r="A27" s="542"/>
      <c r="B27" s="582"/>
      <c r="C27" s="312" t="s">
        <v>30</v>
      </c>
      <c r="D27" s="109" t="s">
        <v>134</v>
      </c>
      <c r="E27" s="109" t="s">
        <v>86</v>
      </c>
      <c r="F27" s="109" t="s">
        <v>130</v>
      </c>
      <c r="G27" s="536"/>
    </row>
    <row r="28" spans="1:7">
      <c r="A28" s="542"/>
      <c r="B28" s="582"/>
      <c r="C28" s="312" t="s">
        <v>135</v>
      </c>
      <c r="D28" s="109" t="s">
        <v>136</v>
      </c>
      <c r="E28" s="109" t="s">
        <v>86</v>
      </c>
      <c r="F28" s="109" t="s">
        <v>130</v>
      </c>
      <c r="G28" s="536"/>
    </row>
    <row r="29" spans="1:7">
      <c r="A29" s="542"/>
      <c r="B29" s="582"/>
      <c r="C29" s="312" t="s">
        <v>36</v>
      </c>
      <c r="D29" s="109" t="s">
        <v>137</v>
      </c>
      <c r="E29" s="109" t="s">
        <v>86</v>
      </c>
      <c r="F29" s="109" t="s">
        <v>130</v>
      </c>
      <c r="G29" s="536"/>
    </row>
    <row r="30" spans="1:7">
      <c r="A30" s="542"/>
      <c r="B30" s="582"/>
      <c r="C30" s="312" t="s">
        <v>138</v>
      </c>
      <c r="D30" s="109" t="s">
        <v>139</v>
      </c>
      <c r="E30" s="109" t="s">
        <v>86</v>
      </c>
      <c r="F30" s="109" t="s">
        <v>130</v>
      </c>
      <c r="G30" s="536"/>
    </row>
    <row r="31" spans="1:7">
      <c r="A31" s="542"/>
      <c r="B31" s="582"/>
      <c r="C31" s="257" t="s">
        <v>140</v>
      </c>
      <c r="D31" s="109" t="s">
        <v>141</v>
      </c>
      <c r="E31" s="109" t="s">
        <v>86</v>
      </c>
      <c r="F31" s="109" t="s">
        <v>130</v>
      </c>
      <c r="G31" s="536"/>
    </row>
    <row r="32" spans="1:7" ht="29.45" thickBot="1">
      <c r="A32" s="542"/>
      <c r="B32" s="583"/>
      <c r="C32" s="313" t="s">
        <v>142</v>
      </c>
      <c r="D32" s="104" t="s">
        <v>143</v>
      </c>
      <c r="E32" s="104" t="s">
        <v>86</v>
      </c>
      <c r="F32" s="104" t="s">
        <v>130</v>
      </c>
      <c r="G32" s="537"/>
    </row>
    <row r="33" spans="1:7" ht="29.1">
      <c r="A33" s="542"/>
      <c r="B33" s="584" t="s">
        <v>144</v>
      </c>
      <c r="C33" s="292" t="s">
        <v>132</v>
      </c>
      <c r="D33" s="255" t="s">
        <v>145</v>
      </c>
      <c r="E33" s="255" t="s">
        <v>86</v>
      </c>
      <c r="F33" s="255" t="s">
        <v>146</v>
      </c>
      <c r="G33" s="256" t="s">
        <v>147</v>
      </c>
    </row>
    <row r="34" spans="1:7">
      <c r="A34" s="542"/>
      <c r="B34" s="585"/>
      <c r="C34" s="310" t="s">
        <v>30</v>
      </c>
      <c r="D34" s="83" t="s">
        <v>148</v>
      </c>
      <c r="E34" s="83" t="s">
        <v>86</v>
      </c>
      <c r="F34" s="83" t="s">
        <v>146</v>
      </c>
      <c r="G34" s="99"/>
    </row>
    <row r="35" spans="1:7">
      <c r="A35" s="542"/>
      <c r="B35" s="585"/>
      <c r="C35" s="310" t="s">
        <v>135</v>
      </c>
      <c r="D35" s="83" t="s">
        <v>149</v>
      </c>
      <c r="E35" s="83" t="s">
        <v>86</v>
      </c>
      <c r="F35" s="83" t="s">
        <v>146</v>
      </c>
      <c r="G35" s="99" t="s">
        <v>150</v>
      </c>
    </row>
    <row r="36" spans="1:7">
      <c r="A36" s="542"/>
      <c r="B36" s="585"/>
      <c r="C36" s="310" t="s">
        <v>36</v>
      </c>
      <c r="D36" s="83" t="s">
        <v>151</v>
      </c>
      <c r="E36" s="83" t="s">
        <v>86</v>
      </c>
      <c r="F36" s="83" t="s">
        <v>146</v>
      </c>
      <c r="G36" s="113"/>
    </row>
    <row r="37" spans="1:7">
      <c r="A37" s="542"/>
      <c r="B37" s="585"/>
      <c r="C37" s="310" t="s">
        <v>138</v>
      </c>
      <c r="D37" s="83" t="s">
        <v>152</v>
      </c>
      <c r="E37" s="83" t="s">
        <v>86</v>
      </c>
      <c r="F37" s="83" t="s">
        <v>146</v>
      </c>
      <c r="G37" s="99" t="s">
        <v>153</v>
      </c>
    </row>
    <row r="38" spans="1:7">
      <c r="A38" s="542"/>
      <c r="B38" s="585"/>
      <c r="C38" s="258" t="s">
        <v>140</v>
      </c>
      <c r="D38" s="83" t="s">
        <v>154</v>
      </c>
      <c r="E38" s="83" t="s">
        <v>86</v>
      </c>
      <c r="F38" s="83" t="s">
        <v>146</v>
      </c>
      <c r="G38" s="99"/>
    </row>
    <row r="39" spans="1:7" ht="29.1">
      <c r="A39" s="542"/>
      <c r="B39" s="585"/>
      <c r="C39" s="312" t="s">
        <v>155</v>
      </c>
      <c r="D39" s="83" t="s">
        <v>156</v>
      </c>
      <c r="E39" s="83" t="s">
        <v>86</v>
      </c>
      <c r="F39" s="83" t="s">
        <v>146</v>
      </c>
      <c r="G39" s="99"/>
    </row>
    <row r="40" spans="1:7" ht="29.1">
      <c r="A40" s="542"/>
      <c r="B40" s="585"/>
      <c r="C40" s="258" t="s">
        <v>157</v>
      </c>
      <c r="D40" s="83" t="s">
        <v>158</v>
      </c>
      <c r="E40" s="83" t="s">
        <v>60</v>
      </c>
      <c r="F40" s="83" t="s">
        <v>146</v>
      </c>
      <c r="G40" s="99" t="s">
        <v>159</v>
      </c>
    </row>
    <row r="41" spans="1:7" ht="29.45" thickBot="1">
      <c r="A41" s="542"/>
      <c r="B41" s="586"/>
      <c r="C41" s="309" t="s">
        <v>160</v>
      </c>
      <c r="D41" s="100" t="s">
        <v>161</v>
      </c>
      <c r="E41" s="100" t="s">
        <v>86</v>
      </c>
      <c r="F41" s="100" t="s">
        <v>146</v>
      </c>
      <c r="G41" s="101" t="s">
        <v>162</v>
      </c>
    </row>
    <row r="42" spans="1:7" ht="131.1" thickBot="1">
      <c r="A42" s="541" t="s">
        <v>63</v>
      </c>
      <c r="B42" s="409" t="s">
        <v>163</v>
      </c>
      <c r="C42" s="314" t="s">
        <v>88</v>
      </c>
      <c r="D42" s="410" t="s">
        <v>164</v>
      </c>
      <c r="E42" s="410" t="s">
        <v>86</v>
      </c>
      <c r="F42" s="410" t="s">
        <v>79</v>
      </c>
      <c r="G42" s="411" t="s">
        <v>165</v>
      </c>
    </row>
    <row r="43" spans="1:7" ht="15" customHeight="1">
      <c r="A43" s="542"/>
      <c r="B43" s="570" t="s">
        <v>166</v>
      </c>
      <c r="C43" s="289" t="s">
        <v>167</v>
      </c>
      <c r="D43" s="277" t="s">
        <v>168</v>
      </c>
      <c r="E43" s="277" t="s">
        <v>67</v>
      </c>
      <c r="F43" s="277" t="s">
        <v>79</v>
      </c>
      <c r="G43" s="260" t="s">
        <v>169</v>
      </c>
    </row>
    <row r="44" spans="1:7" ht="29.1">
      <c r="A44" s="542"/>
      <c r="B44" s="571"/>
      <c r="C44" s="290" t="s">
        <v>128</v>
      </c>
      <c r="D44" s="278" t="s">
        <v>170</v>
      </c>
      <c r="E44" s="278" t="s">
        <v>67</v>
      </c>
      <c r="F44" s="278" t="s">
        <v>79</v>
      </c>
      <c r="G44" s="261" t="s">
        <v>169</v>
      </c>
    </row>
    <row r="45" spans="1:7" ht="29.1">
      <c r="A45" s="542"/>
      <c r="B45" s="571"/>
      <c r="C45" s="290" t="s">
        <v>105</v>
      </c>
      <c r="D45" s="278" t="s">
        <v>171</v>
      </c>
      <c r="E45" s="278" t="s">
        <v>67</v>
      </c>
      <c r="F45" s="278" t="s">
        <v>79</v>
      </c>
      <c r="G45" s="261" t="s">
        <v>172</v>
      </c>
    </row>
    <row r="46" spans="1:7">
      <c r="A46" s="542"/>
      <c r="B46" s="571"/>
      <c r="C46" s="290" t="s">
        <v>173</v>
      </c>
      <c r="D46" s="278" t="s">
        <v>174</v>
      </c>
      <c r="E46" s="278" t="s">
        <v>67</v>
      </c>
      <c r="F46" s="278" t="s">
        <v>79</v>
      </c>
      <c r="G46" s="261" t="s">
        <v>169</v>
      </c>
    </row>
    <row r="47" spans="1:7" ht="15" thickBot="1">
      <c r="A47" s="542"/>
      <c r="B47" s="572"/>
      <c r="C47" s="291" t="s">
        <v>175</v>
      </c>
      <c r="D47" s="279" t="s">
        <v>176</v>
      </c>
      <c r="E47" s="278" t="s">
        <v>67</v>
      </c>
      <c r="F47" s="279" t="s">
        <v>79</v>
      </c>
      <c r="G47" s="262" t="s">
        <v>169</v>
      </c>
    </row>
    <row r="48" spans="1:7" ht="29.1">
      <c r="A48" s="542"/>
      <c r="B48" s="573" t="s">
        <v>177</v>
      </c>
      <c r="C48" s="286" t="s">
        <v>132</v>
      </c>
      <c r="D48" s="280" t="s">
        <v>178</v>
      </c>
      <c r="E48" s="280" t="s">
        <v>67</v>
      </c>
      <c r="F48" s="280" t="s">
        <v>130</v>
      </c>
      <c r="G48" s="538" t="s">
        <v>179</v>
      </c>
    </row>
    <row r="49" spans="1:7" ht="29.1">
      <c r="A49" s="542"/>
      <c r="B49" s="573"/>
      <c r="C49" s="287" t="s">
        <v>30</v>
      </c>
      <c r="D49" s="263" t="s">
        <v>180</v>
      </c>
      <c r="E49" s="263" t="s">
        <v>67</v>
      </c>
      <c r="F49" s="263" t="s">
        <v>130</v>
      </c>
      <c r="G49" s="539"/>
    </row>
    <row r="50" spans="1:7" ht="29.1">
      <c r="A50" s="542"/>
      <c r="B50" s="573"/>
      <c r="C50" s="287" t="s">
        <v>135</v>
      </c>
      <c r="D50" s="263" t="s">
        <v>181</v>
      </c>
      <c r="E50" s="263" t="s">
        <v>67</v>
      </c>
      <c r="F50" s="263" t="s">
        <v>130</v>
      </c>
      <c r="G50" s="539"/>
    </row>
    <row r="51" spans="1:7">
      <c r="A51" s="542"/>
      <c r="B51" s="573"/>
      <c r="C51" s="287" t="s">
        <v>36</v>
      </c>
      <c r="D51" s="263" t="s">
        <v>182</v>
      </c>
      <c r="E51" s="263" t="s">
        <v>67</v>
      </c>
      <c r="F51" s="263" t="s">
        <v>130</v>
      </c>
      <c r="G51" s="539"/>
    </row>
    <row r="52" spans="1:7">
      <c r="A52" s="542"/>
      <c r="B52" s="573"/>
      <c r="C52" s="287" t="s">
        <v>138</v>
      </c>
      <c r="D52" s="263" t="s">
        <v>183</v>
      </c>
      <c r="E52" s="263" t="s">
        <v>67</v>
      </c>
      <c r="F52" s="263" t="s">
        <v>130</v>
      </c>
      <c r="G52" s="539"/>
    </row>
    <row r="53" spans="1:7">
      <c r="A53" s="542"/>
      <c r="B53" s="573"/>
      <c r="C53" s="287" t="s">
        <v>184</v>
      </c>
      <c r="D53" s="263" t="s">
        <v>185</v>
      </c>
      <c r="E53" s="263" t="s">
        <v>67</v>
      </c>
      <c r="F53" s="263" t="s">
        <v>130</v>
      </c>
      <c r="G53" s="539"/>
    </row>
    <row r="54" spans="1:7">
      <c r="A54" s="542"/>
      <c r="B54" s="573"/>
      <c r="C54" s="287" t="s">
        <v>140</v>
      </c>
      <c r="D54" s="263" t="s">
        <v>186</v>
      </c>
      <c r="E54" s="263" t="s">
        <v>67</v>
      </c>
      <c r="F54" s="263" t="s">
        <v>130</v>
      </c>
      <c r="G54" s="539"/>
    </row>
    <row r="55" spans="1:7" ht="29.45" thickBot="1">
      <c r="A55" s="542"/>
      <c r="B55" s="574"/>
      <c r="C55" s="288" t="s">
        <v>187</v>
      </c>
      <c r="D55" s="281" t="s">
        <v>188</v>
      </c>
      <c r="E55" s="281" t="s">
        <v>67</v>
      </c>
      <c r="F55" s="281" t="s">
        <v>130</v>
      </c>
      <c r="G55" s="540"/>
    </row>
    <row r="56" spans="1:7" ht="29.1">
      <c r="A56" s="542"/>
      <c r="B56" s="575" t="s">
        <v>144</v>
      </c>
      <c r="C56" s="396" t="s">
        <v>132</v>
      </c>
      <c r="D56" s="397" t="s">
        <v>189</v>
      </c>
      <c r="E56" s="397" t="s">
        <v>67</v>
      </c>
      <c r="F56" s="397" t="s">
        <v>146</v>
      </c>
      <c r="G56" s="398" t="s">
        <v>169</v>
      </c>
    </row>
    <row r="57" spans="1:7">
      <c r="A57" s="542"/>
      <c r="B57" s="576"/>
      <c r="C57" s="284" t="s">
        <v>30</v>
      </c>
      <c r="D57" s="282" t="s">
        <v>190</v>
      </c>
      <c r="E57" s="282" t="s">
        <v>67</v>
      </c>
      <c r="F57" s="282" t="s">
        <v>146</v>
      </c>
      <c r="G57" s="259" t="s">
        <v>169</v>
      </c>
    </row>
    <row r="58" spans="1:7" ht="29.1">
      <c r="A58" s="542"/>
      <c r="B58" s="576"/>
      <c r="C58" s="284" t="s">
        <v>135</v>
      </c>
      <c r="D58" s="282" t="s">
        <v>191</v>
      </c>
      <c r="E58" s="282" t="s">
        <v>67</v>
      </c>
      <c r="F58" s="282" t="s">
        <v>146</v>
      </c>
      <c r="G58" s="259" t="s">
        <v>169</v>
      </c>
    </row>
    <row r="59" spans="1:7">
      <c r="A59" s="542"/>
      <c r="B59" s="576"/>
      <c r="C59" s="284" t="s">
        <v>36</v>
      </c>
      <c r="D59" s="282" t="s">
        <v>192</v>
      </c>
      <c r="E59" s="282" t="s">
        <v>67</v>
      </c>
      <c r="F59" s="282" t="s">
        <v>146</v>
      </c>
      <c r="G59" s="259" t="s">
        <v>169</v>
      </c>
    </row>
    <row r="60" spans="1:7">
      <c r="A60" s="542"/>
      <c r="B60" s="576"/>
      <c r="C60" s="284" t="s">
        <v>138</v>
      </c>
      <c r="D60" s="282" t="s">
        <v>193</v>
      </c>
      <c r="E60" s="282" t="s">
        <v>67</v>
      </c>
      <c r="F60" s="282" t="s">
        <v>146</v>
      </c>
      <c r="G60" s="259" t="s">
        <v>169</v>
      </c>
    </row>
    <row r="61" spans="1:7">
      <c r="A61" s="542"/>
      <c r="B61" s="576"/>
      <c r="C61" s="284" t="s">
        <v>184</v>
      </c>
      <c r="D61" s="282" t="s">
        <v>194</v>
      </c>
      <c r="E61" s="282" t="s">
        <v>67</v>
      </c>
      <c r="F61" s="282" t="s">
        <v>146</v>
      </c>
      <c r="G61" s="259" t="s">
        <v>169</v>
      </c>
    </row>
    <row r="62" spans="1:7">
      <c r="A62" s="542"/>
      <c r="B62" s="576"/>
      <c r="C62" s="284" t="s">
        <v>140</v>
      </c>
      <c r="D62" s="282" t="s">
        <v>195</v>
      </c>
      <c r="E62" s="282" t="s">
        <v>67</v>
      </c>
      <c r="F62" s="282" t="s">
        <v>146</v>
      </c>
      <c r="G62" s="259" t="s">
        <v>169</v>
      </c>
    </row>
    <row r="63" spans="1:7" ht="15" thickBot="1">
      <c r="A63" s="543"/>
      <c r="B63" s="577"/>
      <c r="C63" s="285" t="s">
        <v>187</v>
      </c>
      <c r="D63" s="283" t="s">
        <v>196</v>
      </c>
      <c r="E63" s="283" t="s">
        <v>67</v>
      </c>
      <c r="F63" s="283" t="s">
        <v>146</v>
      </c>
      <c r="G63" s="264" t="s">
        <v>169</v>
      </c>
    </row>
    <row r="64" spans="1:7" ht="116.1">
      <c r="A64" s="542" t="s">
        <v>65</v>
      </c>
      <c r="B64" s="567" t="s">
        <v>197</v>
      </c>
      <c r="C64" s="311" t="s">
        <v>77</v>
      </c>
      <c r="D64" s="266" t="s">
        <v>198</v>
      </c>
      <c r="E64" s="266" t="s">
        <v>60</v>
      </c>
      <c r="F64" s="266" t="s">
        <v>79</v>
      </c>
      <c r="G64" s="412" t="s">
        <v>199</v>
      </c>
    </row>
    <row r="65" spans="1:7" ht="57.95">
      <c r="A65" s="542"/>
      <c r="B65" s="568"/>
      <c r="C65" s="312" t="s">
        <v>81</v>
      </c>
      <c r="D65" s="267" t="s">
        <v>82</v>
      </c>
      <c r="E65" s="267" t="s">
        <v>60</v>
      </c>
      <c r="F65" s="267" t="s">
        <v>79</v>
      </c>
      <c r="G65" s="414" t="s">
        <v>200</v>
      </c>
    </row>
    <row r="66" spans="1:7">
      <c r="A66" s="542"/>
      <c r="B66" s="568"/>
      <c r="C66" s="312" t="s">
        <v>96</v>
      </c>
      <c r="D66" s="267" t="s">
        <v>97</v>
      </c>
      <c r="E66" s="267" t="s">
        <v>60</v>
      </c>
      <c r="F66" s="267" t="s">
        <v>79</v>
      </c>
      <c r="G66" s="268" t="s">
        <v>201</v>
      </c>
    </row>
    <row r="67" spans="1:7" ht="29.1">
      <c r="A67" s="542"/>
      <c r="B67" s="568"/>
      <c r="C67" s="312" t="s">
        <v>202</v>
      </c>
      <c r="D67" s="267" t="s">
        <v>203</v>
      </c>
      <c r="E67" s="267" t="s">
        <v>60</v>
      </c>
      <c r="F67" s="267" t="s">
        <v>79</v>
      </c>
      <c r="G67" s="268" t="s">
        <v>204</v>
      </c>
    </row>
    <row r="68" spans="1:7">
      <c r="A68" s="542"/>
      <c r="B68" s="568"/>
      <c r="C68" s="312" t="s">
        <v>1</v>
      </c>
      <c r="D68" s="267" t="s">
        <v>205</v>
      </c>
      <c r="E68" s="267" t="s">
        <v>60</v>
      </c>
      <c r="F68" s="267" t="s">
        <v>79</v>
      </c>
      <c r="G68" s="268" t="s">
        <v>206</v>
      </c>
    </row>
    <row r="69" spans="1:7" ht="15" thickBot="1">
      <c r="A69" s="542"/>
      <c r="B69" s="569"/>
      <c r="C69" s="313" t="s">
        <v>207</v>
      </c>
      <c r="D69" s="269" t="s">
        <v>208</v>
      </c>
      <c r="E69" s="269" t="s">
        <v>60</v>
      </c>
      <c r="F69" s="269" t="s">
        <v>79</v>
      </c>
      <c r="G69" s="270"/>
    </row>
    <row r="70" spans="1:7" ht="130.5">
      <c r="A70" s="541" t="s">
        <v>68</v>
      </c>
      <c r="B70" s="544" t="s">
        <v>76</v>
      </c>
      <c r="C70" s="318" t="s">
        <v>77</v>
      </c>
      <c r="D70" s="265" t="s">
        <v>209</v>
      </c>
      <c r="E70" s="265" t="s">
        <v>60</v>
      </c>
      <c r="F70" s="265" t="s">
        <v>79</v>
      </c>
      <c r="G70" s="413" t="s">
        <v>210</v>
      </c>
    </row>
    <row r="71" spans="1:7">
      <c r="A71" s="542"/>
      <c r="B71" s="545"/>
      <c r="C71" s="121" t="s">
        <v>81</v>
      </c>
      <c r="D71" s="82" t="s">
        <v>82</v>
      </c>
      <c r="E71" s="82" t="s">
        <v>60</v>
      </c>
      <c r="F71" s="82" t="s">
        <v>79</v>
      </c>
      <c r="G71" s="95" t="s">
        <v>169</v>
      </c>
    </row>
    <row r="72" spans="1:7">
      <c r="A72" s="542"/>
      <c r="B72" s="545"/>
      <c r="C72" s="121" t="s">
        <v>96</v>
      </c>
      <c r="D72" s="82" t="s">
        <v>97</v>
      </c>
      <c r="E72" s="82" t="s">
        <v>60</v>
      </c>
      <c r="F72" s="82" t="s">
        <v>79</v>
      </c>
      <c r="G72" s="95" t="s">
        <v>211</v>
      </c>
    </row>
    <row r="73" spans="1:7">
      <c r="A73" s="542"/>
      <c r="B73" s="545"/>
      <c r="C73" s="121" t="s">
        <v>212</v>
      </c>
      <c r="D73" s="82" t="s">
        <v>213</v>
      </c>
      <c r="E73" s="82" t="s">
        <v>86</v>
      </c>
      <c r="F73" s="82" t="s">
        <v>79</v>
      </c>
      <c r="G73" s="95" t="s">
        <v>169</v>
      </c>
    </row>
    <row r="74" spans="1:7" ht="60" customHeight="1">
      <c r="A74" s="542"/>
      <c r="B74" s="545"/>
      <c r="C74" s="121" t="s">
        <v>88</v>
      </c>
      <c r="D74" s="82" t="s">
        <v>214</v>
      </c>
      <c r="E74" s="82" t="s">
        <v>86</v>
      </c>
      <c r="F74" s="82" t="s">
        <v>79</v>
      </c>
      <c r="G74" s="95" t="s">
        <v>169</v>
      </c>
    </row>
    <row r="75" spans="1:7">
      <c r="A75" s="542"/>
      <c r="B75" s="545"/>
      <c r="C75" s="121" t="s">
        <v>1</v>
      </c>
      <c r="D75" s="82" t="s">
        <v>205</v>
      </c>
      <c r="E75" s="82" t="s">
        <v>86</v>
      </c>
      <c r="F75" s="82" t="s">
        <v>79</v>
      </c>
      <c r="G75" s="95" t="s">
        <v>169</v>
      </c>
    </row>
    <row r="76" spans="1:7" ht="87">
      <c r="A76" s="542"/>
      <c r="B76" s="545"/>
      <c r="C76" s="121" t="s">
        <v>215</v>
      </c>
      <c r="D76" s="82" t="s">
        <v>216</v>
      </c>
      <c r="E76" s="82" t="s">
        <v>60</v>
      </c>
      <c r="F76" s="82" t="s">
        <v>79</v>
      </c>
      <c r="G76" s="303" t="s">
        <v>217</v>
      </c>
    </row>
    <row r="77" spans="1:7" ht="87">
      <c r="A77" s="542"/>
      <c r="B77" s="545"/>
      <c r="C77" s="121" t="s">
        <v>218</v>
      </c>
      <c r="D77" s="82" t="s">
        <v>219</v>
      </c>
      <c r="E77" s="82" t="s">
        <v>60</v>
      </c>
      <c r="F77" s="82" t="s">
        <v>79</v>
      </c>
      <c r="G77" s="303" t="s">
        <v>220</v>
      </c>
    </row>
    <row r="78" spans="1:7" ht="29.1">
      <c r="A78" s="542"/>
      <c r="B78" s="545"/>
      <c r="C78" s="121" t="s">
        <v>105</v>
      </c>
      <c r="D78" s="82" t="s">
        <v>171</v>
      </c>
      <c r="E78" s="82" t="s">
        <v>86</v>
      </c>
      <c r="F78" s="82" t="s">
        <v>79</v>
      </c>
      <c r="G78" s="95" t="s">
        <v>172</v>
      </c>
    </row>
    <row r="79" spans="1:7" ht="29.45" thickBot="1">
      <c r="A79" s="542"/>
      <c r="B79" s="546"/>
      <c r="C79" s="122" t="s">
        <v>221</v>
      </c>
      <c r="D79" s="96" t="s">
        <v>222</v>
      </c>
      <c r="E79" s="96" t="s">
        <v>60</v>
      </c>
      <c r="F79" s="96" t="s">
        <v>79</v>
      </c>
      <c r="G79" s="97" t="s">
        <v>223</v>
      </c>
    </row>
    <row r="80" spans="1:7" ht="29.1">
      <c r="A80" s="542"/>
      <c r="B80" s="547" t="s">
        <v>113</v>
      </c>
      <c r="C80" s="123" t="s">
        <v>114</v>
      </c>
      <c r="D80" s="105" t="s">
        <v>224</v>
      </c>
      <c r="E80" s="105" t="s">
        <v>60</v>
      </c>
      <c r="F80" s="105" t="s">
        <v>225</v>
      </c>
      <c r="G80" s="106" t="s">
        <v>223</v>
      </c>
    </row>
    <row r="81" spans="1:7" ht="29.45" thickBot="1">
      <c r="A81" s="542"/>
      <c r="B81" s="548"/>
      <c r="C81" s="124" t="s">
        <v>121</v>
      </c>
      <c r="D81" s="107" t="s">
        <v>226</v>
      </c>
      <c r="E81" s="107" t="s">
        <v>60</v>
      </c>
      <c r="F81" s="107" t="s">
        <v>225</v>
      </c>
      <c r="G81" s="108" t="s">
        <v>223</v>
      </c>
    </row>
    <row r="82" spans="1:7" ht="29.1">
      <c r="A82" s="542"/>
      <c r="B82" s="549" t="s">
        <v>124</v>
      </c>
      <c r="C82" s="125" t="s">
        <v>227</v>
      </c>
      <c r="D82" s="102" t="s">
        <v>228</v>
      </c>
      <c r="E82" s="102" t="s">
        <v>60</v>
      </c>
      <c r="F82" s="102" t="s">
        <v>79</v>
      </c>
      <c r="G82" s="103" t="s">
        <v>223</v>
      </c>
    </row>
    <row r="83" spans="1:7" ht="29.1">
      <c r="A83" s="542"/>
      <c r="B83" s="550"/>
      <c r="C83" s="127" t="s">
        <v>229</v>
      </c>
      <c r="D83" s="109" t="s">
        <v>230</v>
      </c>
      <c r="E83" s="109" t="s">
        <v>60</v>
      </c>
      <c r="F83" s="109" t="s">
        <v>225</v>
      </c>
      <c r="G83" s="114" t="s">
        <v>223</v>
      </c>
    </row>
    <row r="84" spans="1:7" ht="29.45" thickBot="1">
      <c r="A84" s="542"/>
      <c r="B84" s="551"/>
      <c r="C84" s="128" t="s">
        <v>187</v>
      </c>
      <c r="D84" s="119" t="s">
        <v>231</v>
      </c>
      <c r="E84" s="119" t="s">
        <v>60</v>
      </c>
      <c r="F84" s="119" t="s">
        <v>225</v>
      </c>
      <c r="G84" s="120" t="s">
        <v>223</v>
      </c>
    </row>
    <row r="85" spans="1:7" ht="29.1">
      <c r="A85" s="542"/>
      <c r="B85" s="552" t="s">
        <v>144</v>
      </c>
      <c r="C85" s="126" t="s">
        <v>232</v>
      </c>
      <c r="D85" s="111" t="s">
        <v>233</v>
      </c>
      <c r="E85" s="111" t="s">
        <v>60</v>
      </c>
      <c r="F85" s="111" t="s">
        <v>225</v>
      </c>
      <c r="G85" s="112" t="s">
        <v>223</v>
      </c>
    </row>
    <row r="86" spans="1:7" ht="29.1">
      <c r="A86" s="542"/>
      <c r="B86" s="553"/>
      <c r="C86" s="98" t="s">
        <v>229</v>
      </c>
      <c r="D86" s="83" t="s">
        <v>234</v>
      </c>
      <c r="E86" s="83" t="s">
        <v>60</v>
      </c>
      <c r="F86" s="83" t="s">
        <v>225</v>
      </c>
      <c r="G86" s="99" t="s">
        <v>223</v>
      </c>
    </row>
    <row r="87" spans="1:7" ht="29.1">
      <c r="A87" s="542"/>
      <c r="B87" s="553"/>
      <c r="C87" s="98" t="s">
        <v>184</v>
      </c>
      <c r="D87" s="83" t="s">
        <v>235</v>
      </c>
      <c r="E87" s="83" t="s">
        <v>60</v>
      </c>
      <c r="F87" s="83" t="s">
        <v>225</v>
      </c>
      <c r="G87" s="99" t="s">
        <v>223</v>
      </c>
    </row>
    <row r="88" spans="1:7" ht="29.1">
      <c r="A88" s="542"/>
      <c r="B88" s="553"/>
      <c r="C88" s="98" t="s">
        <v>140</v>
      </c>
      <c r="D88" s="83" t="s">
        <v>236</v>
      </c>
      <c r="E88" s="83" t="s">
        <v>60</v>
      </c>
      <c r="F88" s="83" t="s">
        <v>225</v>
      </c>
      <c r="G88" s="99" t="s">
        <v>223</v>
      </c>
    </row>
    <row r="89" spans="1:7" ht="45" customHeight="1">
      <c r="A89" s="542"/>
      <c r="B89" s="553"/>
      <c r="C89" s="98" t="s">
        <v>187</v>
      </c>
      <c r="D89" s="83" t="s">
        <v>237</v>
      </c>
      <c r="E89" s="83" t="s">
        <v>60</v>
      </c>
      <c r="F89" s="83" t="s">
        <v>225</v>
      </c>
      <c r="G89" s="99" t="s">
        <v>223</v>
      </c>
    </row>
    <row r="90" spans="1:7" ht="29.45" thickBot="1">
      <c r="A90" s="543"/>
      <c r="B90" s="554"/>
      <c r="C90" s="309"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8" workbookViewId="0" xr3:uid="{5945094E-5B0A-5C92-AD52-36A0BCBA7BC1}">
      <selection activeCell="B27" sqref="B27"/>
    </sheetView>
  </sheetViews>
  <sheetFormatPr defaultRowHeight="14.4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587" t="s">
        <v>240</v>
      </c>
      <c r="B2" s="587"/>
      <c r="C2" s="587"/>
      <c r="D2" s="587"/>
      <c r="E2" s="587"/>
      <c r="F2" s="89"/>
      <c r="G2" s="89"/>
      <c r="H2" s="89"/>
      <c r="I2" s="89"/>
      <c r="J2" s="89"/>
      <c r="K2" s="89"/>
      <c r="L2" s="89"/>
      <c r="M2" s="89"/>
      <c r="N2" s="89"/>
      <c r="O2" s="89"/>
      <c r="P2" s="89"/>
      <c r="Q2" s="89"/>
      <c r="R2" s="89"/>
    </row>
    <row r="3" spans="1:19" ht="43.5">
      <c r="A3" s="499" t="s">
        <v>241</v>
      </c>
      <c r="B3" s="499" t="s">
        <v>242</v>
      </c>
      <c r="C3" s="499" t="s">
        <v>243</v>
      </c>
      <c r="D3" s="499" t="s">
        <v>244</v>
      </c>
      <c r="E3" s="499" t="s">
        <v>245</v>
      </c>
    </row>
    <row r="4" spans="1:19">
      <c r="A4" s="500" t="s">
        <v>246</v>
      </c>
      <c r="B4" s="500" t="s">
        <v>247</v>
      </c>
      <c r="C4" s="500" t="s">
        <v>248</v>
      </c>
      <c r="D4" s="500" t="s">
        <v>249</v>
      </c>
      <c r="E4" s="500" t="s">
        <v>248</v>
      </c>
    </row>
    <row r="5" spans="1:19">
      <c r="A5" s="500" t="s">
        <v>250</v>
      </c>
      <c r="B5" s="500" t="s">
        <v>251</v>
      </c>
      <c r="C5" s="500" t="s">
        <v>252</v>
      </c>
      <c r="D5" s="500" t="s">
        <v>249</v>
      </c>
      <c r="E5" s="500" t="s">
        <v>248</v>
      </c>
    </row>
    <row r="6" spans="1:19">
      <c r="A6" s="81"/>
    </row>
    <row r="7" spans="1:19" ht="59.25" customHeight="1">
      <c r="A7" s="587" t="s">
        <v>253</v>
      </c>
      <c r="B7" s="588"/>
      <c r="C7" s="588"/>
      <c r="D7" s="588"/>
      <c r="E7" s="588"/>
      <c r="F7" s="588"/>
      <c r="G7" s="588"/>
      <c r="H7" s="588"/>
      <c r="I7" s="588"/>
      <c r="J7" s="588"/>
      <c r="K7" s="588"/>
      <c r="L7" s="588"/>
      <c r="M7" s="89"/>
      <c r="N7" s="89"/>
      <c r="O7" s="89"/>
      <c r="P7" s="89"/>
      <c r="Q7" s="89"/>
      <c r="R7" s="89"/>
      <c r="S7" s="89"/>
    </row>
    <row r="8" spans="1:19">
      <c r="A8" s="501" t="s">
        <v>254</v>
      </c>
      <c r="B8" s="502"/>
      <c r="C8" s="502"/>
      <c r="D8" s="502"/>
      <c r="E8" s="502"/>
      <c r="F8" s="502"/>
      <c r="G8" s="502"/>
      <c r="H8" s="502"/>
      <c r="I8" s="502"/>
      <c r="J8" s="502"/>
      <c r="K8" s="502"/>
      <c r="L8" s="502"/>
      <c r="M8" s="89"/>
      <c r="N8" s="89"/>
      <c r="O8" s="89"/>
      <c r="P8" s="89"/>
      <c r="Q8" s="89"/>
      <c r="R8" s="89"/>
      <c r="S8" s="89"/>
    </row>
    <row r="9" spans="1:19">
      <c r="A9" s="503" t="s">
        <v>77</v>
      </c>
      <c r="B9" s="504" t="s">
        <v>81</v>
      </c>
      <c r="C9" s="504" t="s">
        <v>84</v>
      </c>
      <c r="D9" s="505" t="s">
        <v>88</v>
      </c>
      <c r="E9" s="504" t="s">
        <v>91</v>
      </c>
      <c r="F9" s="504" t="s">
        <v>94</v>
      </c>
      <c r="G9" s="504" t="s">
        <v>96</v>
      </c>
      <c r="H9" s="504" t="s">
        <v>99</v>
      </c>
      <c r="I9" s="504" t="s">
        <v>102</v>
      </c>
      <c r="J9" s="506" t="s">
        <v>105</v>
      </c>
      <c r="K9" s="506" t="s">
        <v>108</v>
      </c>
      <c r="L9" s="507" t="s">
        <v>1</v>
      </c>
    </row>
    <row r="10" spans="1:19">
      <c r="A10" s="508" t="s">
        <v>255</v>
      </c>
      <c r="B10" s="509" t="s">
        <v>256</v>
      </c>
      <c r="C10" s="509"/>
      <c r="D10" s="510" t="s">
        <v>257</v>
      </c>
      <c r="E10" s="511"/>
      <c r="F10" s="509" t="s">
        <v>258</v>
      </c>
      <c r="G10" s="510" t="s">
        <v>259</v>
      </c>
      <c r="H10" s="509" t="s">
        <v>260</v>
      </c>
      <c r="I10" s="509"/>
      <c r="J10" s="510">
        <v>1</v>
      </c>
      <c r="K10" s="510">
        <v>1</v>
      </c>
      <c r="L10" s="510" t="s">
        <v>261</v>
      </c>
    </row>
    <row r="11" spans="1:19">
      <c r="A11" s="508" t="s">
        <v>262</v>
      </c>
      <c r="B11" s="509" t="s">
        <v>263</v>
      </c>
      <c r="C11" s="509"/>
      <c r="D11" s="510" t="s">
        <v>264</v>
      </c>
      <c r="E11" s="511"/>
      <c r="F11" s="509" t="s">
        <v>265</v>
      </c>
      <c r="G11" s="510" t="s">
        <v>259</v>
      </c>
      <c r="H11" s="509" t="s">
        <v>266</v>
      </c>
      <c r="I11" s="509"/>
      <c r="J11" s="510">
        <v>1</v>
      </c>
      <c r="K11" s="510">
        <v>1</v>
      </c>
      <c r="L11" s="510" t="s">
        <v>267</v>
      </c>
    </row>
    <row r="12" spans="1:19" ht="29.1">
      <c r="A12" s="508" t="s">
        <v>268</v>
      </c>
      <c r="B12" s="508" t="s">
        <v>269</v>
      </c>
      <c r="C12" s="509"/>
      <c r="D12" s="510" t="s">
        <v>247</v>
      </c>
      <c r="E12" s="511"/>
      <c r="F12" s="509" t="s">
        <v>270</v>
      </c>
      <c r="G12" s="510" t="e">
        <v>#N/A</v>
      </c>
      <c r="H12" s="509" t="s">
        <v>249</v>
      </c>
      <c r="I12" s="509"/>
      <c r="J12" s="510">
        <v>1</v>
      </c>
      <c r="K12" s="510">
        <v>1</v>
      </c>
      <c r="L12" s="510" t="s">
        <v>261</v>
      </c>
    </row>
    <row r="13" spans="1:19">
      <c r="A13" s="512" t="s">
        <v>271</v>
      </c>
    </row>
    <row r="14" spans="1:19">
      <c r="A14" s="503" t="s">
        <v>77</v>
      </c>
      <c r="B14" s="504" t="s">
        <v>81</v>
      </c>
      <c r="C14" s="504" t="s">
        <v>84</v>
      </c>
      <c r="D14" s="505" t="s">
        <v>88</v>
      </c>
      <c r="E14" s="504" t="s">
        <v>91</v>
      </c>
      <c r="F14" s="504" t="s">
        <v>94</v>
      </c>
      <c r="G14" s="504" t="s">
        <v>96</v>
      </c>
      <c r="H14" s="504" t="s">
        <v>99</v>
      </c>
      <c r="I14" s="504" t="s">
        <v>102</v>
      </c>
      <c r="J14" s="506" t="s">
        <v>105</v>
      </c>
      <c r="K14" s="506" t="s">
        <v>108</v>
      </c>
      <c r="L14" s="513" t="s">
        <v>1</v>
      </c>
      <c r="M14" s="506" t="s">
        <v>114</v>
      </c>
      <c r="N14" s="506" t="s">
        <v>118</v>
      </c>
      <c r="O14" s="506" t="s">
        <v>121</v>
      </c>
      <c r="P14" s="506" t="s">
        <v>125</v>
      </c>
      <c r="Q14" s="506" t="s">
        <v>128</v>
      </c>
      <c r="R14" s="506" t="s">
        <v>132</v>
      </c>
      <c r="S14" s="506" t="s">
        <v>157</v>
      </c>
    </row>
    <row r="15" spans="1:19">
      <c r="A15" s="508" t="s">
        <v>272</v>
      </c>
      <c r="B15" s="509" t="s">
        <v>273</v>
      </c>
      <c r="C15" s="509"/>
      <c r="D15" s="510" t="s">
        <v>252</v>
      </c>
      <c r="E15" s="509"/>
      <c r="F15" s="509" t="s">
        <v>274</v>
      </c>
      <c r="G15" s="510" t="s">
        <v>259</v>
      </c>
      <c r="H15" s="509" t="s">
        <v>275</v>
      </c>
      <c r="I15" s="509"/>
      <c r="J15" s="510">
        <v>1</v>
      </c>
      <c r="K15" s="510">
        <v>1</v>
      </c>
      <c r="L15" s="510" t="s">
        <v>276</v>
      </c>
      <c r="M15" s="514">
        <v>0</v>
      </c>
      <c r="N15" s="510"/>
      <c r="O15" s="514">
        <v>0</v>
      </c>
      <c r="P15" s="509" t="s">
        <v>48</v>
      </c>
      <c r="Q15" s="510">
        <v>1</v>
      </c>
      <c r="R15" s="510">
        <v>0</v>
      </c>
      <c r="S15" s="509" t="s">
        <v>277</v>
      </c>
    </row>
    <row r="16" spans="1:19">
      <c r="A16" s="508" t="s">
        <v>250</v>
      </c>
      <c r="B16" s="509" t="s">
        <v>278</v>
      </c>
      <c r="C16" s="509"/>
      <c r="D16" s="515" t="s">
        <v>247</v>
      </c>
      <c r="E16" s="509"/>
      <c r="F16" s="509" t="s">
        <v>279</v>
      </c>
      <c r="G16" s="510" t="s">
        <v>280</v>
      </c>
      <c r="H16" s="516" t="s">
        <v>249</v>
      </c>
      <c r="I16" s="509"/>
      <c r="J16" s="510">
        <v>1</v>
      </c>
      <c r="K16" s="510">
        <v>1</v>
      </c>
      <c r="L16" s="510" t="s">
        <v>261</v>
      </c>
      <c r="M16" s="514">
        <v>0</v>
      </c>
      <c r="N16" s="510"/>
      <c r="O16" s="514">
        <v>0</v>
      </c>
      <c r="P16" s="509" t="s">
        <v>48</v>
      </c>
      <c r="Q16" s="510">
        <v>1</v>
      </c>
      <c r="R16" s="510">
        <v>0</v>
      </c>
      <c r="S16" s="509" t="s">
        <v>277</v>
      </c>
    </row>
    <row r="17" spans="1:19">
      <c r="A17" s="508" t="s">
        <v>281</v>
      </c>
      <c r="B17" s="509" t="s">
        <v>282</v>
      </c>
      <c r="C17" s="509"/>
      <c r="D17" s="510" t="s">
        <v>252</v>
      </c>
      <c r="E17" s="509"/>
      <c r="F17" s="509" t="s">
        <v>283</v>
      </c>
      <c r="G17" s="510" t="s">
        <v>284</v>
      </c>
      <c r="H17" s="509" t="s">
        <v>285</v>
      </c>
      <c r="I17" s="509"/>
      <c r="J17" s="510">
        <v>1</v>
      </c>
      <c r="K17" s="510">
        <v>1</v>
      </c>
      <c r="L17" s="510" t="s">
        <v>276</v>
      </c>
      <c r="M17" s="514">
        <v>0</v>
      </c>
      <c r="N17" s="510"/>
      <c r="O17" s="514">
        <v>0</v>
      </c>
      <c r="P17" s="509" t="s">
        <v>48</v>
      </c>
      <c r="Q17" s="510">
        <v>1</v>
      </c>
      <c r="R17" s="510">
        <v>0</v>
      </c>
      <c r="S17" s="509" t="s">
        <v>286</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xr3:uid="{EAA6BE0F-A623-5FC0-AFD2-9CA7079ED315}">
      <pane xSplit="1" ySplit="1" topLeftCell="B9" activePane="bottomRight" state="frozen"/>
      <selection pane="bottomRight" activeCell="B14" sqref="B14"/>
      <selection pane="bottomLeft" activeCell="A2" sqref="A2"/>
      <selection pane="topRight" activeCell="B1" sqref="B1"/>
    </sheetView>
  </sheetViews>
  <sheetFormatPr defaultColWidth="9.140625" defaultRowHeight="14.45"/>
  <cols>
    <col min="1" max="1" width="9.7109375" style="169" bestFit="1" customWidth="1"/>
    <col min="2" max="2" width="123" style="81" bestFit="1" customWidth="1"/>
    <col min="3" max="3" width="7.140625" style="81" bestFit="1" customWidth="1"/>
    <col min="4" max="16384" width="9.140625" style="81"/>
  </cols>
  <sheetData>
    <row r="1" spans="1:3">
      <c r="A1" s="517" t="s">
        <v>0</v>
      </c>
      <c r="B1" s="518" t="s">
        <v>287</v>
      </c>
      <c r="C1" s="518" t="s">
        <v>288</v>
      </c>
    </row>
    <row r="2" spans="1:3">
      <c r="A2" s="519">
        <v>43807</v>
      </c>
      <c r="B2" s="520" t="s">
        <v>289</v>
      </c>
      <c r="C2" s="520" t="s">
        <v>11</v>
      </c>
    </row>
    <row r="3" spans="1:3" ht="29.1">
      <c r="A3" s="519">
        <v>43937</v>
      </c>
      <c r="B3" s="80" t="s">
        <v>290</v>
      </c>
      <c r="C3" s="520" t="s">
        <v>11</v>
      </c>
    </row>
    <row r="4" spans="1:3">
      <c r="A4" s="519">
        <v>43941</v>
      </c>
      <c r="B4" s="520" t="s">
        <v>291</v>
      </c>
      <c r="C4" s="520" t="s">
        <v>11</v>
      </c>
    </row>
    <row r="5" spans="1:3">
      <c r="A5" s="519">
        <v>43942</v>
      </c>
      <c r="B5" s="520" t="s">
        <v>292</v>
      </c>
      <c r="C5" s="520" t="s">
        <v>11</v>
      </c>
    </row>
    <row r="6" spans="1:3">
      <c r="A6" s="519">
        <v>43963</v>
      </c>
      <c r="B6" s="520" t="s">
        <v>293</v>
      </c>
      <c r="C6" s="520" t="s">
        <v>11</v>
      </c>
    </row>
    <row r="7" spans="1:3">
      <c r="A7" s="519">
        <v>43990</v>
      </c>
      <c r="B7" s="520" t="s">
        <v>294</v>
      </c>
      <c r="C7" s="520" t="s">
        <v>11</v>
      </c>
    </row>
    <row r="8" spans="1:3" ht="29.1">
      <c r="A8" s="519">
        <v>44104</v>
      </c>
      <c r="B8" s="80" t="s">
        <v>295</v>
      </c>
      <c r="C8" s="520" t="s">
        <v>296</v>
      </c>
    </row>
    <row r="9" spans="1:3" ht="144.94999999999999">
      <c r="A9" s="519">
        <v>44128</v>
      </c>
      <c r="B9" s="80" t="s">
        <v>297</v>
      </c>
      <c r="C9" s="520" t="s">
        <v>296</v>
      </c>
    </row>
    <row r="10" spans="1:3">
      <c r="A10" s="519">
        <v>44361</v>
      </c>
      <c r="B10" s="520" t="s">
        <v>298</v>
      </c>
      <c r="C10" s="520" t="s">
        <v>299</v>
      </c>
    </row>
    <row r="11" spans="1:3">
      <c r="A11" s="519">
        <v>44813</v>
      </c>
      <c r="B11" s="520" t="s">
        <v>300</v>
      </c>
      <c r="C11" s="520"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0"/>
  <sheetViews>
    <sheetView workbookViewId="0" xr3:uid="{842E5F09-E766-5B8D-85AF-A39847EA96FD}">
      <pane xSplit="2" ySplit="5" topLeftCell="C6" activePane="bottomRight" state="frozen"/>
      <selection pane="bottomRight" activeCell="A6" sqref="A6"/>
      <selection pane="bottomLeft" activeCell="A4" sqref="A4"/>
      <selection pane="topRight" activeCell="C1" sqref="C1"/>
    </sheetView>
  </sheetViews>
  <sheetFormatPr defaultColWidth="9.140625" defaultRowHeight="14.45"/>
  <cols>
    <col min="1" max="1" width="16.85546875" style="172" bestFit="1" customWidth="1"/>
    <col min="2" max="2" width="50.7109375" style="170" customWidth="1"/>
    <col min="3" max="3" width="17.42578125" style="170" customWidth="1"/>
    <col min="4" max="4" width="14.140625" style="173" bestFit="1" customWidth="1"/>
    <col min="5" max="5" width="32.42578125" style="170" customWidth="1"/>
    <col min="6" max="6" width="50.7109375" style="170" customWidth="1"/>
    <col min="7" max="7" width="9.85546875" style="170" bestFit="1" customWidth="1"/>
    <col min="8" max="8" width="16.285156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34" ht="18.95" thickBot="1">
      <c r="A1" s="595" t="s">
        <v>301</v>
      </c>
      <c r="B1" s="596"/>
      <c r="C1" s="596"/>
      <c r="D1" s="596"/>
      <c r="E1" s="596"/>
      <c r="F1" s="596"/>
      <c r="G1" s="596"/>
      <c r="H1" s="596"/>
      <c r="I1" s="596"/>
      <c r="J1" s="596"/>
      <c r="K1" s="596"/>
      <c r="L1" s="596"/>
      <c r="M1" s="596"/>
      <c r="N1" s="596"/>
      <c r="O1" s="596"/>
      <c r="P1" s="596"/>
      <c r="Q1" s="596"/>
      <c r="R1" s="596"/>
      <c r="S1" s="596"/>
      <c r="T1" s="596"/>
      <c r="U1" s="596"/>
      <c r="V1" s="596"/>
      <c r="W1" s="596"/>
      <c r="X1" s="596"/>
      <c r="Y1" s="596"/>
      <c r="Z1" s="596"/>
      <c r="AA1" s="596"/>
      <c r="AB1" s="596"/>
      <c r="AC1" s="596"/>
      <c r="AD1" s="596"/>
      <c r="AE1" s="596"/>
      <c r="AF1" s="596"/>
      <c r="AG1" s="596"/>
      <c r="AH1" s="597"/>
    </row>
    <row r="2" spans="1:34" ht="18.95" thickBot="1">
      <c r="A2" s="598" t="s">
        <v>302</v>
      </c>
      <c r="B2" s="599"/>
      <c r="C2" s="599"/>
      <c r="D2" s="599"/>
      <c r="E2" s="599"/>
      <c r="F2" s="599"/>
      <c r="G2" s="599"/>
      <c r="H2" s="599"/>
      <c r="I2" s="599"/>
      <c r="J2" s="600"/>
      <c r="K2" s="376">
        <f>SUM(K6:K14)</f>
        <v>6</v>
      </c>
      <c r="L2" s="376">
        <f>SUM(L6:L14)</f>
        <v>11</v>
      </c>
      <c r="M2" s="377"/>
      <c r="N2" s="431">
        <f>SUMPRODUCT(K6:K14,N6:N14)/K17</f>
        <v>1</v>
      </c>
      <c r="O2" s="432">
        <f>SUM(O6:O14)</f>
        <v>11</v>
      </c>
      <c r="P2" s="433">
        <f>SUMPRODUCT(K6:K14,P6:P14)/K17</f>
        <v>1</v>
      </c>
      <c r="Q2" s="378"/>
      <c r="R2" s="379">
        <f>SUM(R6:R14)</f>
        <v>11</v>
      </c>
      <c r="S2" s="434">
        <f>SUM(S6:S14)</f>
        <v>11</v>
      </c>
      <c r="T2" s="434">
        <f>SUM(T6:T14)</f>
        <v>11</v>
      </c>
      <c r="U2" s="434">
        <f>SUM(U6:U14)</f>
        <v>0</v>
      </c>
      <c r="V2" s="434">
        <f>SUM(V6:V14)</f>
        <v>0</v>
      </c>
      <c r="W2" s="434">
        <f>SUM(W6:W14)</f>
        <v>0</v>
      </c>
      <c r="X2" s="435">
        <f>IF((S17=0),0,((T17+U17)/S17*100%))</f>
        <v>1</v>
      </c>
      <c r="Y2" s="380"/>
      <c r="Z2" s="447">
        <f>SUM(Z6:Z14)</f>
        <v>0</v>
      </c>
      <c r="AA2" s="448">
        <f>SUM(AA6:AA14)</f>
        <v>0</v>
      </c>
      <c r="AB2" s="448">
        <f>SUM(AB6:AB14)</f>
        <v>0</v>
      </c>
      <c r="AC2" s="448">
        <f>SUM(AC6:AC14)</f>
        <v>0</v>
      </c>
      <c r="AD2" s="448">
        <f>SUM(AD6:AD14)</f>
        <v>0</v>
      </c>
      <c r="AE2" s="438">
        <f>IF((Z17=0),0,((AA17+AB17)/Z17*100%))</f>
        <v>0</v>
      </c>
      <c r="AF2" s="381"/>
      <c r="AG2" s="381"/>
      <c r="AH2" s="382"/>
    </row>
    <row r="3" spans="1:34" ht="19.5" customHeight="1" thickBot="1">
      <c r="A3" s="595" t="s">
        <v>303</v>
      </c>
      <c r="B3" s="596"/>
      <c r="C3" s="596"/>
      <c r="D3" s="596"/>
      <c r="E3" s="596"/>
      <c r="F3" s="596"/>
      <c r="G3" s="596"/>
      <c r="H3" s="596"/>
      <c r="I3" s="596"/>
      <c r="J3" s="596"/>
      <c r="K3" s="596"/>
      <c r="L3" s="596"/>
      <c r="M3" s="596"/>
      <c r="N3" s="596"/>
      <c r="O3" s="596"/>
      <c r="P3" s="596"/>
      <c r="Q3" s="596"/>
      <c r="R3" s="596"/>
      <c r="S3" s="596"/>
      <c r="T3" s="596"/>
      <c r="U3" s="596"/>
      <c r="V3" s="596"/>
      <c r="W3" s="596"/>
      <c r="X3" s="596"/>
      <c r="Y3" s="596"/>
      <c r="Z3" s="596"/>
      <c r="AA3" s="596"/>
      <c r="AB3" s="596"/>
      <c r="AC3" s="596"/>
      <c r="AD3" s="596"/>
      <c r="AE3" s="596"/>
      <c r="AF3" s="596"/>
      <c r="AG3" s="596"/>
      <c r="AH3" s="597"/>
    </row>
    <row r="4" spans="1:34" ht="31.5" customHeight="1" thickBot="1">
      <c r="A4" s="601" t="s">
        <v>76</v>
      </c>
      <c r="B4" s="602"/>
      <c r="C4" s="602"/>
      <c r="D4" s="602"/>
      <c r="E4" s="602"/>
      <c r="F4" s="602"/>
      <c r="G4" s="602"/>
      <c r="H4" s="602"/>
      <c r="I4" s="602"/>
      <c r="J4" s="602"/>
      <c r="K4" s="602"/>
      <c r="L4" s="602"/>
      <c r="M4" s="603"/>
      <c r="N4" s="604" t="s">
        <v>304</v>
      </c>
      <c r="O4" s="605"/>
      <c r="P4" s="606"/>
      <c r="Q4" s="611" t="s">
        <v>305</v>
      </c>
      <c r="R4" s="612"/>
      <c r="S4" s="612"/>
      <c r="T4" s="612"/>
      <c r="U4" s="612"/>
      <c r="V4" s="612"/>
      <c r="W4" s="612"/>
      <c r="X4" s="612"/>
      <c r="Y4" s="613"/>
      <c r="Z4" s="607" t="s">
        <v>306</v>
      </c>
      <c r="AA4" s="608"/>
      <c r="AB4" s="608"/>
      <c r="AC4" s="608"/>
      <c r="AD4" s="608"/>
      <c r="AE4" s="609"/>
      <c r="AF4" s="609"/>
      <c r="AG4" s="609"/>
      <c r="AH4" s="610"/>
    </row>
    <row r="5" spans="1:34" s="171" customFormat="1" ht="15" thickBot="1">
      <c r="A5" s="327" t="s">
        <v>77</v>
      </c>
      <c r="B5" s="328" t="s">
        <v>81</v>
      </c>
      <c r="C5" s="328" t="s">
        <v>84</v>
      </c>
      <c r="D5" s="329" t="s">
        <v>88</v>
      </c>
      <c r="E5" s="328" t="s">
        <v>91</v>
      </c>
      <c r="F5" s="328" t="s">
        <v>94</v>
      </c>
      <c r="G5" s="328" t="s">
        <v>96</v>
      </c>
      <c r="H5" s="328" t="s">
        <v>99</v>
      </c>
      <c r="I5" s="328" t="s">
        <v>307</v>
      </c>
      <c r="J5" s="328" t="s">
        <v>102</v>
      </c>
      <c r="K5" s="330" t="s">
        <v>105</v>
      </c>
      <c r="L5" s="330" t="s">
        <v>108</v>
      </c>
      <c r="M5" s="497" t="s">
        <v>1</v>
      </c>
      <c r="N5" s="338" t="s">
        <v>114</v>
      </c>
      <c r="O5" s="332" t="s">
        <v>118</v>
      </c>
      <c r="P5" s="339" t="s">
        <v>121</v>
      </c>
      <c r="Q5" s="337" t="s">
        <v>125</v>
      </c>
      <c r="R5" s="333" t="s">
        <v>128</v>
      </c>
      <c r="S5" s="333" t="s">
        <v>132</v>
      </c>
      <c r="T5" s="334" t="s">
        <v>30</v>
      </c>
      <c r="U5" s="334" t="s">
        <v>135</v>
      </c>
      <c r="V5" s="334" t="s">
        <v>36</v>
      </c>
      <c r="W5" s="334" t="s">
        <v>138</v>
      </c>
      <c r="X5" s="334" t="s">
        <v>140</v>
      </c>
      <c r="Y5" s="335" t="s">
        <v>142</v>
      </c>
      <c r="Z5" s="336" t="s">
        <v>132</v>
      </c>
      <c r="AA5" s="334" t="s">
        <v>30</v>
      </c>
      <c r="AB5" s="334" t="s">
        <v>135</v>
      </c>
      <c r="AC5" s="334" t="s">
        <v>36</v>
      </c>
      <c r="AD5" s="334" t="s">
        <v>138</v>
      </c>
      <c r="AE5" s="334" t="s">
        <v>140</v>
      </c>
      <c r="AF5" s="328" t="s">
        <v>155</v>
      </c>
      <c r="AG5" s="328" t="s">
        <v>157</v>
      </c>
      <c r="AH5" s="331" t="s">
        <v>160</v>
      </c>
    </row>
    <row r="6" spans="1:34" ht="15" thickBot="1">
      <c r="A6" s="524" t="s">
        <v>308</v>
      </c>
      <c r="B6" s="524" t="s">
        <v>309</v>
      </c>
      <c r="C6" s="525" t="s">
        <v>310</v>
      </c>
      <c r="D6" s="525" t="s">
        <v>311</v>
      </c>
      <c r="E6" s="525" t="s">
        <v>312</v>
      </c>
      <c r="F6" s="525" t="s">
        <v>312</v>
      </c>
      <c r="G6" s="228" t="s">
        <v>280</v>
      </c>
      <c r="H6" s="524" t="s">
        <v>313</v>
      </c>
      <c r="I6" s="415" t="s">
        <v>46</v>
      </c>
      <c r="J6" s="533"/>
      <c r="K6" s="305">
        <v>1</v>
      </c>
      <c r="L6" s="525">
        <v>2</v>
      </c>
      <c r="M6" s="526" t="s">
        <v>33</v>
      </c>
      <c r="N6" s="527">
        <v>1</v>
      </c>
      <c r="O6" s="525">
        <v>2</v>
      </c>
      <c r="P6" s="425">
        <f t="shared" ref="P6:P11" si="0">IF((O6=0),0,(O6/L6))</f>
        <v>1</v>
      </c>
      <c r="Q6" s="528" t="s">
        <v>48</v>
      </c>
      <c r="R6" s="525">
        <v>2</v>
      </c>
      <c r="S6" s="449">
        <v>2</v>
      </c>
      <c r="T6" s="525">
        <v>2</v>
      </c>
      <c r="U6" s="439"/>
      <c r="V6" s="439">
        <v>0</v>
      </c>
      <c r="W6" s="439"/>
      <c r="X6" s="450">
        <f t="shared" ref="X6:X11" si="1">IF((S6=0),0,((T6+U6)/S6*100%))</f>
        <v>1</v>
      </c>
      <c r="Y6" s="529"/>
      <c r="Z6" s="530">
        <v>0</v>
      </c>
      <c r="AA6" s="531">
        <v>0</v>
      </c>
      <c r="AB6" s="531">
        <v>0</v>
      </c>
      <c r="AC6" s="531">
        <v>0</v>
      </c>
      <c r="AD6" s="531">
        <v>0</v>
      </c>
      <c r="AE6" s="440">
        <f t="shared" ref="AE6:AE11" si="2">IF((Z6=0),0,((AA6+AB6)/Z6*100%))</f>
        <v>0</v>
      </c>
      <c r="AF6" s="304"/>
      <c r="AG6" s="532" t="s">
        <v>314</v>
      </c>
      <c r="AH6" s="304"/>
    </row>
    <row r="7" spans="1:34" ht="15" thickBot="1">
      <c r="A7" s="524" t="s">
        <v>315</v>
      </c>
      <c r="B7" s="524" t="s">
        <v>316</v>
      </c>
      <c r="C7" s="525" t="s">
        <v>310</v>
      </c>
      <c r="D7" s="525" t="s">
        <v>311</v>
      </c>
      <c r="E7" s="525" t="s">
        <v>316</v>
      </c>
      <c r="F7" s="525" t="s">
        <v>316</v>
      </c>
      <c r="G7" s="228" t="s">
        <v>280</v>
      </c>
      <c r="H7" s="524" t="s">
        <v>317</v>
      </c>
      <c r="I7" s="415" t="s">
        <v>46</v>
      </c>
      <c r="J7" s="533"/>
      <c r="K7" s="305">
        <v>1</v>
      </c>
      <c r="L7" s="525">
        <v>2</v>
      </c>
      <c r="M7" s="526" t="s">
        <v>33</v>
      </c>
      <c r="N7" s="527">
        <v>1</v>
      </c>
      <c r="O7" s="525">
        <v>2</v>
      </c>
      <c r="P7" s="425">
        <f t="shared" si="0"/>
        <v>1</v>
      </c>
      <c r="Q7" s="528" t="s">
        <v>48</v>
      </c>
      <c r="R7" s="525">
        <v>2</v>
      </c>
      <c r="S7" s="449">
        <v>2</v>
      </c>
      <c r="T7" s="525">
        <v>2</v>
      </c>
      <c r="U7" s="439"/>
      <c r="V7" s="439">
        <v>0</v>
      </c>
      <c r="W7" s="439"/>
      <c r="X7" s="450">
        <f t="shared" si="1"/>
        <v>1</v>
      </c>
      <c r="Y7" s="529"/>
      <c r="Z7" s="530">
        <v>0</v>
      </c>
      <c r="AA7" s="531">
        <v>0</v>
      </c>
      <c r="AB7" s="531">
        <v>0</v>
      </c>
      <c r="AC7" s="531">
        <v>0</v>
      </c>
      <c r="AD7" s="531">
        <v>0</v>
      </c>
      <c r="AE7" s="440">
        <f t="shared" si="2"/>
        <v>0</v>
      </c>
      <c r="AF7" s="304"/>
      <c r="AG7" s="532" t="s">
        <v>314</v>
      </c>
      <c r="AH7" s="534"/>
    </row>
    <row r="8" spans="1:34" ht="15" thickBot="1">
      <c r="A8" s="524" t="s">
        <v>318</v>
      </c>
      <c r="B8" s="524" t="s">
        <v>319</v>
      </c>
      <c r="C8" s="525" t="s">
        <v>310</v>
      </c>
      <c r="D8" s="525" t="s">
        <v>311</v>
      </c>
      <c r="E8" s="525" t="s">
        <v>319</v>
      </c>
      <c r="F8" s="525" t="s">
        <v>319</v>
      </c>
      <c r="G8" s="228" t="s">
        <v>280</v>
      </c>
      <c r="H8" s="524" t="s">
        <v>320</v>
      </c>
      <c r="I8" s="415" t="s">
        <v>46</v>
      </c>
      <c r="J8" s="533"/>
      <c r="K8" s="305">
        <v>1</v>
      </c>
      <c r="L8" s="525">
        <v>2</v>
      </c>
      <c r="M8" s="526" t="s">
        <v>33</v>
      </c>
      <c r="N8" s="527">
        <v>1</v>
      </c>
      <c r="O8" s="525">
        <v>2</v>
      </c>
      <c r="P8" s="425">
        <f t="shared" si="0"/>
        <v>1</v>
      </c>
      <c r="Q8" s="528" t="s">
        <v>48</v>
      </c>
      <c r="R8" s="525">
        <v>2</v>
      </c>
      <c r="S8" s="449">
        <v>2</v>
      </c>
      <c r="T8" s="525">
        <v>2</v>
      </c>
      <c r="U8" s="439"/>
      <c r="V8" s="439">
        <v>0</v>
      </c>
      <c r="W8" s="439"/>
      <c r="X8" s="450">
        <f t="shared" si="1"/>
        <v>1</v>
      </c>
      <c r="Y8" s="529"/>
      <c r="Z8" s="530">
        <v>0</v>
      </c>
      <c r="AA8" s="531">
        <v>0</v>
      </c>
      <c r="AB8" s="531">
        <v>0</v>
      </c>
      <c r="AC8" s="531">
        <v>0</v>
      </c>
      <c r="AD8" s="531">
        <v>0</v>
      </c>
      <c r="AE8" s="440">
        <f t="shared" si="2"/>
        <v>0</v>
      </c>
      <c r="AF8" s="304"/>
      <c r="AG8" s="532" t="s">
        <v>314</v>
      </c>
      <c r="AH8" s="306"/>
    </row>
    <row r="9" spans="1:34" ht="15" thickBot="1">
      <c r="A9" s="524" t="s">
        <v>321</v>
      </c>
      <c r="B9" s="524" t="s">
        <v>322</v>
      </c>
      <c r="C9" s="525" t="s">
        <v>310</v>
      </c>
      <c r="D9" s="525" t="s">
        <v>311</v>
      </c>
      <c r="E9" s="525" t="s">
        <v>322</v>
      </c>
      <c r="F9" s="525" t="s">
        <v>322</v>
      </c>
      <c r="G9" s="228" t="s">
        <v>280</v>
      </c>
      <c r="H9" s="524" t="s">
        <v>323</v>
      </c>
      <c r="I9" s="415" t="s">
        <v>46</v>
      </c>
      <c r="J9" s="533"/>
      <c r="K9" s="305">
        <v>1</v>
      </c>
      <c r="L9" s="525">
        <v>1</v>
      </c>
      <c r="M9" s="526" t="s">
        <v>33</v>
      </c>
      <c r="N9" s="527">
        <v>1</v>
      </c>
      <c r="O9" s="525">
        <v>1</v>
      </c>
      <c r="P9" s="425">
        <f t="shared" si="0"/>
        <v>1</v>
      </c>
      <c r="Q9" s="528" t="s">
        <v>48</v>
      </c>
      <c r="R9" s="525">
        <v>1</v>
      </c>
      <c r="S9" s="449">
        <v>1</v>
      </c>
      <c r="T9" s="525">
        <v>1</v>
      </c>
      <c r="U9" s="439"/>
      <c r="V9" s="439">
        <v>0</v>
      </c>
      <c r="W9" s="439"/>
      <c r="X9" s="450">
        <f t="shared" si="1"/>
        <v>1</v>
      </c>
      <c r="Y9" s="529"/>
      <c r="Z9" s="530">
        <v>0</v>
      </c>
      <c r="AA9" s="531">
        <v>0</v>
      </c>
      <c r="AB9" s="531">
        <v>0</v>
      </c>
      <c r="AC9" s="531">
        <v>0</v>
      </c>
      <c r="AD9" s="531">
        <v>0</v>
      </c>
      <c r="AE9" s="440">
        <f t="shared" si="2"/>
        <v>0</v>
      </c>
      <c r="AF9" s="304"/>
      <c r="AG9" s="532" t="s">
        <v>314</v>
      </c>
      <c r="AH9" s="306"/>
    </row>
    <row r="10" spans="1:34" ht="15" thickBot="1">
      <c r="A10" s="524" t="s">
        <v>324</v>
      </c>
      <c r="B10" s="524" t="s">
        <v>325</v>
      </c>
      <c r="C10" s="525" t="s">
        <v>310</v>
      </c>
      <c r="D10" s="525" t="s">
        <v>311</v>
      </c>
      <c r="E10" s="525" t="s">
        <v>325</v>
      </c>
      <c r="F10" s="525" t="s">
        <v>325</v>
      </c>
      <c r="G10" s="228" t="s">
        <v>280</v>
      </c>
      <c r="H10" s="524" t="s">
        <v>326</v>
      </c>
      <c r="I10" s="415" t="s">
        <v>46</v>
      </c>
      <c r="J10" s="533"/>
      <c r="K10" s="305">
        <v>1</v>
      </c>
      <c r="L10" s="525">
        <v>2</v>
      </c>
      <c r="M10" s="526" t="s">
        <v>33</v>
      </c>
      <c r="N10" s="527">
        <v>1</v>
      </c>
      <c r="O10" s="525">
        <v>2</v>
      </c>
      <c r="P10" s="425">
        <f t="shared" si="0"/>
        <v>1</v>
      </c>
      <c r="Q10" s="528" t="s">
        <v>48</v>
      </c>
      <c r="R10" s="525">
        <v>2</v>
      </c>
      <c r="S10" s="449">
        <v>2</v>
      </c>
      <c r="T10" s="525">
        <v>2</v>
      </c>
      <c r="U10" s="439"/>
      <c r="V10" s="439">
        <v>0</v>
      </c>
      <c r="W10" s="439"/>
      <c r="X10" s="450">
        <f t="shared" si="1"/>
        <v>1</v>
      </c>
      <c r="Y10" s="529"/>
      <c r="Z10" s="530">
        <v>0</v>
      </c>
      <c r="AA10" s="531">
        <v>0</v>
      </c>
      <c r="AB10" s="531">
        <v>0</v>
      </c>
      <c r="AC10" s="531">
        <v>0</v>
      </c>
      <c r="AD10" s="531">
        <v>0</v>
      </c>
      <c r="AE10" s="440">
        <f t="shared" si="2"/>
        <v>0</v>
      </c>
      <c r="AF10" s="304"/>
      <c r="AG10" s="532" t="s">
        <v>314</v>
      </c>
      <c r="AH10" s="306"/>
    </row>
    <row r="11" spans="1:34">
      <c r="A11" s="524" t="s">
        <v>327</v>
      </c>
      <c r="B11" s="524" t="s">
        <v>328</v>
      </c>
      <c r="C11" s="525" t="s">
        <v>310</v>
      </c>
      <c r="D11" s="525" t="s">
        <v>311</v>
      </c>
      <c r="E11" s="525" t="s">
        <v>328</v>
      </c>
      <c r="F11" s="525" t="s">
        <v>328</v>
      </c>
      <c r="G11" s="228" t="s">
        <v>280</v>
      </c>
      <c r="H11" s="524" t="s">
        <v>329</v>
      </c>
      <c r="I11" s="415" t="s">
        <v>46</v>
      </c>
      <c r="J11" s="533"/>
      <c r="K11" s="305">
        <v>1</v>
      </c>
      <c r="L11" s="525">
        <v>2</v>
      </c>
      <c r="M11" s="526" t="s">
        <v>33</v>
      </c>
      <c r="N11" s="527">
        <v>1</v>
      </c>
      <c r="O11" s="525">
        <v>2</v>
      </c>
      <c r="P11" s="425">
        <f t="shared" si="0"/>
        <v>1</v>
      </c>
      <c r="Q11" s="528" t="s">
        <v>48</v>
      </c>
      <c r="R11" s="525">
        <v>2</v>
      </c>
      <c r="S11" s="449">
        <v>2</v>
      </c>
      <c r="T11" s="525">
        <v>2</v>
      </c>
      <c r="U11" s="439"/>
      <c r="V11" s="439">
        <v>0</v>
      </c>
      <c r="W11" s="439"/>
      <c r="X11" s="450">
        <f t="shared" si="1"/>
        <v>1</v>
      </c>
      <c r="Y11" s="529"/>
      <c r="Z11" s="530">
        <v>0</v>
      </c>
      <c r="AA11" s="531">
        <v>0</v>
      </c>
      <c r="AB11" s="531">
        <v>0</v>
      </c>
      <c r="AC11" s="531">
        <v>0</v>
      </c>
      <c r="AD11" s="531">
        <v>0</v>
      </c>
      <c r="AE11" s="440">
        <f t="shared" si="2"/>
        <v>0</v>
      </c>
      <c r="AF11" s="304"/>
      <c r="AG11" s="532" t="s">
        <v>314</v>
      </c>
      <c r="AH11" s="306"/>
    </row>
    <row r="12" spans="1:34">
      <c r="A12" s="343"/>
      <c r="B12" s="344"/>
      <c r="C12" s="344"/>
      <c r="D12" s="345"/>
      <c r="E12" s="344"/>
      <c r="F12" s="344"/>
      <c r="G12" s="345"/>
      <c r="H12" s="392"/>
      <c r="I12" s="523"/>
      <c r="J12" s="344"/>
      <c r="K12" s="344"/>
      <c r="L12" s="346"/>
      <c r="M12" s="347"/>
      <c r="N12" s="426"/>
      <c r="O12" s="427"/>
      <c r="P12" s="425"/>
      <c r="Q12" s="353"/>
      <c r="R12" s="354"/>
      <c r="S12" s="451"/>
      <c r="T12" s="452"/>
      <c r="U12" s="452"/>
      <c r="V12" s="452"/>
      <c r="W12" s="452"/>
      <c r="X12" s="453"/>
      <c r="Y12" s="355"/>
      <c r="Z12" s="441"/>
      <c r="AA12" s="442"/>
      <c r="AB12" s="442"/>
      <c r="AC12" s="442"/>
      <c r="AD12" s="442"/>
      <c r="AE12" s="443"/>
      <c r="AF12" s="359"/>
      <c r="AG12" s="359"/>
      <c r="AH12" s="363"/>
    </row>
    <row r="13" spans="1:34">
      <c r="A13" s="343"/>
      <c r="B13" s="344"/>
      <c r="C13" s="344"/>
      <c r="D13" s="345"/>
      <c r="E13" s="344"/>
      <c r="F13" s="344"/>
      <c r="G13" s="345"/>
      <c r="H13" s="392"/>
      <c r="I13" s="523"/>
      <c r="J13" s="344"/>
      <c r="K13" s="344"/>
      <c r="L13" s="346"/>
      <c r="M13" s="347"/>
      <c r="N13" s="426"/>
      <c r="O13" s="427"/>
      <c r="P13" s="425"/>
      <c r="Q13" s="353"/>
      <c r="R13" s="354"/>
      <c r="S13" s="451"/>
      <c r="T13" s="452"/>
      <c r="U13" s="452"/>
      <c r="V13" s="452"/>
      <c r="W13" s="452"/>
      <c r="X13" s="453"/>
      <c r="Y13" s="355"/>
      <c r="Z13" s="441"/>
      <c r="AA13" s="442"/>
      <c r="AB13" s="442"/>
      <c r="AC13" s="442"/>
      <c r="AD13" s="442"/>
      <c r="AE13" s="443"/>
      <c r="AF13" s="359"/>
      <c r="AG13" s="359"/>
      <c r="AH13" s="363"/>
    </row>
    <row r="14" spans="1:34" ht="15" thickBot="1">
      <c r="A14" s="348"/>
      <c r="B14" s="349"/>
      <c r="C14" s="349"/>
      <c r="D14" s="350"/>
      <c r="E14" s="349"/>
      <c r="F14" s="349"/>
      <c r="G14" s="350"/>
      <c r="H14" s="393"/>
      <c r="I14" s="523"/>
      <c r="J14" s="349"/>
      <c r="K14" s="349"/>
      <c r="L14" s="351"/>
      <c r="M14" s="352"/>
      <c r="N14" s="428"/>
      <c r="O14" s="429"/>
      <c r="P14" s="430"/>
      <c r="Q14" s="356"/>
      <c r="R14" s="357"/>
      <c r="S14" s="454"/>
      <c r="T14" s="455"/>
      <c r="U14" s="455"/>
      <c r="V14" s="455"/>
      <c r="W14" s="455"/>
      <c r="X14" s="456"/>
      <c r="Y14" s="358"/>
      <c r="Z14" s="444"/>
      <c r="AA14" s="445"/>
      <c r="AB14" s="445"/>
      <c r="AC14" s="445"/>
      <c r="AD14" s="445"/>
      <c r="AE14" s="446"/>
      <c r="AF14" s="360"/>
      <c r="AG14" s="360"/>
      <c r="AH14" s="364"/>
    </row>
    <row r="15" spans="1:34">
      <c r="A15" s="589" t="s">
        <v>330</v>
      </c>
      <c r="B15" s="590"/>
      <c r="C15" s="590"/>
      <c r="D15" s="590"/>
      <c r="E15" s="590"/>
      <c r="F15" s="590"/>
      <c r="G15" s="590"/>
      <c r="H15" s="590"/>
      <c r="I15" s="590"/>
      <c r="J15" s="590"/>
      <c r="K15" s="590"/>
      <c r="L15" s="590"/>
      <c r="M15" s="590"/>
      <c r="N15" s="590"/>
      <c r="O15" s="590"/>
      <c r="P15" s="590"/>
      <c r="Q15" s="590"/>
      <c r="R15" s="590"/>
      <c r="S15" s="590"/>
      <c r="T15" s="590"/>
      <c r="U15" s="590"/>
      <c r="V15" s="590"/>
      <c r="W15" s="590"/>
      <c r="X15" s="590"/>
      <c r="Y15" s="590"/>
      <c r="Z15" s="590"/>
      <c r="AA15" s="590"/>
      <c r="AB15" s="590"/>
      <c r="AC15" s="590"/>
      <c r="AD15" s="590"/>
      <c r="AE15" s="590"/>
      <c r="AF15" s="590"/>
      <c r="AG15" s="590"/>
      <c r="AH15" s="591"/>
    </row>
    <row r="16" spans="1:34" ht="15" thickBot="1">
      <c r="A16" s="592"/>
      <c r="B16" s="593"/>
      <c r="C16" s="593"/>
      <c r="D16" s="593"/>
      <c r="E16" s="593"/>
      <c r="F16" s="593"/>
      <c r="G16" s="593"/>
      <c r="H16" s="593"/>
      <c r="I16" s="593"/>
      <c r="J16" s="593"/>
      <c r="K16" s="593"/>
      <c r="L16" s="593"/>
      <c r="M16" s="593"/>
      <c r="N16" s="593"/>
      <c r="O16" s="593"/>
      <c r="P16" s="593"/>
      <c r="Q16" s="593"/>
      <c r="R16" s="593"/>
      <c r="S16" s="593"/>
      <c r="T16" s="593"/>
      <c r="U16" s="593"/>
      <c r="V16" s="593"/>
      <c r="W16" s="593"/>
      <c r="X16" s="593"/>
      <c r="Y16" s="593"/>
      <c r="Z16" s="593"/>
      <c r="AA16" s="593"/>
      <c r="AB16" s="593"/>
      <c r="AC16" s="593"/>
      <c r="AD16" s="593"/>
      <c r="AE16" s="593"/>
      <c r="AF16" s="593"/>
      <c r="AG16" s="593"/>
      <c r="AH16" s="594"/>
    </row>
    <row r="17" spans="1:34" ht="18.95" thickBot="1">
      <c r="A17" s="598" t="s">
        <v>302</v>
      </c>
      <c r="B17" s="599"/>
      <c r="C17" s="599"/>
      <c r="D17" s="599"/>
      <c r="E17" s="599"/>
      <c r="F17" s="599"/>
      <c r="G17" s="599"/>
      <c r="H17" s="599"/>
      <c r="I17" s="599"/>
      <c r="J17" s="600"/>
      <c r="K17" s="376">
        <f>SUM(K6:K14)</f>
        <v>6</v>
      </c>
      <c r="L17" s="376">
        <f>SUM(L6:L14)</f>
        <v>11</v>
      </c>
      <c r="M17" s="377"/>
      <c r="N17" s="431">
        <f>SUMPRODUCT(K6:K14,N6:N14)/K17</f>
        <v>1</v>
      </c>
      <c r="O17" s="432">
        <f>SUM(O6:O14)</f>
        <v>11</v>
      </c>
      <c r="P17" s="433">
        <f>SUMPRODUCT(K6:K14,P6:P14)/K17</f>
        <v>1</v>
      </c>
      <c r="Q17" s="378"/>
      <c r="R17" s="379">
        <f>SUM(R6:R14)</f>
        <v>11</v>
      </c>
      <c r="S17" s="434">
        <f>SUM(S6:S14)</f>
        <v>11</v>
      </c>
      <c r="T17" s="434">
        <f>SUM(T6:T14)</f>
        <v>11</v>
      </c>
      <c r="U17" s="379">
        <f>SUM(U6:U14)</f>
        <v>0</v>
      </c>
      <c r="V17" s="379">
        <f>SUM(V6:V14)</f>
        <v>0</v>
      </c>
      <c r="W17" s="379">
        <f>SUM(W6:W14)</f>
        <v>0</v>
      </c>
      <c r="X17" s="435">
        <f>IF((S17=0),0,((T17+U17)/S17*100%))</f>
        <v>1</v>
      </c>
      <c r="Y17" s="380"/>
      <c r="Z17" s="436">
        <f>SUM(Z6:Z14)</f>
        <v>0</v>
      </c>
      <c r="AA17" s="437">
        <f>SUM(AA6:AA14)</f>
        <v>0</v>
      </c>
      <c r="AB17" s="437">
        <f>SUM(AB6:AB14)</f>
        <v>0</v>
      </c>
      <c r="AC17" s="437">
        <f>SUM(AC6:AC14)</f>
        <v>0</v>
      </c>
      <c r="AD17" s="437">
        <f>SUM(AD6:AD14)</f>
        <v>0</v>
      </c>
      <c r="AE17" s="438">
        <f>IF((Z17=0),0,((AA17+AB17)/Z17*100%))</f>
        <v>0</v>
      </c>
      <c r="AF17" s="381"/>
      <c r="AG17" s="381"/>
      <c r="AH17" s="382"/>
    </row>
    <row r="19" spans="1:34">
      <c r="L19" s="170" t="s">
        <v>331</v>
      </c>
    </row>
    <row r="20" spans="1:34" ht="15"/>
    <row r="21" spans="1:34" ht="15"/>
    <row r="22" spans="1:34" ht="15"/>
    <row r="23" spans="1:34" ht="15"/>
    <row r="24" spans="1:34" ht="15"/>
    <row r="25" spans="1:34" ht="15"/>
    <row r="26" spans="1:34" ht="15"/>
    <row r="27" spans="1:34" ht="15"/>
    <row r="28" spans="1:34" ht="15"/>
    <row r="29" spans="1:34" ht="15"/>
    <row r="30" spans="1:34" ht="15"/>
  </sheetData>
  <sheetProtection insertColumns="0" insertRows="0" deleteRows="0" sort="0"/>
  <autoFilter ref="A5:AH17" xr:uid="{00000000-0009-0000-0000-000002000000}"/>
  <mergeCells count="9">
    <mergeCell ref="A15:AH16"/>
    <mergeCell ref="A1:AH1"/>
    <mergeCell ref="A3:AH3"/>
    <mergeCell ref="A2:J2"/>
    <mergeCell ref="A17:J17"/>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Q12:Q14</xm:sqref>
        </x14:dataValidation>
        <x14:dataValidation type="list" allowBlank="1" showInputMessage="1" showErrorMessage="1" xr:uid="{5513F172-4253-4807-A8CE-34D720193895}">
          <x14:formula1>
            <xm:f>'List Options'!$G$1:$G$3</xm:f>
          </x14:formula1>
          <xm:sqref>M12:M14</xm:sqref>
        </x14:dataValidation>
        <x14:dataValidation type="list" allowBlank="1" showInputMessage="1" showErrorMessage="1" xr:uid="{8B92A7F6-7ABF-446A-A0A1-23D59ABEAA7C}">
          <x14:formula1>
            <xm:f>'List Options'!$K$1:$K$6</xm:f>
          </x14:formula1>
          <xm:sqref>I12:I14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6"/>
  <sheetViews>
    <sheetView zoomScaleNormal="100" workbookViewId="0" xr3:uid="{8A7DB9E6-5825-5B6E-8AE4-6B4DECE2D06B}">
      <pane xSplit="1" ySplit="3" topLeftCell="B4" activePane="bottomRight" state="frozen"/>
      <selection pane="bottomRight" activeCell="G27" sqref="G27"/>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14" t="s">
        <v>332</v>
      </c>
      <c r="B1" s="615"/>
      <c r="C1" s="615"/>
      <c r="D1" s="615"/>
      <c r="E1" s="615"/>
      <c r="F1" s="615"/>
      <c r="G1" s="615"/>
      <c r="H1" s="615"/>
      <c r="I1" s="615"/>
      <c r="J1" s="615"/>
      <c r="K1" s="615"/>
      <c r="L1" s="615"/>
      <c r="M1" s="615"/>
      <c r="N1" s="615"/>
      <c r="O1" s="615"/>
      <c r="P1" s="615"/>
      <c r="Q1" s="615"/>
      <c r="R1" s="615"/>
      <c r="S1" s="615"/>
      <c r="T1" s="615"/>
      <c r="U1" s="615"/>
      <c r="V1" s="616"/>
    </row>
    <row r="2" spans="1:22" ht="15" thickBot="1">
      <c r="A2" s="210" t="s">
        <v>333</v>
      </c>
      <c r="B2" s="617" t="s">
        <v>166</v>
      </c>
      <c r="C2" s="617"/>
      <c r="D2" s="617"/>
      <c r="E2" s="617"/>
      <c r="F2" s="617"/>
      <c r="G2" s="618" t="s">
        <v>177</v>
      </c>
      <c r="H2" s="619"/>
      <c r="I2" s="619"/>
      <c r="J2" s="619"/>
      <c r="K2" s="619"/>
      <c r="L2" s="619"/>
      <c r="M2" s="619"/>
      <c r="N2" s="620"/>
      <c r="O2" s="621" t="s">
        <v>144</v>
      </c>
      <c r="P2" s="622"/>
      <c r="Q2" s="622"/>
      <c r="R2" s="622"/>
      <c r="S2" s="622"/>
      <c r="T2" s="622"/>
      <c r="U2" s="622"/>
      <c r="V2" s="623"/>
    </row>
    <row r="3" spans="1:22" s="233" customFormat="1" ht="15" thickBot="1">
      <c r="A3" s="236" t="s">
        <v>88</v>
      </c>
      <c r="B3" s="293" t="s">
        <v>167</v>
      </c>
      <c r="C3" s="294" t="s">
        <v>128</v>
      </c>
      <c r="D3" s="295" t="s">
        <v>105</v>
      </c>
      <c r="E3" s="295" t="s">
        <v>173</v>
      </c>
      <c r="F3" s="296" t="s">
        <v>175</v>
      </c>
      <c r="G3" s="297" t="s">
        <v>132</v>
      </c>
      <c r="H3" s="298" t="s">
        <v>30</v>
      </c>
      <c r="I3" s="298" t="s">
        <v>135</v>
      </c>
      <c r="J3" s="298" t="s">
        <v>36</v>
      </c>
      <c r="K3" s="298" t="s">
        <v>138</v>
      </c>
      <c r="L3" s="298" t="s">
        <v>184</v>
      </c>
      <c r="M3" s="298" t="s">
        <v>140</v>
      </c>
      <c r="N3" s="299" t="s">
        <v>187</v>
      </c>
      <c r="O3" s="300" t="s">
        <v>132</v>
      </c>
      <c r="P3" s="301" t="s">
        <v>30</v>
      </c>
      <c r="Q3" s="301" t="s">
        <v>135</v>
      </c>
      <c r="R3" s="301" t="s">
        <v>36</v>
      </c>
      <c r="S3" s="301" t="s">
        <v>138</v>
      </c>
      <c r="T3" s="301" t="s">
        <v>184</v>
      </c>
      <c r="U3" s="301" t="s">
        <v>140</v>
      </c>
      <c r="V3" s="302" t="s">
        <v>187</v>
      </c>
    </row>
    <row r="4" spans="1:22">
      <c r="A4" s="315" t="s">
        <v>334</v>
      </c>
      <c r="B4" s="234">
        <f>SUMIFS('Diags Raw Data'!$L$6:$L$4631,'Diags Raw Data'!$D$6:$D$4631,$A4)</f>
        <v>0</v>
      </c>
      <c r="C4" s="227">
        <f>SUMIFS('Diags Raw Data'!$R$6:$R$4631,'Diags Raw Data'!$D$6:$D$4631,$A4)</f>
        <v>0</v>
      </c>
      <c r="D4" s="227">
        <f>SUMIFS('Diags Raw Data'!$K$6:$K$4631,'Diags Raw Data'!$D$6:$D$4631,$A4)</f>
        <v>0</v>
      </c>
      <c r="E4" s="227">
        <f>SUMIFS('Diags Raw Data'!$O$6:$O$4631,'Diags Raw Data'!$D$6:$D$4631,$A4)</f>
        <v>0</v>
      </c>
      <c r="F4" s="231" t="str">
        <f>IF(NOT($B4=0), E4/$B4, "---")</f>
        <v>---</v>
      </c>
      <c r="G4" s="212">
        <f>SUMIFS('Diags Raw Data'!$S$6:$S$4631,'Diags Raw Data'!$D$6:$D$4631,$A4)</f>
        <v>0</v>
      </c>
      <c r="H4" s="213">
        <f>SUMIFS('Diags Raw Data'!$T$6:$T$4631,'Diags Raw Data'!$D$6:$D$4631,$A4)</f>
        <v>0</v>
      </c>
      <c r="I4" s="215">
        <f>SUMIFS('Diags Raw Data'!$U$6:$U$4631,'Diags Raw Data'!$D$6:$D$4631,$A4)</f>
        <v>0</v>
      </c>
      <c r="J4" s="213">
        <f>SUMIFS('Diags Raw Data'!$V$6:$V$4631,'Diags Raw Data'!$D$6:$D$4631,$A4)</f>
        <v>0</v>
      </c>
      <c r="K4" s="215">
        <f>SUMIFS('Diags Raw Data'!$W$6:$W$4631,'Diags Raw Data'!$D$6:$D$4631,$A4)</f>
        <v>0</v>
      </c>
      <c r="L4" s="214" t="str">
        <f>IF(NOT($C4=0), G4/$C4, "---")</f>
        <v>---</v>
      </c>
      <c r="M4" s="216" t="str">
        <f>IF(NOT($G4=0), (H4+I4)/$G4, "---")</f>
        <v>---</v>
      </c>
      <c r="N4" s="218" t="str">
        <f>IF(NOT($C4=0), (H4+I4)/$C4, "---")</f>
        <v>---</v>
      </c>
      <c r="O4" s="206">
        <f>SUMIFS('Diags Raw Data'!$Z$6:$Z$4631,'Diags Raw Data'!$D$6:$D$4631,$A4)</f>
        <v>0</v>
      </c>
      <c r="P4" s="203">
        <f>SUMIFS('Diags Raw Data'!$AA$6:$AA$4631,'Diags Raw Data'!$D$6:$D$4631,$A4)</f>
        <v>0</v>
      </c>
      <c r="Q4" s="205">
        <f>SUMIFS('Diags Raw Data'!$AB$6:$AB$4631,'Diags Raw Data'!$D$6:$D$4631,$A4)</f>
        <v>0</v>
      </c>
      <c r="R4" s="203">
        <f>SUMIFS('Diags Raw Data'!$AC$6:$AC$4631,'Diags Raw Data'!$D$6:$D$4631,$A4)</f>
        <v>0</v>
      </c>
      <c r="S4" s="205">
        <f>SUMIFS('Diags Raw Data'!$AD$6:$AD$4631,'Diags Raw Data'!$D$6:$D$4631,$A4)</f>
        <v>0</v>
      </c>
      <c r="T4" s="204" t="str">
        <f>IF(NOT($B4=0), O4/$B4, "---")</f>
        <v>---</v>
      </c>
      <c r="U4" s="217" t="str">
        <f>IF(NOT($O4=0), (P4+Q4)/$O4, "---")</f>
        <v>---</v>
      </c>
      <c r="V4" s="226" t="str">
        <f>IF(NOT($B4=0), (P4+Q4)/$B4, "---")</f>
        <v>---</v>
      </c>
    </row>
    <row r="5" spans="1:22" ht="15" thickBot="1">
      <c r="A5" s="315" t="s">
        <v>311</v>
      </c>
      <c r="B5" s="235">
        <f>SUMIFS('Diags Raw Data'!$L$6:$L$4631,'Diags Raw Data'!$D$6:$D$4631,$A5)</f>
        <v>11</v>
      </c>
      <c r="C5" s="228">
        <f>SUMIFS('Diags Raw Data'!$R$6:$R$4631,'Diags Raw Data'!$D$6:$D$4631,$A5)</f>
        <v>11</v>
      </c>
      <c r="D5" s="228">
        <f>SUMIFS('Diags Raw Data'!$K$6:$K$4631,'Diags Raw Data'!$D$6:$D$4631,$A5)</f>
        <v>6</v>
      </c>
      <c r="E5" s="228">
        <f>SUMIFS('Diags Raw Data'!$O$6:$O$4631,'Diags Raw Data'!$D$6:$D$4631,$A5)</f>
        <v>11</v>
      </c>
      <c r="F5" s="232">
        <f t="shared" ref="F5" si="0">IF(NOT($B5=0), E5/$B5, "---")</f>
        <v>1</v>
      </c>
      <c r="G5" s="223">
        <f>SUMIFS('Diags Raw Data'!$S$6:$S$4631,'Diags Raw Data'!$D$6:$D$4631,$A5)</f>
        <v>11</v>
      </c>
      <c r="H5" s="219">
        <f>SUMIFS('Diags Raw Data'!$T$6:$T$4631,'Diags Raw Data'!$D$6:$D$4631,$A5)</f>
        <v>11</v>
      </c>
      <c r="I5" s="220">
        <f>SUMIFS('Diags Raw Data'!$U$6:$U$4631,'Diags Raw Data'!$D$6:$D$4631,$A5)</f>
        <v>0</v>
      </c>
      <c r="J5" s="219">
        <f>SUMIFS('Diags Raw Data'!$V$6:$V$4631,'Diags Raw Data'!$D$6:$D$4631,$A5)</f>
        <v>0</v>
      </c>
      <c r="K5" s="220">
        <f>SUMIFS('Diags Raw Data'!$W$6:$W$4631,'Diags Raw Data'!$D$6:$D$4631,$A5)</f>
        <v>0</v>
      </c>
      <c r="L5" s="229">
        <f t="shared" ref="L5" si="1">IF(NOT($C5=0), G5/$C5, "---")</f>
        <v>1</v>
      </c>
      <c r="M5" s="221">
        <f t="shared" ref="M5" si="2">IF(NOT($G5=0), (H5+I5)/$G5, "---")</f>
        <v>1</v>
      </c>
      <c r="N5" s="225">
        <f t="shared" ref="N5" si="3">IF(NOT($C5=0), (H5+I5)/$C5, "---")</f>
        <v>1</v>
      </c>
      <c r="O5" s="207">
        <f>SUMIFS('Diags Raw Data'!$Z$6:$Z$4631,'Diags Raw Data'!$D$6:$D$4631,$A5)</f>
        <v>0</v>
      </c>
      <c r="P5" s="200">
        <f>SUMIFS('Diags Raw Data'!$AA$6:$AA$4631,'Diags Raw Data'!$D$6:$D$4631,$A5)</f>
        <v>0</v>
      </c>
      <c r="Q5" s="202">
        <f>SUMIFS('Diags Raw Data'!$AB$6:$AB$4631,'Diags Raw Data'!$D$6:$D$4631,$A5)</f>
        <v>0</v>
      </c>
      <c r="R5" s="200">
        <f>SUMIFS('Diags Raw Data'!$AC$6:$AC$4631,'Diags Raw Data'!$D$6:$D$4631,$A5)</f>
        <v>0</v>
      </c>
      <c r="S5" s="202">
        <f>SUMIFS('Diags Raw Data'!$AD$6:$AD$4631,'Diags Raw Data'!$D$6:$D$4631,$A5)</f>
        <v>0</v>
      </c>
      <c r="T5" s="201">
        <f t="shared" ref="T5" si="4">IF(NOT($B5=0), O5/$B5, "---")</f>
        <v>0</v>
      </c>
      <c r="U5" s="222" t="str">
        <f t="shared" ref="U5" si="5">IF(NOT($O5=0), (P5+Q5)/$O5, "---")</f>
        <v>---</v>
      </c>
      <c r="V5" s="224">
        <f t="shared" ref="V5" si="6">IF(NOT($B5=0), (P5+Q5)/$B5, "---")</f>
        <v>0</v>
      </c>
    </row>
    <row r="6" spans="1:22" ht="15.95" thickBot="1">
      <c r="A6" s="254" t="s">
        <v>335</v>
      </c>
      <c r="B6" s="238">
        <f>SUM(B4:B5)</f>
        <v>11</v>
      </c>
      <c r="C6" s="239">
        <f>SUM(C4:C5)</f>
        <v>11</v>
      </c>
      <c r="D6" s="239">
        <f>SUM(D4:D5)</f>
        <v>6</v>
      </c>
      <c r="E6" s="239">
        <f>SUM(E4:E5)</f>
        <v>11</v>
      </c>
      <c r="F6" s="240" cm="1">
        <f t="array" ref="F6">SUMPRODUCT(--(ISNUMBER(SEARCH("New",'Diags Raw Data'!$M$6:$M$4631))),'Diags Raw Data'!$K$6:$K$4631,'Diags Raw Data'!$P$6:$P$4631)/D6+SUMPRODUCT(--(ISNUMBER(SEARCH("Delta",'Diags Raw Data'!$M$6:$M$4631))),'Diags Raw Data'!$K$6:$K$4631,'Diags Raw Data'!$P$6:$P$4631)/D6+SUMPRODUCT(--(ISNUMBER(SEARCH("Legacy",'Diags Raw Data'!$M$6:$M$4631))),'Diags Raw Data'!$K$6:$K$4631,'Diags Raw Data'!$P$6:$P$4631)/D6</f>
        <v>1</v>
      </c>
      <c r="G6" s="241">
        <f>SUM(G4:G5)</f>
        <v>11</v>
      </c>
      <c r="H6" s="242">
        <f>SUM(H4:H5)</f>
        <v>11</v>
      </c>
      <c r="I6" s="243">
        <f>SUM(I4:I5)</f>
        <v>0</v>
      </c>
      <c r="J6" s="242">
        <f>SUM(J4:J5)</f>
        <v>0</v>
      </c>
      <c r="K6" s="243">
        <f>SUM(K4:K5)</f>
        <v>0</v>
      </c>
      <c r="L6" s="244">
        <f>IF(NOT($C6=0), G6/$C6, "---")</f>
        <v>1</v>
      </c>
      <c r="M6" s="245">
        <f>IF(NOT($G6=0), (H6+I6)/$G6, "---")</f>
        <v>1</v>
      </c>
      <c r="N6" s="246">
        <f>IF(NOT($C6=0), (H6+I6)/$C6, "---")</f>
        <v>1</v>
      </c>
      <c r="O6" s="247">
        <f>SUM(O4:O5)</f>
        <v>0</v>
      </c>
      <c r="P6" s="248">
        <f>SUM(P4:P5)</f>
        <v>0</v>
      </c>
      <c r="Q6" s="249">
        <f>SUM(Q4:Q5)</f>
        <v>0</v>
      </c>
      <c r="R6" s="248">
        <f>SUM(R4:R5)</f>
        <v>0</v>
      </c>
      <c r="S6" s="249">
        <f>SUM(S4:S5)</f>
        <v>0</v>
      </c>
      <c r="T6" s="250">
        <f>IF(NOT($B6=0), O6/$B6, "---")</f>
        <v>0</v>
      </c>
      <c r="U6" s="251" t="str">
        <f>IF(NOT($O6=0), (P6+Q6)/$O6, "---")</f>
        <v>---</v>
      </c>
      <c r="V6" s="252">
        <f>IF(NOT($B6=0), (P6+Q6)/$B6, "---")</f>
        <v>0</v>
      </c>
    </row>
    <row r="7" spans="1:22" ht="15" thickBot="1"/>
    <row r="8" spans="1:22" ht="15" thickBot="1">
      <c r="A8" s="208" t="s">
        <v>336</v>
      </c>
      <c r="B8" s="617" t="s">
        <v>166</v>
      </c>
      <c r="C8" s="617"/>
      <c r="D8" s="617"/>
      <c r="E8" s="617"/>
      <c r="F8" s="617"/>
      <c r="G8" s="618" t="s">
        <v>177</v>
      </c>
      <c r="H8" s="619"/>
      <c r="I8" s="619"/>
      <c r="J8" s="619"/>
      <c r="K8" s="619"/>
      <c r="L8" s="619"/>
      <c r="M8" s="619"/>
      <c r="N8" s="620"/>
      <c r="O8" s="621" t="s">
        <v>144</v>
      </c>
      <c r="P8" s="622"/>
      <c r="Q8" s="622"/>
      <c r="R8" s="622"/>
      <c r="S8" s="622"/>
      <c r="T8" s="622"/>
      <c r="U8" s="622"/>
      <c r="V8" s="623"/>
    </row>
    <row r="9" spans="1:22" s="233" customFormat="1" ht="15" thickBot="1">
      <c r="A9" s="236" t="s">
        <v>88</v>
      </c>
      <c r="B9" s="293" t="s">
        <v>167</v>
      </c>
      <c r="C9" s="294" t="s">
        <v>128</v>
      </c>
      <c r="D9" s="295" t="s">
        <v>105</v>
      </c>
      <c r="E9" s="295" t="s">
        <v>173</v>
      </c>
      <c r="F9" s="296" t="s">
        <v>175</v>
      </c>
      <c r="G9" s="297" t="s">
        <v>132</v>
      </c>
      <c r="H9" s="298" t="s">
        <v>30</v>
      </c>
      <c r="I9" s="298" t="s">
        <v>135</v>
      </c>
      <c r="J9" s="298" t="s">
        <v>36</v>
      </c>
      <c r="K9" s="298" t="s">
        <v>138</v>
      </c>
      <c r="L9" s="298" t="s">
        <v>184</v>
      </c>
      <c r="M9" s="298" t="s">
        <v>140</v>
      </c>
      <c r="N9" s="299" t="s">
        <v>187</v>
      </c>
      <c r="O9" s="300" t="s">
        <v>132</v>
      </c>
      <c r="P9" s="301" t="s">
        <v>30</v>
      </c>
      <c r="Q9" s="301" t="s">
        <v>135</v>
      </c>
      <c r="R9" s="301" t="s">
        <v>36</v>
      </c>
      <c r="S9" s="301" t="s">
        <v>138</v>
      </c>
      <c r="T9" s="301" t="s">
        <v>184</v>
      </c>
      <c r="U9" s="301" t="s">
        <v>140</v>
      </c>
      <c r="V9" s="302" t="s">
        <v>187</v>
      </c>
    </row>
    <row r="10" spans="1:22">
      <c r="A10" s="315" t="s">
        <v>334</v>
      </c>
      <c r="B10" s="234">
        <f>SUMIFS('Diags Raw Data'!$L$6:$L$4631,'Diags Raw Data'!$D$6:$D$4631,$A10,'Diags Raw Data'!$M$6:$M$4631,"New")+SUMIFS('Diags Raw Data'!$L$6:$L$4631,'Diags Raw Data'!$D$6:$D$4631,$A10,'Diags Raw Data'!$M$6:$M$4631,"Delta")</f>
        <v>0</v>
      </c>
      <c r="C10" s="227">
        <f>SUMIFS('Diags Raw Data'!$R$6:$R$4631,'Diags Raw Data'!$D$6:$D$4631,$A10,'Diags Raw Data'!$M$6:$M$4631,"New")+SUMIFS('Diags Raw Data'!$R$6:$R$4631,'Diags Raw Data'!$D$6:$D$4631,$A10,'Diags Raw Data'!$M$6:$M$4631,"Delta")</f>
        <v>0</v>
      </c>
      <c r="D10" s="227">
        <f>SUMIFS('Diags Raw Data'!$K$6:$K$4631,'Diags Raw Data'!$D$6:$D$4631,$A10,'Diags Raw Data'!$M$6:$M$4631,"New")+SUMIFS('Diags Raw Data'!$K$6:$K$4631,'Diags Raw Data'!$D$6:$D$4631,$A10,'Diags Raw Data'!$M$6:$M$4631,"Delta")</f>
        <v>0</v>
      </c>
      <c r="E10" s="227">
        <f>SUMIFS('Diags Raw Data'!$O$6:$O$4631,'Diags Raw Data'!$D$6:$D$4631,$A10,'Diags Raw Data'!$M$6:$M$4631,"New")+SUMIFS('Diags Raw Data'!$O$6:$O$4631,'Diags Raw Data'!$D$6:$D$4631,$A10,'Diags Raw Data'!$M$6:$M$4631,"Delta")</f>
        <v>0</v>
      </c>
      <c r="F10" s="231" t="str">
        <f t="shared" ref="F10:F11" si="7">IF(NOT($B10=0), E10/$B10, "---")</f>
        <v>---</v>
      </c>
      <c r="G10" s="212">
        <f>SUMIFS('Diags Raw Data'!$S$6:$S$4631,'Diags Raw Data'!$D$6:$D$4631,$A10,'Diags Raw Data'!$M$6:$M$4631,"New")+SUMIFS('Diags Raw Data'!$S$6:$S$4631,'Diags Raw Data'!$D$6:$D$4631,$A10,'Diags Raw Data'!$M$6:$M$4631,"Delta")</f>
        <v>0</v>
      </c>
      <c r="H10" s="213">
        <f>SUMIFS('Diags Raw Data'!$T$6:$T$4631,'Diags Raw Data'!$D$6:$D$4631,$A10,'Diags Raw Data'!$M$6:$M$4631,"New")+SUMIFS('Diags Raw Data'!$T$6:$T$4631,'Diags Raw Data'!$D$6:$D$4631,$A10,'Diags Raw Data'!$M$6:$M$4631,"Delta")</f>
        <v>0</v>
      </c>
      <c r="I10" s="213">
        <f>SUMIFS('Diags Raw Data'!$U$6:$U$4631,'Diags Raw Data'!$D$6:$D$4631,$A10,'Diags Raw Data'!$M$6:$M$4631,"New")+SUMIFS('Diags Raw Data'!$U$6:$U$4631,'Diags Raw Data'!$D$6:$D$4631,$A10,'Diags Raw Data'!$M$6:$M$4631,"Delta")</f>
        <v>0</v>
      </c>
      <c r="J10" s="213">
        <f>SUMIFS('Diags Raw Data'!$V$6:$V$4631,'Diags Raw Data'!$D$6:$D$4631,$A10,'Diags Raw Data'!$M$6:$M$4631,"New")+SUMIFS('Diags Raw Data'!$V$6:$V$4631,'Diags Raw Data'!$D$6:$D$4631,$A10,'Diags Raw Data'!$M$6:$M$4631,"Delta")</f>
        <v>0</v>
      </c>
      <c r="K10" s="213">
        <f>SUMIFS('Diags Raw Data'!$W$6:$W$4631,'Diags Raw Data'!$D$6:$D$4631,$A10,'Diags Raw Data'!$M$6:$M$4631,"New")+SUMIFS('Diags Raw Data'!$W$6:$W$4631,'Diags Raw Data'!$D$6:$D$4631,$A10,'Diags Raw Data'!$M$6:$M$4631,"Delta")</f>
        <v>0</v>
      </c>
      <c r="L10" s="214" t="str">
        <f>IF(NOT($C10=0), G10/$C10, "---")</f>
        <v>---</v>
      </c>
      <c r="M10" s="216" t="str">
        <f>IF(NOT($G10=0), (H10+I10)/$G10, "---")</f>
        <v>---</v>
      </c>
      <c r="N10" s="218" t="str">
        <f>IF(NOT($C10=0), (H10+I10)/$C10, "---")</f>
        <v>---</v>
      </c>
      <c r="O10" s="206">
        <f>SUMIFS('Diags Raw Data'!$Z$6:$Z$4631,'Diags Raw Data'!$D$6:$D$4631,$A10,'Diags Raw Data'!$M$6:$M$4631,"New")+SUMIFS('Diags Raw Data'!$Z$6:$Z$4631,'Diags Raw Data'!$D$6:$D$4631,$A10,'Diags Raw Data'!$M$6:$M$4631,"Delta")</f>
        <v>0</v>
      </c>
      <c r="P10" s="203">
        <f>SUMIFS('Diags Raw Data'!$AA$6:$AA$4631,'Diags Raw Data'!$D$6:$D$4631,$A10,'Diags Raw Data'!$M$6:$M$4631,"New")+SUMIFS('Diags Raw Data'!$AA$6:$AA$4631,'Diags Raw Data'!$D$6:$D$4631,$A10,'Diags Raw Data'!$M$6:$M$4631,"Delta")</f>
        <v>0</v>
      </c>
      <c r="Q10" s="203">
        <f>SUMIFS('Diags Raw Data'!$AB$6:$AB$4631,'Diags Raw Data'!$D$6:$D$4631,$A10,'Diags Raw Data'!$M$6:$M$4631,"New")+SUMIFS('Diags Raw Data'!$AB$6:$AB$4631,'Diags Raw Data'!$D$6:$D$4631,$A10,'Diags Raw Data'!$M$6:$M$4631,"Delta")</f>
        <v>0</v>
      </c>
      <c r="R10" s="203">
        <f>SUMIFS('Diags Raw Data'!$AC$6:$AC$4631,'Diags Raw Data'!$D$6:$D$4631,$A10,'Diags Raw Data'!$M$6:$M$4631,"New")+SUMIFS('Diags Raw Data'!$AC$6:$AC$4631,'Diags Raw Data'!$D$6:$D$4631,$A10,'Diags Raw Data'!$M$6:$M$4631,"Delta")</f>
        <v>0</v>
      </c>
      <c r="S10" s="203">
        <f>SUMIFS('Diags Raw Data'!$AD$6:$AD$4631,'Diags Raw Data'!$D$6:$D$4631,$A10,'Diags Raw Data'!$M$6:$M$4631,"New")+SUMIFS('Diags Raw Data'!$AD$6:$AD$4631,'Diags Raw Data'!$D$6:$D$4631,$A10,'Diags Raw Data'!$M$6:$M$4631,"Delta")</f>
        <v>0</v>
      </c>
      <c r="T10" s="204" t="str">
        <f>IF(NOT($B10=0), O10/$B10, "---")</f>
        <v>---</v>
      </c>
      <c r="U10" s="217" t="str">
        <f>IF(NOT($O10=0), (P10+Q10)/$O10, "---")</f>
        <v>---</v>
      </c>
      <c r="V10" s="226" t="str">
        <f>IF(NOT($B10=0), (P10+Q10)/$B10, "---")</f>
        <v>---</v>
      </c>
    </row>
    <row r="11" spans="1:22" ht="15" thickBot="1">
      <c r="A11" s="315" t="s">
        <v>311</v>
      </c>
      <c r="B11" s="235">
        <f>SUMIFS('Diags Raw Data'!$L$6:$L$4631,'Diags Raw Data'!$D$6:$D$4631,$A11,'Diags Raw Data'!$M$6:$M$4631,"New")+SUMIFS('Diags Raw Data'!$L$6:$L$4631,'Diags Raw Data'!$D$6:$D$4631,$A11,'Diags Raw Data'!$M$6:$M$4631,"Delta")</f>
        <v>0</v>
      </c>
      <c r="C11" s="228">
        <f>SUMIFS('Diags Raw Data'!$R$6:$R$4631,'Diags Raw Data'!$D$6:$D$4631,$A11,'Diags Raw Data'!$M$6:$M$4631,"New")+SUMIFS('Diags Raw Data'!$R$6:$R$4631,'Diags Raw Data'!$D$6:$D$4631,$A11,'Diags Raw Data'!$M$6:$M$4631,"Delta")</f>
        <v>0</v>
      </c>
      <c r="D11" s="228">
        <f>SUMIFS('Diags Raw Data'!$K$6:$K$4631,'Diags Raw Data'!$D$6:$D$4631,$A11,'Diags Raw Data'!$M$6:$M$4631,"New")+SUMIFS('Diags Raw Data'!$K$6:$K$4631,'Diags Raw Data'!$D$6:$D$4631,$A11,'Diags Raw Data'!$M$6:$M$4631,"Delta")</f>
        <v>0</v>
      </c>
      <c r="E11" s="228">
        <f>SUMIFS('Diags Raw Data'!$O$6:$O$4631,'Diags Raw Data'!$D$6:$D$4631,$A11,'Diags Raw Data'!$M$6:$M$4631,"New")+SUMIFS('Diags Raw Data'!$O$6:$O$4631,'Diags Raw Data'!$D$6:$D$4631,$A11,'Diags Raw Data'!$M$6:$M$4631,"Delta")</f>
        <v>0</v>
      </c>
      <c r="F11" s="232" t="str">
        <f t="shared" si="7"/>
        <v>---</v>
      </c>
      <c r="G11" s="223">
        <f>SUMIFS('Diags Raw Data'!$S$6:$S$4631,'Diags Raw Data'!$D$6:$D$4631,$A11,'Diags Raw Data'!$M$6:$M$4631,"New")+SUMIFS('Diags Raw Data'!$S$6:$S$4631,'Diags Raw Data'!$D$6:$D$4631,$A11,'Diags Raw Data'!$M$6:$M$4631,"Delta")</f>
        <v>0</v>
      </c>
      <c r="H11" s="219">
        <f>SUMIFS('Diags Raw Data'!$T$6:$T$4631,'Diags Raw Data'!$D$6:$D$4631,$A11,'Diags Raw Data'!$M$6:$M$4631,"New")+SUMIFS('Diags Raw Data'!$T$6:$T$4631,'Diags Raw Data'!$D$6:$D$4631,$A11,'Diags Raw Data'!$M$6:$M$4631,"Delta")</f>
        <v>0</v>
      </c>
      <c r="I11" s="219">
        <f>SUMIFS('Diags Raw Data'!$U$6:$U$4631,'Diags Raw Data'!$D$6:$D$4631,$A11,'Diags Raw Data'!$M$6:$M$4631,"New")+SUMIFS('Diags Raw Data'!$U$6:$U$4631,'Diags Raw Data'!$D$6:$D$4631,$A11,'Diags Raw Data'!$M$6:$M$4631,"Delta")</f>
        <v>0</v>
      </c>
      <c r="J11" s="219">
        <f>SUMIFS('Diags Raw Data'!$V$6:$V$4631,'Diags Raw Data'!$D$6:$D$4631,$A11,'Diags Raw Data'!$M$6:$M$4631,"New")+SUMIFS('Diags Raw Data'!$V$6:$V$4631,'Diags Raw Data'!$D$6:$D$4631,$A11,'Diags Raw Data'!$M$6:$M$4631,"Delta")</f>
        <v>0</v>
      </c>
      <c r="K11" s="219">
        <f>SUMIFS('Diags Raw Data'!$W$6:$W$4631,'Diags Raw Data'!$D$6:$D$4631,$A11,'Diags Raw Data'!$M$6:$M$4631,"New")+SUMIFS('Diags Raw Data'!$W$6:$W$4631,'Diags Raw Data'!$D$6:$D$4631,$A11,'Diags Raw Data'!$M$6:$M$4631,"Delta")</f>
        <v>0</v>
      </c>
      <c r="L11" s="229" t="str">
        <f>IF(NOT($C11=0), G11/$C11, "---")</f>
        <v>---</v>
      </c>
      <c r="M11" s="221" t="str">
        <f>IF(NOT($G11=0), (H11+I11)/$G11, "---")</f>
        <v>---</v>
      </c>
      <c r="N11" s="225" t="str">
        <f>IF(NOT($C11=0), (H11+I11)/$C11, "---")</f>
        <v>---</v>
      </c>
      <c r="O11" s="207">
        <f>SUMIFS('Diags Raw Data'!$Z$6:$Z$4631,'Diags Raw Data'!$D$6:$D$4631,$A11,'Diags Raw Data'!$M$6:$M$4631,"New")+SUMIFS('Diags Raw Data'!$Z$6:$Z$4631,'Diags Raw Data'!$D$6:$D$4631,$A11,'Diags Raw Data'!$M$6:$M$4631,"Delta")</f>
        <v>0</v>
      </c>
      <c r="P11" s="200">
        <f>SUMIFS('Diags Raw Data'!$AA$6:$AA$4631,'Diags Raw Data'!$D$6:$D$4631,$A11,'Diags Raw Data'!$M$6:$M$4631,"New")+SUMIFS('Diags Raw Data'!$AA$6:$AA$4631,'Diags Raw Data'!$D$6:$D$4631,$A11,'Diags Raw Data'!$M$6:$M$4631,"Delta")</f>
        <v>0</v>
      </c>
      <c r="Q11" s="200">
        <f>SUMIFS('Diags Raw Data'!$AB$6:$AB$4631,'Diags Raw Data'!$D$6:$D$4631,$A11,'Diags Raw Data'!$M$6:$M$4631,"New")+SUMIFS('Diags Raw Data'!$AB$6:$AB$4631,'Diags Raw Data'!$D$6:$D$4631,$A11,'Diags Raw Data'!$M$6:$M$4631,"Delta")</f>
        <v>0</v>
      </c>
      <c r="R11" s="200">
        <f>SUMIFS('Diags Raw Data'!$AC$6:$AC$4631,'Diags Raw Data'!$D$6:$D$4631,$A11,'Diags Raw Data'!$M$6:$M$4631,"New")+SUMIFS('Diags Raw Data'!$AC$6:$AC$4631,'Diags Raw Data'!$D$6:$D$4631,$A11,'Diags Raw Data'!$M$6:$M$4631,"Delta")</f>
        <v>0</v>
      </c>
      <c r="S11" s="200">
        <f>SUMIFS('Diags Raw Data'!$AD$6:$AD$4631,'Diags Raw Data'!$D$6:$D$4631,$A11,'Diags Raw Data'!$M$6:$M$4631,"New")+SUMIFS('Diags Raw Data'!$AD$6:$AD$4631,'Diags Raw Data'!$D$6:$D$4631,$A11,'Diags Raw Data'!$M$6:$M$4631,"Delta")</f>
        <v>0</v>
      </c>
      <c r="T11" s="201" t="str">
        <f>IF(NOT($B11=0), O11/$B11, "---")</f>
        <v>---</v>
      </c>
      <c r="U11" s="222" t="str">
        <f>IF(NOT($O11=0), (P11+Q11)/$O11, "---")</f>
        <v>---</v>
      </c>
      <c r="V11" s="224" t="str">
        <f t="shared" ref="V11:V12" si="8">IF(NOT($B11=0), (P11+Q11)/$B11, "---")</f>
        <v>---</v>
      </c>
    </row>
    <row r="12" spans="1:22" ht="15.95" thickBot="1">
      <c r="A12" s="237" t="s">
        <v>337</v>
      </c>
      <c r="B12" s="238">
        <f>SUM(B10:B11)</f>
        <v>0</v>
      </c>
      <c r="C12" s="239">
        <f>SUM(C10:C11)</f>
        <v>0</v>
      </c>
      <c r="D12" s="239">
        <f>SUM(D10:D11)</f>
        <v>0</v>
      </c>
      <c r="E12" s="239">
        <f>SUM(E10:E11)</f>
        <v>0</v>
      </c>
      <c r="F12" s="240" t="e" cm="1">
        <f t="array" ref="F12">SUMPRODUCT(--(ISNUMBER(SEARCH("New",'Diags Raw Data'!$M$6:$M$4631))),'Diags Raw Data'!$K$6:$K$4631,'Diags Raw Data'!$P$6:$P$4631)/D12+SUMPRODUCT(--(ISNUMBER(SEARCH("Delta",'Diags Raw Data'!$M$6:$M$4631))),'Diags Raw Data'!$K$6:$K$4631,'Diags Raw Data'!$P$6:$P$4631)/D12</f>
        <v>#DIV/0!</v>
      </c>
      <c r="G12" s="241">
        <f>SUM(G10:G11)</f>
        <v>0</v>
      </c>
      <c r="H12" s="242">
        <f>SUM(H10:H11)</f>
        <v>0</v>
      </c>
      <c r="I12" s="243">
        <f>SUM(I10:I11)</f>
        <v>0</v>
      </c>
      <c r="J12" s="242">
        <f>SUM(J10:J11)</f>
        <v>0</v>
      </c>
      <c r="K12" s="243">
        <f>SUM(K10:K11)</f>
        <v>0</v>
      </c>
      <c r="L12" s="244" t="str">
        <f>IF(NOT($C12=0), G12/$C12, "---")</f>
        <v>---</v>
      </c>
      <c r="M12" s="245" t="str">
        <f t="shared" ref="M12" si="9">IF(NOT($G12=0), (H12+I12)/$G12, "---")</f>
        <v>---</v>
      </c>
      <c r="N12" s="246" t="str">
        <f>IF(NOT($C12=0), (H12+I12)/$C12, "---")</f>
        <v>---</v>
      </c>
      <c r="O12" s="247">
        <f>SUM(O10:O11)</f>
        <v>0</v>
      </c>
      <c r="P12" s="248">
        <f>SUM(P10:P11)</f>
        <v>0</v>
      </c>
      <c r="Q12" s="249">
        <f>SUM(Q10:Q11)</f>
        <v>0</v>
      </c>
      <c r="R12" s="248">
        <f>SUM(R10:R11)</f>
        <v>0</v>
      </c>
      <c r="S12" s="249">
        <f>SUM(S10:S11)</f>
        <v>0</v>
      </c>
      <c r="T12" s="250" t="str">
        <f>IF(NOT($B12=0), O12/$B12, "---")</f>
        <v>---</v>
      </c>
      <c r="U12" s="251" t="str">
        <f t="shared" ref="U12" si="10">IF(NOT($O12=0), (P12+Q12)/$O12, "---")</f>
        <v>---</v>
      </c>
      <c r="V12" s="252" t="str">
        <f t="shared" si="8"/>
        <v>---</v>
      </c>
    </row>
    <row r="13" spans="1:22" ht="15" thickBot="1">
      <c r="A13" s="230"/>
      <c r="B13" s="230"/>
      <c r="C13" s="230"/>
      <c r="D13" s="230"/>
      <c r="E13" s="230"/>
      <c r="F13" s="230"/>
      <c r="G13" s="230"/>
      <c r="H13" s="230"/>
      <c r="I13" s="230"/>
      <c r="J13" s="230"/>
      <c r="K13" s="230"/>
      <c r="L13" s="230"/>
      <c r="M13" s="230"/>
      <c r="N13" s="230"/>
      <c r="O13" s="230"/>
      <c r="P13" s="230"/>
      <c r="Q13" s="230"/>
      <c r="R13" s="230"/>
      <c r="S13" s="230"/>
      <c r="T13" s="230"/>
      <c r="U13" s="230"/>
      <c r="V13" s="230"/>
    </row>
    <row r="14" spans="1:22" ht="15" thickBot="1">
      <c r="A14" s="209" t="s">
        <v>33</v>
      </c>
      <c r="B14" s="617" t="s">
        <v>166</v>
      </c>
      <c r="C14" s="617"/>
      <c r="D14" s="617"/>
      <c r="E14" s="617"/>
      <c r="F14" s="617"/>
      <c r="G14" s="618" t="s">
        <v>177</v>
      </c>
      <c r="H14" s="619"/>
      <c r="I14" s="619"/>
      <c r="J14" s="619"/>
      <c r="K14" s="619"/>
      <c r="L14" s="619"/>
      <c r="M14" s="619"/>
      <c r="N14" s="620"/>
      <c r="O14" s="621" t="s">
        <v>144</v>
      </c>
      <c r="P14" s="622"/>
      <c r="Q14" s="622"/>
      <c r="R14" s="622"/>
      <c r="S14" s="622"/>
      <c r="T14" s="622"/>
      <c r="U14" s="622"/>
      <c r="V14" s="623"/>
    </row>
    <row r="15" spans="1:22" s="233" customFormat="1" ht="15" thickBot="1">
      <c r="A15" s="236" t="s">
        <v>88</v>
      </c>
      <c r="B15" s="293" t="s">
        <v>167</v>
      </c>
      <c r="C15" s="294" t="s">
        <v>128</v>
      </c>
      <c r="D15" s="295" t="s">
        <v>105</v>
      </c>
      <c r="E15" s="295" t="s">
        <v>173</v>
      </c>
      <c r="F15" s="296" t="s">
        <v>175</v>
      </c>
      <c r="G15" s="297" t="s">
        <v>132</v>
      </c>
      <c r="H15" s="298" t="s">
        <v>30</v>
      </c>
      <c r="I15" s="298" t="s">
        <v>135</v>
      </c>
      <c r="J15" s="298" t="s">
        <v>36</v>
      </c>
      <c r="K15" s="298" t="s">
        <v>138</v>
      </c>
      <c r="L15" s="298" t="s">
        <v>184</v>
      </c>
      <c r="M15" s="298" t="s">
        <v>140</v>
      </c>
      <c r="N15" s="299" t="s">
        <v>187</v>
      </c>
      <c r="O15" s="300" t="s">
        <v>132</v>
      </c>
      <c r="P15" s="301" t="s">
        <v>30</v>
      </c>
      <c r="Q15" s="301" t="s">
        <v>135</v>
      </c>
      <c r="R15" s="301" t="s">
        <v>36</v>
      </c>
      <c r="S15" s="301" t="s">
        <v>138</v>
      </c>
      <c r="T15" s="301" t="s">
        <v>184</v>
      </c>
      <c r="U15" s="301" t="s">
        <v>140</v>
      </c>
      <c r="V15" s="302" t="s">
        <v>187</v>
      </c>
    </row>
    <row r="16" spans="1:22">
      <c r="A16" s="315" t="s">
        <v>334</v>
      </c>
      <c r="B16" s="234">
        <f>SUMIFS('Diags Raw Data'!$L$6:$L$4631,'Diags Raw Data'!$D$6:$D$4631,$A16,'Diags Raw Data'!$M$6:$M$4631,"Legacy")</f>
        <v>0</v>
      </c>
      <c r="C16" s="227">
        <f>SUMIFS('Diags Raw Data'!$R$6:$R$4631,'Diags Raw Data'!$D$6:$D$4631,$A16,'Diags Raw Data'!$M$6:$M$4631,"Legacy")</f>
        <v>0</v>
      </c>
      <c r="D16" s="227">
        <f>SUMIFS('Diags Raw Data'!$K$6:$K$4631,'Diags Raw Data'!$D$6:$D$4631,$A16,'Diags Raw Data'!$M$6:$M$4631,"Legacy")</f>
        <v>0</v>
      </c>
      <c r="E16" s="227">
        <f>SUMIFS('Diags Raw Data'!$O$6:$O$4631,'Diags Raw Data'!$D$6:$D$4631,$A16,'Diags Raw Data'!$M$6:$M$4631,"Legacy")</f>
        <v>0</v>
      </c>
      <c r="F16" s="231" t="str">
        <f>IF(NOT($B16=0), E16/$B16, "---")</f>
        <v>---</v>
      </c>
      <c r="G16" s="212">
        <f>SUMIFS('Diags Raw Data'!$S$6:$S$4631,'Diags Raw Data'!$D$6:$D$4631,$A16,'Diags Raw Data'!$M$6:$M$4631,"Legacy")</f>
        <v>0</v>
      </c>
      <c r="H16" s="213">
        <f>SUMIFS('Diags Raw Data'!$T$6:$T$4631,'Diags Raw Data'!$D$6:$D$4631,$A16,'Diags Raw Data'!$M$6:$M$4631,"Legacy")</f>
        <v>0</v>
      </c>
      <c r="I16" s="215">
        <f>SUMIFS('Diags Raw Data'!$U$6:$U$4631,'Diags Raw Data'!$D$6:$D$4631,$A16,'Diags Raw Data'!$M$6:$M$4631,"Legacy")</f>
        <v>0</v>
      </c>
      <c r="J16" s="213">
        <f>SUMIFS('Diags Raw Data'!$V$6:$V$4631,'Diags Raw Data'!$D$6:$D$4631,$A16,'Diags Raw Data'!$M$6:$M$4631,"Legacy")</f>
        <v>0</v>
      </c>
      <c r="K16" s="215">
        <f>SUMIFS('Diags Raw Data'!$W$6:$W$4631,'Diags Raw Data'!$D$6:$D$4631,$A16,'Diags Raw Data'!$M$6:$M$4631,"Legacy")</f>
        <v>0</v>
      </c>
      <c r="L16" s="214" t="str">
        <f>IF(NOT($C16=0), G16/$C16, "---")</f>
        <v>---</v>
      </c>
      <c r="M16" s="216" t="str">
        <f>IF(NOT($G16=0), (H16+I16)/$G16, "---")</f>
        <v>---</v>
      </c>
      <c r="N16" s="218" t="str">
        <f>IF(NOT($C16=0), (H16+I16)/$C16, "---")</f>
        <v>---</v>
      </c>
      <c r="O16" s="206">
        <f>SUMIFS('Diags Raw Data'!$Z$6:$Z$4631,'Diags Raw Data'!$D$6:$D$4631,$A16,'Diags Raw Data'!$M$6:$M$4631,"Legacy")</f>
        <v>0</v>
      </c>
      <c r="P16" s="203">
        <f>SUMIFS('Diags Raw Data'!$AA$6:$AA$4631,'Diags Raw Data'!$D$6:$D$4631,$A16,'Diags Raw Data'!$M$6:$M$4631,"Legacy")</f>
        <v>0</v>
      </c>
      <c r="Q16" s="205">
        <f>SUMIFS('Diags Raw Data'!$AB$6:$AB$4631,'Diags Raw Data'!$D$6:$D$4631,$A16,'Diags Raw Data'!$M$6:$M$4631,"Legacy")</f>
        <v>0</v>
      </c>
      <c r="R16" s="203">
        <f>SUMIFS('Diags Raw Data'!$AC$6:$AC$4631,'Diags Raw Data'!$D$6:$D$4631,$A16,'Diags Raw Data'!$M$6:$M$4631,"Legacy")</f>
        <v>0</v>
      </c>
      <c r="S16" s="205">
        <f>SUMIFS('Diags Raw Data'!$AD$6:$AD$4631,'Diags Raw Data'!$D$6:$D$4631,$A16,'Diags Raw Data'!$M$6:$M$4631,"Legacy")</f>
        <v>0</v>
      </c>
      <c r="T16" s="204" t="str">
        <f>IF(NOT($B16=0), O16/$B16, "---")</f>
        <v>---</v>
      </c>
      <c r="U16" s="217" t="str">
        <f>IF(NOT($O16=0), (P16+Q16)/$O16, "---")</f>
        <v>---</v>
      </c>
      <c r="V16" s="226" t="str">
        <f>IF(NOT($B16=0), (P16+Q16)/$B16, "---")</f>
        <v>---</v>
      </c>
    </row>
    <row r="17" spans="1:22" ht="15" thickBot="1">
      <c r="A17" s="315" t="s">
        <v>311</v>
      </c>
      <c r="B17" s="235">
        <f>SUMIFS('Diags Raw Data'!$L$6:$L$4631,'Diags Raw Data'!$D$6:$D$4631,$A17,'Diags Raw Data'!$M$6:$M$4631,"Legacy")</f>
        <v>11</v>
      </c>
      <c r="C17" s="228">
        <f>SUMIFS('Diags Raw Data'!$R$6:$R$4631,'Diags Raw Data'!$D$6:$D$4631,$A17,'Diags Raw Data'!$M$6:$M$4631,"Legacy")</f>
        <v>11</v>
      </c>
      <c r="D17" s="228">
        <f>SUMIFS('Diags Raw Data'!$K$6:$K$4631,'Diags Raw Data'!$D$6:$D$4631,$A17,'Diags Raw Data'!$M$6:$M$4631,"Legacy")</f>
        <v>6</v>
      </c>
      <c r="E17" s="228">
        <f>SUMIFS('Diags Raw Data'!$O$6:$O$4631,'Diags Raw Data'!$D$6:$D$4631,$A17,'Diags Raw Data'!$M$6:$M$4631,"Legacy")</f>
        <v>11</v>
      </c>
      <c r="F17" s="232">
        <f t="shared" ref="F17" si="11">IF(NOT($B17=0), E17/$B17, "---")</f>
        <v>1</v>
      </c>
      <c r="G17" s="223">
        <f>SUMIFS('Diags Raw Data'!$S$6:$S$4631,'Diags Raw Data'!$D$6:$D$4631,$A17,'Diags Raw Data'!$M$6:$M$4631,"Legacy")</f>
        <v>11</v>
      </c>
      <c r="H17" s="219">
        <f>SUMIFS('Diags Raw Data'!$T$6:$T$4631,'Diags Raw Data'!$D$6:$D$4631,$A17,'Diags Raw Data'!$M$6:$M$4631,"Legacy")</f>
        <v>11</v>
      </c>
      <c r="I17" s="220">
        <f>SUMIFS('Diags Raw Data'!$U$6:$U$4631,'Diags Raw Data'!$D$6:$D$4631,$A17,'Diags Raw Data'!$M$6:$M$4631,"Legacy")</f>
        <v>0</v>
      </c>
      <c r="J17" s="219">
        <f>SUMIFS('Diags Raw Data'!$V$6:$V$4631,'Diags Raw Data'!$D$6:$D$4631,$A17,'Diags Raw Data'!$M$6:$M$4631,"Legacy")</f>
        <v>0</v>
      </c>
      <c r="K17" s="220">
        <f>SUMIFS('Diags Raw Data'!$W$6:$W$4631,'Diags Raw Data'!$D$6:$D$4631,$A17,'Diags Raw Data'!$M$6:$M$4631,"Legacy")</f>
        <v>0</v>
      </c>
      <c r="L17" s="229">
        <f t="shared" ref="L17" si="12">IF(NOT($C17=0), G17/$C17, "---")</f>
        <v>1</v>
      </c>
      <c r="M17" s="221">
        <f t="shared" ref="M17:M18" si="13">IF(NOT($G17=0), (H17+I17)/$G17, "---")</f>
        <v>1</v>
      </c>
      <c r="N17" s="225">
        <f t="shared" ref="N17:N18" si="14">IF(NOT($C17=0), (H17+I17)/$C17, "---")</f>
        <v>1</v>
      </c>
      <c r="O17" s="207">
        <f>SUMIFS('Diags Raw Data'!$Z$6:$Z$4631,'Diags Raw Data'!$D$6:$D$4631,$A17,'Diags Raw Data'!$M$6:$M$4631,"Legacy")</f>
        <v>0</v>
      </c>
      <c r="P17" s="200">
        <f>SUMIFS('Diags Raw Data'!$AA$6:$AA$4631,'Diags Raw Data'!$D$6:$D$4631,$A17,'Diags Raw Data'!$M$6:$M$4631,"Legacy")</f>
        <v>0</v>
      </c>
      <c r="Q17" s="202">
        <f>SUMIFS('Diags Raw Data'!$AB$6:$AB$4631,'Diags Raw Data'!$D$6:$D$4631,$A17,'Diags Raw Data'!$M$6:$M$4631,"Legacy")</f>
        <v>0</v>
      </c>
      <c r="R17" s="200">
        <f>SUMIFS('Diags Raw Data'!$AC$6:$AC$4631,'Diags Raw Data'!$D$6:$D$4631,$A17,'Diags Raw Data'!$M$6:$M$4631,"Legacy")</f>
        <v>0</v>
      </c>
      <c r="S17" s="202">
        <f>SUMIFS('Diags Raw Data'!$AD$6:$AD$4631,'Diags Raw Data'!$D$6:$D$4631,$A17,'Diags Raw Data'!$M$6:$M$4631,"Legacy")</f>
        <v>0</v>
      </c>
      <c r="T17" s="201">
        <f t="shared" ref="T17" si="15">IF(NOT($B17=0), O17/$B17, "---")</f>
        <v>0</v>
      </c>
      <c r="U17" s="222" t="str">
        <f t="shared" ref="U17:U18" si="16">IF(NOT($O17=0), (P17+Q17)/$O17, "---")</f>
        <v>---</v>
      </c>
      <c r="V17" s="224">
        <f t="shared" ref="V17" si="17">IF(NOT($B17=0), (P17+Q17)/$B17, "---")</f>
        <v>0</v>
      </c>
    </row>
    <row r="18" spans="1:22" ht="15.95" thickBot="1">
      <c r="A18" s="253" t="s">
        <v>338</v>
      </c>
      <c r="B18" s="238">
        <f>SUM(B16:B17)</f>
        <v>11</v>
      </c>
      <c r="C18" s="239">
        <f>SUM(C16:C17)</f>
        <v>11</v>
      </c>
      <c r="D18" s="239">
        <f>SUM(D16:D17)</f>
        <v>6</v>
      </c>
      <c r="E18" s="239">
        <f>SUM(E16:E17)</f>
        <v>11</v>
      </c>
      <c r="F18" s="240" cm="1">
        <f t="array" ref="F18">SUMPRODUCT(--(ISNUMBER(SEARCH("Legacy",'Diags Raw Data'!$M$6:$M$4631))),'Diags Raw Data'!$K$6:$K$4631,'Diags Raw Data'!$P$6:$P$4631)/D18</f>
        <v>1</v>
      </c>
      <c r="G18" s="241">
        <f>SUM(G16:G17)</f>
        <v>11</v>
      </c>
      <c r="H18" s="242">
        <f>SUM(H16:H17)</f>
        <v>11</v>
      </c>
      <c r="I18" s="243">
        <f>SUM(I16:I17)</f>
        <v>0</v>
      </c>
      <c r="J18" s="242">
        <f>SUM(J16:J17)</f>
        <v>0</v>
      </c>
      <c r="K18" s="243">
        <f>SUM(K16:K17)</f>
        <v>0</v>
      </c>
      <c r="L18" s="244">
        <f>IF(NOT($C18=0), G18/$C18, "---")</f>
        <v>1</v>
      </c>
      <c r="M18" s="245">
        <f t="shared" si="13"/>
        <v>1</v>
      </c>
      <c r="N18" s="246">
        <f t="shared" si="14"/>
        <v>1</v>
      </c>
      <c r="O18" s="247">
        <f>SUM(O16:O17)</f>
        <v>0</v>
      </c>
      <c r="P18" s="248">
        <f>SUM(P16:P17)</f>
        <v>0</v>
      </c>
      <c r="Q18" s="249">
        <f>SUM(Q16:Q17)</f>
        <v>0</v>
      </c>
      <c r="R18" s="248">
        <f>SUM(R16:R17)</f>
        <v>0</v>
      </c>
      <c r="S18" s="249">
        <f>SUM(S16:S17)</f>
        <v>0</v>
      </c>
      <c r="T18" s="250">
        <f>IF(NOT($B18=0), O18/$B18, "---")</f>
        <v>0</v>
      </c>
      <c r="U18" s="251" t="str">
        <f t="shared" si="16"/>
        <v>---</v>
      </c>
      <c r="V18" s="252">
        <f>IF(NOT($B18=0), (P18+Q18)/$B18, "---")</f>
        <v>0</v>
      </c>
    </row>
    <row r="19" spans="1:22">
      <c r="A19" s="230"/>
      <c r="B19" s="230"/>
      <c r="C19" s="230"/>
      <c r="D19" s="230"/>
      <c r="E19" s="230"/>
      <c r="F19" s="230"/>
      <c r="G19" s="230"/>
      <c r="H19" s="230"/>
      <c r="I19" s="230"/>
      <c r="J19" s="230"/>
      <c r="K19" s="230"/>
      <c r="L19" s="230"/>
      <c r="M19" s="230"/>
      <c r="N19" s="230"/>
      <c r="O19" s="230"/>
      <c r="P19" s="230"/>
      <c r="Q19" s="230"/>
      <c r="R19" s="230"/>
      <c r="S19" s="230"/>
      <c r="T19" s="230"/>
      <c r="U19" s="230"/>
      <c r="V19" s="230"/>
    </row>
    <row r="21" spans="1:22">
      <c r="F21" s="130"/>
    </row>
    <row r="24" spans="1:22">
      <c r="F24" s="391"/>
    </row>
    <row r="25" spans="1:22">
      <c r="F25" s="390"/>
    </row>
    <row r="26" spans="1:22">
      <c r="F26" s="390"/>
    </row>
  </sheetData>
  <mergeCells count="10">
    <mergeCell ref="A1:V1"/>
    <mergeCell ref="B8:F8"/>
    <mergeCell ref="B14:F14"/>
    <mergeCell ref="G14:N14"/>
    <mergeCell ref="O14:V14"/>
    <mergeCell ref="G8:N8"/>
    <mergeCell ref="O8:V8"/>
    <mergeCell ref="B2:F2"/>
    <mergeCell ref="G2:N2"/>
    <mergeCell ref="O2:V2"/>
  </mergeCells>
  <phoneticPr fontId="30" type="noConversion"/>
  <conditionalFormatting sqref="F4:F5">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fRule type="colorScale" priority="100">
      <colorScale>
        <cfvo type="percentile" val="10"/>
        <cfvo type="percentile" val="50"/>
        <cfvo type="percentile" val="90"/>
        <color rgb="FFF8696B"/>
        <color rgb="FFFFEB84"/>
        <color rgb="FF63BE7B"/>
      </colorScale>
    </cfRule>
    <cfRule type="colorScale" priority="101">
      <colorScale>
        <cfvo type="percent" val="0"/>
        <cfvo type="percent" val="50"/>
        <cfvo type="percent" val="100"/>
        <color rgb="FFF8696B"/>
        <color rgb="FFFFEB84"/>
        <color rgb="FF63BE7B"/>
      </colorScale>
    </cfRule>
    <cfRule type="colorScale" priority="102">
      <colorScale>
        <cfvo type="percentile" val="10"/>
        <cfvo type="percentile" val="50"/>
        <cfvo type="percentile" val="90"/>
        <color rgb="FFF8696B"/>
        <color rgb="FFFFEB84"/>
        <color rgb="FF63BE7B"/>
      </colorScale>
    </cfRule>
    <cfRule type="colorScale" priority="103">
      <colorScale>
        <cfvo type="percent" val="20"/>
        <cfvo type="percent" val="50"/>
        <cfvo type="percent" val="100"/>
        <color rgb="FFF8696B"/>
        <color rgb="FFFFEB84"/>
        <color rgb="FF63BE7B"/>
      </colorScale>
    </cfRule>
    <cfRule type="colorScale" priority="104">
      <colorScale>
        <cfvo type="min"/>
        <cfvo type="percentile" val="50"/>
        <cfvo type="max"/>
        <color rgb="FFF8696B"/>
        <color rgb="FFFFEB84"/>
        <color rgb="FF63BE7B"/>
      </colorScale>
    </cfRule>
  </conditionalFormatting>
  <conditionalFormatting sqref="L4:L5">
    <cfRule type="colorScale" priority="105">
      <colorScale>
        <cfvo type="percent" val="0"/>
        <cfvo type="percent" val="50"/>
        <cfvo type="percent" val="100"/>
        <color rgb="FFF8696B"/>
        <color rgb="FFFFEB84"/>
        <color rgb="FF63BE7B"/>
      </colorScale>
    </cfRule>
  </conditionalFormatting>
  <conditionalFormatting sqref="T4:T5">
    <cfRule type="colorScale" priority="106">
      <colorScale>
        <cfvo type="percent" val="0"/>
        <cfvo type="percent" val="50"/>
        <cfvo type="percent" val="100"/>
        <color rgb="FFF8696B"/>
        <color rgb="FFFFEB84"/>
        <color rgb="FF63BE7B"/>
      </colorScale>
    </cfRule>
  </conditionalFormatting>
  <conditionalFormatting sqref="M4:M5">
    <cfRule type="colorScale" priority="107">
      <colorScale>
        <cfvo type="percent" val="0"/>
        <cfvo type="percent" val="50"/>
        <cfvo type="percent" val="100"/>
        <color rgb="FFF8696B"/>
        <color rgb="FFFFEB84"/>
        <color rgb="FF63BE7B"/>
      </colorScale>
    </cfRule>
    <cfRule type="colorScale" priority="108">
      <colorScale>
        <cfvo type="percent" val="0"/>
        <cfvo type="percent" val="50"/>
        <cfvo type="percent" val="100"/>
        <color rgb="FFF8696B"/>
        <color rgb="FFFFEB84"/>
        <color rgb="FF63BE7B"/>
      </colorScale>
    </cfRule>
  </conditionalFormatting>
  <conditionalFormatting sqref="U4:U5">
    <cfRule type="colorScale" priority="109">
      <colorScale>
        <cfvo type="percent" val="0"/>
        <cfvo type="percent" val="50"/>
        <cfvo type="percent" val="100"/>
        <color rgb="FFF8696B"/>
        <color rgb="FFFFEB84"/>
        <color rgb="FF63BE7B"/>
      </colorScale>
    </cfRule>
  </conditionalFormatting>
  <conditionalFormatting sqref="N4:N5">
    <cfRule type="colorScale" priority="110">
      <colorScale>
        <cfvo type="percent" val="0"/>
        <cfvo type="percent" val="50"/>
        <cfvo type="percent" val="100"/>
        <color rgb="FFF8696B"/>
        <color rgb="FFFFEB84"/>
        <color rgb="FF63BE7B"/>
      </colorScale>
    </cfRule>
    <cfRule type="colorScale" priority="111">
      <colorScale>
        <cfvo type="percent" val="0"/>
        <cfvo type="percent" val="50"/>
        <cfvo type="percent" val="100"/>
        <color rgb="FFF8696B"/>
        <color rgb="FFFFEB84"/>
        <color rgb="FF63BE7B"/>
      </colorScale>
    </cfRule>
  </conditionalFormatting>
  <conditionalFormatting sqref="V4:V5">
    <cfRule type="colorScale" priority="112">
      <colorScale>
        <cfvo type="percent" val="0"/>
        <cfvo type="percent" val="50"/>
        <cfvo type="percent" val="100"/>
        <color rgb="FFF8696B"/>
        <color rgb="FFFFEB84"/>
        <color rgb="FF63BE7B"/>
      </colorScale>
    </cfRule>
  </conditionalFormatting>
  <conditionalFormatting sqref="L4:N5">
    <cfRule type="colorScale" priority="113">
      <colorScale>
        <cfvo type="percent" val="0"/>
        <cfvo type="percent" val="50"/>
        <cfvo type="percent" val="100"/>
        <color rgb="FFF8696B"/>
        <color rgb="FFFFEB84"/>
        <color rgb="FF63BE7B"/>
      </colorScale>
    </cfRule>
  </conditionalFormatting>
  <conditionalFormatting sqref="T4:V5">
    <cfRule type="colorScale" priority="114">
      <colorScale>
        <cfvo type="percent" val="0"/>
        <cfvo type="percent" val="50"/>
        <cfvo type="percent" val="100"/>
        <color rgb="FFF8696B"/>
        <color rgb="FFFFEB84"/>
        <color rgb="FF63BE7B"/>
      </colorScale>
    </cfRule>
  </conditionalFormatting>
  <conditionalFormatting sqref="F10:F11">
    <cfRule type="colorScale" priority="115">
      <colorScale>
        <cfvo type="percent" val="0"/>
        <cfvo type="percent" val="50"/>
        <cfvo type="percent" val="100"/>
        <color rgb="FFF8696B"/>
        <color rgb="FFFFEB84"/>
        <color rgb="FF63BE7B"/>
      </colorScale>
    </cfRule>
    <cfRule type="colorScale" priority="116">
      <colorScale>
        <cfvo type="percent" val="0"/>
        <cfvo type="percent" val="50"/>
        <cfvo type="percent" val="100"/>
        <color rgb="FFF8696B"/>
        <color rgb="FFFFEB84"/>
        <color rgb="FF63BE7B"/>
      </colorScale>
    </cfRule>
    <cfRule type="colorScale" priority="117">
      <colorScale>
        <cfvo type="percentile" val="10"/>
        <cfvo type="percentile" val="50"/>
        <cfvo type="percentile" val="90"/>
        <color rgb="FFF8696B"/>
        <color rgb="FFFFEB84"/>
        <color rgb="FF63BE7B"/>
      </colorScale>
    </cfRule>
    <cfRule type="colorScale" priority="118">
      <colorScale>
        <cfvo type="percent" val="0"/>
        <cfvo type="percent" val="50"/>
        <cfvo type="percent" val="100"/>
        <color rgb="FFF8696B"/>
        <color rgb="FFFFEB84"/>
        <color rgb="FF63BE7B"/>
      </colorScale>
    </cfRule>
    <cfRule type="colorScale" priority="119">
      <colorScale>
        <cfvo type="percentile" val="10"/>
        <cfvo type="percentile" val="50"/>
        <cfvo type="percentile" val="90"/>
        <color rgb="FFF8696B"/>
        <color rgb="FFFFEB84"/>
        <color rgb="FF63BE7B"/>
      </colorScale>
    </cfRule>
    <cfRule type="colorScale" priority="120">
      <colorScale>
        <cfvo type="percent" val="20"/>
        <cfvo type="percent" val="50"/>
        <cfvo type="percent" val="100"/>
        <color rgb="FFF8696B"/>
        <color rgb="FFFFEB84"/>
        <color rgb="FF63BE7B"/>
      </colorScale>
    </cfRule>
    <cfRule type="colorScale" priority="121">
      <colorScale>
        <cfvo type="min"/>
        <cfvo type="percentile" val="50"/>
        <cfvo type="max"/>
        <color rgb="FFF8696B"/>
        <color rgb="FFFFEB84"/>
        <color rgb="FF63BE7B"/>
      </colorScale>
    </cfRule>
  </conditionalFormatting>
  <conditionalFormatting sqref="L10:L11 N10:N11">
    <cfRule type="colorScale" priority="122">
      <colorScale>
        <cfvo type="percent" val="0"/>
        <cfvo type="percent" val="50"/>
        <cfvo type="percent" val="100"/>
        <color rgb="FFF8696B"/>
        <color rgb="FFFFEB84"/>
        <color rgb="FF63BE7B"/>
      </colorScale>
    </cfRule>
    <cfRule type="colorScale" priority="123">
      <colorScale>
        <cfvo type="percent" val="0"/>
        <cfvo type="percent" val="50"/>
        <cfvo type="percent" val="100"/>
        <color rgb="FFF8696B"/>
        <color rgb="FFFFEB84"/>
        <color rgb="FF63BE7B"/>
      </colorScale>
    </cfRule>
  </conditionalFormatting>
  <conditionalFormatting sqref="T10:T11 V10:V11">
    <cfRule type="colorScale" priority="126">
      <colorScale>
        <cfvo type="percent" val="0"/>
        <cfvo type="percent" val="50"/>
        <cfvo type="percent" val="100"/>
        <color rgb="FFF8696B"/>
        <color rgb="FFFFEB84"/>
        <color rgb="FF63BE7B"/>
      </colorScale>
    </cfRule>
  </conditionalFormatting>
  <conditionalFormatting sqref="U10:U11">
    <cfRule type="colorScale" priority="128">
      <colorScale>
        <cfvo type="percent" val="0"/>
        <cfvo type="percent" val="50"/>
        <cfvo type="percent" val="100"/>
        <color rgb="FFF8696B"/>
        <color rgb="FFFFEB84"/>
        <color rgb="FF63BE7B"/>
      </colorScale>
    </cfRule>
  </conditionalFormatting>
  <conditionalFormatting sqref="M10:M11">
    <cfRule type="colorScale" priority="129">
      <colorScale>
        <cfvo type="percent" val="0"/>
        <cfvo type="percent" val="50"/>
        <cfvo type="percent" val="100"/>
        <color rgb="FFF8696B"/>
        <color rgb="FFFFEB84"/>
        <color rgb="FF63BE7B"/>
      </colorScale>
    </cfRule>
    <cfRule type="colorScale" priority="130">
      <colorScale>
        <cfvo type="percent" val="0"/>
        <cfvo type="percent" val="50"/>
        <cfvo type="percent" val="100"/>
        <color rgb="FFF8696B"/>
        <color rgb="FFFFEB84"/>
        <color rgb="FF63BE7B"/>
      </colorScale>
    </cfRule>
  </conditionalFormatting>
  <conditionalFormatting sqref="L10:N11">
    <cfRule type="colorScale" priority="131">
      <colorScale>
        <cfvo type="percent" val="0"/>
        <cfvo type="percentile" val="50"/>
        <cfvo type="percent" val="100"/>
        <color rgb="FFF8696B"/>
        <color rgb="FFFFEB84"/>
        <color rgb="FF63BE7B"/>
      </colorScale>
    </cfRule>
  </conditionalFormatting>
  <conditionalFormatting sqref="T10:V11">
    <cfRule type="colorScale" priority="132">
      <colorScale>
        <cfvo type="percent" val="0"/>
        <cfvo type="percent" val="50"/>
        <cfvo type="percent" val="100"/>
        <color rgb="FFF8696B"/>
        <color rgb="FFFFEB84"/>
        <color rgb="FF63BE7B"/>
      </colorScale>
    </cfRule>
  </conditionalFormatting>
  <conditionalFormatting sqref="F16:F17">
    <cfRule type="colorScale" priority="133">
      <colorScale>
        <cfvo type="percent" val="0"/>
        <cfvo type="percent" val="50"/>
        <cfvo type="percent" val="100"/>
        <color rgb="FFF8696B"/>
        <color rgb="FFFFEB84"/>
        <color rgb="FF63BE7B"/>
      </colorScale>
    </cfRule>
    <cfRule type="colorScale" priority="134">
      <colorScale>
        <cfvo type="percent" val="20"/>
        <cfvo type="percent" val="60"/>
        <cfvo type="percent" val="90"/>
        <color rgb="FFF8696B"/>
        <color rgb="FFFFEB84"/>
        <color rgb="FF63BE7B"/>
      </colorScale>
    </cfRule>
    <cfRule type="colorScale" priority="135">
      <colorScale>
        <cfvo type="percent" val="0"/>
        <cfvo type="percent" val="50"/>
        <cfvo type="percent" val="100"/>
        <color rgb="FFF8696B"/>
        <color rgb="FFFFEB84"/>
        <color rgb="FF63BE7B"/>
      </colorScale>
    </cfRule>
    <cfRule type="colorScale" priority="136">
      <colorScale>
        <cfvo type="percent" val="0"/>
        <cfvo type="percent" val="50"/>
        <cfvo type="percent" val="100"/>
        <color rgb="FFF8696B"/>
        <color rgb="FFFFEB84"/>
        <color rgb="FF63BE7B"/>
      </colorScale>
    </cfRule>
    <cfRule type="colorScale" priority="137">
      <colorScale>
        <cfvo type="percent" val="0"/>
        <cfvo type="percent" val="50"/>
        <cfvo type="percent" val="100"/>
        <color rgb="FFF8696B"/>
        <color rgb="FFFFEB84"/>
        <color rgb="FF63BE7B"/>
      </colorScale>
    </cfRule>
    <cfRule type="colorScale" priority="138">
      <colorScale>
        <cfvo type="percentile" val="10"/>
        <cfvo type="percentile" val="50"/>
        <cfvo type="percentile" val="90"/>
        <color rgb="FFF8696B"/>
        <color rgb="FFFFEB84"/>
        <color rgb="FF63BE7B"/>
      </colorScale>
    </cfRule>
    <cfRule type="colorScale" priority="139">
      <colorScale>
        <cfvo type="percent" val="0"/>
        <cfvo type="percent" val="50"/>
        <cfvo type="percent" val="100"/>
        <color rgb="FFF8696B"/>
        <color rgb="FFFFEB84"/>
        <color rgb="FF63BE7B"/>
      </colorScale>
    </cfRule>
    <cfRule type="colorScale" priority="140">
      <colorScale>
        <cfvo type="percentile" val="10"/>
        <cfvo type="percentile" val="50"/>
        <cfvo type="percentile" val="90"/>
        <color rgb="FFF8696B"/>
        <color rgb="FFFFEB84"/>
        <color rgb="FF63BE7B"/>
      </colorScale>
    </cfRule>
    <cfRule type="colorScale" priority="141">
      <colorScale>
        <cfvo type="percent" val="20"/>
        <cfvo type="percent" val="50"/>
        <cfvo type="percent" val="100"/>
        <color rgb="FFF8696B"/>
        <color rgb="FFFFEB84"/>
        <color rgb="FF63BE7B"/>
      </colorScale>
    </cfRule>
    <cfRule type="colorScale" priority="142">
      <colorScale>
        <cfvo type="min"/>
        <cfvo type="percentile" val="50"/>
        <cfvo type="max"/>
        <color rgb="FFF8696B"/>
        <color rgb="FFFFEB84"/>
        <color rgb="FF63BE7B"/>
      </colorScale>
    </cfRule>
  </conditionalFormatting>
  <conditionalFormatting sqref="L16:L17">
    <cfRule type="colorScale" priority="143">
      <colorScale>
        <cfvo type="percent" val="0"/>
        <cfvo type="percent" val="50"/>
        <cfvo type="percent" val="100"/>
        <color rgb="FFF8696B"/>
        <color rgb="FFFFEB84"/>
        <color rgb="FF63BE7B"/>
      </colorScale>
    </cfRule>
  </conditionalFormatting>
  <conditionalFormatting sqref="T16:T17">
    <cfRule type="colorScale" priority="144">
      <colorScale>
        <cfvo type="percent" val="0"/>
        <cfvo type="percent" val="50"/>
        <cfvo type="percent" val="100"/>
        <color rgb="FFF8696B"/>
        <color rgb="FFFFEB84"/>
        <color rgb="FF63BE7B"/>
      </colorScale>
    </cfRule>
  </conditionalFormatting>
  <conditionalFormatting sqref="M16:M17">
    <cfRule type="colorScale" priority="145">
      <colorScale>
        <cfvo type="percent" val="0"/>
        <cfvo type="percent" val="50"/>
        <cfvo type="percent" val="100"/>
        <color rgb="FFF8696B"/>
        <color rgb="FFFFEB84"/>
        <color rgb="FF63BE7B"/>
      </colorScale>
    </cfRule>
    <cfRule type="colorScale" priority="146">
      <colorScale>
        <cfvo type="percent" val="0"/>
        <cfvo type="percent" val="50"/>
        <cfvo type="percent" val="100"/>
        <color rgb="FFF8696B"/>
        <color rgb="FFFFEB84"/>
        <color rgb="FF63BE7B"/>
      </colorScale>
    </cfRule>
  </conditionalFormatting>
  <conditionalFormatting sqref="U16:U17">
    <cfRule type="colorScale" priority="147">
      <colorScale>
        <cfvo type="percent" val="0"/>
        <cfvo type="percent" val="50"/>
        <cfvo type="percent" val="100"/>
        <color rgb="FFF8696B"/>
        <color rgb="FFFFEB84"/>
        <color rgb="FF63BE7B"/>
      </colorScale>
    </cfRule>
  </conditionalFormatting>
  <conditionalFormatting sqref="N16:N17">
    <cfRule type="colorScale" priority="148">
      <colorScale>
        <cfvo type="percent" val="0"/>
        <cfvo type="percent" val="50"/>
        <cfvo type="percent" val="100"/>
        <color rgb="FFF8696B"/>
        <color rgb="FFFFEB84"/>
        <color rgb="FF63BE7B"/>
      </colorScale>
    </cfRule>
    <cfRule type="colorScale" priority="149">
      <colorScale>
        <cfvo type="percent" val="0"/>
        <cfvo type="percent" val="50"/>
        <cfvo type="percent" val="100"/>
        <color rgb="FFF8696B"/>
        <color rgb="FFFFEB84"/>
        <color rgb="FF63BE7B"/>
      </colorScale>
    </cfRule>
  </conditionalFormatting>
  <conditionalFormatting sqref="V16:V17">
    <cfRule type="colorScale" priority="150">
      <colorScale>
        <cfvo type="percent" val="0"/>
        <cfvo type="percent" val="50"/>
        <cfvo type="percent" val="100"/>
        <color rgb="FFF8696B"/>
        <color rgb="FFFFEB84"/>
        <color rgb="FF63BE7B"/>
      </colorScale>
    </cfRule>
  </conditionalFormatting>
  <conditionalFormatting sqref="L16:N17">
    <cfRule type="colorScale" priority="151">
      <colorScale>
        <cfvo type="percent" val="0"/>
        <cfvo type="percent" val="50"/>
        <cfvo type="percent" val="100"/>
        <color rgb="FFF8696B"/>
        <color rgb="FFFFEB84"/>
        <color rgb="FF63BE7B"/>
      </colorScale>
    </cfRule>
  </conditionalFormatting>
  <conditionalFormatting sqref="T16:V17">
    <cfRule type="colorScale" priority="152">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1"/>
  <sheetViews>
    <sheetView workbookViewId="0" xr3:uid="{51F8DEE0-4D01-5F28-A812-FC0BD7CAC4A5}">
      <pane ySplit="2" topLeftCell="A3" activePane="bottomLeft" state="frozen"/>
      <selection pane="bottomLeft" activeCell="I5" sqref="I5"/>
    </sheetView>
  </sheetViews>
  <sheetFormatPr defaultRowHeight="14.45"/>
  <cols>
    <col min="1" max="1" width="16.85546875" bestFit="1" customWidth="1"/>
    <col min="2" max="2" width="28.28515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32" t="s">
        <v>339</v>
      </c>
      <c r="B1" s="633"/>
      <c r="C1" s="633"/>
      <c r="D1" s="633"/>
      <c r="E1" s="633"/>
      <c r="F1" s="633"/>
      <c r="G1" s="633"/>
      <c r="H1" s="633"/>
      <c r="I1" s="634"/>
    </row>
    <row r="2" spans="1:9" s="79" customFormat="1" ht="15" thickBot="1">
      <c r="A2" s="385" t="s">
        <v>77</v>
      </c>
      <c r="B2" s="386" t="s">
        <v>81</v>
      </c>
      <c r="C2" s="387" t="s">
        <v>96</v>
      </c>
      <c r="D2" s="387" t="s">
        <v>202</v>
      </c>
      <c r="E2" s="388" t="s">
        <v>1</v>
      </c>
    </row>
    <row r="3" spans="1:9" ht="15" thickBot="1">
      <c r="A3" s="524" t="str">
        <f>'Diags Raw Data'!A6</f>
        <v>KRK1.CPU-RAS.001</v>
      </c>
      <c r="B3" s="524" t="str">
        <f>'Diags Raw Data'!B6</f>
        <v>Test PCIe AER Error Reporting</v>
      </c>
      <c r="C3" s="524" t="s">
        <v>280</v>
      </c>
      <c r="D3" s="305" t="s">
        <v>34</v>
      </c>
      <c r="E3" s="526" t="s">
        <v>33</v>
      </c>
      <c r="G3" s="271" t="s">
        <v>77</v>
      </c>
      <c r="H3" s="272" t="s">
        <v>340</v>
      </c>
      <c r="I3" s="493">
        <f>COUNTA(A3:A3917)</f>
        <v>6</v>
      </c>
    </row>
    <row r="4" spans="1:9" ht="15" thickBot="1">
      <c r="A4" s="524" t="str">
        <f>'Diags Raw Data'!A7</f>
        <v>KRK1.CPU-RAS.002</v>
      </c>
      <c r="B4" s="524" t="str">
        <f>'Diags Raw Data'!B7</f>
        <v>PCIe AER LCRC Error Injection</v>
      </c>
      <c r="C4" s="524" t="s">
        <v>280</v>
      </c>
      <c r="D4" s="305" t="s">
        <v>34</v>
      </c>
      <c r="E4" s="526" t="s">
        <v>33</v>
      </c>
      <c r="G4" s="624" t="s">
        <v>96</v>
      </c>
      <c r="H4" s="273" t="s">
        <v>341</v>
      </c>
      <c r="I4" s="494">
        <f>COUNTIFS($C3:$C3917,"P1")</f>
        <v>0</v>
      </c>
    </row>
    <row r="5" spans="1:9" ht="15" thickBot="1">
      <c r="A5" s="524" t="str">
        <f>'Diags Raw Data'!A8</f>
        <v>KRK1.CPU-RAS.003</v>
      </c>
      <c r="B5" s="524" t="str">
        <f>'Diags Raw Data'!B8</f>
        <v>PCIe AER ECRC Error Injection</v>
      </c>
      <c r="C5" s="524" t="s">
        <v>280</v>
      </c>
      <c r="D5" s="305" t="s">
        <v>34</v>
      </c>
      <c r="E5" s="526" t="s">
        <v>33</v>
      </c>
      <c r="G5" s="625"/>
      <c r="H5" s="274" t="s">
        <v>342</v>
      </c>
      <c r="I5" s="495">
        <f>COUNTIFS($C3:$C3917,"P2")</f>
        <v>6</v>
      </c>
    </row>
    <row r="6" spans="1:9" ht="15" thickBot="1">
      <c r="A6" s="524" t="str">
        <f>'Diags Raw Data'!A9</f>
        <v>KRK1.CPU-RAS.004</v>
      </c>
      <c r="B6" s="524" t="str">
        <f>'Diags Raw Data'!B9</f>
        <v>PCIe AER ACS Error Injection</v>
      </c>
      <c r="C6" s="524" t="s">
        <v>280</v>
      </c>
      <c r="D6" s="305" t="s">
        <v>34</v>
      </c>
      <c r="E6" s="526" t="s">
        <v>33</v>
      </c>
      <c r="G6" s="626"/>
      <c r="H6" s="275" t="s">
        <v>343</v>
      </c>
      <c r="I6" s="496">
        <f>COUNTIFS($C3:$C3917,"P3")</f>
        <v>0</v>
      </c>
    </row>
    <row r="7" spans="1:9" ht="15" thickBot="1">
      <c r="A7" s="524" t="str">
        <f>'Diags Raw Data'!A10</f>
        <v>KRK1.CPU-RAS.005</v>
      </c>
      <c r="B7" s="524" t="str">
        <f>'Diags Raw Data'!B10</f>
        <v>PCIe eDPC Error</v>
      </c>
      <c r="C7" s="524" t="s">
        <v>280</v>
      </c>
      <c r="D7" s="305" t="s">
        <v>34</v>
      </c>
      <c r="E7" s="526" t="s">
        <v>33</v>
      </c>
      <c r="G7" s="627" t="s">
        <v>202</v>
      </c>
      <c r="H7" s="273" t="s">
        <v>344</v>
      </c>
      <c r="I7" s="494">
        <f>COUNTIFS($D3:$D3917,"Diagnostics")</f>
        <v>6</v>
      </c>
    </row>
    <row r="8" spans="1:9" ht="15">
      <c r="A8" s="524" t="str">
        <f>'Diags Raw Data'!A11</f>
        <v>KRK1.CPU-RAS.006</v>
      </c>
      <c r="B8" s="524" t="str">
        <f>'Diags Raw Data'!B11</f>
        <v>FCH Watchdog Timer</v>
      </c>
      <c r="C8" s="524" t="s">
        <v>280</v>
      </c>
      <c r="D8" s="305" t="s">
        <v>34</v>
      </c>
      <c r="E8" s="526" t="s">
        <v>33</v>
      </c>
      <c r="G8" s="628"/>
      <c r="H8" s="274" t="s">
        <v>345</v>
      </c>
      <c r="I8" s="495">
        <f>COUNTIFS($D3:$D3917,"Driver")</f>
        <v>0</v>
      </c>
    </row>
    <row r="9" spans="1:9" ht="15">
      <c r="B9" s="698"/>
      <c r="C9" s="698"/>
      <c r="D9" s="699"/>
      <c r="E9" s="700"/>
      <c r="G9" s="628"/>
      <c r="H9" s="274" t="s">
        <v>346</v>
      </c>
      <c r="I9" s="495">
        <f>COUNTIFS($D3:$D3917,"IPSE")</f>
        <v>0</v>
      </c>
    </row>
    <row r="10" spans="1:9" ht="15">
      <c r="B10" s="698"/>
      <c r="C10" s="698"/>
      <c r="D10" s="699"/>
      <c r="E10" s="698"/>
      <c r="G10" s="629"/>
      <c r="H10" s="275" t="s">
        <v>347</v>
      </c>
      <c r="I10" s="496">
        <f>COUNTIFS($D3:$D3917,"N/A")</f>
        <v>0</v>
      </c>
    </row>
    <row r="11" spans="1:9" ht="15">
      <c r="B11" s="698"/>
      <c r="C11" s="698"/>
      <c r="D11" s="699"/>
      <c r="E11" s="698"/>
      <c r="G11" s="627" t="s">
        <v>1</v>
      </c>
      <c r="H11" s="273" t="s">
        <v>348</v>
      </c>
      <c r="I11" s="494">
        <f>COUNTIFS($E3:$E3917,"Legacy")</f>
        <v>6</v>
      </c>
    </row>
    <row r="12" spans="1:9" ht="15">
      <c r="B12" s="698"/>
      <c r="C12" s="698"/>
      <c r="D12" s="699"/>
      <c r="E12" s="698"/>
      <c r="G12" s="628"/>
      <c r="H12" s="274" t="s">
        <v>349</v>
      </c>
      <c r="I12" s="495">
        <f>COUNTIFS($E3:$E3917,"Delta")</f>
        <v>0</v>
      </c>
    </row>
    <row r="13" spans="1:9" ht="15">
      <c r="B13" s="698"/>
      <c r="C13" s="698"/>
      <c r="D13" s="699"/>
      <c r="E13" s="698"/>
      <c r="G13" s="629"/>
      <c r="H13" s="275" t="s">
        <v>350</v>
      </c>
      <c r="I13" s="496">
        <f>COUNTIFS($E3:$E3917,"New")</f>
        <v>0</v>
      </c>
    </row>
    <row r="14" spans="1:9" ht="15">
      <c r="B14" s="698"/>
      <c r="C14" s="698"/>
      <c r="D14" s="699"/>
      <c r="E14" s="698"/>
      <c r="G14" s="389" t="s">
        <v>207</v>
      </c>
      <c r="H14" s="630"/>
      <c r="I14" s="631"/>
    </row>
    <row r="15" spans="1:9" ht="15">
      <c r="B15" s="698"/>
      <c r="C15" s="698"/>
      <c r="D15" s="699"/>
      <c r="E15" s="698"/>
    </row>
    <row r="16" spans="1:9" ht="15">
      <c r="B16" s="698"/>
      <c r="C16" s="698"/>
      <c r="D16" s="699"/>
      <c r="E16" s="698"/>
    </row>
    <row r="17" spans="2:5" ht="15">
      <c r="B17" s="698"/>
      <c r="C17" s="698"/>
      <c r="D17" s="699"/>
      <c r="E17" s="698"/>
    </row>
    <row r="18" spans="2:5" ht="15">
      <c r="B18" s="698"/>
      <c r="C18" s="698"/>
      <c r="D18" s="699"/>
      <c r="E18" s="698"/>
    </row>
    <row r="19" spans="2:5" ht="15">
      <c r="B19" s="698"/>
      <c r="C19" s="698"/>
      <c r="D19" s="699"/>
      <c r="E19" s="698"/>
    </row>
    <row r="20" spans="2:5" ht="15">
      <c r="B20" s="698"/>
      <c r="E20" s="698"/>
    </row>
    <row r="21" spans="2:5" ht="15"/>
  </sheetData>
  <autoFilter ref="A2:E18"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31"/>
  <sheetViews>
    <sheetView tabSelected="1" workbookViewId="0" xr3:uid="{F9CF3CF3-643B-5BE6-8B46-32C596A47465}">
      <pane xSplit="4" ySplit="6" topLeftCell="J7" activePane="bottomRight" state="frozen"/>
      <selection pane="bottomRight" activeCell="U7" sqref="U7:U12"/>
      <selection pane="bottomLeft" activeCell="A3" sqref="A3"/>
      <selection pane="topRight" activeCell="D1" sqref="D1"/>
    </sheetView>
  </sheetViews>
  <sheetFormatPr defaultColWidth="8.5703125" defaultRowHeight="14.45"/>
  <cols>
    <col min="1" max="1" width="16.85546875" style="182" bestFit="1" customWidth="1"/>
    <col min="2" max="2" width="28.28515625" style="187" bestFit="1" customWidth="1"/>
    <col min="3" max="3" width="9.85546875" style="187" bestFit="1" customWidth="1"/>
    <col min="4" max="4" width="34" style="182" bestFit="1"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3" customWidth="1"/>
    <col min="12" max="12" width="15.140625" style="193" customWidth="1"/>
    <col min="13" max="13" width="12" style="194" bestFit="1" customWidth="1"/>
    <col min="14" max="14" width="10.85546875" style="194" bestFit="1" customWidth="1"/>
    <col min="15" max="15" width="13.5703125" style="193" bestFit="1" customWidth="1"/>
    <col min="16" max="16" width="12.85546875" style="80" bestFit="1" customWidth="1"/>
    <col min="17" max="17" width="10.85546875" style="80" bestFit="1" customWidth="1"/>
    <col min="18" max="19" width="13.5703125" style="197" bestFit="1" customWidth="1"/>
    <col min="20" max="20" width="13.85546875" style="198" bestFit="1" customWidth="1"/>
    <col min="21" max="21" width="6.5703125" style="182" bestFit="1" customWidth="1"/>
    <col min="22" max="22" width="45.7109375" style="182" customWidth="1"/>
    <col min="23" max="16384" width="8.5703125" style="182"/>
  </cols>
  <sheetData>
    <row r="1" spans="1:23" s="177" customFormat="1" ht="18.95" thickBot="1">
      <c r="A1" s="589" t="s">
        <v>351</v>
      </c>
      <c r="B1" s="590"/>
      <c r="C1" s="590"/>
      <c r="D1" s="590"/>
      <c r="E1" s="590"/>
      <c r="F1" s="590"/>
      <c r="G1" s="590"/>
      <c r="H1" s="590"/>
      <c r="I1" s="590"/>
      <c r="J1" s="590"/>
      <c r="K1" s="590"/>
      <c r="L1" s="590"/>
      <c r="M1" s="590"/>
      <c r="N1" s="590"/>
      <c r="O1" s="590"/>
      <c r="P1" s="590"/>
      <c r="Q1" s="590"/>
      <c r="R1" s="590"/>
      <c r="S1" s="590"/>
      <c r="T1" s="590"/>
      <c r="U1" s="591"/>
      <c r="V1" s="521"/>
    </row>
    <row r="2" spans="1:23" s="184" customFormat="1" ht="18.75">
      <c r="A2" s="646" t="s">
        <v>302</v>
      </c>
      <c r="B2" s="647"/>
      <c r="C2" s="647"/>
      <c r="D2" s="647"/>
      <c r="E2" s="647"/>
      <c r="F2" s="648"/>
      <c r="G2" s="383">
        <f>COUNTIF(G7:G15,"Yes")</f>
        <v>6</v>
      </c>
      <c r="H2" s="383">
        <f>COUNTIF(H7:H15,"Yes")</f>
        <v>6</v>
      </c>
      <c r="I2" s="677">
        <f>'Diags Raw Data'!K17</f>
        <v>6</v>
      </c>
      <c r="J2" s="685">
        <f>'Diags Raw Data'!L17</f>
        <v>11</v>
      </c>
      <c r="K2" s="687">
        <f>'Diags Raw Data'!N17</f>
        <v>1</v>
      </c>
      <c r="L2" s="689">
        <f>'Diags Raw Data'!P17</f>
        <v>1</v>
      </c>
      <c r="M2" s="691">
        <f>'Diags Raw Data'!R17</f>
        <v>11</v>
      </c>
      <c r="N2" s="661">
        <f>SUM('Diags Raw Data'!T17+'Diags Raw Data'!U17)</f>
        <v>11</v>
      </c>
      <c r="O2" s="681">
        <f>IF((M18=0),0,N18/M18)</f>
        <v>1</v>
      </c>
      <c r="P2" s="683">
        <f>'Diags Raw Data'!Z17</f>
        <v>0</v>
      </c>
      <c r="Q2" s="675">
        <f>SUM('Diags Raw Data'!AA17+'Diags Raw Data'!AB17)</f>
        <v>0</v>
      </c>
      <c r="R2" s="671">
        <f>IF((J18=0),0,P18/J18)</f>
        <v>0</v>
      </c>
      <c r="S2" s="671">
        <f>IF((P18=0),0,Q18/P18)</f>
        <v>0</v>
      </c>
      <c r="T2" s="671">
        <f>R18*S18</f>
        <v>0</v>
      </c>
      <c r="U2" s="673"/>
      <c r="V2" s="663" t="s">
        <v>352</v>
      </c>
      <c r="W2" s="183"/>
    </row>
    <row r="3" spans="1:23" ht="18.95" thickBot="1">
      <c r="A3" s="649"/>
      <c r="B3" s="650"/>
      <c r="C3" s="650"/>
      <c r="D3" s="650"/>
      <c r="E3" s="650"/>
      <c r="F3" s="651"/>
      <c r="G3" s="384">
        <f>COUNTIF(G7:G15,"Yes")/COUNTA(A7:A15)</f>
        <v>1</v>
      </c>
      <c r="H3" s="384">
        <f>(COUNTIF(H7:H15,"Yes")/G18)</f>
        <v>1</v>
      </c>
      <c r="I3" s="678"/>
      <c r="J3" s="686"/>
      <c r="K3" s="688"/>
      <c r="L3" s="690"/>
      <c r="M3" s="692"/>
      <c r="N3" s="662"/>
      <c r="O3" s="682"/>
      <c r="P3" s="684"/>
      <c r="Q3" s="676"/>
      <c r="R3" s="672"/>
      <c r="S3" s="672"/>
      <c r="T3" s="672"/>
      <c r="U3" s="674"/>
      <c r="V3" s="664"/>
      <c r="W3" s="181"/>
    </row>
    <row r="4" spans="1:23" ht="18.95" thickBot="1">
      <c r="A4" s="592" t="s">
        <v>353</v>
      </c>
      <c r="B4" s="593"/>
      <c r="C4" s="593"/>
      <c r="D4" s="593"/>
      <c r="E4" s="593"/>
      <c r="F4" s="593"/>
      <c r="G4" s="593"/>
      <c r="H4" s="593"/>
      <c r="I4" s="593"/>
      <c r="J4" s="593"/>
      <c r="K4" s="593"/>
      <c r="L4" s="593"/>
      <c r="M4" s="593"/>
      <c r="N4" s="593"/>
      <c r="O4" s="593"/>
      <c r="P4" s="593"/>
      <c r="Q4" s="593"/>
      <c r="R4" s="593"/>
      <c r="S4" s="593"/>
      <c r="T4" s="593"/>
      <c r="U4" s="594"/>
      <c r="V4" s="522"/>
    </row>
    <row r="5" spans="1:23" s="177" customFormat="1" ht="31.5" customHeight="1" thickBot="1">
      <c r="A5" s="637" t="s">
        <v>76</v>
      </c>
      <c r="B5" s="638"/>
      <c r="C5" s="638"/>
      <c r="D5" s="638"/>
      <c r="E5" s="638"/>
      <c r="F5" s="638"/>
      <c r="G5" s="638"/>
      <c r="H5" s="638"/>
      <c r="I5" s="638"/>
      <c r="J5" s="639"/>
      <c r="K5" s="635" t="s">
        <v>113</v>
      </c>
      <c r="L5" s="636"/>
      <c r="M5" s="640" t="s">
        <v>124</v>
      </c>
      <c r="N5" s="641"/>
      <c r="O5" s="642"/>
      <c r="P5" s="643" t="s">
        <v>144</v>
      </c>
      <c r="Q5" s="644"/>
      <c r="R5" s="644"/>
      <c r="S5" s="644"/>
      <c r="T5" s="644"/>
      <c r="U5" s="645"/>
      <c r="V5" s="176"/>
    </row>
    <row r="6" spans="1:23" s="179" customFormat="1" ht="15" thickBot="1">
      <c r="A6" s="327" t="s">
        <v>77</v>
      </c>
      <c r="B6" s="366" t="s">
        <v>81</v>
      </c>
      <c r="C6" s="366" t="s">
        <v>96</v>
      </c>
      <c r="D6" s="366" t="s">
        <v>212</v>
      </c>
      <c r="E6" s="366" t="s">
        <v>88</v>
      </c>
      <c r="F6" s="366" t="s">
        <v>1</v>
      </c>
      <c r="G6" s="367" t="s">
        <v>215</v>
      </c>
      <c r="H6" s="367" t="s">
        <v>218</v>
      </c>
      <c r="I6" s="368" t="s">
        <v>105</v>
      </c>
      <c r="J6" s="368" t="s">
        <v>221</v>
      </c>
      <c r="K6" s="340" t="s">
        <v>114</v>
      </c>
      <c r="L6" s="341" t="s">
        <v>121</v>
      </c>
      <c r="M6" s="320" t="s">
        <v>227</v>
      </c>
      <c r="N6" s="321" t="s">
        <v>229</v>
      </c>
      <c r="O6" s="319" t="s">
        <v>187</v>
      </c>
      <c r="P6" s="342" t="s">
        <v>232</v>
      </c>
      <c r="Q6" s="322" t="s">
        <v>229</v>
      </c>
      <c r="R6" s="323" t="s">
        <v>184</v>
      </c>
      <c r="S6" s="323" t="s">
        <v>140</v>
      </c>
      <c r="T6" s="324" t="s">
        <v>187</v>
      </c>
      <c r="U6" s="325" t="s">
        <v>157</v>
      </c>
      <c r="V6" s="178"/>
    </row>
    <row r="7" spans="1:23" ht="15" thickBot="1">
      <c r="A7" s="524" t="str">
        <f>'Diags Raw Data'!A6</f>
        <v>KRK1.CPU-RAS.001</v>
      </c>
      <c r="B7" s="524" t="str">
        <f>'Diags Raw Data'!B6</f>
        <v>Test PCIe AER Error Reporting</v>
      </c>
      <c r="C7" s="228" t="s">
        <v>280</v>
      </c>
      <c r="D7" s="417" t="str" cm="1">
        <f t="array" ref="D7">_xlfn.TEXTJOIN("",TRUE,IF(ISNUMBER(SEARCH($A7,'Diags Raw Data'!$A$6:$A$3627)),CONCATENATE('Diags Raw Data'!$H$6:$H$3627,", "),""))</f>
        <v xml:space="preserve">CPU-RAS.PCIe.01, </v>
      </c>
      <c r="E7" s="418" t="str">
        <f>VLOOKUP(A7,'Diags Raw Data'!$A$6:$D$3627,4,FALSE)</f>
        <v>NBIO-RAS</v>
      </c>
      <c r="F7" s="418" t="str">
        <f>VLOOKUP(A7,'Feature Raw Data'!$A$3:$E$3917,5,FALSE)</f>
        <v>Legacy</v>
      </c>
      <c r="G7" s="418" t="str">
        <f t="shared" ref="G7:G12" si="0">IF(D7="","No","Yes")</f>
        <v>Yes</v>
      </c>
      <c r="H7" s="418" t="str">
        <f t="shared" ref="H7:H12" si="1">IF(D7="","No","Yes")</f>
        <v>Yes</v>
      </c>
      <c r="I7" s="416">
        <f>SUMIF('Diags Raw Data'!$A$6:$A$3627,"*"&amp;$A7&amp;"*",'Diags Raw Data'!$K$6:$K$3627)</f>
        <v>1</v>
      </c>
      <c r="J7" s="419">
        <f>SUMIF('Diags Raw Data'!$A$6:$A$3627,"*"&amp;$A7&amp;"*",'Diags Raw Data'!$L$6:$L$3627)</f>
        <v>2</v>
      </c>
      <c r="K7" s="457" cm="1">
        <f t="array" ref="K7">IF(D7="",0, SUMPRODUCT(--(ISNUMBER(SEARCH($A7,'Diags Raw Data'!$A$6:$A$3627))),'Diags Raw Data'!$L$6:$L$3627,'Diags Raw Data'!$N$6:$N$3627)/J7)</f>
        <v>1</v>
      </c>
      <c r="L7" s="458" cm="1">
        <f t="array" ref="L7">IF(D7="",0, SUMPRODUCT(--(ISNUMBER(SEARCH($A7,'Diags Raw Data'!$A$6:$A$3627))),'Diags Raw Data'!$L$6:$L$3627,'Diags Raw Data'!$P$6:$P$3627)/J7)</f>
        <v>1</v>
      </c>
      <c r="M7" s="459" cm="1">
        <f t="array" ref="M7">SUMPRODUCT(--(ISNUMBER(SEARCH($A7,'Diags Raw Data'!$A$6:$A$3627))),--('Diags Raw Data'!$Q$6:$Q$3627&lt;&gt;"N/A"),'Diags Raw Data'!$R$6:$R$3627)</f>
        <v>2</v>
      </c>
      <c r="N7" s="460" cm="1">
        <f t="array" ref="N7">SUMPRODUCT(--(ISNUMBER(SEARCH($A7,'Diags Raw Data'!$A$6:$A$3627))),--('Diags Raw Data'!$Q$6:$Q$3627&lt;&gt;"N/A"),'Diags Raw Data'!$T$6:$T$3627)+SUMPRODUCT(--(ISNUMBER(SEARCH($A7,'Diags Raw Data'!$A$6:$A$3627))),--('Diags Raw Data'!$Q$6:$Q$3627&lt;&gt;"N/A"),'Diags Raw Data'!$U$6:$U$3627)</f>
        <v>2</v>
      </c>
      <c r="O7" s="461">
        <f>IF((M7=0),0,N7/M7)</f>
        <v>1</v>
      </c>
      <c r="P7" s="462">
        <f>SUMIF('Diags Raw Data'!$A$6:$A$3627,"*"&amp;$A7&amp;"*",'Diags Raw Data'!$Z$6:$Z$3627)</f>
        <v>0</v>
      </c>
      <c r="Q7" s="463">
        <f>SUM(SUMIF('Diags Raw Data'!$A$6:$A$3627,"*"&amp;$A7&amp;"*",'Diags Raw Data'!$AA$6:$AA$3627),SUMIF('Diags Raw Data'!$A$6:$A$3627,"*"&amp;$A7&amp;"*",'Diags Raw Data'!$AB$6:$AB$3627))</f>
        <v>0</v>
      </c>
      <c r="R7" s="464">
        <f>IF((J7=0),0,P7/J7)</f>
        <v>0</v>
      </c>
      <c r="S7" s="464">
        <f>IF((P7=0),0,Q7/P7)</f>
        <v>0</v>
      </c>
      <c r="T7" s="465">
        <f>R7*S7</f>
        <v>0</v>
      </c>
      <c r="U7" s="420" t="s">
        <v>286</v>
      </c>
      <c r="V7" s="181"/>
    </row>
    <row r="8" spans="1:23" ht="15">
      <c r="A8" s="524" t="str">
        <f>'Diags Raw Data'!A7</f>
        <v>KRK1.CPU-RAS.002</v>
      </c>
      <c r="B8" s="524" t="str">
        <f>'Diags Raw Data'!B7</f>
        <v>PCIe AER LCRC Error Injection</v>
      </c>
      <c r="C8" s="228" t="s">
        <v>280</v>
      </c>
      <c r="D8" s="422" t="str" cm="1">
        <f t="array" ref="D8">_xlfn.TEXTJOIN("",TRUE,IF(ISNUMBER(SEARCH($A8,'Diags Raw Data'!$A$6:$A$3627)),CONCATENATE('Diags Raw Data'!$H$6:$H$3627,", "),""))</f>
        <v xml:space="preserve">CPU-RAS.PCIe.02, </v>
      </c>
      <c r="E8" s="317" t="str">
        <f>VLOOKUP(A8,'Diags Raw Data'!$A$6:$D$3627,4,FALSE)</f>
        <v>NBIO-RAS</v>
      </c>
      <c r="F8" s="317" t="str">
        <f>VLOOKUP(A8,'Feature Raw Data'!$A$3:$E$3917,5,FALSE)</f>
        <v>Legacy</v>
      </c>
      <c r="G8" s="317" t="str">
        <f t="shared" si="0"/>
        <v>Yes</v>
      </c>
      <c r="H8" s="317" t="str">
        <f t="shared" si="1"/>
        <v>Yes</v>
      </c>
      <c r="I8" s="421">
        <f>SUMIF('Diags Raw Data'!$A$6:$A$3627,"*"&amp;$A8&amp;"*",'Diags Raw Data'!$K$6:$K$3627)</f>
        <v>1</v>
      </c>
      <c r="J8" s="423">
        <f>SUMIF('Diags Raw Data'!$A$6:$A$3627,"*"&amp;$A8&amp;"*",'Diags Raw Data'!$L$6:$L$3627)</f>
        <v>2</v>
      </c>
      <c r="K8" s="466" cm="1">
        <f t="array" ref="K8">IF(D8="",0, SUMPRODUCT(--(ISNUMBER(SEARCH($A8,'Diags Raw Data'!$A$6:$A$3627))),'Diags Raw Data'!$L$6:$L$3627,'Diags Raw Data'!$N$6:$N$3627)/J8)</f>
        <v>1</v>
      </c>
      <c r="L8" s="467" cm="1">
        <f t="array" ref="L8">IF(D8="",0, SUMPRODUCT(--(ISNUMBER(SEARCH($A8,'Diags Raw Data'!$A$6:$A$3627))),'Diags Raw Data'!$L$6:$L$3627,'Diags Raw Data'!$P$6:$P$3627)/J8)</f>
        <v>1</v>
      </c>
      <c r="M8" s="468" cm="1">
        <f t="array" ref="M8">SUMPRODUCT(--(ISNUMBER(SEARCH($A8,'Diags Raw Data'!$A$6:$A$3627))),--('Diags Raw Data'!$Q$6:$Q$3627&lt;&gt;"N/A"),'Diags Raw Data'!$R$6:$R$3627)</f>
        <v>2</v>
      </c>
      <c r="N8" s="469" cm="1">
        <f t="array" ref="N8">SUMPRODUCT(--(ISNUMBER(SEARCH($A8,'Diags Raw Data'!$A$6:$A$3627))),--('Diags Raw Data'!$Q$6:$Q$3627&lt;&gt;"N/A"),'Diags Raw Data'!$T$6:$T$3627)+SUMPRODUCT(--(ISNUMBER(SEARCH($A8,'Diags Raw Data'!$A$6:$A$3627))),--('Diags Raw Data'!$Q$6:$Q$3627&lt;&gt;"N/A"),'Diags Raw Data'!$U$6:$U$3627)</f>
        <v>2</v>
      </c>
      <c r="O8" s="470">
        <f t="shared" ref="O8:O12" si="2">IF((M8=0),0,N8/M8)</f>
        <v>1</v>
      </c>
      <c r="P8" s="471">
        <f>SUMIF('Diags Raw Data'!$A$6:$A$3627,"*"&amp;$A8&amp;"*",'Diags Raw Data'!$Z$6:$Z$3627)</f>
        <v>0</v>
      </c>
      <c r="Q8" s="472">
        <f>SUM(SUMIF('Diags Raw Data'!$A$6:$A$3627,"*"&amp;$A8&amp;"*",'Diags Raw Data'!$AA$6:$AA$3627),SUMIF('Diags Raw Data'!$A$6:$A$3627,"*"&amp;$A8&amp;"*",'Diags Raw Data'!$AB$6:$AB$3627))</f>
        <v>0</v>
      </c>
      <c r="R8" s="473">
        <f t="shared" ref="R8:R12" si="3">IF((J8=0),0,P8/J8)</f>
        <v>0</v>
      </c>
      <c r="S8" s="473">
        <f t="shared" ref="S8:S12" si="4">IF((P8=0),0,Q8/P8)</f>
        <v>0</v>
      </c>
      <c r="T8" s="474">
        <f t="shared" ref="T8:T12" si="5">R8*S8</f>
        <v>0</v>
      </c>
      <c r="U8" s="424" t="s">
        <v>286</v>
      </c>
      <c r="V8" s="181"/>
    </row>
    <row r="9" spans="1:23" ht="15">
      <c r="A9" s="524" t="str">
        <f>'Diags Raw Data'!A8</f>
        <v>KRK1.CPU-RAS.003</v>
      </c>
      <c r="B9" s="524" t="str">
        <f>'Diags Raw Data'!B8</f>
        <v>PCIe AER ECRC Error Injection</v>
      </c>
      <c r="C9" s="228" t="s">
        <v>280</v>
      </c>
      <c r="D9" s="422" t="str" cm="1">
        <f t="array" ref="D9">_xlfn.TEXTJOIN("",TRUE,IF(ISNUMBER(SEARCH($A9,'Diags Raw Data'!$A$6:$A$3627)),CONCATENATE('Diags Raw Data'!$H$6:$H$3627,", "),""))</f>
        <v xml:space="preserve">CPU-RAS.PCIe.03, </v>
      </c>
      <c r="E9" s="317" t="str">
        <f>VLOOKUP(A9,'Diags Raw Data'!$A$6:$D$3627,4,FALSE)</f>
        <v>NBIO-RAS</v>
      </c>
      <c r="F9" s="317" t="str">
        <f>VLOOKUP(A9,'Feature Raw Data'!$A$3:$E$3917,5,FALSE)</f>
        <v>Legacy</v>
      </c>
      <c r="G9" s="317" t="str">
        <f t="shared" si="0"/>
        <v>Yes</v>
      </c>
      <c r="H9" s="317" t="str">
        <f t="shared" si="1"/>
        <v>Yes</v>
      </c>
      <c r="I9" s="421">
        <f>SUMIF('Diags Raw Data'!$A$6:$A$3627,"*"&amp;$A9&amp;"*",'Diags Raw Data'!$K$6:$K$3627)</f>
        <v>1</v>
      </c>
      <c r="J9" s="423">
        <f>SUMIF('Diags Raw Data'!$A$6:$A$3627,"*"&amp;$A9&amp;"*",'Diags Raw Data'!$L$6:$L$3627)</f>
        <v>2</v>
      </c>
      <c r="K9" s="466" cm="1">
        <f t="array" ref="K9">IF(D9="",0, SUMPRODUCT(--(ISNUMBER(SEARCH($A9,'Diags Raw Data'!$A$6:$A$3627))),'Diags Raw Data'!$L$6:$L$3627,'Diags Raw Data'!$N$6:$N$3627)/J9)</f>
        <v>1</v>
      </c>
      <c r="L9" s="467" cm="1">
        <f t="array" ref="L9">IF(D9="",0, SUMPRODUCT(--(ISNUMBER(SEARCH($A9,'Diags Raw Data'!$A$6:$A$3627))),'Diags Raw Data'!$L$6:$L$3627,'Diags Raw Data'!$P$6:$P$3627)/J9)</f>
        <v>1</v>
      </c>
      <c r="M9" s="468" cm="1">
        <f t="array" ref="M9">SUMPRODUCT(--(ISNUMBER(SEARCH($A9,'Diags Raw Data'!$A$6:$A$3627))),--('Diags Raw Data'!$Q$6:$Q$3627&lt;&gt;"N/A"),'Diags Raw Data'!$R$6:$R$3627)</f>
        <v>2</v>
      </c>
      <c r="N9" s="469" cm="1">
        <f t="array" ref="N9">SUMPRODUCT(--(ISNUMBER(SEARCH($A9,'Diags Raw Data'!$A$6:$A$3627))),--('Diags Raw Data'!$Q$6:$Q$3627&lt;&gt;"N/A"),'Diags Raw Data'!$T$6:$T$3627)+SUMPRODUCT(--(ISNUMBER(SEARCH($A9,'Diags Raw Data'!$A$6:$A$3627))),--('Diags Raw Data'!$Q$6:$Q$3627&lt;&gt;"N/A"),'Diags Raw Data'!$U$6:$U$3627)</f>
        <v>2</v>
      </c>
      <c r="O9" s="470">
        <f t="shared" si="2"/>
        <v>1</v>
      </c>
      <c r="P9" s="471">
        <f>SUMIF('Diags Raw Data'!$A$6:$A$3627,"*"&amp;$A9&amp;"*",'Diags Raw Data'!$Z$6:$Z$3627)</f>
        <v>0</v>
      </c>
      <c r="Q9" s="472">
        <f>SUM(SUMIF('Diags Raw Data'!$A$6:$A$3627,"*"&amp;$A9&amp;"*",'Diags Raw Data'!$AA$6:$AA$3627),SUMIF('Diags Raw Data'!$A$6:$A$3627,"*"&amp;$A9&amp;"*",'Diags Raw Data'!$AB$6:$AB$3627))</f>
        <v>0</v>
      </c>
      <c r="R9" s="473">
        <f t="shared" si="3"/>
        <v>0</v>
      </c>
      <c r="S9" s="473">
        <f t="shared" si="4"/>
        <v>0</v>
      </c>
      <c r="T9" s="474">
        <f t="shared" si="5"/>
        <v>0</v>
      </c>
      <c r="U9" s="420" t="s">
        <v>286</v>
      </c>
      <c r="V9" s="181"/>
    </row>
    <row r="10" spans="1:23" ht="15">
      <c r="A10" s="524" t="str">
        <f>'Diags Raw Data'!A9</f>
        <v>KRK1.CPU-RAS.004</v>
      </c>
      <c r="B10" s="524" t="str">
        <f>'Diags Raw Data'!B9</f>
        <v>PCIe AER ACS Error Injection</v>
      </c>
      <c r="C10" s="228" t="s">
        <v>280</v>
      </c>
      <c r="D10" s="422" t="str" cm="1">
        <f t="array" ref="D10">_xlfn.TEXTJOIN("",TRUE,IF(ISNUMBER(SEARCH($A10,'Diags Raw Data'!$A$6:$A$3627)),CONCATENATE('Diags Raw Data'!$H$6:$H$3627,", "),""))</f>
        <v xml:space="preserve">CPU-RAS.PCIe.04, </v>
      </c>
      <c r="E10" s="317" t="str">
        <f>VLOOKUP(A10,'Diags Raw Data'!$A$6:$D$3627,4,FALSE)</f>
        <v>NBIO-RAS</v>
      </c>
      <c r="F10" s="317" t="str">
        <f>VLOOKUP(A10,'Feature Raw Data'!$A$3:$E$3917,5,FALSE)</f>
        <v>Legacy</v>
      </c>
      <c r="G10" s="317" t="str">
        <f t="shared" si="0"/>
        <v>Yes</v>
      </c>
      <c r="H10" s="317" t="str">
        <f t="shared" si="1"/>
        <v>Yes</v>
      </c>
      <c r="I10" s="421">
        <f>SUMIF('Diags Raw Data'!$A$6:$A$3627,"*"&amp;$A10&amp;"*",'Diags Raw Data'!$K$6:$K$3627)</f>
        <v>1</v>
      </c>
      <c r="J10" s="423">
        <f>SUMIF('Diags Raw Data'!$A$6:$A$3627,"*"&amp;$A10&amp;"*",'Diags Raw Data'!$L$6:$L$3627)</f>
        <v>1</v>
      </c>
      <c r="K10" s="466" cm="1">
        <f t="array" ref="K10">IF(D10="",0, SUMPRODUCT(--(ISNUMBER(SEARCH($A10,'Diags Raw Data'!$A$6:$A$3627))),'Diags Raw Data'!$L$6:$L$3627,'Diags Raw Data'!$N$6:$N$3627)/J10)</f>
        <v>1</v>
      </c>
      <c r="L10" s="467" cm="1">
        <f t="array" ref="L10">IF(D10="",0, SUMPRODUCT(--(ISNUMBER(SEARCH($A10,'Diags Raw Data'!$A$6:$A$3627))),'Diags Raw Data'!$L$6:$L$3627,'Diags Raw Data'!$P$6:$P$3627)/J10)</f>
        <v>1</v>
      </c>
      <c r="M10" s="468" cm="1">
        <f t="array" ref="M10">SUMPRODUCT(--(ISNUMBER(SEARCH($A10,'Diags Raw Data'!$A$6:$A$3627))),--('Diags Raw Data'!$Q$6:$Q$3627&lt;&gt;"N/A"),'Diags Raw Data'!$R$6:$R$3627)</f>
        <v>1</v>
      </c>
      <c r="N10" s="469" cm="1">
        <f t="array" ref="N10">SUMPRODUCT(--(ISNUMBER(SEARCH($A10,'Diags Raw Data'!$A$6:$A$3627))),--('Diags Raw Data'!$Q$6:$Q$3627&lt;&gt;"N/A"),'Diags Raw Data'!$T$6:$T$3627)+SUMPRODUCT(--(ISNUMBER(SEARCH($A10,'Diags Raw Data'!$A$6:$A$3627))),--('Diags Raw Data'!$Q$6:$Q$3627&lt;&gt;"N/A"),'Diags Raw Data'!$U$6:$U$3627)</f>
        <v>1</v>
      </c>
      <c r="O10" s="470">
        <f t="shared" si="2"/>
        <v>1</v>
      </c>
      <c r="P10" s="471">
        <f>SUMIF('Diags Raw Data'!$A$6:$A$3627,"*"&amp;$A10&amp;"*",'Diags Raw Data'!$Z$6:$Z$3627)</f>
        <v>0</v>
      </c>
      <c r="Q10" s="472">
        <f>SUM(SUMIF('Diags Raw Data'!$A$6:$A$3627,"*"&amp;$A10&amp;"*",'Diags Raw Data'!$AA$6:$AA$3627),SUMIF('Diags Raw Data'!$A$6:$A$3627,"*"&amp;$A10&amp;"*",'Diags Raw Data'!$AB$6:$AB$3627))</f>
        <v>0</v>
      </c>
      <c r="R10" s="473">
        <f t="shared" si="3"/>
        <v>0</v>
      </c>
      <c r="S10" s="473">
        <f t="shared" si="4"/>
        <v>0</v>
      </c>
      <c r="T10" s="474">
        <f t="shared" si="5"/>
        <v>0</v>
      </c>
      <c r="U10" s="424" t="s">
        <v>286</v>
      </c>
      <c r="V10" s="181"/>
    </row>
    <row r="11" spans="1:23" ht="15">
      <c r="A11" s="524" t="str">
        <f>'Diags Raw Data'!A10</f>
        <v>KRK1.CPU-RAS.005</v>
      </c>
      <c r="B11" s="524" t="str">
        <f>'Diags Raw Data'!B10</f>
        <v>PCIe eDPC Error</v>
      </c>
      <c r="C11" s="228" t="s">
        <v>280</v>
      </c>
      <c r="D11" s="422" t="str" cm="1">
        <f t="array" ref="D11">_xlfn.TEXTJOIN("",TRUE,IF(ISNUMBER(SEARCH($A11,'Diags Raw Data'!$A$6:$A$3627)),CONCATENATE('Diags Raw Data'!$H$6:$H$3627,", "),""))</f>
        <v xml:space="preserve">CPU-RAS.PCIe.05, </v>
      </c>
      <c r="E11" s="317" t="str">
        <f>VLOOKUP(A11,'Diags Raw Data'!$A$6:$D$3627,4,FALSE)</f>
        <v>NBIO-RAS</v>
      </c>
      <c r="F11" s="317" t="str">
        <f>VLOOKUP(A11,'Feature Raw Data'!$A$3:$E$3917,5,FALSE)</f>
        <v>Legacy</v>
      </c>
      <c r="G11" s="317" t="str">
        <f t="shared" si="0"/>
        <v>Yes</v>
      </c>
      <c r="H11" s="317" t="str">
        <f t="shared" si="1"/>
        <v>Yes</v>
      </c>
      <c r="I11" s="421">
        <f>SUMIF('Diags Raw Data'!$A$6:$A$3627,"*"&amp;$A11&amp;"*",'Diags Raw Data'!$K$6:$K$3627)</f>
        <v>1</v>
      </c>
      <c r="J11" s="423">
        <f>SUMIF('Diags Raw Data'!$A$6:$A$3627,"*"&amp;$A11&amp;"*",'Diags Raw Data'!$L$6:$L$3627)</f>
        <v>2</v>
      </c>
      <c r="K11" s="466" cm="1">
        <f t="array" ref="K11">IF(D11="",0, SUMPRODUCT(--(ISNUMBER(SEARCH($A11,'Diags Raw Data'!$A$6:$A$3627))),'Diags Raw Data'!$L$6:$L$3627,'Diags Raw Data'!$N$6:$N$3627)/J11)</f>
        <v>1</v>
      </c>
      <c r="L11" s="467" cm="1">
        <f t="array" ref="L11">IF(D11="",0, SUMPRODUCT(--(ISNUMBER(SEARCH($A11,'Diags Raw Data'!$A$6:$A$3627))),'Diags Raw Data'!$L$6:$L$3627,'Diags Raw Data'!$P$6:$P$3627)/J11)</f>
        <v>1</v>
      </c>
      <c r="M11" s="468" cm="1">
        <f t="array" ref="M11">SUMPRODUCT(--(ISNUMBER(SEARCH($A11,'Diags Raw Data'!$A$6:$A$3627))),--('Diags Raw Data'!$Q$6:$Q$3627&lt;&gt;"N/A"),'Diags Raw Data'!$R$6:$R$3627)</f>
        <v>2</v>
      </c>
      <c r="N11" s="469" cm="1">
        <f t="array" ref="N11">SUMPRODUCT(--(ISNUMBER(SEARCH($A11,'Diags Raw Data'!$A$6:$A$3627))),--('Diags Raw Data'!$Q$6:$Q$3627&lt;&gt;"N/A"),'Diags Raw Data'!$T$6:$T$3627)+SUMPRODUCT(--(ISNUMBER(SEARCH($A11,'Diags Raw Data'!$A$6:$A$3627))),--('Diags Raw Data'!$Q$6:$Q$3627&lt;&gt;"N/A"),'Diags Raw Data'!$U$6:$U$3627)</f>
        <v>2</v>
      </c>
      <c r="O11" s="470">
        <f t="shared" si="2"/>
        <v>1</v>
      </c>
      <c r="P11" s="471">
        <f>SUMIF('Diags Raw Data'!$A$6:$A$3627,"*"&amp;$A11&amp;"*",'Diags Raw Data'!$Z$6:$Z$3627)</f>
        <v>0</v>
      </c>
      <c r="Q11" s="472">
        <f>SUM(SUMIF('Diags Raw Data'!$A$6:$A$3627,"*"&amp;$A11&amp;"*",'Diags Raw Data'!$AA$6:$AA$3627),SUMIF('Diags Raw Data'!$A$6:$A$3627,"*"&amp;$A11&amp;"*",'Diags Raw Data'!$AB$6:$AB$3627))</f>
        <v>0</v>
      </c>
      <c r="R11" s="473">
        <f t="shared" si="3"/>
        <v>0</v>
      </c>
      <c r="S11" s="473">
        <f t="shared" si="4"/>
        <v>0</v>
      </c>
      <c r="T11" s="474">
        <f t="shared" si="5"/>
        <v>0</v>
      </c>
      <c r="U11" s="420" t="s">
        <v>286</v>
      </c>
      <c r="V11" s="181"/>
    </row>
    <row r="12" spans="1:23" ht="15">
      <c r="A12" s="524" t="str">
        <f>'Diags Raw Data'!A11</f>
        <v>KRK1.CPU-RAS.006</v>
      </c>
      <c r="B12" s="524" t="str">
        <f>'Diags Raw Data'!B11</f>
        <v>FCH Watchdog Timer</v>
      </c>
      <c r="C12" s="228" t="s">
        <v>280</v>
      </c>
      <c r="D12" s="422" t="str" cm="1">
        <f t="array" ref="D12">_xlfn.TEXTJOIN("",TRUE,IF(ISNUMBER(SEARCH($A12,'Diags Raw Data'!$A$6:$A$3627)),CONCATENATE('Diags Raw Data'!$H$6:$H$3627,", "),""))</f>
        <v xml:space="preserve">CPU-RAS.PCIe.06, </v>
      </c>
      <c r="E12" s="317" t="str">
        <f>VLOOKUP(A12,'Diags Raw Data'!$A$6:$D$3627,4,FALSE)</f>
        <v>NBIO-RAS</v>
      </c>
      <c r="F12" s="317" t="str">
        <f>VLOOKUP(A12,'Feature Raw Data'!$A$3:$E$3917,5,FALSE)</f>
        <v>Legacy</v>
      </c>
      <c r="G12" s="317" t="str">
        <f t="shared" si="0"/>
        <v>Yes</v>
      </c>
      <c r="H12" s="317" t="str">
        <f t="shared" si="1"/>
        <v>Yes</v>
      </c>
      <c r="I12" s="421">
        <f>SUMIF('Diags Raw Data'!$A$6:$A$3627,"*"&amp;$A12&amp;"*",'Diags Raw Data'!$K$6:$K$3627)</f>
        <v>1</v>
      </c>
      <c r="J12" s="423">
        <f>SUMIF('Diags Raw Data'!$A$6:$A$3627,"*"&amp;$A12&amp;"*",'Diags Raw Data'!$L$6:$L$3627)</f>
        <v>2</v>
      </c>
      <c r="K12" s="466" cm="1">
        <f t="array" ref="K12">IF(D12="",0, SUMPRODUCT(--(ISNUMBER(SEARCH($A12,'Diags Raw Data'!$A$6:$A$3627))),'Diags Raw Data'!$L$6:$L$3627,'Diags Raw Data'!$N$6:$N$3627)/J12)</f>
        <v>1</v>
      </c>
      <c r="L12" s="467" cm="1">
        <f t="array" ref="L12">IF(D12="",0, SUMPRODUCT(--(ISNUMBER(SEARCH($A12,'Diags Raw Data'!$A$6:$A$3627))),'Diags Raw Data'!$L$6:$L$3627,'Diags Raw Data'!$P$6:$P$3627)/J12)</f>
        <v>1</v>
      </c>
      <c r="M12" s="468" cm="1">
        <f t="array" ref="M12">SUMPRODUCT(--(ISNUMBER(SEARCH($A12,'Diags Raw Data'!$A$6:$A$3627))),--('Diags Raw Data'!$Q$6:$Q$3627&lt;&gt;"N/A"),'Diags Raw Data'!$R$6:$R$3627)</f>
        <v>2</v>
      </c>
      <c r="N12" s="469" cm="1">
        <f t="array" ref="N12">SUMPRODUCT(--(ISNUMBER(SEARCH($A12,'Diags Raw Data'!$A$6:$A$3627))),--('Diags Raw Data'!$Q$6:$Q$3627&lt;&gt;"N/A"),'Diags Raw Data'!$T$6:$T$3627)+SUMPRODUCT(--(ISNUMBER(SEARCH($A12,'Diags Raw Data'!$A$6:$A$3627))),--('Diags Raw Data'!$Q$6:$Q$3627&lt;&gt;"N/A"),'Diags Raw Data'!$U$6:$U$3627)</f>
        <v>2</v>
      </c>
      <c r="O12" s="470">
        <f t="shared" si="2"/>
        <v>1</v>
      </c>
      <c r="P12" s="471">
        <f>SUMIF('Diags Raw Data'!$A$6:$A$3627,"*"&amp;$A12&amp;"*",'Diags Raw Data'!$Z$6:$Z$3627)</f>
        <v>0</v>
      </c>
      <c r="Q12" s="472">
        <f>SUM(SUMIF('Diags Raw Data'!$A$6:$A$3627,"*"&amp;$A12&amp;"*",'Diags Raw Data'!$AA$6:$AA$3627),SUMIF('Diags Raw Data'!$A$6:$A$3627,"*"&amp;$A12&amp;"*",'Diags Raw Data'!$AB$6:$AB$3627))</f>
        <v>0</v>
      </c>
      <c r="R12" s="473">
        <f t="shared" si="3"/>
        <v>0</v>
      </c>
      <c r="S12" s="473">
        <f t="shared" si="4"/>
        <v>0</v>
      </c>
      <c r="T12" s="474">
        <f t="shared" si="5"/>
        <v>0</v>
      </c>
      <c r="U12" s="424" t="s">
        <v>286</v>
      </c>
      <c r="V12" s="181"/>
    </row>
    <row r="13" spans="1:23" ht="15">
      <c r="A13" s="361"/>
      <c r="B13" s="394"/>
      <c r="C13" s="316"/>
      <c r="D13" s="82"/>
      <c r="E13" s="180"/>
      <c r="F13" s="180"/>
      <c r="G13" s="180"/>
      <c r="H13" s="180"/>
      <c r="I13" s="316"/>
      <c r="J13" s="190"/>
      <c r="K13" s="475"/>
      <c r="L13" s="476"/>
      <c r="M13" s="477"/>
      <c r="N13" s="478"/>
      <c r="O13" s="479"/>
      <c r="P13" s="480"/>
      <c r="Q13" s="481"/>
      <c r="R13" s="482"/>
      <c r="S13" s="482"/>
      <c r="T13" s="483"/>
      <c r="U13" s="362"/>
      <c r="V13" s="181"/>
    </row>
    <row r="14" spans="1:23">
      <c r="A14" s="361"/>
      <c r="B14" s="394"/>
      <c r="C14" s="316"/>
      <c r="D14" s="82"/>
      <c r="E14" s="180"/>
      <c r="F14" s="180"/>
      <c r="G14" s="180"/>
      <c r="H14" s="180"/>
      <c r="I14" s="316"/>
      <c r="J14" s="190"/>
      <c r="K14" s="475"/>
      <c r="L14" s="476"/>
      <c r="M14" s="477"/>
      <c r="N14" s="478"/>
      <c r="O14" s="479"/>
      <c r="P14" s="480"/>
      <c r="Q14" s="481"/>
      <c r="R14" s="482"/>
      <c r="S14" s="482"/>
      <c r="T14" s="483"/>
      <c r="U14" s="362"/>
      <c r="V14" s="181"/>
    </row>
    <row r="15" spans="1:23" ht="15" thickBot="1">
      <c r="A15" s="369"/>
      <c r="B15" s="395"/>
      <c r="C15" s="370"/>
      <c r="D15" s="371"/>
      <c r="E15" s="372"/>
      <c r="F15" s="372"/>
      <c r="G15" s="372"/>
      <c r="H15" s="372"/>
      <c r="I15" s="370"/>
      <c r="J15" s="373"/>
      <c r="K15" s="484"/>
      <c r="L15" s="485"/>
      <c r="M15" s="486"/>
      <c r="N15" s="487"/>
      <c r="O15" s="488"/>
      <c r="P15" s="489"/>
      <c r="Q15" s="490"/>
      <c r="R15" s="491"/>
      <c r="S15" s="491"/>
      <c r="T15" s="492"/>
      <c r="U15" s="374"/>
      <c r="V15" s="181"/>
    </row>
    <row r="16" spans="1:23">
      <c r="A16" s="589" t="s">
        <v>354</v>
      </c>
      <c r="B16" s="652"/>
      <c r="C16" s="652"/>
      <c r="D16" s="652"/>
      <c r="E16" s="652"/>
      <c r="F16" s="652"/>
      <c r="G16" s="652"/>
      <c r="H16" s="652"/>
      <c r="I16" s="652"/>
      <c r="J16" s="652"/>
      <c r="K16" s="652"/>
      <c r="L16" s="652"/>
      <c r="M16" s="652"/>
      <c r="N16" s="652"/>
      <c r="O16" s="652"/>
      <c r="P16" s="652"/>
      <c r="Q16" s="652"/>
      <c r="R16" s="652"/>
      <c r="S16" s="652"/>
      <c r="T16" s="652"/>
      <c r="U16" s="653"/>
      <c r="V16" s="181"/>
    </row>
    <row r="17" spans="1:22" ht="15" thickBot="1">
      <c r="A17" s="654"/>
      <c r="B17" s="655"/>
      <c r="C17" s="655"/>
      <c r="D17" s="655"/>
      <c r="E17" s="655"/>
      <c r="F17" s="655"/>
      <c r="G17" s="655"/>
      <c r="H17" s="655"/>
      <c r="I17" s="655"/>
      <c r="J17" s="655"/>
      <c r="K17" s="655"/>
      <c r="L17" s="655"/>
      <c r="M17" s="655"/>
      <c r="N17" s="655"/>
      <c r="O17" s="655"/>
      <c r="P17" s="655"/>
      <c r="Q17" s="655"/>
      <c r="R17" s="655"/>
      <c r="S17" s="655"/>
      <c r="T17" s="655"/>
      <c r="U17" s="656"/>
      <c r="V17" s="181"/>
    </row>
    <row r="18" spans="1:22" s="184" customFormat="1" ht="18.600000000000001">
      <c r="A18" s="646" t="s">
        <v>302</v>
      </c>
      <c r="B18" s="647"/>
      <c r="C18" s="647"/>
      <c r="D18" s="647"/>
      <c r="E18" s="647"/>
      <c r="F18" s="648"/>
      <c r="G18" s="383">
        <f>COUNTIF(G7:G15,"Yes")</f>
        <v>6</v>
      </c>
      <c r="H18" s="383">
        <f>COUNTIF(H7:H15,"Yes")</f>
        <v>6</v>
      </c>
      <c r="I18" s="677">
        <f>'Diags Raw Data'!K17</f>
        <v>6</v>
      </c>
      <c r="J18" s="679">
        <f>'Diags Raw Data'!L17</f>
        <v>11</v>
      </c>
      <c r="K18" s="665">
        <f>'Diags Raw Data'!N17</f>
        <v>1</v>
      </c>
      <c r="L18" s="667">
        <f>'Diags Raw Data'!P17</f>
        <v>1</v>
      </c>
      <c r="M18" s="669">
        <f>'Diags Raw Data'!R17</f>
        <v>11</v>
      </c>
      <c r="N18" s="661">
        <f>SUM('Diags Raw Data'!T17+'Diags Raw Data'!U17)</f>
        <v>11</v>
      </c>
      <c r="O18" s="657">
        <f>IF((M18=0),0,N18/M18)</f>
        <v>1</v>
      </c>
      <c r="P18" s="659">
        <f>'Diags Raw Data'!Z17</f>
        <v>0</v>
      </c>
      <c r="Q18" s="675">
        <f>SUM('Diags Raw Data'!AA17+'Diags Raw Data'!AB17)</f>
        <v>0</v>
      </c>
      <c r="R18" s="671">
        <f>IF((J18=0),0,P18/J18)</f>
        <v>0</v>
      </c>
      <c r="S18" s="671">
        <f>IF((P18=0),0,Q18/P18)</f>
        <v>0</v>
      </c>
      <c r="T18" s="671">
        <f>R18*S18</f>
        <v>0</v>
      </c>
      <c r="U18" s="673"/>
      <c r="V18" s="183"/>
    </row>
    <row r="19" spans="1:22" ht="18.95" thickBot="1">
      <c r="A19" s="649"/>
      <c r="B19" s="650"/>
      <c r="C19" s="650"/>
      <c r="D19" s="650"/>
      <c r="E19" s="650"/>
      <c r="F19" s="651"/>
      <c r="G19" s="384">
        <f>COUNTIF(G7:G15,"Yes")/COUNTA(A7:A15)</f>
        <v>1</v>
      </c>
      <c r="H19" s="384">
        <f>(COUNTIF(H7:H15,"Yes")/G18)</f>
        <v>1</v>
      </c>
      <c r="I19" s="678"/>
      <c r="J19" s="680"/>
      <c r="K19" s="666"/>
      <c r="L19" s="668"/>
      <c r="M19" s="670"/>
      <c r="N19" s="662"/>
      <c r="O19" s="658"/>
      <c r="P19" s="660"/>
      <c r="Q19" s="676"/>
      <c r="R19" s="672"/>
      <c r="S19" s="672"/>
      <c r="T19" s="672"/>
      <c r="U19" s="674"/>
      <c r="V19" s="181"/>
    </row>
    <row r="20" spans="1:22">
      <c r="A20" s="185"/>
      <c r="B20" s="186"/>
      <c r="C20" s="186"/>
      <c r="D20" s="185"/>
      <c r="E20" s="186"/>
      <c r="F20" s="186"/>
      <c r="G20" s="365"/>
      <c r="H20" s="186"/>
      <c r="I20" s="375"/>
      <c r="J20" s="375"/>
      <c r="K20" s="191"/>
      <c r="L20" s="191"/>
      <c r="M20" s="192"/>
      <c r="N20" s="192"/>
      <c r="O20" s="191"/>
      <c r="P20" s="188"/>
      <c r="Q20" s="188"/>
      <c r="R20" s="195"/>
      <c r="S20" s="195"/>
      <c r="T20" s="196"/>
      <c r="U20" s="185"/>
    </row>
    <row r="21" spans="1:22" ht="15"/>
    <row r="22" spans="1:22" ht="15"/>
    <row r="23" spans="1:22" ht="15"/>
    <row r="24" spans="1:22" ht="15"/>
    <row r="25" spans="1:22" ht="15"/>
    <row r="26" spans="1:22" ht="15"/>
    <row r="27" spans="1:22" ht="15"/>
    <row r="28" spans="1:22" ht="15"/>
    <row r="29" spans="1:22" ht="15"/>
    <row r="30" spans="1:22" ht="15"/>
    <row r="31" spans="1:22" ht="15"/>
  </sheetData>
  <sheetProtection insertColumns="0" insertRows="0" deleteRows="0" sort="0"/>
  <autoFilter ref="A6:U19"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18:K19"/>
    <mergeCell ref="L18:L19"/>
    <mergeCell ref="M18:M19"/>
    <mergeCell ref="T2:T3"/>
    <mergeCell ref="U2:U3"/>
    <mergeCell ref="R2:R3"/>
    <mergeCell ref="S2:S3"/>
    <mergeCell ref="S18:S19"/>
    <mergeCell ref="T18:T19"/>
    <mergeCell ref="U18:U19"/>
    <mergeCell ref="Q18:Q19"/>
    <mergeCell ref="R18:R19"/>
    <mergeCell ref="I18:I19"/>
    <mergeCell ref="J18:J19"/>
    <mergeCell ref="K5:L5"/>
    <mergeCell ref="A5:J5"/>
    <mergeCell ref="M5:O5"/>
    <mergeCell ref="P5:U5"/>
    <mergeCell ref="A18:F19"/>
    <mergeCell ref="A16:U17"/>
    <mergeCell ref="O18:O19"/>
    <mergeCell ref="P18:P19"/>
    <mergeCell ref="N18:N19"/>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355</v>
      </c>
      <c r="C1" s="36" t="s">
        <v>356</v>
      </c>
      <c r="D1" s="36" t="s">
        <v>357</v>
      </c>
      <c r="E1" s="36" t="s">
        <v>358</v>
      </c>
      <c r="F1" s="36" t="s">
        <v>359</v>
      </c>
      <c r="G1" s="37" t="s">
        <v>360</v>
      </c>
      <c r="H1" s="12"/>
      <c r="I1" s="12"/>
      <c r="J1" s="12"/>
      <c r="K1" s="12"/>
      <c r="L1" s="13"/>
      <c r="M1" s="1"/>
      <c r="N1" s="11"/>
      <c r="X1" s="11"/>
      <c r="AB1" s="693" t="s">
        <v>361</v>
      </c>
      <c r="AM1" s="693" t="s">
        <v>362</v>
      </c>
    </row>
    <row r="2" spans="1:40" s="14" customFormat="1" ht="12">
      <c r="A2" s="35" t="s">
        <v>363</v>
      </c>
      <c r="B2" s="15">
        <v>42994</v>
      </c>
      <c r="C2" s="15">
        <v>43190</v>
      </c>
      <c r="D2" s="16" t="e">
        <f>#REF!</f>
        <v>#REF!</v>
      </c>
      <c r="E2" s="16" t="e">
        <f>#REF!</f>
        <v>#REF!</v>
      </c>
      <c r="F2" s="16">
        <f>(C2-B2)/7</f>
        <v>28</v>
      </c>
      <c r="G2" s="17" t="e">
        <f>E2/F2</f>
        <v>#REF!</v>
      </c>
      <c r="H2" s="18"/>
      <c r="I2" s="18"/>
      <c r="J2" s="18"/>
      <c r="K2" s="18"/>
      <c r="L2" s="19"/>
      <c r="M2" s="20"/>
      <c r="N2" s="21"/>
      <c r="X2" s="21"/>
      <c r="AB2" s="694"/>
      <c r="AM2" s="694"/>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695" t="s">
        <v>364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696"/>
      <c r="B5" s="47" t="s">
        <v>365</v>
      </c>
      <c r="C5" s="47" t="s">
        <v>366</v>
      </c>
      <c r="D5" s="47" t="s">
        <v>367</v>
      </c>
      <c r="E5" s="47" t="s">
        <v>368</v>
      </c>
      <c r="F5" s="47" t="s">
        <v>369</v>
      </c>
      <c r="G5" s="47" t="s">
        <v>370</v>
      </c>
      <c r="H5" s="47" t="s">
        <v>371</v>
      </c>
      <c r="I5" s="47" t="s">
        <v>372</v>
      </c>
      <c r="J5" s="47" t="s">
        <v>373</v>
      </c>
      <c r="K5" s="47" t="s">
        <v>374</v>
      </c>
      <c r="L5" s="47" t="s">
        <v>375</v>
      </c>
      <c r="M5" s="47" t="s">
        <v>376</v>
      </c>
      <c r="N5" s="47" t="s">
        <v>377</v>
      </c>
      <c r="O5" s="47" t="s">
        <v>378</v>
      </c>
      <c r="P5" s="47" t="s">
        <v>379</v>
      </c>
      <c r="Q5" s="47" t="s">
        <v>380</v>
      </c>
      <c r="R5" s="47" t="s">
        <v>381</v>
      </c>
      <c r="S5" s="47" t="s">
        <v>382</v>
      </c>
      <c r="T5" s="47" t="s">
        <v>383</v>
      </c>
      <c r="U5" s="47" t="s">
        <v>384</v>
      </c>
      <c r="V5" s="47" t="s">
        <v>385</v>
      </c>
      <c r="W5" s="47" t="s">
        <v>386</v>
      </c>
      <c r="X5" s="47" t="s">
        <v>387</v>
      </c>
      <c r="Y5" s="47" t="s">
        <v>388</v>
      </c>
      <c r="Z5" s="47" t="s">
        <v>389</v>
      </c>
      <c r="AA5" s="47" t="s">
        <v>390</v>
      </c>
      <c r="AB5" s="47" t="s">
        <v>391</v>
      </c>
      <c r="AC5" s="47" t="s">
        <v>392</v>
      </c>
      <c r="AD5" s="47" t="s">
        <v>393</v>
      </c>
      <c r="AE5" s="47" t="s">
        <v>394</v>
      </c>
      <c r="AF5" s="47" t="s">
        <v>395</v>
      </c>
      <c r="AG5" s="47" t="s">
        <v>396</v>
      </c>
      <c r="AH5" s="47" t="s">
        <v>397</v>
      </c>
      <c r="AI5" s="47" t="s">
        <v>398</v>
      </c>
      <c r="AJ5" s="47" t="s">
        <v>399</v>
      </c>
      <c r="AK5" s="47" t="s">
        <v>400</v>
      </c>
      <c r="AL5" s="66" t="s">
        <v>401</v>
      </c>
      <c r="AM5" s="65" t="s">
        <v>402</v>
      </c>
      <c r="AN5" s="50"/>
    </row>
    <row r="6" spans="1:40" ht="12">
      <c r="A6" s="48" t="s">
        <v>403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404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695" t="s">
        <v>405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697"/>
      <c r="B10" s="32" t="s">
        <v>365</v>
      </c>
      <c r="C10" s="32" t="s">
        <v>366</v>
      </c>
      <c r="D10" s="32" t="s">
        <v>367</v>
      </c>
      <c r="E10" s="32" t="s">
        <v>368</v>
      </c>
      <c r="F10" s="32" t="s">
        <v>369</v>
      </c>
      <c r="G10" s="32" t="s">
        <v>370</v>
      </c>
      <c r="H10" s="32" t="s">
        <v>371</v>
      </c>
      <c r="I10" s="32" t="s">
        <v>372</v>
      </c>
      <c r="J10" s="32" t="s">
        <v>373</v>
      </c>
      <c r="K10" s="32" t="s">
        <v>374</v>
      </c>
      <c r="L10" s="32" t="s">
        <v>375</v>
      </c>
      <c r="M10" s="32" t="s">
        <v>376</v>
      </c>
      <c r="N10" s="32" t="s">
        <v>377</v>
      </c>
      <c r="O10" s="32" t="s">
        <v>378</v>
      </c>
      <c r="P10" s="32" t="s">
        <v>379</v>
      </c>
      <c r="Q10" s="32" t="s">
        <v>380</v>
      </c>
      <c r="R10" s="32" t="s">
        <v>381</v>
      </c>
      <c r="S10" s="32" t="s">
        <v>382</v>
      </c>
      <c r="T10" s="32" t="s">
        <v>383</v>
      </c>
      <c r="U10" s="32" t="s">
        <v>384</v>
      </c>
      <c r="V10" s="32" t="s">
        <v>385</v>
      </c>
      <c r="W10" s="32" t="s">
        <v>386</v>
      </c>
      <c r="X10" s="32" t="s">
        <v>387</v>
      </c>
      <c r="Y10" s="32" t="s">
        <v>388</v>
      </c>
      <c r="Z10" s="32" t="s">
        <v>389</v>
      </c>
      <c r="AA10" s="32" t="s">
        <v>390</v>
      </c>
      <c r="AB10" s="32" t="s">
        <v>391</v>
      </c>
      <c r="AC10" s="32" t="s">
        <v>392</v>
      </c>
      <c r="AD10" s="32" t="s">
        <v>393</v>
      </c>
      <c r="AE10" s="32" t="s">
        <v>394</v>
      </c>
      <c r="AF10" s="32" t="s">
        <v>395</v>
      </c>
      <c r="AG10" s="32" t="s">
        <v>396</v>
      </c>
      <c r="AH10" s="32" t="s">
        <v>397</v>
      </c>
      <c r="AI10" s="32" t="s">
        <v>398</v>
      </c>
      <c r="AJ10" s="64" t="s">
        <v>399</v>
      </c>
      <c r="AK10" s="63" t="s">
        <v>400</v>
      </c>
      <c r="AL10" s="47" t="s">
        <v>401</v>
      </c>
      <c r="AM10" s="72" t="s">
        <v>402</v>
      </c>
      <c r="AN10" s="68"/>
    </row>
    <row r="11" spans="1:40">
      <c r="A11" s="42" t="s">
        <v>403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404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406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407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10" sqref="D10"/>
    </sheetView>
  </sheetViews>
  <sheetFormatPr defaultColWidth="15" defaultRowHeight="12.9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408</v>
      </c>
      <c r="B1" s="157" t="s">
        <v>409</v>
      </c>
      <c r="C1" s="158" t="s">
        <v>410</v>
      </c>
      <c r="D1" s="158" t="s">
        <v>411</v>
      </c>
      <c r="E1" s="158" t="s">
        <v>412</v>
      </c>
      <c r="F1" s="158" t="s">
        <v>413</v>
      </c>
      <c r="G1" s="158" t="s">
        <v>414</v>
      </c>
      <c r="H1" s="158" t="s">
        <v>415</v>
      </c>
      <c r="I1" s="158" t="s">
        <v>416</v>
      </c>
      <c r="J1" s="158" t="s">
        <v>417</v>
      </c>
      <c r="K1" s="158" t="s">
        <v>418</v>
      </c>
      <c r="L1" s="158" t="s">
        <v>419</v>
      </c>
      <c r="M1" s="158" t="s">
        <v>420</v>
      </c>
      <c r="N1" s="158" t="s">
        <v>421</v>
      </c>
      <c r="O1" s="158" t="s">
        <v>422</v>
      </c>
      <c r="P1" s="158" t="s">
        <v>423</v>
      </c>
      <c r="Q1" s="158" t="s">
        <v>424</v>
      </c>
      <c r="R1" s="158" t="s">
        <v>425</v>
      </c>
      <c r="S1" s="158" t="s">
        <v>426</v>
      </c>
      <c r="T1" s="158" t="s">
        <v>427</v>
      </c>
      <c r="U1" s="158" t="s">
        <v>428</v>
      </c>
      <c r="V1" s="158" t="s">
        <v>429</v>
      </c>
      <c r="W1" s="158" t="s">
        <v>430</v>
      </c>
      <c r="X1" s="158" t="s">
        <v>431</v>
      </c>
      <c r="Y1" s="158" t="s">
        <v>432</v>
      </c>
      <c r="Z1" s="158" t="s">
        <v>433</v>
      </c>
      <c r="AA1" s="158" t="s">
        <v>434</v>
      </c>
      <c r="AB1" s="158" t="s">
        <v>435</v>
      </c>
      <c r="AC1" s="158" t="s">
        <v>436</v>
      </c>
      <c r="AD1" s="158" t="s">
        <v>437</v>
      </c>
      <c r="AE1" s="158" t="s">
        <v>438</v>
      </c>
      <c r="AF1" s="158" t="s">
        <v>439</v>
      </c>
      <c r="AG1" s="158" t="s">
        <v>440</v>
      </c>
      <c r="AH1" s="158" t="s">
        <v>441</v>
      </c>
      <c r="AI1" s="158" t="s">
        <v>442</v>
      </c>
      <c r="AJ1" s="158" t="s">
        <v>443</v>
      </c>
      <c r="AK1" s="158" t="s">
        <v>444</v>
      </c>
      <c r="AL1" s="158" t="s">
        <v>445</v>
      </c>
      <c r="AM1" s="158" t="s">
        <v>446</v>
      </c>
      <c r="AN1" s="158" t="s">
        <v>447</v>
      </c>
      <c r="AO1" s="158" t="s">
        <v>448</v>
      </c>
      <c r="AP1" s="158" t="s">
        <v>449</v>
      </c>
      <c r="AQ1" s="158" t="s">
        <v>450</v>
      </c>
      <c r="AR1" s="158" t="s">
        <v>451</v>
      </c>
      <c r="AS1" s="158" t="s">
        <v>452</v>
      </c>
      <c r="AT1" s="158" t="s">
        <v>453</v>
      </c>
      <c r="AU1" s="158" t="s">
        <v>454</v>
      </c>
      <c r="AV1" s="158" t="s">
        <v>455</v>
      </c>
      <c r="AW1" s="158" t="s">
        <v>456</v>
      </c>
      <c r="AX1" s="158" t="s">
        <v>457</v>
      </c>
      <c r="AY1" s="158" t="s">
        <v>458</v>
      </c>
      <c r="AZ1" s="158" t="s">
        <v>459</v>
      </c>
      <c r="BA1" s="158" t="s">
        <v>460</v>
      </c>
      <c r="BB1" s="159" t="s">
        <v>461</v>
      </c>
    </row>
    <row r="2" spans="1:54" s="135" customFormat="1">
      <c r="A2" s="151" t="s">
        <v>404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407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405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404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406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462</v>
      </c>
      <c r="B3" s="129" t="s">
        <v>463</v>
      </c>
      <c r="C3" s="129"/>
      <c r="D3" s="211"/>
      <c r="E3" s="129"/>
    </row>
    <row r="4" spans="1:5">
      <c r="A4" s="79" t="s">
        <v>47</v>
      </c>
      <c r="B4">
        <v>0</v>
      </c>
    </row>
    <row r="5" spans="1:5">
      <c r="A5" s="79" t="s">
        <v>464</v>
      </c>
      <c r="B5">
        <v>85</v>
      </c>
      <c r="D5" s="130">
        <f>GETPIVOTDATA("#Tests",$A$3,"ETA","wk-1")/GETPIVOTDATA("#Tests",$A$3)</f>
        <v>0.17</v>
      </c>
      <c r="E5" s="131">
        <f>D5</f>
        <v>0.17</v>
      </c>
    </row>
    <row r="6" spans="1:5">
      <c r="A6" s="79" t="s">
        <v>465</v>
      </c>
      <c r="B6">
        <v>48</v>
      </c>
      <c r="D6" s="130">
        <f>GETPIVOTDATA("#Tests",$A$3,"ETA","wk-2")/GETPIVOTDATA("#Tests",$A$3)</f>
        <v>9.6000000000000002E-2</v>
      </c>
      <c r="E6" s="131">
        <f t="shared" ref="E6:E12" si="0">E5+D6</f>
        <v>0.26600000000000001</v>
      </c>
    </row>
    <row r="7" spans="1:5">
      <c r="A7" s="79" t="s">
        <v>466</v>
      </c>
      <c r="B7">
        <v>96</v>
      </c>
      <c r="D7" s="130">
        <f>GETPIVOTDATA("#Tests",$A$3,"ETA","wk-3")/GETPIVOTDATA("#Tests",$A$3)</f>
        <v>0.192</v>
      </c>
      <c r="E7" s="131">
        <f t="shared" si="0"/>
        <v>0.45800000000000002</v>
      </c>
    </row>
    <row r="8" spans="1:5">
      <c r="A8" s="79" t="s">
        <v>467</v>
      </c>
      <c r="B8">
        <v>79</v>
      </c>
      <c r="D8" s="130">
        <f>GETPIVOTDATA("#Tests",$A$3,"ETA","wk-4")/GETPIVOTDATA("#Tests",$A$3)</f>
        <v>0.158</v>
      </c>
      <c r="E8" s="131">
        <f t="shared" si="0"/>
        <v>0.61599999999999999</v>
      </c>
    </row>
    <row r="9" spans="1:5">
      <c r="A9" s="79" t="s">
        <v>468</v>
      </c>
      <c r="B9">
        <v>82</v>
      </c>
      <c r="D9" s="130">
        <f>GETPIVOTDATA("#Tests",$A$3,"ETA","wk-5")/GETPIVOTDATA("#Tests",$A$3)</f>
        <v>0.16400000000000001</v>
      </c>
      <c r="E9" s="131">
        <f t="shared" si="0"/>
        <v>0.78</v>
      </c>
    </row>
    <row r="10" spans="1:5">
      <c r="A10" s="79" t="s">
        <v>469</v>
      </c>
      <c r="B10">
        <v>60</v>
      </c>
      <c r="D10" s="130">
        <f>GETPIVOTDATA("#Tests",$A$3,"ETA","wk-6")/GETPIVOTDATA("#Tests",$A$3)</f>
        <v>0.12</v>
      </c>
      <c r="E10" s="131">
        <f t="shared" si="0"/>
        <v>0.9</v>
      </c>
    </row>
    <row r="11" spans="1:5">
      <c r="A11" s="79" t="s">
        <v>470</v>
      </c>
      <c r="B11">
        <v>30</v>
      </c>
      <c r="D11" s="130">
        <f>GETPIVOTDATA("#Tests",$A$3,"ETA","wk-7")/GETPIVOTDATA("#Tests",$A$3)</f>
        <v>0.06</v>
      </c>
      <c r="E11" s="131">
        <f t="shared" si="0"/>
        <v>0.96</v>
      </c>
    </row>
    <row r="12" spans="1:5">
      <c r="A12" s="79" t="s">
        <v>471</v>
      </c>
      <c r="B12">
        <v>20</v>
      </c>
      <c r="D12" s="130">
        <f>GETPIVOTDATA("#Tests",$A$3,"ETA","wk-8")/GETPIVOTDATA("#Tests",$A$3)</f>
        <v>0.04</v>
      </c>
      <c r="E12" s="131">
        <f t="shared" si="0"/>
        <v>1</v>
      </c>
    </row>
    <row r="13" spans="1:5">
      <c r="A13" s="79" t="s">
        <v>335</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6E4293DE-A32C-4A17-B47D-1B35926039A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Vasu, Sunil</cp:lastModifiedBy>
  <cp:revision/>
  <dcterms:created xsi:type="dcterms:W3CDTF">2013-03-11T21:33:52Z</dcterms:created>
  <dcterms:modified xsi:type="dcterms:W3CDTF">2024-01-30T11:00:07Z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