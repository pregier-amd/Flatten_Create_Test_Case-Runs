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KRK1_Input_3_4-6_2024\"/>
    </mc:Choice>
  </mc:AlternateContent>
  <xr:revisionPtr revIDLastSave="0" documentId="13_ncr:1_{5E1DDE08-A742-4D96-B0A2-E31078A019D3}" xr6:coauthVersionLast="47" xr6:coauthVersionMax="47" xr10:uidLastSave="{00000000-0000-0000-0000-000000000000}"/>
  <bookViews>
    <workbookView xWindow="-27510" yWindow="225" windowWidth="23985" windowHeight="1432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Data'!$A$5:$AH$53</definedName>
    <definedName name="_xlnm._FilterDatabase" localSheetId="7" hidden="1">'Feature Raw Data'!$A$2:$E$125</definedName>
    <definedName name="_xlnm._FilterDatabase" localSheetId="8" hidden="1">'Feature Summary'!$A$6:$U$136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9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X22" i="53" l="1"/>
  <c r="P22" i="53"/>
  <c r="A41" i="55"/>
  <c r="A42" i="55"/>
  <c r="D42" i="55" s="1" a="1"/>
  <c r="D42" i="55" s="1"/>
  <c r="A43" i="55"/>
  <c r="Q43" i="55" s="1"/>
  <c r="A44" i="55"/>
  <c r="A45" i="55"/>
  <c r="D45" i="55" s="1" a="1"/>
  <c r="D45" i="55" s="1"/>
  <c r="A46" i="55"/>
  <c r="A47" i="55"/>
  <c r="Q47" i="55" s="1"/>
  <c r="A48" i="55"/>
  <c r="Q48" i="55" s="1"/>
  <c r="C37" i="52"/>
  <c r="C38" i="52"/>
  <c r="C39" i="52"/>
  <c r="C40" i="52"/>
  <c r="C41" i="52"/>
  <c r="C42" i="52"/>
  <c r="C43" i="52"/>
  <c r="C44" i="52"/>
  <c r="B37" i="52"/>
  <c r="B38" i="52"/>
  <c r="B39" i="52"/>
  <c r="B40" i="52"/>
  <c r="B41" i="52"/>
  <c r="B42" i="52"/>
  <c r="B43" i="52"/>
  <c r="B44" i="52"/>
  <c r="A37" i="52"/>
  <c r="A38" i="52"/>
  <c r="A39" i="52"/>
  <c r="A40" i="52"/>
  <c r="A41" i="52"/>
  <c r="A42" i="52"/>
  <c r="A43" i="52"/>
  <c r="A44" i="52"/>
  <c r="AE7" i="53"/>
  <c r="AE8" i="53"/>
  <c r="AE9" i="53"/>
  <c r="AE10" i="53"/>
  <c r="AE11" i="53"/>
  <c r="AE12" i="53"/>
  <c r="AE13" i="53"/>
  <c r="AE14" i="53"/>
  <c r="AE15" i="53"/>
  <c r="AE16" i="53"/>
  <c r="AE17" i="53"/>
  <c r="AE18" i="53"/>
  <c r="AE19" i="53"/>
  <c r="AE20" i="53"/>
  <c r="AE21" i="53"/>
  <c r="AE22" i="53"/>
  <c r="A8" i="55"/>
  <c r="A9" i="55"/>
  <c r="I9" i="55" s="1"/>
  <c r="A10" i="55"/>
  <c r="A11" i="55"/>
  <c r="A12" i="55"/>
  <c r="E12" i="55" s="1"/>
  <c r="A13" i="55"/>
  <c r="D13" i="55" s="1" a="1"/>
  <c r="D13" i="55" s="1"/>
  <c r="A14" i="55"/>
  <c r="A15" i="55"/>
  <c r="E15" i="55" s="1"/>
  <c r="A16" i="55"/>
  <c r="Q16" i="55" s="1"/>
  <c r="A17" i="55"/>
  <c r="J17" i="55" s="1"/>
  <c r="A18" i="55"/>
  <c r="M18" i="55" s="1" a="1"/>
  <c r="M18" i="55" s="1"/>
  <c r="P18" i="55"/>
  <c r="S18" i="55" s="1"/>
  <c r="A19" i="55"/>
  <c r="P19" i="55" s="1"/>
  <c r="A20" i="55"/>
  <c r="I20" i="55" s="1"/>
  <c r="A21" i="55"/>
  <c r="E21" i="55" s="1"/>
  <c r="A22" i="55"/>
  <c r="A23" i="55"/>
  <c r="Q23" i="55" s="1"/>
  <c r="A24" i="55"/>
  <c r="Q24" i="55" s="1"/>
  <c r="A25" i="55"/>
  <c r="Q25" i="55" s="1"/>
  <c r="A26" i="55"/>
  <c r="Q26" i="55" s="1"/>
  <c r="A27" i="55"/>
  <c r="J27" i="55" s="1"/>
  <c r="A28" i="55"/>
  <c r="P28" i="55" s="1"/>
  <c r="S28" i="55" s="1"/>
  <c r="A29" i="55"/>
  <c r="D29" i="55" s="1" a="1"/>
  <c r="D29" i="55" s="1"/>
  <c r="A30" i="55"/>
  <c r="J30" i="55" s="1"/>
  <c r="A31" i="55"/>
  <c r="E31" i="55" s="1"/>
  <c r="A32" i="55"/>
  <c r="E32" i="55" s="1"/>
  <c r="A33" i="55"/>
  <c r="Q33" i="55" s="1"/>
  <c r="A34" i="55"/>
  <c r="Q34" i="55" s="1"/>
  <c r="A35" i="55"/>
  <c r="E35" i="55" s="1"/>
  <c r="A36" i="55"/>
  <c r="P36" i="55" s="1"/>
  <c r="S36" i="55" s="1"/>
  <c r="A37" i="55"/>
  <c r="E37" i="55" s="1"/>
  <c r="A38" i="55"/>
  <c r="D38" i="55" s="1" a="1"/>
  <c r="D38" i="55" s="1"/>
  <c r="G38" i="55" s="1"/>
  <c r="A39" i="55"/>
  <c r="J39" i="55" s="1"/>
  <c r="A40" i="55"/>
  <c r="E40" i="55" s="1"/>
  <c r="C4" i="52"/>
  <c r="C5" i="52"/>
  <c r="C6" i="52"/>
  <c r="C7" i="52"/>
  <c r="C8" i="52"/>
  <c r="C9" i="52"/>
  <c r="C10" i="52"/>
  <c r="C11" i="52"/>
  <c r="C12" i="52"/>
  <c r="C13" i="52"/>
  <c r="C14" i="52"/>
  <c r="C15" i="52"/>
  <c r="C16" i="52"/>
  <c r="C17" i="52"/>
  <c r="C18" i="52"/>
  <c r="C19" i="52"/>
  <c r="C20" i="52"/>
  <c r="C21" i="52"/>
  <c r="C22" i="52"/>
  <c r="C23" i="52"/>
  <c r="C24" i="52"/>
  <c r="C25" i="52"/>
  <c r="C26" i="52"/>
  <c r="C27" i="52"/>
  <c r="C28" i="52"/>
  <c r="C29" i="52"/>
  <c r="C30" i="52"/>
  <c r="C31" i="52"/>
  <c r="C32" i="52"/>
  <c r="C33" i="52"/>
  <c r="C34" i="52"/>
  <c r="C35" i="52"/>
  <c r="C36" i="52"/>
  <c r="B4" i="52"/>
  <c r="B5" i="52"/>
  <c r="B6" i="52"/>
  <c r="B7" i="52"/>
  <c r="B8" i="52"/>
  <c r="B9" i="52"/>
  <c r="B10" i="52"/>
  <c r="B11" i="52"/>
  <c r="B12" i="52"/>
  <c r="B13" i="52"/>
  <c r="B14" i="52"/>
  <c r="B15" i="52"/>
  <c r="B16" i="52"/>
  <c r="B17" i="52"/>
  <c r="B18" i="52"/>
  <c r="B19" i="52"/>
  <c r="B20" i="52"/>
  <c r="B21" i="52"/>
  <c r="B22" i="52"/>
  <c r="B23" i="52"/>
  <c r="B24" i="52"/>
  <c r="B25" i="52"/>
  <c r="B26" i="52"/>
  <c r="B27" i="52"/>
  <c r="B28" i="52"/>
  <c r="B29" i="52"/>
  <c r="B30" i="52"/>
  <c r="B31" i="52"/>
  <c r="B32" i="52"/>
  <c r="B33" i="52"/>
  <c r="B34" i="52"/>
  <c r="B35" i="52"/>
  <c r="B36" i="52"/>
  <c r="A4" i="52"/>
  <c r="A5" i="52"/>
  <c r="A6" i="52"/>
  <c r="A7" i="52"/>
  <c r="A8" i="52"/>
  <c r="F14" i="55" s="1"/>
  <c r="A9" i="52"/>
  <c r="A10" i="52"/>
  <c r="C38" i="55" s="1"/>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D48" i="55" a="1"/>
  <c r="D48" i="55" s="1"/>
  <c r="D8" i="55" a="1"/>
  <c r="D8" i="55" s="1"/>
  <c r="A3" i="52"/>
  <c r="D10" i="55" a="1"/>
  <c r="D10" i="55" s="1"/>
  <c r="R53" i="53"/>
  <c r="E24" i="55"/>
  <c r="D41" i="55" a="1"/>
  <c r="D41" i="55" s="1"/>
  <c r="Q44" i="55"/>
  <c r="B3" i="52"/>
  <c r="K53" i="53"/>
  <c r="T53" i="53"/>
  <c r="N44" i="55" s="1" a="1"/>
  <c r="N44" i="55" s="1"/>
  <c r="U53" i="53"/>
  <c r="L53" i="53"/>
  <c r="J2" i="55" s="1"/>
  <c r="P6" i="53"/>
  <c r="P7" i="53"/>
  <c r="P17" i="53"/>
  <c r="P13" i="53"/>
  <c r="P8" i="53"/>
  <c r="P9" i="53"/>
  <c r="P10" i="53"/>
  <c r="P11" i="53"/>
  <c r="P12" i="53"/>
  <c r="P14" i="53"/>
  <c r="P15" i="53"/>
  <c r="P16" i="53"/>
  <c r="P18" i="53"/>
  <c r="P19" i="53"/>
  <c r="P20" i="53"/>
  <c r="P21"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C3" i="52"/>
  <c r="A7" i="55"/>
  <c r="F7" i="55" s="1"/>
  <c r="X14" i="53"/>
  <c r="X15" i="53"/>
  <c r="X12" i="53"/>
  <c r="X7" i="53"/>
  <c r="X8" i="53"/>
  <c r="X9" i="53"/>
  <c r="X10" i="53"/>
  <c r="X11" i="53"/>
  <c r="X13" i="53"/>
  <c r="X16" i="53"/>
  <c r="X17" i="53"/>
  <c r="X18" i="53"/>
  <c r="X19" i="53"/>
  <c r="X20" i="53"/>
  <c r="X21" i="53"/>
  <c r="AE23" i="53"/>
  <c r="X23" i="53"/>
  <c r="X24" i="53"/>
  <c r="B4" i="59"/>
  <c r="T2" i="53"/>
  <c r="O53" i="53"/>
  <c r="K2" i="53"/>
  <c r="C6" i="59"/>
  <c r="N6" i="59" s="1"/>
  <c r="C11" i="59"/>
  <c r="N11" i="59" s="1"/>
  <c r="D20" i="59"/>
  <c r="D19" i="59"/>
  <c r="D18" i="59"/>
  <c r="D13" i="59"/>
  <c r="D14" i="59" s="1"/>
  <c r="D12" i="59"/>
  <c r="D11" i="59"/>
  <c r="D6" i="59"/>
  <c r="D7" i="59" s="1"/>
  <c r="D5" i="59"/>
  <c r="D4" i="59"/>
  <c r="AD2" i="53"/>
  <c r="AC2" i="53"/>
  <c r="AB2" i="53"/>
  <c r="AA2" i="53"/>
  <c r="W2" i="53"/>
  <c r="V2" i="53"/>
  <c r="U2" i="53"/>
  <c r="R2" i="53"/>
  <c r="O2" i="53"/>
  <c r="L2" i="53"/>
  <c r="S6" i="59"/>
  <c r="R6" i="59"/>
  <c r="Q6" i="59"/>
  <c r="P6" i="59"/>
  <c r="K6" i="59"/>
  <c r="J6" i="59"/>
  <c r="I6" i="59"/>
  <c r="H6" i="59"/>
  <c r="E6" i="59"/>
  <c r="E7" i="59" s="1"/>
  <c r="B6" i="59"/>
  <c r="T6" i="59" s="1"/>
  <c r="S5" i="59"/>
  <c r="R5" i="59"/>
  <c r="Q5" i="59"/>
  <c r="P5" i="59"/>
  <c r="K5" i="59"/>
  <c r="J5" i="59"/>
  <c r="I5" i="59"/>
  <c r="H5" i="59"/>
  <c r="E5" i="59"/>
  <c r="C5" i="59"/>
  <c r="L5" i="59" s="1"/>
  <c r="B5" i="59"/>
  <c r="F5" i="59" s="1"/>
  <c r="S4" i="59"/>
  <c r="R4" i="59"/>
  <c r="Q4" i="59"/>
  <c r="P4" i="59"/>
  <c r="K4" i="59"/>
  <c r="J4" i="59"/>
  <c r="I4" i="59"/>
  <c r="H4" i="59"/>
  <c r="E4" i="59"/>
  <c r="C4" i="59"/>
  <c r="N4" i="59" s="1"/>
  <c r="I13" i="52"/>
  <c r="I12" i="52"/>
  <c r="I11" i="52"/>
  <c r="I10" i="52"/>
  <c r="I9" i="52"/>
  <c r="I8" i="52"/>
  <c r="I7" i="52"/>
  <c r="C20" i="59"/>
  <c r="N20" i="59" s="1"/>
  <c r="AE25" i="53"/>
  <c r="X25" i="53"/>
  <c r="B19" i="59"/>
  <c r="F19" i="59" s="1"/>
  <c r="E19" i="59"/>
  <c r="I12" i="59"/>
  <c r="K20" i="59"/>
  <c r="J20" i="59"/>
  <c r="K19" i="59"/>
  <c r="J19" i="59"/>
  <c r="K18" i="59"/>
  <c r="J18" i="59"/>
  <c r="K13" i="59"/>
  <c r="J13" i="59"/>
  <c r="K12" i="59"/>
  <c r="J12" i="59"/>
  <c r="K11" i="59"/>
  <c r="J11" i="59"/>
  <c r="S11" i="59"/>
  <c r="S20" i="59"/>
  <c r="R20" i="59"/>
  <c r="S19" i="59"/>
  <c r="R19" i="59"/>
  <c r="S18" i="59"/>
  <c r="R18" i="59"/>
  <c r="R21" i="59" s="1"/>
  <c r="S13" i="59"/>
  <c r="R13" i="59"/>
  <c r="R11" i="59"/>
  <c r="R12" i="59"/>
  <c r="S12" i="59"/>
  <c r="AD53" i="53"/>
  <c r="AC53" i="53"/>
  <c r="AB53" i="53"/>
  <c r="AA53" i="53"/>
  <c r="W53" i="53"/>
  <c r="V53" i="53"/>
  <c r="P13" i="59"/>
  <c r="H18" i="59"/>
  <c r="G18" i="59"/>
  <c r="M18" i="59" s="1"/>
  <c r="I18" i="59"/>
  <c r="C19" i="59"/>
  <c r="C21" i="59" s="1"/>
  <c r="C18" i="59"/>
  <c r="C12" i="59"/>
  <c r="L12" i="59" s="1"/>
  <c r="C13" i="59"/>
  <c r="N13" i="59" s="1"/>
  <c r="B18" i="59"/>
  <c r="B11" i="59"/>
  <c r="V11" i="59" s="1"/>
  <c r="B12" i="59"/>
  <c r="V12" i="59" s="1"/>
  <c r="B13" i="59"/>
  <c r="T13" i="59" s="1"/>
  <c r="Q12" i="59"/>
  <c r="Q13" i="59"/>
  <c r="Q11" i="59"/>
  <c r="P12" i="59"/>
  <c r="P11" i="59"/>
  <c r="I13" i="59"/>
  <c r="I11" i="59"/>
  <c r="H12" i="59"/>
  <c r="H11" i="59"/>
  <c r="H13" i="59"/>
  <c r="E12" i="59"/>
  <c r="E13" i="59"/>
  <c r="E11" i="59"/>
  <c r="E14" i="59" s="1"/>
  <c r="E20" i="59"/>
  <c r="Q19" i="59"/>
  <c r="Q20" i="59"/>
  <c r="Q18" i="59"/>
  <c r="V18" i="59" s="1"/>
  <c r="P18" i="59"/>
  <c r="P19" i="59"/>
  <c r="P21" i="59" s="1"/>
  <c r="P20" i="59"/>
  <c r="B20" i="59"/>
  <c r="V20" i="59" s="1"/>
  <c r="I19" i="59"/>
  <c r="I20" i="59"/>
  <c r="H19" i="59"/>
  <c r="H20" i="59"/>
  <c r="E18" i="59"/>
  <c r="F18" i="59" s="1"/>
  <c r="X6" i="53"/>
  <c r="X47" i="53"/>
  <c r="X46" i="53"/>
  <c r="X45" i="53"/>
  <c r="X44" i="53"/>
  <c r="X43" i="53"/>
  <c r="X42" i="53"/>
  <c r="X41" i="53"/>
  <c r="X39" i="53"/>
  <c r="X38" i="53"/>
  <c r="X37" i="53"/>
  <c r="X36" i="53"/>
  <c r="X35" i="53"/>
  <c r="X34" i="53"/>
  <c r="X32" i="53"/>
  <c r="X31" i="53"/>
  <c r="X30" i="53"/>
  <c r="X29" i="53"/>
  <c r="X28" i="53"/>
  <c r="X27" i="53"/>
  <c r="AE47" i="53"/>
  <c r="AE46" i="53"/>
  <c r="AE45" i="53"/>
  <c r="AE44" i="53"/>
  <c r="AE43" i="53"/>
  <c r="AE42" i="53"/>
  <c r="AE41" i="53"/>
  <c r="AE37" i="53"/>
  <c r="AE36" i="53"/>
  <c r="AE35" i="53"/>
  <c r="AE34" i="53"/>
  <c r="AE33" i="53"/>
  <c r="AE32" i="53"/>
  <c r="AE31" i="53"/>
  <c r="AE28" i="53"/>
  <c r="AE27" i="53"/>
  <c r="AE26" i="53"/>
  <c r="AE6" i="53"/>
  <c r="C7" i="26"/>
  <c r="D7"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K12" i="26" s="1"/>
  <c r="M12" i="26"/>
  <c r="R12" i="26"/>
  <c r="AD12" i="26"/>
  <c r="F14" i="26"/>
  <c r="AL14" i="26"/>
  <c r="AH12" i="26"/>
  <c r="AE14" i="26"/>
  <c r="AA12" i="26"/>
  <c r="I14" i="26"/>
  <c r="O20" i="59"/>
  <c r="U20" i="59" s="1"/>
  <c r="G20" i="59"/>
  <c r="M20" i="59" s="1"/>
  <c r="G4" i="59"/>
  <c r="M4" i="59" s="1"/>
  <c r="G6" i="59"/>
  <c r="M6" i="59"/>
  <c r="O6" i="59"/>
  <c r="U6" i="59"/>
  <c r="AE39" i="53"/>
  <c r="AE30" i="53"/>
  <c r="O12" i="59"/>
  <c r="U12" i="59" s="1"/>
  <c r="G12" i="59"/>
  <c r="M12" i="59" s="1"/>
  <c r="G13" i="59"/>
  <c r="M13" i="59" s="1"/>
  <c r="O19" i="59"/>
  <c r="U19" i="59" s="1"/>
  <c r="O5" i="59"/>
  <c r="AE38" i="53"/>
  <c r="X26" i="53"/>
  <c r="G11" i="59"/>
  <c r="M11" i="59" s="1"/>
  <c r="AE29" i="53"/>
  <c r="O18" i="59"/>
  <c r="T18" i="59" s="1"/>
  <c r="O4" i="59"/>
  <c r="U4" i="59"/>
  <c r="AE24" i="53"/>
  <c r="Z2" i="53"/>
  <c r="Z53" i="53"/>
  <c r="P135" i="55" s="1"/>
  <c r="S135" i="55" s="1"/>
  <c r="O11" i="59"/>
  <c r="U11" i="59" s="1"/>
  <c r="O13" i="59"/>
  <c r="U13" i="59" s="1"/>
  <c r="X33" i="53"/>
  <c r="X40" i="53"/>
  <c r="AE40" i="53"/>
  <c r="U14" i="26"/>
  <c r="AA14" i="26"/>
  <c r="AI12" i="26"/>
  <c r="K12" i="26"/>
  <c r="S53" i="53"/>
  <c r="X53" i="53" s="1"/>
  <c r="S2" i="53"/>
  <c r="G5" i="59"/>
  <c r="M5" i="59" s="1"/>
  <c r="G19" i="59"/>
  <c r="M19" i="59" s="1"/>
  <c r="U12" i="26"/>
  <c r="AH14" i="26"/>
  <c r="AL12" i="26"/>
  <c r="AF12" i="26"/>
  <c r="K14" i="26"/>
  <c r="I12" i="55"/>
  <c r="I8" i="55"/>
  <c r="I17" i="55"/>
  <c r="D12" i="26"/>
  <c r="P12" i="26"/>
  <c r="G14" i="26"/>
  <c r="C6" i="26"/>
  <c r="O12" i="26"/>
  <c r="H12" i="26"/>
  <c r="I12" i="26"/>
  <c r="I43" i="55"/>
  <c r="AB12" i="26"/>
  <c r="C12" i="26"/>
  <c r="P14" i="26"/>
  <c r="Z12" i="26"/>
  <c r="AG14" i="26"/>
  <c r="Y14" i="26"/>
  <c r="T14" i="26"/>
  <c r="Z14" i="26"/>
  <c r="AG12" i="26"/>
  <c r="Y12" i="26"/>
  <c r="AD14" i="26"/>
  <c r="Q17" i="55"/>
  <c r="P48" i="55"/>
  <c r="S48" i="55" s="1"/>
  <c r="I48" i="55"/>
  <c r="E48" i="55"/>
  <c r="J48" i="55"/>
  <c r="R48" i="55" s="1"/>
  <c r="T48" i="55" s="1"/>
  <c r="Q39" i="55"/>
  <c r="I44" i="55"/>
  <c r="I35" i="55"/>
  <c r="P10" i="55"/>
  <c r="S10" i="55" s="1"/>
  <c r="T10" i="55" s="1"/>
  <c r="I46" i="55"/>
  <c r="E25" i="55"/>
  <c r="Q9" i="55"/>
  <c r="J16" i="55"/>
  <c r="P16" i="55"/>
  <c r="S16" i="55" s="1"/>
  <c r="J29" i="55"/>
  <c r="I16" i="55"/>
  <c r="J7" i="55"/>
  <c r="I41" i="55"/>
  <c r="J41" i="55"/>
  <c r="Q38" i="55"/>
  <c r="I29" i="55"/>
  <c r="P42" i="55"/>
  <c r="S42" i="55" s="1"/>
  <c r="Q10" i="55"/>
  <c r="P29" i="55"/>
  <c r="S29" i="55" s="1"/>
  <c r="I11" i="55"/>
  <c r="J31" i="55"/>
  <c r="E10" i="55"/>
  <c r="T4" i="59"/>
  <c r="P41" i="55"/>
  <c r="S41" i="55" s="1"/>
  <c r="Q32" i="55"/>
  <c r="Q46" i="55"/>
  <c r="I42" i="55"/>
  <c r="M48" i="55" a="1"/>
  <c r="M48" i="55" s="1"/>
  <c r="O48" i="55" s="1"/>
  <c r="Q28" i="55"/>
  <c r="I25" i="55"/>
  <c r="I10" i="55"/>
  <c r="J25" i="55"/>
  <c r="Q45" i="55"/>
  <c r="M15" i="55" a="1"/>
  <c r="M15" i="55" s="1"/>
  <c r="Q20" i="55"/>
  <c r="J28" i="55"/>
  <c r="J15" i="55"/>
  <c r="AE2" i="53"/>
  <c r="J13" i="55"/>
  <c r="Q29" i="55"/>
  <c r="Q41" i="55"/>
  <c r="D15" i="55" a="1"/>
  <c r="D15" i="55" s="1"/>
  <c r="D25" i="55" a="1"/>
  <c r="D25" i="55" s="1"/>
  <c r="G25" i="55" s="1"/>
  <c r="P26" i="55"/>
  <c r="S26" i="55" s="1"/>
  <c r="I28" i="55"/>
  <c r="P15" i="55"/>
  <c r="S15" i="55" s="1"/>
  <c r="M23" i="55" a="1"/>
  <c r="M23" i="55" s="1"/>
  <c r="P25" i="55"/>
  <c r="S25" i="55"/>
  <c r="J45" i="55"/>
  <c r="I13" i="55"/>
  <c r="P31" i="55"/>
  <c r="S31" i="55"/>
  <c r="M47" i="55" a="1"/>
  <c r="M47" i="55" s="1"/>
  <c r="E20" i="55"/>
  <c r="J44" i="55"/>
  <c r="Q15" i="55"/>
  <c r="I15" i="55"/>
  <c r="J46" i="55"/>
  <c r="J10" i="55"/>
  <c r="Q8" i="55"/>
  <c r="F20" i="59"/>
  <c r="I45" i="55"/>
  <c r="I37" i="55"/>
  <c r="E9" i="55"/>
  <c r="P35" i="55"/>
  <c r="S35" i="55" s="1"/>
  <c r="E41" i="55"/>
  <c r="E45" i="55"/>
  <c r="L20" i="59"/>
  <c r="P45" i="55"/>
  <c r="S45" i="55" s="1"/>
  <c r="J36" i="55"/>
  <c r="R36" i="55" s="1"/>
  <c r="T36" i="55" s="1"/>
  <c r="N13" i="55" a="1"/>
  <c r="N13" i="55" s="1"/>
  <c r="Q31" i="55"/>
  <c r="Q36" i="55"/>
  <c r="P37" i="55"/>
  <c r="S37" i="55" s="1"/>
  <c r="P12" i="55"/>
  <c r="S12" i="55" s="1"/>
  <c r="Q12" i="55"/>
  <c r="N28" i="55" a="1"/>
  <c r="N28" i="55" s="1"/>
  <c r="D21" i="55" a="1"/>
  <c r="D21" i="55" s="1"/>
  <c r="N18" i="59"/>
  <c r="J42" i="55"/>
  <c r="R42" i="55" s="1"/>
  <c r="J8" i="55"/>
  <c r="R8" i="55" s="1"/>
  <c r="I38" i="55"/>
  <c r="F4" i="59"/>
  <c r="D37" i="55" a="1"/>
  <c r="D37" i="55" s="1"/>
  <c r="H37" i="55" s="1"/>
  <c r="Q21" i="55"/>
  <c r="J135" i="55"/>
  <c r="R2" i="55" s="1"/>
  <c r="D26" i="55" a="1"/>
  <c r="D26" i="55" s="1"/>
  <c r="I31" i="55"/>
  <c r="J37" i="55"/>
  <c r="P8" i="55"/>
  <c r="S8" i="55" s="1"/>
  <c r="Q35" i="55"/>
  <c r="D34" i="55" a="1"/>
  <c r="D34" i="55" s="1"/>
  <c r="L6" i="59"/>
  <c r="D35" i="55" a="1"/>
  <c r="D35" i="55" s="1"/>
  <c r="D9" i="55" a="1"/>
  <c r="D9" i="55" s="1"/>
  <c r="F12" i="55"/>
  <c r="N35" i="55" a="1"/>
  <c r="N35" i="55" s="1"/>
  <c r="E26" i="55"/>
  <c r="Q37" i="55"/>
  <c r="P44" i="55"/>
  <c r="S44" i="55" s="1"/>
  <c r="E28" i="55"/>
  <c r="N40" i="55" a="1"/>
  <c r="N40" i="55" s="1"/>
  <c r="I40" i="55"/>
  <c r="D18" i="55" a="1"/>
  <c r="D18" i="55" s="1"/>
  <c r="D40" i="55" a="1"/>
  <c r="D40" i="55" s="1"/>
  <c r="L13" i="59"/>
  <c r="D20" i="55" a="1"/>
  <c r="D20" i="55" s="1"/>
  <c r="J40" i="55"/>
  <c r="Q13" i="55"/>
  <c r="J14" i="55"/>
  <c r="P32" i="55"/>
  <c r="S32" i="55" s="1"/>
  <c r="N22" i="55" a="1"/>
  <c r="N22" i="55" s="1"/>
  <c r="V4" i="59"/>
  <c r="J23" i="55"/>
  <c r="D12" i="55" a="1"/>
  <c r="D12" i="55" s="1"/>
  <c r="G12" i="55" s="1"/>
  <c r="Q40" i="55"/>
  <c r="D17" i="55" a="1"/>
  <c r="D17" i="55" s="1"/>
  <c r="V5" i="59"/>
  <c r="E29" i="55"/>
  <c r="E23" i="55"/>
  <c r="N42" i="55" a="1"/>
  <c r="N42" i="55" s="1"/>
  <c r="N38" i="55" a="1"/>
  <c r="N38" i="55" s="1"/>
  <c r="E17" i="55"/>
  <c r="P13" i="55"/>
  <c r="S13" i="55" s="1"/>
  <c r="D47" i="55" a="1"/>
  <c r="D47" i="55" s="1"/>
  <c r="G47" i="55" s="1"/>
  <c r="E44" i="55"/>
  <c r="D23" i="55" a="1"/>
  <c r="D23" i="55" s="1"/>
  <c r="K23" i="55" s="1" a="1"/>
  <c r="K23" i="55" s="1"/>
  <c r="L11" i="59"/>
  <c r="O21" i="59"/>
  <c r="U21" i="59" s="1"/>
  <c r="P43" i="55"/>
  <c r="S43" i="55" s="1"/>
  <c r="N47" i="55" a="1"/>
  <c r="N47" i="55" s="1"/>
  <c r="P40" i="55"/>
  <c r="S40" i="55" s="1"/>
  <c r="T40" i="55" s="1"/>
  <c r="S14" i="59"/>
  <c r="I18" i="55"/>
  <c r="I47" i="55"/>
  <c r="P17" i="55"/>
  <c r="S17" i="55" s="1"/>
  <c r="I14" i="55"/>
  <c r="J47" i="55"/>
  <c r="N23" i="55" a="1"/>
  <c r="N23" i="55" s="1"/>
  <c r="N25" i="55" a="1"/>
  <c r="N25" i="55" s="1"/>
  <c r="N37" i="55" a="1"/>
  <c r="N37" i="55" s="1"/>
  <c r="D14" i="55" a="1"/>
  <c r="D14" i="55" s="1"/>
  <c r="K14" i="59"/>
  <c r="N12" i="55" a="1"/>
  <c r="N12" i="55" s="1"/>
  <c r="E13" i="55"/>
  <c r="J18" i="55"/>
  <c r="J21" i="59"/>
  <c r="I7" i="59"/>
  <c r="Q18" i="55"/>
  <c r="N18" i="55" a="1"/>
  <c r="N18" i="55" s="1"/>
  <c r="V13" i="59"/>
  <c r="F13" i="59"/>
  <c r="B14" i="59"/>
  <c r="V14" i="59" s="1"/>
  <c r="T11" i="59"/>
  <c r="F11" i="59"/>
  <c r="E46" i="55"/>
  <c r="N46" i="55" a="1"/>
  <c r="N46" i="55" s="1"/>
  <c r="D46" i="55" a="1"/>
  <c r="D46" i="55" s="1"/>
  <c r="P46" i="55"/>
  <c r="S46" i="55" s="1"/>
  <c r="T46" i="55" s="1"/>
  <c r="F46" i="55"/>
  <c r="E39" i="55"/>
  <c r="E38" i="55"/>
  <c r="P38" i="55"/>
  <c r="S38" i="55" s="1"/>
  <c r="J38" i="55"/>
  <c r="N135" i="55"/>
  <c r="N31" i="55" a="1"/>
  <c r="N31" i="55" s="1"/>
  <c r="N41" i="55" a="1"/>
  <c r="N41" i="55" s="1"/>
  <c r="M42" i="55" a="1"/>
  <c r="M42" i="55" s="1"/>
  <c r="D39" i="55" a="1"/>
  <c r="D39" i="55" s="1"/>
  <c r="F31" i="55"/>
  <c r="N10" i="55" a="1"/>
  <c r="N10" i="55" s="1"/>
  <c r="E12" i="26"/>
  <c r="D44" i="55" a="1"/>
  <c r="D44" i="55" s="1"/>
  <c r="F36" i="55"/>
  <c r="I135" i="55"/>
  <c r="I2" i="55"/>
  <c r="E36" i="55"/>
  <c r="C11" i="55"/>
  <c r="E11" i="55"/>
  <c r="F11" i="55"/>
  <c r="B11" i="55"/>
  <c r="N8" i="55" a="1"/>
  <c r="N8" i="55" s="1"/>
  <c r="J11" i="55"/>
  <c r="N21" i="55" a="1"/>
  <c r="N21" i="55" s="1"/>
  <c r="C9" i="55"/>
  <c r="M14" i="26"/>
  <c r="J24" i="55"/>
  <c r="D24" i="55" a="1"/>
  <c r="D24" i="55" s="1"/>
  <c r="P24" i="55"/>
  <c r="S24" i="55" s="1"/>
  <c r="B15" i="55"/>
  <c r="N2" i="53"/>
  <c r="N16" i="55" a="1"/>
  <c r="N16" i="55" s="1"/>
  <c r="N2" i="55"/>
  <c r="F26" i="55"/>
  <c r="V12" i="26"/>
  <c r="C47" i="55"/>
  <c r="P47" i="55"/>
  <c r="R47" i="55" s="1"/>
  <c r="F47" i="55"/>
  <c r="E30" i="55"/>
  <c r="J22" i="55"/>
  <c r="R22" i="55" s="1"/>
  <c r="D22" i="55" a="1"/>
  <c r="D22" i="55" s="1"/>
  <c r="H22" i="55" s="1"/>
  <c r="N26" i="55" a="1"/>
  <c r="N26" i="55" s="1"/>
  <c r="N15" i="55" a="1"/>
  <c r="N15" i="55" s="1"/>
  <c r="O15" i="55" s="1"/>
  <c r="C21" i="55"/>
  <c r="S12" i="26"/>
  <c r="Q12" i="26"/>
  <c r="C10" i="55"/>
  <c r="C31" i="55"/>
  <c r="G2" i="26"/>
  <c r="L14" i="26"/>
  <c r="Q14" i="26"/>
  <c r="N53" i="53"/>
  <c r="K2" i="55" s="1"/>
  <c r="B41" i="55"/>
  <c r="J21" i="55"/>
  <c r="I21" i="55"/>
  <c r="P21" i="55"/>
  <c r="S21" i="55" s="1"/>
  <c r="D36" i="55" a="1"/>
  <c r="D36" i="55" s="1"/>
  <c r="N36" i="55" a="1"/>
  <c r="N36" i="55" s="1"/>
  <c r="J33" i="55"/>
  <c r="F33" i="55"/>
  <c r="D33" i="55" a="1"/>
  <c r="D33" i="55" s="1"/>
  <c r="P30" i="55"/>
  <c r="R30" i="55" s="1"/>
  <c r="S30" i="55"/>
  <c r="D30" i="55" a="1"/>
  <c r="D30" i="55" s="1"/>
  <c r="N29" i="55" a="1"/>
  <c r="N29" i="55"/>
  <c r="P11" i="55"/>
  <c r="S11" i="55" s="1"/>
  <c r="AK14" i="26"/>
  <c r="AC14" i="26"/>
  <c r="T12" i="26"/>
  <c r="P22" i="55"/>
  <c r="S22" i="55"/>
  <c r="B21" i="59"/>
  <c r="T21" i="59" s="1"/>
  <c r="Q22" i="55"/>
  <c r="F29" i="55"/>
  <c r="N43" i="55" a="1"/>
  <c r="N43" i="55" s="1"/>
  <c r="I30" i="55"/>
  <c r="N48" i="55" a="1"/>
  <c r="N48" i="55" s="1"/>
  <c r="Q30" i="55"/>
  <c r="Q11" i="55"/>
  <c r="AE12" i="26"/>
  <c r="X12" i="26"/>
  <c r="AI14" i="26"/>
  <c r="B6" i="26"/>
  <c r="AB14" i="26"/>
  <c r="AJ12" i="26"/>
  <c r="V14" i="26"/>
  <c r="AF14" i="26"/>
  <c r="F12" i="26"/>
  <c r="B12" i="26"/>
  <c r="R14" i="26"/>
  <c r="O14" i="26"/>
  <c r="N12" i="26"/>
  <c r="AJ14" i="26"/>
  <c r="AC12" i="26"/>
  <c r="W14" i="26"/>
  <c r="H14" i="26"/>
  <c r="L12" i="26"/>
  <c r="J14" i="26"/>
  <c r="B35" i="55"/>
  <c r="E33" i="55"/>
  <c r="D43" i="55" a="1"/>
  <c r="D43" i="55" s="1"/>
  <c r="J43" i="55"/>
  <c r="R43" i="55" s="1"/>
  <c r="T43" i="55" s="1"/>
  <c r="E43" i="55"/>
  <c r="P14" i="55"/>
  <c r="S14" i="55" s="1"/>
  <c r="Q14" i="55"/>
  <c r="E14" i="55"/>
  <c r="F9" i="55"/>
  <c r="P33" i="55"/>
  <c r="S33" i="55" s="1"/>
  <c r="F42" i="55"/>
  <c r="E42" i="55"/>
  <c r="C14" i="55"/>
  <c r="L4" i="59"/>
  <c r="E16" i="55"/>
  <c r="Q42" i="55"/>
  <c r="M43" i="55" a="1"/>
  <c r="M43" i="55" s="1"/>
  <c r="F18" i="55"/>
  <c r="L19" i="59"/>
  <c r="P7" i="59"/>
  <c r="D27" i="55" a="1"/>
  <c r="D27" i="55" s="1"/>
  <c r="G27" i="55" s="1"/>
  <c r="F22" i="55"/>
  <c r="E8" i="55"/>
  <c r="I36" i="55"/>
  <c r="I22" i="55"/>
  <c r="G12" i="26"/>
  <c r="X14" i="26"/>
  <c r="E47" i="55"/>
  <c r="J35" i="55"/>
  <c r="B29" i="55"/>
  <c r="F24" i="55"/>
  <c r="E22" i="55"/>
  <c r="P20" i="55"/>
  <c r="S20" i="55" s="1"/>
  <c r="J20" i="55"/>
  <c r="N20" i="55" a="1"/>
  <c r="N20" i="55" s="1"/>
  <c r="F20" i="55"/>
  <c r="D16" i="55" a="1"/>
  <c r="D16" i="55" s="1"/>
  <c r="D11" i="55" a="1"/>
  <c r="D11" i="55" s="1"/>
  <c r="G11" i="55" s="1"/>
  <c r="E18" i="55"/>
  <c r="D32" i="55" a="1"/>
  <c r="D32" i="55" s="1"/>
  <c r="R41" i="55"/>
  <c r="R10" i="55"/>
  <c r="R40" i="55"/>
  <c r="R37" i="55"/>
  <c r="T37" i="55"/>
  <c r="R15" i="55"/>
  <c r="R16" i="55"/>
  <c r="T16" i="55" s="1"/>
  <c r="R44" i="55"/>
  <c r="R29" i="55"/>
  <c r="R45" i="55"/>
  <c r="T45" i="55" s="1"/>
  <c r="R13" i="55"/>
  <c r="S2" i="55"/>
  <c r="R25" i="55"/>
  <c r="T25" i="55"/>
  <c r="T14" i="59"/>
  <c r="R46" i="55"/>
  <c r="D6" i="57"/>
  <c r="D8" i="57"/>
  <c r="D9" i="57"/>
  <c r="D11" i="57"/>
  <c r="D7" i="57"/>
  <c r="D5" i="57"/>
  <c r="D12" i="57"/>
  <c r="D10" i="57"/>
  <c r="C19" i="55" l="1"/>
  <c r="B34" i="55"/>
  <c r="C14" i="59"/>
  <c r="P27" i="55"/>
  <c r="S27" i="55" s="1"/>
  <c r="D28" i="55" a="1"/>
  <c r="D28" i="55" s="1"/>
  <c r="H28" i="55" s="1"/>
  <c r="I27" i="55"/>
  <c r="P39" i="55"/>
  <c r="S39" i="55" s="1"/>
  <c r="R14" i="59"/>
  <c r="C20" i="55"/>
  <c r="I24" i="55"/>
  <c r="H14" i="59"/>
  <c r="L18" i="59"/>
  <c r="D21" i="59"/>
  <c r="M39" i="55" a="1"/>
  <c r="M39" i="55" s="1"/>
  <c r="B47" i="55"/>
  <c r="B30" i="55"/>
  <c r="O18" i="55"/>
  <c r="C29" i="55"/>
  <c r="B32" i="55"/>
  <c r="B25" i="55"/>
  <c r="C22" i="55"/>
  <c r="F27" i="55"/>
  <c r="R21" i="55"/>
  <c r="T21" i="55" s="1"/>
  <c r="F34" i="55"/>
  <c r="B13" i="55"/>
  <c r="N9" i="55" a="1"/>
  <c r="N9" i="55" s="1"/>
  <c r="G7" i="59"/>
  <c r="M7" i="59" s="1"/>
  <c r="P9" i="55"/>
  <c r="S9" i="55" s="1"/>
  <c r="I39" i="55"/>
  <c r="I21" i="59"/>
  <c r="D31" i="55" a="1"/>
  <c r="D31" i="55" s="1"/>
  <c r="L31" i="55" s="1" a="1"/>
  <c r="L31" i="55" s="1"/>
  <c r="R28" i="55"/>
  <c r="N19" i="59"/>
  <c r="F15" i="55"/>
  <c r="B21" i="55"/>
  <c r="S47" i="55"/>
  <c r="T47" i="55" s="1"/>
  <c r="F17" i="55"/>
  <c r="G14" i="59"/>
  <c r="M14" i="59" s="1"/>
  <c r="P2" i="53"/>
  <c r="R31" i="55"/>
  <c r="T31" i="55" s="1"/>
  <c r="J9" i="55"/>
  <c r="J7" i="59"/>
  <c r="S7" i="59"/>
  <c r="P53" i="53"/>
  <c r="L135" i="55" s="1"/>
  <c r="R11" i="55"/>
  <c r="O42" i="55"/>
  <c r="R27" i="55"/>
  <c r="T27" i="55" s="1"/>
  <c r="I3" i="52"/>
  <c r="E34" i="55"/>
  <c r="I34" i="55"/>
  <c r="Q14" i="59"/>
  <c r="J14" i="59"/>
  <c r="R7" i="59"/>
  <c r="T30" i="55"/>
  <c r="G21" i="59"/>
  <c r="M21" i="59" s="1"/>
  <c r="J34" i="55"/>
  <c r="P34" i="55"/>
  <c r="S34" i="55" s="1"/>
  <c r="O7" i="59"/>
  <c r="U7" i="59" s="1"/>
  <c r="I4" i="52"/>
  <c r="K41" i="55" a="1"/>
  <c r="K41" i="55" s="1"/>
  <c r="N19" i="55" a="1"/>
  <c r="N19" i="55" s="1"/>
  <c r="N12" i="59"/>
  <c r="G20" i="55"/>
  <c r="H20" i="55"/>
  <c r="H11" i="55"/>
  <c r="G43" i="55"/>
  <c r="H23" i="55"/>
  <c r="H40" i="55"/>
  <c r="K40" i="55" a="1"/>
  <c r="K40" i="55" s="1"/>
  <c r="G40" i="55"/>
  <c r="H44" i="55"/>
  <c r="G14" i="55"/>
  <c r="K14" i="55" a="1"/>
  <c r="K14" i="55" s="1"/>
  <c r="H26" i="55"/>
  <c r="L41" i="55" a="1"/>
  <c r="L41" i="55" s="1"/>
  <c r="K35" i="55" a="1"/>
  <c r="K35" i="55" s="1"/>
  <c r="G35" i="55"/>
  <c r="H35" i="55"/>
  <c r="L33" i="55" a="1"/>
  <c r="L33" i="55" s="1"/>
  <c r="G33" i="55"/>
  <c r="G9" i="55"/>
  <c r="H9" i="55"/>
  <c r="K9" i="55" a="1"/>
  <c r="K9" i="55" s="1"/>
  <c r="G36" i="55"/>
  <c r="H36" i="55"/>
  <c r="T42" i="55"/>
  <c r="M2" i="55"/>
  <c r="E19" i="55"/>
  <c r="E7" i="55"/>
  <c r="T19" i="59"/>
  <c r="J12" i="55"/>
  <c r="R12" i="55" s="1"/>
  <c r="T12" i="55" s="1"/>
  <c r="U5" i="59"/>
  <c r="B33" i="55"/>
  <c r="R33" i="55"/>
  <c r="Q21" i="59"/>
  <c r="V21" i="59" s="1"/>
  <c r="C12" i="55"/>
  <c r="F39" i="55"/>
  <c r="C24" i="55"/>
  <c r="R24" i="55"/>
  <c r="T24" i="55" s="1"/>
  <c r="F16" i="55"/>
  <c r="I33" i="55"/>
  <c r="R38" i="55"/>
  <c r="T5" i="59"/>
  <c r="R18" i="55"/>
  <c r="T18" i="55" s="1"/>
  <c r="B37" i="55"/>
  <c r="C39" i="55"/>
  <c r="M34" i="55" a="1"/>
  <c r="M34" i="55" s="1"/>
  <c r="M14" i="55" a="1"/>
  <c r="M14" i="55" s="1"/>
  <c r="B17" i="55"/>
  <c r="C35" i="55"/>
  <c r="M32" i="55" a="1"/>
  <c r="M32" i="55" s="1"/>
  <c r="T41" i="55"/>
  <c r="G23" i="55"/>
  <c r="F13" i="55"/>
  <c r="C40" i="55"/>
  <c r="K135" i="55"/>
  <c r="K11" i="55" a="1"/>
  <c r="K11" i="55" s="1"/>
  <c r="R14" i="55"/>
  <c r="F48" i="55"/>
  <c r="B26" i="55"/>
  <c r="B39" i="55"/>
  <c r="C26" i="55"/>
  <c r="C16" i="55"/>
  <c r="C48" i="55"/>
  <c r="F38" i="55"/>
  <c r="V6" i="59"/>
  <c r="O23" i="55"/>
  <c r="F28" i="55"/>
  <c r="K56" i="53"/>
  <c r="T44" i="55"/>
  <c r="C8" i="55"/>
  <c r="T15" i="55"/>
  <c r="M17" i="55" a="1"/>
  <c r="M17" i="55" s="1"/>
  <c r="D7" i="55" a="1"/>
  <c r="D7" i="55" s="1"/>
  <c r="G7" i="55" s="1"/>
  <c r="Q7" i="55"/>
  <c r="F12" i="59"/>
  <c r="Q135" i="55"/>
  <c r="R17" i="55"/>
  <c r="T22" i="55"/>
  <c r="C36" i="55"/>
  <c r="B16" i="55"/>
  <c r="B48" i="55"/>
  <c r="F6" i="59"/>
  <c r="M30" i="55" a="1"/>
  <c r="M30" i="55" s="1"/>
  <c r="C33" i="55"/>
  <c r="B36" i="55"/>
  <c r="F19" i="55"/>
  <c r="C18" i="55"/>
  <c r="M8" i="55" a="1"/>
  <c r="M8" i="55" s="1"/>
  <c r="O8" i="55" s="1"/>
  <c r="B7" i="55"/>
  <c r="M45" i="55" a="1"/>
  <c r="M45" i="55" s="1"/>
  <c r="M27" i="55" a="1"/>
  <c r="M27" i="55" s="1"/>
  <c r="V19" i="59"/>
  <c r="C7" i="55"/>
  <c r="N17" i="55" a="1"/>
  <c r="N17" i="55" s="1"/>
  <c r="O17" i="55" s="1"/>
  <c r="F45" i="55"/>
  <c r="N33" i="55" a="1"/>
  <c r="N33" i="55" s="1"/>
  <c r="O33" i="55" s="1"/>
  <c r="B38" i="55"/>
  <c r="F41" i="55"/>
  <c r="C44" i="55"/>
  <c r="B45" i="55"/>
  <c r="M38" i="55" a="1"/>
  <c r="M38" i="55" s="1"/>
  <c r="O38" i="55" s="1"/>
  <c r="M33" i="55" a="1"/>
  <c r="M33" i="55" s="1"/>
  <c r="M35" i="55" a="1"/>
  <c r="M35" i="55" s="1"/>
  <c r="O35" i="55" s="1"/>
  <c r="M21" i="55" a="1"/>
  <c r="M21" i="55" s="1"/>
  <c r="O21" i="55" s="1"/>
  <c r="B8" i="55"/>
  <c r="F8" i="55"/>
  <c r="B40" i="55"/>
  <c r="C37" i="55"/>
  <c r="B14" i="55"/>
  <c r="F23" i="55"/>
  <c r="B10" i="55"/>
  <c r="T12" i="59"/>
  <c r="C43" i="55"/>
  <c r="F32" i="55"/>
  <c r="C28" i="55"/>
  <c r="C13" i="55"/>
  <c r="E21" i="59"/>
  <c r="F10" i="55"/>
  <c r="E27" i="55"/>
  <c r="I5" i="52"/>
  <c r="P23" i="55"/>
  <c r="M7" i="55" a="1"/>
  <c r="M7" i="55" s="1"/>
  <c r="I7" i="55"/>
  <c r="J19" i="55"/>
  <c r="P7" i="55"/>
  <c r="R7" i="55" s="1"/>
  <c r="M36" i="55" a="1"/>
  <c r="M36" i="55" s="1"/>
  <c r="O36" i="55" s="1"/>
  <c r="M25" i="55" a="1"/>
  <c r="M25" i="55" s="1"/>
  <c r="O25" i="55" s="1"/>
  <c r="T28" i="55"/>
  <c r="M40" i="55" a="1"/>
  <c r="M40" i="55" s="1"/>
  <c r="O40" i="55" s="1"/>
  <c r="M46" i="55" a="1"/>
  <c r="M46" i="55" s="1"/>
  <c r="O46" i="55" s="1"/>
  <c r="C25" i="55"/>
  <c r="C34" i="55"/>
  <c r="B19" i="55"/>
  <c r="B22" i="55"/>
  <c r="C32" i="55"/>
  <c r="B43" i="55"/>
  <c r="M37" i="55" a="1"/>
  <c r="M37" i="55" s="1"/>
  <c r="Q19" i="55"/>
  <c r="I32" i="55"/>
  <c r="M24" i="55" a="1"/>
  <c r="M24" i="55" s="1"/>
  <c r="C7" i="59"/>
  <c r="I19" i="55"/>
  <c r="K48" i="55" a="1"/>
  <c r="K48" i="55" s="1"/>
  <c r="T13" i="55"/>
  <c r="C23" i="55"/>
  <c r="F37" i="55"/>
  <c r="C41" i="55"/>
  <c r="C15" i="55"/>
  <c r="C27" i="55"/>
  <c r="C17" i="55"/>
  <c r="B7" i="59"/>
  <c r="T7" i="59" s="1"/>
  <c r="B12" i="55"/>
  <c r="T8" i="55"/>
  <c r="I23" i="55"/>
  <c r="J32" i="55"/>
  <c r="K32" i="55" s="1" a="1"/>
  <c r="K32" i="55" s="1"/>
  <c r="Q27" i="55"/>
  <c r="T29" i="55"/>
  <c r="K21" i="59"/>
  <c r="N5" i="59"/>
  <c r="M11" i="55" a="1"/>
  <c r="M11" i="55" s="1"/>
  <c r="B42" i="55"/>
  <c r="C45" i="55"/>
  <c r="B20" i="55"/>
  <c r="B44" i="55"/>
  <c r="B23" i="55"/>
  <c r="F30" i="55"/>
  <c r="F25" i="55"/>
  <c r="F43" i="55"/>
  <c r="D19" i="55" a="1"/>
  <c r="D19" i="55" s="1"/>
  <c r="F21" i="55"/>
  <c r="B27" i="55"/>
  <c r="B28" i="55"/>
  <c r="K46" i="55" a="1"/>
  <c r="K46" i="55" s="1"/>
  <c r="B31" i="55"/>
  <c r="C30" i="55"/>
  <c r="M135" i="55"/>
  <c r="O135" i="55" s="1"/>
  <c r="M10" i="55" a="1"/>
  <c r="M10" i="55" s="1"/>
  <c r="O10" i="55" s="1"/>
  <c r="M16" i="55" a="1"/>
  <c r="M16" i="55" s="1"/>
  <c r="O16" i="55" s="1"/>
  <c r="M9" i="55" a="1"/>
  <c r="M9" i="55" s="1"/>
  <c r="M22" i="55" a="1"/>
  <c r="M22" i="55" s="1"/>
  <c r="O22" i="55" s="1"/>
  <c r="M26" i="55" a="1"/>
  <c r="M26" i="55" s="1"/>
  <c r="O26" i="55" s="1"/>
  <c r="M28" i="55" a="1"/>
  <c r="M28" i="55" s="1"/>
  <c r="O28" i="55" s="1"/>
  <c r="B9" i="55"/>
  <c r="K39" i="55" a="1"/>
  <c r="K39" i="55" s="1"/>
  <c r="F44" i="55"/>
  <c r="F35" i="55"/>
  <c r="M31" i="55" a="1"/>
  <c r="M31" i="55" s="1"/>
  <c r="O31" i="55" s="1"/>
  <c r="M41" i="55" a="1"/>
  <c r="M41" i="55" s="1"/>
  <c r="O41" i="55" s="1"/>
  <c r="O14" i="59"/>
  <c r="U14" i="59" s="1"/>
  <c r="P14" i="59"/>
  <c r="S21" i="59"/>
  <c r="K7" i="59"/>
  <c r="M13" i="55" a="1"/>
  <c r="M13" i="55" s="1"/>
  <c r="O13" i="55" s="1"/>
  <c r="M44" i="55" a="1"/>
  <c r="M44" i="55" s="1"/>
  <c r="M29" i="55" a="1"/>
  <c r="M29" i="55" s="1"/>
  <c r="O29" i="55" s="1"/>
  <c r="M19" i="55" a="1"/>
  <c r="M19" i="55" s="1"/>
  <c r="O19" i="55" s="1"/>
  <c r="M12" i="55" a="1"/>
  <c r="M12" i="55" s="1"/>
  <c r="O12" i="55" s="1"/>
  <c r="J26" i="55"/>
  <c r="R26" i="55" s="1"/>
  <c r="T26" i="55" s="1"/>
  <c r="I26" i="55"/>
  <c r="C42" i="55"/>
  <c r="B46" i="55"/>
  <c r="F40" i="55"/>
  <c r="M20" i="55" a="1"/>
  <c r="M20" i="55" s="1"/>
  <c r="O20" i="55" s="1"/>
  <c r="H21" i="59"/>
  <c r="N21" i="59" s="1"/>
  <c r="I14" i="59"/>
  <c r="H7" i="59"/>
  <c r="Q7" i="59"/>
  <c r="I6" i="52"/>
  <c r="D13" i="57"/>
  <c r="E5" i="57"/>
  <c r="E6" i="57" s="1"/>
  <c r="E7" i="57" s="1"/>
  <c r="E8" i="57" s="1"/>
  <c r="E9" i="57" s="1"/>
  <c r="E10" i="57" s="1"/>
  <c r="E11" i="57" s="1"/>
  <c r="E12" i="57" s="1"/>
  <c r="L32" i="55" a="1"/>
  <c r="L32" i="55" s="1"/>
  <c r="G32" i="55"/>
  <c r="H32" i="55"/>
  <c r="R135" i="55"/>
  <c r="G21" i="55"/>
  <c r="H21" i="55"/>
  <c r="H15" i="55"/>
  <c r="K15" i="55" a="1"/>
  <c r="K15" i="55" s="1"/>
  <c r="G15" i="55"/>
  <c r="H33" i="55"/>
  <c r="H24" i="55"/>
  <c r="G24" i="55"/>
  <c r="O47" i="55"/>
  <c r="D6" i="26"/>
  <c r="E7" i="26"/>
  <c r="R19" i="55"/>
  <c r="S19" i="55"/>
  <c r="H16" i="55"/>
  <c r="G16" i="55"/>
  <c r="K28" i="55" a="1"/>
  <c r="K28" i="55" s="1"/>
  <c r="G28" i="55"/>
  <c r="K18" i="55" a="1"/>
  <c r="K18" i="55" s="1"/>
  <c r="L36" i="55" a="1"/>
  <c r="L36" i="55" s="1"/>
  <c r="L37" i="55" a="1"/>
  <c r="L37" i="55" s="1"/>
  <c r="K31" i="55" a="1"/>
  <c r="K31" i="55" s="1"/>
  <c r="L21" i="55" a="1"/>
  <c r="L21" i="55" s="1"/>
  <c r="R20" i="55"/>
  <c r="T20" i="55" s="1"/>
  <c r="G30" i="55"/>
  <c r="H30" i="55"/>
  <c r="G10" i="55"/>
  <c r="H10" i="55"/>
  <c r="K10" i="55" a="1"/>
  <c r="K10" i="55" s="1"/>
  <c r="H31" i="55"/>
  <c r="K8" i="55" a="1"/>
  <c r="K8" i="55" s="1"/>
  <c r="H8" i="55"/>
  <c r="L8" i="55" a="1"/>
  <c r="L8" i="55" s="1"/>
  <c r="G8" i="55"/>
  <c r="T17" i="55"/>
  <c r="G48" i="55"/>
  <c r="H48" i="55"/>
  <c r="G44" i="55"/>
  <c r="K44" i="55" a="1"/>
  <c r="K44" i="55" s="1"/>
  <c r="F21" i="59" a="1"/>
  <c r="F21" i="59" s="1"/>
  <c r="L40" i="55" a="1"/>
  <c r="L40" i="55" s="1"/>
  <c r="F14" i="59" a="1"/>
  <c r="F14" i="59" s="1"/>
  <c r="K16" i="55" a="1"/>
  <c r="K16" i="55" s="1"/>
  <c r="G46" i="55"/>
  <c r="T11" i="55"/>
  <c r="G39" i="55"/>
  <c r="L39" i="55" a="1"/>
  <c r="L39" i="55" s="1"/>
  <c r="H39" i="55"/>
  <c r="H46" i="55"/>
  <c r="K20" i="55" a="1"/>
  <c r="K20" i="55" s="1"/>
  <c r="L16" i="55" a="1"/>
  <c r="L16" i="55" s="1"/>
  <c r="K22" i="55" a="1"/>
  <c r="K22" i="55" s="1"/>
  <c r="L22" i="55" a="1"/>
  <c r="L22" i="55" s="1"/>
  <c r="G22" i="55"/>
  <c r="O37" i="55"/>
  <c r="H17" i="55"/>
  <c r="G17" i="55"/>
  <c r="K17" i="55" a="1"/>
  <c r="K17" i="55" s="1"/>
  <c r="L34" i="55" a="1"/>
  <c r="L34" i="55" s="1"/>
  <c r="H34" i="55"/>
  <c r="K34" i="55" a="1"/>
  <c r="K34" i="55" s="1"/>
  <c r="G34" i="55"/>
  <c r="O43" i="55"/>
  <c r="G37" i="55"/>
  <c r="K37" i="55" a="1"/>
  <c r="K37" i="55" s="1"/>
  <c r="K13" i="55" a="1"/>
  <c r="K13" i="55" s="1"/>
  <c r="L13" i="55" a="1"/>
  <c r="L13" i="55" s="1"/>
  <c r="G13" i="55"/>
  <c r="H13" i="55"/>
  <c r="T33" i="55"/>
  <c r="K24" i="55" a="1"/>
  <c r="K24" i="55" s="1"/>
  <c r="K12" i="55" a="1"/>
  <c r="K12" i="55" s="1"/>
  <c r="H12" i="55"/>
  <c r="G41" i="55"/>
  <c r="H41" i="55"/>
  <c r="K45" i="55" a="1"/>
  <c r="K45" i="55" s="1"/>
  <c r="G45" i="55"/>
  <c r="H45" i="55"/>
  <c r="H29" i="55"/>
  <c r="G29" i="55"/>
  <c r="K29" i="55" a="1"/>
  <c r="K29" i="55" s="1"/>
  <c r="L29" i="55" a="1"/>
  <c r="L29" i="55" s="1"/>
  <c r="K27" i="55" a="1"/>
  <c r="K27" i="55" s="1"/>
  <c r="H27" i="55"/>
  <c r="L27" i="55" a="1"/>
  <c r="L27" i="55" s="1"/>
  <c r="K30" i="55" a="1"/>
  <c r="K30" i="55" s="1"/>
  <c r="K21" i="55" a="1"/>
  <c r="K21" i="55" s="1"/>
  <c r="T14" i="55"/>
  <c r="K33" i="55" a="1"/>
  <c r="K33" i="55" s="1"/>
  <c r="G18" i="55"/>
  <c r="H18" i="55"/>
  <c r="L18" i="55" a="1"/>
  <c r="L18" i="55" s="1"/>
  <c r="L11" i="55" a="1"/>
  <c r="L11" i="55" s="1"/>
  <c r="K36" i="55" a="1"/>
  <c r="K36" i="55" s="1"/>
  <c r="T38" i="55"/>
  <c r="K47" i="55" a="1"/>
  <c r="K47" i="55" s="1"/>
  <c r="L47" i="55" a="1"/>
  <c r="L47" i="55" s="1"/>
  <c r="H47" i="55"/>
  <c r="K38" i="55" a="1"/>
  <c r="K38" i="55" s="1"/>
  <c r="H38" i="55"/>
  <c r="H42" i="55"/>
  <c r="G42" i="55"/>
  <c r="L42" i="55" a="1"/>
  <c r="L42" i="55" s="1"/>
  <c r="O44" i="55"/>
  <c r="K25" i="55" a="1"/>
  <c r="K25" i="55" s="1"/>
  <c r="K42" i="55" a="1"/>
  <c r="K42" i="55" s="1"/>
  <c r="K43" i="55" a="1"/>
  <c r="K43" i="55" s="1"/>
  <c r="H43" i="55"/>
  <c r="H25" i="55"/>
  <c r="L25" i="55" a="1"/>
  <c r="L25" i="55" s="1"/>
  <c r="H14" i="55"/>
  <c r="G26" i="55"/>
  <c r="R32" i="55"/>
  <c r="T32" i="55" s="1"/>
  <c r="N32" i="55" a="1"/>
  <c r="N32" i="55" s="1"/>
  <c r="O32" i="55" s="1"/>
  <c r="Q2" i="55"/>
  <c r="N14" i="26"/>
  <c r="L21" i="59"/>
  <c r="B18" i="55"/>
  <c r="N27" i="55" a="1"/>
  <c r="N27" i="55" s="1"/>
  <c r="O27" i="55" s="1"/>
  <c r="B24" i="55"/>
  <c r="N39" i="55" a="1"/>
  <c r="N39" i="55" s="1"/>
  <c r="O39" i="55" s="1"/>
  <c r="N45" i="55" a="1"/>
  <c r="N45" i="55" s="1"/>
  <c r="O45" i="55" s="1"/>
  <c r="T20" i="59"/>
  <c r="J12" i="26"/>
  <c r="X2" i="53"/>
  <c r="P2" i="55"/>
  <c r="N34" i="55" a="1"/>
  <c r="N34" i="55" s="1"/>
  <c r="O34" i="55" s="1"/>
  <c r="S14" i="26"/>
  <c r="W12" i="26"/>
  <c r="AE53" i="53"/>
  <c r="N30" i="55" a="1"/>
  <c r="N30" i="55" s="1"/>
  <c r="O30" i="55" s="1"/>
  <c r="U18" i="59"/>
  <c r="S7" i="55"/>
  <c r="T7" i="55" s="1"/>
  <c r="N14" i="55" a="1"/>
  <c r="N14" i="55" s="1"/>
  <c r="O14" i="55" s="1"/>
  <c r="R35" i="55"/>
  <c r="T35" i="55" s="1"/>
  <c r="C46" i="55"/>
  <c r="N11" i="55" a="1"/>
  <c r="N11" i="55" s="1"/>
  <c r="O11" i="55" s="1"/>
  <c r="N24" i="55" a="1"/>
  <c r="N24" i="55" s="1"/>
  <c r="O24" i="55" s="1"/>
  <c r="N7" i="55" a="1"/>
  <c r="N7" i="55" s="1"/>
  <c r="O7" i="55" s="1"/>
  <c r="L15" i="55" l="1" a="1"/>
  <c r="L15" i="55" s="1"/>
  <c r="L35" i="55" a="1"/>
  <c r="L35" i="55" s="1"/>
  <c r="L14" i="55" a="1"/>
  <c r="L14" i="55" s="1"/>
  <c r="L20" i="55" a="1"/>
  <c r="L20" i="55" s="1"/>
  <c r="L44" i="55" a="1"/>
  <c r="L44" i="55" s="1"/>
  <c r="R34" i="55"/>
  <c r="T34" i="55" s="1"/>
  <c r="R9" i="55"/>
  <c r="T9" i="55" s="1"/>
  <c r="L2" i="55"/>
  <c r="G31" i="55"/>
  <c r="L28" i="55" a="1"/>
  <c r="L28" i="55" s="1"/>
  <c r="L12" i="55" a="1"/>
  <c r="L12" i="55" s="1"/>
  <c r="L23" i="55" a="1"/>
  <c r="L23" i="55" s="1"/>
  <c r="L46" i="55" a="1"/>
  <c r="L46" i="55" s="1"/>
  <c r="L45" i="55" a="1"/>
  <c r="L45" i="55" s="1"/>
  <c r="L10" i="55" a="1"/>
  <c r="L10" i="55" s="1"/>
  <c r="O9" i="55"/>
  <c r="L38" i="55" a="1"/>
  <c r="L38" i="55" s="1"/>
  <c r="L14" i="59"/>
  <c r="N14" i="59"/>
  <c r="L24" i="55" a="1"/>
  <c r="L24" i="55" s="1"/>
  <c r="F7" i="59" a="1"/>
  <c r="F7" i="59" s="1"/>
  <c r="L9" i="55" a="1"/>
  <c r="L9" i="55" s="1"/>
  <c r="L30" i="55" a="1"/>
  <c r="L30" i="55" s="1"/>
  <c r="L48" i="55" a="1"/>
  <c r="L48" i="55" s="1"/>
  <c r="L17" i="55" a="1"/>
  <c r="L17" i="55" s="1"/>
  <c r="L43" i="55" a="1"/>
  <c r="L43" i="55" s="1"/>
  <c r="R39" i="55"/>
  <c r="T39" i="55" s="1"/>
  <c r="K7" i="55" a="1"/>
  <c r="K7" i="55" s="1"/>
  <c r="H7" i="55"/>
  <c r="L7" i="55" a="1"/>
  <c r="L7" i="55" s="1"/>
  <c r="L7" i="59"/>
  <c r="N7" i="59"/>
  <c r="O2" i="55"/>
  <c r="L19" i="55" a="1"/>
  <c r="L19" i="55" s="1"/>
  <c r="G19" i="55"/>
  <c r="G2" i="55" s="1"/>
  <c r="H19" i="55"/>
  <c r="K26" i="55" a="1"/>
  <c r="K26" i="55" s="1"/>
  <c r="S23" i="55"/>
  <c r="R23" i="55"/>
  <c r="L26" i="55" a="1"/>
  <c r="L26" i="55" s="1"/>
  <c r="K19" i="55" a="1"/>
  <c r="K19" i="55" s="1"/>
  <c r="V7" i="59"/>
  <c r="H135" i="55"/>
  <c r="H2" i="55"/>
  <c r="T2" i="55"/>
  <c r="T135" i="55"/>
  <c r="T19" i="55"/>
  <c r="F7" i="26"/>
  <c r="E6" i="26"/>
  <c r="T23" i="55" l="1"/>
  <c r="G3" i="55"/>
  <c r="G136" i="55"/>
  <c r="G135" i="55"/>
  <c r="H136" i="55" s="1"/>
  <c r="F6" i="26"/>
  <c r="G7" i="26"/>
  <c r="H3" i="55" l="1"/>
  <c r="G6" i="26"/>
  <c r="H7" i="26"/>
  <c r="H6" i="26" l="1"/>
  <c r="I7" i="26"/>
  <c r="I6" i="26" l="1"/>
  <c r="J7" i="26"/>
  <c r="K7" i="26" l="1"/>
  <c r="J6" i="26"/>
  <c r="K6" i="26" l="1"/>
  <c r="L7" i="26"/>
  <c r="M7" i="26" l="1"/>
  <c r="L6" i="26"/>
  <c r="M6" i="26" l="1"/>
  <c r="N7" i="26"/>
  <c r="O7" i="26" l="1"/>
  <c r="N6" i="26"/>
  <c r="P7" i="26" l="1"/>
  <c r="O6" i="26"/>
  <c r="P6" i="26" l="1"/>
  <c r="Q7" i="26"/>
  <c r="Q6" i="26" l="1"/>
  <c r="R7" i="26"/>
  <c r="R6" i="26" l="1"/>
  <c r="S7" i="26"/>
  <c r="T7" i="26" l="1"/>
  <c r="S6" i="26"/>
  <c r="T6" i="26" l="1"/>
  <c r="U7" i="26"/>
  <c r="U6" i="26" l="1"/>
  <c r="V7" i="26"/>
  <c r="V6" i="26" l="1"/>
  <c r="W7" i="26"/>
  <c r="X7" i="26" l="1"/>
  <c r="W6" i="26"/>
  <c r="X6" i="26" l="1"/>
  <c r="Y7" i="26"/>
  <c r="Y6" i="26" l="1"/>
  <c r="Z7" i="26"/>
  <c r="Z6" i="26" l="1"/>
  <c r="AA7" i="26"/>
  <c r="AB7" i="26" l="1"/>
  <c r="AA6" i="26"/>
  <c r="AB6" i="26" l="1"/>
  <c r="AC7" i="26"/>
  <c r="AD7" i="26" l="1"/>
  <c r="AC6" i="26"/>
  <c r="AE7" i="26" l="1"/>
  <c r="AD6" i="26"/>
  <c r="AF7" i="26" l="1"/>
  <c r="AE6" i="26"/>
  <c r="AF6" i="26" l="1"/>
  <c r="AG7" i="26"/>
  <c r="AH7" i="26" l="1"/>
  <c r="AG6" i="26"/>
  <c r="AH6" i="26" l="1"/>
  <c r="AI7" i="26"/>
  <c r="AI6" i="26" l="1"/>
  <c r="AJ7"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<sst xmlns="http://schemas.openxmlformats.org/spreadsheetml/2006/main" count="1536" uniqueCount="625">
  <si>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</si>
  <si>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</si>
  <si>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</si>
  <si>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</si>
  <si>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</si>
  <si>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</si>
  <si>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</si>
  <si>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</si>
  <si>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</si>
  <si>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</si>
  <si>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</si>
  <si>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</si>
  <si>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</si>
  <si>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</si>
  <si>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</si>
  <si>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</si>
  <si>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</si>
  <si>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</si>
  <si>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</si>
  <si>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</si>
  <si>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</si>
  <si>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</si>
  <si>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</si>
  <si>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</si>
  <si>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</si>
  <si>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</si>
  <si>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</si>
  <si>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</si>
  <si>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</si>
  <si>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</si>
  <si>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</si>
  <si>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</si>
  <si>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</si>
  <si>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</si>
  <si>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</si>
  <si>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</si>
  <si>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</si>
  <si>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</si>
  <si>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</si>
  <si>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</si>
  <si>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</si>
  <si>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</si>
  <si>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</si>
  <si>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</si>
  <si>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</si>
  <si>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</si>
  <si>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</si>
  <si>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</si>
  <si>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</si>
  <si>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</si>
  <si>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</si>
  <si>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</si>
  <si>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</si>
  <si>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</si>
  <si>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</si>
  <si>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</si>
  <si>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</si>
  <si>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</si>
  <si>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</si>
  <si>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</si>
  <si>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</si>
  <si>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</si>
  <si>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</si>
  <si>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</si>
  <si>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</si>
  <si>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</si>
  <si>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</si>
  <si>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</si>
  <si>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</si>
  <si>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</si>
  <si>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</si>
  <si>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</si>
  <si>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</si>
  <si>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</si>
  <si>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</si>
  <si>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</si>
  <si>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</si>
  <si>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</si>
  <si>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</si>
  <si>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</si>
  <si>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</si>
  <si>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</si>
  <si>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</si>
  <si>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</si>
  <si>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</si>
  <si>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</si>
  <si>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</si>
  <si>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</si>
  <si>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</si>
  <si>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</si>
  <si>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</si>
  <si>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</si>
  <si>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</si>
  <si>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</si>
  <si>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</si>
  <si>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</si>
  <si>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</si>
  <si>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</si>
  <si>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</si>
  <si>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</si>
  <si>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</si>
  <si>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</si>
  <si>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</si>
  <si>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</si>
  <si>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</si>
  <si>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</si>
  <si>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</si>
  <si>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</si>
  <si>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</si>
  <si>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</si>
  <si>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</si>
  <si>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</si>
  <si>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</si>
  <si>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</si>
  <si>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</si>
  <si>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</si>
  <si>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</si>
  <si>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</si>
  <si>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</si>
  <si>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</si>
  <si>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</si>
  <si>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</si>
  <si>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</si>
  <si>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</si>
  <si>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</si>
  <si>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</si>
  <si>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</si>
  <si>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</si>
  <si>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</si>
  <si>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</si>
  <si>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</si>
  <si>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</si>
  <si>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</si>
  <si>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</si>
  <si>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</si>
  <si>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</si>
  <si>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</si>
  <si>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</si>
  <si>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</si>
  <si>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</si>
  <si>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</si>
  <si>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</si>
  <si>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</si>
  <si>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</si>
  <si>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</si>
  <si>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</si>
  <si>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</si>
  <si>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</si>
  <si>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</si>
  <si>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</si>
  <si>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</si>
  <si>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</si>
  <si>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</si>
  <si>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</si>
  <si>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</si>
  <si>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</si>
  <si>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</si>
  <si>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</si>
  <si>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</si>
  <si>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</si>
  <si>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</si>
  <si>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</si>
  <si>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</si>
  <si>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</si>
  <si>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</si>
  <si>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</si>
  <si>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</si>
  <si>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</si>
  <si>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</si>
  <si>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</si>
  <si>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</si>
  <si>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</si>
  <si>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</si>
  <si>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</si>
  <si>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</si>
  <si>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</si>
  <si>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</si>
  <si>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</si>
  <si>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</si>
  <si>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</si>
  <si>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</si>
  <si>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</si>
  <si>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</si>
  <si>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</si>
  <si>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</si>
  <si>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</si>
  <si>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</si>
  <si>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</si>
  <si>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</si>
  <si>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</si>
  <si>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</si>
  <si>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</si>
  <si>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</si>
  <si>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</si>
  <si>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</si>
  <si>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</si>
  <si>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</si>
  <si>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</si>
  <si>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</si>
  <si>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</si>
  <si>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</si>
  <si>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</si>
  <si>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</si>
  <si>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</si>
  <si>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</si>
  <si>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</si>
  <si>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</si>
  <si>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</si>
  <si>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</si>
  <si>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</si>
  <si>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</si>
  <si>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</si>
  <si>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</si>
  <si>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</si>
  <si>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</si>
  <si>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</si>
  <si>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</si>
  <si>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</si>
  <si>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</si>
  <si>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</si>
  <si>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</si>
  <si>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</si>
  <si>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</si>
  <si>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</si>
  <si>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</si>
  <si>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</si>
  <si>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</si>
  <si>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</si>
  <si>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</si>
  <si>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</si>
  <si>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</si>
  <si>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</si>
  <si>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</si>
  <si>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</si>
  <si>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</si>
  <si>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</si>
  <si>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</si>
  <si>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</si>
  <si>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</si>
  <si>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</si>
  <si>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</si>
  <si>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</si>
  <si>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</si>
  <si>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</si>
  <si>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</si>
  <si>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</si>
  <si>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</si>
  <si>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</si>
  <si>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</si>
  <si>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</si>
  <si>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</si>
  <si>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</si>
  <si>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</si>
  <si>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</si>
  <si>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</si>
  <si>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</si>
  <si>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</si>
  <si>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</si>
  <si>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</si>
  <si>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</si>
  <si>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</si>
  <si>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</si>
  <si>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</si>
  <si>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</si>
  <si>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</si>
  <si>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</si>
  <si>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</si>
  <si>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</si>
  <si>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</si>
  <si>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</si>
  <si>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</si>
  <si>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</si>
  <si>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</si>
  <si>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</si>
  <si>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</si>
  <si>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</si>
  <si>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</si>
  <si>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</si>
  <si>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</si>
  <si>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</si>
  <si>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</si>
  <si>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</si>
  <si>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</si>
  <si>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</si>
  <si>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</si>
  <si>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</si>
  <si>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</si>
  <si>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</si>
  <si>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</si>
  <si>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</si>
  <si>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</si>
  <si>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</si>
  <si>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</si>
  <si>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</si>
  <si>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</si>
  <si>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</si>
  <si>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</si>
  <si>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</si>
  <si>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</si>
  <si>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</si>
  <si>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</si>
  <si>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</si>
  <si>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</si>
  <si>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</si>
  <si>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</si>
  <si>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</si>
  <si>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</si>
  <si>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</si>
  <si>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KRK1-USB4-001</t>
  </si>
  <si>
    <t>SB Register Access</t>
  </si>
  <si>
    <t>Harikrishnan P</t>
  </si>
  <si>
    <t>USB4</t>
  </si>
  <si>
    <t>SB Register Access test</t>
  </si>
  <si>
    <t>KRK1-USB4-002</t>
  </si>
  <si>
    <t xml:space="preserve">Sideband Transactions </t>
  </si>
  <si>
    <t>Sideband transaction Tests : LT, AT and RT</t>
  </si>
  <si>
    <t>KRK1-USB4-003</t>
  </si>
  <si>
    <t>RS-FEC Activation and Deactivation</t>
  </si>
  <si>
    <t>RS-FEC Activation and Deactivation test</t>
  </si>
  <si>
    <t>KRK1-USB4-004</t>
  </si>
  <si>
    <t>Entry to Sleep</t>
  </si>
  <si>
    <t>Entry to Sleep test</t>
  </si>
  <si>
    <t>KRK1-USB4-005</t>
  </si>
  <si>
    <t xml:space="preserve">Behavior in Sleep State </t>
  </si>
  <si>
    <t>Behavior in Sleep State test</t>
  </si>
  <si>
    <t>KRK1-USB4-006</t>
  </si>
  <si>
    <t xml:space="preserve">Wake Events </t>
  </si>
  <si>
    <t>Wake Events test</t>
  </si>
  <si>
    <t>KRK1-USB4-007</t>
  </si>
  <si>
    <t>Exit from Sleep</t>
  </si>
  <si>
    <t>Exit from Sleep test</t>
  </si>
  <si>
    <t>KRK1-USB4-008</t>
  </si>
  <si>
    <t>Router Configuration Space</t>
  </si>
  <si>
    <t>Router Configuration Space test</t>
  </si>
  <si>
    <t>KRK1-USB4-009</t>
  </si>
  <si>
    <t>Adapter Configuration Space</t>
  </si>
  <si>
    <t>Adapter Configuration Space test</t>
  </si>
  <si>
    <t>KRK1-USB4-010</t>
  </si>
  <si>
    <t>Path Configuration Space</t>
  </si>
  <si>
    <t>Path Configuration Space test</t>
  </si>
  <si>
    <t>KRK1-USB4-011</t>
  </si>
  <si>
    <t>USB4 Host interface test</t>
  </si>
  <si>
    <t>Test USB4 HI Programming interface</t>
  </si>
  <si>
    <t>KRK1-USB4-012</t>
  </si>
  <si>
    <t>Type-C Flip Test</t>
  </si>
  <si>
    <t>USB</t>
  </si>
  <si>
    <t>Type C flip test on USB4 type C ports and USB3.2 Gen2 type C port</t>
  </si>
  <si>
    <t>KRK1-USB4-013</t>
  </si>
  <si>
    <t>USB4 Enumeration and Tunneling performance</t>
  </si>
  <si>
    <t>Test USB4 dock enumeration, USB3 tunneling, PCIe tunneling and DP tunneling</t>
  </si>
  <si>
    <t>KRK1-USB4-014</t>
  </si>
  <si>
    <t>USB4 Gen3 and Gen2 - Single lane and dual lane operation</t>
  </si>
  <si>
    <t>Test USB4 Gen 3 and Gen 2 in single lane and dual lane mode</t>
  </si>
  <si>
    <t>KRK1-USB4-015</t>
  </si>
  <si>
    <t>USB4 Alt Modes for Thunderbolt and Display</t>
  </si>
  <si>
    <t>USB4 Alt Modes for Thunderbolt and Display with TBT3 devices (hubs and storages) and type C display respectively</t>
  </si>
  <si>
    <t>KRK1-USB4-016</t>
  </si>
  <si>
    <t>USB4 PHY tests</t>
  </si>
  <si>
    <t>Test USB4 ports with USB4 docks, TBT3 hubs, USB3.2 Gen 1 hub, USB3.2 Gen2 hub</t>
  </si>
  <si>
    <t>KRK1-USB4-017</t>
  </si>
  <si>
    <t>USB4 Host to Host tunneling</t>
  </si>
  <si>
    <t>USB4 host to host tunneling test</t>
  </si>
  <si>
    <t>KRK1-USB-001</t>
  </si>
  <si>
    <t xml:space="preserve">XHCI Register interface </t>
  </si>
  <si>
    <t>Test the XHCI register space for every host controller</t>
  </si>
  <si>
    <t>KRK1-USB-002</t>
  </si>
  <si>
    <t>USB1.1 Low speed device enumeration</t>
  </si>
  <si>
    <t>USB low speed detection and enumeration test</t>
  </si>
  <si>
    <t>KRK1-USB-003</t>
  </si>
  <si>
    <t>USB1.1 Full speed device enumeration</t>
  </si>
  <si>
    <t>FS Device-Attach-Detach -Reset</t>
  </si>
  <si>
    <t>KRK1-USB-004</t>
  </si>
  <si>
    <t xml:space="preserve">USB1.1 Full speed bulk stress </t>
  </si>
  <si>
    <t>FS Bulk Stress testing</t>
  </si>
  <si>
    <t>KRK1-USB-005</t>
  </si>
  <si>
    <t>USB1.1 Full speed interrupt stress</t>
  </si>
  <si>
    <t>FS Interrupt Stress testing</t>
  </si>
  <si>
    <t>KRK1-USB-006</t>
  </si>
  <si>
    <t>USB1.1 Full speed isoch stress</t>
  </si>
  <si>
    <t>FS Isoch Stress testing</t>
  </si>
  <si>
    <t>KRK1-USB-007</t>
  </si>
  <si>
    <t>USB2.0 High speed device enumeration</t>
  </si>
  <si>
    <t>HS Device-Attach-Detach-Reset</t>
  </si>
  <si>
    <t>KRK1-USB-008</t>
  </si>
  <si>
    <t>USB2.0 High speed bulk stress</t>
  </si>
  <si>
    <t>HS Bulk Stress testing</t>
  </si>
  <si>
    <t>KRK1-USB-009</t>
  </si>
  <si>
    <t>USB2.0 High speed interrupt stress</t>
  </si>
  <si>
    <t>HS Interrupt Stress testing</t>
  </si>
  <si>
    <t>KRK1-USB-010</t>
  </si>
  <si>
    <t>USB2.0 High speed isoch stress</t>
  </si>
  <si>
    <t>HS Isoch Stress testing</t>
  </si>
  <si>
    <t>KRK1-USB-011</t>
  </si>
  <si>
    <t>USB3.2 Gen 1 (Superspeed) device enumeration</t>
  </si>
  <si>
    <t>SS Device-Attach-Detach-Reset Test</t>
  </si>
  <si>
    <t>KRK1-USB-012</t>
  </si>
  <si>
    <t>USB3.2 Gen 1 (Superspeed) Bulk stress</t>
  </si>
  <si>
    <t>SS Bulk Stress testing</t>
  </si>
  <si>
    <t>KRK1-USB-013</t>
  </si>
  <si>
    <t>USB3.2 Gen 1 (Superspeed) Interrupt stress</t>
  </si>
  <si>
    <t>SS Interrupt Stress testing</t>
  </si>
  <si>
    <t>KRK1-USB-014</t>
  </si>
  <si>
    <t>USB3.2 Gen 1 (Superspeed) Isoch stress</t>
  </si>
  <si>
    <t>SS Isoch Stress testing</t>
  </si>
  <si>
    <t>KRK1-USB-015</t>
  </si>
  <si>
    <t>USB3.2 Gen 2 (Superspeed plus) Bulk stress</t>
  </si>
  <si>
    <t>SSP Bulk Stress testing</t>
  </si>
  <si>
    <t>KRK1-USB-016</t>
  </si>
  <si>
    <t>USB3.2 Gen 2 (Superspeed plus) Interrupt stress</t>
  </si>
  <si>
    <t>SSP Interrupt Stress testing</t>
  </si>
  <si>
    <t>KRK1-USB-017</t>
  </si>
  <si>
    <t>USB3.2 Gen 2 (Superspeed plus) Isoch stress</t>
  </si>
  <si>
    <t>SSP Isoch Stress testing</t>
  </si>
  <si>
    <t>KRK1-USB-020</t>
  </si>
  <si>
    <t>Support Larger Service Interval</t>
  </si>
  <si>
    <t>XHCI SS / HS / FS Interrupt IN /OUT and ISOCH IN/OUT</t>
  </si>
  <si>
    <t>KRK1-USB-022</t>
  </si>
  <si>
    <t>Concurrent Transfer Robustness : High speed bulk devices</t>
  </si>
  <si>
    <t xml:space="preserve">HS transfer of  BULK IN &amp; OUT        </t>
  </si>
  <si>
    <t>KRK1-USB-023</t>
  </si>
  <si>
    <t>Concurrent Transfer Robustness : Superspeed bulk devices</t>
  </si>
  <si>
    <t xml:space="preserve">SS  transfer of  BULK IN &amp; OUT </t>
  </si>
  <si>
    <t>KRK1-USB-024</t>
  </si>
  <si>
    <t>Concurrent Transfer Robustness : Superspeed plus bulk devices</t>
  </si>
  <si>
    <t xml:space="preserve">SSP transfer of BULK IN &amp; OUT   </t>
  </si>
  <si>
    <t>KRK1-USB-025</t>
  </si>
  <si>
    <t>Concurrent Transfer Robustness : High speed/Superspeed/Superspeed Plus)</t>
  </si>
  <si>
    <t xml:space="preserve">HS/SS/SSP transfer of  BULK IN &amp; OUT </t>
  </si>
  <si>
    <t>KRK1-USB-026</t>
  </si>
  <si>
    <t>PMM : USB D3 cold entry/exit</t>
  </si>
  <si>
    <t>D3 Cold Entry /Exit Sequence</t>
  </si>
  <si>
    <t>KRK1-USB-027</t>
  </si>
  <si>
    <t>PMM : USB wake on device resume in S0i3 &amp; S4</t>
  </si>
  <si>
    <t>Wake on Device Resume in S3/S4</t>
  </si>
  <si>
    <t>KRK1-USB-028</t>
  </si>
  <si>
    <t>PMM : USB wake on connect &amp; disconnect in S0i3 &amp; S4</t>
  </si>
  <si>
    <t>Wake on Device Connect and Disconnect in S0i3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</si>
  <si>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</si>
  <si>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</si>
  <si>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</si>
  <si>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</si>
  <si>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</si>
  <si>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</si>
  <si>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</si>
  <si>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</si>
  <si>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</si>
  <si>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</si>
  <si>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</si>
  <si>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</si>
  <si>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</si>
  <si>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</si>
  <si>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</si>
  <si>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</si>
  <si>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</si>
  <si>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</si>
  <si>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</si>
  <si>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</si>
  <si>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</si>
  <si>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Test plan completed and signed off by IPSE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</si>
  <si>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</si>
  <si>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</si>
  <si>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</si>
  <si>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</si>
  <si>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</si>
  <si>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</si>
  <si>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</si>
  <si>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</si>
  <si>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</si>
  <si>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</si>
  <si>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</si>
  <si>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</si>
  <si>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</si>
  <si>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</si>
  <si>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</si>
  <si>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</si>
  <si>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</si>
  <si>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</si>
  <si>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</si>
  <si>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</si>
  <si>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</si>
  <si>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</si>
  <si>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</si>
  <si>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</si>
  <si>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</si>
  <si>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</si>
  <si>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</si>
  <si>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</si>
  <si>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</si>
  <si>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</si>
  <si>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</si>
  <si>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</si>
  <si>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</si>
  <si>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</si>
  <si>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</si>
  <si>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</si>
  <si>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</si>
  <si>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</si>
  <si>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</si>
  <si>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</si>
  <si>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</si>
  <si>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</si>
  <si>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</si>
  <si>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</si>
  <si>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</si>
  <si>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</si>
  <si>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</si>
  <si>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</si>
  <si>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</si>
  <si>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</si>
  <si>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</si>
  <si>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</si>
  <si>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</si>
  <si>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</si>
  <si>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</si>
  <si>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</si>
  <si>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</si>
  <si>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</si>
  <si>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</si>
  <si>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</si>
  <si>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</si>
  <si>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</si>
  <si>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</si>
  <si>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</si>
  <si>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</si>
  <si>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</si>
  <si>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</si>
  <si>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</si>
  <si>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</si>
  <si>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</si>
  <si>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</si>
  <si>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</si>
  <si>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</si>
  <si>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</si>
  <si>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</si>
  <si>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</si>
  <si>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</si>
  <si>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</si>
  <si>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</si>
  <si>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</si>
  <si>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</si>
  <si>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</si>
  <si>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</si>
  <si>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</si>
  <si>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</si>
  <si>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</si>
  <si>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</si>
  <si>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</si>
  <si>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</si>
  <si>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</si>
  <si>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</si>
  <si>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</si>
  <si>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</si>
  <si>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</si>
  <si>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</si>
  <si>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</si>
  <si>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</si>
  <si>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</si>
  <si>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</si>
  <si>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</si>
  <si>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</si>
  <si>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</si>
  <si>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</si>
  <si>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</si>
  <si>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</si>
  <si>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</si>
  <si>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</si>
  <si>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</si>
  <si>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</si>
  <si>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</si>
  <si>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</si>
  <si>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</si>
  <si>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</si>
  <si>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</si>
  <si>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</si>
  <si>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</si>
  <si>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</si>
  <si>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</si>
  <si>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</si>
  <si>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</si>
  <si>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</si>
  <si>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</si>
  <si>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</si>
  <si>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</si>
  <si>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USB4_LL_01.1-2</t>
  </si>
  <si>
    <t>USB4_LL_02.1-6</t>
  </si>
  <si>
    <t>USB4_LL_16.1-2</t>
  </si>
  <si>
    <t>USB4_LL_21.1-2</t>
  </si>
  <si>
    <t>USB4_LL_22.1-2</t>
  </si>
  <si>
    <t>USB4_LL_23.1-2</t>
  </si>
  <si>
    <t>USB4_LL_24.1-2</t>
  </si>
  <si>
    <t>USB4_CS_01.1-2</t>
  </si>
  <si>
    <t>USB4_CS_06.1-2</t>
  </si>
  <si>
    <t>USB4_CS_14.1-2</t>
  </si>
  <si>
    <t>USB4_TS_02.1-2</t>
  </si>
  <si>
    <t>USB4_TS_05.1-2</t>
  </si>
  <si>
    <t>USB4_ENH_01.1-2</t>
  </si>
  <si>
    <t>USB4_ENH_02.1-2</t>
  </si>
  <si>
    <t>USB4_ENH_03.1-2</t>
  </si>
  <si>
    <t>USB4_ENH_04.1-2</t>
  </si>
  <si>
    <t>USB4_ENH_05.1-2</t>
  </si>
  <si>
    <t>USB_01.1-2</t>
  </si>
  <si>
    <t>USB_02.1-16</t>
  </si>
  <si>
    <t>USB_03.1-16</t>
  </si>
  <si>
    <t>USB_04.1-16</t>
  </si>
  <si>
    <t>USB_05.1-16</t>
  </si>
  <si>
    <t>USB_06.1-16</t>
  </si>
  <si>
    <t>USB_07.1-16</t>
  </si>
  <si>
    <t>USB_08.1-16</t>
  </si>
  <si>
    <t>USB_09.1-16</t>
  </si>
  <si>
    <t>USB_10.1-16</t>
  </si>
  <si>
    <t>USB_11.1-12</t>
  </si>
  <si>
    <t>USB_12.1-12</t>
  </si>
  <si>
    <t>USB_13.1-12</t>
  </si>
  <si>
    <t>USB_14.1-12</t>
  </si>
  <si>
    <t>USB_15.1-8</t>
  </si>
  <si>
    <t>USB_16.1-8</t>
  </si>
  <si>
    <t>USB_17.1-8</t>
  </si>
  <si>
    <t>USB_20.1-12</t>
  </si>
  <si>
    <t>USB_22.1-16</t>
  </si>
  <si>
    <t>USB_23.1-12</t>
  </si>
  <si>
    <t>USB_24.1-8</t>
  </si>
  <si>
    <t>USB_25.1-8</t>
  </si>
  <si>
    <t>USB_26.1-24</t>
  </si>
  <si>
    <t>USB_27.1-24</t>
  </si>
  <si>
    <t>USB_28.1-12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</si>
</sst>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2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9" fillId="53" borderId="70" xfId="0"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6"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53" style="78"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78" t="s">
        <v>54</v>
      </c>
      <c r="C1" s="579"/>
      <c r="D1" s="579"/>
      <c r="E1" s="167" t="s">
        <v>55</v>
      </c>
      <c r="F1" s="167" t="s">
        <v>56</v>
      </c>
      <c r="G1" s="110" t="s">
        <v>57</v>
      </c>
    </row>
    <row r="2" spans="1:7" x14ac:dyDescent="0.25">
      <c r="A2" s="116" t="s">
        <v>58</v>
      </c>
      <c r="B2" s="580" t="s">
        <v>59</v>
      </c>
      <c r="C2" s="581"/>
      <c r="D2" s="581"/>
      <c r="E2" s="295" t="s">
        <v>60</v>
      </c>
      <c r="F2" s="295" t="s">
        <v>61</v>
      </c>
      <c r="G2" s="323" t="s">
        <v>62</v>
      </c>
    </row>
    <row r="3" spans="1:7" s="81" customFormat="1" x14ac:dyDescent="0.25">
      <c r="A3" s="203" t="s">
        <v>63</v>
      </c>
      <c r="B3" s="587" t="s">
        <v>64</v>
      </c>
      <c r="C3" s="588"/>
      <c r="D3" s="589"/>
      <c r="E3" s="80" t="s">
        <v>60</v>
      </c>
      <c r="F3" s="80" t="s">
        <v>61</v>
      </c>
      <c r="G3" s="324" t="s">
        <v>62</v>
      </c>
    </row>
    <row r="4" spans="1:7" x14ac:dyDescent="0.25">
      <c r="A4" s="203" t="s">
        <v>65</v>
      </c>
      <c r="B4" s="584" t="s">
        <v>66</v>
      </c>
      <c r="C4" s="585"/>
      <c r="D4" s="586"/>
      <c r="E4" s="80" t="s">
        <v>67</v>
      </c>
      <c r="F4" s="80" t="s">
        <v>61</v>
      </c>
      <c r="G4" s="324" t="s">
        <v>62</v>
      </c>
    </row>
    <row r="5" spans="1:7" x14ac:dyDescent="0.25">
      <c r="A5" s="117" t="s">
        <v>68</v>
      </c>
      <c r="B5" s="584" t="s">
        <v>69</v>
      </c>
      <c r="C5" s="585"/>
      <c r="D5" s="586"/>
      <c r="E5" s="80" t="s">
        <v>67</v>
      </c>
      <c r="F5" s="80" t="s">
        <v>61</v>
      </c>
      <c r="G5" s="324" t="s">
        <v>62</v>
      </c>
    </row>
    <row r="6" spans="1:7" x14ac:dyDescent="0.25">
      <c r="A6" s="117" t="s">
        <v>70</v>
      </c>
      <c r="B6" s="584" t="s">
        <v>71</v>
      </c>
      <c r="C6" s="585"/>
      <c r="D6" s="586"/>
      <c r="E6" s="80" t="s">
        <v>72</v>
      </c>
      <c r="F6" s="80" t="s">
        <v>61</v>
      </c>
      <c r="G6" s="85"/>
    </row>
    <row r="7" spans="1:7" ht="15.75" thickBot="1" x14ac:dyDescent="0.3">
      <c r="A7" s="118" t="s">
        <v>73</v>
      </c>
      <c r="B7" s="582" t="s">
        <v>74</v>
      </c>
      <c r="C7" s="583"/>
      <c r="D7" s="583"/>
      <c r="E7" s="86" t="s">
        <v>72</v>
      </c>
      <c r="F7" s="86"/>
      <c r="G7" s="87"/>
    </row>
    <row r="8" spans="1:7" s="84" customFormat="1" ht="15.75" thickBot="1" x14ac:dyDescent="0.3">
      <c r="A8" s="115" t="s">
        <v>53</v>
      </c>
      <c r="B8" s="419" t="s">
        <v>1</v>
      </c>
      <c r="C8" s="167" t="s">
        <v>75</v>
      </c>
      <c r="D8" s="167" t="s">
        <v>54</v>
      </c>
      <c r="E8" s="167" t="s">
        <v>55</v>
      </c>
      <c r="F8" s="167" t="s">
        <v>56</v>
      </c>
      <c r="G8" s="110" t="s">
        <v>57</v>
      </c>
    </row>
    <row r="9" spans="1:7" ht="105" x14ac:dyDescent="0.25">
      <c r="A9" s="564" t="s">
        <v>58</v>
      </c>
      <c r="B9" s="567" t="s">
        <v>76</v>
      </c>
      <c r="C9" s="330" t="s">
        <v>77</v>
      </c>
      <c r="D9" s="94" t="s">
        <v>78</v>
      </c>
      <c r="E9" s="94" t="s">
        <v>60</v>
      </c>
      <c r="F9" s="94" t="s">
        <v>79</v>
      </c>
      <c r="G9" s="420" t="s">
        <v>80</v>
      </c>
    </row>
    <row r="10" spans="1:7" ht="75" x14ac:dyDescent="0.25">
      <c r="A10" s="565"/>
      <c r="B10" s="568"/>
      <c r="C10" s="326" t="s">
        <v>81</v>
      </c>
      <c r="D10" s="82" t="s">
        <v>82</v>
      </c>
      <c r="E10" s="82" t="s">
        <v>60</v>
      </c>
      <c r="F10" s="82" t="s">
        <v>79</v>
      </c>
      <c r="G10" s="322" t="s">
        <v>83</v>
      </c>
    </row>
    <row r="11" spans="1:7" ht="45" x14ac:dyDescent="0.25">
      <c r="A11" s="565"/>
      <c r="B11" s="568"/>
      <c r="C11" s="326" t="s">
        <v>84</v>
      </c>
      <c r="D11" s="82" t="s">
        <v>85</v>
      </c>
      <c r="E11" s="82" t="s">
        <v>86</v>
      </c>
      <c r="F11" s="82" t="s">
        <v>79</v>
      </c>
      <c r="G11" s="95" t="s">
        <v>87</v>
      </c>
    </row>
    <row r="12" spans="1:7" ht="120" x14ac:dyDescent="0.25">
      <c r="A12" s="565"/>
      <c r="B12" s="568"/>
      <c r="C12" s="326" t="s">
        <v>88</v>
      </c>
      <c r="D12" s="345" t="s">
        <v>89</v>
      </c>
      <c r="E12" s="82" t="s">
        <v>86</v>
      </c>
      <c r="F12" s="82" t="s">
        <v>79</v>
      </c>
      <c r="G12" s="322" t="s">
        <v>90</v>
      </c>
    </row>
    <row r="13" spans="1:7" ht="30" x14ac:dyDescent="0.25">
      <c r="A13" s="565"/>
      <c r="B13" s="568"/>
      <c r="C13" s="326" t="s">
        <v>91</v>
      </c>
      <c r="D13" s="82" t="s">
        <v>92</v>
      </c>
      <c r="E13" s="82" t="s">
        <v>86</v>
      </c>
      <c r="F13" s="82" t="s">
        <v>79</v>
      </c>
      <c r="G13" s="95" t="s">
        <v>93</v>
      </c>
    </row>
    <row r="14" spans="1:7" ht="30" x14ac:dyDescent="0.25">
      <c r="A14" s="565"/>
      <c r="B14" s="568"/>
      <c r="C14" s="326" t="s">
        <v>94</v>
      </c>
      <c r="D14" s="82" t="s">
        <v>95</v>
      </c>
      <c r="E14" s="82" t="s">
        <v>86</v>
      </c>
      <c r="F14" s="82" t="s">
        <v>79</v>
      </c>
      <c r="G14" s="95" t="s">
        <v>93</v>
      </c>
    </row>
    <row r="15" spans="1:7" ht="30" x14ac:dyDescent="0.25">
      <c r="A15" s="565"/>
      <c r="B15" s="568"/>
      <c r="C15" s="121" t="s">
        <v>96</v>
      </c>
      <c r="D15" s="82" t="s">
        <v>97</v>
      </c>
      <c r="E15" s="82" t="s">
        <v>60</v>
      </c>
      <c r="F15" s="82" t="s">
        <v>79</v>
      </c>
      <c r="G15" s="95" t="s">
        <v>98</v>
      </c>
    </row>
    <row r="16" spans="1:7" ht="60" x14ac:dyDescent="0.25">
      <c r="A16" s="565"/>
      <c r="B16" s="568"/>
      <c r="C16" s="326" t="s">
        <v>99</v>
      </c>
      <c r="D16" s="345" t="s">
        <v>100</v>
      </c>
      <c r="E16" s="82" t="s">
        <v>86</v>
      </c>
      <c r="F16" s="82" t="s">
        <v>79</v>
      </c>
      <c r="G16" s="322" t="s">
        <v>101</v>
      </c>
    </row>
    <row r="17" spans="1:7" ht="30" x14ac:dyDescent="0.25">
      <c r="A17" s="565"/>
      <c r="B17" s="568"/>
      <c r="C17" s="326" t="s">
        <v>102</v>
      </c>
      <c r="D17" s="82" t="s">
        <v>103</v>
      </c>
      <c r="E17" s="82" t="s">
        <v>86</v>
      </c>
      <c r="F17" s="82" t="s">
        <v>79</v>
      </c>
      <c r="G17" s="95" t="s">
        <v>104</v>
      </c>
    </row>
    <row r="18" spans="1:7" ht="45" x14ac:dyDescent="0.25">
      <c r="A18" s="565"/>
      <c r="B18" s="568"/>
      <c r="C18" s="326" t="s">
        <v>105</v>
      </c>
      <c r="D18" s="82" t="s">
        <v>106</v>
      </c>
      <c r="E18" s="82" t="s">
        <v>86</v>
      </c>
      <c r="F18" s="82" t="s">
        <v>79</v>
      </c>
      <c r="G18" s="95" t="s">
        <v>107</v>
      </c>
    </row>
    <row r="19" spans="1:7" x14ac:dyDescent="0.25">
      <c r="A19" s="565"/>
      <c r="B19" s="568"/>
      <c r="C19" s="326" t="s">
        <v>108</v>
      </c>
      <c r="D19" s="82" t="s">
        <v>109</v>
      </c>
      <c r="E19" s="82" t="s">
        <v>86</v>
      </c>
      <c r="F19" s="82" t="s">
        <v>79</v>
      </c>
      <c r="G19" s="95" t="s">
        <v>110</v>
      </c>
    </row>
    <row r="20" spans="1:7" ht="105.75" thickBot="1" x14ac:dyDescent="0.3">
      <c r="A20" s="565"/>
      <c r="B20" s="569"/>
      <c r="C20" s="421" t="s">
        <v>1</v>
      </c>
      <c r="D20" s="531" t="s">
        <v>111</v>
      </c>
      <c r="E20" s="390" t="s">
        <v>86</v>
      </c>
      <c r="F20" s="390" t="s">
        <v>79</v>
      </c>
      <c r="G20" s="422" t="s">
        <v>112</v>
      </c>
    </row>
    <row r="21" spans="1:7" ht="45" x14ac:dyDescent="0.25">
      <c r="A21" s="565"/>
      <c r="B21" s="601" t="s">
        <v>113</v>
      </c>
      <c r="C21" s="327" t="s">
        <v>114</v>
      </c>
      <c r="D21" s="105" t="s">
        <v>115</v>
      </c>
      <c r="E21" s="105" t="s">
        <v>86</v>
      </c>
      <c r="F21" s="105" t="s">
        <v>116</v>
      </c>
      <c r="G21" s="168" t="s">
        <v>117</v>
      </c>
    </row>
    <row r="22" spans="1:7" ht="30" x14ac:dyDescent="0.25">
      <c r="A22" s="565"/>
      <c r="B22" s="602"/>
      <c r="C22" s="328" t="s">
        <v>118</v>
      </c>
      <c r="D22" s="426" t="s">
        <v>119</v>
      </c>
      <c r="E22" s="426" t="s">
        <v>86</v>
      </c>
      <c r="F22" s="426" t="s">
        <v>116</v>
      </c>
      <c r="G22" s="427" t="s">
        <v>120</v>
      </c>
    </row>
    <row r="23" spans="1:7" ht="15.75" thickBot="1" x14ac:dyDescent="0.3">
      <c r="A23" s="565"/>
      <c r="B23" s="603"/>
      <c r="C23" s="428" t="s">
        <v>121</v>
      </c>
      <c r="D23" s="107" t="s">
        <v>122</v>
      </c>
      <c r="E23" s="107" t="s">
        <v>86</v>
      </c>
      <c r="F23" s="107" t="s">
        <v>116</v>
      </c>
      <c r="G23" s="108" t="s">
        <v>123</v>
      </c>
    </row>
    <row r="24" spans="1:7" ht="30" customHeight="1" x14ac:dyDescent="0.25">
      <c r="A24" s="565"/>
      <c r="B24" s="604" t="s">
        <v>124</v>
      </c>
      <c r="C24" s="423" t="s">
        <v>125</v>
      </c>
      <c r="D24" s="424" t="s">
        <v>126</v>
      </c>
      <c r="E24" s="424" t="s">
        <v>86</v>
      </c>
      <c r="F24" s="424" t="s">
        <v>79</v>
      </c>
      <c r="G24" s="425" t="s">
        <v>127</v>
      </c>
    </row>
    <row r="25" spans="1:7" ht="30" customHeight="1" x14ac:dyDescent="0.25">
      <c r="A25" s="565"/>
      <c r="B25" s="605"/>
      <c r="C25" s="328" t="s">
        <v>128</v>
      </c>
      <c r="D25" s="109" t="s">
        <v>129</v>
      </c>
      <c r="E25" s="109" t="s">
        <v>86</v>
      </c>
      <c r="F25" s="109" t="s">
        <v>130</v>
      </c>
      <c r="G25" s="558" t="s">
        <v>131</v>
      </c>
    </row>
    <row r="26" spans="1:7" ht="30" x14ac:dyDescent="0.25">
      <c r="A26" s="565"/>
      <c r="B26" s="605"/>
      <c r="C26" s="276" t="s">
        <v>132</v>
      </c>
      <c r="D26" s="109" t="s">
        <v>133</v>
      </c>
      <c r="E26" s="109" t="s">
        <v>86</v>
      </c>
      <c r="F26" s="109" t="s">
        <v>130</v>
      </c>
      <c r="G26" s="559"/>
    </row>
    <row r="27" spans="1:7" x14ac:dyDescent="0.25">
      <c r="A27" s="565"/>
      <c r="B27" s="605"/>
      <c r="C27" s="328" t="s">
        <v>30</v>
      </c>
      <c r="D27" s="109" t="s">
        <v>134</v>
      </c>
      <c r="E27" s="109" t="s">
        <v>86</v>
      </c>
      <c r="F27" s="109" t="s">
        <v>130</v>
      </c>
      <c r="G27" s="559"/>
    </row>
    <row r="28" spans="1:7" x14ac:dyDescent="0.25">
      <c r="A28" s="565"/>
      <c r="B28" s="605"/>
      <c r="C28" s="328" t="s">
        <v>135</v>
      </c>
      <c r="D28" s="109" t="s">
        <v>136</v>
      </c>
      <c r="E28" s="109" t="s">
        <v>86</v>
      </c>
      <c r="F28" s="109" t="s">
        <v>130</v>
      </c>
      <c r="G28" s="559"/>
    </row>
    <row r="29" spans="1:7" x14ac:dyDescent="0.25">
      <c r="A29" s="565"/>
      <c r="B29" s="605"/>
      <c r="C29" s="328" t="s">
        <v>36</v>
      </c>
      <c r="D29" s="109" t="s">
        <v>137</v>
      </c>
      <c r="E29" s="109" t="s">
        <v>86</v>
      </c>
      <c r="F29" s="109" t="s">
        <v>130</v>
      </c>
      <c r="G29" s="559"/>
    </row>
    <row r="30" spans="1:7" x14ac:dyDescent="0.25">
      <c r="A30" s="565"/>
      <c r="B30" s="605"/>
      <c r="C30" s="328" t="s">
        <v>138</v>
      </c>
      <c r="D30" s="109" t="s">
        <v>139</v>
      </c>
      <c r="E30" s="109" t="s">
        <v>86</v>
      </c>
      <c r="F30" s="109" t="s">
        <v>130</v>
      </c>
      <c r="G30" s="559"/>
    </row>
    <row r="31" spans="1:7" x14ac:dyDescent="0.25">
      <c r="A31" s="565"/>
      <c r="B31" s="605"/>
      <c r="C31" s="276" t="s">
        <v>140</v>
      </c>
      <c r="D31" s="109" t="s">
        <v>141</v>
      </c>
      <c r="E31" s="109" t="s">
        <v>86</v>
      </c>
      <c r="F31" s="109" t="s">
        <v>130</v>
      </c>
      <c r="G31" s="559"/>
    </row>
    <row r="32" spans="1:7" ht="30.75" thickBot="1" x14ac:dyDescent="0.3">
      <c r="A32" s="565"/>
      <c r="B32" s="606"/>
      <c r="C32" s="329" t="s">
        <v>142</v>
      </c>
      <c r="D32" s="104" t="s">
        <v>143</v>
      </c>
      <c r="E32" s="104" t="s">
        <v>86</v>
      </c>
      <c r="F32" s="104" t="s">
        <v>130</v>
      </c>
      <c r="G32" s="560"/>
    </row>
    <row r="33" spans="1:7" ht="30" x14ac:dyDescent="0.25">
      <c r="A33" s="565"/>
      <c r="B33" s="607" t="s">
        <v>144</v>
      </c>
      <c r="C33" s="311" t="s">
        <v>132</v>
      </c>
      <c r="D33" s="274" t="s">
        <v>145</v>
      </c>
      <c r="E33" s="274" t="s">
        <v>86</v>
      </c>
      <c r="F33" s="274" t="s">
        <v>146</v>
      </c>
      <c r="G33" s="275" t="s">
        <v>147</v>
      </c>
    </row>
    <row r="34" spans="1:7" x14ac:dyDescent="0.25">
      <c r="A34" s="565"/>
      <c r="B34" s="608"/>
      <c r="C34" s="326" t="s">
        <v>30</v>
      </c>
      <c r="D34" s="83" t="s">
        <v>148</v>
      </c>
      <c r="E34" s="83" t="s">
        <v>86</v>
      </c>
      <c r="F34" s="83" t="s">
        <v>146</v>
      </c>
      <c r="G34" s="99"/>
    </row>
    <row r="35" spans="1:7" x14ac:dyDescent="0.25">
      <c r="A35" s="565"/>
      <c r="B35" s="608"/>
      <c r="C35" s="326" t="s">
        <v>135</v>
      </c>
      <c r="D35" s="83" t="s">
        <v>149</v>
      </c>
      <c r="E35" s="83" t="s">
        <v>86</v>
      </c>
      <c r="F35" s="83" t="s">
        <v>146</v>
      </c>
      <c r="G35" s="99" t="s">
        <v>150</v>
      </c>
    </row>
    <row r="36" spans="1:7" x14ac:dyDescent="0.25">
      <c r="A36" s="565"/>
      <c r="B36" s="608"/>
      <c r="C36" s="326" t="s">
        <v>36</v>
      </c>
      <c r="D36" s="83" t="s">
        <v>151</v>
      </c>
      <c r="E36" s="83" t="s">
        <v>86</v>
      </c>
      <c r="F36" s="83" t="s">
        <v>146</v>
      </c>
      <c r="G36" s="113"/>
    </row>
    <row r="37" spans="1:7" x14ac:dyDescent="0.25">
      <c r="A37" s="565"/>
      <c r="B37" s="608"/>
      <c r="C37" s="326" t="s">
        <v>138</v>
      </c>
      <c r="D37" s="83" t="s">
        <v>152</v>
      </c>
      <c r="E37" s="83" t="s">
        <v>86</v>
      </c>
      <c r="F37" s="83" t="s">
        <v>146</v>
      </c>
      <c r="G37" s="99" t="s">
        <v>153</v>
      </c>
    </row>
    <row r="38" spans="1:7" x14ac:dyDescent="0.25">
      <c r="A38" s="565"/>
      <c r="B38" s="608"/>
      <c r="C38" s="277" t="s">
        <v>140</v>
      </c>
      <c r="D38" s="83" t="s">
        <v>154</v>
      </c>
      <c r="E38" s="83" t="s">
        <v>86</v>
      </c>
      <c r="F38" s="83" t="s">
        <v>146</v>
      </c>
      <c r="G38" s="99"/>
    </row>
    <row r="39" spans="1:7" ht="30" x14ac:dyDescent="0.25">
      <c r="A39" s="565"/>
      <c r="B39" s="608"/>
      <c r="C39" s="328" t="s">
        <v>155</v>
      </c>
      <c r="D39" s="83" t="s">
        <v>156</v>
      </c>
      <c r="E39" s="83" t="s">
        <v>86</v>
      </c>
      <c r="F39" s="83" t="s">
        <v>146</v>
      </c>
      <c r="G39" s="99"/>
    </row>
    <row r="40" spans="1:7" ht="30" x14ac:dyDescent="0.25">
      <c r="A40" s="565"/>
      <c r="B40" s="608"/>
      <c r="C40" s="277" t="s">
        <v>157</v>
      </c>
      <c r="D40" s="83" t="s">
        <v>158</v>
      </c>
      <c r="E40" s="83" t="s">
        <v>60</v>
      </c>
      <c r="F40" s="83" t="s">
        <v>146</v>
      </c>
      <c r="G40" s="99" t="s">
        <v>159</v>
      </c>
    </row>
    <row r="41" spans="1:7" ht="30.75" thickBot="1" x14ac:dyDescent="0.3">
      <c r="A41" s="565"/>
      <c r="B41" s="609"/>
      <c r="C41" s="325" t="s">
        <v>160</v>
      </c>
      <c r="D41" s="100" t="s">
        <v>161</v>
      </c>
      <c r="E41" s="100" t="s">
        <v>86</v>
      </c>
      <c r="F41" s="100" t="s">
        <v>146</v>
      </c>
      <c r="G41" s="101" t="s">
        <v>162</v>
      </c>
    </row>
    <row r="42" spans="1:7" ht="135.75" thickBot="1" x14ac:dyDescent="0.3">
      <c r="A42" s="564" t="s">
        <v>63</v>
      </c>
      <c r="B42" s="429" t="s">
        <v>163</v>
      </c>
      <c r="C42" s="330" t="s">
        <v>88</v>
      </c>
      <c r="D42" s="430" t="s">
        <v>164</v>
      </c>
      <c r="E42" s="430" t="s">
        <v>86</v>
      </c>
      <c r="F42" s="430" t="s">
        <v>79</v>
      </c>
      <c r="G42" s="431" t="s">
        <v>165</v>
      </c>
    </row>
    <row r="43" spans="1:7" ht="15" customHeight="1" x14ac:dyDescent="0.25">
      <c r="A43" s="565"/>
      <c r="B43" s="593" t="s">
        <v>166</v>
      </c>
      <c r="C43" s="308" t="s">
        <v>167</v>
      </c>
      <c r="D43" s="296" t="s">
        <v>168</v>
      </c>
      <c r="E43" s="296" t="s">
        <v>67</v>
      </c>
      <c r="F43" s="296" t="s">
        <v>79</v>
      </c>
      <c r="G43" s="279" t="s">
        <v>169</v>
      </c>
    </row>
    <row r="44" spans="1:7" ht="30" x14ac:dyDescent="0.25">
      <c r="A44" s="565"/>
      <c r="B44" s="594"/>
      <c r="C44" s="309" t="s">
        <v>128</v>
      </c>
      <c r="D44" s="297" t="s">
        <v>170</v>
      </c>
      <c r="E44" s="297" t="s">
        <v>67</v>
      </c>
      <c r="F44" s="297" t="s">
        <v>79</v>
      </c>
      <c r="G44" s="280" t="s">
        <v>169</v>
      </c>
    </row>
    <row r="45" spans="1:7" ht="30" x14ac:dyDescent="0.25">
      <c r="A45" s="565"/>
      <c r="B45" s="594"/>
      <c r="C45" s="309" t="s">
        <v>105</v>
      </c>
      <c r="D45" s="297" t="s">
        <v>171</v>
      </c>
      <c r="E45" s="297" t="s">
        <v>67</v>
      </c>
      <c r="F45" s="297" t="s">
        <v>79</v>
      </c>
      <c r="G45" s="280" t="s">
        <v>172</v>
      </c>
    </row>
    <row r="46" spans="1:7" x14ac:dyDescent="0.25">
      <c r="A46" s="565"/>
      <c r="B46" s="594"/>
      <c r="C46" s="309" t="s">
        <v>173</v>
      </c>
      <c r="D46" s="297" t="s">
        <v>174</v>
      </c>
      <c r="E46" s="297" t="s">
        <v>67</v>
      </c>
      <c r="F46" s="297" t="s">
        <v>79</v>
      </c>
      <c r="G46" s="280" t="s">
        <v>169</v>
      </c>
    </row>
    <row r="47" spans="1:7" ht="15.75" thickBot="1" x14ac:dyDescent="0.3">
      <c r="A47" s="565"/>
      <c r="B47" s="595"/>
      <c r="C47" s="310" t="s">
        <v>175</v>
      </c>
      <c r="D47" s="298" t="s">
        <v>176</v>
      </c>
      <c r="E47" s="297" t="s">
        <v>67</v>
      </c>
      <c r="F47" s="298" t="s">
        <v>79</v>
      </c>
      <c r="G47" s="281" t="s">
        <v>169</v>
      </c>
    </row>
    <row r="48" spans="1:7" ht="30" x14ac:dyDescent="0.25">
      <c r="A48" s="565"/>
      <c r="B48" s="596" t="s">
        <v>177</v>
      </c>
      <c r="C48" s="305" t="s">
        <v>132</v>
      </c>
      <c r="D48" s="299" t="s">
        <v>178</v>
      </c>
      <c r="E48" s="299" t="s">
        <v>67</v>
      </c>
      <c r="F48" s="299" t="s">
        <v>130</v>
      </c>
      <c r="G48" s="561" t="s">
        <v>179</v>
      </c>
    </row>
    <row r="49" spans="1:7" ht="30" x14ac:dyDescent="0.25">
      <c r="A49" s="565"/>
      <c r="B49" s="596"/>
      <c r="C49" s="306" t="s">
        <v>30</v>
      </c>
      <c r="D49" s="282" t="s">
        <v>180</v>
      </c>
      <c r="E49" s="282" t="s">
        <v>67</v>
      </c>
      <c r="F49" s="282" t="s">
        <v>130</v>
      </c>
      <c r="G49" s="562"/>
    </row>
    <row r="50" spans="1:7" ht="30" x14ac:dyDescent="0.25">
      <c r="A50" s="565"/>
      <c r="B50" s="596"/>
      <c r="C50" s="306" t="s">
        <v>135</v>
      </c>
      <c r="D50" s="282" t="s">
        <v>181</v>
      </c>
      <c r="E50" s="282" t="s">
        <v>67</v>
      </c>
      <c r="F50" s="282" t="s">
        <v>130</v>
      </c>
      <c r="G50" s="562"/>
    </row>
    <row r="51" spans="1:7" ht="30" x14ac:dyDescent="0.25">
      <c r="A51" s="565"/>
      <c r="B51" s="596"/>
      <c r="C51" s="306" t="s">
        <v>36</v>
      </c>
      <c r="D51" s="282" t="s">
        <v>182</v>
      </c>
      <c r="E51" s="282" t="s">
        <v>67</v>
      </c>
      <c r="F51" s="282" t="s">
        <v>130</v>
      </c>
      <c r="G51" s="562"/>
    </row>
    <row r="52" spans="1:7" ht="30" x14ac:dyDescent="0.25">
      <c r="A52" s="565"/>
      <c r="B52" s="596"/>
      <c r="C52" s="306" t="s">
        <v>138</v>
      </c>
      <c r="D52" s="282" t="s">
        <v>183</v>
      </c>
      <c r="E52" s="282" t="s">
        <v>67</v>
      </c>
      <c r="F52" s="282" t="s">
        <v>130</v>
      </c>
      <c r="G52" s="562"/>
    </row>
    <row r="53" spans="1:7" ht="30" x14ac:dyDescent="0.25">
      <c r="A53" s="565"/>
      <c r="B53" s="596"/>
      <c r="C53" s="306" t="s">
        <v>184</v>
      </c>
      <c r="D53" s="282" t="s">
        <v>185</v>
      </c>
      <c r="E53" s="282" t="s">
        <v>67</v>
      </c>
      <c r="F53" s="282" t="s">
        <v>130</v>
      </c>
      <c r="G53" s="562"/>
    </row>
    <row r="54" spans="1:7" x14ac:dyDescent="0.25">
      <c r="A54" s="565"/>
      <c r="B54" s="596"/>
      <c r="C54" s="306" t="s">
        <v>140</v>
      </c>
      <c r="D54" s="282" t="s">
        <v>186</v>
      </c>
      <c r="E54" s="282" t="s">
        <v>67</v>
      </c>
      <c r="F54" s="282" t="s">
        <v>130</v>
      </c>
      <c r="G54" s="562"/>
    </row>
    <row r="55" spans="1:7" ht="30.75" thickBot="1" x14ac:dyDescent="0.3">
      <c r="A55" s="565"/>
      <c r="B55" s="597"/>
      <c r="C55" s="307" t="s">
        <v>187</v>
      </c>
      <c r="D55" s="300" t="s">
        <v>188</v>
      </c>
      <c r="E55" s="300" t="s">
        <v>67</v>
      </c>
      <c r="F55" s="300" t="s">
        <v>130</v>
      </c>
      <c r="G55" s="563"/>
    </row>
    <row r="56" spans="1:7" ht="30" x14ac:dyDescent="0.25">
      <c r="A56" s="565"/>
      <c r="B56" s="598" t="s">
        <v>144</v>
      </c>
      <c r="C56" s="416" t="s">
        <v>132</v>
      </c>
      <c r="D56" s="417" t="s">
        <v>189</v>
      </c>
      <c r="E56" s="417" t="s">
        <v>67</v>
      </c>
      <c r="F56" s="417" t="s">
        <v>146</v>
      </c>
      <c r="G56" s="418" t="s">
        <v>169</v>
      </c>
    </row>
    <row r="57" spans="1:7" ht="30" x14ac:dyDescent="0.25">
      <c r="A57" s="565"/>
      <c r="B57" s="599"/>
      <c r="C57" s="303" t="s">
        <v>30</v>
      </c>
      <c r="D57" s="301" t="s">
        <v>190</v>
      </c>
      <c r="E57" s="301" t="s">
        <v>67</v>
      </c>
      <c r="F57" s="301" t="s">
        <v>146</v>
      </c>
      <c r="G57" s="278" t="s">
        <v>169</v>
      </c>
    </row>
    <row r="58" spans="1:7" ht="30" x14ac:dyDescent="0.25">
      <c r="A58" s="565"/>
      <c r="B58" s="599"/>
      <c r="C58" s="303" t="s">
        <v>135</v>
      </c>
      <c r="D58" s="301" t="s">
        <v>191</v>
      </c>
      <c r="E58" s="301" t="s">
        <v>67</v>
      </c>
      <c r="F58" s="301" t="s">
        <v>146</v>
      </c>
      <c r="G58" s="278" t="s">
        <v>169</v>
      </c>
    </row>
    <row r="59" spans="1:7" x14ac:dyDescent="0.25">
      <c r="A59" s="565"/>
      <c r="B59" s="599"/>
      <c r="C59" s="303" t="s">
        <v>36</v>
      </c>
      <c r="D59" s="301" t="s">
        <v>192</v>
      </c>
      <c r="E59" s="301" t="s">
        <v>67</v>
      </c>
      <c r="F59" s="301" t="s">
        <v>146</v>
      </c>
      <c r="G59" s="278" t="s">
        <v>169</v>
      </c>
    </row>
    <row r="60" spans="1:7" ht="30" x14ac:dyDescent="0.25">
      <c r="A60" s="565"/>
      <c r="B60" s="599"/>
      <c r="C60" s="303" t="s">
        <v>138</v>
      </c>
      <c r="D60" s="301" t="s">
        <v>193</v>
      </c>
      <c r="E60" s="301" t="s">
        <v>67</v>
      </c>
      <c r="F60" s="301" t="s">
        <v>146</v>
      </c>
      <c r="G60" s="278" t="s">
        <v>169</v>
      </c>
    </row>
    <row r="61" spans="1:7" x14ac:dyDescent="0.25">
      <c r="A61" s="565"/>
      <c r="B61" s="599"/>
      <c r="C61" s="303" t="s">
        <v>184</v>
      </c>
      <c r="D61" s="301" t="s">
        <v>194</v>
      </c>
      <c r="E61" s="301" t="s">
        <v>67</v>
      </c>
      <c r="F61" s="301" t="s">
        <v>146</v>
      </c>
      <c r="G61" s="278" t="s">
        <v>169</v>
      </c>
    </row>
    <row r="62" spans="1:7" x14ac:dyDescent="0.25">
      <c r="A62" s="565"/>
      <c r="B62" s="599"/>
      <c r="C62" s="303" t="s">
        <v>140</v>
      </c>
      <c r="D62" s="301" t="s">
        <v>195</v>
      </c>
      <c r="E62" s="301" t="s">
        <v>67</v>
      </c>
      <c r="F62" s="301" t="s">
        <v>146</v>
      </c>
      <c r="G62" s="278" t="s">
        <v>169</v>
      </c>
    </row>
    <row r="63" spans="1:7" ht="15.75" thickBot="1" x14ac:dyDescent="0.3">
      <c r="A63" s="566"/>
      <c r="B63" s="600"/>
      <c r="C63" s="304" t="s">
        <v>187</v>
      </c>
      <c r="D63" s="302" t="s">
        <v>196</v>
      </c>
      <c r="E63" s="302" t="s">
        <v>67</v>
      </c>
      <c r="F63" s="302" t="s">
        <v>146</v>
      </c>
      <c r="G63" s="283" t="s">
        <v>169</v>
      </c>
    </row>
    <row r="64" spans="1:7" ht="120" x14ac:dyDescent="0.25">
      <c r="A64" s="565" t="s">
        <v>65</v>
      </c>
      <c r="B64" s="590" t="s">
        <v>197</v>
      </c>
      <c r="C64" s="327" t="s">
        <v>77</v>
      </c>
      <c r="D64" s="285" t="s">
        <v>198</v>
      </c>
      <c r="E64" s="285" t="s">
        <v>60</v>
      </c>
      <c r="F64" s="285" t="s">
        <v>79</v>
      </c>
      <c r="G64" s="432" t="s">
        <v>199</v>
      </c>
    </row>
    <row r="65" spans="1:7" ht="60" x14ac:dyDescent="0.25">
      <c r="A65" s="565"/>
      <c r="B65" s="591"/>
      <c r="C65" s="328" t="s">
        <v>81</v>
      </c>
      <c r="D65" s="286" t="s">
        <v>82</v>
      </c>
      <c r="E65" s="286" t="s">
        <v>60</v>
      </c>
      <c r="F65" s="286" t="s">
        <v>79</v>
      </c>
      <c r="G65" s="434" t="s">
        <v>200</v>
      </c>
    </row>
    <row r="66" spans="1:7" ht="30" x14ac:dyDescent="0.25">
      <c r="A66" s="565"/>
      <c r="B66" s="591"/>
      <c r="C66" s="328" t="s">
        <v>96</v>
      </c>
      <c r="D66" s="286" t="s">
        <v>97</v>
      </c>
      <c r="E66" s="286" t="s">
        <v>60</v>
      </c>
      <c r="F66" s="286" t="s">
        <v>79</v>
      </c>
      <c r="G66" s="287" t="s">
        <v>201</v>
      </c>
    </row>
    <row r="67" spans="1:7" ht="30" x14ac:dyDescent="0.25">
      <c r="A67" s="565"/>
      <c r="B67" s="591"/>
      <c r="C67" s="328" t="s">
        <v>202</v>
      </c>
      <c r="D67" s="286" t="s">
        <v>203</v>
      </c>
      <c r="E67" s="286" t="s">
        <v>60</v>
      </c>
      <c r="F67" s="286" t="s">
        <v>79</v>
      </c>
      <c r="G67" s="287" t="s">
        <v>204</v>
      </c>
    </row>
    <row r="68" spans="1:7" x14ac:dyDescent="0.25">
      <c r="A68" s="565"/>
      <c r="B68" s="591"/>
      <c r="C68" s="328" t="s">
        <v>1</v>
      </c>
      <c r="D68" s="286" t="s">
        <v>205</v>
      </c>
      <c r="E68" s="286" t="s">
        <v>60</v>
      </c>
      <c r="F68" s="286" t="s">
        <v>79</v>
      </c>
      <c r="G68" s="287" t="s">
        <v>206</v>
      </c>
    </row>
    <row r="69" spans="1:7" ht="15.75" thickBot="1" x14ac:dyDescent="0.3">
      <c r="A69" s="565"/>
      <c r="B69" s="592"/>
      <c r="C69" s="329" t="s">
        <v>207</v>
      </c>
      <c r="D69" s="288" t="s">
        <v>208</v>
      </c>
      <c r="E69" s="288" t="s">
        <v>60</v>
      </c>
      <c r="F69" s="288" t="s">
        <v>79</v>
      </c>
      <c r="G69" s="289"/>
    </row>
    <row r="70" spans="1:7" ht="150" x14ac:dyDescent="0.25">
      <c r="A70" s="564" t="s">
        <v>68</v>
      </c>
      <c r="B70" s="567" t="s">
        <v>76</v>
      </c>
      <c r="C70" s="337" t="s">
        <v>77</v>
      </c>
      <c r="D70" s="284" t="s">
        <v>209</v>
      </c>
      <c r="E70" s="284" t="s">
        <v>60</v>
      </c>
      <c r="F70" s="284" t="s">
        <v>79</v>
      </c>
      <c r="G70" s="433" t="s">
        <v>210</v>
      </c>
    </row>
    <row r="71" spans="1:7" x14ac:dyDescent="0.25">
      <c r="A71" s="565"/>
      <c r="B71" s="568"/>
      <c r="C71" s="121" t="s">
        <v>81</v>
      </c>
      <c r="D71" s="82" t="s">
        <v>82</v>
      </c>
      <c r="E71" s="82" t="s">
        <v>60</v>
      </c>
      <c r="F71" s="82" t="s">
        <v>79</v>
      </c>
      <c r="G71" s="95" t="s">
        <v>169</v>
      </c>
    </row>
    <row r="72" spans="1:7" ht="30" x14ac:dyDescent="0.25">
      <c r="A72" s="565"/>
      <c r="B72" s="568"/>
      <c r="C72" s="121" t="s">
        <v>96</v>
      </c>
      <c r="D72" s="82" t="s">
        <v>97</v>
      </c>
      <c r="E72" s="82" t="s">
        <v>60</v>
      </c>
      <c r="F72" s="82" t="s">
        <v>79</v>
      </c>
      <c r="G72" s="95" t="s">
        <v>211</v>
      </c>
    </row>
    <row r="73" spans="1:7" x14ac:dyDescent="0.25">
      <c r="A73" s="565"/>
      <c r="B73" s="568"/>
      <c r="C73" s="121" t="s">
        <v>212</v>
      </c>
      <c r="D73" s="82" t="s">
        <v>213</v>
      </c>
      <c r="E73" s="82" t="s">
        <v>86</v>
      </c>
      <c r="F73" s="82" t="s">
        <v>79</v>
      </c>
      <c r="G73" s="95" t="s">
        <v>169</v>
      </c>
    </row>
    <row r="74" spans="1:7" ht="60" customHeight="1" x14ac:dyDescent="0.25">
      <c r="A74" s="565"/>
      <c r="B74" s="568"/>
      <c r="C74" s="121" t="s">
        <v>88</v>
      </c>
      <c r="D74" s="82" t="s">
        <v>214</v>
      </c>
      <c r="E74" s="82" t="s">
        <v>86</v>
      </c>
      <c r="F74" s="82" t="s">
        <v>79</v>
      </c>
      <c r="G74" s="95" t="s">
        <v>169</v>
      </c>
    </row>
    <row r="75" spans="1:7" x14ac:dyDescent="0.25">
      <c r="A75" s="565"/>
      <c r="B75" s="568"/>
      <c r="C75" s="121" t="s">
        <v>1</v>
      </c>
      <c r="D75" s="82" t="s">
        <v>205</v>
      </c>
      <c r="E75" s="82" t="s">
        <v>86</v>
      </c>
      <c r="F75" s="82" t="s">
        <v>79</v>
      </c>
      <c r="G75" s="95" t="s">
        <v>169</v>
      </c>
    </row>
    <row r="76" spans="1:7" ht="90" x14ac:dyDescent="0.25">
      <c r="A76" s="565"/>
      <c r="B76" s="568"/>
      <c r="C76" s="121" t="s">
        <v>215</v>
      </c>
      <c r="D76" s="82" t="s">
        <v>216</v>
      </c>
      <c r="E76" s="82" t="s">
        <v>60</v>
      </c>
      <c r="F76" s="82" t="s">
        <v>79</v>
      </c>
      <c r="G76" s="322" t="s">
        <v>217</v>
      </c>
    </row>
    <row r="77" spans="1:7" ht="90" x14ac:dyDescent="0.25">
      <c r="A77" s="565"/>
      <c r="B77" s="568"/>
      <c r="C77" s="121" t="s">
        <v>218</v>
      </c>
      <c r="D77" s="82" t="s">
        <v>219</v>
      </c>
      <c r="E77" s="82" t="s">
        <v>60</v>
      </c>
      <c r="F77" s="82" t="s">
        <v>79</v>
      </c>
      <c r="G77" s="322" t="s">
        <v>220</v>
      </c>
    </row>
    <row r="78" spans="1:7" ht="30" x14ac:dyDescent="0.25">
      <c r="A78" s="565"/>
      <c r="B78" s="568"/>
      <c r="C78" s="121" t="s">
        <v>105</v>
      </c>
      <c r="D78" s="82" t="s">
        <v>171</v>
      </c>
      <c r="E78" s="82" t="s">
        <v>86</v>
      </c>
      <c r="F78" s="82" t="s">
        <v>79</v>
      </c>
      <c r="G78" s="95" t="s">
        <v>172</v>
      </c>
    </row>
    <row r="79" spans="1:7" ht="30.75" thickBot="1" x14ac:dyDescent="0.3">
      <c r="A79" s="565"/>
      <c r="B79" s="569"/>
      <c r="C79" s="122" t="s">
        <v>221</v>
      </c>
      <c r="D79" s="96" t="s">
        <v>222</v>
      </c>
      <c r="E79" s="96" t="s">
        <v>60</v>
      </c>
      <c r="F79" s="96" t="s">
        <v>79</v>
      </c>
      <c r="G79" s="97" t="s">
        <v>223</v>
      </c>
    </row>
    <row r="80" spans="1:7" ht="30" x14ac:dyDescent="0.25">
      <c r="A80" s="565"/>
      <c r="B80" s="570" t="s">
        <v>113</v>
      </c>
      <c r="C80" s="123" t="s">
        <v>114</v>
      </c>
      <c r="D80" s="105" t="s">
        <v>224</v>
      </c>
      <c r="E80" s="105" t="s">
        <v>60</v>
      </c>
      <c r="F80" s="105" t="s">
        <v>225</v>
      </c>
      <c r="G80" s="106" t="s">
        <v>223</v>
      </c>
    </row>
    <row r="81" spans="1:7" ht="30.75" thickBot="1" x14ac:dyDescent="0.3">
      <c r="A81" s="565"/>
      <c r="B81" s="571"/>
      <c r="C81" s="124" t="s">
        <v>121</v>
      </c>
      <c r="D81" s="107" t="s">
        <v>226</v>
      </c>
      <c r="E81" s="107" t="s">
        <v>60</v>
      </c>
      <c r="F81" s="107" t="s">
        <v>225</v>
      </c>
      <c r="G81" s="108" t="s">
        <v>223</v>
      </c>
    </row>
    <row r="82" spans="1:7" ht="30" x14ac:dyDescent="0.25">
      <c r="A82" s="565"/>
      <c r="B82" s="572" t="s">
        <v>124</v>
      </c>
      <c r="C82" s="125" t="s">
        <v>227</v>
      </c>
      <c r="D82" s="102" t="s">
        <v>228</v>
      </c>
      <c r="E82" s="102" t="s">
        <v>60</v>
      </c>
      <c r="F82" s="102" t="s">
        <v>79</v>
      </c>
      <c r="G82" s="103" t="s">
        <v>223</v>
      </c>
    </row>
    <row r="83" spans="1:7" ht="30" x14ac:dyDescent="0.25">
      <c r="A83" s="565"/>
      <c r="B83" s="573"/>
      <c r="C83" s="127" t="s">
        <v>229</v>
      </c>
      <c r="D83" s="109" t="s">
        <v>230</v>
      </c>
      <c r="E83" s="109" t="s">
        <v>60</v>
      </c>
      <c r="F83" s="109" t="s">
        <v>225</v>
      </c>
      <c r="G83" s="114" t="s">
        <v>223</v>
      </c>
    </row>
    <row r="84" spans="1:7" ht="30.75" thickBot="1" x14ac:dyDescent="0.3">
      <c r="A84" s="565"/>
      <c r="B84" s="574"/>
      <c r="C84" s="128" t="s">
        <v>187</v>
      </c>
      <c r="D84" s="119" t="s">
        <v>231</v>
      </c>
      <c r="E84" s="119" t="s">
        <v>60</v>
      </c>
      <c r="F84" s="119" t="s">
        <v>225</v>
      </c>
      <c r="G84" s="120" t="s">
        <v>223</v>
      </c>
    </row>
    <row r="85" spans="1:7" ht="30" x14ac:dyDescent="0.25">
      <c r="A85" s="565"/>
      <c r="B85" s="575" t="s">
        <v>144</v>
      </c>
      <c r="C85" s="126" t="s">
        <v>232</v>
      </c>
      <c r="D85" s="111" t="s">
        <v>233</v>
      </c>
      <c r="E85" s="111" t="s">
        <v>60</v>
      </c>
      <c r="F85" s="111" t="s">
        <v>225</v>
      </c>
      <c r="G85" s="112" t="s">
        <v>223</v>
      </c>
    </row>
    <row r="86" spans="1:7" ht="30" x14ac:dyDescent="0.25">
      <c r="A86" s="565"/>
      <c r="B86" s="576"/>
      <c r="C86" s="98" t="s">
        <v>229</v>
      </c>
      <c r="D86" s="83" t="s">
        <v>234</v>
      </c>
      <c r="E86" s="83" t="s">
        <v>60</v>
      </c>
      <c r="F86" s="83" t="s">
        <v>225</v>
      </c>
      <c r="G86" s="99" t="s">
        <v>223</v>
      </c>
    </row>
    <row r="87" spans="1:7" ht="30" x14ac:dyDescent="0.25">
      <c r="A87" s="565"/>
      <c r="B87" s="576"/>
      <c r="C87" s="98" t="s">
        <v>184</v>
      </c>
      <c r="D87" s="83" t="s">
        <v>235</v>
      </c>
      <c r="E87" s="83" t="s">
        <v>60</v>
      </c>
      <c r="F87" s="83" t="s">
        <v>225</v>
      </c>
      <c r="G87" s="99" t="s">
        <v>223</v>
      </c>
    </row>
    <row r="88" spans="1:7" ht="30" x14ac:dyDescent="0.25">
      <c r="A88" s="565"/>
      <c r="B88" s="576"/>
      <c r="C88" s="98" t="s">
        <v>140</v>
      </c>
      <c r="D88" s="83" t="s">
        <v>236</v>
      </c>
      <c r="E88" s="83" t="s">
        <v>60</v>
      </c>
      <c r="F88" s="83" t="s">
        <v>225</v>
      </c>
      <c r="G88" s="99" t="s">
        <v>223</v>
      </c>
    </row>
    <row r="89" spans="1:7" ht="45" customHeight="1" x14ac:dyDescent="0.25">
      <c r="A89" s="565"/>
      <c r="B89" s="576"/>
      <c r="C89" s="98" t="s">
        <v>187</v>
      </c>
      <c r="D89" s="83" t="s">
        <v>237</v>
      </c>
      <c r="E89" s="83" t="s">
        <v>60</v>
      </c>
      <c r="F89" s="83" t="s">
        <v>225</v>
      </c>
      <c r="G89" s="99" t="s">
        <v>223</v>
      </c>
    </row>
    <row r="90" spans="1:7" ht="30.75" thickBot="1" x14ac:dyDescent="0.3">
      <c r="A90" s="566"/>
      <c r="B90" s="577"/>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6"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10" t="s">
        <v>240</v>
      </c>
      <c r="B2" s="610"/>
      <c r="C2" s="610"/>
      <c r="D2" s="610"/>
      <c r="E2" s="610"/>
      <c r="F2" s="89"/>
      <c r="G2" s="89"/>
      <c r="H2" s="89"/>
      <c r="I2" s="89"/>
      <c r="J2" s="89"/>
      <c r="K2" s="89"/>
      <c r="L2" s="89"/>
      <c r="M2" s="89"/>
      <c r="N2" s="89"/>
      <c r="O2" s="89"/>
      <c r="P2" s="89"/>
      <c r="Q2" s="89"/>
      <c r="R2" s="89"/>
    </row>
    <row r="3" spans="1:19" ht="45" x14ac:dyDescent="0.25">
      <c r="A3" s="532" t="s">
        <v>241</v>
      </c>
      <c r="B3" s="532" t="s">
        <v>242</v>
      </c>
      <c r="C3" s="532" t="s">
        <v>243</v>
      </c>
      <c r="D3" s="532" t="s">
        <v>244</v>
      </c>
      <c r="E3" s="532" t="s">
        <v>245</v>
      </c>
    </row>
    <row r="4" spans="1:19" x14ac:dyDescent="0.25">
      <c r="A4" s="533" t="s">
        <v>246</v>
      </c>
      <c r="B4" s="533" t="s">
        <v>247</v>
      </c>
      <c r="C4" s="533" t="s">
        <v>248</v>
      </c>
      <c r="D4" s="533" t="s">
        <v>249</v>
      </c>
      <c r="E4" s="533" t="s">
        <v>248</v>
      </c>
    </row>
    <row r="5" spans="1:19" x14ac:dyDescent="0.25">
      <c r="A5" s="533" t="s">
        <v>250</v>
      </c>
      <c r="B5" s="533" t="s">
        <v>251</v>
      </c>
      <c r="C5" s="533" t="s">
        <v>252</v>
      </c>
      <c r="D5" s="533" t="s">
        <v>249</v>
      </c>
      <c r="E5" s="533" t="s">
        <v>248</v>
      </c>
    </row>
    <row r="6" spans="1:19" x14ac:dyDescent="0.25">
      <c r="A6" s="81"/>
    </row>
    <row r="7" spans="1:19" ht="59.25" customHeight="1" x14ac:dyDescent="0.25">
      <c r="A7" s="610" t="s">
        <v>253</v>
      </c>
      <c r="B7" s="611"/>
      <c r="C7" s="611"/>
      <c r="D7" s="611"/>
      <c r="E7" s="611"/>
      <c r="F7" s="611"/>
      <c r="G7" s="611"/>
      <c r="H7" s="611"/>
      <c r="I7" s="611"/>
      <c r="J7" s="611"/>
      <c r="K7" s="611"/>
      <c r="L7" s="611"/>
      <c r="M7" s="89"/>
      <c r="N7" s="89"/>
      <c r="O7" s="89"/>
      <c r="P7" s="89"/>
      <c r="Q7" s="89"/>
      <c r="R7" s="89"/>
      <c r="S7" s="89"/>
    </row>
    <row r="8" spans="1:19" x14ac:dyDescent="0.25">
      <c r="A8" s="534" t="s">
        <v>254</v>
      </c>
      <c r="B8" s="535"/>
      <c r="C8" s="535"/>
      <c r="D8" s="535"/>
      <c r="E8" s="535"/>
      <c r="F8" s="535"/>
      <c r="G8" s="535"/>
      <c r="H8" s="535"/>
      <c r="I8" s="535"/>
      <c r="J8" s="535"/>
      <c r="K8" s="535"/>
      <c r="L8" s="535"/>
      <c r="M8" s="89"/>
      <c r="N8" s="89"/>
      <c r="O8" s="89"/>
      <c r="P8" s="89"/>
      <c r="Q8" s="89"/>
      <c r="R8" s="89"/>
      <c r="S8" s="89"/>
    </row>
    <row r="9" spans="1:19" x14ac:dyDescent="0.25">
      <c r="A9" s="536" t="s">
        <v>77</v>
      </c>
      <c r="B9" s="537" t="s">
        <v>81</v>
      </c>
      <c r="C9" s="537" t="s">
        <v>84</v>
      </c>
      <c r="D9" s="538" t="s">
        <v>88</v>
      </c>
      <c r="E9" s="537" t="s">
        <v>91</v>
      </c>
      <c r="F9" s="537" t="s">
        <v>94</v>
      </c>
      <c r="G9" s="537" t="s">
        <v>96</v>
      </c>
      <c r="H9" s="537" t="s">
        <v>99</v>
      </c>
      <c r="I9" s="537" t="s">
        <v>102</v>
      </c>
      <c r="J9" s="539" t="s">
        <v>105</v>
      </c>
      <c r="K9" s="539" t="s">
        <v>108</v>
      </c>
      <c r="L9" s="540" t="s">
        <v>1</v>
      </c>
    </row>
    <row r="10" spans="1:19" x14ac:dyDescent="0.25">
      <c r="A10" s="541" t="s">
        <v>255</v>
      </c>
      <c r="B10" s="542" t="s">
        <v>256</v>
      </c>
      <c r="C10" s="542"/>
      <c r="D10" s="543" t="s">
        <v>257</v>
      </c>
      <c r="E10" s="544"/>
      <c r="F10" s="542" t="s">
        <v>258</v>
      </c>
      <c r="G10" s="543" t="s">
        <v>259</v>
      </c>
      <c r="H10" s="542" t="s">
        <v>260</v>
      </c>
      <c r="I10" s="542"/>
      <c r="J10" s="543">
        <v>1</v>
      </c>
      <c r="K10" s="543">
        <v>1</v>
      </c>
      <c r="L10" s="543" t="s">
        <v>261</v>
      </c>
    </row>
    <row r="11" spans="1:19" x14ac:dyDescent="0.25">
      <c r="A11" s="541" t="s">
        <v>262</v>
      </c>
      <c r="B11" s="542" t="s">
        <v>263</v>
      </c>
      <c r="C11" s="542"/>
      <c r="D11" s="543" t="s">
        <v>264</v>
      </c>
      <c r="E11" s="544"/>
      <c r="F11" s="542" t="s">
        <v>265</v>
      </c>
      <c r="G11" s="543" t="s">
        <v>259</v>
      </c>
      <c r="H11" s="542" t="s">
        <v>266</v>
      </c>
      <c r="I11" s="542"/>
      <c r="J11" s="543">
        <v>1</v>
      </c>
      <c r="K11" s="543">
        <v>1</v>
      </c>
      <c r="L11" s="543" t="s">
        <v>267</v>
      </c>
    </row>
    <row r="12" spans="1:19" ht="30" x14ac:dyDescent="0.25">
      <c r="A12" s="541" t="s">
        <v>268</v>
      </c>
      <c r="B12" s="541" t="s">
        <v>269</v>
      </c>
      <c r="C12" s="542"/>
      <c r="D12" s="543" t="s">
        <v>247</v>
      </c>
      <c r="E12" s="544"/>
      <c r="F12" s="542" t="s">
        <v>270</v>
      </c>
      <c r="G12" s="543" t="e">
        <v>#N/A</v>
      </c>
      <c r="H12" s="542" t="s">
        <v>249</v>
      </c>
      <c r="I12" s="542"/>
      <c r="J12" s="543">
        <v>1</v>
      </c>
      <c r="K12" s="543">
        <v>1</v>
      </c>
      <c r="L12" s="543" t="s">
        <v>261</v>
      </c>
    </row>
    <row r="13" spans="1:19" x14ac:dyDescent="0.25">
      <c r="A13" s="545" t="s">
        <v>271</v>
      </c>
    </row>
    <row r="14" spans="1:19" x14ac:dyDescent="0.25">
      <c r="A14" s="536" t="s">
        <v>77</v>
      </c>
      <c r="B14" s="537" t="s">
        <v>81</v>
      </c>
      <c r="C14" s="537" t="s">
        <v>84</v>
      </c>
      <c r="D14" s="538" t="s">
        <v>88</v>
      </c>
      <c r="E14" s="537" t="s">
        <v>91</v>
      </c>
      <c r="F14" s="537" t="s">
        <v>94</v>
      </c>
      <c r="G14" s="537" t="s">
        <v>96</v>
      </c>
      <c r="H14" s="537" t="s">
        <v>99</v>
      </c>
      <c r="I14" s="537" t="s">
        <v>102</v>
      </c>
      <c r="J14" s="539" t="s">
        <v>105</v>
      </c>
      <c r="K14" s="539" t="s">
        <v>108</v>
      </c>
      <c r="L14" s="546" t="s">
        <v>1</v>
      </c>
      <c r="M14" s="539" t="s">
        <v>114</v>
      </c>
      <c r="N14" s="539" t="s">
        <v>118</v>
      </c>
      <c r="O14" s="539" t="s">
        <v>121</v>
      </c>
      <c r="P14" s="539" t="s">
        <v>125</v>
      </c>
      <c r="Q14" s="539" t="s">
        <v>128</v>
      </c>
      <c r="R14" s="539" t="s">
        <v>132</v>
      </c>
      <c r="S14" s="539" t="s">
        <v>157</v>
      </c>
    </row>
    <row r="15" spans="1:19" x14ac:dyDescent="0.25">
      <c r="A15" s="541" t="s">
        <v>272</v>
      </c>
      <c r="B15" s="542" t="s">
        <v>273</v>
      </c>
      <c r="C15" s="542"/>
      <c r="D15" s="543" t="s">
        <v>252</v>
      </c>
      <c r="E15" s="542"/>
      <c r="F15" s="542" t="s">
        <v>274</v>
      </c>
      <c r="G15" s="543" t="s">
        <v>259</v>
      </c>
      <c r="H15" s="542" t="s">
        <v>275</v>
      </c>
      <c r="I15" s="542"/>
      <c r="J15" s="543">
        <v>1</v>
      </c>
      <c r="K15" s="543">
        <v>1</v>
      </c>
      <c r="L15" s="543" t="s">
        <v>276</v>
      </c>
      <c r="M15" s="547">
        <v>0</v>
      </c>
      <c r="N15" s="543"/>
      <c r="O15" s="547">
        <v>0</v>
      </c>
      <c r="P15" s="542" t="s">
        <v>48</v>
      </c>
      <c r="Q15" s="543">
        <v>1</v>
      </c>
      <c r="R15" s="543">
        <v>0</v>
      </c>
      <c r="S15" s="542" t="s">
        <v>277</v>
      </c>
    </row>
    <row r="16" spans="1:19" x14ac:dyDescent="0.25">
      <c r="A16" s="541" t="s">
        <v>250</v>
      </c>
      <c r="B16" s="542" t="s">
        <v>278</v>
      </c>
      <c r="C16" s="542"/>
      <c r="D16" s="548" t="s">
        <v>247</v>
      </c>
      <c r="E16" s="542"/>
      <c r="F16" s="542" t="s">
        <v>279</v>
      </c>
      <c r="G16" s="543" t="s">
        <v>280</v>
      </c>
      <c r="H16" s="549" t="s">
        <v>249</v>
      </c>
      <c r="I16" s="542"/>
      <c r="J16" s="543">
        <v>1</v>
      </c>
      <c r="K16" s="543">
        <v>1</v>
      </c>
      <c r="L16" s="543" t="s">
        <v>261</v>
      </c>
      <c r="M16" s="547">
        <v>0</v>
      </c>
      <c r="N16" s="543"/>
      <c r="O16" s="547">
        <v>0</v>
      </c>
      <c r="P16" s="542" t="s">
        <v>48</v>
      </c>
      <c r="Q16" s="543">
        <v>1</v>
      </c>
      <c r="R16" s="543">
        <v>0</v>
      </c>
      <c r="S16" s="542" t="s">
        <v>277</v>
      </c>
    </row>
    <row r="17" spans="1:19" x14ac:dyDescent="0.25">
      <c r="A17" s="541" t="s">
        <v>281</v>
      </c>
      <c r="B17" s="542" t="s">
        <v>282</v>
      </c>
      <c r="C17" s="542"/>
      <c r="D17" s="543" t="s">
        <v>252</v>
      </c>
      <c r="E17" s="542"/>
      <c r="F17" s="542" t="s">
        <v>283</v>
      </c>
      <c r="G17" s="543" t="s">
        <v>284</v>
      </c>
      <c r="H17" s="542" t="s">
        <v>285</v>
      </c>
      <c r="I17" s="542"/>
      <c r="J17" s="543">
        <v>1</v>
      </c>
      <c r="K17" s="543">
        <v>1</v>
      </c>
      <c r="L17" s="543" t="s">
        <v>276</v>
      </c>
      <c r="M17" s="547">
        <v>0</v>
      </c>
      <c r="N17" s="543"/>
      <c r="O17" s="547">
        <v>0</v>
      </c>
      <c r="P17" s="542" t="s">
        <v>48</v>
      </c>
      <c r="Q17" s="543">
        <v>1</v>
      </c>
      <c r="R17" s="543">
        <v>0</v>
      </c>
      <c r="S17" s="54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3" activePane="bottomRight" state="frozen"/>
      <selection pane="topRight" activeCell="B1" sqref="B1"/>
      <selection pane="bottomLeft" activeCell="A2" sqref="A2"/>
      <selection pane="bottomRight" activeCell="B25" sqref="B25"/>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0" t="s">
        <v>0</v>
      </c>
      <c r="B1" s="551" t="s">
        <v>287</v>
      </c>
      <c r="C1" s="551" t="s">
        <v>288</v>
      </c>
    </row>
    <row r="2" spans="1:3" x14ac:dyDescent="0.25">
      <c r="A2" s="552">
        <v>43807</v>
      </c>
      <c r="B2" s="553" t="s">
        <v>289</v>
      </c>
      <c r="C2" s="553" t="s">
        <v>11</v>
      </c>
    </row>
    <row r="3" spans="1:3" ht="30" x14ac:dyDescent="0.25">
      <c r="A3" s="552">
        <v>43937</v>
      </c>
      <c r="B3" s="80" t="s">
        <v>290</v>
      </c>
      <c r="C3" s="553" t="s">
        <v>11</v>
      </c>
    </row>
    <row r="4" spans="1:3" x14ac:dyDescent="0.25">
      <c r="A4" s="552">
        <v>43941</v>
      </c>
      <c r="B4" s="553" t="s">
        <v>291</v>
      </c>
      <c r="C4" s="553" t="s">
        <v>11</v>
      </c>
    </row>
    <row r="5" spans="1:3" x14ac:dyDescent="0.25">
      <c r="A5" s="552">
        <v>43942</v>
      </c>
      <c r="B5" s="553" t="s">
        <v>292</v>
      </c>
      <c r="C5" s="553" t="s">
        <v>11</v>
      </c>
    </row>
    <row r="6" spans="1:3" x14ac:dyDescent="0.25">
      <c r="A6" s="552">
        <v>43963</v>
      </c>
      <c r="B6" s="553" t="s">
        <v>293</v>
      </c>
      <c r="C6" s="553" t="s">
        <v>11</v>
      </c>
    </row>
    <row r="7" spans="1:3" x14ac:dyDescent="0.25">
      <c r="A7" s="552">
        <v>43990</v>
      </c>
      <c r="B7" s="553" t="s">
        <v>294</v>
      </c>
      <c r="C7" s="553" t="s">
        <v>11</v>
      </c>
    </row>
    <row r="8" spans="1:3" ht="30" x14ac:dyDescent="0.25">
      <c r="A8" s="552">
        <v>44104</v>
      </c>
      <c r="B8" s="80" t="s">
        <v>295</v>
      </c>
      <c r="C8" s="553" t="s">
        <v>296</v>
      </c>
    </row>
    <row r="9" spans="1:3" ht="150" x14ac:dyDescent="0.25">
      <c r="A9" s="552">
        <v>44128</v>
      </c>
      <c r="B9" s="80" t="s">
        <v>297</v>
      </c>
      <c r="C9" s="553" t="s">
        <v>296</v>
      </c>
    </row>
    <row r="10" spans="1:3" x14ac:dyDescent="0.25">
      <c r="A10" s="552">
        <v>44361</v>
      </c>
      <c r="B10" s="553" t="s">
        <v>298</v>
      </c>
      <c r="C10" s="553" t="s">
        <v>299</v>
      </c>
    </row>
    <row r="11" spans="1:3" x14ac:dyDescent="0.25">
      <c r="A11" s="552">
        <v>44813</v>
      </c>
      <c r="B11" s="553" t="s">
        <v>300</v>
      </c>
      <c r="C11" s="55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56"/>
  <sheetViews>
    <sheetView tabSelected="1" workbookViewId="0">
      <pane xSplit="2" ySplit="5" topLeftCell="G6" activePane="bottomRight" state="frozen"/>
      <selection pane="topRight" activeCell="C1" sqref="C1"/>
      <selection pane="bottomLeft" activeCell="A4" sqref="A4"/>
      <selection pane="bottomRight" activeCell="J10" sqref="J10"/>
    </sheetView>
  </sheetViews>
  <sheetFormatPr defaultColWidth="9.140625" defaultRowHeight="15" x14ac:dyDescent="0.25"/>
  <cols>
    <col min="1" max="1" width="15" style="172" customWidth="1"/>
    <col min="2" max="2" width="57.42578125" style="170" bestFit="1" customWidth="1"/>
    <col min="3" max="3" width="14.85546875" style="170" customWidth="1"/>
    <col min="4" max="4" width="12.140625" style="173" customWidth="1"/>
    <col min="5" max="5" width="18.42578125" style="170" customWidth="1"/>
    <col min="6" max="6" width="57.42578125" style="170" bestFit="1"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6.5703125" style="170" customWidth="1"/>
    <col min="18" max="18" width="9.42578125" style="175" customWidth="1"/>
    <col min="19" max="19" width="8.85546875" style="175" customWidth="1"/>
    <col min="20" max="20" width="7.5703125" style="174" customWidth="1"/>
    <col min="21" max="21" width="8.140625" style="174" customWidth="1"/>
    <col min="22" max="22" width="6.85546875" style="174" customWidth="1"/>
    <col min="23" max="23" width="7.7109375" style="174" customWidth="1"/>
    <col min="24" max="24" width="13.140625" style="174" customWidth="1"/>
    <col min="25" max="25" width="61.14062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18" t="s">
        <v>301</v>
      </c>
      <c r="B1" s="619"/>
      <c r="C1" s="619"/>
      <c r="D1" s="619"/>
      <c r="E1" s="619"/>
      <c r="F1" s="619"/>
      <c r="G1" s="619"/>
      <c r="H1" s="619"/>
      <c r="I1" s="619"/>
      <c r="J1" s="619"/>
      <c r="K1" s="619"/>
      <c r="L1" s="619"/>
      <c r="M1" s="619"/>
      <c r="N1" s="619"/>
      <c r="O1" s="619"/>
      <c r="P1" s="619"/>
      <c r="Q1" s="619"/>
      <c r="R1" s="619"/>
      <c r="S1" s="619"/>
      <c r="T1" s="619"/>
      <c r="U1" s="619"/>
      <c r="V1" s="619"/>
      <c r="W1" s="619"/>
      <c r="X1" s="619"/>
      <c r="Y1" s="619"/>
      <c r="Z1" s="619"/>
      <c r="AA1" s="619"/>
      <c r="AB1" s="619"/>
      <c r="AC1" s="619"/>
      <c r="AD1" s="619"/>
      <c r="AE1" s="619"/>
      <c r="AF1" s="619"/>
      <c r="AG1" s="619"/>
      <c r="AH1" s="620"/>
    </row>
    <row r="2" spans="1:34" ht="19.5" thickBot="1" x14ac:dyDescent="0.3">
      <c r="A2" s="621" t="s">
        <v>302</v>
      </c>
      <c r="B2" s="622"/>
      <c r="C2" s="622"/>
      <c r="D2" s="622"/>
      <c r="E2" s="622"/>
      <c r="F2" s="622"/>
      <c r="G2" s="622"/>
      <c r="H2" s="622"/>
      <c r="I2" s="622"/>
      <c r="J2" s="623"/>
      <c r="K2" s="395">
        <f>SUM(K6:K50)</f>
        <v>42</v>
      </c>
      <c r="L2" s="395">
        <f>SUM(L6:L50)</f>
        <v>372</v>
      </c>
      <c r="M2" s="396"/>
      <c r="N2" s="461">
        <f>SUMPRODUCT(K6:K50,N6:N50)/K53</f>
        <v>1</v>
      </c>
      <c r="O2" s="462">
        <f>SUM(O6:O50)</f>
        <v>0</v>
      </c>
      <c r="P2" s="463">
        <f>SUMPRODUCT(K6:K50,P6:P50)/K53</f>
        <v>0</v>
      </c>
      <c r="Q2" s="397"/>
      <c r="R2" s="398">
        <f t="shared" ref="R2:W2" si="0">SUM(R6:R50)</f>
        <v>372</v>
      </c>
      <c r="S2" s="464">
        <f t="shared" si="0"/>
        <v>0</v>
      </c>
      <c r="T2" s="464">
        <f t="shared" si="0"/>
        <v>0</v>
      </c>
      <c r="U2" s="464">
        <f t="shared" si="0"/>
        <v>0</v>
      </c>
      <c r="V2" s="464">
        <f t="shared" si="0"/>
        <v>0</v>
      </c>
      <c r="W2" s="464">
        <f t="shared" si="0"/>
        <v>0</v>
      </c>
      <c r="X2" s="465">
        <f>IF((S53=0),0,((T53+U53)/S53*100%))</f>
        <v>0</v>
      </c>
      <c r="Y2" s="399"/>
      <c r="Z2" s="478">
        <f>SUM(Z6:Z50)</f>
        <v>0</v>
      </c>
      <c r="AA2" s="479">
        <f>SUM(AA6:AA50)</f>
        <v>0</v>
      </c>
      <c r="AB2" s="479">
        <f>SUM(AB6:AB50)</f>
        <v>0</v>
      </c>
      <c r="AC2" s="479">
        <f>SUM(AC6:AC50)</f>
        <v>0</v>
      </c>
      <c r="AD2" s="479">
        <f>SUM(AD6:AD50)</f>
        <v>0</v>
      </c>
      <c r="AE2" s="468">
        <f>IF((Z53=0),0,((AA53+AB53)/Z53*100%))</f>
        <v>0</v>
      </c>
      <c r="AF2" s="400"/>
      <c r="AG2" s="400"/>
      <c r="AH2" s="401"/>
    </row>
    <row r="3" spans="1:34" ht="19.5" customHeight="1" thickBot="1" x14ac:dyDescent="0.3">
      <c r="A3" s="618" t="s">
        <v>303</v>
      </c>
      <c r="B3" s="619"/>
      <c r="C3" s="619"/>
      <c r="D3" s="619"/>
      <c r="E3" s="619"/>
      <c r="F3" s="619"/>
      <c r="G3" s="619"/>
      <c r="H3" s="619"/>
      <c r="I3" s="619"/>
      <c r="J3" s="619"/>
      <c r="K3" s="619"/>
      <c r="L3" s="619"/>
      <c r="M3" s="619"/>
      <c r="N3" s="619"/>
      <c r="O3" s="619"/>
      <c r="P3" s="619"/>
      <c r="Q3" s="619"/>
      <c r="R3" s="619"/>
      <c r="S3" s="619"/>
      <c r="T3" s="619"/>
      <c r="U3" s="619"/>
      <c r="V3" s="619"/>
      <c r="W3" s="619"/>
      <c r="X3" s="619"/>
      <c r="Y3" s="619"/>
      <c r="Z3" s="619"/>
      <c r="AA3" s="619"/>
      <c r="AB3" s="619"/>
      <c r="AC3" s="619"/>
      <c r="AD3" s="619"/>
      <c r="AE3" s="619"/>
      <c r="AF3" s="619"/>
      <c r="AG3" s="619"/>
      <c r="AH3" s="620"/>
    </row>
    <row r="4" spans="1:34" ht="31.5" customHeight="1" thickBot="1" x14ac:dyDescent="0.3">
      <c r="A4" s="624" t="s">
        <v>76</v>
      </c>
      <c r="B4" s="625"/>
      <c r="C4" s="625"/>
      <c r="D4" s="625"/>
      <c r="E4" s="625"/>
      <c r="F4" s="625"/>
      <c r="G4" s="625"/>
      <c r="H4" s="625"/>
      <c r="I4" s="625"/>
      <c r="J4" s="625"/>
      <c r="K4" s="625"/>
      <c r="L4" s="625"/>
      <c r="M4" s="626"/>
      <c r="N4" s="627" t="s">
        <v>304</v>
      </c>
      <c r="O4" s="628"/>
      <c r="P4" s="629"/>
      <c r="Q4" s="634" t="s">
        <v>305</v>
      </c>
      <c r="R4" s="635"/>
      <c r="S4" s="635"/>
      <c r="T4" s="635"/>
      <c r="U4" s="635"/>
      <c r="V4" s="635"/>
      <c r="W4" s="635"/>
      <c r="X4" s="635"/>
      <c r="Y4" s="636"/>
      <c r="Z4" s="630" t="s">
        <v>306</v>
      </c>
      <c r="AA4" s="631"/>
      <c r="AB4" s="631"/>
      <c r="AC4" s="631"/>
      <c r="AD4" s="631"/>
      <c r="AE4" s="632"/>
      <c r="AF4" s="632"/>
      <c r="AG4" s="632"/>
      <c r="AH4" s="633"/>
    </row>
    <row r="5" spans="1:34" s="171" customFormat="1" ht="15.75" thickBot="1" x14ac:dyDescent="0.3">
      <c r="A5" s="346" t="s">
        <v>77</v>
      </c>
      <c r="B5" s="347" t="s">
        <v>81</v>
      </c>
      <c r="C5" s="347" t="s">
        <v>84</v>
      </c>
      <c r="D5" s="557" t="s">
        <v>88</v>
      </c>
      <c r="E5" s="347" t="s">
        <v>91</v>
      </c>
      <c r="F5" s="347" t="s">
        <v>94</v>
      </c>
      <c r="G5" s="347" t="s">
        <v>96</v>
      </c>
      <c r="H5" s="347" t="s">
        <v>99</v>
      </c>
      <c r="I5" s="347" t="s">
        <v>307</v>
      </c>
      <c r="J5" s="347" t="s">
        <v>102</v>
      </c>
      <c r="K5" s="348" t="s">
        <v>105</v>
      </c>
      <c r="L5" s="348" t="s">
        <v>108</v>
      </c>
      <c r="M5" s="530" t="s">
        <v>1</v>
      </c>
      <c r="N5" s="357" t="s">
        <v>114</v>
      </c>
      <c r="O5" s="350" t="s">
        <v>118</v>
      </c>
      <c r="P5" s="358" t="s">
        <v>121</v>
      </c>
      <c r="Q5" s="356" t="s">
        <v>125</v>
      </c>
      <c r="R5" s="351" t="s">
        <v>128</v>
      </c>
      <c r="S5" s="351" t="s">
        <v>132</v>
      </c>
      <c r="T5" s="352" t="s">
        <v>30</v>
      </c>
      <c r="U5" s="352" t="s">
        <v>135</v>
      </c>
      <c r="V5" s="352" t="s">
        <v>36</v>
      </c>
      <c r="W5" s="352" t="s">
        <v>138</v>
      </c>
      <c r="X5" s="352" t="s">
        <v>140</v>
      </c>
      <c r="Y5" s="353" t="s">
        <v>142</v>
      </c>
      <c r="Z5" s="354" t="s">
        <v>132</v>
      </c>
      <c r="AA5" s="352" t="s">
        <v>30</v>
      </c>
      <c r="AB5" s="352" t="s">
        <v>135</v>
      </c>
      <c r="AC5" s="352" t="s">
        <v>36</v>
      </c>
      <c r="AD5" s="352" t="s">
        <v>138</v>
      </c>
      <c r="AE5" s="352" t="s">
        <v>140</v>
      </c>
      <c r="AF5" s="347" t="s">
        <v>155</v>
      </c>
      <c r="AG5" s="347" t="s">
        <v>157</v>
      </c>
      <c r="AH5" s="349" t="s">
        <v>160</v>
      </c>
    </row>
    <row r="6" spans="1:34" ht="15.75" thickBot="1" x14ac:dyDescent="0.3">
      <c r="A6" s="435" t="s">
        <v>308</v>
      </c>
      <c r="B6" s="436" t="s">
        <v>309</v>
      </c>
      <c r="C6" s="436" t="s">
        <v>310</v>
      </c>
      <c r="D6" s="355" t="s">
        <v>311</v>
      </c>
      <c r="E6" s="436"/>
      <c r="F6" s="436" t="s">
        <v>312</v>
      </c>
      <c r="G6" s="242" t="s">
        <v>259</v>
      </c>
      <c r="H6" s="437" t="s">
        <v>583</v>
      </c>
      <c r="I6" s="438" t="s">
        <v>51</v>
      </c>
      <c r="J6" s="436"/>
      <c r="K6" s="355">
        <v>1</v>
      </c>
      <c r="L6" s="355">
        <v>2</v>
      </c>
      <c r="M6" s="413" t="s">
        <v>33</v>
      </c>
      <c r="N6" s="452">
        <v>1</v>
      </c>
      <c r="O6" s="453">
        <v>0</v>
      </c>
      <c r="P6" s="454">
        <f>IF((O6=0),0,(O6/L6))</f>
        <v>0</v>
      </c>
      <c r="Q6" s="438" t="s">
        <v>48</v>
      </c>
      <c r="R6" s="355">
        <v>2</v>
      </c>
      <c r="S6" s="480"/>
      <c r="T6" s="470"/>
      <c r="U6" s="470"/>
      <c r="V6" s="470"/>
      <c r="W6" s="470"/>
      <c r="X6" s="481">
        <f t="shared" ref="X6:X47" si="1">IF((S6=0),0,((T6+U6)/S6*100%))</f>
        <v>0</v>
      </c>
      <c r="Y6" s="439"/>
      <c r="Z6" s="469"/>
      <c r="AA6" s="470"/>
      <c r="AB6" s="470"/>
      <c r="AC6" s="470"/>
      <c r="AD6" s="470"/>
      <c r="AE6" s="471">
        <f>IF((Z6=0),0,((AA6+AB6)/Z6*100%))</f>
        <v>0</v>
      </c>
      <c r="AF6" s="436"/>
      <c r="AG6" s="440"/>
      <c r="AH6" s="441"/>
    </row>
    <row r="7" spans="1:34" ht="15.75" thickBot="1" x14ac:dyDescent="0.3">
      <c r="A7" s="435" t="s">
        <v>313</v>
      </c>
      <c r="B7" s="436" t="s">
        <v>314</v>
      </c>
      <c r="C7" s="436" t="s">
        <v>310</v>
      </c>
      <c r="D7" s="355" t="s">
        <v>311</v>
      </c>
      <c r="E7" s="436"/>
      <c r="F7" s="436" t="s">
        <v>315</v>
      </c>
      <c r="G7" s="242" t="s">
        <v>259</v>
      </c>
      <c r="H7" s="437" t="s">
        <v>584</v>
      </c>
      <c r="I7" s="438" t="s">
        <v>51</v>
      </c>
      <c r="J7" s="436"/>
      <c r="K7" s="355">
        <v>1</v>
      </c>
      <c r="L7" s="355">
        <v>6</v>
      </c>
      <c r="M7" s="413" t="s">
        <v>33</v>
      </c>
      <c r="N7" s="452">
        <v>1</v>
      </c>
      <c r="O7" s="453">
        <v>0</v>
      </c>
      <c r="P7" s="454">
        <f t="shared" ref="P7:P12" si="2">IF((O7=0),0,(O7/L7))</f>
        <v>0</v>
      </c>
      <c r="Q7" s="438" t="s">
        <v>48</v>
      </c>
      <c r="R7" s="355">
        <v>6</v>
      </c>
      <c r="S7" s="480"/>
      <c r="T7" s="470"/>
      <c r="U7" s="470"/>
      <c r="V7" s="470"/>
      <c r="W7" s="470"/>
      <c r="X7" s="481">
        <f t="shared" si="1"/>
        <v>0</v>
      </c>
      <c r="Y7" s="439"/>
      <c r="Z7" s="469"/>
      <c r="AA7" s="470"/>
      <c r="AB7" s="470"/>
      <c r="AC7" s="470"/>
      <c r="AD7" s="470"/>
      <c r="AE7" s="471">
        <f t="shared" ref="AE7:AE22" si="3">IF((Z7=0),0,((AA7+AB7)/Z7*100%))</f>
        <v>0</v>
      </c>
      <c r="AF7" s="436"/>
      <c r="AG7" s="440"/>
      <c r="AH7" s="441"/>
    </row>
    <row r="8" spans="1:34" ht="15.75" thickBot="1" x14ac:dyDescent="0.3">
      <c r="A8" s="435" t="s">
        <v>316</v>
      </c>
      <c r="B8" s="436" t="s">
        <v>317</v>
      </c>
      <c r="C8" s="436" t="s">
        <v>310</v>
      </c>
      <c r="D8" s="355" t="s">
        <v>311</v>
      </c>
      <c r="E8" s="436"/>
      <c r="F8" s="436" t="s">
        <v>318</v>
      </c>
      <c r="G8" s="242" t="s">
        <v>280</v>
      </c>
      <c r="H8" s="437" t="s">
        <v>585</v>
      </c>
      <c r="I8" s="438" t="s">
        <v>51</v>
      </c>
      <c r="J8" s="436"/>
      <c r="K8" s="355">
        <v>1</v>
      </c>
      <c r="L8" s="355">
        <v>2</v>
      </c>
      <c r="M8" s="413" t="s">
        <v>33</v>
      </c>
      <c r="N8" s="452">
        <v>1</v>
      </c>
      <c r="O8" s="453">
        <v>0</v>
      </c>
      <c r="P8" s="454">
        <f t="shared" si="2"/>
        <v>0</v>
      </c>
      <c r="Q8" s="438" t="s">
        <v>48</v>
      </c>
      <c r="R8" s="355">
        <v>2</v>
      </c>
      <c r="S8" s="480"/>
      <c r="T8" s="470"/>
      <c r="U8" s="470"/>
      <c r="V8" s="470"/>
      <c r="W8" s="470"/>
      <c r="X8" s="481">
        <f t="shared" si="1"/>
        <v>0</v>
      </c>
      <c r="Y8" s="439"/>
      <c r="Z8" s="469"/>
      <c r="AA8" s="470"/>
      <c r="AB8" s="470"/>
      <c r="AC8" s="470"/>
      <c r="AD8" s="470"/>
      <c r="AE8" s="471">
        <f t="shared" si="3"/>
        <v>0</v>
      </c>
      <c r="AF8" s="436"/>
      <c r="AG8" s="440"/>
      <c r="AH8" s="441"/>
    </row>
    <row r="9" spans="1:34" ht="15.75" thickBot="1" x14ac:dyDescent="0.3">
      <c r="A9" s="435" t="s">
        <v>319</v>
      </c>
      <c r="B9" s="436" t="s">
        <v>320</v>
      </c>
      <c r="C9" s="436" t="s">
        <v>310</v>
      </c>
      <c r="D9" s="355" t="s">
        <v>311</v>
      </c>
      <c r="E9" s="436"/>
      <c r="F9" s="436" t="s">
        <v>321</v>
      </c>
      <c r="G9" s="242" t="s">
        <v>280</v>
      </c>
      <c r="H9" s="437" t="s">
        <v>586</v>
      </c>
      <c r="I9" s="438" t="s">
        <v>51</v>
      </c>
      <c r="J9" s="436"/>
      <c r="K9" s="355">
        <v>1</v>
      </c>
      <c r="L9" s="355">
        <v>2</v>
      </c>
      <c r="M9" s="413" t="s">
        <v>33</v>
      </c>
      <c r="N9" s="452">
        <v>1</v>
      </c>
      <c r="O9" s="453">
        <v>0</v>
      </c>
      <c r="P9" s="454">
        <f t="shared" si="2"/>
        <v>0</v>
      </c>
      <c r="Q9" s="438" t="s">
        <v>48</v>
      </c>
      <c r="R9" s="355">
        <v>2</v>
      </c>
      <c r="S9" s="480"/>
      <c r="T9" s="470"/>
      <c r="U9" s="470"/>
      <c r="V9" s="470"/>
      <c r="W9" s="470"/>
      <c r="X9" s="481">
        <f t="shared" si="1"/>
        <v>0</v>
      </c>
      <c r="Y9" s="439"/>
      <c r="Z9" s="469"/>
      <c r="AA9" s="470"/>
      <c r="AB9" s="470"/>
      <c r="AC9" s="470"/>
      <c r="AD9" s="470"/>
      <c r="AE9" s="471">
        <f t="shared" si="3"/>
        <v>0</v>
      </c>
      <c r="AF9" s="436"/>
      <c r="AG9" s="440"/>
      <c r="AH9" s="441"/>
    </row>
    <row r="10" spans="1:34" ht="15.75" thickBot="1" x14ac:dyDescent="0.3">
      <c r="A10" s="435" t="s">
        <v>322</v>
      </c>
      <c r="B10" s="436" t="s">
        <v>323</v>
      </c>
      <c r="C10" s="436" t="s">
        <v>310</v>
      </c>
      <c r="D10" s="355" t="s">
        <v>311</v>
      </c>
      <c r="E10" s="436"/>
      <c r="F10" s="436" t="s">
        <v>324</v>
      </c>
      <c r="G10" s="242" t="s">
        <v>280</v>
      </c>
      <c r="H10" s="437" t="s">
        <v>587</v>
      </c>
      <c r="I10" s="438" t="s">
        <v>51</v>
      </c>
      <c r="J10" s="436"/>
      <c r="K10" s="355">
        <v>1</v>
      </c>
      <c r="L10" s="355">
        <v>2</v>
      </c>
      <c r="M10" s="413" t="s">
        <v>33</v>
      </c>
      <c r="N10" s="452">
        <v>1</v>
      </c>
      <c r="O10" s="453">
        <v>0</v>
      </c>
      <c r="P10" s="454">
        <f t="shared" si="2"/>
        <v>0</v>
      </c>
      <c r="Q10" s="438" t="s">
        <v>48</v>
      </c>
      <c r="R10" s="355">
        <v>2</v>
      </c>
      <c r="S10" s="480"/>
      <c r="T10" s="470"/>
      <c r="U10" s="470"/>
      <c r="V10" s="470"/>
      <c r="W10" s="470"/>
      <c r="X10" s="481">
        <f t="shared" si="1"/>
        <v>0</v>
      </c>
      <c r="Y10" s="439"/>
      <c r="Z10" s="469"/>
      <c r="AA10" s="470"/>
      <c r="AB10" s="470"/>
      <c r="AC10" s="470"/>
      <c r="AD10" s="470"/>
      <c r="AE10" s="471">
        <f t="shared" si="3"/>
        <v>0</v>
      </c>
      <c r="AF10" s="436"/>
      <c r="AG10" s="440"/>
      <c r="AH10" s="441"/>
    </row>
    <row r="11" spans="1:34" ht="15.75" thickBot="1" x14ac:dyDescent="0.3">
      <c r="A11" s="435" t="s">
        <v>325</v>
      </c>
      <c r="B11" s="436" t="s">
        <v>326</v>
      </c>
      <c r="C11" s="436" t="s">
        <v>310</v>
      </c>
      <c r="D11" s="355" t="s">
        <v>311</v>
      </c>
      <c r="E11" s="436"/>
      <c r="F11" s="436" t="s">
        <v>327</v>
      </c>
      <c r="G11" s="242" t="s">
        <v>280</v>
      </c>
      <c r="H11" s="437" t="s">
        <v>588</v>
      </c>
      <c r="I11" s="438" t="s">
        <v>51</v>
      </c>
      <c r="J11" s="436"/>
      <c r="K11" s="355">
        <v>1</v>
      </c>
      <c r="L11" s="355">
        <v>2</v>
      </c>
      <c r="M11" s="413" t="s">
        <v>33</v>
      </c>
      <c r="N11" s="452">
        <v>1</v>
      </c>
      <c r="O11" s="453">
        <v>0</v>
      </c>
      <c r="P11" s="454">
        <f t="shared" si="2"/>
        <v>0</v>
      </c>
      <c r="Q11" s="438" t="s">
        <v>48</v>
      </c>
      <c r="R11" s="355">
        <v>2</v>
      </c>
      <c r="S11" s="480"/>
      <c r="T11" s="470"/>
      <c r="U11" s="470"/>
      <c r="V11" s="470"/>
      <c r="W11" s="470"/>
      <c r="X11" s="481">
        <f t="shared" si="1"/>
        <v>0</v>
      </c>
      <c r="Y11" s="439"/>
      <c r="Z11" s="469"/>
      <c r="AA11" s="470"/>
      <c r="AB11" s="470"/>
      <c r="AC11" s="470"/>
      <c r="AD11" s="470"/>
      <c r="AE11" s="471">
        <f t="shared" si="3"/>
        <v>0</v>
      </c>
      <c r="AF11" s="436"/>
      <c r="AG11" s="440"/>
      <c r="AH11" s="441"/>
    </row>
    <row r="12" spans="1:34" ht="15.75" thickBot="1" x14ac:dyDescent="0.3">
      <c r="A12" s="435" t="s">
        <v>328</v>
      </c>
      <c r="B12" s="436" t="s">
        <v>329</v>
      </c>
      <c r="C12" s="436" t="s">
        <v>310</v>
      </c>
      <c r="D12" s="355" t="s">
        <v>311</v>
      </c>
      <c r="E12" s="436"/>
      <c r="F12" s="436" t="s">
        <v>330</v>
      </c>
      <c r="G12" s="242" t="s">
        <v>280</v>
      </c>
      <c r="H12" s="437" t="s">
        <v>589</v>
      </c>
      <c r="I12" s="438" t="s">
        <v>51</v>
      </c>
      <c r="J12" s="436"/>
      <c r="K12" s="355">
        <v>1</v>
      </c>
      <c r="L12" s="355">
        <v>2</v>
      </c>
      <c r="M12" s="413" t="s">
        <v>33</v>
      </c>
      <c r="N12" s="452">
        <v>1</v>
      </c>
      <c r="O12" s="453">
        <v>0</v>
      </c>
      <c r="P12" s="454">
        <f t="shared" si="2"/>
        <v>0</v>
      </c>
      <c r="Q12" s="438" t="s">
        <v>48</v>
      </c>
      <c r="R12" s="355">
        <v>2</v>
      </c>
      <c r="S12" s="480"/>
      <c r="T12" s="470"/>
      <c r="U12" s="470"/>
      <c r="V12" s="470"/>
      <c r="W12" s="470"/>
      <c r="X12" s="481">
        <f t="shared" si="1"/>
        <v>0</v>
      </c>
      <c r="Y12" s="439"/>
      <c r="Z12" s="469"/>
      <c r="AA12" s="470"/>
      <c r="AB12" s="470"/>
      <c r="AC12" s="470"/>
      <c r="AD12" s="470"/>
      <c r="AE12" s="471">
        <f t="shared" si="3"/>
        <v>0</v>
      </c>
      <c r="AF12" s="436"/>
      <c r="AG12" s="440"/>
      <c r="AH12" s="441"/>
    </row>
    <row r="13" spans="1:34" ht="15.75" thickBot="1" x14ac:dyDescent="0.3">
      <c r="A13" s="435" t="s">
        <v>331</v>
      </c>
      <c r="B13" s="436" t="s">
        <v>332</v>
      </c>
      <c r="C13" s="436" t="s">
        <v>310</v>
      </c>
      <c r="D13" s="355" t="s">
        <v>311</v>
      </c>
      <c r="E13" s="436"/>
      <c r="F13" s="436" t="s">
        <v>333</v>
      </c>
      <c r="G13" s="242" t="s">
        <v>259</v>
      </c>
      <c r="H13" s="437" t="s">
        <v>590</v>
      </c>
      <c r="I13" s="438" t="s">
        <v>51</v>
      </c>
      <c r="J13" s="436"/>
      <c r="K13" s="355">
        <v>1</v>
      </c>
      <c r="L13" s="355">
        <v>2</v>
      </c>
      <c r="M13" s="413" t="s">
        <v>33</v>
      </c>
      <c r="N13" s="452">
        <v>1</v>
      </c>
      <c r="O13" s="453">
        <v>0</v>
      </c>
      <c r="P13" s="454">
        <f t="shared" ref="P13" si="4">IF((O13=0),0,(O13/L13))</f>
        <v>0</v>
      </c>
      <c r="Q13" s="438" t="s">
        <v>48</v>
      </c>
      <c r="R13" s="355">
        <v>2</v>
      </c>
      <c r="S13" s="480"/>
      <c r="T13" s="470"/>
      <c r="U13" s="470"/>
      <c r="V13" s="470"/>
      <c r="W13" s="470"/>
      <c r="X13" s="481">
        <f t="shared" si="1"/>
        <v>0</v>
      </c>
      <c r="Y13" s="439"/>
      <c r="Z13" s="469"/>
      <c r="AA13" s="470"/>
      <c r="AB13" s="470"/>
      <c r="AC13" s="470"/>
      <c r="AD13" s="470"/>
      <c r="AE13" s="471">
        <f t="shared" si="3"/>
        <v>0</v>
      </c>
      <c r="AF13" s="436"/>
      <c r="AG13" s="440"/>
      <c r="AH13" s="441"/>
    </row>
    <row r="14" spans="1:34" ht="15.75" thickBot="1" x14ac:dyDescent="0.3">
      <c r="A14" s="435" t="s">
        <v>334</v>
      </c>
      <c r="B14" s="436" t="s">
        <v>335</v>
      </c>
      <c r="C14" s="436" t="s">
        <v>310</v>
      </c>
      <c r="D14" s="355" t="s">
        <v>311</v>
      </c>
      <c r="E14" s="436"/>
      <c r="F14" s="436" t="s">
        <v>336</v>
      </c>
      <c r="G14" s="242" t="s">
        <v>259</v>
      </c>
      <c r="H14" s="437" t="s">
        <v>591</v>
      </c>
      <c r="I14" s="438" t="s">
        <v>51</v>
      </c>
      <c r="J14" s="436"/>
      <c r="K14" s="355">
        <v>1</v>
      </c>
      <c r="L14" s="355">
        <v>2</v>
      </c>
      <c r="M14" s="413" t="s">
        <v>33</v>
      </c>
      <c r="N14" s="452">
        <v>1</v>
      </c>
      <c r="O14" s="453">
        <v>0</v>
      </c>
      <c r="P14" s="454">
        <f t="shared" ref="P14:P22" si="5">IF((O14=0),0,(O14/L14))</f>
        <v>0</v>
      </c>
      <c r="Q14" s="438" t="s">
        <v>48</v>
      </c>
      <c r="R14" s="355">
        <v>2</v>
      </c>
      <c r="S14" s="480"/>
      <c r="T14" s="470"/>
      <c r="U14" s="470"/>
      <c r="V14" s="470"/>
      <c r="W14" s="470"/>
      <c r="X14" s="481">
        <f t="shared" si="1"/>
        <v>0</v>
      </c>
      <c r="Y14" s="439"/>
      <c r="Z14" s="469"/>
      <c r="AA14" s="470"/>
      <c r="AB14" s="470"/>
      <c r="AC14" s="470"/>
      <c r="AD14" s="470"/>
      <c r="AE14" s="471">
        <f t="shared" si="3"/>
        <v>0</v>
      </c>
      <c r="AF14" s="436"/>
      <c r="AG14" s="440"/>
      <c r="AH14" s="441"/>
    </row>
    <row r="15" spans="1:34" ht="15.75" thickBot="1" x14ac:dyDescent="0.3">
      <c r="A15" s="435" t="s">
        <v>337</v>
      </c>
      <c r="B15" s="436" t="s">
        <v>338</v>
      </c>
      <c r="C15" s="436" t="s">
        <v>310</v>
      </c>
      <c r="D15" s="355" t="s">
        <v>311</v>
      </c>
      <c r="E15" s="436"/>
      <c r="F15" s="436" t="s">
        <v>339</v>
      </c>
      <c r="G15" s="242" t="s">
        <v>259</v>
      </c>
      <c r="H15" s="437" t="s">
        <v>592</v>
      </c>
      <c r="I15" s="438" t="s">
        <v>51</v>
      </c>
      <c r="J15" s="436"/>
      <c r="K15" s="355">
        <v>1</v>
      </c>
      <c r="L15" s="355">
        <v>2</v>
      </c>
      <c r="M15" s="413" t="s">
        <v>33</v>
      </c>
      <c r="N15" s="452">
        <v>1</v>
      </c>
      <c r="O15" s="453">
        <v>0</v>
      </c>
      <c r="P15" s="454">
        <f t="shared" si="5"/>
        <v>0</v>
      </c>
      <c r="Q15" s="438" t="s">
        <v>48</v>
      </c>
      <c r="R15" s="355">
        <v>2</v>
      </c>
      <c r="S15" s="480"/>
      <c r="T15" s="470"/>
      <c r="U15" s="470"/>
      <c r="V15" s="470"/>
      <c r="W15" s="470"/>
      <c r="X15" s="481">
        <f t="shared" si="1"/>
        <v>0</v>
      </c>
      <c r="Y15" s="439"/>
      <c r="Z15" s="469"/>
      <c r="AA15" s="470"/>
      <c r="AB15" s="470"/>
      <c r="AC15" s="470"/>
      <c r="AD15" s="470"/>
      <c r="AE15" s="471">
        <f t="shared" si="3"/>
        <v>0</v>
      </c>
      <c r="AF15" s="436"/>
      <c r="AG15" s="440"/>
      <c r="AH15" s="441"/>
    </row>
    <row r="16" spans="1:34" ht="15.75" thickBot="1" x14ac:dyDescent="0.3">
      <c r="A16" s="435" t="s">
        <v>340</v>
      </c>
      <c r="B16" s="436" t="s">
        <v>341</v>
      </c>
      <c r="C16" s="436" t="s">
        <v>310</v>
      </c>
      <c r="D16" s="355" t="s">
        <v>311</v>
      </c>
      <c r="E16" s="436"/>
      <c r="F16" s="436" t="s">
        <v>342</v>
      </c>
      <c r="G16" s="242" t="s">
        <v>280</v>
      </c>
      <c r="H16" s="437" t="s">
        <v>593</v>
      </c>
      <c r="I16" s="438" t="s">
        <v>51</v>
      </c>
      <c r="J16" s="436"/>
      <c r="K16" s="355">
        <v>1</v>
      </c>
      <c r="L16" s="355">
        <v>2</v>
      </c>
      <c r="M16" s="413" t="s">
        <v>33</v>
      </c>
      <c r="N16" s="452">
        <v>1</v>
      </c>
      <c r="O16" s="453">
        <v>0</v>
      </c>
      <c r="P16" s="454">
        <f t="shared" si="5"/>
        <v>0</v>
      </c>
      <c r="Q16" s="438" t="s">
        <v>48</v>
      </c>
      <c r="R16" s="355">
        <v>2</v>
      </c>
      <c r="S16" s="480"/>
      <c r="T16" s="470"/>
      <c r="U16" s="470"/>
      <c r="V16" s="470"/>
      <c r="W16" s="470"/>
      <c r="X16" s="481">
        <f t="shared" si="1"/>
        <v>0</v>
      </c>
      <c r="Y16" s="439"/>
      <c r="Z16" s="469"/>
      <c r="AA16" s="470"/>
      <c r="AB16" s="470"/>
      <c r="AC16" s="470"/>
      <c r="AD16" s="470"/>
      <c r="AE16" s="471">
        <f t="shared" si="3"/>
        <v>0</v>
      </c>
      <c r="AF16" s="436"/>
      <c r="AG16" s="440"/>
      <c r="AH16" s="441"/>
    </row>
    <row r="17" spans="1:34" ht="15.75" thickBot="1" x14ac:dyDescent="0.3">
      <c r="A17" s="435" t="s">
        <v>343</v>
      </c>
      <c r="B17" s="436" t="s">
        <v>344</v>
      </c>
      <c r="C17" s="436" t="s">
        <v>310</v>
      </c>
      <c r="D17" s="355" t="s">
        <v>345</v>
      </c>
      <c r="E17" s="436"/>
      <c r="F17" s="436" t="s">
        <v>346</v>
      </c>
      <c r="G17" s="242" t="s">
        <v>280</v>
      </c>
      <c r="H17" s="437" t="s">
        <v>594</v>
      </c>
      <c r="I17" s="438" t="s">
        <v>51</v>
      </c>
      <c r="J17" s="436"/>
      <c r="K17" s="355">
        <v>1</v>
      </c>
      <c r="L17" s="355">
        <v>2</v>
      </c>
      <c r="M17" s="413" t="s">
        <v>33</v>
      </c>
      <c r="N17" s="452">
        <v>1</v>
      </c>
      <c r="O17" s="453">
        <v>0</v>
      </c>
      <c r="P17" s="454">
        <f t="shared" si="5"/>
        <v>0</v>
      </c>
      <c r="Q17" s="438" t="s">
        <v>48</v>
      </c>
      <c r="R17" s="355">
        <v>2</v>
      </c>
      <c r="S17" s="480"/>
      <c r="T17" s="470"/>
      <c r="U17" s="470"/>
      <c r="V17" s="470"/>
      <c r="W17" s="470"/>
      <c r="X17" s="481">
        <f t="shared" si="1"/>
        <v>0</v>
      </c>
      <c r="Y17" s="439"/>
      <c r="Z17" s="469"/>
      <c r="AA17" s="470"/>
      <c r="AB17" s="470"/>
      <c r="AC17" s="470"/>
      <c r="AD17" s="470"/>
      <c r="AE17" s="471">
        <f t="shared" si="3"/>
        <v>0</v>
      </c>
      <c r="AF17" s="436"/>
      <c r="AG17" s="440"/>
      <c r="AH17" s="441"/>
    </row>
    <row r="18" spans="1:34" ht="15.75" thickBot="1" x14ac:dyDescent="0.3">
      <c r="A18" s="435" t="s">
        <v>347</v>
      </c>
      <c r="B18" s="436" t="s">
        <v>348</v>
      </c>
      <c r="C18" s="436" t="s">
        <v>310</v>
      </c>
      <c r="D18" s="355" t="s">
        <v>311</v>
      </c>
      <c r="E18" s="436"/>
      <c r="F18" s="436" t="s">
        <v>349</v>
      </c>
      <c r="G18" s="242" t="s">
        <v>280</v>
      </c>
      <c r="H18" s="437" t="s">
        <v>595</v>
      </c>
      <c r="I18" s="438" t="s">
        <v>51</v>
      </c>
      <c r="J18" s="436"/>
      <c r="K18" s="355">
        <v>1</v>
      </c>
      <c r="L18" s="355">
        <v>2</v>
      </c>
      <c r="M18" s="413" t="s">
        <v>33</v>
      </c>
      <c r="N18" s="452">
        <v>1</v>
      </c>
      <c r="O18" s="453">
        <v>0</v>
      </c>
      <c r="P18" s="454">
        <f t="shared" si="5"/>
        <v>0</v>
      </c>
      <c r="Q18" s="438" t="s">
        <v>48</v>
      </c>
      <c r="R18" s="355">
        <v>2</v>
      </c>
      <c r="S18" s="480"/>
      <c r="T18" s="470"/>
      <c r="U18" s="470"/>
      <c r="V18" s="470"/>
      <c r="W18" s="470"/>
      <c r="X18" s="481">
        <f t="shared" si="1"/>
        <v>0</v>
      </c>
      <c r="Y18" s="439"/>
      <c r="Z18" s="469"/>
      <c r="AA18" s="470"/>
      <c r="AB18" s="470"/>
      <c r="AC18" s="470"/>
      <c r="AD18" s="470"/>
      <c r="AE18" s="471">
        <f t="shared" si="3"/>
        <v>0</v>
      </c>
      <c r="AF18" s="436"/>
      <c r="AG18" s="440"/>
      <c r="AH18" s="441"/>
    </row>
    <row r="19" spans="1:34" ht="15.75" thickBot="1" x14ac:dyDescent="0.3">
      <c r="A19" s="435" t="s">
        <v>350</v>
      </c>
      <c r="B19" s="436" t="s">
        <v>351</v>
      </c>
      <c r="C19" s="436" t="s">
        <v>310</v>
      </c>
      <c r="D19" s="355" t="s">
        <v>311</v>
      </c>
      <c r="E19" s="436"/>
      <c r="F19" s="436" t="s">
        <v>352</v>
      </c>
      <c r="G19" s="242" t="s">
        <v>280</v>
      </c>
      <c r="H19" s="437" t="s">
        <v>596</v>
      </c>
      <c r="I19" s="438" t="s">
        <v>51</v>
      </c>
      <c r="J19" s="436"/>
      <c r="K19" s="355">
        <v>1</v>
      </c>
      <c r="L19" s="355">
        <v>2</v>
      </c>
      <c r="M19" s="413" t="s">
        <v>33</v>
      </c>
      <c r="N19" s="452">
        <v>1</v>
      </c>
      <c r="O19" s="453">
        <v>0</v>
      </c>
      <c r="P19" s="454">
        <f t="shared" si="5"/>
        <v>0</v>
      </c>
      <c r="Q19" s="438" t="s">
        <v>48</v>
      </c>
      <c r="R19" s="355">
        <v>2</v>
      </c>
      <c r="S19" s="480"/>
      <c r="T19" s="470"/>
      <c r="U19" s="470"/>
      <c r="V19" s="470"/>
      <c r="W19" s="470"/>
      <c r="X19" s="481">
        <f t="shared" si="1"/>
        <v>0</v>
      </c>
      <c r="Y19" s="439"/>
      <c r="Z19" s="469"/>
      <c r="AA19" s="470"/>
      <c r="AB19" s="470"/>
      <c r="AC19" s="470"/>
      <c r="AD19" s="470"/>
      <c r="AE19" s="471">
        <f t="shared" si="3"/>
        <v>0</v>
      </c>
      <c r="AF19" s="436"/>
      <c r="AG19" s="440"/>
      <c r="AH19" s="441"/>
    </row>
    <row r="20" spans="1:34" ht="15.75" thickBot="1" x14ac:dyDescent="0.3">
      <c r="A20" s="435" t="s">
        <v>353</v>
      </c>
      <c r="B20" s="436" t="s">
        <v>354</v>
      </c>
      <c r="C20" s="436" t="s">
        <v>310</v>
      </c>
      <c r="D20" s="355" t="s">
        <v>311</v>
      </c>
      <c r="E20" s="436"/>
      <c r="F20" s="436" t="s">
        <v>355</v>
      </c>
      <c r="G20" s="242" t="s">
        <v>280</v>
      </c>
      <c r="H20" s="437" t="s">
        <v>597</v>
      </c>
      <c r="I20" s="438" t="s">
        <v>51</v>
      </c>
      <c r="J20" s="436"/>
      <c r="K20" s="355">
        <v>1</v>
      </c>
      <c r="L20" s="355">
        <v>2</v>
      </c>
      <c r="M20" s="413" t="s">
        <v>33</v>
      </c>
      <c r="N20" s="452">
        <v>1</v>
      </c>
      <c r="O20" s="453">
        <v>0</v>
      </c>
      <c r="P20" s="454">
        <f t="shared" si="5"/>
        <v>0</v>
      </c>
      <c r="Q20" s="438" t="s">
        <v>48</v>
      </c>
      <c r="R20" s="355">
        <v>2</v>
      </c>
      <c r="S20" s="480"/>
      <c r="T20" s="470"/>
      <c r="U20" s="470"/>
      <c r="V20" s="470"/>
      <c r="W20" s="470"/>
      <c r="X20" s="481">
        <f t="shared" si="1"/>
        <v>0</v>
      </c>
      <c r="Y20" s="439"/>
      <c r="Z20" s="469"/>
      <c r="AA20" s="470"/>
      <c r="AB20" s="470"/>
      <c r="AC20" s="470"/>
      <c r="AD20" s="470"/>
      <c r="AE20" s="471">
        <f t="shared" si="3"/>
        <v>0</v>
      </c>
      <c r="AF20" s="436"/>
      <c r="AG20" s="440"/>
      <c r="AH20" s="441"/>
    </row>
    <row r="21" spans="1:34" ht="15.75" thickBot="1" x14ac:dyDescent="0.3">
      <c r="A21" s="435" t="s">
        <v>356</v>
      </c>
      <c r="B21" s="436" t="s">
        <v>357</v>
      </c>
      <c r="C21" s="436" t="s">
        <v>310</v>
      </c>
      <c r="D21" s="355" t="s">
        <v>311</v>
      </c>
      <c r="E21" s="436"/>
      <c r="F21" s="436" t="s">
        <v>358</v>
      </c>
      <c r="G21" s="242" t="s">
        <v>280</v>
      </c>
      <c r="H21" s="437" t="s">
        <v>598</v>
      </c>
      <c r="I21" s="438" t="s">
        <v>51</v>
      </c>
      <c r="J21" s="436"/>
      <c r="K21" s="355">
        <v>1</v>
      </c>
      <c r="L21" s="355">
        <v>2</v>
      </c>
      <c r="M21" s="413" t="s">
        <v>33</v>
      </c>
      <c r="N21" s="452">
        <v>1</v>
      </c>
      <c r="O21" s="453">
        <v>0</v>
      </c>
      <c r="P21" s="454">
        <f t="shared" si="5"/>
        <v>0</v>
      </c>
      <c r="Q21" s="438" t="s">
        <v>48</v>
      </c>
      <c r="R21" s="355">
        <v>2</v>
      </c>
      <c r="S21" s="480"/>
      <c r="T21" s="470"/>
      <c r="U21" s="470"/>
      <c r="V21" s="470"/>
      <c r="W21" s="470"/>
      <c r="X21" s="481">
        <f t="shared" si="1"/>
        <v>0</v>
      </c>
      <c r="Y21" s="439"/>
      <c r="Z21" s="469"/>
      <c r="AA21" s="470"/>
      <c r="AB21" s="470"/>
      <c r="AC21" s="470"/>
      <c r="AD21" s="470"/>
      <c r="AE21" s="471">
        <f t="shared" si="3"/>
        <v>0</v>
      </c>
      <c r="AF21" s="436"/>
      <c r="AG21" s="440"/>
      <c r="AH21" s="441"/>
    </row>
    <row r="22" spans="1:34" ht="15.75" thickBot="1" x14ac:dyDescent="0.3">
      <c r="A22" s="435" t="s">
        <v>359</v>
      </c>
      <c r="B22" s="436" t="s">
        <v>360</v>
      </c>
      <c r="C22" s="436" t="s">
        <v>310</v>
      </c>
      <c r="D22" s="355" t="s">
        <v>311</v>
      </c>
      <c r="E22" s="436"/>
      <c r="F22" s="436" t="s">
        <v>361</v>
      </c>
      <c r="G22" s="242" t="s">
        <v>280</v>
      </c>
      <c r="H22" s="437" t="s">
        <v>599</v>
      </c>
      <c r="I22" s="438" t="s">
        <v>51</v>
      </c>
      <c r="J22" s="436"/>
      <c r="K22" s="355">
        <v>1</v>
      </c>
      <c r="L22" s="355">
        <v>2</v>
      </c>
      <c r="M22" s="413" t="s">
        <v>33</v>
      </c>
      <c r="N22" s="452">
        <v>1</v>
      </c>
      <c r="O22" s="453">
        <v>0</v>
      </c>
      <c r="P22" s="454">
        <f t="shared" si="5"/>
        <v>0</v>
      </c>
      <c r="Q22" s="438" t="s">
        <v>48</v>
      </c>
      <c r="R22" s="355">
        <v>2</v>
      </c>
      <c r="S22" s="480"/>
      <c r="T22" s="470"/>
      <c r="U22" s="470"/>
      <c r="V22" s="470"/>
      <c r="W22" s="470"/>
      <c r="X22" s="481">
        <f t="shared" si="1"/>
        <v>0</v>
      </c>
      <c r="Y22" s="439"/>
      <c r="Z22" s="469"/>
      <c r="AA22" s="470"/>
      <c r="AB22" s="470"/>
      <c r="AC22" s="470"/>
      <c r="AD22" s="470"/>
      <c r="AE22" s="471">
        <f t="shared" si="3"/>
        <v>0</v>
      </c>
      <c r="AF22" s="436"/>
      <c r="AG22" s="440"/>
      <c r="AH22" s="441"/>
    </row>
    <row r="23" spans="1:34" ht="15.75" thickBot="1" x14ac:dyDescent="0.3">
      <c r="A23" s="435" t="s">
        <v>362</v>
      </c>
      <c r="B23" s="436" t="s">
        <v>363</v>
      </c>
      <c r="C23" s="436" t="s">
        <v>310</v>
      </c>
      <c r="D23" s="355" t="s">
        <v>345</v>
      </c>
      <c r="E23" s="436"/>
      <c r="F23" s="436" t="s">
        <v>364</v>
      </c>
      <c r="G23" s="242" t="s">
        <v>284</v>
      </c>
      <c r="H23" s="437" t="s">
        <v>600</v>
      </c>
      <c r="I23" s="438" t="s">
        <v>51</v>
      </c>
      <c r="J23" s="436"/>
      <c r="K23" s="355">
        <v>1</v>
      </c>
      <c r="L23" s="355">
        <v>2</v>
      </c>
      <c r="M23" s="413" t="s">
        <v>33</v>
      </c>
      <c r="N23" s="452">
        <v>1</v>
      </c>
      <c r="O23" s="453">
        <v>0</v>
      </c>
      <c r="P23" s="454">
        <f>IF((O23=0),0,(O23/L23))</f>
        <v>0</v>
      </c>
      <c r="Q23" s="438" t="s">
        <v>48</v>
      </c>
      <c r="R23" s="355">
        <v>2</v>
      </c>
      <c r="S23" s="480"/>
      <c r="T23" s="470"/>
      <c r="U23" s="470"/>
      <c r="V23" s="470"/>
      <c r="W23" s="470"/>
      <c r="X23" s="481">
        <f t="shared" ref="X23" si="6">IF((S23=0),0,((T23+U23)/S23*100%))</f>
        <v>0</v>
      </c>
      <c r="Y23" s="439"/>
      <c r="Z23" s="469"/>
      <c r="AA23" s="470"/>
      <c r="AB23" s="470"/>
      <c r="AC23" s="470"/>
      <c r="AD23" s="470"/>
      <c r="AE23" s="471">
        <f>IF((Z23=0),0,((AA23+AB23)/Z23*100%))</f>
        <v>0</v>
      </c>
      <c r="AF23" s="436"/>
      <c r="AG23" s="440"/>
      <c r="AH23" s="441"/>
    </row>
    <row r="24" spans="1:34" ht="15.75" thickBot="1" x14ac:dyDescent="0.3">
      <c r="A24" s="435" t="s">
        <v>365</v>
      </c>
      <c r="B24" s="436" t="s">
        <v>366</v>
      </c>
      <c r="C24" s="436" t="s">
        <v>310</v>
      </c>
      <c r="D24" s="355" t="s">
        <v>345</v>
      </c>
      <c r="E24" s="436"/>
      <c r="F24" s="436" t="s">
        <v>367</v>
      </c>
      <c r="G24" s="242" t="s">
        <v>284</v>
      </c>
      <c r="H24" s="437" t="s">
        <v>601</v>
      </c>
      <c r="I24" s="438" t="s">
        <v>51</v>
      </c>
      <c r="J24" s="436"/>
      <c r="K24" s="355">
        <v>1</v>
      </c>
      <c r="L24" s="355">
        <v>16</v>
      </c>
      <c r="M24" s="413" t="s">
        <v>33</v>
      </c>
      <c r="N24" s="452">
        <v>1</v>
      </c>
      <c r="O24" s="453">
        <v>0</v>
      </c>
      <c r="P24" s="454">
        <f>IF((O24=0),0,(O24/L24))</f>
        <v>0</v>
      </c>
      <c r="Q24" s="438" t="s">
        <v>48</v>
      </c>
      <c r="R24" s="355">
        <v>16</v>
      </c>
      <c r="S24" s="480"/>
      <c r="T24" s="470"/>
      <c r="U24" s="470"/>
      <c r="V24" s="470"/>
      <c r="W24" s="470"/>
      <c r="X24" s="481">
        <f>IF((S24=0),0,((T24+U24)/S24*100%))</f>
        <v>0</v>
      </c>
      <c r="Y24" s="439"/>
      <c r="Z24" s="469"/>
      <c r="AA24" s="470"/>
      <c r="AB24" s="470"/>
      <c r="AC24" s="470"/>
      <c r="AD24" s="470"/>
      <c r="AE24" s="471">
        <f>IF((Z24=0),0,((AA24+AB24)/Z24*100%))</f>
        <v>0</v>
      </c>
      <c r="AF24" s="436"/>
      <c r="AG24" s="440"/>
      <c r="AH24" s="441"/>
    </row>
    <row r="25" spans="1:34" ht="15.75" thickBot="1" x14ac:dyDescent="0.3">
      <c r="A25" s="435" t="s">
        <v>368</v>
      </c>
      <c r="B25" s="436" t="s">
        <v>369</v>
      </c>
      <c r="C25" s="436" t="s">
        <v>310</v>
      </c>
      <c r="D25" s="355" t="s">
        <v>345</v>
      </c>
      <c r="E25" s="436"/>
      <c r="F25" s="436" t="s">
        <v>370</v>
      </c>
      <c r="G25" s="242" t="s">
        <v>284</v>
      </c>
      <c r="H25" s="437" t="s">
        <v>602</v>
      </c>
      <c r="I25" s="438" t="s">
        <v>51</v>
      </c>
      <c r="J25" s="436"/>
      <c r="K25" s="355">
        <v>1</v>
      </c>
      <c r="L25" s="355">
        <v>16</v>
      </c>
      <c r="M25" s="413" t="s">
        <v>33</v>
      </c>
      <c r="N25" s="452">
        <v>1</v>
      </c>
      <c r="O25" s="453">
        <v>0</v>
      </c>
      <c r="P25" s="454">
        <f>IF((O25=0),0,(O25/L25))</f>
        <v>0</v>
      </c>
      <c r="Q25" s="438" t="s">
        <v>48</v>
      </c>
      <c r="R25" s="355">
        <v>16</v>
      </c>
      <c r="S25" s="480"/>
      <c r="T25" s="470"/>
      <c r="U25" s="470"/>
      <c r="V25" s="470"/>
      <c r="W25" s="470"/>
      <c r="X25" s="481">
        <f>IF((S25=0),0,((T25+U25)/S25*100%))</f>
        <v>0</v>
      </c>
      <c r="Y25" s="439"/>
      <c r="Z25" s="469"/>
      <c r="AA25" s="470"/>
      <c r="AB25" s="470"/>
      <c r="AC25" s="470"/>
      <c r="AD25" s="470"/>
      <c r="AE25" s="471">
        <f>IF((Z25=0),0,((AA25+AB25)/Z25*100%))</f>
        <v>0</v>
      </c>
      <c r="AF25" s="436"/>
      <c r="AG25" s="440"/>
      <c r="AH25" s="441"/>
    </row>
    <row r="26" spans="1:34" ht="15.75" thickBot="1" x14ac:dyDescent="0.3">
      <c r="A26" s="435" t="s">
        <v>371</v>
      </c>
      <c r="B26" s="436" t="s">
        <v>372</v>
      </c>
      <c r="C26" s="436" t="s">
        <v>310</v>
      </c>
      <c r="D26" s="355" t="s">
        <v>345</v>
      </c>
      <c r="E26" s="436"/>
      <c r="F26" s="436" t="s">
        <v>373</v>
      </c>
      <c r="G26" s="242" t="s">
        <v>284</v>
      </c>
      <c r="H26" s="437" t="s">
        <v>603</v>
      </c>
      <c r="I26" s="438" t="s">
        <v>51</v>
      </c>
      <c r="J26" s="436"/>
      <c r="K26" s="355">
        <v>1</v>
      </c>
      <c r="L26" s="355">
        <v>16</v>
      </c>
      <c r="M26" s="413" t="s">
        <v>33</v>
      </c>
      <c r="N26" s="452">
        <v>1</v>
      </c>
      <c r="O26" s="453">
        <v>0</v>
      </c>
      <c r="P26" s="454">
        <f t="shared" ref="P26:P47" si="7">IF((O26=0),0,(O26/L26))</f>
        <v>0</v>
      </c>
      <c r="Q26" s="438" t="s">
        <v>48</v>
      </c>
      <c r="R26" s="355">
        <v>16</v>
      </c>
      <c r="S26" s="480"/>
      <c r="T26" s="470"/>
      <c r="U26" s="470"/>
      <c r="V26" s="470"/>
      <c r="W26" s="470"/>
      <c r="X26" s="481">
        <f>IF((S26=0),0,((T26+U26)/S26*100%))</f>
        <v>0</v>
      </c>
      <c r="Y26" s="439"/>
      <c r="Z26" s="469"/>
      <c r="AA26" s="470"/>
      <c r="AB26" s="470"/>
      <c r="AC26" s="470"/>
      <c r="AD26" s="470"/>
      <c r="AE26" s="471">
        <f t="shared" ref="AE26:AE47" si="8">IF((Z26=0),0,((AA26+AB26)/Z26*100%))</f>
        <v>0</v>
      </c>
      <c r="AF26" s="436"/>
      <c r="AG26" s="440"/>
      <c r="AH26" s="441"/>
    </row>
    <row r="27" spans="1:34" ht="15.75" thickBot="1" x14ac:dyDescent="0.3">
      <c r="A27" s="435" t="s">
        <v>374</v>
      </c>
      <c r="B27" s="436" t="s">
        <v>375</v>
      </c>
      <c r="C27" s="436" t="s">
        <v>310</v>
      </c>
      <c r="D27" s="355" t="s">
        <v>345</v>
      </c>
      <c r="E27" s="436"/>
      <c r="F27" s="436" t="s">
        <v>376</v>
      </c>
      <c r="G27" s="242" t="s">
        <v>284</v>
      </c>
      <c r="H27" s="437" t="s">
        <v>604</v>
      </c>
      <c r="I27" s="438" t="s">
        <v>51</v>
      </c>
      <c r="J27" s="436"/>
      <c r="K27" s="355">
        <v>1</v>
      </c>
      <c r="L27" s="355">
        <v>16</v>
      </c>
      <c r="M27" s="413" t="s">
        <v>33</v>
      </c>
      <c r="N27" s="452">
        <v>1</v>
      </c>
      <c r="O27" s="453">
        <v>0</v>
      </c>
      <c r="P27" s="454">
        <f t="shared" si="7"/>
        <v>0</v>
      </c>
      <c r="Q27" s="438" t="s">
        <v>48</v>
      </c>
      <c r="R27" s="355">
        <v>16</v>
      </c>
      <c r="S27" s="480"/>
      <c r="T27" s="470"/>
      <c r="U27" s="470"/>
      <c r="V27" s="470"/>
      <c r="W27" s="470"/>
      <c r="X27" s="481">
        <f t="shared" si="1"/>
        <v>0</v>
      </c>
      <c r="Y27" s="439"/>
      <c r="Z27" s="469"/>
      <c r="AA27" s="470"/>
      <c r="AB27" s="470"/>
      <c r="AC27" s="470"/>
      <c r="AD27" s="470"/>
      <c r="AE27" s="471">
        <f>IF((Z27=0),0,((AA27+AB27)/Z27*100%))</f>
        <v>0</v>
      </c>
      <c r="AF27" s="436"/>
      <c r="AG27" s="440"/>
      <c r="AH27" s="441"/>
    </row>
    <row r="28" spans="1:34" ht="15.75" thickBot="1" x14ac:dyDescent="0.3">
      <c r="A28" s="435" t="s">
        <v>377</v>
      </c>
      <c r="B28" s="436" t="s">
        <v>378</v>
      </c>
      <c r="C28" s="436" t="s">
        <v>310</v>
      </c>
      <c r="D28" s="355" t="s">
        <v>345</v>
      </c>
      <c r="E28" s="436"/>
      <c r="F28" s="436" t="s">
        <v>379</v>
      </c>
      <c r="G28" s="242" t="s">
        <v>284</v>
      </c>
      <c r="H28" s="437" t="s">
        <v>605</v>
      </c>
      <c r="I28" s="438" t="s">
        <v>51</v>
      </c>
      <c r="J28" s="436"/>
      <c r="K28" s="355">
        <v>1</v>
      </c>
      <c r="L28" s="355">
        <v>16</v>
      </c>
      <c r="M28" s="413" t="s">
        <v>33</v>
      </c>
      <c r="N28" s="452">
        <v>1</v>
      </c>
      <c r="O28" s="453">
        <v>0</v>
      </c>
      <c r="P28" s="454">
        <f>IF((O28=0),0,(O28/L28))</f>
        <v>0</v>
      </c>
      <c r="Q28" s="438" t="s">
        <v>48</v>
      </c>
      <c r="R28" s="355">
        <v>16</v>
      </c>
      <c r="S28" s="480"/>
      <c r="T28" s="470"/>
      <c r="U28" s="470"/>
      <c r="V28" s="470"/>
      <c r="W28" s="470"/>
      <c r="X28" s="481">
        <f>IF((S28=0),0,((T28+U28)/S28*100%))</f>
        <v>0</v>
      </c>
      <c r="Y28" s="439"/>
      <c r="Z28" s="469"/>
      <c r="AA28" s="470"/>
      <c r="AB28" s="470"/>
      <c r="AC28" s="470"/>
      <c r="AD28" s="470"/>
      <c r="AE28" s="471">
        <f>IF((Z28=0),0,((AA28+AB28)/Z28*100%))</f>
        <v>0</v>
      </c>
      <c r="AF28" s="436"/>
      <c r="AG28" s="440"/>
      <c r="AH28" s="441"/>
    </row>
    <row r="29" spans="1:34" ht="15.75" thickBot="1" x14ac:dyDescent="0.3">
      <c r="A29" s="435" t="s">
        <v>380</v>
      </c>
      <c r="B29" s="436" t="s">
        <v>381</v>
      </c>
      <c r="C29" s="436" t="s">
        <v>310</v>
      </c>
      <c r="D29" s="355" t="s">
        <v>345</v>
      </c>
      <c r="E29" s="436"/>
      <c r="F29" s="436" t="s">
        <v>382</v>
      </c>
      <c r="G29" s="242" t="s">
        <v>284</v>
      </c>
      <c r="H29" s="437" t="s">
        <v>606</v>
      </c>
      <c r="I29" s="438" t="s">
        <v>51</v>
      </c>
      <c r="J29" s="436"/>
      <c r="K29" s="355">
        <v>1</v>
      </c>
      <c r="L29" s="355">
        <v>16</v>
      </c>
      <c r="M29" s="413" t="s">
        <v>33</v>
      </c>
      <c r="N29" s="452">
        <v>1</v>
      </c>
      <c r="O29" s="453">
        <v>0</v>
      </c>
      <c r="P29" s="454">
        <f t="shared" si="7"/>
        <v>0</v>
      </c>
      <c r="Q29" s="438" t="s">
        <v>48</v>
      </c>
      <c r="R29" s="355">
        <v>16</v>
      </c>
      <c r="S29" s="480"/>
      <c r="T29" s="470"/>
      <c r="U29" s="470"/>
      <c r="V29" s="470"/>
      <c r="W29" s="470"/>
      <c r="X29" s="481">
        <f>IF((S29=0),0,((T29+U29)/S29*100%))</f>
        <v>0</v>
      </c>
      <c r="Y29" s="439"/>
      <c r="Z29" s="469"/>
      <c r="AA29" s="470"/>
      <c r="AB29" s="470"/>
      <c r="AC29" s="470"/>
      <c r="AD29" s="470"/>
      <c r="AE29" s="471">
        <f t="shared" si="8"/>
        <v>0</v>
      </c>
      <c r="AF29" s="436"/>
      <c r="AG29" s="440"/>
      <c r="AH29" s="441"/>
    </row>
    <row r="30" spans="1:34" ht="15.75" thickBot="1" x14ac:dyDescent="0.3">
      <c r="A30" s="435" t="s">
        <v>383</v>
      </c>
      <c r="B30" s="436" t="s">
        <v>384</v>
      </c>
      <c r="C30" s="436" t="s">
        <v>310</v>
      </c>
      <c r="D30" s="355" t="s">
        <v>345</v>
      </c>
      <c r="E30" s="436"/>
      <c r="F30" s="436" t="s">
        <v>385</v>
      </c>
      <c r="G30" s="242" t="s">
        <v>284</v>
      </c>
      <c r="H30" s="437" t="s">
        <v>607</v>
      </c>
      <c r="I30" s="438" t="s">
        <v>51</v>
      </c>
      <c r="J30" s="436"/>
      <c r="K30" s="355">
        <v>1</v>
      </c>
      <c r="L30" s="355">
        <v>16</v>
      </c>
      <c r="M30" s="413" t="s">
        <v>33</v>
      </c>
      <c r="N30" s="452">
        <v>1</v>
      </c>
      <c r="O30" s="453">
        <v>0</v>
      </c>
      <c r="P30" s="454">
        <f t="shared" si="7"/>
        <v>0</v>
      </c>
      <c r="Q30" s="438" t="s">
        <v>48</v>
      </c>
      <c r="R30" s="355">
        <v>16</v>
      </c>
      <c r="S30" s="480"/>
      <c r="T30" s="470"/>
      <c r="U30" s="470"/>
      <c r="V30" s="470"/>
      <c r="W30" s="470"/>
      <c r="X30" s="481">
        <f t="shared" si="1"/>
        <v>0</v>
      </c>
      <c r="Y30" s="439"/>
      <c r="Z30" s="469"/>
      <c r="AA30" s="470"/>
      <c r="AB30" s="470"/>
      <c r="AC30" s="470"/>
      <c r="AD30" s="470"/>
      <c r="AE30" s="471">
        <f>IF((Z30=0),0,((AA30+AB30)/Z30*100%))</f>
        <v>0</v>
      </c>
      <c r="AF30" s="436"/>
      <c r="AG30" s="440"/>
      <c r="AH30" s="441"/>
    </row>
    <row r="31" spans="1:34" ht="15.75" thickBot="1" x14ac:dyDescent="0.3">
      <c r="A31" s="435" t="s">
        <v>386</v>
      </c>
      <c r="B31" s="436" t="s">
        <v>387</v>
      </c>
      <c r="C31" s="436" t="s">
        <v>310</v>
      </c>
      <c r="D31" s="355" t="s">
        <v>345</v>
      </c>
      <c r="E31" s="436"/>
      <c r="F31" s="436" t="s">
        <v>388</v>
      </c>
      <c r="G31" s="242" t="s">
        <v>284</v>
      </c>
      <c r="H31" s="437" t="s">
        <v>608</v>
      </c>
      <c r="I31" s="438" t="s">
        <v>51</v>
      </c>
      <c r="J31" s="436"/>
      <c r="K31" s="355">
        <v>1</v>
      </c>
      <c r="L31" s="355">
        <v>16</v>
      </c>
      <c r="M31" s="413" t="s">
        <v>33</v>
      </c>
      <c r="N31" s="452">
        <v>1</v>
      </c>
      <c r="O31" s="453">
        <v>0</v>
      </c>
      <c r="P31" s="454">
        <f t="shared" si="7"/>
        <v>0</v>
      </c>
      <c r="Q31" s="438" t="s">
        <v>48</v>
      </c>
      <c r="R31" s="355">
        <v>16</v>
      </c>
      <c r="S31" s="480"/>
      <c r="T31" s="470"/>
      <c r="U31" s="470"/>
      <c r="V31" s="470"/>
      <c r="W31" s="470"/>
      <c r="X31" s="481">
        <f t="shared" si="1"/>
        <v>0</v>
      </c>
      <c r="Y31" s="439"/>
      <c r="Z31" s="469"/>
      <c r="AA31" s="470"/>
      <c r="AB31" s="470"/>
      <c r="AC31" s="470"/>
      <c r="AD31" s="470"/>
      <c r="AE31" s="471">
        <f t="shared" si="8"/>
        <v>0</v>
      </c>
      <c r="AF31" s="436"/>
      <c r="AG31" s="440"/>
      <c r="AH31" s="441"/>
    </row>
    <row r="32" spans="1:34" ht="15.75" thickBot="1" x14ac:dyDescent="0.3">
      <c r="A32" s="435" t="s">
        <v>389</v>
      </c>
      <c r="B32" s="436" t="s">
        <v>390</v>
      </c>
      <c r="C32" s="436" t="s">
        <v>310</v>
      </c>
      <c r="D32" s="355" t="s">
        <v>345</v>
      </c>
      <c r="E32" s="436"/>
      <c r="F32" s="436" t="s">
        <v>391</v>
      </c>
      <c r="G32" s="242" t="s">
        <v>284</v>
      </c>
      <c r="H32" s="437" t="s">
        <v>609</v>
      </c>
      <c r="I32" s="438" t="s">
        <v>51</v>
      </c>
      <c r="J32" s="436"/>
      <c r="K32" s="355">
        <v>1</v>
      </c>
      <c r="L32" s="355">
        <v>16</v>
      </c>
      <c r="M32" s="413" t="s">
        <v>33</v>
      </c>
      <c r="N32" s="452">
        <v>1</v>
      </c>
      <c r="O32" s="453">
        <v>0</v>
      </c>
      <c r="P32" s="454">
        <f t="shared" si="7"/>
        <v>0</v>
      </c>
      <c r="Q32" s="438" t="s">
        <v>48</v>
      </c>
      <c r="R32" s="355">
        <v>16</v>
      </c>
      <c r="S32" s="480"/>
      <c r="T32" s="470"/>
      <c r="U32" s="470"/>
      <c r="V32" s="470"/>
      <c r="W32" s="470"/>
      <c r="X32" s="481">
        <f t="shared" si="1"/>
        <v>0</v>
      </c>
      <c r="Y32" s="439"/>
      <c r="Z32" s="469"/>
      <c r="AA32" s="470"/>
      <c r="AB32" s="470"/>
      <c r="AC32" s="470"/>
      <c r="AD32" s="470"/>
      <c r="AE32" s="471">
        <f t="shared" si="8"/>
        <v>0</v>
      </c>
      <c r="AF32" s="436"/>
      <c r="AG32" s="440"/>
      <c r="AH32" s="441"/>
    </row>
    <row r="33" spans="1:34" ht="15.75" thickBot="1" x14ac:dyDescent="0.3">
      <c r="A33" s="435" t="s">
        <v>392</v>
      </c>
      <c r="B33" s="436" t="s">
        <v>393</v>
      </c>
      <c r="C33" s="436" t="s">
        <v>310</v>
      </c>
      <c r="D33" s="355" t="s">
        <v>345</v>
      </c>
      <c r="E33" s="436"/>
      <c r="F33" s="436" t="s">
        <v>394</v>
      </c>
      <c r="G33" s="242" t="s">
        <v>284</v>
      </c>
      <c r="H33" s="437" t="s">
        <v>610</v>
      </c>
      <c r="I33" s="438" t="s">
        <v>51</v>
      </c>
      <c r="J33" s="436"/>
      <c r="K33" s="355">
        <v>1</v>
      </c>
      <c r="L33" s="355">
        <v>12</v>
      </c>
      <c r="M33" s="413" t="s">
        <v>33</v>
      </c>
      <c r="N33" s="452">
        <v>1</v>
      </c>
      <c r="O33" s="453">
        <v>0</v>
      </c>
      <c r="P33" s="454">
        <f t="shared" si="7"/>
        <v>0</v>
      </c>
      <c r="Q33" s="438" t="s">
        <v>48</v>
      </c>
      <c r="R33" s="355">
        <v>12</v>
      </c>
      <c r="S33" s="480"/>
      <c r="T33" s="470"/>
      <c r="U33" s="470"/>
      <c r="V33" s="470"/>
      <c r="W33" s="470"/>
      <c r="X33" s="481">
        <f t="shared" si="1"/>
        <v>0</v>
      </c>
      <c r="Y33" s="439"/>
      <c r="Z33" s="469"/>
      <c r="AA33" s="470"/>
      <c r="AB33" s="470"/>
      <c r="AC33" s="470"/>
      <c r="AD33" s="470"/>
      <c r="AE33" s="471">
        <f t="shared" si="8"/>
        <v>0</v>
      </c>
      <c r="AF33" s="436"/>
      <c r="AG33" s="440"/>
      <c r="AH33" s="441"/>
    </row>
    <row r="34" spans="1:34" ht="15.75" thickBot="1" x14ac:dyDescent="0.3">
      <c r="A34" s="435" t="s">
        <v>395</v>
      </c>
      <c r="B34" s="436" t="s">
        <v>396</v>
      </c>
      <c r="C34" s="436" t="s">
        <v>310</v>
      </c>
      <c r="D34" s="355" t="s">
        <v>345</v>
      </c>
      <c r="E34" s="436"/>
      <c r="F34" s="436" t="s">
        <v>397</v>
      </c>
      <c r="G34" s="242" t="s">
        <v>284</v>
      </c>
      <c r="H34" s="437" t="s">
        <v>611</v>
      </c>
      <c r="I34" s="438" t="s">
        <v>51</v>
      </c>
      <c r="J34" s="436"/>
      <c r="K34" s="355">
        <v>1</v>
      </c>
      <c r="L34" s="355">
        <v>12</v>
      </c>
      <c r="M34" s="413" t="s">
        <v>33</v>
      </c>
      <c r="N34" s="452">
        <v>1</v>
      </c>
      <c r="O34" s="453">
        <v>0</v>
      </c>
      <c r="P34" s="454">
        <f t="shared" si="7"/>
        <v>0</v>
      </c>
      <c r="Q34" s="438" t="s">
        <v>48</v>
      </c>
      <c r="R34" s="355">
        <v>12</v>
      </c>
      <c r="S34" s="480"/>
      <c r="T34" s="470"/>
      <c r="U34" s="470"/>
      <c r="V34" s="470"/>
      <c r="W34" s="470"/>
      <c r="X34" s="481">
        <f t="shared" si="1"/>
        <v>0</v>
      </c>
      <c r="Y34" s="439"/>
      <c r="Z34" s="469"/>
      <c r="AA34" s="470"/>
      <c r="AB34" s="470"/>
      <c r="AC34" s="470"/>
      <c r="AD34" s="470"/>
      <c r="AE34" s="471">
        <f t="shared" si="8"/>
        <v>0</v>
      </c>
      <c r="AF34" s="436"/>
      <c r="AG34" s="440"/>
      <c r="AH34" s="441"/>
    </row>
    <row r="35" spans="1:34" ht="15.75" thickBot="1" x14ac:dyDescent="0.3">
      <c r="A35" s="435" t="s">
        <v>398</v>
      </c>
      <c r="B35" s="436" t="s">
        <v>399</v>
      </c>
      <c r="C35" s="436" t="s">
        <v>310</v>
      </c>
      <c r="D35" s="355" t="s">
        <v>345</v>
      </c>
      <c r="E35" s="436"/>
      <c r="F35" s="436" t="s">
        <v>400</v>
      </c>
      <c r="G35" s="242" t="s">
        <v>284</v>
      </c>
      <c r="H35" s="437" t="s">
        <v>612</v>
      </c>
      <c r="I35" s="438" t="s">
        <v>51</v>
      </c>
      <c r="J35" s="436"/>
      <c r="K35" s="355">
        <v>1</v>
      </c>
      <c r="L35" s="355">
        <v>12</v>
      </c>
      <c r="M35" s="413" t="s">
        <v>33</v>
      </c>
      <c r="N35" s="452">
        <v>1</v>
      </c>
      <c r="O35" s="453">
        <v>0</v>
      </c>
      <c r="P35" s="454">
        <f t="shared" si="7"/>
        <v>0</v>
      </c>
      <c r="Q35" s="438" t="s">
        <v>48</v>
      </c>
      <c r="R35" s="355">
        <v>12</v>
      </c>
      <c r="S35" s="480"/>
      <c r="T35" s="470"/>
      <c r="U35" s="470"/>
      <c r="V35" s="470"/>
      <c r="W35" s="470"/>
      <c r="X35" s="481">
        <f t="shared" si="1"/>
        <v>0</v>
      </c>
      <c r="Y35" s="439"/>
      <c r="Z35" s="469"/>
      <c r="AA35" s="470"/>
      <c r="AB35" s="470"/>
      <c r="AC35" s="470"/>
      <c r="AD35" s="470"/>
      <c r="AE35" s="471">
        <f t="shared" si="8"/>
        <v>0</v>
      </c>
      <c r="AF35" s="436"/>
      <c r="AG35" s="440"/>
      <c r="AH35" s="441"/>
    </row>
    <row r="36" spans="1:34" ht="15.75" thickBot="1" x14ac:dyDescent="0.3">
      <c r="A36" s="435" t="s">
        <v>401</v>
      </c>
      <c r="B36" s="436" t="s">
        <v>402</v>
      </c>
      <c r="C36" s="436" t="s">
        <v>310</v>
      </c>
      <c r="D36" s="355" t="s">
        <v>345</v>
      </c>
      <c r="E36" s="436"/>
      <c r="F36" s="436" t="s">
        <v>403</v>
      </c>
      <c r="G36" s="242" t="s">
        <v>284</v>
      </c>
      <c r="H36" s="437" t="s">
        <v>613</v>
      </c>
      <c r="I36" s="438" t="s">
        <v>51</v>
      </c>
      <c r="J36" s="436"/>
      <c r="K36" s="355">
        <v>1</v>
      </c>
      <c r="L36" s="355">
        <v>12</v>
      </c>
      <c r="M36" s="413" t="s">
        <v>33</v>
      </c>
      <c r="N36" s="452">
        <v>1</v>
      </c>
      <c r="O36" s="453">
        <v>0</v>
      </c>
      <c r="P36" s="454">
        <f t="shared" si="7"/>
        <v>0</v>
      </c>
      <c r="Q36" s="438" t="s">
        <v>48</v>
      </c>
      <c r="R36" s="355">
        <v>12</v>
      </c>
      <c r="S36" s="480"/>
      <c r="T36" s="470"/>
      <c r="U36" s="470"/>
      <c r="V36" s="470"/>
      <c r="W36" s="470"/>
      <c r="X36" s="481">
        <f t="shared" si="1"/>
        <v>0</v>
      </c>
      <c r="Y36" s="439"/>
      <c r="Z36" s="469"/>
      <c r="AA36" s="470"/>
      <c r="AB36" s="470"/>
      <c r="AC36" s="470"/>
      <c r="AD36" s="470"/>
      <c r="AE36" s="471">
        <f t="shared" si="8"/>
        <v>0</v>
      </c>
      <c r="AF36" s="436"/>
      <c r="AG36" s="440"/>
      <c r="AH36" s="441"/>
    </row>
    <row r="37" spans="1:34" ht="15.75" thickBot="1" x14ac:dyDescent="0.3">
      <c r="A37" s="435" t="s">
        <v>404</v>
      </c>
      <c r="B37" s="436" t="s">
        <v>405</v>
      </c>
      <c r="C37" s="436" t="s">
        <v>310</v>
      </c>
      <c r="D37" s="355" t="s">
        <v>345</v>
      </c>
      <c r="E37" s="436"/>
      <c r="F37" s="436" t="s">
        <v>406</v>
      </c>
      <c r="G37" s="242" t="s">
        <v>284</v>
      </c>
      <c r="H37" s="437" t="s">
        <v>614</v>
      </c>
      <c r="I37" s="438" t="s">
        <v>51</v>
      </c>
      <c r="J37" s="436"/>
      <c r="K37" s="355">
        <v>1</v>
      </c>
      <c r="L37" s="355">
        <v>8</v>
      </c>
      <c r="M37" s="413" t="s">
        <v>33</v>
      </c>
      <c r="N37" s="452">
        <v>1</v>
      </c>
      <c r="O37" s="453">
        <v>0</v>
      </c>
      <c r="P37" s="454">
        <f t="shared" si="7"/>
        <v>0</v>
      </c>
      <c r="Q37" s="438" t="s">
        <v>48</v>
      </c>
      <c r="R37" s="355">
        <v>8</v>
      </c>
      <c r="S37" s="480"/>
      <c r="T37" s="470"/>
      <c r="U37" s="470"/>
      <c r="V37" s="470"/>
      <c r="W37" s="470"/>
      <c r="X37" s="481">
        <f t="shared" si="1"/>
        <v>0</v>
      </c>
      <c r="Y37" s="439"/>
      <c r="Z37" s="469"/>
      <c r="AA37" s="470"/>
      <c r="AB37" s="470"/>
      <c r="AC37" s="470"/>
      <c r="AD37" s="470"/>
      <c r="AE37" s="471">
        <f t="shared" si="8"/>
        <v>0</v>
      </c>
      <c r="AF37" s="436"/>
      <c r="AG37" s="440"/>
      <c r="AH37" s="441"/>
    </row>
    <row r="38" spans="1:34" ht="15.75" thickBot="1" x14ac:dyDescent="0.3">
      <c r="A38" s="435" t="s">
        <v>407</v>
      </c>
      <c r="B38" s="436" t="s">
        <v>408</v>
      </c>
      <c r="C38" s="436" t="s">
        <v>310</v>
      </c>
      <c r="D38" s="355" t="s">
        <v>345</v>
      </c>
      <c r="E38" s="436"/>
      <c r="F38" s="436" t="s">
        <v>409</v>
      </c>
      <c r="G38" s="242" t="s">
        <v>284</v>
      </c>
      <c r="H38" s="437" t="s">
        <v>615</v>
      </c>
      <c r="I38" s="438" t="s">
        <v>51</v>
      </c>
      <c r="J38" s="436"/>
      <c r="K38" s="355">
        <v>1</v>
      </c>
      <c r="L38" s="355">
        <v>8</v>
      </c>
      <c r="M38" s="413" t="s">
        <v>33</v>
      </c>
      <c r="N38" s="452">
        <v>1</v>
      </c>
      <c r="O38" s="453">
        <v>0</v>
      </c>
      <c r="P38" s="454">
        <f t="shared" si="7"/>
        <v>0</v>
      </c>
      <c r="Q38" s="438" t="s">
        <v>48</v>
      </c>
      <c r="R38" s="355">
        <v>8</v>
      </c>
      <c r="S38" s="480"/>
      <c r="T38" s="470"/>
      <c r="U38" s="470"/>
      <c r="V38" s="470"/>
      <c r="W38" s="470"/>
      <c r="X38" s="481">
        <f t="shared" si="1"/>
        <v>0</v>
      </c>
      <c r="Y38" s="439"/>
      <c r="Z38" s="469"/>
      <c r="AA38" s="470"/>
      <c r="AB38" s="470"/>
      <c r="AC38" s="470"/>
      <c r="AD38" s="470"/>
      <c r="AE38" s="471">
        <f t="shared" si="8"/>
        <v>0</v>
      </c>
      <c r="AF38" s="436"/>
      <c r="AG38" s="440"/>
      <c r="AH38" s="441"/>
    </row>
    <row r="39" spans="1:34" ht="15.75" thickBot="1" x14ac:dyDescent="0.3">
      <c r="A39" s="435" t="s">
        <v>410</v>
      </c>
      <c r="B39" s="436" t="s">
        <v>411</v>
      </c>
      <c r="C39" s="436" t="s">
        <v>310</v>
      </c>
      <c r="D39" s="355" t="s">
        <v>345</v>
      </c>
      <c r="E39" s="436"/>
      <c r="F39" s="436" t="s">
        <v>412</v>
      </c>
      <c r="G39" s="242" t="s">
        <v>284</v>
      </c>
      <c r="H39" s="437" t="s">
        <v>616</v>
      </c>
      <c r="I39" s="438" t="s">
        <v>51</v>
      </c>
      <c r="J39" s="436"/>
      <c r="K39" s="355">
        <v>1</v>
      </c>
      <c r="L39" s="355">
        <v>8</v>
      </c>
      <c r="M39" s="413" t="s">
        <v>33</v>
      </c>
      <c r="N39" s="452">
        <v>1</v>
      </c>
      <c r="O39" s="453">
        <v>0</v>
      </c>
      <c r="P39" s="454">
        <f t="shared" si="7"/>
        <v>0</v>
      </c>
      <c r="Q39" s="438" t="s">
        <v>48</v>
      </c>
      <c r="R39" s="355">
        <v>8</v>
      </c>
      <c r="S39" s="480"/>
      <c r="T39" s="470"/>
      <c r="U39" s="470"/>
      <c r="V39" s="470"/>
      <c r="W39" s="470"/>
      <c r="X39" s="481">
        <f t="shared" si="1"/>
        <v>0</v>
      </c>
      <c r="Y39" s="439"/>
      <c r="Z39" s="469"/>
      <c r="AA39" s="470"/>
      <c r="AB39" s="470"/>
      <c r="AC39" s="470"/>
      <c r="AD39" s="470"/>
      <c r="AE39" s="471">
        <f t="shared" si="8"/>
        <v>0</v>
      </c>
      <c r="AF39" s="436"/>
      <c r="AG39" s="440"/>
      <c r="AH39" s="441"/>
    </row>
    <row r="40" spans="1:34" ht="15.75" thickBot="1" x14ac:dyDescent="0.3">
      <c r="A40" s="435" t="s">
        <v>413</v>
      </c>
      <c r="B40" s="436" t="s">
        <v>414</v>
      </c>
      <c r="C40" s="436" t="s">
        <v>310</v>
      </c>
      <c r="D40" s="355" t="s">
        <v>345</v>
      </c>
      <c r="E40" s="436"/>
      <c r="F40" s="436" t="s">
        <v>415</v>
      </c>
      <c r="G40" s="242" t="s">
        <v>284</v>
      </c>
      <c r="H40" s="437" t="s">
        <v>617</v>
      </c>
      <c r="I40" s="438" t="s">
        <v>51</v>
      </c>
      <c r="J40" s="436"/>
      <c r="K40" s="355">
        <v>1</v>
      </c>
      <c r="L40" s="355">
        <v>12</v>
      </c>
      <c r="M40" s="413" t="s">
        <v>33</v>
      </c>
      <c r="N40" s="452">
        <v>1</v>
      </c>
      <c r="O40" s="453">
        <v>0</v>
      </c>
      <c r="P40" s="454">
        <f t="shared" si="7"/>
        <v>0</v>
      </c>
      <c r="Q40" s="438" t="s">
        <v>48</v>
      </c>
      <c r="R40" s="355">
        <v>12</v>
      </c>
      <c r="S40" s="480"/>
      <c r="T40" s="470"/>
      <c r="U40" s="470"/>
      <c r="V40" s="470"/>
      <c r="W40" s="470"/>
      <c r="X40" s="481">
        <f t="shared" si="1"/>
        <v>0</v>
      </c>
      <c r="Y40" s="439"/>
      <c r="Z40" s="469"/>
      <c r="AA40" s="470"/>
      <c r="AB40" s="470"/>
      <c r="AC40" s="470"/>
      <c r="AD40" s="470"/>
      <c r="AE40" s="471">
        <f t="shared" si="8"/>
        <v>0</v>
      </c>
      <c r="AF40" s="436"/>
      <c r="AG40" s="440"/>
      <c r="AH40" s="441"/>
    </row>
    <row r="41" spans="1:34" ht="15.75" thickBot="1" x14ac:dyDescent="0.3">
      <c r="A41" s="435" t="s">
        <v>416</v>
      </c>
      <c r="B41" s="436" t="s">
        <v>417</v>
      </c>
      <c r="C41" s="436" t="s">
        <v>310</v>
      </c>
      <c r="D41" s="355" t="s">
        <v>345</v>
      </c>
      <c r="E41" s="436"/>
      <c r="F41" s="436" t="s">
        <v>418</v>
      </c>
      <c r="G41" s="242" t="s">
        <v>284</v>
      </c>
      <c r="H41" s="437" t="s">
        <v>618</v>
      </c>
      <c r="I41" s="438" t="s">
        <v>51</v>
      </c>
      <c r="J41" s="436"/>
      <c r="K41" s="355">
        <v>1</v>
      </c>
      <c r="L41" s="355">
        <v>16</v>
      </c>
      <c r="M41" s="413" t="s">
        <v>33</v>
      </c>
      <c r="N41" s="452">
        <v>1</v>
      </c>
      <c r="O41" s="453">
        <v>0</v>
      </c>
      <c r="P41" s="454">
        <f t="shared" si="7"/>
        <v>0</v>
      </c>
      <c r="Q41" s="438" t="s">
        <v>48</v>
      </c>
      <c r="R41" s="355">
        <v>16</v>
      </c>
      <c r="S41" s="480"/>
      <c r="T41" s="470"/>
      <c r="U41" s="470"/>
      <c r="V41" s="470"/>
      <c r="W41" s="470"/>
      <c r="X41" s="481">
        <f t="shared" si="1"/>
        <v>0</v>
      </c>
      <c r="Y41" s="439"/>
      <c r="Z41" s="469"/>
      <c r="AA41" s="470"/>
      <c r="AB41" s="470"/>
      <c r="AC41" s="470"/>
      <c r="AD41" s="470"/>
      <c r="AE41" s="471">
        <f t="shared" si="8"/>
        <v>0</v>
      </c>
      <c r="AF41" s="436"/>
      <c r="AG41" s="440"/>
      <c r="AH41" s="441"/>
    </row>
    <row r="42" spans="1:34" ht="15.75" thickBot="1" x14ac:dyDescent="0.3">
      <c r="A42" s="435" t="s">
        <v>419</v>
      </c>
      <c r="B42" s="436" t="s">
        <v>420</v>
      </c>
      <c r="C42" s="436" t="s">
        <v>310</v>
      </c>
      <c r="D42" s="355" t="s">
        <v>345</v>
      </c>
      <c r="E42" s="436"/>
      <c r="F42" s="436" t="s">
        <v>421</v>
      </c>
      <c r="G42" s="242" t="s">
        <v>284</v>
      </c>
      <c r="H42" s="437" t="s">
        <v>619</v>
      </c>
      <c r="I42" s="438" t="s">
        <v>51</v>
      </c>
      <c r="J42" s="436"/>
      <c r="K42" s="355">
        <v>1</v>
      </c>
      <c r="L42" s="355">
        <v>12</v>
      </c>
      <c r="M42" s="413" t="s">
        <v>33</v>
      </c>
      <c r="N42" s="452">
        <v>1</v>
      </c>
      <c r="O42" s="453">
        <v>0</v>
      </c>
      <c r="P42" s="454">
        <f t="shared" si="7"/>
        <v>0</v>
      </c>
      <c r="Q42" s="438" t="s">
        <v>48</v>
      </c>
      <c r="R42" s="355">
        <v>12</v>
      </c>
      <c r="S42" s="480"/>
      <c r="T42" s="470"/>
      <c r="U42" s="470"/>
      <c r="V42" s="470"/>
      <c r="W42" s="470"/>
      <c r="X42" s="481">
        <f t="shared" si="1"/>
        <v>0</v>
      </c>
      <c r="Y42" s="439"/>
      <c r="Z42" s="469"/>
      <c r="AA42" s="470"/>
      <c r="AB42" s="470"/>
      <c r="AC42" s="470"/>
      <c r="AD42" s="470"/>
      <c r="AE42" s="471">
        <f t="shared" si="8"/>
        <v>0</v>
      </c>
      <c r="AF42" s="436"/>
      <c r="AG42" s="440"/>
      <c r="AH42" s="441"/>
    </row>
    <row r="43" spans="1:34" ht="15.75" thickBot="1" x14ac:dyDescent="0.3">
      <c r="A43" s="435" t="s">
        <v>422</v>
      </c>
      <c r="B43" s="436" t="s">
        <v>423</v>
      </c>
      <c r="C43" s="436" t="s">
        <v>310</v>
      </c>
      <c r="D43" s="355" t="s">
        <v>345</v>
      </c>
      <c r="E43" s="436"/>
      <c r="F43" s="436" t="s">
        <v>424</v>
      </c>
      <c r="G43" s="242" t="s">
        <v>284</v>
      </c>
      <c r="H43" s="437" t="s">
        <v>620</v>
      </c>
      <c r="I43" s="438" t="s">
        <v>51</v>
      </c>
      <c r="J43" s="436"/>
      <c r="K43" s="355">
        <v>1</v>
      </c>
      <c r="L43" s="355">
        <v>8</v>
      </c>
      <c r="M43" s="413" t="s">
        <v>33</v>
      </c>
      <c r="N43" s="452">
        <v>1</v>
      </c>
      <c r="O43" s="453">
        <v>0</v>
      </c>
      <c r="P43" s="454">
        <f t="shared" si="7"/>
        <v>0</v>
      </c>
      <c r="Q43" s="438" t="s">
        <v>48</v>
      </c>
      <c r="R43" s="355">
        <v>8</v>
      </c>
      <c r="S43" s="480"/>
      <c r="T43" s="470"/>
      <c r="U43" s="470"/>
      <c r="V43" s="470"/>
      <c r="W43" s="470"/>
      <c r="X43" s="481">
        <f t="shared" si="1"/>
        <v>0</v>
      </c>
      <c r="Y43" s="439"/>
      <c r="Z43" s="469"/>
      <c r="AA43" s="470"/>
      <c r="AB43" s="470"/>
      <c r="AC43" s="470"/>
      <c r="AD43" s="470"/>
      <c r="AE43" s="471">
        <f t="shared" si="8"/>
        <v>0</v>
      </c>
      <c r="AF43" s="436"/>
      <c r="AG43" s="440"/>
      <c r="AH43" s="441"/>
    </row>
    <row r="44" spans="1:34" ht="15.75" thickBot="1" x14ac:dyDescent="0.3">
      <c r="A44" s="435" t="s">
        <v>425</v>
      </c>
      <c r="B44" s="436" t="s">
        <v>426</v>
      </c>
      <c r="C44" s="436" t="s">
        <v>310</v>
      </c>
      <c r="D44" s="355" t="s">
        <v>345</v>
      </c>
      <c r="E44" s="436"/>
      <c r="F44" s="436" t="s">
        <v>427</v>
      </c>
      <c r="G44" s="242" t="s">
        <v>284</v>
      </c>
      <c r="H44" s="437" t="s">
        <v>621</v>
      </c>
      <c r="I44" s="438" t="s">
        <v>51</v>
      </c>
      <c r="J44" s="436"/>
      <c r="K44" s="355">
        <v>1</v>
      </c>
      <c r="L44" s="355">
        <v>8</v>
      </c>
      <c r="M44" s="413" t="s">
        <v>33</v>
      </c>
      <c r="N44" s="452">
        <v>1</v>
      </c>
      <c r="O44" s="453">
        <v>0</v>
      </c>
      <c r="P44" s="454">
        <f t="shared" si="7"/>
        <v>0</v>
      </c>
      <c r="Q44" s="438" t="s">
        <v>48</v>
      </c>
      <c r="R44" s="355">
        <v>8</v>
      </c>
      <c r="S44" s="480"/>
      <c r="T44" s="470"/>
      <c r="U44" s="470"/>
      <c r="V44" s="470"/>
      <c r="W44" s="470"/>
      <c r="X44" s="481">
        <f t="shared" si="1"/>
        <v>0</v>
      </c>
      <c r="Y44" s="439"/>
      <c r="Z44" s="469"/>
      <c r="AA44" s="470"/>
      <c r="AB44" s="470"/>
      <c r="AC44" s="470"/>
      <c r="AD44" s="470"/>
      <c r="AE44" s="471">
        <f t="shared" si="8"/>
        <v>0</v>
      </c>
      <c r="AF44" s="436"/>
      <c r="AG44" s="440"/>
      <c r="AH44" s="441"/>
    </row>
    <row r="45" spans="1:34" ht="15.75" thickBot="1" x14ac:dyDescent="0.3">
      <c r="A45" s="435" t="s">
        <v>428</v>
      </c>
      <c r="B45" s="436" t="s">
        <v>429</v>
      </c>
      <c r="C45" s="436" t="s">
        <v>310</v>
      </c>
      <c r="D45" s="355" t="s">
        <v>345</v>
      </c>
      <c r="E45" s="436"/>
      <c r="F45" s="436" t="s">
        <v>430</v>
      </c>
      <c r="G45" s="242" t="s">
        <v>284</v>
      </c>
      <c r="H45" s="437" t="s">
        <v>622</v>
      </c>
      <c r="I45" s="438" t="s">
        <v>51</v>
      </c>
      <c r="J45" s="436"/>
      <c r="K45" s="355">
        <v>1</v>
      </c>
      <c r="L45" s="355">
        <v>24</v>
      </c>
      <c r="M45" s="413" t="s">
        <v>33</v>
      </c>
      <c r="N45" s="452">
        <v>1</v>
      </c>
      <c r="O45" s="453">
        <v>0</v>
      </c>
      <c r="P45" s="454">
        <f t="shared" si="7"/>
        <v>0</v>
      </c>
      <c r="Q45" s="438" t="s">
        <v>48</v>
      </c>
      <c r="R45" s="355">
        <v>24</v>
      </c>
      <c r="S45" s="480"/>
      <c r="T45" s="470"/>
      <c r="U45" s="470"/>
      <c r="V45" s="470"/>
      <c r="W45" s="470"/>
      <c r="X45" s="481">
        <f t="shared" si="1"/>
        <v>0</v>
      </c>
      <c r="Y45" s="439"/>
      <c r="Z45" s="469"/>
      <c r="AA45" s="470"/>
      <c r="AB45" s="470"/>
      <c r="AC45" s="470"/>
      <c r="AD45" s="470"/>
      <c r="AE45" s="471">
        <f t="shared" si="8"/>
        <v>0</v>
      </c>
      <c r="AF45" s="436"/>
      <c r="AG45" s="440"/>
      <c r="AH45" s="441"/>
    </row>
    <row r="46" spans="1:34" ht="15.75" thickBot="1" x14ac:dyDescent="0.3">
      <c r="A46" s="435" t="s">
        <v>431</v>
      </c>
      <c r="B46" s="436" t="s">
        <v>432</v>
      </c>
      <c r="C46" s="436" t="s">
        <v>310</v>
      </c>
      <c r="D46" s="355" t="s">
        <v>345</v>
      </c>
      <c r="E46" s="436"/>
      <c r="F46" s="436" t="s">
        <v>433</v>
      </c>
      <c r="G46" s="242" t="s">
        <v>284</v>
      </c>
      <c r="H46" s="437" t="s">
        <v>623</v>
      </c>
      <c r="I46" s="438" t="s">
        <v>51</v>
      </c>
      <c r="J46" s="436"/>
      <c r="K46" s="355">
        <v>1</v>
      </c>
      <c r="L46" s="355">
        <v>24</v>
      </c>
      <c r="M46" s="413" t="s">
        <v>33</v>
      </c>
      <c r="N46" s="452">
        <v>1</v>
      </c>
      <c r="O46" s="453">
        <v>0</v>
      </c>
      <c r="P46" s="454">
        <f t="shared" si="7"/>
        <v>0</v>
      </c>
      <c r="Q46" s="438" t="s">
        <v>48</v>
      </c>
      <c r="R46" s="355">
        <v>24</v>
      </c>
      <c r="S46" s="480"/>
      <c r="T46" s="470"/>
      <c r="U46" s="470"/>
      <c r="V46" s="470"/>
      <c r="W46" s="470"/>
      <c r="X46" s="481">
        <f t="shared" si="1"/>
        <v>0</v>
      </c>
      <c r="Y46" s="439"/>
      <c r="Z46" s="469"/>
      <c r="AA46" s="470"/>
      <c r="AB46" s="470"/>
      <c r="AC46" s="470"/>
      <c r="AD46" s="470"/>
      <c r="AE46" s="471">
        <f t="shared" si="8"/>
        <v>0</v>
      </c>
      <c r="AF46" s="436"/>
      <c r="AG46" s="440"/>
      <c r="AH46" s="441"/>
    </row>
    <row r="47" spans="1:34" x14ac:dyDescent="0.25">
      <c r="A47" s="435" t="s">
        <v>434</v>
      </c>
      <c r="B47" s="436" t="s">
        <v>435</v>
      </c>
      <c r="C47" s="436" t="s">
        <v>310</v>
      </c>
      <c r="D47" s="355" t="s">
        <v>345</v>
      </c>
      <c r="E47" s="436"/>
      <c r="F47" s="436" t="s">
        <v>436</v>
      </c>
      <c r="G47" s="242" t="s">
        <v>284</v>
      </c>
      <c r="H47" s="437" t="s">
        <v>624</v>
      </c>
      <c r="I47" s="438" t="s">
        <v>51</v>
      </c>
      <c r="J47" s="436"/>
      <c r="K47" s="355">
        <v>1</v>
      </c>
      <c r="L47" s="355">
        <v>12</v>
      </c>
      <c r="M47" s="413" t="s">
        <v>33</v>
      </c>
      <c r="N47" s="452">
        <v>1</v>
      </c>
      <c r="O47" s="453">
        <v>0</v>
      </c>
      <c r="P47" s="454">
        <f t="shared" si="7"/>
        <v>0</v>
      </c>
      <c r="Q47" s="438" t="s">
        <v>47</v>
      </c>
      <c r="R47" s="355">
        <v>12</v>
      </c>
      <c r="S47" s="480"/>
      <c r="T47" s="470"/>
      <c r="U47" s="470"/>
      <c r="V47" s="470"/>
      <c r="W47" s="470"/>
      <c r="X47" s="481">
        <f t="shared" si="1"/>
        <v>0</v>
      </c>
      <c r="Y47" s="439"/>
      <c r="Z47" s="469"/>
      <c r="AA47" s="470"/>
      <c r="AB47" s="470"/>
      <c r="AC47" s="470"/>
      <c r="AD47" s="470"/>
      <c r="AE47" s="471">
        <f t="shared" si="8"/>
        <v>0</v>
      </c>
      <c r="AF47" s="436"/>
      <c r="AG47" s="440"/>
      <c r="AH47" s="441"/>
    </row>
    <row r="48" spans="1:34" x14ac:dyDescent="0.25">
      <c r="A48" s="362"/>
      <c r="B48" s="363"/>
      <c r="C48" s="363"/>
      <c r="D48" s="364"/>
      <c r="E48" s="363"/>
      <c r="F48" s="363"/>
      <c r="G48" s="364"/>
      <c r="H48" s="411"/>
      <c r="I48" s="556"/>
      <c r="J48" s="363"/>
      <c r="K48" s="363"/>
      <c r="L48" s="365"/>
      <c r="M48" s="366"/>
      <c r="N48" s="456"/>
      <c r="O48" s="457"/>
      <c r="P48" s="455"/>
      <c r="Q48" s="372"/>
      <c r="R48" s="373"/>
      <c r="S48" s="482"/>
      <c r="T48" s="483"/>
      <c r="U48" s="483"/>
      <c r="V48" s="483"/>
      <c r="W48" s="483"/>
      <c r="X48" s="484"/>
      <c r="Y48" s="374"/>
      <c r="Z48" s="472"/>
      <c r="AA48" s="473"/>
      <c r="AB48" s="473"/>
      <c r="AC48" s="473"/>
      <c r="AD48" s="473"/>
      <c r="AE48" s="474"/>
      <c r="AF48" s="378"/>
      <c r="AG48" s="378"/>
      <c r="AH48" s="382"/>
    </row>
    <row r="49" spans="1:34" x14ac:dyDescent="0.25">
      <c r="A49" s="362"/>
      <c r="B49" s="363"/>
      <c r="C49" s="363"/>
      <c r="D49" s="364"/>
      <c r="E49" s="363"/>
      <c r="F49" s="363"/>
      <c r="G49" s="364"/>
      <c r="H49" s="411"/>
      <c r="I49" s="556"/>
      <c r="J49" s="363"/>
      <c r="K49" s="363"/>
      <c r="L49" s="365"/>
      <c r="M49" s="366"/>
      <c r="N49" s="456"/>
      <c r="O49" s="457"/>
      <c r="P49" s="455"/>
      <c r="Q49" s="372"/>
      <c r="R49" s="373"/>
      <c r="S49" s="482"/>
      <c r="T49" s="483"/>
      <c r="U49" s="483"/>
      <c r="V49" s="483"/>
      <c r="W49" s="483"/>
      <c r="X49" s="484"/>
      <c r="Y49" s="374"/>
      <c r="Z49" s="472"/>
      <c r="AA49" s="473"/>
      <c r="AB49" s="473"/>
      <c r="AC49" s="473"/>
      <c r="AD49" s="473"/>
      <c r="AE49" s="474"/>
      <c r="AF49" s="378"/>
      <c r="AG49" s="378"/>
      <c r="AH49" s="382"/>
    </row>
    <row r="50" spans="1:34" ht="15.75" thickBot="1" x14ac:dyDescent="0.3">
      <c r="A50" s="367"/>
      <c r="B50" s="368"/>
      <c r="C50" s="368"/>
      <c r="D50" s="369"/>
      <c r="E50" s="368"/>
      <c r="F50" s="368"/>
      <c r="G50" s="369"/>
      <c r="H50" s="412"/>
      <c r="I50" s="556"/>
      <c r="J50" s="368"/>
      <c r="K50" s="368"/>
      <c r="L50" s="370"/>
      <c r="M50" s="371"/>
      <c r="N50" s="458"/>
      <c r="O50" s="459"/>
      <c r="P50" s="460"/>
      <c r="Q50" s="375"/>
      <c r="R50" s="376"/>
      <c r="S50" s="485"/>
      <c r="T50" s="486"/>
      <c r="U50" s="486"/>
      <c r="V50" s="486"/>
      <c r="W50" s="486"/>
      <c r="X50" s="487"/>
      <c r="Y50" s="377"/>
      <c r="Z50" s="475"/>
      <c r="AA50" s="476"/>
      <c r="AB50" s="476"/>
      <c r="AC50" s="476"/>
      <c r="AD50" s="476"/>
      <c r="AE50" s="477"/>
      <c r="AF50" s="379"/>
      <c r="AG50" s="379"/>
      <c r="AH50" s="383"/>
    </row>
    <row r="51" spans="1:34" x14ac:dyDescent="0.25">
      <c r="A51" s="612" t="s">
        <v>437</v>
      </c>
      <c r="B51" s="613"/>
      <c r="C51" s="613"/>
      <c r="D51" s="613"/>
      <c r="E51" s="613"/>
      <c r="F51" s="613"/>
      <c r="G51" s="613"/>
      <c r="H51" s="613"/>
      <c r="I51" s="613"/>
      <c r="J51" s="613"/>
      <c r="K51" s="613"/>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4"/>
    </row>
    <row r="52" spans="1:34" ht="15.75" thickBot="1" x14ac:dyDescent="0.3">
      <c r="A52" s="615"/>
      <c r="B52" s="616"/>
      <c r="C52" s="616"/>
      <c r="D52" s="616"/>
      <c r="E52" s="616"/>
      <c r="F52" s="616"/>
      <c r="G52" s="616"/>
      <c r="H52" s="616"/>
      <c r="I52" s="616"/>
      <c r="J52" s="616"/>
      <c r="K52" s="616"/>
      <c r="L52" s="616"/>
      <c r="M52" s="616"/>
      <c r="N52" s="616"/>
      <c r="O52" s="616"/>
      <c r="P52" s="616"/>
      <c r="Q52" s="616"/>
      <c r="R52" s="616"/>
      <c r="S52" s="616"/>
      <c r="T52" s="616"/>
      <c r="U52" s="616"/>
      <c r="V52" s="616"/>
      <c r="W52" s="616"/>
      <c r="X52" s="616"/>
      <c r="Y52" s="616"/>
      <c r="Z52" s="616"/>
      <c r="AA52" s="616"/>
      <c r="AB52" s="616"/>
      <c r="AC52" s="616"/>
      <c r="AD52" s="616"/>
      <c r="AE52" s="616"/>
      <c r="AF52" s="616"/>
      <c r="AG52" s="616"/>
      <c r="AH52" s="617"/>
    </row>
    <row r="53" spans="1:34" ht="15" customHeight="1" thickBot="1" x14ac:dyDescent="0.3">
      <c r="A53" s="621" t="s">
        <v>302</v>
      </c>
      <c r="B53" s="622"/>
      <c r="C53" s="622"/>
      <c r="D53" s="622"/>
      <c r="E53" s="622"/>
      <c r="F53" s="622"/>
      <c r="G53" s="622"/>
      <c r="H53" s="622"/>
      <c r="I53" s="622"/>
      <c r="J53" s="623"/>
      <c r="K53" s="395">
        <f>SUM(K6:K50)</f>
        <v>42</v>
      </c>
      <c r="L53" s="395">
        <f>SUM(L6:L50)</f>
        <v>372</v>
      </c>
      <c r="M53" s="396"/>
      <c r="N53" s="461">
        <f>SUMPRODUCT(K6:K50,N6:N50)/K53</f>
        <v>1</v>
      </c>
      <c r="O53" s="462">
        <f>SUM(O6:O50)</f>
        <v>0</v>
      </c>
      <c r="P53" s="463">
        <f>SUMPRODUCT(K6:K50,P6:P50)/K53</f>
        <v>0</v>
      </c>
      <c r="Q53" s="397"/>
      <c r="R53" s="398">
        <f t="shared" ref="R53:W53" si="9">SUM(R6:R50)</f>
        <v>372</v>
      </c>
      <c r="S53" s="464">
        <f t="shared" si="9"/>
        <v>0</v>
      </c>
      <c r="T53" s="464">
        <f t="shared" si="9"/>
        <v>0</v>
      </c>
      <c r="U53" s="398">
        <f t="shared" si="9"/>
        <v>0</v>
      </c>
      <c r="V53" s="398">
        <f t="shared" si="9"/>
        <v>0</v>
      </c>
      <c r="W53" s="398">
        <f t="shared" si="9"/>
        <v>0</v>
      </c>
      <c r="X53" s="465">
        <f>IF((S53=0),0,((T53+U53)/S53*100%))</f>
        <v>0</v>
      </c>
      <c r="Y53" s="399"/>
      <c r="Z53" s="466">
        <f>SUM(Z6:Z50)</f>
        <v>0</v>
      </c>
      <c r="AA53" s="467">
        <f>SUM(AA6:AA50)</f>
        <v>0</v>
      </c>
      <c r="AB53" s="467">
        <f>SUM(AB6:AB50)</f>
        <v>0</v>
      </c>
      <c r="AC53" s="467">
        <f>SUM(AC6:AC50)</f>
        <v>0</v>
      </c>
      <c r="AD53" s="467">
        <f>SUM(AD6:AD50)</f>
        <v>0</v>
      </c>
      <c r="AE53" s="468">
        <f>IF((Z53=0),0,((AA53+AB53)/Z53*100%))</f>
        <v>0</v>
      </c>
      <c r="AF53" s="400"/>
      <c r="AG53" s="400"/>
      <c r="AH53" s="401"/>
    </row>
    <row r="55" spans="1:34" x14ac:dyDescent="0.25">
      <c r="L55" s="170" t="s">
        <v>438</v>
      </c>
    </row>
    <row r="56" spans="1:34" x14ac:dyDescent="0.25">
      <c r="K56" s="170">
        <f>SUMPRODUCT(K6:K50,P6:P50)</f>
        <v>0</v>
      </c>
    </row>
  </sheetData>
  <sheetProtection insertColumns="0" insertRows="0" deleteRows="0" sort="0"/>
  <mergeCells count="9">
    <mergeCell ref="A51:AH52"/>
    <mergeCell ref="A1:AH1"/>
    <mergeCell ref="A3:AH3"/>
    <mergeCell ref="A2:J2"/>
    <mergeCell ref="A53:J5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Q48:Q50</xm:sqref>
        </x14:dataValidation>
        <x14:dataValidation type="list" allowBlank="1" showInputMessage="1" showErrorMessage="1" xr:uid="{5513F172-4253-4807-A8CE-34D720193895}">
          <x14:formula1>
            <xm:f>'List Options'!$G$1:$G$3</xm:f>
          </x14:formula1>
          <xm:sqref>M6:M50</xm:sqref>
        </x14:dataValidation>
        <x14:dataValidation type="list" allowBlank="1" showInputMessage="1" showErrorMessage="1" xr:uid="{237AC15D-702E-46B4-89E7-DAB1EF5DAEB1}">
          <x14:formula1>
            <xm:f>'List Options'!$E$1:$E$7</xm:f>
          </x14:formula1>
          <xm:sqref>Q6:Q47</xm:sqref>
        </x14:dataValidation>
        <x14:dataValidation type="list" allowBlank="1" showInputMessage="1" showErrorMessage="1" xr:uid="{8B92A7F6-7ABF-446A-A0A1-23D59ABEAA7C}">
          <x14:formula1>
            <xm:f>'List Options'!$K$1:$K$6</xm:f>
          </x14:formula1>
          <xm:sqref>I6:I50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E7" sqref="E7"/>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37" t="s">
        <v>439</v>
      </c>
      <c r="B1" s="638"/>
      <c r="C1" s="638"/>
      <c r="D1" s="638"/>
      <c r="E1" s="638"/>
      <c r="F1" s="638"/>
      <c r="G1" s="638"/>
      <c r="H1" s="638"/>
      <c r="I1" s="638"/>
      <c r="J1" s="638"/>
      <c r="K1" s="638"/>
      <c r="L1" s="638"/>
      <c r="M1" s="638"/>
      <c r="N1" s="638"/>
      <c r="O1" s="638"/>
      <c r="P1" s="638"/>
      <c r="Q1" s="638"/>
      <c r="R1" s="638"/>
      <c r="S1" s="638"/>
      <c r="T1" s="638"/>
      <c r="U1" s="638"/>
      <c r="V1" s="639"/>
    </row>
    <row r="2" spans="1:22" ht="15.75" thickBot="1" x14ac:dyDescent="0.3">
      <c r="A2" s="218" t="s">
        <v>440</v>
      </c>
      <c r="B2" s="640" t="s">
        <v>166</v>
      </c>
      <c r="C2" s="640"/>
      <c r="D2" s="640"/>
      <c r="E2" s="640"/>
      <c r="F2" s="640"/>
      <c r="G2" s="641" t="s">
        <v>177</v>
      </c>
      <c r="H2" s="642"/>
      <c r="I2" s="642"/>
      <c r="J2" s="642"/>
      <c r="K2" s="642"/>
      <c r="L2" s="642"/>
      <c r="M2" s="642"/>
      <c r="N2" s="643"/>
      <c r="O2" s="644" t="s">
        <v>144</v>
      </c>
      <c r="P2" s="645"/>
      <c r="Q2" s="645"/>
      <c r="R2" s="645"/>
      <c r="S2" s="645"/>
      <c r="T2" s="645"/>
      <c r="U2" s="645"/>
      <c r="V2" s="646"/>
    </row>
    <row r="3" spans="1:22" s="251" customFormat="1" ht="15.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311</v>
      </c>
      <c r="B4" s="252">
        <f>SUMIFS('Diags Raw Data'!$L$6:$L$4667,'Diags Raw Data'!$D$6:$D$4667,$A4)</f>
        <v>36</v>
      </c>
      <c r="C4" s="242">
        <f>SUMIFS('Diags Raw Data'!$R$6:$R$4667,'Diags Raw Data'!$D$6:$D$4667,$A4)</f>
        <v>36</v>
      </c>
      <c r="D4" s="242">
        <f>SUMIFS('Diags Raw Data'!$K$6:$K$4667,'Diags Raw Data'!$D$6:$D$4667,$A4)</f>
        <v>16</v>
      </c>
      <c r="E4" s="242">
        <f>SUMIFS('Diags Raw Data'!$O$6:$O$4667,'Diags Raw Data'!$D$6:$D$4667,$A4)</f>
        <v>0</v>
      </c>
      <c r="F4" s="248">
        <f>IF(NOT($B4=0), E4/$B4, "---")</f>
        <v>0</v>
      </c>
      <c r="G4" s="220">
        <f>SUMIFS('Diags Raw Data'!$S$6:$S$4667,'Diags Raw Data'!$D$6:$D$4667,$A4)</f>
        <v>0</v>
      </c>
      <c r="H4" s="221">
        <f>SUMIFS('Diags Raw Data'!$T$6:$T$4667,'Diags Raw Data'!$D$6:$D$4667,$A4)</f>
        <v>0</v>
      </c>
      <c r="I4" s="223">
        <f>SUMIFS('Diags Raw Data'!$U$6:$U$4667,'Diags Raw Data'!$D$6:$D$4667,$A4)</f>
        <v>0</v>
      </c>
      <c r="J4" s="221">
        <f>SUMIFS('Diags Raw Data'!$V$6:$V$4667,'Diags Raw Data'!$D$6:$D$4667,$A4)</f>
        <v>0</v>
      </c>
      <c r="K4" s="223">
        <f>SUMIFS('Diags Raw Data'!$W$6:$W$4667,'Diags Raw Data'!$D$6:$D$4667,$A4)</f>
        <v>0</v>
      </c>
      <c r="L4" s="222">
        <f>IF(NOT($C4=0), G4/$C4, "---")</f>
        <v>0</v>
      </c>
      <c r="M4" s="224" t="str">
        <f>IF(NOT($G4=0), (H4+I4)/$G4, "---")</f>
        <v>---</v>
      </c>
      <c r="N4" s="226">
        <f>IF(NOT($C4=0), (H4+I4)/$C4, "---")</f>
        <v>0</v>
      </c>
      <c r="O4" s="213">
        <f>SUMIFS('Diags Raw Data'!$Z$6:$Z$4667,'Diags Raw Data'!$D$6:$D$4667,$A4)</f>
        <v>0</v>
      </c>
      <c r="P4" s="210">
        <f>SUMIFS('Diags Raw Data'!$AA$6:$AA$4667,'Diags Raw Data'!$D$6:$D$4667,$A4)</f>
        <v>0</v>
      </c>
      <c r="Q4" s="212">
        <f>SUMIFS('Diags Raw Data'!$AB$6:$AB$4667,'Diags Raw Data'!$D$6:$D$4667,$A4)</f>
        <v>0</v>
      </c>
      <c r="R4" s="210">
        <f>SUMIFS('Diags Raw Data'!$AC$6:$AC$4667,'Diags Raw Data'!$D$6:$D$4667,$A4)</f>
        <v>0</v>
      </c>
      <c r="S4" s="212">
        <f>SUMIFS('Diags Raw Data'!$AD$6:$AD$4667,'Diags Raw Data'!$D$6:$D$4667,$A4)</f>
        <v>0</v>
      </c>
      <c r="T4" s="211">
        <f>IF(NOT($B4=0), O4/$B4, "---")</f>
        <v>0</v>
      </c>
      <c r="U4" s="225" t="str">
        <f>IF(NOT($O4=0), (P4+Q4)/$O4, "---")</f>
        <v>---</v>
      </c>
      <c r="V4" s="241">
        <f>IF(NOT($B4=0), (P4+Q4)/$B4, "---")</f>
        <v>0</v>
      </c>
    </row>
    <row r="5" spans="1:22" x14ac:dyDescent="0.25">
      <c r="A5" s="331" t="s">
        <v>345</v>
      </c>
      <c r="B5" s="253">
        <f>SUMIFS('Diags Raw Data'!$L$6:$L$4667,'Diags Raw Data'!$D$6:$D$4667,$A5)</f>
        <v>336</v>
      </c>
      <c r="C5" s="243">
        <f>SUMIFS('Diags Raw Data'!$R$6:$R$4667,'Diags Raw Data'!$D$6:$D$4667,$A5)</f>
        <v>336</v>
      </c>
      <c r="D5" s="243">
        <f>SUMIFS('Diags Raw Data'!$K$6:$K$4667,'Diags Raw Data'!$D$6:$D$4667,$A5)</f>
        <v>26</v>
      </c>
      <c r="E5" s="243">
        <f>SUMIFS('Diags Raw Data'!$O$6:$O$4667,'Diags Raw Data'!$D$6:$D$4667,$A5)</f>
        <v>0</v>
      </c>
      <c r="F5" s="249">
        <f t="shared" ref="F5" si="0">IF(NOT($B5=0), E5/$B5, "---")</f>
        <v>0</v>
      </c>
      <c r="G5" s="231">
        <f>SUMIFS('Diags Raw Data'!$S$6:$S$4667,'Diags Raw Data'!$D$6:$D$4667,$A5)</f>
        <v>0</v>
      </c>
      <c r="H5" s="227">
        <f>SUMIFS('Diags Raw Data'!$T$6:$T$4667,'Diags Raw Data'!$D$6:$D$4667,$A5)</f>
        <v>0</v>
      </c>
      <c r="I5" s="228">
        <f>SUMIFS('Diags Raw Data'!$U$6:$U$4667,'Diags Raw Data'!$D$6:$D$4667,$A5)</f>
        <v>0</v>
      </c>
      <c r="J5" s="227">
        <f>SUMIFS('Diags Raw Data'!$V$6:$V$4667,'Diags Raw Data'!$D$6:$D$4667,$A5)</f>
        <v>0</v>
      </c>
      <c r="K5" s="228">
        <f>SUMIFS('Diags Raw Data'!$W$6:$W$4667,'Diags Raw Data'!$D$6:$D$4667,$A5)</f>
        <v>0</v>
      </c>
      <c r="L5" s="244">
        <f t="shared" ref="L5:L6" si="1">IF(NOT($C5=0), G5/$C5, "---")</f>
        <v>0</v>
      </c>
      <c r="M5" s="229" t="str">
        <f t="shared" ref="M5:M6" si="2">IF(NOT($G5=0), (H5+I5)/$G5, "---")</f>
        <v>---</v>
      </c>
      <c r="N5" s="238">
        <f t="shared" ref="N5" si="3">IF(NOT($C5=0), (H5+I5)/$C5, "---")</f>
        <v>0</v>
      </c>
      <c r="O5" s="214">
        <f>SUMIFS('Diags Raw Data'!$Z$6:$Z$4667,'Diags Raw Data'!$D$6:$D$4667,$A5)</f>
        <v>0</v>
      </c>
      <c r="P5" s="204">
        <f>SUMIFS('Diags Raw Data'!$AA$6:$AA$4667,'Diags Raw Data'!$D$6:$D$4667,$A5)</f>
        <v>0</v>
      </c>
      <c r="Q5" s="206">
        <f>SUMIFS('Diags Raw Data'!$AB$6:$AB$4667,'Diags Raw Data'!$D$6:$D$4667,$A5)</f>
        <v>0</v>
      </c>
      <c r="R5" s="204">
        <f>SUMIFS('Diags Raw Data'!$AC$6:$AC$4667,'Diags Raw Data'!$D$6:$D$4667,$A5)</f>
        <v>0</v>
      </c>
      <c r="S5" s="206">
        <f>SUMIFS('Diags Raw Data'!$AD$6:$AD$4667,'Diags Raw Data'!$D$6:$D$4667,$A5)</f>
        <v>0</v>
      </c>
      <c r="T5" s="205">
        <f t="shared" ref="T5:T6" si="4">IF(NOT($B5=0), O5/$B5, "---")</f>
        <v>0</v>
      </c>
      <c r="U5" s="230" t="str">
        <f t="shared" ref="U5" si="5">IF(NOT($O5=0), (P5+Q5)/$O5, "---")</f>
        <v>---</v>
      </c>
      <c r="V5" s="232">
        <f t="shared" ref="V5:V6" si="6">IF(NOT($B5=0), (P5+Q5)/$B5, "---")</f>
        <v>0</v>
      </c>
    </row>
    <row r="6" spans="1:22" ht="15.75" thickBot="1" x14ac:dyDescent="0.3">
      <c r="A6" s="332"/>
      <c r="B6" s="254">
        <f>SUMIFS('Diags Raw Data'!$L$6:$L$4667,'Diags Raw Data'!$D$6:$D$4667,$A6)</f>
        <v>0</v>
      </c>
      <c r="C6" s="245">
        <f>SUMIFS('Diags Raw Data'!$R$6:$R$4667,'Diags Raw Data'!$D$6:$D$4667,$A6)</f>
        <v>0</v>
      </c>
      <c r="D6" s="245">
        <f>SUMIFS('Diags Raw Data'!$K$6:$K$4667,'Diags Raw Data'!$D$6:$D$4667,$A6)</f>
        <v>0</v>
      </c>
      <c r="E6" s="245">
        <f>SUMIFS('Diags Raw Data'!$O$6:$O$4667,'Diags Raw Data'!$D$6:$D$4667,$A6)</f>
        <v>0</v>
      </c>
      <c r="F6" s="250" t="str">
        <f>IF(NOT($B6=0), E6/$B6, "---")</f>
        <v>---</v>
      </c>
      <c r="G6" s="233">
        <f>SUMIFS('Diags Raw Data'!$S$6:$S$4667,'Diags Raw Data'!$D$6:$D$4667,$A6)</f>
        <v>0</v>
      </c>
      <c r="H6" s="234">
        <f>SUMIFS('Diags Raw Data'!$T$6:$T$4667,'Diags Raw Data'!$D$6:$D$4667,$A6)</f>
        <v>0</v>
      </c>
      <c r="I6" s="235">
        <f>SUMIFS('Diags Raw Data'!$U$6:$U$4667,'Diags Raw Data'!$D$6:$D$4667,$A6)</f>
        <v>0</v>
      </c>
      <c r="J6" s="234">
        <f>SUMIFS('Diags Raw Data'!$V$6:$V$4667,'Diags Raw Data'!$D$6:$D$4667,$A6)</f>
        <v>0</v>
      </c>
      <c r="K6" s="235">
        <f>SUMIFS('Diags Raw Data'!$W$6:$W$4667,'Diags Raw Data'!$D$6:$D$4667,$A6)</f>
        <v>0</v>
      </c>
      <c r="L6" s="246" t="str">
        <f t="shared" si="1"/>
        <v>---</v>
      </c>
      <c r="M6" s="236" t="str">
        <f t="shared" si="2"/>
        <v>---</v>
      </c>
      <c r="N6" s="239" t="str">
        <f>IF(NOT($C6=0), (H6+I6)/$C6, "---")</f>
        <v>---</v>
      </c>
      <c r="O6" s="215">
        <f>SUMIFS('Diags Raw Data'!$Z$6:$Z$4667,'Diags Raw Data'!$D$6:$D$4667,$A6)</f>
        <v>0</v>
      </c>
      <c r="P6" s="207">
        <f>SUMIFS('Diags Raw Data'!$AA$6:$AA$4667,'Diags Raw Data'!$D$6:$D$4667,$A6)</f>
        <v>0</v>
      </c>
      <c r="Q6" s="209">
        <f>SUMIFS('Diags Raw Data'!$AB$6:$AB$4667,'Diags Raw Data'!$D$6:$D$4667,$A6)</f>
        <v>0</v>
      </c>
      <c r="R6" s="207">
        <f>SUMIFS('Diags Raw Data'!$AC$6:$AC$4667,'Diags Raw Data'!$D$6:$D$4667,$A6)</f>
        <v>0</v>
      </c>
      <c r="S6" s="209">
        <f>SUMIFS('Diags Raw Data'!$AD$6:$AD$4667,'Diags Raw Data'!$D$6:$D$4667,$A6)</f>
        <v>0</v>
      </c>
      <c r="T6" s="208" t="str">
        <f t="shared" si="4"/>
        <v>---</v>
      </c>
      <c r="U6" s="240" t="str">
        <f t="shared" ref="U6" si="7">IF(NOT($O6=0), (P6+Q6)/$O6, "---")</f>
        <v>---</v>
      </c>
      <c r="V6" s="237" t="str">
        <f t="shared" si="6"/>
        <v>---</v>
      </c>
    </row>
    <row r="7" spans="1:22" ht="16.5" thickBot="1" x14ac:dyDescent="0.3">
      <c r="A7" s="273" t="s">
        <v>441</v>
      </c>
      <c r="B7" s="257">
        <f>SUM(B4:B6)</f>
        <v>372</v>
      </c>
      <c r="C7" s="258">
        <f>SUM(C4:C6)</f>
        <v>372</v>
      </c>
      <c r="D7" s="258">
        <f>SUM(D4:D6)</f>
        <v>42</v>
      </c>
      <c r="E7" s="258">
        <f>SUM(E4:E6)</f>
        <v>0</v>
      </c>
      <c r="F7" s="259" cm="1">
        <f t="array" ref="F7">SUMPRODUCT(--(ISNUMBER(SEARCH("New",'Diags Raw Data'!$M$6:$M$4667))),'Diags Raw Data'!$K$6:$K$4667,'Diags Raw Data'!$P$6:$P$4667)/D7+SUMPRODUCT(--(ISNUMBER(SEARCH("Delta",'Diags Raw Data'!$M$6:$M$4667))),'Diags Raw Data'!$K$6:$K$4667,'Diags Raw Data'!$P$6:$P$4667)/D7+SUMPRODUCT(--(ISNUMBER(SEARCH("Legacy",'Diags Raw Data'!$M$6:$M$4667))),'Diags Raw Data'!$K$6:$K$4667,'Diags Raw Data'!$P$6:$P$4667)/D7</f>
        <v>0</v>
      </c>
      <c r="G7" s="260">
        <f>SUM(G4:G6)</f>
        <v>0</v>
      </c>
      <c r="H7" s="261">
        <f>SUM(H4:H6)</f>
        <v>0</v>
      </c>
      <c r="I7" s="262">
        <f>SUM(I4:I6)</f>
        <v>0</v>
      </c>
      <c r="J7" s="261">
        <f>SUM(J4:J6)</f>
        <v>0</v>
      </c>
      <c r="K7" s="262">
        <f>SUM(K4:K6)</f>
        <v>0</v>
      </c>
      <c r="L7" s="263">
        <f>IF(NOT($C7=0), G7/$C7, "---")</f>
        <v>0</v>
      </c>
      <c r="M7" s="264" t="str">
        <f>IF(NOT($G7=0), (H7+I7)/$G7, "---")</f>
        <v>---</v>
      </c>
      <c r="N7" s="265">
        <f>IF(NOT($C7=0), (H7+I7)/$C7, "---")</f>
        <v>0</v>
      </c>
      <c r="O7" s="266">
        <f>SUM(O4:O6)</f>
        <v>0</v>
      </c>
      <c r="P7" s="267">
        <f>SUM(P4:P6)</f>
        <v>0</v>
      </c>
      <c r="Q7" s="268">
        <f>SUM(Q4:Q6)</f>
        <v>0</v>
      </c>
      <c r="R7" s="267">
        <f>SUM(R4:R6)</f>
        <v>0</v>
      </c>
      <c r="S7" s="268">
        <f>SUM(S4:S6)</f>
        <v>0</v>
      </c>
      <c r="T7" s="269">
        <f>IF(NOT($B7=0), O7/$B7, "---")</f>
        <v>0</v>
      </c>
      <c r="U7" s="270" t="str">
        <f>IF(NOT($O7=0), (P7+Q7)/$O7, "---")</f>
        <v>---</v>
      </c>
      <c r="V7" s="271">
        <f>IF(NOT($B7=0), (P7+Q7)/$B7, "---")</f>
        <v>0</v>
      </c>
    </row>
    <row r="8" spans="1:22" ht="15.75" thickBot="1" x14ac:dyDescent="0.3"/>
    <row r="9" spans="1:22" ht="15.75" thickBot="1" x14ac:dyDescent="0.3">
      <c r="A9" s="216" t="s">
        <v>442</v>
      </c>
      <c r="B9" s="640" t="s">
        <v>166</v>
      </c>
      <c r="C9" s="640"/>
      <c r="D9" s="640"/>
      <c r="E9" s="640"/>
      <c r="F9" s="640"/>
      <c r="G9" s="641" t="s">
        <v>177</v>
      </c>
      <c r="H9" s="642"/>
      <c r="I9" s="642"/>
      <c r="J9" s="642"/>
      <c r="K9" s="642"/>
      <c r="L9" s="642"/>
      <c r="M9" s="642"/>
      <c r="N9" s="643"/>
      <c r="O9" s="644" t="s">
        <v>144</v>
      </c>
      <c r="P9" s="645"/>
      <c r="Q9" s="645"/>
      <c r="R9" s="645"/>
      <c r="S9" s="645"/>
      <c r="T9" s="645"/>
      <c r="U9" s="645"/>
      <c r="V9" s="646"/>
    </row>
    <row r="10" spans="1:22" s="251" customFormat="1" ht="15.75" thickBot="1" x14ac:dyDescent="0.3">
      <c r="A10" s="255" t="s">
        <v>88</v>
      </c>
      <c r="B10" s="312" t="s">
        <v>167</v>
      </c>
      <c r="C10" s="313" t="s">
        <v>128</v>
      </c>
      <c r="D10" s="314" t="s">
        <v>105</v>
      </c>
      <c r="E10" s="314" t="s">
        <v>173</v>
      </c>
      <c r="F10" s="315" t="s">
        <v>175</v>
      </c>
      <c r="G10" s="316" t="s">
        <v>132</v>
      </c>
      <c r="H10" s="317" t="s">
        <v>30</v>
      </c>
      <c r="I10" s="317" t="s">
        <v>135</v>
      </c>
      <c r="J10" s="317" t="s">
        <v>36</v>
      </c>
      <c r="K10" s="317" t="s">
        <v>138</v>
      </c>
      <c r="L10" s="317" t="s">
        <v>184</v>
      </c>
      <c r="M10" s="317" t="s">
        <v>140</v>
      </c>
      <c r="N10" s="318" t="s">
        <v>187</v>
      </c>
      <c r="O10" s="319" t="s">
        <v>132</v>
      </c>
      <c r="P10" s="320" t="s">
        <v>30</v>
      </c>
      <c r="Q10" s="320" t="s">
        <v>135</v>
      </c>
      <c r="R10" s="320" t="s">
        <v>36</v>
      </c>
      <c r="S10" s="320" t="s">
        <v>138</v>
      </c>
      <c r="T10" s="320" t="s">
        <v>184</v>
      </c>
      <c r="U10" s="320" t="s">
        <v>140</v>
      </c>
      <c r="V10" s="321" t="s">
        <v>187</v>
      </c>
    </row>
    <row r="11" spans="1:22" x14ac:dyDescent="0.25">
      <c r="A11" s="331" t="s">
        <v>311</v>
      </c>
      <c r="B11" s="252">
        <f>SUMIFS('Diags Raw Data'!$L$6:$L$4667,'Diags Raw Data'!$D$6:$D$4667,$A11,'Diags Raw Data'!$M$6:$M$4667,"New")+SUMIFS('Diags Raw Data'!$L$6:$L$4667,'Diags Raw Data'!$D$6:$D$4667,$A11,'Diags Raw Data'!$M$6:$M$4667,"Delta")</f>
        <v>0</v>
      </c>
      <c r="C11" s="242">
        <f>SUMIFS('Diags Raw Data'!$R$6:$R$4667,'Diags Raw Data'!$D$6:$D$4667,$A11,'Diags Raw Data'!$M$6:$M$4667,"New")+SUMIFS('Diags Raw Data'!$R$6:$R$4667,'Diags Raw Data'!$D$6:$D$4667,$A11,'Diags Raw Data'!$M$6:$M$4667,"Delta")</f>
        <v>0</v>
      </c>
      <c r="D11" s="242">
        <f>SUMIFS('Diags Raw Data'!$K$6:$K$4667,'Diags Raw Data'!$D$6:$D$4667,$A11,'Diags Raw Data'!$M$6:$M$4667,"New")+SUMIFS('Diags Raw Data'!$K$6:$K$4667,'Diags Raw Data'!$D$6:$D$4667,$A11,'Diags Raw Data'!$M$6:$M$4667,"Delta")</f>
        <v>0</v>
      </c>
      <c r="E11" s="242">
        <f>SUMIFS('Diags Raw Data'!$O$6:$O$4667,'Diags Raw Data'!$D$6:$D$4667,$A11,'Diags Raw Data'!$M$6:$M$4667,"New")+SUMIFS('Diags Raw Data'!$O$6:$O$4667,'Diags Raw Data'!$D$6:$D$4667,$A11,'Diags Raw Data'!$M$6:$M$4667,"Delta")</f>
        <v>0</v>
      </c>
      <c r="F11" s="248" t="str">
        <f t="shared" ref="F11:F13" si="8">IF(NOT($B11=0), E11/$B11, "---")</f>
        <v>---</v>
      </c>
      <c r="G11" s="220">
        <f>SUMIFS('Diags Raw Data'!$S$6:$S$4667,'Diags Raw Data'!$D$6:$D$4667,$A11,'Diags Raw Data'!$M$6:$M$4667,"New")+SUMIFS('Diags Raw Data'!$S$6:$S$4667,'Diags Raw Data'!$D$6:$D$4667,$A11,'Diags Raw Data'!$M$6:$M$4667,"Delta")</f>
        <v>0</v>
      </c>
      <c r="H11" s="221">
        <f>SUMIFS('Diags Raw Data'!$T$6:$T$4667,'Diags Raw Data'!$D$6:$D$4667,$A11,'Diags Raw Data'!$M$6:$M$4667,"New")+SUMIFS('Diags Raw Data'!$T$6:$T$4667,'Diags Raw Data'!$D$6:$D$4667,$A11,'Diags Raw Data'!$M$6:$M$4667,"Delta")</f>
        <v>0</v>
      </c>
      <c r="I11" s="221">
        <f>SUMIFS('Diags Raw Data'!$U$6:$U$4667,'Diags Raw Data'!$D$6:$D$4667,$A11,'Diags Raw Data'!$M$6:$M$4667,"New")+SUMIFS('Diags Raw Data'!$U$6:$U$4667,'Diags Raw Data'!$D$6:$D$4667,$A11,'Diags Raw Data'!$M$6:$M$4667,"Delta")</f>
        <v>0</v>
      </c>
      <c r="J11" s="221">
        <f>SUMIFS('Diags Raw Data'!$V$6:$V$4667,'Diags Raw Data'!$D$6:$D$4667,$A11,'Diags Raw Data'!$M$6:$M$4667,"New")+SUMIFS('Diags Raw Data'!$V$6:$V$4667,'Diags Raw Data'!$D$6:$D$4667,$A11,'Diags Raw Data'!$M$6:$M$4667,"Delta")</f>
        <v>0</v>
      </c>
      <c r="K11" s="221">
        <f>SUMIFS('Diags Raw Data'!$W$6:$W$4667,'Diags Raw Data'!$D$6:$D$4667,$A11,'Diags Raw Data'!$M$6:$M$4667,"New")+SUMIFS('Diags Raw Data'!$W$6:$W$4667,'Diags Raw Data'!$D$6:$D$4667,$A11,'Diags Raw Data'!$M$6:$M$4667,"Delta")</f>
        <v>0</v>
      </c>
      <c r="L11" s="222" t="str">
        <f>IF(NOT($C11=0), G11/$C11, "---")</f>
        <v>---</v>
      </c>
      <c r="M11" s="224" t="str">
        <f>IF(NOT($G11=0), (H11+I11)/$G11, "---")</f>
        <v>---</v>
      </c>
      <c r="N11" s="226" t="str">
        <f>IF(NOT($C11=0), (H11+I11)/$C11, "---")</f>
        <v>---</v>
      </c>
      <c r="O11" s="213">
        <f>SUMIFS('Diags Raw Data'!$Z$6:$Z$4667,'Diags Raw Data'!$D$6:$D$4667,$A11,'Diags Raw Data'!$M$6:$M$4667,"New")+SUMIFS('Diags Raw Data'!$Z$6:$Z$4667,'Diags Raw Data'!$D$6:$D$4667,$A11,'Diags Raw Data'!$M$6:$M$4667,"Delta")</f>
        <v>0</v>
      </c>
      <c r="P11" s="210">
        <f>SUMIFS('Diags Raw Data'!$AA$6:$AA$4667,'Diags Raw Data'!$D$6:$D$4667,$A11,'Diags Raw Data'!$M$6:$M$4667,"New")+SUMIFS('Diags Raw Data'!$AA$6:$AA$4667,'Diags Raw Data'!$D$6:$D$4667,$A11,'Diags Raw Data'!$M$6:$M$4667,"Delta")</f>
        <v>0</v>
      </c>
      <c r="Q11" s="210">
        <f>SUMIFS('Diags Raw Data'!$AB$6:$AB$4667,'Diags Raw Data'!$D$6:$D$4667,$A11,'Diags Raw Data'!$M$6:$M$4667,"New")+SUMIFS('Diags Raw Data'!$AB$6:$AB$4667,'Diags Raw Data'!$D$6:$D$4667,$A11,'Diags Raw Data'!$M$6:$M$4667,"Delta")</f>
        <v>0</v>
      </c>
      <c r="R11" s="210">
        <f>SUMIFS('Diags Raw Data'!$AC$6:$AC$4667,'Diags Raw Data'!$D$6:$D$4667,$A11,'Diags Raw Data'!$M$6:$M$4667,"New")+SUMIFS('Diags Raw Data'!$AC$6:$AC$4667,'Diags Raw Data'!$D$6:$D$4667,$A11,'Diags Raw Data'!$M$6:$M$4667,"Delta")</f>
        <v>0</v>
      </c>
      <c r="S11" s="210">
        <f>SUMIFS('Diags Raw Data'!$AD$6:$AD$4667,'Diags Raw Data'!$D$6:$D$4667,$A11,'Diags Raw Data'!$M$6:$M$4667,"New")+SUMIFS('Diags Raw Data'!$AD$6:$AD$4667,'Diags Raw Data'!$D$6:$D$4667,$A11,'Diags Raw Data'!$M$6:$M$4667,"Delta")</f>
        <v>0</v>
      </c>
      <c r="T11" s="211" t="str">
        <f>IF(NOT($B11=0), O11/$B11, "---")</f>
        <v>---</v>
      </c>
      <c r="U11" s="225" t="str">
        <f>IF(NOT($O11=0), (P11+Q11)/$O11, "---")</f>
        <v>---</v>
      </c>
      <c r="V11" s="241" t="str">
        <f>IF(NOT($B11=0), (P11+Q11)/$B11, "---")</f>
        <v>---</v>
      </c>
    </row>
    <row r="12" spans="1:22" x14ac:dyDescent="0.25">
      <c r="A12" s="331" t="s">
        <v>345</v>
      </c>
      <c r="B12" s="253">
        <f>SUMIFS('Diags Raw Data'!$L$6:$L$4667,'Diags Raw Data'!$D$6:$D$4667,$A12,'Diags Raw Data'!$M$6:$M$4667,"New")+SUMIFS('Diags Raw Data'!$L$6:$L$4667,'Diags Raw Data'!$D$6:$D$4667,$A12,'Diags Raw Data'!$M$6:$M$4667,"Delta")</f>
        <v>0</v>
      </c>
      <c r="C12" s="243">
        <f>SUMIFS('Diags Raw Data'!$R$6:$R$4667,'Diags Raw Data'!$D$6:$D$4667,$A12,'Diags Raw Data'!$M$6:$M$4667,"New")+SUMIFS('Diags Raw Data'!$R$6:$R$4667,'Diags Raw Data'!$D$6:$D$4667,$A12,'Diags Raw Data'!$M$6:$M$4667,"Delta")</f>
        <v>0</v>
      </c>
      <c r="D12" s="243">
        <f>SUMIFS('Diags Raw Data'!$K$6:$K$4667,'Diags Raw Data'!$D$6:$D$4667,$A12,'Diags Raw Data'!$M$6:$M$4667,"New")+SUMIFS('Diags Raw Data'!$K$6:$K$4667,'Diags Raw Data'!$D$6:$D$4667,$A12,'Diags Raw Data'!$M$6:$M$4667,"Delta")</f>
        <v>0</v>
      </c>
      <c r="E12" s="243">
        <f>SUMIFS('Diags Raw Data'!$O$6:$O$4667,'Diags Raw Data'!$D$6:$D$4667,$A12,'Diags Raw Data'!$M$6:$M$4667,"New")+SUMIFS('Diags Raw Data'!$O$6:$O$4667,'Diags Raw Data'!$D$6:$D$4667,$A12,'Diags Raw Data'!$M$6:$M$4667,"Delta")</f>
        <v>0</v>
      </c>
      <c r="F12" s="249" t="str">
        <f t="shared" si="8"/>
        <v>---</v>
      </c>
      <c r="G12" s="231">
        <f>SUMIFS('Diags Raw Data'!$S$6:$S$4667,'Diags Raw Data'!$D$6:$D$4667,$A12,'Diags Raw Data'!$M$6:$M$4667,"New")+SUMIFS('Diags Raw Data'!$S$6:$S$4667,'Diags Raw Data'!$D$6:$D$4667,$A12,'Diags Raw Data'!$M$6:$M$4667,"Delta")</f>
        <v>0</v>
      </c>
      <c r="H12" s="227">
        <f>SUMIFS('Diags Raw Data'!$T$6:$T$4667,'Diags Raw Data'!$D$6:$D$4667,$A12,'Diags Raw Data'!$M$6:$M$4667,"New")+SUMIFS('Diags Raw Data'!$T$6:$T$4667,'Diags Raw Data'!$D$6:$D$4667,$A12,'Diags Raw Data'!$M$6:$M$4667,"Delta")</f>
        <v>0</v>
      </c>
      <c r="I12" s="227">
        <f>SUMIFS('Diags Raw Data'!$U$6:$U$4667,'Diags Raw Data'!$D$6:$D$4667,$A12,'Diags Raw Data'!$M$6:$M$4667,"New")+SUMIFS('Diags Raw Data'!$U$6:$U$4667,'Diags Raw Data'!$D$6:$D$4667,$A12,'Diags Raw Data'!$M$6:$M$4667,"Delta")</f>
        <v>0</v>
      </c>
      <c r="J12" s="227">
        <f>SUMIFS('Diags Raw Data'!$V$6:$V$4667,'Diags Raw Data'!$D$6:$D$4667,$A12,'Diags Raw Data'!$M$6:$M$4667,"New")+SUMIFS('Diags Raw Data'!$V$6:$V$4667,'Diags Raw Data'!$D$6:$D$4667,$A12,'Diags Raw Data'!$M$6:$M$4667,"Delta")</f>
        <v>0</v>
      </c>
      <c r="K12" s="227">
        <f>SUMIFS('Diags Raw Data'!$W$6:$W$4667,'Diags Raw Data'!$D$6:$D$4667,$A12,'Diags Raw Data'!$M$6:$M$4667,"New")+SUMIFS('Diags Raw Data'!$W$6:$W$4667,'Diags Raw Data'!$D$6:$D$4667,$A12,'Diags Raw Data'!$M$6:$M$4667,"Delta")</f>
        <v>0</v>
      </c>
      <c r="L12" s="244" t="str">
        <f>IF(NOT($C12=0), G12/$C12, "---")</f>
        <v>---</v>
      </c>
      <c r="M12" s="229" t="str">
        <f>IF(NOT($G12=0), (H12+I12)/$G12, "---")</f>
        <v>---</v>
      </c>
      <c r="N12" s="238" t="str">
        <f>IF(NOT($C12=0), (H12+I12)/$C12, "---")</f>
        <v>---</v>
      </c>
      <c r="O12" s="214">
        <f>SUMIFS('Diags Raw Data'!$Z$6:$Z$4667,'Diags Raw Data'!$D$6:$D$4667,$A12,'Diags Raw Data'!$M$6:$M$4667,"New")+SUMIFS('Diags Raw Data'!$Z$6:$Z$4667,'Diags Raw Data'!$D$6:$D$4667,$A12,'Diags Raw Data'!$M$6:$M$4667,"Delta")</f>
        <v>0</v>
      </c>
      <c r="P12" s="204">
        <f>SUMIFS('Diags Raw Data'!$AA$6:$AA$4667,'Diags Raw Data'!$D$6:$D$4667,$A12,'Diags Raw Data'!$M$6:$M$4667,"New")+SUMIFS('Diags Raw Data'!$AA$6:$AA$4667,'Diags Raw Data'!$D$6:$D$4667,$A12,'Diags Raw Data'!$M$6:$M$4667,"Delta")</f>
        <v>0</v>
      </c>
      <c r="Q12" s="204">
        <f>SUMIFS('Diags Raw Data'!$AB$6:$AB$4667,'Diags Raw Data'!$D$6:$D$4667,$A12,'Diags Raw Data'!$M$6:$M$4667,"New")+SUMIFS('Diags Raw Data'!$AB$6:$AB$4667,'Diags Raw Data'!$D$6:$D$4667,$A12,'Diags Raw Data'!$M$6:$M$4667,"Delta")</f>
        <v>0</v>
      </c>
      <c r="R12" s="204">
        <f>SUMIFS('Diags Raw Data'!$AC$6:$AC$4667,'Diags Raw Data'!$D$6:$D$4667,$A12,'Diags Raw Data'!$M$6:$M$4667,"New")+SUMIFS('Diags Raw Data'!$AC$6:$AC$4667,'Diags Raw Data'!$D$6:$D$4667,$A12,'Diags Raw Data'!$M$6:$M$4667,"Delta")</f>
        <v>0</v>
      </c>
      <c r="S12" s="204">
        <f>SUMIFS('Diags Raw Data'!$AD$6:$AD$4667,'Diags Raw Data'!$D$6:$D$4667,$A12,'Diags Raw Data'!$M$6:$M$4667,"New")+SUMIFS('Diags Raw Data'!$AD$6:$AD$4667,'Diags Raw Data'!$D$6:$D$4667,$A12,'Diags Raw Data'!$M$6:$M$4667,"Delta")</f>
        <v>0</v>
      </c>
      <c r="T12" s="205" t="str">
        <f>IF(NOT($B12=0), O12/$B12, "---")</f>
        <v>---</v>
      </c>
      <c r="U12" s="230" t="str">
        <f>IF(NOT($O12=0), (P12+Q12)/$O12, "---")</f>
        <v>---</v>
      </c>
      <c r="V12" s="232" t="str">
        <f t="shared" ref="V12:V14" si="9">IF(NOT($B12=0), (P12+Q12)/$B12, "---")</f>
        <v>---</v>
      </c>
    </row>
    <row r="13" spans="1:22" ht="15.75" thickBot="1" x14ac:dyDescent="0.3">
      <c r="A13" s="332"/>
      <c r="B13" s="254">
        <f>SUMIFS('Diags Raw Data'!$L$6:$L$4667,'Diags Raw Data'!$D$6:$D$4667,$A13,'Diags Raw Data'!$M$6:$M$4667,"New")+SUMIFS('Diags Raw Data'!$L$6:$L$4667,'Diags Raw Data'!$D$6:$D$4667,$A13,'Diags Raw Data'!$M$6:$M$4667,"Delta")</f>
        <v>0</v>
      </c>
      <c r="C13" s="245">
        <f>SUMIFS('Diags Raw Data'!$R$6:$R$4667,'Diags Raw Data'!$D$6:$D$4667,$A13,'Diags Raw Data'!$M$6:$M$4667,"New")+SUMIFS('Diags Raw Data'!$R$6:$R$4667,'Diags Raw Data'!$D$6:$D$4667,$A13,'Diags Raw Data'!$M$6:$M$4667,"Delta")</f>
        <v>0</v>
      </c>
      <c r="D13" s="245">
        <f>SUMIFS('Diags Raw Data'!$K$6:$K$4667,'Diags Raw Data'!$D$6:$D$4667,$A13,'Diags Raw Data'!$M$6:$M$4667,"New")+SUMIFS('Diags Raw Data'!$K$6:$K$4667,'Diags Raw Data'!$D$6:$D$4667,$A13,'Diags Raw Data'!$M$6:$M$4667,"Delta")</f>
        <v>0</v>
      </c>
      <c r="E13" s="245">
        <f>SUMIFS('Diags Raw Data'!$O$6:$O$4667,'Diags Raw Data'!$D$6:$D$4667,$A13,'Diags Raw Data'!$M$6:$M$4667,"New")+SUMIFS('Diags Raw Data'!$O$6:$O$4667,'Diags Raw Data'!$D$6:$D$4667,$A13,'Diags Raw Data'!$M$6:$M$4667,"Delta")</f>
        <v>0</v>
      </c>
      <c r="F13" s="250" t="str">
        <f t="shared" si="8"/>
        <v>---</v>
      </c>
      <c r="G13" s="233">
        <f>SUMIFS('Diags Raw Data'!$S$6:$S$4667,'Diags Raw Data'!$D$6:$D$4667,$A13,'Diags Raw Data'!$M$6:$M$4667,"New")+SUMIFS('Diags Raw Data'!$S$6:$S$4667,'Diags Raw Data'!$D$6:$D$4667,$A13,'Diags Raw Data'!$M$6:$M$4667,"Delta")</f>
        <v>0</v>
      </c>
      <c r="H13" s="234">
        <f>SUMIFS('Diags Raw Data'!$T$6:$T$4667,'Diags Raw Data'!$D$6:$D$4667,$A13,'Diags Raw Data'!$M$6:$M$4667,"New")+SUMIFS('Diags Raw Data'!$T$6:$T$4667,'Diags Raw Data'!$D$6:$D$4667,$A13,'Diags Raw Data'!$M$6:$M$4667,"Delta")</f>
        <v>0</v>
      </c>
      <c r="I13" s="234">
        <f>SUMIFS('Diags Raw Data'!$U$6:$U$4667,'Diags Raw Data'!$D$6:$D$4667,$A13,'Diags Raw Data'!$M$6:$M$4667,"New")+SUMIFS('Diags Raw Data'!$U$6:$U$4667,'Diags Raw Data'!$D$6:$D$4667,$A13,'Diags Raw Data'!$M$6:$M$4667,"Delta")</f>
        <v>0</v>
      </c>
      <c r="J13" s="234">
        <f>SUMIFS('Diags Raw Data'!$V$6:$V$4667,'Diags Raw Data'!$D$6:$D$4667,$A13,'Diags Raw Data'!$M$6:$M$4667,"New")+SUMIFS('Diags Raw Data'!$V$6:$V$4667,'Diags Raw Data'!$D$6:$D$4667,$A13,'Diags Raw Data'!$M$6:$M$4667,"Delta")</f>
        <v>0</v>
      </c>
      <c r="K13" s="234">
        <f>SUMIFS('Diags Raw Data'!$W$6:$W$4667,'Diags Raw Data'!$D$6:$D$4667,$A13,'Diags Raw Data'!$M$6:$M$4667,"New")+SUMIFS('Diags Raw Data'!$W$6:$W$4667,'Diags Raw Data'!$D$6:$D$4667,$A13,'Diags Raw Data'!$M$6:$M$4667,"Delta")</f>
        <v>0</v>
      </c>
      <c r="L13" s="246" t="str">
        <f t="shared" ref="L13" si="10">IF(NOT($C13=0), G13/$C13, "---")</f>
        <v>---</v>
      </c>
      <c r="M13" s="236" t="str">
        <f t="shared" ref="M13:M14" si="11">IF(NOT($G13=0), (H13+I13)/$G13, "---")</f>
        <v>---</v>
      </c>
      <c r="N13" s="239" t="str">
        <f t="shared" ref="N13" si="12">IF(NOT($C13=0), (H13+I13)/$C13, "---")</f>
        <v>---</v>
      </c>
      <c r="O13" s="215">
        <f>SUMIFS('Diags Raw Data'!$Z$6:$Z$4667,'Diags Raw Data'!$D$6:$D$4667,$A13,'Diags Raw Data'!$M$6:$M$4667,"New")+SUMIFS('Diags Raw Data'!$Z$6:$Z$4667,'Diags Raw Data'!$D$6:$D$4667,$A13,'Diags Raw Data'!$M$6:$M$4667,"Delta")</f>
        <v>0</v>
      </c>
      <c r="P13" s="207">
        <f>SUMIFS('Diags Raw Data'!$AA$6:$AA$4667,'Diags Raw Data'!$D$6:$D$4667,$A13,'Diags Raw Data'!$M$6:$M$4667,"New")+SUMIFS('Diags Raw Data'!$AA$6:$AA$4667,'Diags Raw Data'!$D$6:$D$4667,$A13,'Diags Raw Data'!$M$6:$M$4667,"Delta")</f>
        <v>0</v>
      </c>
      <c r="Q13" s="207">
        <f>SUMIFS('Diags Raw Data'!$AB$6:$AB$4667,'Diags Raw Data'!$D$6:$D$4667,$A13,'Diags Raw Data'!$M$6:$M$4667,"New")+SUMIFS('Diags Raw Data'!$AB$6:$AB$4667,'Diags Raw Data'!$D$6:$D$4667,$A13,'Diags Raw Data'!$M$6:$M$4667,"Delta")</f>
        <v>0</v>
      </c>
      <c r="R13" s="207">
        <f>SUMIFS('Diags Raw Data'!$AC$6:$AC$4667,'Diags Raw Data'!$D$6:$D$4667,$A13,'Diags Raw Data'!$M$6:$M$4667,"New")+SUMIFS('Diags Raw Data'!$AC$6:$AC$4667,'Diags Raw Data'!$D$6:$D$4667,$A13,'Diags Raw Data'!$M$6:$M$4667,"Delta")</f>
        <v>0</v>
      </c>
      <c r="S13" s="207">
        <f>SUMIFS('Diags Raw Data'!$AD$6:$AD$4667,'Diags Raw Data'!$D$6:$D$4667,$A13,'Diags Raw Data'!$M$6:$M$4667,"New")+SUMIFS('Diags Raw Data'!$AD$6:$AD$4667,'Diags Raw Data'!$D$6:$D$4667,$A13,'Diags Raw Data'!$M$6:$M$4667,"Delta")</f>
        <v>0</v>
      </c>
      <c r="T13" s="208" t="str">
        <f t="shared" ref="T13" si="13">IF(NOT($B13=0), O13/$B13, "---")</f>
        <v>---</v>
      </c>
      <c r="U13" s="240" t="str">
        <f t="shared" ref="U13:U14" si="14">IF(NOT($O13=0), (P13+Q13)/$O13, "---")</f>
        <v>---</v>
      </c>
      <c r="V13" s="237" t="str">
        <f t="shared" si="9"/>
        <v>---</v>
      </c>
    </row>
    <row r="14" spans="1:22" ht="16.5" thickBot="1" x14ac:dyDescent="0.3">
      <c r="A14" s="256" t="s">
        <v>443</v>
      </c>
      <c r="B14" s="257">
        <f>SUM(B11:B13)</f>
        <v>0</v>
      </c>
      <c r="C14" s="258">
        <f>SUM(C11:C13)</f>
        <v>0</v>
      </c>
      <c r="D14" s="258">
        <f>SUM(D11:D13)</f>
        <v>0</v>
      </c>
      <c r="E14" s="258">
        <f>SUM(E11:E13)</f>
        <v>0</v>
      </c>
      <c r="F14" s="259" t="e" cm="1">
        <f t="array" ref="F14">SUMPRODUCT(--(ISNUMBER(SEARCH("New",'Diags Raw Data'!$M$6:$M$4667))),'Diags Raw Data'!$K$6:$K$4667,'Diags Raw Data'!$P$6:$P$4667)/D14+SUMPRODUCT(--(ISNUMBER(SEARCH("Delta",'Diags Raw Data'!$M$6:$M$4667))),'Diags Raw Data'!$K$6:$K$4667,'Diags Raw Data'!$P$6:$P$4667)/D14</f>
        <v>#DIV/0!</v>
      </c>
      <c r="G14" s="260">
        <f>SUM(G11:G13)</f>
        <v>0</v>
      </c>
      <c r="H14" s="261">
        <f>SUM(H11:H13)</f>
        <v>0</v>
      </c>
      <c r="I14" s="262">
        <f>SUM(I11:I13)</f>
        <v>0</v>
      </c>
      <c r="J14" s="261">
        <f>SUM(J11:J13)</f>
        <v>0</v>
      </c>
      <c r="K14" s="262">
        <f>SUM(K11:K13)</f>
        <v>0</v>
      </c>
      <c r="L14" s="263" t="str">
        <f>IF(NOT($C14=0), G14/$C14, "---")</f>
        <v>---</v>
      </c>
      <c r="M14" s="264" t="str">
        <f t="shared" si="11"/>
        <v>---</v>
      </c>
      <c r="N14" s="265" t="str">
        <f>IF(NOT($C14=0), (H14+I14)/$C14, "---")</f>
        <v>---</v>
      </c>
      <c r="O14" s="266">
        <f>SUM(O11:O13)</f>
        <v>0</v>
      </c>
      <c r="P14" s="267">
        <f>SUM(P11:P13)</f>
        <v>0</v>
      </c>
      <c r="Q14" s="268">
        <f>SUM(Q11:Q13)</f>
        <v>0</v>
      </c>
      <c r="R14" s="267">
        <f>SUM(R11:R13)</f>
        <v>0</v>
      </c>
      <c r="S14" s="268">
        <f>SUM(S11:S13)</f>
        <v>0</v>
      </c>
      <c r="T14" s="269" t="str">
        <f>IF(NOT($B14=0), O14/$B14, "---")</f>
        <v>---</v>
      </c>
      <c r="U14" s="270" t="str">
        <f t="shared" si="14"/>
        <v>---</v>
      </c>
      <c r="V14" s="271" t="str">
        <f t="shared" si="9"/>
        <v>---</v>
      </c>
    </row>
    <row r="15" spans="1:22" ht="15.75" thickBot="1" x14ac:dyDescent="0.3">
      <c r="A15" s="247"/>
      <c r="B15" s="247"/>
      <c r="C15" s="247"/>
      <c r="D15" s="247"/>
      <c r="E15" s="247"/>
      <c r="F15" s="247"/>
      <c r="G15" s="247"/>
      <c r="H15" s="247"/>
      <c r="I15" s="247"/>
      <c r="J15" s="247"/>
      <c r="K15" s="247"/>
      <c r="L15" s="247"/>
      <c r="M15" s="247"/>
      <c r="N15" s="247"/>
      <c r="O15" s="247"/>
      <c r="P15" s="247"/>
      <c r="Q15" s="247"/>
      <c r="R15" s="247"/>
      <c r="S15" s="247"/>
      <c r="T15" s="247"/>
      <c r="U15" s="247"/>
      <c r="V15" s="247"/>
    </row>
    <row r="16" spans="1:22" ht="15.75" thickBot="1" x14ac:dyDescent="0.3">
      <c r="A16" s="217" t="s">
        <v>33</v>
      </c>
      <c r="B16" s="640" t="s">
        <v>166</v>
      </c>
      <c r="C16" s="640"/>
      <c r="D16" s="640"/>
      <c r="E16" s="640"/>
      <c r="F16" s="640"/>
      <c r="G16" s="641" t="s">
        <v>177</v>
      </c>
      <c r="H16" s="642"/>
      <c r="I16" s="642"/>
      <c r="J16" s="642"/>
      <c r="K16" s="642"/>
      <c r="L16" s="642"/>
      <c r="M16" s="642"/>
      <c r="N16" s="643"/>
      <c r="O16" s="644" t="s">
        <v>144</v>
      </c>
      <c r="P16" s="645"/>
      <c r="Q16" s="645"/>
      <c r="R16" s="645"/>
      <c r="S16" s="645"/>
      <c r="T16" s="645"/>
      <c r="U16" s="645"/>
      <c r="V16" s="646"/>
    </row>
    <row r="17" spans="1:22" s="251" customFormat="1" ht="15.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311</v>
      </c>
      <c r="B18" s="252">
        <f>SUMIFS('Diags Raw Data'!$L$6:$L$4667,'Diags Raw Data'!$D$6:$D$4667,$A18,'Diags Raw Data'!$M$6:$M$4667,"Legacy")</f>
        <v>36</v>
      </c>
      <c r="C18" s="242">
        <f>SUMIFS('Diags Raw Data'!$R$6:$R$4667,'Diags Raw Data'!$D$6:$D$4667,$A18,'Diags Raw Data'!$M$6:$M$4667,"Legacy")</f>
        <v>36</v>
      </c>
      <c r="D18" s="242">
        <f>SUMIFS('Diags Raw Data'!$K$6:$K$4667,'Diags Raw Data'!$D$6:$D$4667,$A18,'Diags Raw Data'!$M$6:$M$4667,"Legacy")</f>
        <v>16</v>
      </c>
      <c r="E18" s="242">
        <f>SUMIFS('Diags Raw Data'!$O$6:$O$4667,'Diags Raw Data'!$D$6:$D$4667,$A18,'Diags Raw Data'!$M$6:$M$4667,"Legacy")</f>
        <v>0</v>
      </c>
      <c r="F18" s="248">
        <f>IF(NOT($B18=0), E18/$B18, "---")</f>
        <v>0</v>
      </c>
      <c r="G18" s="220">
        <f>SUMIFS('Diags Raw Data'!$S$6:$S$4667,'Diags Raw Data'!$D$6:$D$4667,$A18,'Diags Raw Data'!$M$6:$M$4667,"Legacy")</f>
        <v>0</v>
      </c>
      <c r="H18" s="221">
        <f>SUMIFS('Diags Raw Data'!$T$6:$T$4667,'Diags Raw Data'!$D$6:$D$4667,$A18,'Diags Raw Data'!$M$6:$M$4667,"Legacy")</f>
        <v>0</v>
      </c>
      <c r="I18" s="223">
        <f>SUMIFS('Diags Raw Data'!$U$6:$U$4667,'Diags Raw Data'!$D$6:$D$4667,$A18,'Diags Raw Data'!$M$6:$M$4667,"Legacy")</f>
        <v>0</v>
      </c>
      <c r="J18" s="221">
        <f>SUMIFS('Diags Raw Data'!$V$6:$V$4667,'Diags Raw Data'!$D$6:$D$4667,$A18,'Diags Raw Data'!$M$6:$M$4667,"Legacy")</f>
        <v>0</v>
      </c>
      <c r="K18" s="223">
        <f>SUMIFS('Diags Raw Data'!$W$6:$W$4667,'Diags Raw Data'!$D$6:$D$4667,$A18,'Diags Raw Data'!$M$6:$M$4667,"Legacy")</f>
        <v>0</v>
      </c>
      <c r="L18" s="222">
        <f>IF(NOT($C18=0), G18/$C18, "---")</f>
        <v>0</v>
      </c>
      <c r="M18" s="224" t="str">
        <f>IF(NOT($G18=0), (H18+I18)/$G18, "---")</f>
        <v>---</v>
      </c>
      <c r="N18" s="226">
        <f>IF(NOT($C18=0), (H18+I18)/$C18, "---")</f>
        <v>0</v>
      </c>
      <c r="O18" s="213">
        <f>SUMIFS('Diags Raw Data'!$Z$6:$Z$4667,'Diags Raw Data'!$D$6:$D$4667,$A18,'Diags Raw Data'!$M$6:$M$4667,"Legacy")</f>
        <v>0</v>
      </c>
      <c r="P18" s="210">
        <f>SUMIFS('Diags Raw Data'!$AA$6:$AA$4667,'Diags Raw Data'!$D$6:$D$4667,$A18,'Diags Raw Data'!$M$6:$M$4667,"Legacy")</f>
        <v>0</v>
      </c>
      <c r="Q18" s="212">
        <f>SUMIFS('Diags Raw Data'!$AB$6:$AB$4667,'Diags Raw Data'!$D$6:$D$4667,$A18,'Diags Raw Data'!$M$6:$M$4667,"Legacy")</f>
        <v>0</v>
      </c>
      <c r="R18" s="210">
        <f>SUMIFS('Diags Raw Data'!$AC$6:$AC$4667,'Diags Raw Data'!$D$6:$D$4667,$A18,'Diags Raw Data'!$M$6:$M$4667,"Legacy")</f>
        <v>0</v>
      </c>
      <c r="S18" s="212">
        <f>SUMIFS('Diags Raw Data'!$AD$6:$AD$4667,'Diags Raw Data'!$D$6:$D$4667,$A18,'Diags Raw Data'!$M$6:$M$4667,"Legacy")</f>
        <v>0</v>
      </c>
      <c r="T18" s="211">
        <f>IF(NOT($B18=0), O18/$B18, "---")</f>
        <v>0</v>
      </c>
      <c r="U18" s="225" t="str">
        <f>IF(NOT($O18=0), (P18+Q18)/$O18, "---")</f>
        <v>---</v>
      </c>
      <c r="V18" s="241">
        <f>IF(NOT($B18=0), (P18+Q18)/$B18, "---")</f>
        <v>0</v>
      </c>
    </row>
    <row r="19" spans="1:22" x14ac:dyDescent="0.25">
      <c r="A19" s="331" t="s">
        <v>345</v>
      </c>
      <c r="B19" s="253">
        <f>SUMIFS('Diags Raw Data'!$L$6:$L$4667,'Diags Raw Data'!$D$6:$D$4667,$A19,'Diags Raw Data'!$M$6:$M$4667,"Legacy")</f>
        <v>336</v>
      </c>
      <c r="C19" s="243">
        <f>SUMIFS('Diags Raw Data'!$R$6:$R$4667,'Diags Raw Data'!$D$6:$D$4667,$A19,'Diags Raw Data'!$M$6:$M$4667,"Legacy")</f>
        <v>336</v>
      </c>
      <c r="D19" s="243">
        <f>SUMIFS('Diags Raw Data'!$K$6:$K$4667,'Diags Raw Data'!$D$6:$D$4667,$A19,'Diags Raw Data'!$M$6:$M$4667,"Legacy")</f>
        <v>26</v>
      </c>
      <c r="E19" s="243">
        <f>SUMIFS('Diags Raw Data'!$O$6:$O$4667,'Diags Raw Data'!$D$6:$D$4667,$A19,'Diags Raw Data'!$M$6:$M$4667,"Legacy")</f>
        <v>0</v>
      </c>
      <c r="F19" s="249">
        <f t="shared" ref="F19:F20" si="15">IF(NOT($B19=0), E19/$B19, "---")</f>
        <v>0</v>
      </c>
      <c r="G19" s="231">
        <f>SUMIFS('Diags Raw Data'!$S$6:$S$4667,'Diags Raw Data'!$D$6:$D$4667,$A19,'Diags Raw Data'!$M$6:$M$4667,"Legacy")</f>
        <v>0</v>
      </c>
      <c r="H19" s="227">
        <f>SUMIFS('Diags Raw Data'!$T$6:$T$4667,'Diags Raw Data'!$D$6:$D$4667,$A19,'Diags Raw Data'!$M$6:$M$4667,"Legacy")</f>
        <v>0</v>
      </c>
      <c r="I19" s="228">
        <f>SUMIFS('Diags Raw Data'!$U$6:$U$4667,'Diags Raw Data'!$D$6:$D$4667,$A19,'Diags Raw Data'!$M$6:$M$4667,"Legacy")</f>
        <v>0</v>
      </c>
      <c r="J19" s="227">
        <f>SUMIFS('Diags Raw Data'!$V$6:$V$4667,'Diags Raw Data'!$D$6:$D$4667,$A19,'Diags Raw Data'!$M$6:$M$4667,"Legacy")</f>
        <v>0</v>
      </c>
      <c r="K19" s="228">
        <f>SUMIFS('Diags Raw Data'!$W$6:$W$4667,'Diags Raw Data'!$D$6:$D$4667,$A19,'Diags Raw Data'!$M$6:$M$4667,"Legacy")</f>
        <v>0</v>
      </c>
      <c r="L19" s="244">
        <f t="shared" ref="L19:L20" si="16">IF(NOT($C19=0), G19/$C19, "---")</f>
        <v>0</v>
      </c>
      <c r="M19" s="229" t="str">
        <f t="shared" ref="M19:M21" si="17">IF(NOT($G19=0), (H19+I19)/$G19, "---")</f>
        <v>---</v>
      </c>
      <c r="N19" s="238">
        <f t="shared" ref="N19:N21" si="18">IF(NOT($C19=0), (H19+I19)/$C19, "---")</f>
        <v>0</v>
      </c>
      <c r="O19" s="214">
        <f>SUMIFS('Diags Raw Data'!$Z$6:$Z$4667,'Diags Raw Data'!$D$6:$D$4667,$A19,'Diags Raw Data'!$M$6:$M$4667,"Legacy")</f>
        <v>0</v>
      </c>
      <c r="P19" s="204">
        <f>SUMIFS('Diags Raw Data'!$AA$6:$AA$4667,'Diags Raw Data'!$D$6:$D$4667,$A19,'Diags Raw Data'!$M$6:$M$4667,"Legacy")</f>
        <v>0</v>
      </c>
      <c r="Q19" s="206">
        <f>SUMIFS('Diags Raw Data'!$AB$6:$AB$4667,'Diags Raw Data'!$D$6:$D$4667,$A19,'Diags Raw Data'!$M$6:$M$4667,"Legacy")</f>
        <v>0</v>
      </c>
      <c r="R19" s="204">
        <f>SUMIFS('Diags Raw Data'!$AC$6:$AC$4667,'Diags Raw Data'!$D$6:$D$4667,$A19,'Diags Raw Data'!$M$6:$M$4667,"Legacy")</f>
        <v>0</v>
      </c>
      <c r="S19" s="206">
        <f>SUMIFS('Diags Raw Data'!$AD$6:$AD$4667,'Diags Raw Data'!$D$6:$D$4667,$A19,'Diags Raw Data'!$M$6:$M$4667,"Legacy")</f>
        <v>0</v>
      </c>
      <c r="T19" s="205">
        <f t="shared" ref="T19:T20" si="19">IF(NOT($B19=0), O19/$B19, "---")</f>
        <v>0</v>
      </c>
      <c r="U19" s="230" t="str">
        <f t="shared" ref="U19:U21" si="20">IF(NOT($O19=0), (P19+Q19)/$O19, "---")</f>
        <v>---</v>
      </c>
      <c r="V19" s="232">
        <f t="shared" ref="V19:V20" si="21">IF(NOT($B19=0), (P19+Q19)/$B19, "---")</f>
        <v>0</v>
      </c>
    </row>
    <row r="20" spans="1:22" ht="15.75" thickBot="1" x14ac:dyDescent="0.3">
      <c r="A20" s="332"/>
      <c r="B20" s="254">
        <f>SUMIFS('Diags Raw Data'!$L$6:$L$4667,'Diags Raw Data'!$D$6:$D$4667,$A20,'Diags Raw Data'!$M$6:$M$4667,"Legacy")</f>
        <v>0</v>
      </c>
      <c r="C20" s="245">
        <f>SUMIFS('Diags Raw Data'!$R$6:$R$4667,'Diags Raw Data'!$D$6:$D$4667,$A20,'Diags Raw Data'!$M$6:$M$4667,"Legacy")</f>
        <v>0</v>
      </c>
      <c r="D20" s="245">
        <f>SUMIFS('Diags Raw Data'!$K$6:$K$4667,'Diags Raw Data'!$D$6:$D$4667,$A20,'Diags Raw Data'!$M$6:$M$4667,"Legacy")</f>
        <v>0</v>
      </c>
      <c r="E20" s="245">
        <f>SUMIFS('Diags Raw Data'!$O$6:$O$4667,'Diags Raw Data'!$D$6:$D$4667,$A20,'Diags Raw Data'!$M$6:$M$4667,"Legacy")</f>
        <v>0</v>
      </c>
      <c r="F20" s="250" t="str">
        <f t="shared" si="15"/>
        <v>---</v>
      </c>
      <c r="G20" s="233">
        <f>SUMIFS('Diags Raw Data'!$S$6:$S$4667,'Diags Raw Data'!$D$6:$D$4667,$A20,'Diags Raw Data'!$M$6:$M$4667,"Legacy")</f>
        <v>0</v>
      </c>
      <c r="H20" s="234">
        <f>SUMIFS('Diags Raw Data'!$T$6:$T$4667,'Diags Raw Data'!$D$6:$D$4667,$A20,'Diags Raw Data'!$M$6:$M$4667,"Legacy")</f>
        <v>0</v>
      </c>
      <c r="I20" s="235">
        <f>SUMIFS('Diags Raw Data'!$U$6:$U$4667,'Diags Raw Data'!$D$6:$D$4667,$A20,'Diags Raw Data'!$M$6:$M$4667,"Legacy")</f>
        <v>0</v>
      </c>
      <c r="J20" s="234">
        <f>SUMIFS('Diags Raw Data'!$V$6:$V$4667,'Diags Raw Data'!$D$6:$D$4667,$A20,'Diags Raw Data'!$M$6:$M$4667,"Legacy")</f>
        <v>0</v>
      </c>
      <c r="K20" s="235">
        <f>SUMIFS('Diags Raw Data'!$W$6:$W$4667,'Diags Raw Data'!$D$6:$D$4667,$A20,'Diags Raw Data'!$M$6:$M$4667,"Legacy")</f>
        <v>0</v>
      </c>
      <c r="L20" s="246" t="str">
        <f t="shared" si="16"/>
        <v>---</v>
      </c>
      <c r="M20" s="236" t="str">
        <f t="shared" si="17"/>
        <v>---</v>
      </c>
      <c r="N20" s="239" t="str">
        <f t="shared" si="18"/>
        <v>---</v>
      </c>
      <c r="O20" s="215">
        <f>SUMIFS('Diags Raw Data'!$Z$6:$Z$4667,'Diags Raw Data'!$D$6:$D$4667,$A20,'Diags Raw Data'!$M$6:$M$4667,"Legacy")</f>
        <v>0</v>
      </c>
      <c r="P20" s="207">
        <f>SUMIFS('Diags Raw Data'!$AA$6:$AA$4667,'Diags Raw Data'!$D$6:$D$4667,$A20,'Diags Raw Data'!$M$6:$M$4667,"Legacy")</f>
        <v>0</v>
      </c>
      <c r="Q20" s="209">
        <f>SUMIFS('Diags Raw Data'!$AB$6:$AB$4667,'Diags Raw Data'!$D$6:$D$4667,$A20,'Diags Raw Data'!$M$6:$M$4667,"Legacy")</f>
        <v>0</v>
      </c>
      <c r="R20" s="207">
        <f>SUMIFS('Diags Raw Data'!$AC$6:$AC$4667,'Diags Raw Data'!$D$6:$D$4667,$A20,'Diags Raw Data'!$M$6:$M$4667,"Legacy")</f>
        <v>0</v>
      </c>
      <c r="S20" s="209">
        <f>SUMIFS('Diags Raw Data'!$AD$6:$AD$4667,'Diags Raw Data'!$D$6:$D$4667,$A20,'Diags Raw Data'!$M$6:$M$4667,"Legacy")</f>
        <v>0</v>
      </c>
      <c r="T20" s="208" t="str">
        <f t="shared" si="19"/>
        <v>---</v>
      </c>
      <c r="U20" s="240" t="str">
        <f t="shared" si="20"/>
        <v>---</v>
      </c>
      <c r="V20" s="237" t="str">
        <f t="shared" si="21"/>
        <v>---</v>
      </c>
    </row>
    <row r="21" spans="1:22" ht="16.5" thickBot="1" x14ac:dyDescent="0.3">
      <c r="A21" s="272" t="s">
        <v>444</v>
      </c>
      <c r="B21" s="257">
        <f>SUM(B18:B20)</f>
        <v>372</v>
      </c>
      <c r="C21" s="258">
        <f>SUM(C18:C20)</f>
        <v>372</v>
      </c>
      <c r="D21" s="258">
        <f>SUM(D18:D20)</f>
        <v>42</v>
      </c>
      <c r="E21" s="258">
        <f>SUM(E18:E20)</f>
        <v>0</v>
      </c>
      <c r="F21" s="259" cm="1">
        <f t="array" ref="F21">SUMPRODUCT(--(ISNUMBER(SEARCH("Legacy",'Diags Raw Data'!$M$6:$M$4667))),'Diags Raw Data'!$K$6:$K$4667,'Diags Raw Data'!$P$6:$P$4667)/D21</f>
        <v>0</v>
      </c>
      <c r="G21" s="260">
        <f>SUM(G18:G20)</f>
        <v>0</v>
      </c>
      <c r="H21" s="261">
        <f>SUM(H18:H20)</f>
        <v>0</v>
      </c>
      <c r="I21" s="262">
        <f>SUM(I18:I20)</f>
        <v>0</v>
      </c>
      <c r="J21" s="261">
        <f>SUM(J18:J20)</f>
        <v>0</v>
      </c>
      <c r="K21" s="262">
        <f>SUM(K18:K20)</f>
        <v>0</v>
      </c>
      <c r="L21" s="263">
        <f>IF(NOT($C21=0), G21/$C21, "---")</f>
        <v>0</v>
      </c>
      <c r="M21" s="264" t="str">
        <f t="shared" si="17"/>
        <v>---</v>
      </c>
      <c r="N21" s="265">
        <f t="shared" si="18"/>
        <v>0</v>
      </c>
      <c r="O21" s="266">
        <f>SUM(O18:O20)</f>
        <v>0</v>
      </c>
      <c r="P21" s="267">
        <f>SUM(P18:P20)</f>
        <v>0</v>
      </c>
      <c r="Q21" s="268">
        <f>SUM(Q18:Q20)</f>
        <v>0</v>
      </c>
      <c r="R21" s="267">
        <f>SUM(R18:R20)</f>
        <v>0</v>
      </c>
      <c r="S21" s="268">
        <f>SUM(S18:S20)</f>
        <v>0</v>
      </c>
      <c r="T21" s="269">
        <f>IF(NOT($B21=0), O21/$B21, "---")</f>
        <v>0</v>
      </c>
      <c r="U21" s="270" t="str">
        <f t="shared" si="20"/>
        <v>---</v>
      </c>
      <c r="V21" s="271">
        <f>IF(NOT($B21=0), (P21+Q21)/$B21, "---")</f>
        <v>0</v>
      </c>
    </row>
    <row r="22" spans="1:22" x14ac:dyDescent="0.25">
      <c r="A22" s="247"/>
      <c r="B22" s="247"/>
      <c r="C22" s="247"/>
      <c r="D22" s="247"/>
      <c r="E22" s="247"/>
      <c r="F22" s="247"/>
      <c r="G22" s="247"/>
      <c r="H22" s="247"/>
      <c r="I22" s="247"/>
      <c r="J22" s="247"/>
      <c r="K22" s="247"/>
      <c r="L22" s="247"/>
      <c r="M22" s="247"/>
      <c r="N22" s="247"/>
      <c r="O22" s="247"/>
      <c r="P22" s="247"/>
      <c r="Q22" s="247"/>
      <c r="R22" s="247"/>
      <c r="S22" s="247"/>
      <c r="T22" s="247"/>
      <c r="U22" s="247"/>
      <c r="V22" s="247"/>
    </row>
    <row r="24" spans="1:22" x14ac:dyDescent="0.25">
      <c r="F24" s="130"/>
    </row>
    <row r="27" spans="1:22" x14ac:dyDescent="0.25">
      <c r="F27" s="410"/>
    </row>
    <row r="28" spans="1:22" x14ac:dyDescent="0.25">
      <c r="F28" s="409"/>
    </row>
    <row r="29" spans="1:22" x14ac:dyDescent="0.25">
      <c r="F29" s="409"/>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205">
      <colorScale>
        <cfvo type="percent" val="0"/>
        <cfvo type="percent" val="50"/>
        <cfvo type="percent" val="100"/>
        <color rgb="FFF8696B"/>
        <color rgb="FFFFEB84"/>
        <color rgb="FF63BE7B"/>
      </colorScale>
    </cfRule>
    <cfRule type="colorScale" priority="206">
      <colorScale>
        <cfvo type="percent" val="0"/>
        <cfvo type="percent" val="50"/>
        <cfvo type="percent" val="100"/>
        <color rgb="FFF8696B"/>
        <color rgb="FFFFEB84"/>
        <color rgb="FF63BE7B"/>
      </colorScale>
    </cfRule>
    <cfRule type="colorScale" priority="207">
      <colorScale>
        <cfvo type="percentile" val="10"/>
        <cfvo type="percentile" val="50"/>
        <cfvo type="percentile" val="90"/>
        <color rgb="FFF8696B"/>
        <color rgb="FFFFEB84"/>
        <color rgb="FF63BE7B"/>
      </colorScale>
    </cfRule>
    <cfRule type="colorScale" priority="208">
      <colorScale>
        <cfvo type="percent" val="0"/>
        <cfvo type="percent" val="50"/>
        <cfvo type="percent" val="100"/>
        <color rgb="FFF8696B"/>
        <color rgb="FFFFEB84"/>
        <color rgb="FF63BE7B"/>
      </colorScale>
    </cfRule>
    <cfRule type="colorScale" priority="209">
      <colorScale>
        <cfvo type="percentile" val="10"/>
        <cfvo type="percentile" val="50"/>
        <cfvo type="percentile" val="90"/>
        <color rgb="FFF8696B"/>
        <color rgb="FFFFEB84"/>
        <color rgb="FF63BE7B"/>
      </colorScale>
    </cfRule>
    <cfRule type="colorScale" priority="210">
      <colorScale>
        <cfvo type="percent" val="20"/>
        <cfvo type="percent" val="50"/>
        <cfvo type="percent" val="100"/>
        <color rgb="FFF8696B"/>
        <color rgb="FFFFEB84"/>
        <color rgb="FF63BE7B"/>
      </colorScale>
    </cfRule>
    <cfRule type="colorScale" priority="211">
      <colorScale>
        <cfvo type="min"/>
        <cfvo type="percentile" val="50"/>
        <cfvo type="max"/>
        <color rgb="FFF8696B"/>
        <color rgb="FFFFEB84"/>
        <color rgb="FF63BE7B"/>
      </colorScale>
    </cfRule>
  </conditionalFormatting>
  <conditionalFormatting sqref="F11:F13">
    <cfRule type="colorScale" priority="238">
      <colorScale>
        <cfvo type="percent" val="0"/>
        <cfvo type="percent" val="50"/>
        <cfvo type="percent" val="100"/>
        <color rgb="FFF8696B"/>
        <color rgb="FFFFEB84"/>
        <color rgb="FF63BE7B"/>
      </colorScale>
    </cfRule>
    <cfRule type="colorScale" priority="239">
      <colorScale>
        <cfvo type="percent" val="0"/>
        <cfvo type="percent" val="50"/>
        <cfvo type="percent" val="100"/>
        <color rgb="FFF8696B"/>
        <color rgb="FFFFEB84"/>
        <color rgb="FF63BE7B"/>
      </colorScale>
    </cfRule>
    <cfRule type="colorScale" priority="240">
      <colorScale>
        <cfvo type="percentile" val="10"/>
        <cfvo type="percentile" val="50"/>
        <cfvo type="percentile" val="90"/>
        <color rgb="FFF8696B"/>
        <color rgb="FFFFEB84"/>
        <color rgb="FF63BE7B"/>
      </colorScale>
    </cfRule>
    <cfRule type="colorScale" priority="241">
      <colorScale>
        <cfvo type="percent" val="0"/>
        <cfvo type="percent" val="50"/>
        <cfvo type="percent" val="100"/>
        <color rgb="FFF8696B"/>
        <color rgb="FFFFEB84"/>
        <color rgb="FF63BE7B"/>
      </colorScale>
    </cfRule>
    <cfRule type="colorScale" priority="242">
      <colorScale>
        <cfvo type="percentile" val="10"/>
        <cfvo type="percentile" val="50"/>
        <cfvo type="percentile" val="90"/>
        <color rgb="FFF8696B"/>
        <color rgb="FFFFEB84"/>
        <color rgb="FF63BE7B"/>
      </colorScale>
    </cfRule>
    <cfRule type="colorScale" priority="243">
      <colorScale>
        <cfvo type="percent" val="20"/>
        <cfvo type="percent" val="50"/>
        <cfvo type="percent" val="100"/>
        <color rgb="FFF8696B"/>
        <color rgb="FFFFEB84"/>
        <color rgb="FF63BE7B"/>
      </colorScale>
    </cfRule>
    <cfRule type="colorScale" priority="244">
      <colorScale>
        <cfvo type="min"/>
        <cfvo type="percentile" val="50"/>
        <cfvo type="max"/>
        <color rgb="FFF8696B"/>
        <color rgb="FFFFEB84"/>
        <color rgb="FF63BE7B"/>
      </colorScale>
    </cfRule>
  </conditionalFormatting>
  <conditionalFormatting sqref="F18:F20">
    <cfRule type="colorScale" priority="273">
      <colorScale>
        <cfvo type="percent" val="0"/>
        <cfvo type="percent" val="50"/>
        <cfvo type="percent" val="100"/>
        <color rgb="FFF8696B"/>
        <color rgb="FFFFEB84"/>
        <color rgb="FF63BE7B"/>
      </colorScale>
    </cfRule>
    <cfRule type="colorScale" priority="274">
      <colorScale>
        <cfvo type="percent" val="20"/>
        <cfvo type="percent" val="60"/>
        <cfvo type="percent" val="9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 val="0"/>
        <cfvo type="percent" val="50"/>
        <cfvo type="percent" val="10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0"/>
        <cfvo type="percent" val="50"/>
        <cfvo type="percent" val="100"/>
        <color rgb="FFF8696B"/>
        <color rgb="FFFFEB84"/>
        <color rgb="FF63BE7B"/>
      </colorScale>
    </cfRule>
    <cfRule type="colorScale" priority="280">
      <colorScale>
        <cfvo type="percentile" val="10"/>
        <cfvo type="percentile" val="50"/>
        <cfvo type="percentile" val="90"/>
        <color rgb="FFF8696B"/>
        <color rgb="FFFFEB84"/>
        <color rgb="FF63BE7B"/>
      </colorScale>
    </cfRule>
    <cfRule type="colorScale" priority="281">
      <colorScale>
        <cfvo type="percent" val="20"/>
        <cfvo type="percent" val="50"/>
        <cfvo type="percent" val="100"/>
        <color rgb="FFF8696B"/>
        <color rgb="FFFFEB84"/>
        <color rgb="FF63BE7B"/>
      </colorScale>
    </cfRule>
    <cfRule type="colorScale" priority="282">
      <colorScale>
        <cfvo type="min"/>
        <cfvo type="percentile" val="50"/>
        <cfvo type="max"/>
        <color rgb="FFF8696B"/>
        <color rgb="FFFFEB84"/>
        <color rgb="FF63BE7B"/>
      </colorScale>
    </cfRule>
  </conditionalFormatting>
  <conditionalFormatting sqref="L4:L6">
    <cfRule type="colorScale" priority="219">
      <colorScale>
        <cfvo type="percent" val="0"/>
        <cfvo type="percent" val="50"/>
        <cfvo type="percent" val="100"/>
        <color rgb="FFF8696B"/>
        <color rgb="FFFFEB84"/>
        <color rgb="FF63BE7B"/>
      </colorScale>
    </cfRule>
  </conditionalFormatting>
  <conditionalFormatting sqref="L11:L13 N11:N13">
    <cfRule type="colorScale" priority="252">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onditionalFormatting>
  <conditionalFormatting sqref="L18:L20">
    <cfRule type="colorScale" priority="293">
      <colorScale>
        <cfvo type="percent" val="0"/>
        <cfvo type="percent" val="50"/>
        <cfvo type="percent" val="100"/>
        <color rgb="FFF8696B"/>
        <color rgb="FFFFEB84"/>
        <color rgb="FF63BE7B"/>
      </colorScale>
    </cfRule>
  </conditionalFormatting>
  <conditionalFormatting sqref="L4:N6">
    <cfRule type="colorScale" priority="235">
      <colorScale>
        <cfvo type="percent" val="0"/>
        <cfvo type="percent" val="50"/>
        <cfvo type="percent" val="100"/>
        <color rgb="FFF8696B"/>
        <color rgb="FFFFEB84"/>
        <color rgb="FF63BE7B"/>
      </colorScale>
    </cfRule>
  </conditionalFormatting>
  <conditionalFormatting sqref="L11:N13">
    <cfRule type="colorScale" priority="270">
      <colorScale>
        <cfvo type="percent" val="0"/>
        <cfvo type="percentile" val="50"/>
        <cfvo type="percent" val="100"/>
        <color rgb="FFF8696B"/>
        <color rgb="FFFFEB84"/>
        <color rgb="FF63BE7B"/>
      </colorScale>
    </cfRule>
  </conditionalFormatting>
  <conditionalFormatting sqref="L18:N20">
    <cfRule type="colorScale" priority="309">
      <colorScale>
        <cfvo type="percent" val="0"/>
        <cfvo type="percent" val="50"/>
        <cfvo type="percent" val="100"/>
        <color rgb="FFF8696B"/>
        <color rgb="FFFFEB84"/>
        <color rgb="FF63BE7B"/>
      </colorScale>
    </cfRule>
  </conditionalFormatting>
  <conditionalFormatting sqref="M4:M6">
    <cfRule type="colorScale" priority="223">
      <colorScale>
        <cfvo type="percent" val="0"/>
        <cfvo type="percent" val="50"/>
        <cfvo type="percent" val="100"/>
        <color rgb="FFF8696B"/>
        <color rgb="FFFFEB84"/>
        <color rgb="FF63BE7B"/>
      </colorScale>
    </cfRule>
    <cfRule type="colorScale" priority="224">
      <colorScale>
        <cfvo type="percent" val="0"/>
        <cfvo type="percent" val="50"/>
        <cfvo type="percent" val="100"/>
        <color rgb="FFF8696B"/>
        <color rgb="FFFFEB84"/>
        <color rgb="FF63BE7B"/>
      </colorScale>
    </cfRule>
  </conditionalFormatting>
  <conditionalFormatting sqref="M11:M13">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M18:M20">
    <cfRule type="colorScale" priority="297">
      <colorScale>
        <cfvo type="percent" val="0"/>
        <cfvo type="percent" val="50"/>
        <cfvo type="percent" val="100"/>
        <color rgb="FFF8696B"/>
        <color rgb="FFFFEB84"/>
        <color rgb="FF63BE7B"/>
      </colorScale>
    </cfRule>
    <cfRule type="colorScale" priority="298">
      <colorScale>
        <cfvo type="percent" val="0"/>
        <cfvo type="percent" val="50"/>
        <cfvo type="percent" val="100"/>
        <color rgb="FFF8696B"/>
        <color rgb="FFFFEB84"/>
        <color rgb="FF63BE7B"/>
      </colorScale>
    </cfRule>
  </conditionalFormatting>
  <conditionalFormatting sqref="N4:N6">
    <cfRule type="colorScale" priority="229">
      <colorScale>
        <cfvo type="percent" val="0"/>
        <cfvo type="percent" val="50"/>
        <cfvo type="percent" val="100"/>
        <color rgb="FFF8696B"/>
        <color rgb="FFFFEB84"/>
        <color rgb="FF63BE7B"/>
      </colorScale>
    </cfRule>
    <cfRule type="colorScale" priority="230">
      <colorScale>
        <cfvo type="percent" val="0"/>
        <cfvo type="percent" val="50"/>
        <cfvo type="percent" val="100"/>
        <color rgb="FFF8696B"/>
        <color rgb="FFFFEB84"/>
        <color rgb="FF63BE7B"/>
      </colorScale>
    </cfRule>
  </conditionalFormatting>
  <conditionalFormatting sqref="N18:N20">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T4:T6">
    <cfRule type="colorScale" priority="221">
      <colorScale>
        <cfvo type="percent" val="0"/>
        <cfvo type="percent" val="50"/>
        <cfvo type="percent" val="100"/>
        <color rgb="FFF8696B"/>
        <color rgb="FFFFEB84"/>
        <color rgb="FF63BE7B"/>
      </colorScale>
    </cfRule>
  </conditionalFormatting>
  <conditionalFormatting sqref="T11:T13 V11:V13">
    <cfRule type="colorScale" priority="260">
      <colorScale>
        <cfvo type="percent" val="0"/>
        <cfvo type="percent" val="50"/>
        <cfvo type="percent" val="100"/>
        <color rgb="FFF8696B"/>
        <color rgb="FFFFEB84"/>
        <color rgb="FF63BE7B"/>
      </colorScale>
    </cfRule>
  </conditionalFormatting>
  <conditionalFormatting sqref="T18:T20">
    <cfRule type="colorScale" priority="295">
      <colorScale>
        <cfvo type="percent" val="0"/>
        <cfvo type="percent" val="50"/>
        <cfvo type="percent" val="100"/>
        <color rgb="FFF8696B"/>
        <color rgb="FFFFEB84"/>
        <color rgb="FF63BE7B"/>
      </colorScale>
    </cfRule>
  </conditionalFormatting>
  <conditionalFormatting sqref="T4:V6">
    <cfRule type="colorScale" priority="237">
      <colorScale>
        <cfvo type="percent" val="0"/>
        <cfvo type="percent" val="50"/>
        <cfvo type="percent" val="100"/>
        <color rgb="FFF8696B"/>
        <color rgb="FFFFEB84"/>
        <color rgb="FF63BE7B"/>
      </colorScale>
    </cfRule>
  </conditionalFormatting>
  <conditionalFormatting sqref="T11:V13">
    <cfRule type="colorScale" priority="272">
      <colorScale>
        <cfvo type="percent" val="0"/>
        <cfvo type="percent" val="50"/>
        <cfvo type="percent" val="100"/>
        <color rgb="FFF8696B"/>
        <color rgb="FFFFEB84"/>
        <color rgb="FF63BE7B"/>
      </colorScale>
    </cfRule>
  </conditionalFormatting>
  <conditionalFormatting sqref="T18:V20">
    <cfRule type="colorScale" priority="311">
      <colorScale>
        <cfvo type="percent" val="0"/>
        <cfvo type="percent" val="50"/>
        <cfvo type="percent" val="100"/>
        <color rgb="FFF8696B"/>
        <color rgb="FFFFEB84"/>
        <color rgb="FF63BE7B"/>
      </colorScale>
    </cfRule>
  </conditionalFormatting>
  <conditionalFormatting sqref="U4:U6">
    <cfRule type="colorScale" priority="227">
      <colorScale>
        <cfvo type="percent" val="0"/>
        <cfvo type="percent" val="50"/>
        <cfvo type="percent" val="100"/>
        <color rgb="FFF8696B"/>
        <color rgb="FFFFEB84"/>
        <color rgb="FF63BE7B"/>
      </colorScale>
    </cfRule>
  </conditionalFormatting>
  <conditionalFormatting sqref="U11:U13">
    <cfRule type="colorScale" priority="264">
      <colorScale>
        <cfvo type="percent" val="0"/>
        <cfvo type="percent" val="50"/>
        <cfvo type="percent" val="100"/>
        <color rgb="FFF8696B"/>
        <color rgb="FFFFEB84"/>
        <color rgb="FF63BE7B"/>
      </colorScale>
    </cfRule>
  </conditionalFormatting>
  <conditionalFormatting sqref="U18:U20">
    <cfRule type="colorScale" priority="301">
      <colorScale>
        <cfvo type="percent" val="0"/>
        <cfvo type="percent" val="50"/>
        <cfvo type="percent" val="100"/>
        <color rgb="FFF8696B"/>
        <color rgb="FFFFEB84"/>
        <color rgb="FF63BE7B"/>
      </colorScale>
    </cfRule>
  </conditionalFormatting>
  <conditionalFormatting sqref="V4:V6">
    <cfRule type="colorScale" priority="233">
      <colorScale>
        <cfvo type="percent" val="0"/>
        <cfvo type="percent" val="50"/>
        <cfvo type="percent" val="100"/>
        <color rgb="FFF8696B"/>
        <color rgb="FFFFEB84"/>
        <color rgb="FF63BE7B"/>
      </colorScale>
    </cfRule>
  </conditionalFormatting>
  <conditionalFormatting sqref="V18:V20">
    <cfRule type="colorScale" priority="307">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25"/>
  <sheetViews>
    <sheetView workbookViewId="0">
      <pane ySplit="2" topLeftCell="A14" activePane="bottomLeft" state="frozen"/>
      <selection pane="bottomLeft" activeCell="C40" sqref="C40"/>
    </sheetView>
  </sheetViews>
  <sheetFormatPr defaultRowHeight="15" x14ac:dyDescent="0.25"/>
  <cols>
    <col min="1" max="1" width="16.85546875" bestFit="1" customWidth="1"/>
    <col min="2" max="2" width="57.42578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55" t="s">
        <v>445</v>
      </c>
      <c r="B1" s="656"/>
      <c r="C1" s="656"/>
      <c r="D1" s="656"/>
      <c r="E1" s="656"/>
      <c r="F1" s="656"/>
      <c r="G1" s="656"/>
      <c r="H1" s="656"/>
      <c r="I1" s="657"/>
    </row>
    <row r="2" spans="1:9" s="79" customFormat="1" ht="15.75" thickBot="1" x14ac:dyDescent="0.3">
      <c r="A2" s="404" t="s">
        <v>77</v>
      </c>
      <c r="B2" s="405" t="s">
        <v>81</v>
      </c>
      <c r="C2" s="406" t="s">
        <v>96</v>
      </c>
      <c r="D2" s="406" t="s">
        <v>202</v>
      </c>
      <c r="E2" s="407" t="s">
        <v>1</v>
      </c>
    </row>
    <row r="3" spans="1:9" ht="15.75" thickBot="1" x14ac:dyDescent="0.3">
      <c r="A3" s="333" t="str">
        <f>'Diags Raw Data'!A6</f>
        <v>KRK1-USB4-001</v>
      </c>
      <c r="B3" s="334" t="str">
        <f>'Diags Raw Data'!B6</f>
        <v>SB Register Access</v>
      </c>
      <c r="C3" s="528" t="str">
        <f>'Diags Raw Data'!G6</f>
        <v>P1</v>
      </c>
      <c r="D3" s="528" t="s">
        <v>34</v>
      </c>
      <c r="E3" s="529" t="s">
        <v>33</v>
      </c>
      <c r="G3" s="290" t="s">
        <v>77</v>
      </c>
      <c r="H3" s="291" t="s">
        <v>446</v>
      </c>
      <c r="I3" s="524">
        <f>COUNTA(A3:A4024)</f>
        <v>42</v>
      </c>
    </row>
    <row r="4" spans="1:9" ht="15.75" thickBot="1" x14ac:dyDescent="0.3">
      <c r="A4" s="333" t="str">
        <f>'Diags Raw Data'!A7</f>
        <v>KRK1-USB4-002</v>
      </c>
      <c r="B4" s="334" t="str">
        <f>'Diags Raw Data'!B7</f>
        <v xml:space="preserve">Sideband Transactions </v>
      </c>
      <c r="C4" s="528" t="str">
        <f>'Diags Raw Data'!G7</f>
        <v>P1</v>
      </c>
      <c r="D4" s="528" t="s">
        <v>34</v>
      </c>
      <c r="E4" s="529" t="s">
        <v>33</v>
      </c>
      <c r="G4" s="647" t="s">
        <v>96</v>
      </c>
      <c r="H4" s="292" t="s">
        <v>447</v>
      </c>
      <c r="I4" s="525">
        <f>COUNTIFS($C3:$C4024,"P1")</f>
        <v>5</v>
      </c>
    </row>
    <row r="5" spans="1:9" ht="15.75" thickBot="1" x14ac:dyDescent="0.3">
      <c r="A5" s="333" t="str">
        <f>'Diags Raw Data'!A8</f>
        <v>KRK1-USB4-003</v>
      </c>
      <c r="B5" s="334" t="str">
        <f>'Diags Raw Data'!B8</f>
        <v>RS-FEC Activation and Deactivation</v>
      </c>
      <c r="C5" s="528" t="str">
        <f>'Diags Raw Data'!G8</f>
        <v>P2</v>
      </c>
      <c r="D5" s="528" t="s">
        <v>34</v>
      </c>
      <c r="E5" s="529" t="s">
        <v>33</v>
      </c>
      <c r="G5" s="648"/>
      <c r="H5" s="293" t="s">
        <v>448</v>
      </c>
      <c r="I5" s="526">
        <f>COUNTIFS($C3:$C4024,"P2")</f>
        <v>12</v>
      </c>
    </row>
    <row r="6" spans="1:9" ht="15.75" thickBot="1" x14ac:dyDescent="0.3">
      <c r="A6" s="333" t="str">
        <f>'Diags Raw Data'!A9</f>
        <v>KRK1-USB4-004</v>
      </c>
      <c r="B6" s="334" t="str">
        <f>'Diags Raw Data'!B9</f>
        <v>Entry to Sleep</v>
      </c>
      <c r="C6" s="528" t="str">
        <f>'Diags Raw Data'!G9</f>
        <v>P2</v>
      </c>
      <c r="D6" s="528" t="s">
        <v>34</v>
      </c>
      <c r="E6" s="529" t="s">
        <v>33</v>
      </c>
      <c r="G6" s="649"/>
      <c r="H6" s="294" t="s">
        <v>449</v>
      </c>
      <c r="I6" s="527">
        <f>COUNTIFS($C3:$C4024,"P3")</f>
        <v>25</v>
      </c>
    </row>
    <row r="7" spans="1:9" ht="15.75" thickBot="1" x14ac:dyDescent="0.3">
      <c r="A7" s="333" t="str">
        <f>'Diags Raw Data'!A10</f>
        <v>KRK1-USB4-005</v>
      </c>
      <c r="B7" s="334" t="str">
        <f>'Diags Raw Data'!B10</f>
        <v xml:space="preserve">Behavior in Sleep State </v>
      </c>
      <c r="C7" s="528" t="str">
        <f>'Diags Raw Data'!G10</f>
        <v>P2</v>
      </c>
      <c r="D7" s="528" t="s">
        <v>34</v>
      </c>
      <c r="E7" s="529" t="s">
        <v>33</v>
      </c>
      <c r="G7" s="650" t="s">
        <v>202</v>
      </c>
      <c r="H7" s="292" t="s">
        <v>450</v>
      </c>
      <c r="I7" s="525">
        <f>COUNTIFS($D3:$D4024,"Diagnostics")</f>
        <v>42</v>
      </c>
    </row>
    <row r="8" spans="1:9" ht="15.75" thickBot="1" x14ac:dyDescent="0.3">
      <c r="A8" s="333" t="str">
        <f>'Diags Raw Data'!A11</f>
        <v>KRK1-USB4-006</v>
      </c>
      <c r="B8" s="334" t="str">
        <f>'Diags Raw Data'!B11</f>
        <v xml:space="preserve">Wake Events </v>
      </c>
      <c r="C8" s="528" t="str">
        <f>'Diags Raw Data'!G11</f>
        <v>P2</v>
      </c>
      <c r="D8" s="528" t="s">
        <v>34</v>
      </c>
      <c r="E8" s="529" t="s">
        <v>33</v>
      </c>
      <c r="G8" s="651"/>
      <c r="H8" s="293" t="s">
        <v>451</v>
      </c>
      <c r="I8" s="526">
        <f>COUNTIFS($D3:$D4024,"Driver")</f>
        <v>0</v>
      </c>
    </row>
    <row r="9" spans="1:9" ht="15.75" thickBot="1" x14ac:dyDescent="0.3">
      <c r="A9" s="333" t="str">
        <f>'Diags Raw Data'!A12</f>
        <v>KRK1-USB4-007</v>
      </c>
      <c r="B9" s="334" t="str">
        <f>'Diags Raw Data'!B12</f>
        <v>Exit from Sleep</v>
      </c>
      <c r="C9" s="528" t="str">
        <f>'Diags Raw Data'!G12</f>
        <v>P2</v>
      </c>
      <c r="D9" s="528" t="s">
        <v>34</v>
      </c>
      <c r="E9" s="529" t="s">
        <v>33</v>
      </c>
      <c r="G9" s="651"/>
      <c r="H9" s="293" t="s">
        <v>452</v>
      </c>
      <c r="I9" s="526">
        <f>COUNTIFS($D3:$D4024,"IPSE")</f>
        <v>0</v>
      </c>
    </row>
    <row r="10" spans="1:9" ht="15.75" thickBot="1" x14ac:dyDescent="0.3">
      <c r="A10" s="333" t="str">
        <f>'Diags Raw Data'!A13</f>
        <v>KRK1-USB4-008</v>
      </c>
      <c r="B10" s="334" t="str">
        <f>'Diags Raw Data'!B13</f>
        <v>Router Configuration Space</v>
      </c>
      <c r="C10" s="528" t="str">
        <f>'Diags Raw Data'!G13</f>
        <v>P1</v>
      </c>
      <c r="D10" s="528" t="s">
        <v>34</v>
      </c>
      <c r="E10" s="529" t="s">
        <v>33</v>
      </c>
      <c r="G10" s="652"/>
      <c r="H10" s="294" t="s">
        <v>453</v>
      </c>
      <c r="I10" s="527">
        <f>COUNTIFS($D3:$D4024,"N/A")</f>
        <v>0</v>
      </c>
    </row>
    <row r="11" spans="1:9" ht="15.75" thickBot="1" x14ac:dyDescent="0.3">
      <c r="A11" s="333" t="str">
        <f>'Diags Raw Data'!A14</f>
        <v>KRK1-USB4-009</v>
      </c>
      <c r="B11" s="334" t="str">
        <f>'Diags Raw Data'!B14</f>
        <v>Adapter Configuration Space</v>
      </c>
      <c r="C11" s="528" t="str">
        <f>'Diags Raw Data'!G14</f>
        <v>P1</v>
      </c>
      <c r="D11" s="528" t="s">
        <v>34</v>
      </c>
      <c r="E11" s="529" t="s">
        <v>33</v>
      </c>
      <c r="G11" s="650" t="s">
        <v>1</v>
      </c>
      <c r="H11" s="292" t="s">
        <v>454</v>
      </c>
      <c r="I11" s="525">
        <f>COUNTIFS($E3:$E4024,"Legacy")</f>
        <v>42</v>
      </c>
    </row>
    <row r="12" spans="1:9" ht="15.75" thickBot="1" x14ac:dyDescent="0.3">
      <c r="A12" s="333" t="str">
        <f>'Diags Raw Data'!A15</f>
        <v>KRK1-USB4-010</v>
      </c>
      <c r="B12" s="334" t="str">
        <f>'Diags Raw Data'!B15</f>
        <v>Path Configuration Space</v>
      </c>
      <c r="C12" s="528" t="str">
        <f>'Diags Raw Data'!G15</f>
        <v>P1</v>
      </c>
      <c r="D12" s="528" t="s">
        <v>34</v>
      </c>
      <c r="E12" s="529" t="s">
        <v>33</v>
      </c>
      <c r="G12" s="651"/>
      <c r="H12" s="293" t="s">
        <v>455</v>
      </c>
      <c r="I12" s="526">
        <f>COUNTIFS($E3:$E4024,"Delta")</f>
        <v>0</v>
      </c>
    </row>
    <row r="13" spans="1:9" ht="15.75" thickBot="1" x14ac:dyDescent="0.3">
      <c r="A13" s="333" t="str">
        <f>'Diags Raw Data'!A16</f>
        <v>KRK1-USB4-011</v>
      </c>
      <c r="B13" s="334" t="str">
        <f>'Diags Raw Data'!B16</f>
        <v>USB4 Host interface test</v>
      </c>
      <c r="C13" s="528" t="str">
        <f>'Diags Raw Data'!G16</f>
        <v>P2</v>
      </c>
      <c r="D13" s="528" t="s">
        <v>34</v>
      </c>
      <c r="E13" s="529" t="s">
        <v>33</v>
      </c>
      <c r="G13" s="652"/>
      <c r="H13" s="294" t="s">
        <v>456</v>
      </c>
      <c r="I13" s="527">
        <f>COUNTIFS($E3:$E4024,"New")</f>
        <v>0</v>
      </c>
    </row>
    <row r="14" spans="1:9" ht="15.75" thickBot="1" x14ac:dyDescent="0.3">
      <c r="A14" s="333" t="str">
        <f>'Diags Raw Data'!A17</f>
        <v>KRK1-USB4-012</v>
      </c>
      <c r="B14" s="334" t="str">
        <f>'Diags Raw Data'!B17</f>
        <v>Type-C Flip Test</v>
      </c>
      <c r="C14" s="528" t="str">
        <f>'Diags Raw Data'!G17</f>
        <v>P2</v>
      </c>
      <c r="D14" s="528" t="s">
        <v>34</v>
      </c>
      <c r="E14" s="529" t="s">
        <v>33</v>
      </c>
      <c r="G14" s="408" t="s">
        <v>207</v>
      </c>
      <c r="H14" s="653"/>
      <c r="I14" s="654"/>
    </row>
    <row r="15" spans="1:9" ht="15.75" thickBot="1" x14ac:dyDescent="0.3">
      <c r="A15" s="333" t="str">
        <f>'Diags Raw Data'!A18</f>
        <v>KRK1-USB4-013</v>
      </c>
      <c r="B15" s="334" t="str">
        <f>'Diags Raw Data'!B18</f>
        <v>USB4 Enumeration and Tunneling performance</v>
      </c>
      <c r="C15" s="528" t="str">
        <f>'Diags Raw Data'!G18</f>
        <v>P2</v>
      </c>
      <c r="D15" s="528" t="s">
        <v>34</v>
      </c>
      <c r="E15" s="529" t="s">
        <v>33</v>
      </c>
    </row>
    <row r="16" spans="1:9" ht="15.75" thickBot="1" x14ac:dyDescent="0.3">
      <c r="A16" s="333" t="str">
        <f>'Diags Raw Data'!A19</f>
        <v>KRK1-USB4-014</v>
      </c>
      <c r="B16" s="334" t="str">
        <f>'Diags Raw Data'!B19</f>
        <v>USB4 Gen3 and Gen2 - Single lane and dual lane operation</v>
      </c>
      <c r="C16" s="528" t="str">
        <f>'Diags Raw Data'!G19</f>
        <v>P2</v>
      </c>
      <c r="D16" s="528" t="s">
        <v>34</v>
      </c>
      <c r="E16" s="529" t="s">
        <v>33</v>
      </c>
    </row>
    <row r="17" spans="1:5" ht="15.75" thickBot="1" x14ac:dyDescent="0.3">
      <c r="A17" s="333" t="str">
        <f>'Diags Raw Data'!A20</f>
        <v>KRK1-USB4-015</v>
      </c>
      <c r="B17" s="334" t="str">
        <f>'Diags Raw Data'!B20</f>
        <v>USB4 Alt Modes for Thunderbolt and Display</v>
      </c>
      <c r="C17" s="528" t="str">
        <f>'Diags Raw Data'!G20</f>
        <v>P2</v>
      </c>
      <c r="D17" s="528" t="s">
        <v>34</v>
      </c>
      <c r="E17" s="529" t="s">
        <v>33</v>
      </c>
    </row>
    <row r="18" spans="1:5" ht="15.75" thickBot="1" x14ac:dyDescent="0.3">
      <c r="A18" s="333" t="str">
        <f>'Diags Raw Data'!A21</f>
        <v>KRK1-USB4-016</v>
      </c>
      <c r="B18" s="334" t="str">
        <f>'Diags Raw Data'!B21</f>
        <v>USB4 PHY tests</v>
      </c>
      <c r="C18" s="528" t="str">
        <f>'Diags Raw Data'!G21</f>
        <v>P2</v>
      </c>
      <c r="D18" s="528" t="s">
        <v>34</v>
      </c>
      <c r="E18" s="529" t="s">
        <v>33</v>
      </c>
    </row>
    <row r="19" spans="1:5" ht="15.75" thickBot="1" x14ac:dyDescent="0.3">
      <c r="A19" s="333" t="str">
        <f>'Diags Raw Data'!A22</f>
        <v>KRK1-USB4-017</v>
      </c>
      <c r="B19" s="334" t="str">
        <f>'Diags Raw Data'!B22</f>
        <v>USB4 Host to Host tunneling</v>
      </c>
      <c r="C19" s="528" t="str">
        <f>'Diags Raw Data'!G22</f>
        <v>P2</v>
      </c>
      <c r="D19" s="528" t="s">
        <v>34</v>
      </c>
      <c r="E19" s="529" t="s">
        <v>33</v>
      </c>
    </row>
    <row r="20" spans="1:5" ht="15.75" thickBot="1" x14ac:dyDescent="0.3">
      <c r="A20" s="333" t="str">
        <f>'Diags Raw Data'!A23</f>
        <v>KRK1-USB-001</v>
      </c>
      <c r="B20" s="334" t="str">
        <f>'Diags Raw Data'!B23</f>
        <v xml:space="preserve">XHCI Register interface </v>
      </c>
      <c r="C20" s="528" t="str">
        <f>'Diags Raw Data'!G23</f>
        <v>P3</v>
      </c>
      <c r="D20" s="528" t="s">
        <v>34</v>
      </c>
      <c r="E20" s="529" t="s">
        <v>33</v>
      </c>
    </row>
    <row r="21" spans="1:5" ht="15.75" thickBot="1" x14ac:dyDescent="0.3">
      <c r="A21" s="333" t="str">
        <f>'Diags Raw Data'!A24</f>
        <v>KRK1-USB-002</v>
      </c>
      <c r="B21" s="334" t="str">
        <f>'Diags Raw Data'!B24</f>
        <v>USB1.1 Low speed device enumeration</v>
      </c>
      <c r="C21" s="528" t="str">
        <f>'Diags Raw Data'!G24</f>
        <v>P3</v>
      </c>
      <c r="D21" s="528" t="s">
        <v>34</v>
      </c>
      <c r="E21" s="529" t="s">
        <v>33</v>
      </c>
    </row>
    <row r="22" spans="1:5" ht="15.75" thickBot="1" x14ac:dyDescent="0.3">
      <c r="A22" s="333" t="str">
        <f>'Diags Raw Data'!A25</f>
        <v>KRK1-USB-003</v>
      </c>
      <c r="B22" s="334" t="str">
        <f>'Diags Raw Data'!B25</f>
        <v>USB1.1 Full speed device enumeration</v>
      </c>
      <c r="C22" s="528" t="str">
        <f>'Diags Raw Data'!G25</f>
        <v>P3</v>
      </c>
      <c r="D22" s="528" t="s">
        <v>34</v>
      </c>
      <c r="E22" s="529" t="s">
        <v>33</v>
      </c>
    </row>
    <row r="23" spans="1:5" ht="15.75" thickBot="1" x14ac:dyDescent="0.3">
      <c r="A23" s="333" t="str">
        <f>'Diags Raw Data'!A26</f>
        <v>KRK1-USB-004</v>
      </c>
      <c r="B23" s="334" t="str">
        <f>'Diags Raw Data'!B26</f>
        <v xml:space="preserve">USB1.1 Full speed bulk stress </v>
      </c>
      <c r="C23" s="528" t="str">
        <f>'Diags Raw Data'!G26</f>
        <v>P3</v>
      </c>
      <c r="D23" s="528" t="s">
        <v>34</v>
      </c>
      <c r="E23" s="529" t="s">
        <v>33</v>
      </c>
    </row>
    <row r="24" spans="1:5" ht="15.75" thickBot="1" x14ac:dyDescent="0.3">
      <c r="A24" s="333" t="str">
        <f>'Diags Raw Data'!A27</f>
        <v>KRK1-USB-005</v>
      </c>
      <c r="B24" s="334" t="str">
        <f>'Diags Raw Data'!B27</f>
        <v>USB1.1 Full speed interrupt stress</v>
      </c>
      <c r="C24" s="528" t="str">
        <f>'Diags Raw Data'!G27</f>
        <v>P3</v>
      </c>
      <c r="D24" s="528" t="s">
        <v>34</v>
      </c>
      <c r="E24" s="529" t="s">
        <v>33</v>
      </c>
    </row>
    <row r="25" spans="1:5" ht="15.75" thickBot="1" x14ac:dyDescent="0.3">
      <c r="A25" s="333" t="str">
        <f>'Diags Raw Data'!A28</f>
        <v>KRK1-USB-006</v>
      </c>
      <c r="B25" s="334" t="str">
        <f>'Diags Raw Data'!B28</f>
        <v>USB1.1 Full speed isoch stress</v>
      </c>
      <c r="C25" s="528" t="str">
        <f>'Diags Raw Data'!G28</f>
        <v>P3</v>
      </c>
      <c r="D25" s="528" t="s">
        <v>34</v>
      </c>
      <c r="E25" s="529" t="s">
        <v>33</v>
      </c>
    </row>
    <row r="26" spans="1:5" ht="15.75" thickBot="1" x14ac:dyDescent="0.3">
      <c r="A26" s="333" t="str">
        <f>'Diags Raw Data'!A29</f>
        <v>KRK1-USB-007</v>
      </c>
      <c r="B26" s="334" t="str">
        <f>'Diags Raw Data'!B29</f>
        <v>USB2.0 High speed device enumeration</v>
      </c>
      <c r="C26" s="528" t="str">
        <f>'Diags Raw Data'!G29</f>
        <v>P3</v>
      </c>
      <c r="D26" s="528" t="s">
        <v>34</v>
      </c>
      <c r="E26" s="529" t="s">
        <v>33</v>
      </c>
    </row>
    <row r="27" spans="1:5" ht="15.75" thickBot="1" x14ac:dyDescent="0.3">
      <c r="A27" s="333" t="str">
        <f>'Diags Raw Data'!A30</f>
        <v>KRK1-USB-008</v>
      </c>
      <c r="B27" s="334" t="str">
        <f>'Diags Raw Data'!B30</f>
        <v>USB2.0 High speed bulk stress</v>
      </c>
      <c r="C27" s="528" t="str">
        <f>'Diags Raw Data'!G30</f>
        <v>P3</v>
      </c>
      <c r="D27" s="528" t="s">
        <v>34</v>
      </c>
      <c r="E27" s="529" t="s">
        <v>33</v>
      </c>
    </row>
    <row r="28" spans="1:5" ht="15.75" thickBot="1" x14ac:dyDescent="0.3">
      <c r="A28" s="333" t="str">
        <f>'Diags Raw Data'!A31</f>
        <v>KRK1-USB-009</v>
      </c>
      <c r="B28" s="334" t="str">
        <f>'Diags Raw Data'!B31</f>
        <v>USB2.0 High speed interrupt stress</v>
      </c>
      <c r="C28" s="528" t="str">
        <f>'Diags Raw Data'!G31</f>
        <v>P3</v>
      </c>
      <c r="D28" s="528" t="s">
        <v>34</v>
      </c>
      <c r="E28" s="529" t="s">
        <v>33</v>
      </c>
    </row>
    <row r="29" spans="1:5" ht="15.75" thickBot="1" x14ac:dyDescent="0.3">
      <c r="A29" s="333" t="str">
        <f>'Diags Raw Data'!A32</f>
        <v>KRK1-USB-010</v>
      </c>
      <c r="B29" s="334" t="str">
        <f>'Diags Raw Data'!B32</f>
        <v>USB2.0 High speed isoch stress</v>
      </c>
      <c r="C29" s="528" t="str">
        <f>'Diags Raw Data'!G32</f>
        <v>P3</v>
      </c>
      <c r="D29" s="528" t="s">
        <v>34</v>
      </c>
      <c r="E29" s="529" t="s">
        <v>33</v>
      </c>
    </row>
    <row r="30" spans="1:5" ht="15.75" thickBot="1" x14ac:dyDescent="0.3">
      <c r="A30" s="333" t="str">
        <f>'Diags Raw Data'!A33</f>
        <v>KRK1-USB-011</v>
      </c>
      <c r="B30" s="334" t="str">
        <f>'Diags Raw Data'!B33</f>
        <v>USB3.2 Gen 1 (Superspeed) device enumeration</v>
      </c>
      <c r="C30" s="528" t="str">
        <f>'Diags Raw Data'!G33</f>
        <v>P3</v>
      </c>
      <c r="D30" s="528" t="s">
        <v>34</v>
      </c>
      <c r="E30" s="529" t="s">
        <v>33</v>
      </c>
    </row>
    <row r="31" spans="1:5" ht="15.75" thickBot="1" x14ac:dyDescent="0.3">
      <c r="A31" s="333" t="str">
        <f>'Diags Raw Data'!A34</f>
        <v>KRK1-USB-012</v>
      </c>
      <c r="B31" s="334" t="str">
        <f>'Diags Raw Data'!B34</f>
        <v>USB3.2 Gen 1 (Superspeed) Bulk stress</v>
      </c>
      <c r="C31" s="528" t="str">
        <f>'Diags Raw Data'!G34</f>
        <v>P3</v>
      </c>
      <c r="D31" s="528" t="s">
        <v>34</v>
      </c>
      <c r="E31" s="529" t="s">
        <v>33</v>
      </c>
    </row>
    <row r="32" spans="1:5" ht="15.75" thickBot="1" x14ac:dyDescent="0.3">
      <c r="A32" s="333" t="str">
        <f>'Diags Raw Data'!A35</f>
        <v>KRK1-USB-013</v>
      </c>
      <c r="B32" s="334" t="str">
        <f>'Diags Raw Data'!B35</f>
        <v>USB3.2 Gen 1 (Superspeed) Interrupt stress</v>
      </c>
      <c r="C32" s="528" t="str">
        <f>'Diags Raw Data'!G35</f>
        <v>P3</v>
      </c>
      <c r="D32" s="528" t="s">
        <v>34</v>
      </c>
      <c r="E32" s="529" t="s">
        <v>33</v>
      </c>
    </row>
    <row r="33" spans="1:5" ht="15.75" thickBot="1" x14ac:dyDescent="0.3">
      <c r="A33" s="333" t="str">
        <f>'Diags Raw Data'!A36</f>
        <v>KRK1-USB-014</v>
      </c>
      <c r="B33" s="334" t="str">
        <f>'Diags Raw Data'!B36</f>
        <v>USB3.2 Gen 1 (Superspeed) Isoch stress</v>
      </c>
      <c r="C33" s="528" t="str">
        <f>'Diags Raw Data'!G36</f>
        <v>P3</v>
      </c>
      <c r="D33" s="528" t="s">
        <v>34</v>
      </c>
      <c r="E33" s="529" t="s">
        <v>33</v>
      </c>
    </row>
    <row r="34" spans="1:5" ht="15.75" thickBot="1" x14ac:dyDescent="0.3">
      <c r="A34" s="333" t="str">
        <f>'Diags Raw Data'!A37</f>
        <v>KRK1-USB-015</v>
      </c>
      <c r="B34" s="334" t="str">
        <f>'Diags Raw Data'!B37</f>
        <v>USB3.2 Gen 2 (Superspeed plus) Bulk stress</v>
      </c>
      <c r="C34" s="528" t="str">
        <f>'Diags Raw Data'!G37</f>
        <v>P3</v>
      </c>
      <c r="D34" s="528" t="s">
        <v>34</v>
      </c>
      <c r="E34" s="529" t="s">
        <v>33</v>
      </c>
    </row>
    <row r="35" spans="1:5" ht="15.75" thickBot="1" x14ac:dyDescent="0.3">
      <c r="A35" s="333" t="str">
        <f>'Diags Raw Data'!A38</f>
        <v>KRK1-USB-016</v>
      </c>
      <c r="B35" s="334" t="str">
        <f>'Diags Raw Data'!B38</f>
        <v>USB3.2 Gen 2 (Superspeed plus) Interrupt stress</v>
      </c>
      <c r="C35" s="528" t="str">
        <f>'Diags Raw Data'!G38</f>
        <v>P3</v>
      </c>
      <c r="D35" s="528" t="s">
        <v>34</v>
      </c>
      <c r="E35" s="529" t="s">
        <v>33</v>
      </c>
    </row>
    <row r="36" spans="1:5" ht="15.75" thickBot="1" x14ac:dyDescent="0.3">
      <c r="A36" s="333" t="str">
        <f>'Diags Raw Data'!A39</f>
        <v>KRK1-USB-017</v>
      </c>
      <c r="B36" s="334" t="str">
        <f>'Diags Raw Data'!B39</f>
        <v>USB3.2 Gen 2 (Superspeed plus) Isoch stress</v>
      </c>
      <c r="C36" s="528" t="str">
        <f>'Diags Raw Data'!G39</f>
        <v>P3</v>
      </c>
      <c r="D36" s="528" t="s">
        <v>34</v>
      </c>
      <c r="E36" s="529" t="s">
        <v>33</v>
      </c>
    </row>
    <row r="37" spans="1:5" ht="15.75" thickBot="1" x14ac:dyDescent="0.3">
      <c r="A37" s="333" t="str">
        <f>'Diags Raw Data'!A40</f>
        <v>KRK1-USB-020</v>
      </c>
      <c r="B37" s="334" t="str">
        <f>'Diags Raw Data'!B40</f>
        <v>Support Larger Service Interval</v>
      </c>
      <c r="C37" s="528" t="str">
        <f>'Diags Raw Data'!G40</f>
        <v>P3</v>
      </c>
      <c r="D37" s="528" t="s">
        <v>34</v>
      </c>
      <c r="E37" s="529" t="s">
        <v>33</v>
      </c>
    </row>
    <row r="38" spans="1:5" ht="15.75" thickBot="1" x14ac:dyDescent="0.3">
      <c r="A38" s="333" t="str">
        <f>'Diags Raw Data'!A41</f>
        <v>KRK1-USB-022</v>
      </c>
      <c r="B38" s="334" t="str">
        <f>'Diags Raw Data'!B41</f>
        <v>Concurrent Transfer Robustness : High speed bulk devices</v>
      </c>
      <c r="C38" s="528" t="str">
        <f>'Diags Raw Data'!G41</f>
        <v>P3</v>
      </c>
      <c r="D38" s="528" t="s">
        <v>34</v>
      </c>
      <c r="E38" s="529" t="s">
        <v>33</v>
      </c>
    </row>
    <row r="39" spans="1:5" ht="15.75" thickBot="1" x14ac:dyDescent="0.3">
      <c r="A39" s="333" t="str">
        <f>'Diags Raw Data'!A42</f>
        <v>KRK1-USB-023</v>
      </c>
      <c r="B39" s="334" t="str">
        <f>'Diags Raw Data'!B42</f>
        <v>Concurrent Transfer Robustness : Superspeed bulk devices</v>
      </c>
      <c r="C39" s="528" t="str">
        <f>'Diags Raw Data'!G42</f>
        <v>P3</v>
      </c>
      <c r="D39" s="528" t="s">
        <v>34</v>
      </c>
      <c r="E39" s="529" t="s">
        <v>33</v>
      </c>
    </row>
    <row r="40" spans="1:5" ht="15.75" thickBot="1" x14ac:dyDescent="0.3">
      <c r="A40" s="333" t="str">
        <f>'Diags Raw Data'!A43</f>
        <v>KRK1-USB-024</v>
      </c>
      <c r="B40" s="334" t="str">
        <f>'Diags Raw Data'!B43</f>
        <v>Concurrent Transfer Robustness : Superspeed plus bulk devices</v>
      </c>
      <c r="C40" s="528" t="str">
        <f>'Diags Raw Data'!G43</f>
        <v>P3</v>
      </c>
      <c r="D40" s="528" t="s">
        <v>34</v>
      </c>
      <c r="E40" s="529" t="s">
        <v>33</v>
      </c>
    </row>
    <row r="41" spans="1:5" ht="15.75" thickBot="1" x14ac:dyDescent="0.3">
      <c r="A41" s="333" t="str">
        <f>'Diags Raw Data'!A44</f>
        <v>KRK1-USB-025</v>
      </c>
      <c r="B41" s="334" t="str">
        <f>'Diags Raw Data'!B44</f>
        <v>Concurrent Transfer Robustness : High speed/Superspeed/Superspeed Plus)</v>
      </c>
      <c r="C41" s="528" t="str">
        <f>'Diags Raw Data'!G44</f>
        <v>P3</v>
      </c>
      <c r="D41" s="528" t="s">
        <v>34</v>
      </c>
      <c r="E41" s="529" t="s">
        <v>33</v>
      </c>
    </row>
    <row r="42" spans="1:5" ht="15.75" thickBot="1" x14ac:dyDescent="0.3">
      <c r="A42" s="333" t="str">
        <f>'Diags Raw Data'!A45</f>
        <v>KRK1-USB-026</v>
      </c>
      <c r="B42" s="334" t="str">
        <f>'Diags Raw Data'!B45</f>
        <v>PMM : USB D3 cold entry/exit</v>
      </c>
      <c r="C42" s="528" t="str">
        <f>'Diags Raw Data'!G45</f>
        <v>P3</v>
      </c>
      <c r="D42" s="528" t="s">
        <v>34</v>
      </c>
      <c r="E42" s="529" t="s">
        <v>33</v>
      </c>
    </row>
    <row r="43" spans="1:5" ht="15.75" thickBot="1" x14ac:dyDescent="0.3">
      <c r="A43" s="333" t="str">
        <f>'Diags Raw Data'!A46</f>
        <v>KRK1-USB-027</v>
      </c>
      <c r="B43" s="334" t="str">
        <f>'Diags Raw Data'!B46</f>
        <v>PMM : USB wake on device resume in S0i3 &amp; S4</v>
      </c>
      <c r="C43" s="528" t="str">
        <f>'Diags Raw Data'!G46</f>
        <v>P3</v>
      </c>
      <c r="D43" s="528" t="s">
        <v>34</v>
      </c>
      <c r="E43" s="529" t="s">
        <v>33</v>
      </c>
    </row>
    <row r="44" spans="1:5" ht="15.75" thickBot="1" x14ac:dyDescent="0.3">
      <c r="A44" s="333" t="str">
        <f>'Diags Raw Data'!A47</f>
        <v>KRK1-USB-028</v>
      </c>
      <c r="B44" s="334" t="str">
        <f>'Diags Raw Data'!B47</f>
        <v>PMM : USB wake on connect &amp; disconnect in S0i3 &amp; S4</v>
      </c>
      <c r="C44" s="528" t="str">
        <f>'Diags Raw Data'!G47</f>
        <v>P3</v>
      </c>
      <c r="D44" s="528" t="s">
        <v>34</v>
      </c>
      <c r="E44" s="529" t="s">
        <v>33</v>
      </c>
    </row>
    <row r="45" spans="1:5" ht="15.75" thickBot="1" x14ac:dyDescent="0.3">
      <c r="A45" s="333"/>
      <c r="B45" s="334"/>
      <c r="C45" s="528"/>
      <c r="D45" s="528"/>
      <c r="E45" s="529"/>
    </row>
    <row r="46" spans="1:5" ht="15.75" thickBot="1" x14ac:dyDescent="0.3">
      <c r="A46" s="333"/>
      <c r="B46" s="334"/>
      <c r="C46" s="528"/>
      <c r="D46" s="528"/>
      <c r="E46" s="529"/>
    </row>
    <row r="47" spans="1:5" ht="15.75" thickBot="1" x14ac:dyDescent="0.3">
      <c r="A47" s="333"/>
      <c r="B47" s="334"/>
      <c r="C47" s="528"/>
      <c r="D47" s="528"/>
      <c r="E47" s="529"/>
    </row>
    <row r="48" spans="1:5" ht="15.75" thickBot="1" x14ac:dyDescent="0.3">
      <c r="A48" s="333"/>
      <c r="B48" s="334"/>
      <c r="C48" s="528"/>
      <c r="D48" s="528"/>
      <c r="E48" s="529"/>
    </row>
    <row r="49" spans="1:5" ht="15.75" thickBot="1" x14ac:dyDescent="0.3">
      <c r="A49" s="333"/>
      <c r="B49" s="334"/>
      <c r="C49" s="528"/>
      <c r="D49" s="528"/>
      <c r="E49" s="529"/>
    </row>
    <row r="50" spans="1:5" ht="15.75" thickBot="1" x14ac:dyDescent="0.3">
      <c r="A50" s="333"/>
      <c r="B50" s="334"/>
      <c r="C50" s="528"/>
      <c r="D50" s="528"/>
      <c r="E50" s="529"/>
    </row>
    <row r="51" spans="1:5" ht="15.75" thickBot="1" x14ac:dyDescent="0.3">
      <c r="A51" s="333"/>
      <c r="B51" s="334"/>
      <c r="C51" s="528"/>
      <c r="D51" s="528"/>
      <c r="E51" s="529"/>
    </row>
    <row r="52" spans="1:5" ht="15.75" thickBot="1" x14ac:dyDescent="0.3">
      <c r="A52" s="333"/>
      <c r="B52" s="334"/>
      <c r="C52" s="528"/>
      <c r="D52" s="528"/>
      <c r="E52" s="529"/>
    </row>
    <row r="53" spans="1:5" ht="15.75" thickBot="1" x14ac:dyDescent="0.3">
      <c r="A53" s="333"/>
      <c r="B53" s="334"/>
      <c r="C53" s="528"/>
      <c r="D53" s="528"/>
      <c r="E53" s="529"/>
    </row>
    <row r="54" spans="1:5" ht="15.75" thickBot="1" x14ac:dyDescent="0.3">
      <c r="A54" s="333"/>
      <c r="B54" s="334"/>
      <c r="C54" s="528"/>
      <c r="D54" s="528"/>
      <c r="E54" s="529"/>
    </row>
    <row r="55" spans="1:5" ht="15.75" thickBot="1" x14ac:dyDescent="0.3">
      <c r="A55" s="333"/>
      <c r="B55" s="334"/>
      <c r="C55" s="528"/>
      <c r="D55" s="528"/>
      <c r="E55" s="529"/>
    </row>
    <row r="56" spans="1:5" ht="15.75" thickBot="1" x14ac:dyDescent="0.3">
      <c r="A56" s="333"/>
      <c r="B56" s="334"/>
      <c r="C56" s="528"/>
      <c r="D56" s="528"/>
      <c r="E56" s="529"/>
    </row>
    <row r="57" spans="1:5" ht="15.75" thickBot="1" x14ac:dyDescent="0.3">
      <c r="A57" s="333"/>
      <c r="B57" s="334"/>
      <c r="C57" s="528"/>
      <c r="D57" s="528"/>
      <c r="E57" s="529"/>
    </row>
    <row r="58" spans="1:5" ht="15.75" thickBot="1" x14ac:dyDescent="0.3">
      <c r="A58" s="333"/>
      <c r="B58" s="334"/>
      <c r="C58" s="528"/>
      <c r="D58" s="528"/>
      <c r="E58" s="529"/>
    </row>
    <row r="59" spans="1:5" ht="15.75" thickBot="1" x14ac:dyDescent="0.3">
      <c r="A59" s="333"/>
      <c r="B59" s="334"/>
      <c r="C59" s="528"/>
      <c r="D59" s="528"/>
      <c r="E59" s="529"/>
    </row>
    <row r="60" spans="1:5" ht="15.75" thickBot="1" x14ac:dyDescent="0.3">
      <c r="A60" s="333"/>
      <c r="B60" s="334"/>
      <c r="C60" s="528"/>
      <c r="D60" s="528"/>
      <c r="E60" s="529"/>
    </row>
    <row r="61" spans="1:5" ht="15.75" thickBot="1" x14ac:dyDescent="0.3">
      <c r="A61" s="333"/>
      <c r="B61" s="334"/>
      <c r="C61" s="528"/>
      <c r="D61" s="528"/>
      <c r="E61" s="529"/>
    </row>
    <row r="62" spans="1:5" ht="15.75" thickBot="1" x14ac:dyDescent="0.3">
      <c r="A62" s="333"/>
      <c r="B62" s="334"/>
      <c r="C62" s="528"/>
      <c r="D62" s="528"/>
      <c r="E62" s="529"/>
    </row>
    <row r="63" spans="1:5" ht="15.75" thickBot="1" x14ac:dyDescent="0.3">
      <c r="A63" s="333"/>
      <c r="B63" s="334"/>
      <c r="C63" s="528"/>
      <c r="D63" s="528"/>
      <c r="E63" s="529"/>
    </row>
    <row r="64" spans="1:5" ht="15.75" thickBot="1" x14ac:dyDescent="0.3">
      <c r="A64" s="333"/>
      <c r="B64" s="334"/>
      <c r="C64" s="528"/>
      <c r="D64" s="528"/>
      <c r="E64" s="529"/>
    </row>
    <row r="65" spans="1:5" ht="15.75" thickBot="1" x14ac:dyDescent="0.3">
      <c r="A65" s="333"/>
      <c r="B65" s="334"/>
      <c r="C65" s="528"/>
      <c r="D65" s="528"/>
      <c r="E65" s="529"/>
    </row>
    <row r="66" spans="1:5" ht="15.75" thickBot="1" x14ac:dyDescent="0.3">
      <c r="A66" s="333"/>
      <c r="B66" s="334"/>
      <c r="C66" s="528"/>
      <c r="D66" s="528"/>
      <c r="E66" s="529"/>
    </row>
    <row r="67" spans="1:5" ht="15.75" thickBot="1" x14ac:dyDescent="0.3">
      <c r="A67" s="333"/>
      <c r="B67" s="334"/>
      <c r="C67" s="528"/>
      <c r="D67" s="528"/>
      <c r="E67" s="529"/>
    </row>
    <row r="68" spans="1:5" ht="15.75" thickBot="1" x14ac:dyDescent="0.3">
      <c r="A68" s="333"/>
      <c r="B68" s="334"/>
      <c r="C68" s="528"/>
      <c r="D68" s="528"/>
      <c r="E68" s="529"/>
    </row>
    <row r="69" spans="1:5" ht="15.75" thickBot="1" x14ac:dyDescent="0.3">
      <c r="A69" s="333"/>
      <c r="B69" s="334"/>
      <c r="C69" s="528"/>
      <c r="D69" s="528"/>
      <c r="E69" s="529"/>
    </row>
    <row r="70" spans="1:5" ht="15.75" thickBot="1" x14ac:dyDescent="0.3">
      <c r="A70" s="333"/>
      <c r="B70" s="334"/>
      <c r="C70" s="528"/>
      <c r="D70" s="528"/>
      <c r="E70" s="529"/>
    </row>
    <row r="71" spans="1:5" ht="15.75" thickBot="1" x14ac:dyDescent="0.3">
      <c r="A71" s="333"/>
      <c r="B71" s="334"/>
      <c r="C71" s="528"/>
      <c r="D71" s="528"/>
      <c r="E71" s="529"/>
    </row>
    <row r="72" spans="1:5" ht="15.75" thickBot="1" x14ac:dyDescent="0.3">
      <c r="A72" s="333"/>
      <c r="B72" s="334"/>
      <c r="C72" s="528"/>
      <c r="D72" s="528"/>
      <c r="E72" s="529"/>
    </row>
    <row r="73" spans="1:5" ht="15.75" thickBot="1" x14ac:dyDescent="0.3">
      <c r="A73" s="333"/>
      <c r="B73" s="334"/>
      <c r="C73" s="528"/>
      <c r="D73" s="528"/>
      <c r="E73" s="529"/>
    </row>
    <row r="74" spans="1:5" ht="15.75" thickBot="1" x14ac:dyDescent="0.3">
      <c r="A74" s="333"/>
      <c r="B74" s="334"/>
      <c r="C74" s="528"/>
      <c r="D74" s="528"/>
      <c r="E74" s="529"/>
    </row>
    <row r="75" spans="1:5" ht="15.75" thickBot="1" x14ac:dyDescent="0.3">
      <c r="A75" s="333"/>
      <c r="B75" s="334"/>
      <c r="C75" s="528"/>
      <c r="D75" s="528"/>
      <c r="E75" s="529"/>
    </row>
    <row r="76" spans="1:5" ht="15.75" thickBot="1" x14ac:dyDescent="0.3">
      <c r="A76" s="333"/>
      <c r="B76" s="334"/>
      <c r="C76" s="528"/>
      <c r="D76" s="528"/>
      <c r="E76" s="529"/>
    </row>
    <row r="77" spans="1:5" ht="15.75" thickBot="1" x14ac:dyDescent="0.3">
      <c r="A77" s="333"/>
      <c r="B77" s="334"/>
      <c r="C77" s="528"/>
      <c r="D77" s="528"/>
      <c r="E77" s="529"/>
    </row>
    <row r="78" spans="1:5" ht="15.75" thickBot="1" x14ac:dyDescent="0.3">
      <c r="A78" s="333"/>
      <c r="B78" s="334"/>
      <c r="C78" s="528"/>
      <c r="D78" s="528"/>
      <c r="E78" s="529"/>
    </row>
    <row r="79" spans="1:5" ht="15.75" thickBot="1" x14ac:dyDescent="0.3">
      <c r="A79" s="333"/>
      <c r="B79" s="334"/>
      <c r="C79" s="528"/>
      <c r="D79" s="528"/>
      <c r="E79" s="529"/>
    </row>
    <row r="80" spans="1:5" ht="15.75" thickBot="1" x14ac:dyDescent="0.3">
      <c r="A80" s="333"/>
      <c r="B80" s="334"/>
      <c r="C80" s="528"/>
      <c r="D80" s="528"/>
      <c r="E80" s="529"/>
    </row>
    <row r="81" spans="1:5" ht="15.75" thickBot="1" x14ac:dyDescent="0.3">
      <c r="A81" s="333"/>
      <c r="B81" s="334"/>
      <c r="C81" s="528"/>
      <c r="D81" s="528"/>
      <c r="E81" s="529"/>
    </row>
    <row r="82" spans="1:5" ht="15.75" thickBot="1" x14ac:dyDescent="0.3">
      <c r="A82" s="333"/>
      <c r="B82" s="334"/>
      <c r="C82" s="528"/>
      <c r="D82" s="528"/>
      <c r="E82" s="529"/>
    </row>
    <row r="83" spans="1:5" ht="15.75" thickBot="1" x14ac:dyDescent="0.3">
      <c r="A83" s="333"/>
      <c r="B83" s="334"/>
      <c r="C83" s="528"/>
      <c r="D83" s="528"/>
      <c r="E83" s="529"/>
    </row>
    <row r="84" spans="1:5" ht="15.75" thickBot="1" x14ac:dyDescent="0.3">
      <c r="A84" s="333"/>
      <c r="B84" s="334"/>
      <c r="C84" s="528"/>
      <c r="D84" s="528"/>
      <c r="E84" s="529"/>
    </row>
    <row r="85" spans="1:5" ht="15.75" thickBot="1" x14ac:dyDescent="0.3">
      <c r="A85" s="333"/>
      <c r="B85" s="334"/>
      <c r="C85" s="528"/>
      <c r="D85" s="528"/>
      <c r="E85" s="529"/>
    </row>
    <row r="86" spans="1:5" ht="15.75" thickBot="1" x14ac:dyDescent="0.3">
      <c r="A86" s="333"/>
      <c r="B86" s="334"/>
      <c r="C86" s="528"/>
      <c r="D86" s="528"/>
      <c r="E86" s="529"/>
    </row>
    <row r="87" spans="1:5" ht="15.75" thickBot="1" x14ac:dyDescent="0.3">
      <c r="A87" s="333"/>
      <c r="B87" s="334"/>
      <c r="C87" s="528"/>
      <c r="D87" s="528"/>
      <c r="E87" s="529"/>
    </row>
    <row r="88" spans="1:5" ht="15.75" thickBot="1" x14ac:dyDescent="0.3">
      <c r="A88" s="333"/>
      <c r="B88" s="334"/>
      <c r="C88" s="528"/>
      <c r="D88" s="528"/>
      <c r="E88" s="529"/>
    </row>
    <row r="89" spans="1:5" ht="15.75" thickBot="1" x14ac:dyDescent="0.3">
      <c r="A89" s="333"/>
      <c r="B89" s="334"/>
      <c r="C89" s="528"/>
      <c r="D89" s="528"/>
      <c r="E89" s="529"/>
    </row>
    <row r="90" spans="1:5" ht="15.75" thickBot="1" x14ac:dyDescent="0.3">
      <c r="A90" s="333"/>
      <c r="B90" s="334"/>
      <c r="C90" s="528"/>
      <c r="D90" s="528"/>
      <c r="E90" s="529"/>
    </row>
    <row r="91" spans="1:5" ht="15.75" thickBot="1" x14ac:dyDescent="0.3">
      <c r="A91" s="333"/>
      <c r="B91" s="334"/>
      <c r="C91" s="528"/>
      <c r="D91" s="528"/>
      <c r="E91" s="529"/>
    </row>
    <row r="92" spans="1:5" ht="15.75" thickBot="1" x14ac:dyDescent="0.3">
      <c r="A92" s="333"/>
      <c r="B92" s="334"/>
      <c r="C92" s="528"/>
      <c r="D92" s="528"/>
      <c r="E92" s="529"/>
    </row>
    <row r="93" spans="1:5" ht="15.75" thickBot="1" x14ac:dyDescent="0.3">
      <c r="A93" s="333"/>
      <c r="B93" s="334"/>
      <c r="C93" s="528"/>
      <c r="D93" s="528"/>
      <c r="E93" s="529"/>
    </row>
    <row r="94" spans="1:5" ht="15.75" thickBot="1" x14ac:dyDescent="0.3">
      <c r="A94" s="333"/>
      <c r="B94" s="334"/>
      <c r="C94" s="528"/>
      <c r="D94" s="528"/>
      <c r="E94" s="529"/>
    </row>
    <row r="95" spans="1:5" ht="15.75" thickBot="1" x14ac:dyDescent="0.3">
      <c r="A95" s="333"/>
      <c r="B95" s="334"/>
      <c r="C95" s="528"/>
      <c r="D95" s="528"/>
      <c r="E95" s="529"/>
    </row>
    <row r="96" spans="1:5" ht="15.75" thickBot="1" x14ac:dyDescent="0.3">
      <c r="A96" s="333"/>
      <c r="B96" s="334"/>
      <c r="C96" s="528"/>
      <c r="D96" s="528"/>
      <c r="E96" s="529"/>
    </row>
    <row r="97" spans="1:5" ht="15.75" thickBot="1" x14ac:dyDescent="0.3">
      <c r="A97" s="333"/>
      <c r="B97" s="334"/>
      <c r="C97" s="528"/>
      <c r="D97" s="528"/>
      <c r="E97" s="529"/>
    </row>
    <row r="98" spans="1:5" ht="15.75" thickBot="1" x14ac:dyDescent="0.3">
      <c r="A98" s="333"/>
      <c r="B98" s="334"/>
      <c r="C98" s="528"/>
      <c r="D98" s="528"/>
      <c r="E98" s="529"/>
    </row>
    <row r="99" spans="1:5" ht="15.75" thickBot="1" x14ac:dyDescent="0.3">
      <c r="A99" s="333"/>
      <c r="B99" s="334"/>
      <c r="C99" s="528"/>
      <c r="D99" s="528"/>
      <c r="E99" s="529"/>
    </row>
    <row r="100" spans="1:5" ht="15.75" thickBot="1" x14ac:dyDescent="0.3">
      <c r="A100" s="333"/>
      <c r="B100" s="334"/>
      <c r="C100" s="528"/>
      <c r="D100" s="528"/>
      <c r="E100" s="529"/>
    </row>
    <row r="101" spans="1:5" ht="15.75" thickBot="1" x14ac:dyDescent="0.3">
      <c r="A101" s="333"/>
      <c r="B101" s="334"/>
      <c r="C101" s="528"/>
      <c r="D101" s="528"/>
      <c r="E101" s="529"/>
    </row>
    <row r="102" spans="1:5" ht="15.75" thickBot="1" x14ac:dyDescent="0.3">
      <c r="A102" s="333"/>
      <c r="B102" s="334"/>
      <c r="C102" s="528"/>
      <c r="D102" s="528"/>
      <c r="E102" s="529"/>
    </row>
    <row r="103" spans="1:5" ht="15.75" thickBot="1" x14ac:dyDescent="0.3">
      <c r="A103" s="333"/>
      <c r="B103" s="334"/>
      <c r="C103" s="528"/>
      <c r="D103" s="528"/>
      <c r="E103" s="529"/>
    </row>
    <row r="104" spans="1:5" ht="15.75" thickBot="1" x14ac:dyDescent="0.3">
      <c r="A104" s="333"/>
      <c r="B104" s="334"/>
      <c r="C104" s="528"/>
      <c r="D104" s="528"/>
      <c r="E104" s="529"/>
    </row>
    <row r="105" spans="1:5" ht="15.75" thickBot="1" x14ac:dyDescent="0.3">
      <c r="A105" s="333"/>
      <c r="B105" s="334"/>
      <c r="C105" s="528"/>
      <c r="D105" s="528"/>
      <c r="E105" s="529"/>
    </row>
    <row r="106" spans="1:5" ht="15.75" thickBot="1" x14ac:dyDescent="0.3">
      <c r="A106" s="333"/>
      <c r="B106" s="334"/>
      <c r="C106" s="528"/>
      <c r="D106" s="528"/>
      <c r="E106" s="529"/>
    </row>
    <row r="107" spans="1:5" ht="15.75" thickBot="1" x14ac:dyDescent="0.3">
      <c r="A107" s="333"/>
      <c r="B107" s="334"/>
      <c r="C107" s="528"/>
      <c r="D107" s="528"/>
      <c r="E107" s="529"/>
    </row>
    <row r="108" spans="1:5" ht="15.75" thickBot="1" x14ac:dyDescent="0.3">
      <c r="A108" s="333"/>
      <c r="B108" s="334"/>
      <c r="C108" s="528"/>
      <c r="D108" s="528"/>
      <c r="E108" s="529"/>
    </row>
    <row r="109" spans="1:5" ht="15.75" thickBot="1" x14ac:dyDescent="0.3">
      <c r="A109" s="333"/>
      <c r="B109" s="334"/>
      <c r="C109" s="528"/>
      <c r="D109" s="528"/>
      <c r="E109" s="529"/>
    </row>
    <row r="110" spans="1:5" ht="15.75" thickBot="1" x14ac:dyDescent="0.3">
      <c r="A110" s="333"/>
      <c r="B110" s="334"/>
      <c r="C110" s="528"/>
      <c r="D110" s="528"/>
      <c r="E110" s="529"/>
    </row>
    <row r="111" spans="1:5" ht="15.75" thickBot="1" x14ac:dyDescent="0.3">
      <c r="A111" s="333"/>
      <c r="B111" s="334"/>
      <c r="C111" s="528"/>
      <c r="D111" s="528"/>
      <c r="E111" s="529"/>
    </row>
    <row r="112" spans="1:5" ht="15.75" thickBot="1" x14ac:dyDescent="0.3">
      <c r="A112" s="333"/>
      <c r="B112" s="334"/>
      <c r="C112" s="528"/>
      <c r="D112" s="528"/>
      <c r="E112" s="529"/>
    </row>
    <row r="113" spans="1:5" ht="15.75" thickBot="1" x14ac:dyDescent="0.3">
      <c r="A113" s="333"/>
      <c r="B113" s="334"/>
      <c r="C113" s="528"/>
      <c r="D113" s="528"/>
      <c r="E113" s="529"/>
    </row>
    <row r="114" spans="1:5" ht="15.75" thickBot="1" x14ac:dyDescent="0.3">
      <c r="A114" s="333"/>
      <c r="B114" s="334"/>
      <c r="C114" s="528"/>
      <c r="D114" s="528"/>
      <c r="E114" s="529"/>
    </row>
    <row r="115" spans="1:5" ht="15.75" thickBot="1" x14ac:dyDescent="0.3">
      <c r="A115" s="333"/>
      <c r="B115" s="334"/>
      <c r="C115" s="528"/>
      <c r="D115" s="528"/>
      <c r="E115" s="529"/>
    </row>
    <row r="116" spans="1:5" ht="15.75" thickBot="1" x14ac:dyDescent="0.3">
      <c r="A116" s="333"/>
      <c r="B116" s="334"/>
      <c r="C116" s="528"/>
      <c r="D116" s="528"/>
      <c r="E116" s="529"/>
    </row>
    <row r="117" spans="1:5" ht="15.75" thickBot="1" x14ac:dyDescent="0.3">
      <c r="A117" s="333"/>
      <c r="B117" s="334"/>
      <c r="C117" s="528"/>
      <c r="D117" s="528"/>
      <c r="E117" s="529"/>
    </row>
    <row r="118" spans="1:5" ht="15.75" thickBot="1" x14ac:dyDescent="0.3">
      <c r="A118" s="333"/>
      <c r="B118" s="334"/>
      <c r="C118" s="528"/>
      <c r="D118" s="528"/>
      <c r="E118" s="529"/>
    </row>
    <row r="119" spans="1:5" ht="15.75" thickBot="1" x14ac:dyDescent="0.3">
      <c r="A119" s="333"/>
      <c r="B119" s="334"/>
      <c r="C119" s="528"/>
      <c r="D119" s="528"/>
      <c r="E119" s="529"/>
    </row>
    <row r="120" spans="1:5" ht="15.75" thickBot="1" x14ac:dyDescent="0.3">
      <c r="A120" s="333"/>
      <c r="B120" s="334"/>
      <c r="C120" s="528"/>
      <c r="D120" s="528"/>
      <c r="E120" s="529"/>
    </row>
    <row r="121" spans="1:5" ht="15.75" thickBot="1" x14ac:dyDescent="0.3">
      <c r="A121" s="333"/>
      <c r="B121" s="334"/>
      <c r="C121" s="528"/>
      <c r="D121" s="528"/>
      <c r="E121" s="529"/>
    </row>
    <row r="122" spans="1:5" ht="15.75" thickBot="1" x14ac:dyDescent="0.3">
      <c r="A122" s="333"/>
      <c r="B122" s="334"/>
      <c r="C122" s="528"/>
      <c r="D122" s="528"/>
      <c r="E122" s="529"/>
    </row>
    <row r="123" spans="1:5" ht="15.75" thickBot="1" x14ac:dyDescent="0.3">
      <c r="A123" s="333"/>
      <c r="B123" s="334"/>
      <c r="C123" s="528"/>
      <c r="D123" s="528"/>
      <c r="E123" s="529"/>
    </row>
    <row r="124" spans="1:5" ht="15.75" thickBot="1" x14ac:dyDescent="0.3">
      <c r="A124" s="333"/>
      <c r="B124" s="334"/>
      <c r="C124" s="528"/>
      <c r="D124" s="528"/>
      <c r="E124" s="529"/>
    </row>
    <row r="125" spans="1:5" x14ac:dyDescent="0.25">
      <c r="A125" s="333"/>
      <c r="B125" s="334"/>
      <c r="C125" s="528"/>
      <c r="D125" s="528"/>
      <c r="E125" s="529"/>
    </row>
  </sheetData>
  <autoFilter ref="A2:E12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D3:D125</xm:sqref>
        </x14:dataValidation>
        <x14:dataValidation type="list" allowBlank="1" showInputMessage="1" showErrorMessage="1" xr:uid="{AA1AC074-A7B7-4C8D-9132-118B458773B2}">
          <x14:formula1>
            <xm:f>'List Options'!$G$1:$G$3</xm:f>
          </x14:formula1>
          <xm:sqref>E3:E125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37"/>
  <sheetViews>
    <sheetView workbookViewId="0">
      <pane xSplit="4" ySplit="6" topLeftCell="G7" activePane="bottomRight" state="frozen"/>
      <selection pane="topRight" activeCell="D1" sqref="D1"/>
      <selection pane="bottomLeft" activeCell="A3" sqref="A3"/>
      <selection pane="bottomRight" activeCell="L7" sqref="L7"/>
    </sheetView>
  </sheetViews>
  <sheetFormatPr defaultColWidth="8.5703125" defaultRowHeight="15" x14ac:dyDescent="0.25"/>
  <cols>
    <col min="1" max="1" width="16.85546875" style="182" bestFit="1" customWidth="1"/>
    <col min="2" max="2" width="66.2851562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2" bestFit="1" customWidth="1"/>
    <col min="22" max="22" width="45.7109375" style="182" customWidth="1"/>
    <col min="23" max="16384" width="8.5703125" style="182"/>
  </cols>
  <sheetData>
    <row r="1" spans="1:23" s="177" customFormat="1" ht="19.5" thickBot="1" x14ac:dyDescent="0.3">
      <c r="A1" s="612" t="s">
        <v>457</v>
      </c>
      <c r="B1" s="613"/>
      <c r="C1" s="613"/>
      <c r="D1" s="613"/>
      <c r="E1" s="613"/>
      <c r="F1" s="613"/>
      <c r="G1" s="613"/>
      <c r="H1" s="613"/>
      <c r="I1" s="613"/>
      <c r="J1" s="613"/>
      <c r="K1" s="613"/>
      <c r="L1" s="613"/>
      <c r="M1" s="613"/>
      <c r="N1" s="613"/>
      <c r="O1" s="613"/>
      <c r="P1" s="613"/>
      <c r="Q1" s="613"/>
      <c r="R1" s="613"/>
      <c r="S1" s="613"/>
      <c r="T1" s="613"/>
      <c r="U1" s="614"/>
      <c r="V1" s="554"/>
    </row>
    <row r="2" spans="1:23" s="188" customFormat="1" ht="18.75" x14ac:dyDescent="0.25">
      <c r="A2" s="669" t="s">
        <v>302</v>
      </c>
      <c r="B2" s="670"/>
      <c r="C2" s="670"/>
      <c r="D2" s="670"/>
      <c r="E2" s="670"/>
      <c r="F2" s="671"/>
      <c r="G2" s="402">
        <f>COUNTIF(G7:G132,"Yes")</f>
        <v>42</v>
      </c>
      <c r="H2" s="402">
        <f>COUNTIF(H7:H132,"Yes")</f>
        <v>42</v>
      </c>
      <c r="I2" s="700">
        <f>'Diags Raw Data'!K53</f>
        <v>42</v>
      </c>
      <c r="J2" s="708">
        <f>'Diags Raw Data'!L53</f>
        <v>372</v>
      </c>
      <c r="K2" s="710">
        <f>'Diags Raw Data'!N53</f>
        <v>1</v>
      </c>
      <c r="L2" s="712">
        <f>'Diags Raw Data'!P53</f>
        <v>0</v>
      </c>
      <c r="M2" s="714">
        <f>'Diags Raw Data'!R53</f>
        <v>372</v>
      </c>
      <c r="N2" s="684">
        <f>SUM('Diags Raw Data'!T53+'Diags Raw Data'!U53)</f>
        <v>0</v>
      </c>
      <c r="O2" s="704">
        <f>IF((M135=0),0,N135/M135)</f>
        <v>0</v>
      </c>
      <c r="P2" s="706">
        <f>'Diags Raw Data'!Z53</f>
        <v>0</v>
      </c>
      <c r="Q2" s="698">
        <f>SUM('Diags Raw Data'!AA53+'Diags Raw Data'!AB53)</f>
        <v>0</v>
      </c>
      <c r="R2" s="694">
        <f>IF((J135=0),0,P135/J135)</f>
        <v>0</v>
      </c>
      <c r="S2" s="694">
        <f>IF((P135=0),0,Q135/P135)</f>
        <v>0</v>
      </c>
      <c r="T2" s="694">
        <f>R135*S135</f>
        <v>0</v>
      </c>
      <c r="U2" s="696"/>
      <c r="V2" s="686" t="s">
        <v>458</v>
      </c>
      <c r="W2" s="187"/>
    </row>
    <row r="3" spans="1:23" ht="19.5" thickBot="1" x14ac:dyDescent="0.3">
      <c r="A3" s="672"/>
      <c r="B3" s="673"/>
      <c r="C3" s="673"/>
      <c r="D3" s="673"/>
      <c r="E3" s="673"/>
      <c r="F3" s="674"/>
      <c r="G3" s="403">
        <f>COUNTIF(G7:G132,"Yes")/COUNTA(A7:A132)</f>
        <v>1</v>
      </c>
      <c r="H3" s="403">
        <f>(COUNTIF(H7:H132,"Yes")/G135)</f>
        <v>1</v>
      </c>
      <c r="I3" s="701"/>
      <c r="J3" s="709"/>
      <c r="K3" s="711"/>
      <c r="L3" s="713"/>
      <c r="M3" s="715"/>
      <c r="N3" s="685"/>
      <c r="O3" s="705"/>
      <c r="P3" s="707"/>
      <c r="Q3" s="699"/>
      <c r="R3" s="695"/>
      <c r="S3" s="695"/>
      <c r="T3" s="695"/>
      <c r="U3" s="697"/>
      <c r="V3" s="687"/>
      <c r="W3" s="181"/>
    </row>
    <row r="4" spans="1:23" ht="19.5" thickBot="1" x14ac:dyDescent="0.3">
      <c r="A4" s="615" t="s">
        <v>459</v>
      </c>
      <c r="B4" s="616"/>
      <c r="C4" s="616"/>
      <c r="D4" s="616"/>
      <c r="E4" s="616"/>
      <c r="F4" s="616"/>
      <c r="G4" s="616"/>
      <c r="H4" s="616"/>
      <c r="I4" s="616"/>
      <c r="J4" s="616"/>
      <c r="K4" s="616"/>
      <c r="L4" s="616"/>
      <c r="M4" s="616"/>
      <c r="N4" s="616"/>
      <c r="O4" s="616"/>
      <c r="P4" s="616"/>
      <c r="Q4" s="616"/>
      <c r="R4" s="616"/>
      <c r="S4" s="616"/>
      <c r="T4" s="616"/>
      <c r="U4" s="617"/>
      <c r="V4" s="555"/>
    </row>
    <row r="5" spans="1:23" s="177" customFormat="1" ht="31.5" customHeight="1" thickBot="1" x14ac:dyDescent="0.3">
      <c r="A5" s="660" t="s">
        <v>76</v>
      </c>
      <c r="B5" s="661"/>
      <c r="C5" s="661"/>
      <c r="D5" s="661"/>
      <c r="E5" s="661"/>
      <c r="F5" s="661"/>
      <c r="G5" s="661"/>
      <c r="H5" s="661"/>
      <c r="I5" s="661"/>
      <c r="J5" s="662"/>
      <c r="K5" s="658" t="s">
        <v>113</v>
      </c>
      <c r="L5" s="659"/>
      <c r="M5" s="663" t="s">
        <v>124</v>
      </c>
      <c r="N5" s="664"/>
      <c r="O5" s="665"/>
      <c r="P5" s="666" t="s">
        <v>144</v>
      </c>
      <c r="Q5" s="667"/>
      <c r="R5" s="667"/>
      <c r="S5" s="667"/>
      <c r="T5" s="667"/>
      <c r="U5" s="668"/>
      <c r="V5" s="176"/>
    </row>
    <row r="6" spans="1:23" s="179" customFormat="1" ht="15.75" thickBot="1" x14ac:dyDescent="0.3">
      <c r="A6" s="346" t="s">
        <v>77</v>
      </c>
      <c r="B6" s="385" t="s">
        <v>81</v>
      </c>
      <c r="C6" s="385" t="s">
        <v>96</v>
      </c>
      <c r="D6" s="385" t="s">
        <v>212</v>
      </c>
      <c r="E6" s="385" t="s">
        <v>88</v>
      </c>
      <c r="F6" s="385" t="s">
        <v>1</v>
      </c>
      <c r="G6" s="386" t="s">
        <v>215</v>
      </c>
      <c r="H6" s="386" t="s">
        <v>218</v>
      </c>
      <c r="I6" s="387" t="s">
        <v>105</v>
      </c>
      <c r="J6" s="387" t="s">
        <v>221</v>
      </c>
      <c r="K6" s="359" t="s">
        <v>114</v>
      </c>
      <c r="L6" s="360" t="s">
        <v>121</v>
      </c>
      <c r="M6" s="339" t="s">
        <v>227</v>
      </c>
      <c r="N6" s="340" t="s">
        <v>229</v>
      </c>
      <c r="O6" s="338" t="s">
        <v>187</v>
      </c>
      <c r="P6" s="361" t="s">
        <v>232</v>
      </c>
      <c r="Q6" s="341" t="s">
        <v>229</v>
      </c>
      <c r="R6" s="342" t="s">
        <v>184</v>
      </c>
      <c r="S6" s="342" t="s">
        <v>140</v>
      </c>
      <c r="T6" s="343" t="s">
        <v>187</v>
      </c>
      <c r="U6" s="344" t="s">
        <v>157</v>
      </c>
      <c r="V6" s="178"/>
    </row>
    <row r="7" spans="1:23" ht="15.75" thickBot="1" x14ac:dyDescent="0.3">
      <c r="A7" s="442" t="str">
        <f>'Diags Raw Data'!A6</f>
        <v>KRK1-USB4-001</v>
      </c>
      <c r="B7" s="443" t="str">
        <f>VLOOKUP(A7,'Feature Raw Data'!$A$3:$B$4024,2,FALSE)</f>
        <v>SB Register Access</v>
      </c>
      <c r="C7" s="444" t="str">
        <f>VLOOKUP(A7,'Feature Raw Data'!$A$3:$C$4024,3,FALSE)</f>
        <v>P1</v>
      </c>
      <c r="D7" s="445" t="str" cm="1">
        <f t="array" ref="D7">_xlfn.TEXTJOIN("",TRUE,IF(ISNUMBER(SEARCH($A7,'Diags Raw Data'!$A$6:$A$3663)),CONCATENATE('Diags Raw Data'!$H$6:$H$3663,", "),""))</f>
        <v xml:space="preserve">USB4_LL_01.1-2, </v>
      </c>
      <c r="E7" s="446" t="str">
        <f>VLOOKUP(A7,'Diags Raw Data'!$A$6:$D$3663,4,FALSE)</f>
        <v>USB4</v>
      </c>
      <c r="F7" s="446" t="str">
        <f>VLOOKUP(A7,'Feature Raw Data'!$A$3:$E$4024,5,FALSE)</f>
        <v>Legacy</v>
      </c>
      <c r="G7" s="446" t="str">
        <f t="shared" ref="G7:G38" si="0">IF(D7="","No","Yes")</f>
        <v>Yes</v>
      </c>
      <c r="H7" s="446" t="str">
        <f t="shared" ref="H7:H38" si="1">IF(D7="","No","Yes")</f>
        <v>Yes</v>
      </c>
      <c r="I7" s="444">
        <f>SUMIF('Diags Raw Data'!$A$6:$A$3663,"*"&amp;$A7&amp;"*",'Diags Raw Data'!$K$6:$K$3663)</f>
        <v>1</v>
      </c>
      <c r="J7" s="447">
        <f>SUMIF('Diags Raw Data'!$A$6:$A$3663,"*"&amp;$A7&amp;"*",'Diags Raw Data'!$L$6:$L$3663)</f>
        <v>2</v>
      </c>
      <c r="K7" s="488" cm="1">
        <f t="array" ref="K7">IF(D7="",0, SUMPRODUCT(--(ISNUMBER(SEARCH($A7,'Diags Raw Data'!$A$6:$A$3663))),'Diags Raw Data'!$L$6:$L$3663,'Diags Raw Data'!$N$6:$N$3663)/J7)</f>
        <v>1</v>
      </c>
      <c r="L7" s="489" cm="1">
        <f t="array" ref="L7">IF(D7="",0, SUMPRODUCT(--(ISNUMBER(SEARCH($A7,'Diags Raw Data'!$A$6:$A$3663))),'Diags Raw Data'!$L$6:$L$3663,'Diags Raw Data'!$P$6:$P$3663)/J7)</f>
        <v>0</v>
      </c>
      <c r="M7" s="490" cm="1">
        <f t="array" ref="M7">SUMPRODUCT(--(ISNUMBER(SEARCH($A7,'Diags Raw Data'!$A$6:$A$3663))),--('Diags Raw Data'!$Q$6:$Q$3663&lt;&gt;"N/A"),'Diags Raw Data'!$R$6:$R$3663)</f>
        <v>2</v>
      </c>
      <c r="N7" s="491" cm="1">
        <f t="array" ref="N7">SUMPRODUCT(--(ISNUMBER(SEARCH($A7,'Diags Raw Data'!$A$6:$A$3663))),--('Diags Raw Data'!$Q$6:$Q$3663&lt;&gt;"N/A"),'Diags Raw Data'!$T$6:$T$3663)+SUMPRODUCT(--(ISNUMBER(SEARCH($A7,'Diags Raw Data'!$A$6:$A$3663))),--('Diags Raw Data'!$Q$6:$Q$3663&lt;&gt;"N/A"),'Diags Raw Data'!$U$6:$U$3663)</f>
        <v>0</v>
      </c>
      <c r="O7" s="492">
        <f>IF((M7=0),0,N7/M7)</f>
        <v>0</v>
      </c>
      <c r="P7" s="493">
        <f>SUMIF('Diags Raw Data'!$A$6:$A$3663,"*"&amp;$A7&amp;"*",'Diags Raw Data'!$Z$6:$Z$3663)</f>
        <v>0</v>
      </c>
      <c r="Q7" s="494">
        <f>SUM(SUMIF('Diags Raw Data'!$A$6:$A$3663,"*"&amp;$A7&amp;"*",'Diags Raw Data'!$AA$6:$AA$3663),SUMIF('Diags Raw Data'!$A$6:$A$3663,"*"&amp;$A7&amp;"*",'Diags Raw Data'!$AB$6:$AB$3663))</f>
        <v>0</v>
      </c>
      <c r="R7" s="495">
        <f>IF((J7=0),0,P7/J7)</f>
        <v>0</v>
      </c>
      <c r="S7" s="495">
        <f>IF((P7=0),0,Q7/P7)</f>
        <v>0</v>
      </c>
      <c r="T7" s="496">
        <f>R7*S7</f>
        <v>0</v>
      </c>
      <c r="U7" s="448" t="s">
        <v>460</v>
      </c>
      <c r="V7" s="181"/>
    </row>
    <row r="8" spans="1:23" ht="15.75" thickBot="1" x14ac:dyDescent="0.3">
      <c r="A8" s="442" t="str">
        <f>'Diags Raw Data'!A7</f>
        <v>KRK1-USB4-002</v>
      </c>
      <c r="B8" s="443" t="str">
        <f>VLOOKUP(A8,'Feature Raw Data'!$A$3:$B$4024,2,FALSE)</f>
        <v xml:space="preserve">Sideband Transactions </v>
      </c>
      <c r="C8" s="444" t="str">
        <f>VLOOKUP(A8,'Feature Raw Data'!$A$3:$C$4024,3,FALSE)</f>
        <v>P1</v>
      </c>
      <c r="D8" s="445" t="str" cm="1">
        <f t="array" ref="D8">_xlfn.TEXTJOIN("",TRUE,IF(ISNUMBER(SEARCH($A8,'Diags Raw Data'!$A$6:$A$3663)),CONCATENATE('Diags Raw Data'!$H$6:$H$3663,", "),""))</f>
        <v xml:space="preserve">USB4_LL_02.1-6, </v>
      </c>
      <c r="E8" s="446" t="str">
        <f>VLOOKUP(A8,'Diags Raw Data'!$A$6:$D$3663,4,FALSE)</f>
        <v>USB4</v>
      </c>
      <c r="F8" s="446" t="str">
        <f>VLOOKUP(A8,'Feature Raw Data'!$A$3:$E$4024,5,FALSE)</f>
        <v>Legacy</v>
      </c>
      <c r="G8" s="336" t="str">
        <f t="shared" si="0"/>
        <v>Yes</v>
      </c>
      <c r="H8" s="336" t="str">
        <f t="shared" si="1"/>
        <v>Yes</v>
      </c>
      <c r="I8" s="449">
        <f>SUMIF('Diags Raw Data'!$A$6:$A$3663,"*"&amp;$A8&amp;"*",'Diags Raw Data'!$K$6:$K$3663)</f>
        <v>1</v>
      </c>
      <c r="J8" s="450">
        <f>SUMIF('Diags Raw Data'!$A$6:$A$3663,"*"&amp;$A8&amp;"*",'Diags Raw Data'!$L$6:$L$3663)</f>
        <v>6</v>
      </c>
      <c r="K8" s="497" cm="1">
        <f t="array" ref="K8">IF(D8="",0, SUMPRODUCT(--(ISNUMBER(SEARCH($A8,'Diags Raw Data'!$A$6:$A$3663))),'Diags Raw Data'!$L$6:$L$3663,'Diags Raw Data'!$N$6:$N$3663)/J8)</f>
        <v>1</v>
      </c>
      <c r="L8" s="498" cm="1">
        <f t="array" ref="L8">IF(D8="",0, SUMPRODUCT(--(ISNUMBER(SEARCH($A8,'Diags Raw Data'!$A$6:$A$3663))),'Diags Raw Data'!$L$6:$L$3663,'Diags Raw Data'!$P$6:$P$3663)/J8)</f>
        <v>0</v>
      </c>
      <c r="M8" s="499" cm="1">
        <f t="array" ref="M8">SUMPRODUCT(--(ISNUMBER(SEARCH($A8,'Diags Raw Data'!$A$6:$A$3663))),--('Diags Raw Data'!$Q$6:$Q$3663&lt;&gt;"N/A"),'Diags Raw Data'!$R$6:$R$3663)</f>
        <v>6</v>
      </c>
      <c r="N8" s="500" cm="1">
        <f t="array" ref="N8">SUMPRODUCT(--(ISNUMBER(SEARCH($A8,'Diags Raw Data'!$A$6:$A$3663))),--('Diags Raw Data'!$Q$6:$Q$3663&lt;&gt;"N/A"),'Diags Raw Data'!$T$6:$T$3663)+SUMPRODUCT(--(ISNUMBER(SEARCH($A8,'Diags Raw Data'!$A$6:$A$3663))),--('Diags Raw Data'!$Q$6:$Q$3663&lt;&gt;"N/A"),'Diags Raw Data'!$U$6:$U$3663)</f>
        <v>0</v>
      </c>
      <c r="O8" s="501">
        <f t="shared" ref="O8:O48" si="2">IF((M8=0),0,N8/M8)</f>
        <v>0</v>
      </c>
      <c r="P8" s="502">
        <f>SUMIF('Diags Raw Data'!$A$6:$A$3663,"*"&amp;$A8&amp;"*",'Diags Raw Data'!$Z$6:$Z$3663)</f>
        <v>0</v>
      </c>
      <c r="Q8" s="503">
        <f>SUM(SUMIF('Diags Raw Data'!$A$6:$A$3663,"*"&amp;$A8&amp;"*",'Diags Raw Data'!$AA$6:$AA$3663),SUMIF('Diags Raw Data'!$A$6:$A$3663,"*"&amp;$A8&amp;"*",'Diags Raw Data'!$AB$6:$AB$3663))</f>
        <v>0</v>
      </c>
      <c r="R8" s="504">
        <f t="shared" ref="R8:R48" si="3">IF((J8=0),0,P8/J8)</f>
        <v>0</v>
      </c>
      <c r="S8" s="504">
        <f t="shared" ref="S8:S48" si="4">IF((P8=0),0,Q8/P8)</f>
        <v>0</v>
      </c>
      <c r="T8" s="505">
        <f t="shared" ref="T8:T48" si="5">R8*S8</f>
        <v>0</v>
      </c>
      <c r="U8" s="451" t="s">
        <v>460</v>
      </c>
      <c r="V8" s="181"/>
    </row>
    <row r="9" spans="1:23" ht="15.75" thickBot="1" x14ac:dyDescent="0.3">
      <c r="A9" s="442" t="str">
        <f>'Diags Raw Data'!A8</f>
        <v>KRK1-USB4-003</v>
      </c>
      <c r="B9" s="443" t="str">
        <f>VLOOKUP(A9,'Feature Raw Data'!$A$3:$B$4024,2,FALSE)</f>
        <v>RS-FEC Activation and Deactivation</v>
      </c>
      <c r="C9" s="444" t="str">
        <f>VLOOKUP(A9,'Feature Raw Data'!$A$3:$C$4024,3,FALSE)</f>
        <v>P2</v>
      </c>
      <c r="D9" s="445" t="str" cm="1">
        <f t="array" ref="D9">_xlfn.TEXTJOIN("",TRUE,IF(ISNUMBER(SEARCH($A9,'Diags Raw Data'!$A$6:$A$3663)),CONCATENATE('Diags Raw Data'!$H$6:$H$3663,", "),""))</f>
        <v xml:space="preserve">USB4_LL_16.1-2, </v>
      </c>
      <c r="E9" s="446" t="str">
        <f>VLOOKUP(A9,'Diags Raw Data'!$A$6:$D$3663,4,FALSE)</f>
        <v>USB4</v>
      </c>
      <c r="F9" s="446" t="str">
        <f>VLOOKUP(A9,'Feature Raw Data'!$A$3:$E$4024,5,FALSE)</f>
        <v>Legacy</v>
      </c>
      <c r="G9" s="336" t="str">
        <f t="shared" si="0"/>
        <v>Yes</v>
      </c>
      <c r="H9" s="336" t="str">
        <f t="shared" si="1"/>
        <v>Yes</v>
      </c>
      <c r="I9" s="449">
        <f>SUMIF('Diags Raw Data'!$A$6:$A$3663,"*"&amp;$A9&amp;"*",'Diags Raw Data'!$K$6:$K$3663)</f>
        <v>1</v>
      </c>
      <c r="J9" s="450">
        <f>SUMIF('Diags Raw Data'!$A$6:$A$3663,"*"&amp;$A9&amp;"*",'Diags Raw Data'!$L$6:$L$3663)</f>
        <v>2</v>
      </c>
      <c r="K9" s="497" cm="1">
        <f t="array" ref="K9">IF(D9="",0, SUMPRODUCT(--(ISNUMBER(SEARCH($A9,'Diags Raw Data'!$A$6:$A$3663))),'Diags Raw Data'!$L$6:$L$3663,'Diags Raw Data'!$N$6:$N$3663)/J9)</f>
        <v>1</v>
      </c>
      <c r="L9" s="498" cm="1">
        <f t="array" ref="L9">IF(D9="",0, SUMPRODUCT(--(ISNUMBER(SEARCH($A9,'Diags Raw Data'!$A$6:$A$3663))),'Diags Raw Data'!$L$6:$L$3663,'Diags Raw Data'!$P$6:$P$3663)/J9)</f>
        <v>0</v>
      </c>
      <c r="M9" s="499" cm="1">
        <f t="array" ref="M9">SUMPRODUCT(--(ISNUMBER(SEARCH($A9,'Diags Raw Data'!$A$6:$A$3663))),--('Diags Raw Data'!$Q$6:$Q$3663&lt;&gt;"N/A"),'Diags Raw Data'!$R$6:$R$3663)</f>
        <v>2</v>
      </c>
      <c r="N9" s="500" cm="1">
        <f t="array" ref="N9">SUMPRODUCT(--(ISNUMBER(SEARCH($A9,'Diags Raw Data'!$A$6:$A$3663))),--('Diags Raw Data'!$Q$6:$Q$3663&lt;&gt;"N/A"),'Diags Raw Data'!$T$6:$T$3663)+SUMPRODUCT(--(ISNUMBER(SEARCH($A9,'Diags Raw Data'!$A$6:$A$3663))),--('Diags Raw Data'!$Q$6:$Q$3663&lt;&gt;"N/A"),'Diags Raw Data'!$U$6:$U$3663)</f>
        <v>0</v>
      </c>
      <c r="O9" s="501">
        <f t="shared" si="2"/>
        <v>0</v>
      </c>
      <c r="P9" s="502">
        <f>SUMIF('Diags Raw Data'!$A$6:$A$3663,"*"&amp;$A9&amp;"*",'Diags Raw Data'!$Z$6:$Z$3663)</f>
        <v>0</v>
      </c>
      <c r="Q9" s="503">
        <f>SUM(SUMIF('Diags Raw Data'!$A$6:$A$3663,"*"&amp;$A9&amp;"*",'Diags Raw Data'!$AA$6:$AA$3663),SUMIF('Diags Raw Data'!$A$6:$A$3663,"*"&amp;$A9&amp;"*",'Diags Raw Data'!$AB$6:$AB$3663))</f>
        <v>0</v>
      </c>
      <c r="R9" s="504">
        <f t="shared" si="3"/>
        <v>0</v>
      </c>
      <c r="S9" s="504">
        <f t="shared" si="4"/>
        <v>0</v>
      </c>
      <c r="T9" s="505">
        <f t="shared" si="5"/>
        <v>0</v>
      </c>
      <c r="U9" s="451" t="s">
        <v>461</v>
      </c>
      <c r="V9" s="181"/>
    </row>
    <row r="10" spans="1:23" ht="15.75" thickBot="1" x14ac:dyDescent="0.3">
      <c r="A10" s="442" t="str">
        <f>'Diags Raw Data'!A9</f>
        <v>KRK1-USB4-004</v>
      </c>
      <c r="B10" s="443" t="str">
        <f>VLOOKUP(A10,'Feature Raw Data'!$A$3:$B$4024,2,FALSE)</f>
        <v>Entry to Sleep</v>
      </c>
      <c r="C10" s="444" t="str">
        <f>VLOOKUP(A10,'Feature Raw Data'!$A$3:$C$4024,3,FALSE)</f>
        <v>P2</v>
      </c>
      <c r="D10" s="445" t="str" cm="1">
        <f t="array" ref="D10">_xlfn.TEXTJOIN("",TRUE,IF(ISNUMBER(SEARCH($A10,'Diags Raw Data'!$A$6:$A$3663)),CONCATENATE('Diags Raw Data'!$H$6:$H$3663,", "),""))</f>
        <v xml:space="preserve">USB4_LL_21.1-2, </v>
      </c>
      <c r="E10" s="446" t="str">
        <f>VLOOKUP(A10,'Diags Raw Data'!$A$6:$D$3663,4,FALSE)</f>
        <v>USB4</v>
      </c>
      <c r="F10" s="446" t="str">
        <f>VLOOKUP(A10,'Feature Raw Data'!$A$3:$E$4024,5,FALSE)</f>
        <v>Legacy</v>
      </c>
      <c r="G10" s="336" t="str">
        <f t="shared" si="0"/>
        <v>Yes</v>
      </c>
      <c r="H10" s="336" t="str">
        <f t="shared" si="1"/>
        <v>Yes</v>
      </c>
      <c r="I10" s="449">
        <f>SUMIF('Diags Raw Data'!$A$6:$A$3663,"*"&amp;$A10&amp;"*",'Diags Raw Data'!$K$6:$K$3663)</f>
        <v>1</v>
      </c>
      <c r="J10" s="450">
        <f>SUMIF('Diags Raw Data'!$A$6:$A$3663,"*"&amp;$A10&amp;"*",'Diags Raw Data'!$L$6:$L$3663)</f>
        <v>2</v>
      </c>
      <c r="K10" s="497" cm="1">
        <f t="array" ref="K10">IF(D10="",0, SUMPRODUCT(--(ISNUMBER(SEARCH($A10,'Diags Raw Data'!$A$6:$A$3663))),'Diags Raw Data'!$L$6:$L$3663,'Diags Raw Data'!$N$6:$N$3663)/J10)</f>
        <v>1</v>
      </c>
      <c r="L10" s="498" cm="1">
        <f t="array" ref="L10">IF(D10="",0, SUMPRODUCT(--(ISNUMBER(SEARCH($A10,'Diags Raw Data'!$A$6:$A$3663))),'Diags Raw Data'!$L$6:$L$3663,'Diags Raw Data'!$P$6:$P$3663)/J10)</f>
        <v>0</v>
      </c>
      <c r="M10" s="499" cm="1">
        <f t="array" ref="M10">SUMPRODUCT(--(ISNUMBER(SEARCH($A10,'Diags Raw Data'!$A$6:$A$3663))),--('Diags Raw Data'!$Q$6:$Q$3663&lt;&gt;"N/A"),'Diags Raw Data'!$R$6:$R$3663)</f>
        <v>2</v>
      </c>
      <c r="N10" s="500" cm="1">
        <f t="array" ref="N10">SUMPRODUCT(--(ISNUMBER(SEARCH($A10,'Diags Raw Data'!$A$6:$A$3663))),--('Diags Raw Data'!$Q$6:$Q$3663&lt;&gt;"N/A"),'Diags Raw Data'!$T$6:$T$3663)+SUMPRODUCT(--(ISNUMBER(SEARCH($A10,'Diags Raw Data'!$A$6:$A$3663))),--('Diags Raw Data'!$Q$6:$Q$3663&lt;&gt;"N/A"),'Diags Raw Data'!$U$6:$U$3663)</f>
        <v>0</v>
      </c>
      <c r="O10" s="501">
        <f t="shared" si="2"/>
        <v>0</v>
      </c>
      <c r="P10" s="502">
        <f>SUMIF('Diags Raw Data'!$A$6:$A$3663,"*"&amp;$A10&amp;"*",'Diags Raw Data'!$Z$6:$Z$3663)</f>
        <v>0</v>
      </c>
      <c r="Q10" s="503">
        <f>SUM(SUMIF('Diags Raw Data'!$A$6:$A$3663,"*"&amp;$A10&amp;"*",'Diags Raw Data'!$AA$6:$AA$3663),SUMIF('Diags Raw Data'!$A$6:$A$3663,"*"&amp;$A10&amp;"*",'Diags Raw Data'!$AB$6:$AB$3663))</f>
        <v>0</v>
      </c>
      <c r="R10" s="504">
        <f t="shared" si="3"/>
        <v>0</v>
      </c>
      <c r="S10" s="504">
        <f t="shared" si="4"/>
        <v>0</v>
      </c>
      <c r="T10" s="505">
        <f t="shared" si="5"/>
        <v>0</v>
      </c>
      <c r="U10" s="451" t="s">
        <v>462</v>
      </c>
      <c r="V10" s="181"/>
    </row>
    <row r="11" spans="1:23" ht="15.75" thickBot="1" x14ac:dyDescent="0.3">
      <c r="A11" s="442" t="str">
        <f>'Diags Raw Data'!A10</f>
        <v>KRK1-USB4-005</v>
      </c>
      <c r="B11" s="443" t="str">
        <f>VLOOKUP(A11,'Feature Raw Data'!$A$3:$B$4024,2,FALSE)</f>
        <v xml:space="preserve">Behavior in Sleep State </v>
      </c>
      <c r="C11" s="444" t="str">
        <f>VLOOKUP(A11,'Feature Raw Data'!$A$3:$C$4024,3,FALSE)</f>
        <v>P2</v>
      </c>
      <c r="D11" s="445" t="str" cm="1">
        <f t="array" ref="D11">_xlfn.TEXTJOIN("",TRUE,IF(ISNUMBER(SEARCH($A11,'Diags Raw Data'!$A$6:$A$3663)),CONCATENATE('Diags Raw Data'!$H$6:$H$3663,", "),""))</f>
        <v xml:space="preserve">USB4_LL_22.1-2, </v>
      </c>
      <c r="E11" s="446" t="str">
        <f>VLOOKUP(A11,'Diags Raw Data'!$A$6:$D$3663,4,FALSE)</f>
        <v>USB4</v>
      </c>
      <c r="F11" s="446" t="str">
        <f>VLOOKUP(A11,'Feature Raw Data'!$A$3:$E$4024,5,FALSE)</f>
        <v>Legacy</v>
      </c>
      <c r="G11" s="336" t="str">
        <f t="shared" si="0"/>
        <v>Yes</v>
      </c>
      <c r="H11" s="336" t="str">
        <f t="shared" si="1"/>
        <v>Yes</v>
      </c>
      <c r="I11" s="449">
        <f>SUMIF('Diags Raw Data'!$A$6:$A$3663,"*"&amp;$A11&amp;"*",'Diags Raw Data'!$K$6:$K$3663)</f>
        <v>1</v>
      </c>
      <c r="J11" s="450">
        <f>SUMIF('Diags Raw Data'!$A$6:$A$3663,"*"&amp;$A11&amp;"*",'Diags Raw Data'!$L$6:$L$3663)</f>
        <v>2</v>
      </c>
      <c r="K11" s="497" cm="1">
        <f t="array" ref="K11">IF(D11="",0, SUMPRODUCT(--(ISNUMBER(SEARCH($A11,'Diags Raw Data'!$A$6:$A$3663))),'Diags Raw Data'!$L$6:$L$3663,'Diags Raw Data'!$N$6:$N$3663)/J11)</f>
        <v>1</v>
      </c>
      <c r="L11" s="498" cm="1">
        <f t="array" ref="L11">IF(D11="",0, SUMPRODUCT(--(ISNUMBER(SEARCH($A11,'Diags Raw Data'!$A$6:$A$3663))),'Diags Raw Data'!$L$6:$L$3663,'Diags Raw Data'!$P$6:$P$3663)/J11)</f>
        <v>0</v>
      </c>
      <c r="M11" s="499" cm="1">
        <f t="array" ref="M11">SUMPRODUCT(--(ISNUMBER(SEARCH($A11,'Diags Raw Data'!$A$6:$A$3663))),--('Diags Raw Data'!$Q$6:$Q$3663&lt;&gt;"N/A"),'Diags Raw Data'!$R$6:$R$3663)</f>
        <v>2</v>
      </c>
      <c r="N11" s="500" cm="1">
        <f t="array" ref="N11">SUMPRODUCT(--(ISNUMBER(SEARCH($A11,'Diags Raw Data'!$A$6:$A$3663))),--('Diags Raw Data'!$Q$6:$Q$3663&lt;&gt;"N/A"),'Diags Raw Data'!$T$6:$T$3663)+SUMPRODUCT(--(ISNUMBER(SEARCH($A11,'Diags Raw Data'!$A$6:$A$3663))),--('Diags Raw Data'!$Q$6:$Q$3663&lt;&gt;"N/A"),'Diags Raw Data'!$U$6:$U$3663)</f>
        <v>0</v>
      </c>
      <c r="O11" s="501">
        <f t="shared" si="2"/>
        <v>0</v>
      </c>
      <c r="P11" s="502">
        <f>SUMIF('Diags Raw Data'!$A$6:$A$3663,"*"&amp;$A11&amp;"*",'Diags Raw Data'!$Z$6:$Z$3663)</f>
        <v>0</v>
      </c>
      <c r="Q11" s="503">
        <f>SUM(SUMIF('Diags Raw Data'!$A$6:$A$3663,"*"&amp;$A11&amp;"*",'Diags Raw Data'!$AA$6:$AA$3663),SUMIF('Diags Raw Data'!$A$6:$A$3663,"*"&amp;$A11&amp;"*",'Diags Raw Data'!$AB$6:$AB$3663))</f>
        <v>0</v>
      </c>
      <c r="R11" s="504">
        <f t="shared" si="3"/>
        <v>0</v>
      </c>
      <c r="S11" s="504">
        <f t="shared" si="4"/>
        <v>0</v>
      </c>
      <c r="T11" s="505">
        <f t="shared" si="5"/>
        <v>0</v>
      </c>
      <c r="U11" s="451" t="s">
        <v>463</v>
      </c>
      <c r="V11" s="181"/>
    </row>
    <row r="12" spans="1:23" ht="15.75" thickBot="1" x14ac:dyDescent="0.3">
      <c r="A12" s="442" t="str">
        <f>'Diags Raw Data'!A11</f>
        <v>KRK1-USB4-006</v>
      </c>
      <c r="B12" s="443" t="str">
        <f>VLOOKUP(A12,'Feature Raw Data'!$A$3:$B$4024,2,FALSE)</f>
        <v xml:space="preserve">Wake Events </v>
      </c>
      <c r="C12" s="444" t="str">
        <f>VLOOKUP(A12,'Feature Raw Data'!$A$3:$C$4024,3,FALSE)</f>
        <v>P2</v>
      </c>
      <c r="D12" s="445" t="str" cm="1">
        <f t="array" ref="D12">_xlfn.TEXTJOIN("",TRUE,IF(ISNUMBER(SEARCH($A12,'Diags Raw Data'!$A$6:$A$3663)),CONCATENATE('Diags Raw Data'!$H$6:$H$3663,", "),""))</f>
        <v xml:space="preserve">USB4_LL_23.1-2, </v>
      </c>
      <c r="E12" s="446" t="str">
        <f>VLOOKUP(A12,'Diags Raw Data'!$A$6:$D$3663,4,FALSE)</f>
        <v>USB4</v>
      </c>
      <c r="F12" s="446" t="str">
        <f>VLOOKUP(A12,'Feature Raw Data'!$A$3:$E$4024,5,FALSE)</f>
        <v>Legacy</v>
      </c>
      <c r="G12" s="336" t="str">
        <f t="shared" si="0"/>
        <v>Yes</v>
      </c>
      <c r="H12" s="336" t="str">
        <f t="shared" si="1"/>
        <v>Yes</v>
      </c>
      <c r="I12" s="449">
        <f>SUMIF('Diags Raw Data'!$A$6:$A$3663,"*"&amp;$A12&amp;"*",'Diags Raw Data'!$K$6:$K$3663)</f>
        <v>1</v>
      </c>
      <c r="J12" s="450">
        <f>SUMIF('Diags Raw Data'!$A$6:$A$3663,"*"&amp;$A12&amp;"*",'Diags Raw Data'!$L$6:$L$3663)</f>
        <v>2</v>
      </c>
      <c r="K12" s="497" cm="1">
        <f t="array" ref="K12">IF(D12="",0, SUMPRODUCT(--(ISNUMBER(SEARCH($A12,'Diags Raw Data'!$A$6:$A$3663))),'Diags Raw Data'!$L$6:$L$3663,'Diags Raw Data'!$N$6:$N$3663)/J12)</f>
        <v>1</v>
      </c>
      <c r="L12" s="498" cm="1">
        <f t="array" ref="L12">IF(D12="",0, SUMPRODUCT(--(ISNUMBER(SEARCH($A12,'Diags Raw Data'!$A$6:$A$3663))),'Diags Raw Data'!$L$6:$L$3663,'Diags Raw Data'!$P$6:$P$3663)/J12)</f>
        <v>0</v>
      </c>
      <c r="M12" s="499" cm="1">
        <f t="array" ref="M12">SUMPRODUCT(--(ISNUMBER(SEARCH($A12,'Diags Raw Data'!$A$6:$A$3663))),--('Diags Raw Data'!$Q$6:$Q$3663&lt;&gt;"N/A"),'Diags Raw Data'!$R$6:$R$3663)</f>
        <v>2</v>
      </c>
      <c r="N12" s="500" cm="1">
        <f t="array" ref="N12">SUMPRODUCT(--(ISNUMBER(SEARCH($A12,'Diags Raw Data'!$A$6:$A$3663))),--('Diags Raw Data'!$Q$6:$Q$3663&lt;&gt;"N/A"),'Diags Raw Data'!$T$6:$T$3663)+SUMPRODUCT(--(ISNUMBER(SEARCH($A12,'Diags Raw Data'!$A$6:$A$3663))),--('Diags Raw Data'!$Q$6:$Q$3663&lt;&gt;"N/A"),'Diags Raw Data'!$U$6:$U$3663)</f>
        <v>0</v>
      </c>
      <c r="O12" s="501">
        <f t="shared" si="2"/>
        <v>0</v>
      </c>
      <c r="P12" s="502">
        <f>SUMIF('Diags Raw Data'!$A$6:$A$3663,"*"&amp;$A12&amp;"*",'Diags Raw Data'!$Z$6:$Z$3663)</f>
        <v>0</v>
      </c>
      <c r="Q12" s="503">
        <f>SUM(SUMIF('Diags Raw Data'!$A$6:$A$3663,"*"&amp;$A12&amp;"*",'Diags Raw Data'!$AA$6:$AA$3663),SUMIF('Diags Raw Data'!$A$6:$A$3663,"*"&amp;$A12&amp;"*",'Diags Raw Data'!$AB$6:$AB$3663))</f>
        <v>0</v>
      </c>
      <c r="R12" s="504">
        <f t="shared" si="3"/>
        <v>0</v>
      </c>
      <c r="S12" s="504">
        <f t="shared" si="4"/>
        <v>0</v>
      </c>
      <c r="T12" s="505">
        <f t="shared" si="5"/>
        <v>0</v>
      </c>
      <c r="U12" s="451" t="s">
        <v>460</v>
      </c>
      <c r="V12" s="181"/>
    </row>
    <row r="13" spans="1:23" ht="15.75" thickBot="1" x14ac:dyDescent="0.3">
      <c r="A13" s="442" t="str">
        <f>'Diags Raw Data'!A12</f>
        <v>KRK1-USB4-007</v>
      </c>
      <c r="B13" s="443" t="str">
        <f>VLOOKUP(A13,'Feature Raw Data'!$A$3:$B$4024,2,FALSE)</f>
        <v>Exit from Sleep</v>
      </c>
      <c r="C13" s="444" t="str">
        <f>VLOOKUP(A13,'Feature Raw Data'!$A$3:$C$4024,3,FALSE)</f>
        <v>P2</v>
      </c>
      <c r="D13" s="445" t="str" cm="1">
        <f t="array" ref="D13">_xlfn.TEXTJOIN("",TRUE,IF(ISNUMBER(SEARCH($A13,'Diags Raw Data'!$A$6:$A$3663)),CONCATENATE('Diags Raw Data'!$H$6:$H$3663,", "),""))</f>
        <v xml:space="preserve">USB4_LL_24.1-2, </v>
      </c>
      <c r="E13" s="446" t="str">
        <f>VLOOKUP(A13,'Diags Raw Data'!$A$6:$D$3663,4,FALSE)</f>
        <v>USB4</v>
      </c>
      <c r="F13" s="446" t="str">
        <f>VLOOKUP(A13,'Feature Raw Data'!$A$3:$E$4024,5,FALSE)</f>
        <v>Legacy</v>
      </c>
      <c r="G13" s="336" t="str">
        <f t="shared" si="0"/>
        <v>Yes</v>
      </c>
      <c r="H13" s="336" t="str">
        <f t="shared" si="1"/>
        <v>Yes</v>
      </c>
      <c r="I13" s="449">
        <f>SUMIF('Diags Raw Data'!$A$6:$A$3663,"*"&amp;$A13&amp;"*",'Diags Raw Data'!$K$6:$K$3663)</f>
        <v>1</v>
      </c>
      <c r="J13" s="450">
        <f>SUMIF('Diags Raw Data'!$A$6:$A$3663,"*"&amp;$A13&amp;"*",'Diags Raw Data'!$L$6:$L$3663)</f>
        <v>2</v>
      </c>
      <c r="K13" s="497" cm="1">
        <f t="array" ref="K13">IF(D13="",0, SUMPRODUCT(--(ISNUMBER(SEARCH($A13,'Diags Raw Data'!$A$6:$A$3663))),'Diags Raw Data'!$L$6:$L$3663,'Diags Raw Data'!$N$6:$N$3663)/J13)</f>
        <v>1</v>
      </c>
      <c r="L13" s="498" cm="1">
        <f t="array" ref="L13">IF(D13="",0, SUMPRODUCT(--(ISNUMBER(SEARCH($A13,'Diags Raw Data'!$A$6:$A$3663))),'Diags Raw Data'!$L$6:$L$3663,'Diags Raw Data'!$P$6:$P$3663)/J13)</f>
        <v>0</v>
      </c>
      <c r="M13" s="499" cm="1">
        <f t="array" ref="M13">SUMPRODUCT(--(ISNUMBER(SEARCH($A13,'Diags Raw Data'!$A$6:$A$3663))),--('Diags Raw Data'!$Q$6:$Q$3663&lt;&gt;"N/A"),'Diags Raw Data'!$R$6:$R$3663)</f>
        <v>2</v>
      </c>
      <c r="N13" s="500" cm="1">
        <f t="array" ref="N13">SUMPRODUCT(--(ISNUMBER(SEARCH($A13,'Diags Raw Data'!$A$6:$A$3663))),--('Diags Raw Data'!$Q$6:$Q$3663&lt;&gt;"N/A"),'Diags Raw Data'!$T$6:$T$3663)+SUMPRODUCT(--(ISNUMBER(SEARCH($A13,'Diags Raw Data'!$A$6:$A$3663))),--('Diags Raw Data'!$Q$6:$Q$3663&lt;&gt;"N/A"),'Diags Raw Data'!$U$6:$U$3663)</f>
        <v>0</v>
      </c>
      <c r="O13" s="501">
        <f>IF((M13=0),0,N13/M13)</f>
        <v>0</v>
      </c>
      <c r="P13" s="502">
        <f>SUMIF('Diags Raw Data'!$A$6:$A$3663,"*"&amp;$A13&amp;"*",'Diags Raw Data'!$Z$6:$Z$3663)</f>
        <v>0</v>
      </c>
      <c r="Q13" s="503">
        <f>SUM(SUMIF('Diags Raw Data'!$A$6:$A$3663,"*"&amp;$A13&amp;"*",'Diags Raw Data'!$AA$6:$AA$3663),SUMIF('Diags Raw Data'!$A$6:$A$3663,"*"&amp;$A13&amp;"*",'Diags Raw Data'!$AB$6:$AB$3663))</f>
        <v>0</v>
      </c>
      <c r="R13" s="504">
        <f t="shared" si="3"/>
        <v>0</v>
      </c>
      <c r="S13" s="504">
        <f t="shared" si="4"/>
        <v>0</v>
      </c>
      <c r="T13" s="505">
        <f t="shared" si="5"/>
        <v>0</v>
      </c>
      <c r="U13" s="451" t="s">
        <v>47</v>
      </c>
      <c r="V13" s="181"/>
    </row>
    <row r="14" spans="1:23" ht="15.75" thickBot="1" x14ac:dyDescent="0.3">
      <c r="A14" s="442" t="str">
        <f>'Diags Raw Data'!A13</f>
        <v>KRK1-USB4-008</v>
      </c>
      <c r="B14" s="443" t="str">
        <f>VLOOKUP(A14,'Feature Raw Data'!$A$3:$B$4024,2,FALSE)</f>
        <v>Router Configuration Space</v>
      </c>
      <c r="C14" s="444" t="str">
        <f>VLOOKUP(A14,'Feature Raw Data'!$A$3:$C$4024,3,FALSE)</f>
        <v>P1</v>
      </c>
      <c r="D14" s="445" t="str" cm="1">
        <f t="array" ref="D14">_xlfn.TEXTJOIN("",TRUE,IF(ISNUMBER(SEARCH($A14,'Diags Raw Data'!$A$6:$A$3663)),CONCATENATE('Diags Raw Data'!$H$6:$H$3663,", "),""))</f>
        <v xml:space="preserve">USB4_CS_01.1-2, </v>
      </c>
      <c r="E14" s="446" t="str">
        <f>VLOOKUP(A14,'Diags Raw Data'!$A$6:$D$3663,4,FALSE)</f>
        <v>USB4</v>
      </c>
      <c r="F14" s="446" t="str">
        <f>VLOOKUP(A14,'Feature Raw Data'!$A$3:$E$4024,5,FALSE)</f>
        <v>Legacy</v>
      </c>
      <c r="G14" s="336" t="str">
        <f t="shared" si="0"/>
        <v>Yes</v>
      </c>
      <c r="H14" s="336" t="str">
        <f t="shared" si="1"/>
        <v>Yes</v>
      </c>
      <c r="I14" s="449">
        <f>SUMIF('Diags Raw Data'!$A$6:$A$3663,"*"&amp;$A14&amp;"*",'Diags Raw Data'!$K$6:$K$3663)</f>
        <v>1</v>
      </c>
      <c r="J14" s="450">
        <f>SUMIF('Diags Raw Data'!$A$6:$A$3663,"*"&amp;$A14&amp;"*",'Diags Raw Data'!$L$6:$L$3663)</f>
        <v>2</v>
      </c>
      <c r="K14" s="497" cm="1">
        <f t="array" ref="K14">IF(D14="",0, SUMPRODUCT(--(ISNUMBER(SEARCH($A14,'Diags Raw Data'!$A$6:$A$3663))),'Diags Raw Data'!$L$6:$L$3663,'Diags Raw Data'!$N$6:$N$3663)/J14)</f>
        <v>1</v>
      </c>
      <c r="L14" s="498" cm="1">
        <f t="array" ref="L14">IF(D14="",0, SUMPRODUCT(--(ISNUMBER(SEARCH($A14,'Diags Raw Data'!$A$6:$A$3663))),'Diags Raw Data'!$L$6:$L$3663,'Diags Raw Data'!$P$6:$P$3663)/J14)</f>
        <v>0</v>
      </c>
      <c r="M14" s="499" cm="1">
        <f t="array" ref="M14">SUMPRODUCT(--(ISNUMBER(SEARCH($A14,'Diags Raw Data'!$A$6:$A$3663))),--('Diags Raw Data'!$Q$6:$Q$3663&lt;&gt;"N/A"),'Diags Raw Data'!$R$6:$R$3663)</f>
        <v>2</v>
      </c>
      <c r="N14" s="500" cm="1">
        <f t="array" ref="N14">SUMPRODUCT(--(ISNUMBER(SEARCH($A14,'Diags Raw Data'!$A$6:$A$3663))),--('Diags Raw Data'!$Q$6:$Q$3663&lt;&gt;"N/A"),'Diags Raw Data'!$T$6:$T$3663)+SUMPRODUCT(--(ISNUMBER(SEARCH($A14,'Diags Raw Data'!$A$6:$A$3663))),--('Diags Raw Data'!$Q$6:$Q$3663&lt;&gt;"N/A"),'Diags Raw Data'!$U$6:$U$3663)</f>
        <v>0</v>
      </c>
      <c r="O14" s="501">
        <f t="shared" si="2"/>
        <v>0</v>
      </c>
      <c r="P14" s="502">
        <f>SUMIF('Diags Raw Data'!$A$6:$A$3663,"*"&amp;$A14&amp;"*",'Diags Raw Data'!$Z$6:$Z$3663)</f>
        <v>0</v>
      </c>
      <c r="Q14" s="503">
        <f>SUM(SUMIF('Diags Raw Data'!$A$6:$A$3663,"*"&amp;$A14&amp;"*",'Diags Raw Data'!$AA$6:$AA$3663),SUMIF('Diags Raw Data'!$A$6:$A$3663,"*"&amp;$A14&amp;"*",'Diags Raw Data'!$AB$6:$AB$3663))</f>
        <v>0</v>
      </c>
      <c r="R14" s="504">
        <f t="shared" si="3"/>
        <v>0</v>
      </c>
      <c r="S14" s="504">
        <f t="shared" si="4"/>
        <v>0</v>
      </c>
      <c r="T14" s="505">
        <f t="shared" si="5"/>
        <v>0</v>
      </c>
      <c r="U14" s="451" t="s">
        <v>461</v>
      </c>
      <c r="V14" s="181"/>
    </row>
    <row r="15" spans="1:23" ht="15.75" thickBot="1" x14ac:dyDescent="0.3">
      <c r="A15" s="442" t="str">
        <f>'Diags Raw Data'!A14</f>
        <v>KRK1-USB4-009</v>
      </c>
      <c r="B15" s="443" t="str">
        <f>VLOOKUP(A15,'Feature Raw Data'!$A$3:$B$4024,2,FALSE)</f>
        <v>Adapter Configuration Space</v>
      </c>
      <c r="C15" s="444" t="str">
        <f>VLOOKUP(A15,'Feature Raw Data'!$A$3:$C$4024,3,FALSE)</f>
        <v>P1</v>
      </c>
      <c r="D15" s="445" t="str" cm="1">
        <f t="array" ref="D15">_xlfn.TEXTJOIN("",TRUE,IF(ISNUMBER(SEARCH($A15,'Diags Raw Data'!$A$6:$A$3663)),CONCATENATE('Diags Raw Data'!$H$6:$H$3663,", "),""))</f>
        <v xml:space="preserve">USB4_CS_06.1-2, </v>
      </c>
      <c r="E15" s="446" t="str">
        <f>VLOOKUP(A15,'Diags Raw Data'!$A$6:$D$3663,4,FALSE)</f>
        <v>USB4</v>
      </c>
      <c r="F15" s="446" t="str">
        <f>VLOOKUP(A15,'Feature Raw Data'!$A$3:$E$4024,5,FALSE)</f>
        <v>Legacy</v>
      </c>
      <c r="G15" s="336" t="str">
        <f t="shared" si="0"/>
        <v>Yes</v>
      </c>
      <c r="H15" s="336" t="str">
        <f t="shared" si="1"/>
        <v>Yes</v>
      </c>
      <c r="I15" s="449">
        <f>SUMIF('Diags Raw Data'!$A$6:$A$3663,"*"&amp;$A15&amp;"*",'Diags Raw Data'!$K$6:$K$3663)</f>
        <v>1</v>
      </c>
      <c r="J15" s="450">
        <f>SUMIF('Diags Raw Data'!$A$6:$A$3663,"*"&amp;$A15&amp;"*",'Diags Raw Data'!$L$6:$L$3663)</f>
        <v>2</v>
      </c>
      <c r="K15" s="497" cm="1">
        <f t="array" ref="K15">IF(D15="",0, SUMPRODUCT(--(ISNUMBER(SEARCH($A15,'Diags Raw Data'!$A$6:$A$3663))),'Diags Raw Data'!$L$6:$L$3663,'Diags Raw Data'!$N$6:$N$3663)/J15)</f>
        <v>1</v>
      </c>
      <c r="L15" s="498" cm="1">
        <f t="array" ref="L15">IF(D15="",0, SUMPRODUCT(--(ISNUMBER(SEARCH($A15,'Diags Raw Data'!$A$6:$A$3663))),'Diags Raw Data'!$L$6:$L$3663,'Diags Raw Data'!$P$6:$P$3663)/J15)</f>
        <v>0</v>
      </c>
      <c r="M15" s="499" cm="1">
        <f t="array" ref="M15">SUMPRODUCT(--(ISNUMBER(SEARCH($A15,'Diags Raw Data'!$A$6:$A$3663))),--('Diags Raw Data'!$Q$6:$Q$3663&lt;&gt;"N/A"),'Diags Raw Data'!$R$6:$R$3663)</f>
        <v>2</v>
      </c>
      <c r="N15" s="500" cm="1">
        <f t="array" ref="N15">SUMPRODUCT(--(ISNUMBER(SEARCH($A15,'Diags Raw Data'!$A$6:$A$3663))),--('Diags Raw Data'!$Q$6:$Q$3663&lt;&gt;"N/A"),'Diags Raw Data'!$T$6:$T$3663)+SUMPRODUCT(--(ISNUMBER(SEARCH($A15,'Diags Raw Data'!$A$6:$A$3663))),--('Diags Raw Data'!$Q$6:$Q$3663&lt;&gt;"N/A"),'Diags Raw Data'!$U$6:$U$3663)</f>
        <v>0</v>
      </c>
      <c r="O15" s="501">
        <f t="shared" si="2"/>
        <v>0</v>
      </c>
      <c r="P15" s="502">
        <f>SUMIF('Diags Raw Data'!$A$6:$A$3663,"*"&amp;$A15&amp;"*",'Diags Raw Data'!$Z$6:$Z$3663)</f>
        <v>0</v>
      </c>
      <c r="Q15" s="503">
        <f>SUM(SUMIF('Diags Raw Data'!$A$6:$A$3663,"*"&amp;$A15&amp;"*",'Diags Raw Data'!$AA$6:$AA$3663),SUMIF('Diags Raw Data'!$A$6:$A$3663,"*"&amp;$A15&amp;"*",'Diags Raw Data'!$AB$6:$AB$3663))</f>
        <v>0</v>
      </c>
      <c r="R15" s="504">
        <f t="shared" si="3"/>
        <v>0</v>
      </c>
      <c r="S15" s="504">
        <f t="shared" si="4"/>
        <v>0</v>
      </c>
      <c r="T15" s="505">
        <f t="shared" si="5"/>
        <v>0</v>
      </c>
      <c r="U15" s="451" t="s">
        <v>461</v>
      </c>
      <c r="V15" s="181"/>
    </row>
    <row r="16" spans="1:23" ht="15.75" thickBot="1" x14ac:dyDescent="0.3">
      <c r="A16" s="442" t="str">
        <f>'Diags Raw Data'!A15</f>
        <v>KRK1-USB4-010</v>
      </c>
      <c r="B16" s="443" t="str">
        <f>VLOOKUP(A16,'Feature Raw Data'!$A$3:$B$4024,2,FALSE)</f>
        <v>Path Configuration Space</v>
      </c>
      <c r="C16" s="444" t="str">
        <f>VLOOKUP(A16,'Feature Raw Data'!$A$3:$C$4024,3,FALSE)</f>
        <v>P1</v>
      </c>
      <c r="D16" s="445" t="str" cm="1">
        <f t="array" ref="D16">_xlfn.TEXTJOIN("",TRUE,IF(ISNUMBER(SEARCH($A16,'Diags Raw Data'!$A$6:$A$3663)),CONCATENATE('Diags Raw Data'!$H$6:$H$3663,", "),""))</f>
        <v xml:space="preserve">USB4_CS_14.1-2, </v>
      </c>
      <c r="E16" s="446" t="str">
        <f>VLOOKUP(A16,'Diags Raw Data'!$A$6:$D$3663,4,FALSE)</f>
        <v>USB4</v>
      </c>
      <c r="F16" s="446" t="str">
        <f>VLOOKUP(A16,'Feature Raw Data'!$A$3:$E$4024,5,FALSE)</f>
        <v>Legacy</v>
      </c>
      <c r="G16" s="336" t="str">
        <f t="shared" si="0"/>
        <v>Yes</v>
      </c>
      <c r="H16" s="336" t="str">
        <f t="shared" si="1"/>
        <v>Yes</v>
      </c>
      <c r="I16" s="449">
        <f>SUMIF('Diags Raw Data'!$A$6:$A$3663,"*"&amp;$A16&amp;"*",'Diags Raw Data'!$K$6:$K$3663)</f>
        <v>1</v>
      </c>
      <c r="J16" s="450">
        <f>SUMIF('Diags Raw Data'!$A$6:$A$3663,"*"&amp;$A16&amp;"*",'Diags Raw Data'!$L$6:$L$3663)</f>
        <v>2</v>
      </c>
      <c r="K16" s="497" cm="1">
        <f t="array" ref="K16">IF(D16="",0, SUMPRODUCT(--(ISNUMBER(SEARCH($A16,'Diags Raw Data'!$A$6:$A$3663))),'Diags Raw Data'!$L$6:$L$3663,'Diags Raw Data'!$N$6:$N$3663)/J16)</f>
        <v>1</v>
      </c>
      <c r="L16" s="498" cm="1">
        <f t="array" ref="L16">IF(D16="",0, SUMPRODUCT(--(ISNUMBER(SEARCH($A16,'Diags Raw Data'!$A$6:$A$3663))),'Diags Raw Data'!$L$6:$L$3663,'Diags Raw Data'!$P$6:$P$3663)/J16)</f>
        <v>0</v>
      </c>
      <c r="M16" s="499" cm="1">
        <f t="array" ref="M16">SUMPRODUCT(--(ISNUMBER(SEARCH($A16,'Diags Raw Data'!$A$6:$A$3663))),--('Diags Raw Data'!$Q$6:$Q$3663&lt;&gt;"N/A"),'Diags Raw Data'!$R$6:$R$3663)</f>
        <v>2</v>
      </c>
      <c r="N16" s="500" cm="1">
        <f t="array" ref="N16">SUMPRODUCT(--(ISNUMBER(SEARCH($A16,'Diags Raw Data'!$A$6:$A$3663))),--('Diags Raw Data'!$Q$6:$Q$3663&lt;&gt;"N/A"),'Diags Raw Data'!$T$6:$T$3663)+SUMPRODUCT(--(ISNUMBER(SEARCH($A16,'Diags Raw Data'!$A$6:$A$3663))),--('Diags Raw Data'!$Q$6:$Q$3663&lt;&gt;"N/A"),'Diags Raw Data'!$U$6:$U$3663)</f>
        <v>0</v>
      </c>
      <c r="O16" s="501">
        <f t="shared" si="2"/>
        <v>0</v>
      </c>
      <c r="P16" s="502">
        <f>SUMIF('Diags Raw Data'!$A$6:$A$3663,"*"&amp;$A16&amp;"*",'Diags Raw Data'!$Z$6:$Z$3663)</f>
        <v>0</v>
      </c>
      <c r="Q16" s="503">
        <f>SUM(SUMIF('Diags Raw Data'!$A$6:$A$3663,"*"&amp;$A16&amp;"*",'Diags Raw Data'!$AA$6:$AA$3663),SUMIF('Diags Raw Data'!$A$6:$A$3663,"*"&amp;$A16&amp;"*",'Diags Raw Data'!$AB$6:$AB$3663))</f>
        <v>0</v>
      </c>
      <c r="R16" s="504">
        <f t="shared" si="3"/>
        <v>0</v>
      </c>
      <c r="S16" s="504">
        <f t="shared" si="4"/>
        <v>0</v>
      </c>
      <c r="T16" s="505">
        <f t="shared" si="5"/>
        <v>0</v>
      </c>
      <c r="U16" s="451" t="s">
        <v>461</v>
      </c>
      <c r="V16" s="181"/>
    </row>
    <row r="17" spans="1:22" s="184" customFormat="1" ht="15.75" thickBot="1" x14ac:dyDescent="0.3">
      <c r="A17" s="442" t="str">
        <f>'Diags Raw Data'!A16</f>
        <v>KRK1-USB4-011</v>
      </c>
      <c r="B17" s="443" t="str">
        <f>VLOOKUP(A17,'Feature Raw Data'!$A$3:$B$4024,2,FALSE)</f>
        <v>USB4 Host interface test</v>
      </c>
      <c r="C17" s="444" t="str">
        <f>VLOOKUP(A17,'Feature Raw Data'!$A$3:$C$4024,3,FALSE)</f>
        <v>P2</v>
      </c>
      <c r="D17" s="445" t="str" cm="1">
        <f t="array" ref="D17">_xlfn.TEXTJOIN("",TRUE,IF(ISNUMBER(SEARCH($A17,'Diags Raw Data'!$A$6:$A$3663)),CONCATENATE('Diags Raw Data'!$H$6:$H$3663,", "),""))</f>
        <v xml:space="preserve">USB4_TS_02.1-2, </v>
      </c>
      <c r="E17" s="446" t="str">
        <f>VLOOKUP(A17,'Diags Raw Data'!$A$6:$D$3663,4,FALSE)</f>
        <v>USB4</v>
      </c>
      <c r="F17" s="446" t="str">
        <f>VLOOKUP(A17,'Feature Raw Data'!$A$3:$E$4024,5,FALSE)</f>
        <v>Legacy</v>
      </c>
      <c r="G17" s="336" t="str">
        <f t="shared" si="0"/>
        <v>Yes</v>
      </c>
      <c r="H17" s="336" t="str">
        <f t="shared" si="1"/>
        <v>Yes</v>
      </c>
      <c r="I17" s="449">
        <f>SUMIF('Diags Raw Data'!$A$6:$A$3663,"*"&amp;$A17&amp;"*",'Diags Raw Data'!$K$6:$K$3663)</f>
        <v>1</v>
      </c>
      <c r="J17" s="450">
        <f>SUMIF('Diags Raw Data'!$A$6:$A$3663,"*"&amp;$A17&amp;"*",'Diags Raw Data'!$L$6:$L$3663)</f>
        <v>2</v>
      </c>
      <c r="K17" s="497" cm="1">
        <f t="array" ref="K17">IF(D17="",0, SUMPRODUCT(--(ISNUMBER(SEARCH($A17,'Diags Raw Data'!$A$6:$A$3663))),'Diags Raw Data'!$L$6:$L$3663,'Diags Raw Data'!$N$6:$N$3663)/J17)</f>
        <v>1</v>
      </c>
      <c r="L17" s="498" cm="1">
        <f t="array" ref="L17">IF(D17="",0, SUMPRODUCT(--(ISNUMBER(SEARCH($A17,'Diags Raw Data'!$A$6:$A$3663))),'Diags Raw Data'!$L$6:$L$3663,'Diags Raw Data'!$P$6:$P$3663)/J17)</f>
        <v>0</v>
      </c>
      <c r="M17" s="499" cm="1">
        <f t="array" ref="M17">SUMPRODUCT(--(ISNUMBER(SEARCH($A17,'Diags Raw Data'!$A$6:$A$3663))),--('Diags Raw Data'!$Q$6:$Q$3663&lt;&gt;"N/A"),'Diags Raw Data'!$R$6:$R$3663)</f>
        <v>2</v>
      </c>
      <c r="N17" s="500" cm="1">
        <f t="array" ref="N17">SUMPRODUCT(--(ISNUMBER(SEARCH($A17,'Diags Raw Data'!$A$6:$A$3663))),--('Diags Raw Data'!$Q$6:$Q$3663&lt;&gt;"N/A"),'Diags Raw Data'!$T$6:$T$3663)+SUMPRODUCT(--(ISNUMBER(SEARCH($A17,'Diags Raw Data'!$A$6:$A$3663))),--('Diags Raw Data'!$Q$6:$Q$3663&lt;&gt;"N/A"),'Diags Raw Data'!$U$6:$U$3663)</f>
        <v>0</v>
      </c>
      <c r="O17" s="501">
        <f t="shared" si="2"/>
        <v>0</v>
      </c>
      <c r="P17" s="502">
        <f>SUMIF('Diags Raw Data'!$A$6:$A$3663,"*"&amp;$A17&amp;"*",'Diags Raw Data'!$Z$6:$Z$3663)</f>
        <v>0</v>
      </c>
      <c r="Q17" s="503">
        <f>SUM(SUMIF('Diags Raw Data'!$A$6:$A$3663,"*"&amp;$A17&amp;"*",'Diags Raw Data'!$AA$6:$AA$3663),SUMIF('Diags Raw Data'!$A$6:$A$3663,"*"&amp;$A17&amp;"*",'Diags Raw Data'!$AB$6:$AB$3663))</f>
        <v>0</v>
      </c>
      <c r="R17" s="504">
        <f t="shared" si="3"/>
        <v>0</v>
      </c>
      <c r="S17" s="504">
        <f t="shared" si="4"/>
        <v>0</v>
      </c>
      <c r="T17" s="505">
        <f t="shared" si="5"/>
        <v>0</v>
      </c>
      <c r="U17" s="451" t="s">
        <v>462</v>
      </c>
      <c r="V17" s="183"/>
    </row>
    <row r="18" spans="1:22" ht="15.75" thickBot="1" x14ac:dyDescent="0.3">
      <c r="A18" s="442" t="str">
        <f>'Diags Raw Data'!A17</f>
        <v>KRK1-USB4-012</v>
      </c>
      <c r="B18" s="443" t="str">
        <f>VLOOKUP(A18,'Feature Raw Data'!$A$3:$B$4024,2,FALSE)</f>
        <v>Type-C Flip Test</v>
      </c>
      <c r="C18" s="444" t="str">
        <f>VLOOKUP(A18,'Feature Raw Data'!$A$3:$C$4024,3,FALSE)</f>
        <v>P2</v>
      </c>
      <c r="D18" s="445" t="str" cm="1">
        <f t="array" ref="D18">_xlfn.TEXTJOIN("",TRUE,IF(ISNUMBER(SEARCH($A18,'Diags Raw Data'!$A$6:$A$3663)),CONCATENATE('Diags Raw Data'!$H$6:$H$3663,", "),""))</f>
        <v xml:space="preserve">USB4_TS_05.1-2, </v>
      </c>
      <c r="E18" s="446" t="str">
        <f>VLOOKUP(A18,'Diags Raw Data'!$A$6:$D$3663,4,FALSE)</f>
        <v>USB</v>
      </c>
      <c r="F18" s="446" t="str">
        <f>VLOOKUP(A18,'Feature Raw Data'!$A$3:$E$4024,5,FALSE)</f>
        <v>Legacy</v>
      </c>
      <c r="G18" s="336" t="str">
        <f t="shared" si="0"/>
        <v>Yes</v>
      </c>
      <c r="H18" s="336" t="str">
        <f t="shared" si="1"/>
        <v>Yes</v>
      </c>
      <c r="I18" s="449">
        <f>SUMIF('Diags Raw Data'!$A$6:$A$3663,"*"&amp;$A18&amp;"*",'Diags Raw Data'!$K$6:$K$3663)</f>
        <v>1</v>
      </c>
      <c r="J18" s="450">
        <f>SUMIF('Diags Raw Data'!$A$6:$A$3663,"*"&amp;$A18&amp;"*",'Diags Raw Data'!$L$6:$L$3663)</f>
        <v>2</v>
      </c>
      <c r="K18" s="497" cm="1">
        <f t="array" ref="K18">IF(D18="",0, SUMPRODUCT(--(ISNUMBER(SEARCH($A18,'Diags Raw Data'!$A$6:$A$3663))),'Diags Raw Data'!$L$6:$L$3663,'Diags Raw Data'!$N$6:$N$3663)/J18)</f>
        <v>1</v>
      </c>
      <c r="L18" s="498" cm="1">
        <f t="array" ref="L18">IF(D18="",0, SUMPRODUCT(--(ISNUMBER(SEARCH($A18,'Diags Raw Data'!$A$6:$A$3663))),'Diags Raw Data'!$L$6:$L$3663,'Diags Raw Data'!$P$6:$P$3663)/J18)</f>
        <v>0</v>
      </c>
      <c r="M18" s="499" cm="1">
        <f t="array" ref="M18">SUMPRODUCT(--(ISNUMBER(SEARCH($A18,'Diags Raw Data'!$A$6:$A$3663))),--('Diags Raw Data'!$Q$6:$Q$3663&lt;&gt;"N/A"),'Diags Raw Data'!$R$6:$R$3663)</f>
        <v>2</v>
      </c>
      <c r="N18" s="500" cm="1">
        <f t="array" ref="N18">SUMPRODUCT(--(ISNUMBER(SEARCH($A18,'Diags Raw Data'!$A$6:$A$3663))),--('Diags Raw Data'!$Q$6:$Q$3663&lt;&gt;"N/A"),'Diags Raw Data'!$T$6:$T$3663)+SUMPRODUCT(--(ISNUMBER(SEARCH($A18,'Diags Raw Data'!$A$6:$A$3663))),--('Diags Raw Data'!$Q$6:$Q$3663&lt;&gt;"N/A"),'Diags Raw Data'!$U$6:$U$3663)</f>
        <v>0</v>
      </c>
      <c r="O18" s="501">
        <f t="shared" si="2"/>
        <v>0</v>
      </c>
      <c r="P18" s="502">
        <f>SUMIF('Diags Raw Data'!$A$6:$A$3663,"*"&amp;$A18&amp;"*",'Diags Raw Data'!$Z$6:$Z$3663)</f>
        <v>0</v>
      </c>
      <c r="Q18" s="503">
        <f>SUM(SUMIF('Diags Raw Data'!$A$6:$A$3663,"*"&amp;$A18&amp;"*",'Diags Raw Data'!$AA$6:$AA$3663),SUMIF('Diags Raw Data'!$A$6:$A$3663,"*"&amp;$A18&amp;"*",'Diags Raw Data'!$AB$6:$AB$3663))</f>
        <v>0</v>
      </c>
      <c r="R18" s="504">
        <f t="shared" si="3"/>
        <v>0</v>
      </c>
      <c r="S18" s="504">
        <f t="shared" si="4"/>
        <v>0</v>
      </c>
      <c r="T18" s="505">
        <f t="shared" si="5"/>
        <v>0</v>
      </c>
      <c r="U18" s="451" t="s">
        <v>47</v>
      </c>
      <c r="V18" s="181"/>
    </row>
    <row r="19" spans="1:22" ht="15.75" thickBot="1" x14ac:dyDescent="0.3">
      <c r="A19" s="442" t="str">
        <f>'Diags Raw Data'!A18</f>
        <v>KRK1-USB4-013</v>
      </c>
      <c r="B19" s="443" t="str">
        <f>VLOOKUP(A19,'Feature Raw Data'!$A$3:$B$4024,2,FALSE)</f>
        <v>USB4 Enumeration and Tunneling performance</v>
      </c>
      <c r="C19" s="444" t="str">
        <f>VLOOKUP(A19,'Feature Raw Data'!$A$3:$C$4024,3,FALSE)</f>
        <v>P2</v>
      </c>
      <c r="D19" s="445" t="str" cm="1">
        <f t="array" ref="D19">_xlfn.TEXTJOIN("",TRUE,IF(ISNUMBER(SEARCH($A19,'Diags Raw Data'!$A$6:$A$3663)),CONCATENATE('Diags Raw Data'!$H$6:$H$3663,", "),""))</f>
        <v xml:space="preserve">USB4_ENH_01.1-2, </v>
      </c>
      <c r="E19" s="446" t="str">
        <f>VLOOKUP(A19,'Diags Raw Data'!$A$6:$D$3663,4,FALSE)</f>
        <v>USB4</v>
      </c>
      <c r="F19" s="446" t="str">
        <f>VLOOKUP(A19,'Feature Raw Data'!$A$3:$E$4024,5,FALSE)</f>
        <v>Legacy</v>
      </c>
      <c r="G19" s="336" t="str">
        <f t="shared" si="0"/>
        <v>Yes</v>
      </c>
      <c r="H19" s="336" t="str">
        <f t="shared" si="1"/>
        <v>Yes</v>
      </c>
      <c r="I19" s="449">
        <f>SUMIF('Diags Raw Data'!$A$6:$A$3663,"*"&amp;$A19&amp;"*",'Diags Raw Data'!$K$6:$K$3663)</f>
        <v>1</v>
      </c>
      <c r="J19" s="450">
        <f>SUMIF('Diags Raw Data'!$A$6:$A$3663,"*"&amp;$A19&amp;"*",'Diags Raw Data'!$L$6:$L$3663)</f>
        <v>2</v>
      </c>
      <c r="K19" s="497" cm="1">
        <f t="array" ref="K19">IF(D19="",0, SUMPRODUCT(--(ISNUMBER(SEARCH($A19,'Diags Raw Data'!$A$6:$A$3663))),'Diags Raw Data'!$L$6:$L$3663,'Diags Raw Data'!$N$6:$N$3663)/J19)</f>
        <v>1</v>
      </c>
      <c r="L19" s="498" cm="1">
        <f t="array" ref="L19">IF(D19="",0, SUMPRODUCT(--(ISNUMBER(SEARCH($A19,'Diags Raw Data'!$A$6:$A$3663))),'Diags Raw Data'!$L$6:$L$3663,'Diags Raw Data'!$P$6:$P$3663)/J19)</f>
        <v>0</v>
      </c>
      <c r="M19" s="499" cm="1">
        <f t="array" ref="M19">SUMPRODUCT(--(ISNUMBER(SEARCH($A19,'Diags Raw Data'!$A$6:$A$3663))),--('Diags Raw Data'!$Q$6:$Q$3663&lt;&gt;"N/A"),'Diags Raw Data'!$R$6:$R$3663)</f>
        <v>2</v>
      </c>
      <c r="N19" s="500" cm="1">
        <f t="array" ref="N19">SUMPRODUCT(--(ISNUMBER(SEARCH($A19,'Diags Raw Data'!$A$6:$A$3663))),--('Diags Raw Data'!$Q$6:$Q$3663&lt;&gt;"N/A"),'Diags Raw Data'!$T$6:$T$3663)+SUMPRODUCT(--(ISNUMBER(SEARCH($A19,'Diags Raw Data'!$A$6:$A$3663))),--('Diags Raw Data'!$Q$6:$Q$3663&lt;&gt;"N/A"),'Diags Raw Data'!$U$6:$U$3663)</f>
        <v>0</v>
      </c>
      <c r="O19" s="501">
        <f t="shared" si="2"/>
        <v>0</v>
      </c>
      <c r="P19" s="502">
        <f>SUMIF('Diags Raw Data'!$A$6:$A$3663,"*"&amp;$A19&amp;"*",'Diags Raw Data'!$Z$6:$Z$3663)</f>
        <v>0</v>
      </c>
      <c r="Q19" s="503">
        <f>SUM(SUMIF('Diags Raw Data'!$A$6:$A$3663,"*"&amp;$A19&amp;"*",'Diags Raw Data'!$AA$6:$AA$3663),SUMIF('Diags Raw Data'!$A$6:$A$3663,"*"&amp;$A19&amp;"*",'Diags Raw Data'!$AB$6:$AB$3663))</f>
        <v>0</v>
      </c>
      <c r="R19" s="504">
        <f t="shared" si="3"/>
        <v>0</v>
      </c>
      <c r="S19" s="504">
        <f t="shared" si="4"/>
        <v>0</v>
      </c>
      <c r="T19" s="505">
        <f t="shared" si="5"/>
        <v>0</v>
      </c>
      <c r="U19" s="451" t="s">
        <v>47</v>
      </c>
      <c r="V19" s="181"/>
    </row>
    <row r="20" spans="1:22" ht="15.75" thickBot="1" x14ac:dyDescent="0.3">
      <c r="A20" s="442" t="str">
        <f>'Diags Raw Data'!A19</f>
        <v>KRK1-USB4-014</v>
      </c>
      <c r="B20" s="443" t="str">
        <f>VLOOKUP(A20,'Feature Raw Data'!$A$3:$B$4024,2,FALSE)</f>
        <v>USB4 Gen3 and Gen2 - Single lane and dual lane operation</v>
      </c>
      <c r="C20" s="444" t="str">
        <f>VLOOKUP(A20,'Feature Raw Data'!$A$3:$C$4024,3,FALSE)</f>
        <v>P2</v>
      </c>
      <c r="D20" s="445" t="str" cm="1">
        <f t="array" ref="D20">_xlfn.TEXTJOIN("",TRUE,IF(ISNUMBER(SEARCH($A20,'Diags Raw Data'!$A$6:$A$3663)),CONCATENATE('Diags Raw Data'!$H$6:$H$3663,", "),""))</f>
        <v xml:space="preserve">USB4_ENH_02.1-2, </v>
      </c>
      <c r="E20" s="446" t="str">
        <f>VLOOKUP(A20,'Diags Raw Data'!$A$6:$D$3663,4,FALSE)</f>
        <v>USB4</v>
      </c>
      <c r="F20" s="446" t="str">
        <f>VLOOKUP(A20,'Feature Raw Data'!$A$3:$E$4024,5,FALSE)</f>
        <v>Legacy</v>
      </c>
      <c r="G20" s="336" t="str">
        <f t="shared" si="0"/>
        <v>Yes</v>
      </c>
      <c r="H20" s="336" t="str">
        <f t="shared" si="1"/>
        <v>Yes</v>
      </c>
      <c r="I20" s="449">
        <f>SUMIF('Diags Raw Data'!$A$6:$A$3663,"*"&amp;$A20&amp;"*",'Diags Raw Data'!$K$6:$K$3663)</f>
        <v>1</v>
      </c>
      <c r="J20" s="450">
        <f>SUMIF('Diags Raw Data'!$A$6:$A$3663,"*"&amp;$A20&amp;"*",'Diags Raw Data'!$L$6:$L$3663)</f>
        <v>2</v>
      </c>
      <c r="K20" s="497" cm="1">
        <f t="array" ref="K20">IF(D20="",0, SUMPRODUCT(--(ISNUMBER(SEARCH($A20,'Diags Raw Data'!$A$6:$A$3663))),'Diags Raw Data'!$L$6:$L$3663,'Diags Raw Data'!$N$6:$N$3663)/J20)</f>
        <v>1</v>
      </c>
      <c r="L20" s="498" cm="1">
        <f t="array" ref="L20">IF(D20="",0, SUMPRODUCT(--(ISNUMBER(SEARCH($A20,'Diags Raw Data'!$A$6:$A$3663))),'Diags Raw Data'!$L$6:$L$3663,'Diags Raw Data'!$P$6:$P$3663)/J20)</f>
        <v>0</v>
      </c>
      <c r="M20" s="499" cm="1">
        <f t="array" ref="M20">SUMPRODUCT(--(ISNUMBER(SEARCH($A20,'Diags Raw Data'!$A$6:$A$3663))),--('Diags Raw Data'!$Q$6:$Q$3663&lt;&gt;"N/A"),'Diags Raw Data'!$R$6:$R$3663)</f>
        <v>2</v>
      </c>
      <c r="N20" s="500" cm="1">
        <f t="array" ref="N20">SUMPRODUCT(--(ISNUMBER(SEARCH($A20,'Diags Raw Data'!$A$6:$A$3663))),--('Diags Raw Data'!$Q$6:$Q$3663&lt;&gt;"N/A"),'Diags Raw Data'!$T$6:$T$3663)+SUMPRODUCT(--(ISNUMBER(SEARCH($A20,'Diags Raw Data'!$A$6:$A$3663))),--('Diags Raw Data'!$Q$6:$Q$3663&lt;&gt;"N/A"),'Diags Raw Data'!$U$6:$U$3663)</f>
        <v>0</v>
      </c>
      <c r="O20" s="501">
        <f t="shared" si="2"/>
        <v>0</v>
      </c>
      <c r="P20" s="502">
        <f>SUMIF('Diags Raw Data'!$A$6:$A$3663,"*"&amp;$A20&amp;"*",'Diags Raw Data'!$Z$6:$Z$3663)</f>
        <v>0</v>
      </c>
      <c r="Q20" s="503">
        <f>SUM(SUMIF('Diags Raw Data'!$A$6:$A$3663,"*"&amp;$A20&amp;"*",'Diags Raw Data'!$AA$6:$AA$3663),SUMIF('Diags Raw Data'!$A$6:$A$3663,"*"&amp;$A20&amp;"*",'Diags Raw Data'!$AB$6:$AB$3663))</f>
        <v>0</v>
      </c>
      <c r="R20" s="504">
        <f t="shared" si="3"/>
        <v>0</v>
      </c>
      <c r="S20" s="504">
        <f t="shared" si="4"/>
        <v>0</v>
      </c>
      <c r="T20" s="505">
        <f t="shared" si="5"/>
        <v>0</v>
      </c>
      <c r="U20" s="451" t="s">
        <v>47</v>
      </c>
      <c r="V20" s="181"/>
    </row>
    <row r="21" spans="1:22" ht="15.75" thickBot="1" x14ac:dyDescent="0.3">
      <c r="A21" s="442" t="str">
        <f>'Diags Raw Data'!A20</f>
        <v>KRK1-USB4-015</v>
      </c>
      <c r="B21" s="443" t="str">
        <f>VLOOKUP(A21,'Feature Raw Data'!$A$3:$B$4024,2,FALSE)</f>
        <v>USB4 Alt Modes for Thunderbolt and Display</v>
      </c>
      <c r="C21" s="444" t="str">
        <f>VLOOKUP(A21,'Feature Raw Data'!$A$3:$C$4024,3,FALSE)</f>
        <v>P2</v>
      </c>
      <c r="D21" s="445" t="str" cm="1">
        <f t="array" ref="D21">_xlfn.TEXTJOIN("",TRUE,IF(ISNUMBER(SEARCH($A21,'Diags Raw Data'!$A$6:$A$3663)),CONCATENATE('Diags Raw Data'!$H$6:$H$3663,", "),""))</f>
        <v xml:space="preserve">USB4_ENH_03.1-2, </v>
      </c>
      <c r="E21" s="446" t="str">
        <f>VLOOKUP(A21,'Diags Raw Data'!$A$6:$D$3663,4,FALSE)</f>
        <v>USB4</v>
      </c>
      <c r="F21" s="446" t="str">
        <f>VLOOKUP(A21,'Feature Raw Data'!$A$3:$E$4024,5,FALSE)</f>
        <v>Legacy</v>
      </c>
      <c r="G21" s="336" t="str">
        <f t="shared" si="0"/>
        <v>Yes</v>
      </c>
      <c r="H21" s="336" t="str">
        <f t="shared" si="1"/>
        <v>Yes</v>
      </c>
      <c r="I21" s="449">
        <f>SUMIF('Diags Raw Data'!$A$6:$A$3663,"*"&amp;$A21&amp;"*",'Diags Raw Data'!$K$6:$K$3663)</f>
        <v>1</v>
      </c>
      <c r="J21" s="450">
        <f>SUMIF('Diags Raw Data'!$A$6:$A$3663,"*"&amp;$A21&amp;"*",'Diags Raw Data'!$L$6:$L$3663)</f>
        <v>2</v>
      </c>
      <c r="K21" s="497" cm="1">
        <f t="array" ref="K21">IF(D21="",0, SUMPRODUCT(--(ISNUMBER(SEARCH($A21,'Diags Raw Data'!$A$6:$A$3663))),'Diags Raw Data'!$L$6:$L$3663,'Diags Raw Data'!$N$6:$N$3663)/J21)</f>
        <v>1</v>
      </c>
      <c r="L21" s="498" cm="1">
        <f t="array" ref="L21">IF(D21="",0, SUMPRODUCT(--(ISNUMBER(SEARCH($A21,'Diags Raw Data'!$A$6:$A$3663))),'Diags Raw Data'!$L$6:$L$3663,'Diags Raw Data'!$P$6:$P$3663)/J21)</f>
        <v>0</v>
      </c>
      <c r="M21" s="499" cm="1">
        <f t="array" ref="M21">SUMPRODUCT(--(ISNUMBER(SEARCH($A21,'Diags Raw Data'!$A$6:$A$3663))),--('Diags Raw Data'!$Q$6:$Q$3663&lt;&gt;"N/A"),'Diags Raw Data'!$R$6:$R$3663)</f>
        <v>2</v>
      </c>
      <c r="N21" s="500" cm="1">
        <f t="array" ref="N21">SUMPRODUCT(--(ISNUMBER(SEARCH($A21,'Diags Raw Data'!$A$6:$A$3663))),--('Diags Raw Data'!$Q$6:$Q$3663&lt;&gt;"N/A"),'Diags Raw Data'!$T$6:$T$3663)+SUMPRODUCT(--(ISNUMBER(SEARCH($A21,'Diags Raw Data'!$A$6:$A$3663))),--('Diags Raw Data'!$Q$6:$Q$3663&lt;&gt;"N/A"),'Diags Raw Data'!$U$6:$U$3663)</f>
        <v>0</v>
      </c>
      <c r="O21" s="501">
        <f t="shared" si="2"/>
        <v>0</v>
      </c>
      <c r="P21" s="502">
        <f>SUMIF('Diags Raw Data'!$A$6:$A$3663,"*"&amp;$A21&amp;"*",'Diags Raw Data'!$Z$6:$Z$3663)</f>
        <v>0</v>
      </c>
      <c r="Q21" s="503">
        <f>SUM(SUMIF('Diags Raw Data'!$A$6:$A$3663,"*"&amp;$A21&amp;"*",'Diags Raw Data'!$AA$6:$AA$3663),SUMIF('Diags Raw Data'!$A$6:$A$3663,"*"&amp;$A21&amp;"*",'Diags Raw Data'!$AB$6:$AB$3663))</f>
        <v>0</v>
      </c>
      <c r="R21" s="504">
        <f t="shared" si="3"/>
        <v>0</v>
      </c>
      <c r="S21" s="504">
        <f t="shared" si="4"/>
        <v>0</v>
      </c>
      <c r="T21" s="505">
        <f t="shared" si="5"/>
        <v>0</v>
      </c>
      <c r="U21" s="451" t="s">
        <v>47</v>
      </c>
      <c r="V21" s="181"/>
    </row>
    <row r="22" spans="1:22" ht="15.75" thickBot="1" x14ac:dyDescent="0.3">
      <c r="A22" s="442" t="str">
        <f>'Diags Raw Data'!A21</f>
        <v>KRK1-USB4-016</v>
      </c>
      <c r="B22" s="443" t="str">
        <f>VLOOKUP(A22,'Feature Raw Data'!$A$3:$B$4024,2,FALSE)</f>
        <v>USB4 PHY tests</v>
      </c>
      <c r="C22" s="444" t="str">
        <f>VLOOKUP(A22,'Feature Raw Data'!$A$3:$C$4024,3,FALSE)</f>
        <v>P2</v>
      </c>
      <c r="D22" s="445" t="str" cm="1">
        <f t="array" ref="D22">_xlfn.TEXTJOIN("",TRUE,IF(ISNUMBER(SEARCH($A22,'Diags Raw Data'!$A$6:$A$3663)),CONCATENATE('Diags Raw Data'!$H$6:$H$3663,", "),""))</f>
        <v xml:space="preserve">USB4_ENH_04.1-2, </v>
      </c>
      <c r="E22" s="446" t="str">
        <f>VLOOKUP(A22,'Diags Raw Data'!$A$6:$D$3663,4,FALSE)</f>
        <v>USB4</v>
      </c>
      <c r="F22" s="446" t="str">
        <f>VLOOKUP(A22,'Feature Raw Data'!$A$3:$E$4024,5,FALSE)</f>
        <v>Legacy</v>
      </c>
      <c r="G22" s="336" t="str">
        <f t="shared" si="0"/>
        <v>Yes</v>
      </c>
      <c r="H22" s="336" t="str">
        <f t="shared" si="1"/>
        <v>Yes</v>
      </c>
      <c r="I22" s="449">
        <f>SUMIF('Diags Raw Data'!$A$6:$A$3663,"*"&amp;$A22&amp;"*",'Diags Raw Data'!$K$6:$K$3663)</f>
        <v>1</v>
      </c>
      <c r="J22" s="450">
        <f>SUMIF('Diags Raw Data'!$A$6:$A$3663,"*"&amp;$A22&amp;"*",'Diags Raw Data'!$L$6:$L$3663)</f>
        <v>2</v>
      </c>
      <c r="K22" s="497" cm="1">
        <f t="array" ref="K22">IF(D22="",0, SUMPRODUCT(--(ISNUMBER(SEARCH($A22,'Diags Raw Data'!$A$6:$A$3663))),'Diags Raw Data'!$L$6:$L$3663,'Diags Raw Data'!$N$6:$N$3663)/J22)</f>
        <v>1</v>
      </c>
      <c r="L22" s="498" cm="1">
        <f t="array" ref="L22">IF(D22="",0, SUMPRODUCT(--(ISNUMBER(SEARCH($A22,'Diags Raw Data'!$A$6:$A$3663))),'Diags Raw Data'!$L$6:$L$3663,'Diags Raw Data'!$P$6:$P$3663)/J22)</f>
        <v>0</v>
      </c>
      <c r="M22" s="499" cm="1">
        <f t="array" ref="M22">SUMPRODUCT(--(ISNUMBER(SEARCH($A22,'Diags Raw Data'!$A$6:$A$3663))),--('Diags Raw Data'!$Q$6:$Q$3663&lt;&gt;"N/A"),'Diags Raw Data'!$R$6:$R$3663)</f>
        <v>2</v>
      </c>
      <c r="N22" s="500" cm="1">
        <f t="array" ref="N22">SUMPRODUCT(--(ISNUMBER(SEARCH($A22,'Diags Raw Data'!$A$6:$A$3663))),--('Diags Raw Data'!$Q$6:$Q$3663&lt;&gt;"N/A"),'Diags Raw Data'!$T$6:$T$3663)+SUMPRODUCT(--(ISNUMBER(SEARCH($A22,'Diags Raw Data'!$A$6:$A$3663))),--('Diags Raw Data'!$Q$6:$Q$3663&lt;&gt;"N/A"),'Diags Raw Data'!$U$6:$U$3663)</f>
        <v>0</v>
      </c>
      <c r="O22" s="501">
        <f t="shared" si="2"/>
        <v>0</v>
      </c>
      <c r="P22" s="502">
        <f>SUMIF('Diags Raw Data'!$A$6:$A$3663,"*"&amp;$A22&amp;"*",'Diags Raw Data'!$Z$6:$Z$3663)</f>
        <v>0</v>
      </c>
      <c r="Q22" s="503">
        <f>SUM(SUMIF('Diags Raw Data'!$A$6:$A$3663,"*"&amp;$A22&amp;"*",'Diags Raw Data'!$AA$6:$AA$3663),SUMIF('Diags Raw Data'!$A$6:$A$3663,"*"&amp;$A22&amp;"*",'Diags Raw Data'!$AB$6:$AB$3663))</f>
        <v>0</v>
      </c>
      <c r="R22" s="504">
        <f t="shared" si="3"/>
        <v>0</v>
      </c>
      <c r="S22" s="504">
        <f t="shared" si="4"/>
        <v>0</v>
      </c>
      <c r="T22" s="505">
        <f t="shared" si="5"/>
        <v>0</v>
      </c>
      <c r="U22" s="451" t="s">
        <v>47</v>
      </c>
      <c r="V22" s="181"/>
    </row>
    <row r="23" spans="1:22" ht="15.75" thickBot="1" x14ac:dyDescent="0.3">
      <c r="A23" s="442" t="str">
        <f>'Diags Raw Data'!A22</f>
        <v>KRK1-USB4-017</v>
      </c>
      <c r="B23" s="443" t="str">
        <f>VLOOKUP(A23,'Feature Raw Data'!$A$3:$B$4024,2,FALSE)</f>
        <v>USB4 Host to Host tunneling</v>
      </c>
      <c r="C23" s="444" t="str">
        <f>VLOOKUP(A23,'Feature Raw Data'!$A$3:$C$4024,3,FALSE)</f>
        <v>P2</v>
      </c>
      <c r="D23" s="445" t="str" cm="1">
        <f t="array" ref="D23">_xlfn.TEXTJOIN("",TRUE,IF(ISNUMBER(SEARCH($A23,'Diags Raw Data'!$A$6:$A$3663)),CONCATENATE('Diags Raw Data'!$H$6:$H$3663,", "),""))</f>
        <v xml:space="preserve">USB4_ENH_05.1-2, </v>
      </c>
      <c r="E23" s="446" t="str">
        <f>VLOOKUP(A23,'Diags Raw Data'!$A$6:$D$3663,4,FALSE)</f>
        <v>USB4</v>
      </c>
      <c r="F23" s="446" t="str">
        <f>VLOOKUP(A23,'Feature Raw Data'!$A$3:$E$4024,5,FALSE)</f>
        <v>Legacy</v>
      </c>
      <c r="G23" s="336" t="str">
        <f t="shared" si="0"/>
        <v>Yes</v>
      </c>
      <c r="H23" s="336" t="str">
        <f t="shared" si="1"/>
        <v>Yes</v>
      </c>
      <c r="I23" s="449">
        <f>SUMIF('Diags Raw Data'!$A$6:$A$3663,"*"&amp;$A23&amp;"*",'Diags Raw Data'!$K$6:$K$3663)</f>
        <v>1</v>
      </c>
      <c r="J23" s="450">
        <f>SUMIF('Diags Raw Data'!$A$6:$A$3663,"*"&amp;$A23&amp;"*",'Diags Raw Data'!$L$6:$L$3663)</f>
        <v>2</v>
      </c>
      <c r="K23" s="497" cm="1">
        <f t="array" ref="K23">IF(D23="",0, SUMPRODUCT(--(ISNUMBER(SEARCH($A23,'Diags Raw Data'!$A$6:$A$3663))),'Diags Raw Data'!$L$6:$L$3663,'Diags Raw Data'!$N$6:$N$3663)/J23)</f>
        <v>1</v>
      </c>
      <c r="L23" s="498" cm="1">
        <f t="array" ref="L23">IF(D23="",0, SUMPRODUCT(--(ISNUMBER(SEARCH($A23,'Diags Raw Data'!$A$6:$A$3663))),'Diags Raw Data'!$L$6:$L$3663,'Diags Raw Data'!$P$6:$P$3663)/J23)</f>
        <v>0</v>
      </c>
      <c r="M23" s="499" cm="1">
        <f t="array" ref="M23">SUMPRODUCT(--(ISNUMBER(SEARCH($A23,'Diags Raw Data'!$A$6:$A$3663))),--('Diags Raw Data'!$Q$6:$Q$3663&lt;&gt;"N/A"),'Diags Raw Data'!$R$6:$R$3663)</f>
        <v>2</v>
      </c>
      <c r="N23" s="500" cm="1">
        <f t="array" ref="N23">SUMPRODUCT(--(ISNUMBER(SEARCH($A23,'Diags Raw Data'!$A$6:$A$3663))),--('Diags Raw Data'!$Q$6:$Q$3663&lt;&gt;"N/A"),'Diags Raw Data'!$T$6:$T$3663)+SUMPRODUCT(--(ISNUMBER(SEARCH($A23,'Diags Raw Data'!$A$6:$A$3663))),--('Diags Raw Data'!$Q$6:$Q$3663&lt;&gt;"N/A"),'Diags Raw Data'!$U$6:$U$3663)</f>
        <v>0</v>
      </c>
      <c r="O23" s="501">
        <f t="shared" si="2"/>
        <v>0</v>
      </c>
      <c r="P23" s="502">
        <f>SUMIF('Diags Raw Data'!$A$6:$A$3663,"*"&amp;$A23&amp;"*",'Diags Raw Data'!$Z$6:$Z$3663)</f>
        <v>0</v>
      </c>
      <c r="Q23" s="503">
        <f>SUM(SUMIF('Diags Raw Data'!$A$6:$A$3663,"*"&amp;$A23&amp;"*",'Diags Raw Data'!$AA$6:$AA$3663),SUMIF('Diags Raw Data'!$A$6:$A$3663,"*"&amp;$A23&amp;"*",'Diags Raw Data'!$AB$6:$AB$3663))</f>
        <v>0</v>
      </c>
      <c r="R23" s="504">
        <f t="shared" si="3"/>
        <v>0</v>
      </c>
      <c r="S23" s="504">
        <f t="shared" si="4"/>
        <v>0</v>
      </c>
      <c r="T23" s="505">
        <f t="shared" si="5"/>
        <v>0</v>
      </c>
      <c r="U23" s="451" t="s">
        <v>462</v>
      </c>
      <c r="V23" s="181"/>
    </row>
    <row r="24" spans="1:22" ht="15.75" thickBot="1" x14ac:dyDescent="0.3">
      <c r="A24" s="442" t="str">
        <f>'Diags Raw Data'!A23</f>
        <v>KRK1-USB-001</v>
      </c>
      <c r="B24" s="443" t="str">
        <f>VLOOKUP(A24,'Feature Raw Data'!$A$3:$B$4024,2,FALSE)</f>
        <v xml:space="preserve">XHCI Register interface </v>
      </c>
      <c r="C24" s="444" t="str">
        <f>VLOOKUP(A24,'Feature Raw Data'!$A$3:$C$4024,3,FALSE)</f>
        <v>P3</v>
      </c>
      <c r="D24" s="445" t="str" cm="1">
        <f t="array" ref="D24">_xlfn.TEXTJOIN("",TRUE,IF(ISNUMBER(SEARCH($A24,'Diags Raw Data'!$A$6:$A$3663)),CONCATENATE('Diags Raw Data'!$H$6:$H$3663,", "),""))</f>
        <v xml:space="preserve">USB_01.1-2, </v>
      </c>
      <c r="E24" s="446" t="str">
        <f>VLOOKUP(A24,'Diags Raw Data'!$A$6:$D$3663,4,FALSE)</f>
        <v>USB</v>
      </c>
      <c r="F24" s="446" t="str">
        <f>VLOOKUP(A24,'Feature Raw Data'!$A$3:$E$4024,5,FALSE)</f>
        <v>Legacy</v>
      </c>
      <c r="G24" s="336" t="str">
        <f t="shared" si="0"/>
        <v>Yes</v>
      </c>
      <c r="H24" s="336" t="str">
        <f t="shared" si="1"/>
        <v>Yes</v>
      </c>
      <c r="I24" s="449">
        <f>SUMIF('Diags Raw Data'!$A$6:$A$3663,"*"&amp;$A24&amp;"*",'Diags Raw Data'!$K$6:$K$3663)</f>
        <v>1</v>
      </c>
      <c r="J24" s="450">
        <f>SUMIF('Diags Raw Data'!$A$6:$A$3663,"*"&amp;$A24&amp;"*",'Diags Raw Data'!$L$6:$L$3663)</f>
        <v>2</v>
      </c>
      <c r="K24" s="497" cm="1">
        <f t="array" ref="K24">IF(D24="",0, SUMPRODUCT(--(ISNUMBER(SEARCH($A24,'Diags Raw Data'!$A$6:$A$3663))),'Diags Raw Data'!$L$6:$L$3663,'Diags Raw Data'!$N$6:$N$3663)/J24)</f>
        <v>1</v>
      </c>
      <c r="L24" s="498" cm="1">
        <f t="array" ref="L24">IF(D24="",0, SUMPRODUCT(--(ISNUMBER(SEARCH($A24,'Diags Raw Data'!$A$6:$A$3663))),'Diags Raw Data'!$L$6:$L$3663,'Diags Raw Data'!$P$6:$P$3663)/J24)</f>
        <v>0</v>
      </c>
      <c r="M24" s="499" cm="1">
        <f t="array" ref="M24">SUMPRODUCT(--(ISNUMBER(SEARCH($A24,'Diags Raw Data'!$A$6:$A$3663))),--('Diags Raw Data'!$Q$6:$Q$3663&lt;&gt;"N/A"),'Diags Raw Data'!$R$6:$R$3663)</f>
        <v>2</v>
      </c>
      <c r="N24" s="500" cm="1">
        <f t="array" ref="N24">SUMPRODUCT(--(ISNUMBER(SEARCH($A24,'Diags Raw Data'!$A$6:$A$3663))),--('Diags Raw Data'!$Q$6:$Q$3663&lt;&gt;"N/A"),'Diags Raw Data'!$T$6:$T$3663)+SUMPRODUCT(--(ISNUMBER(SEARCH($A24,'Diags Raw Data'!$A$6:$A$3663))),--('Diags Raw Data'!$Q$6:$Q$3663&lt;&gt;"N/A"),'Diags Raw Data'!$U$6:$U$3663)</f>
        <v>0</v>
      </c>
      <c r="O24" s="501">
        <f t="shared" si="2"/>
        <v>0</v>
      </c>
      <c r="P24" s="502">
        <f>SUMIF('Diags Raw Data'!$A$6:$A$3663,"*"&amp;$A24&amp;"*",'Diags Raw Data'!$Z$6:$Z$3663)</f>
        <v>0</v>
      </c>
      <c r="Q24" s="503">
        <f>SUM(SUMIF('Diags Raw Data'!$A$6:$A$3663,"*"&amp;$A24&amp;"*",'Diags Raw Data'!$AA$6:$AA$3663),SUMIF('Diags Raw Data'!$A$6:$A$3663,"*"&amp;$A24&amp;"*",'Diags Raw Data'!$AB$6:$AB$3663))</f>
        <v>0</v>
      </c>
      <c r="R24" s="504">
        <f t="shared" si="3"/>
        <v>0</v>
      </c>
      <c r="S24" s="504">
        <f t="shared" si="4"/>
        <v>0</v>
      </c>
      <c r="T24" s="505">
        <f t="shared" si="5"/>
        <v>0</v>
      </c>
      <c r="U24" s="451" t="s">
        <v>464</v>
      </c>
      <c r="V24" s="181"/>
    </row>
    <row r="25" spans="1:22" ht="15.75" thickBot="1" x14ac:dyDescent="0.3">
      <c r="A25" s="442" t="str">
        <f>'Diags Raw Data'!A24</f>
        <v>KRK1-USB-002</v>
      </c>
      <c r="B25" s="443" t="str">
        <f>VLOOKUP(A25,'Feature Raw Data'!$A$3:$B$4024,2,FALSE)</f>
        <v>USB1.1 Low speed device enumeration</v>
      </c>
      <c r="C25" s="444" t="str">
        <f>VLOOKUP(A25,'Feature Raw Data'!$A$3:$C$4024,3,FALSE)</f>
        <v>P3</v>
      </c>
      <c r="D25" s="445" t="str" cm="1">
        <f t="array" ref="D25">_xlfn.TEXTJOIN("",TRUE,IF(ISNUMBER(SEARCH($A25,'Diags Raw Data'!$A$6:$A$3663)),CONCATENATE('Diags Raw Data'!$H$6:$H$3663,", "),""))</f>
        <v xml:space="preserve">USB_02.1-16, </v>
      </c>
      <c r="E25" s="446" t="str">
        <f>VLOOKUP(A25,'Diags Raw Data'!$A$6:$D$3663,4,FALSE)</f>
        <v>USB</v>
      </c>
      <c r="F25" s="446" t="str">
        <f>VLOOKUP(A25,'Feature Raw Data'!$A$3:$E$4024,5,FALSE)</f>
        <v>Legacy</v>
      </c>
      <c r="G25" s="336" t="str">
        <f t="shared" si="0"/>
        <v>Yes</v>
      </c>
      <c r="H25" s="336" t="str">
        <f t="shared" si="1"/>
        <v>Yes</v>
      </c>
      <c r="I25" s="449">
        <f>SUMIF('Diags Raw Data'!$A$6:$A$3663,"*"&amp;$A25&amp;"*",'Diags Raw Data'!$K$6:$K$3663)</f>
        <v>1</v>
      </c>
      <c r="J25" s="450">
        <f>SUMIF('Diags Raw Data'!$A$6:$A$3663,"*"&amp;$A25&amp;"*",'Diags Raw Data'!$L$6:$L$3663)</f>
        <v>16</v>
      </c>
      <c r="K25" s="497" cm="1">
        <f t="array" ref="K25">IF(D25="",0, SUMPRODUCT(--(ISNUMBER(SEARCH($A25,'Diags Raw Data'!$A$6:$A$3663))),'Diags Raw Data'!$L$6:$L$3663,'Diags Raw Data'!$N$6:$N$3663)/J25)</f>
        <v>1</v>
      </c>
      <c r="L25" s="498" cm="1">
        <f t="array" ref="L25">IF(D25="",0, SUMPRODUCT(--(ISNUMBER(SEARCH($A25,'Diags Raw Data'!$A$6:$A$3663))),'Diags Raw Data'!$L$6:$L$3663,'Diags Raw Data'!$P$6:$P$3663)/J25)</f>
        <v>0</v>
      </c>
      <c r="M25" s="499" cm="1">
        <f t="array" ref="M25">SUMPRODUCT(--(ISNUMBER(SEARCH($A25,'Diags Raw Data'!$A$6:$A$3663))),--('Diags Raw Data'!$Q$6:$Q$3663&lt;&gt;"N/A"),'Diags Raw Data'!$R$6:$R$3663)</f>
        <v>16</v>
      </c>
      <c r="N25" s="500" cm="1">
        <f t="array" ref="N25">SUMPRODUCT(--(ISNUMBER(SEARCH($A25,'Diags Raw Data'!$A$6:$A$3663))),--('Diags Raw Data'!$Q$6:$Q$3663&lt;&gt;"N/A"),'Diags Raw Data'!$T$6:$T$3663)+SUMPRODUCT(--(ISNUMBER(SEARCH($A25,'Diags Raw Data'!$A$6:$A$3663))),--('Diags Raw Data'!$Q$6:$Q$3663&lt;&gt;"N/A"),'Diags Raw Data'!$U$6:$U$3663)</f>
        <v>0</v>
      </c>
      <c r="O25" s="501">
        <f t="shared" si="2"/>
        <v>0</v>
      </c>
      <c r="P25" s="502">
        <f>SUMIF('Diags Raw Data'!$A$6:$A$3663,"*"&amp;$A25&amp;"*",'Diags Raw Data'!$Z$6:$Z$3663)</f>
        <v>0</v>
      </c>
      <c r="Q25" s="503">
        <f>SUM(SUMIF('Diags Raw Data'!$A$6:$A$3663,"*"&amp;$A25&amp;"*",'Diags Raw Data'!$AA$6:$AA$3663),SUMIF('Diags Raw Data'!$A$6:$A$3663,"*"&amp;$A25&amp;"*",'Diags Raw Data'!$AB$6:$AB$3663))</f>
        <v>0</v>
      </c>
      <c r="R25" s="504">
        <f t="shared" si="3"/>
        <v>0</v>
      </c>
      <c r="S25" s="504">
        <f t="shared" si="4"/>
        <v>0</v>
      </c>
      <c r="T25" s="505">
        <f t="shared" si="5"/>
        <v>0</v>
      </c>
      <c r="U25" s="451" t="s">
        <v>286</v>
      </c>
      <c r="V25" s="181"/>
    </row>
    <row r="26" spans="1:22" ht="15.75" thickBot="1" x14ac:dyDescent="0.3">
      <c r="A26" s="442" t="str">
        <f>'Diags Raw Data'!A25</f>
        <v>KRK1-USB-003</v>
      </c>
      <c r="B26" s="443" t="str">
        <f>VLOOKUP(A26,'Feature Raw Data'!$A$3:$B$4024,2,FALSE)</f>
        <v>USB1.1 Full speed device enumeration</v>
      </c>
      <c r="C26" s="444" t="str">
        <f>VLOOKUP(A26,'Feature Raw Data'!$A$3:$C$4024,3,FALSE)</f>
        <v>P3</v>
      </c>
      <c r="D26" s="445" t="str" cm="1">
        <f t="array" ref="D26">_xlfn.TEXTJOIN("",TRUE,IF(ISNUMBER(SEARCH($A26,'Diags Raw Data'!$A$6:$A$3663)),CONCATENATE('Diags Raw Data'!$H$6:$H$3663,", "),""))</f>
        <v xml:space="preserve">USB_03.1-16, </v>
      </c>
      <c r="E26" s="446" t="str">
        <f>VLOOKUP(A26,'Diags Raw Data'!$A$6:$D$3663,4,FALSE)</f>
        <v>USB</v>
      </c>
      <c r="F26" s="446" t="str">
        <f>VLOOKUP(A26,'Feature Raw Data'!$A$3:$E$4024,5,FALSE)</f>
        <v>Legacy</v>
      </c>
      <c r="G26" s="336" t="str">
        <f t="shared" si="0"/>
        <v>Yes</v>
      </c>
      <c r="H26" s="336" t="str">
        <f t="shared" si="1"/>
        <v>Yes</v>
      </c>
      <c r="I26" s="449">
        <f>SUMIF('Diags Raw Data'!$A$6:$A$3663,"*"&amp;$A26&amp;"*",'Diags Raw Data'!$K$6:$K$3663)</f>
        <v>1</v>
      </c>
      <c r="J26" s="450">
        <f>SUMIF('Diags Raw Data'!$A$6:$A$3663,"*"&amp;$A26&amp;"*",'Diags Raw Data'!$L$6:$L$3663)</f>
        <v>16</v>
      </c>
      <c r="K26" s="497" cm="1">
        <f t="array" ref="K26">IF(D26="",0, SUMPRODUCT(--(ISNUMBER(SEARCH($A26,'Diags Raw Data'!$A$6:$A$3663))),'Diags Raw Data'!$L$6:$L$3663,'Diags Raw Data'!$N$6:$N$3663)/J26)</f>
        <v>1</v>
      </c>
      <c r="L26" s="498" cm="1">
        <f t="array" ref="L26">IF(D26="",0, SUMPRODUCT(--(ISNUMBER(SEARCH($A26,'Diags Raw Data'!$A$6:$A$3663))),'Diags Raw Data'!$L$6:$L$3663,'Diags Raw Data'!$P$6:$P$3663)/J26)</f>
        <v>0</v>
      </c>
      <c r="M26" s="499" cm="1">
        <f t="array" ref="M26">SUMPRODUCT(--(ISNUMBER(SEARCH($A26,'Diags Raw Data'!$A$6:$A$3663))),--('Diags Raw Data'!$Q$6:$Q$3663&lt;&gt;"N/A"),'Diags Raw Data'!$R$6:$R$3663)</f>
        <v>16</v>
      </c>
      <c r="N26" s="500" cm="1">
        <f t="array" ref="N26">SUMPRODUCT(--(ISNUMBER(SEARCH($A26,'Diags Raw Data'!$A$6:$A$3663))),--('Diags Raw Data'!$Q$6:$Q$3663&lt;&gt;"N/A"),'Diags Raw Data'!$T$6:$T$3663)+SUMPRODUCT(--(ISNUMBER(SEARCH($A26,'Diags Raw Data'!$A$6:$A$3663))),--('Diags Raw Data'!$Q$6:$Q$3663&lt;&gt;"N/A"),'Diags Raw Data'!$U$6:$U$3663)</f>
        <v>0</v>
      </c>
      <c r="O26" s="501">
        <f t="shared" si="2"/>
        <v>0</v>
      </c>
      <c r="P26" s="502">
        <f>SUMIF('Diags Raw Data'!$A$6:$A$3663,"*"&amp;$A26&amp;"*",'Diags Raw Data'!$Z$6:$Z$3663)</f>
        <v>0</v>
      </c>
      <c r="Q26" s="503">
        <f>SUM(SUMIF('Diags Raw Data'!$A$6:$A$3663,"*"&amp;$A26&amp;"*",'Diags Raw Data'!$AA$6:$AA$3663),SUMIF('Diags Raw Data'!$A$6:$A$3663,"*"&amp;$A26&amp;"*",'Diags Raw Data'!$AB$6:$AB$3663))</f>
        <v>0</v>
      </c>
      <c r="R26" s="504">
        <f t="shared" si="3"/>
        <v>0</v>
      </c>
      <c r="S26" s="504">
        <f t="shared" si="4"/>
        <v>0</v>
      </c>
      <c r="T26" s="505">
        <f t="shared" si="5"/>
        <v>0</v>
      </c>
      <c r="U26" s="451" t="s">
        <v>286</v>
      </c>
      <c r="V26" s="181"/>
    </row>
    <row r="27" spans="1:22" ht="15.75" thickBot="1" x14ac:dyDescent="0.3">
      <c r="A27" s="442" t="str">
        <f>'Diags Raw Data'!A26</f>
        <v>KRK1-USB-004</v>
      </c>
      <c r="B27" s="443" t="str">
        <f>VLOOKUP(A27,'Feature Raw Data'!$A$3:$B$4024,2,FALSE)</f>
        <v xml:space="preserve">USB1.1 Full speed bulk stress </v>
      </c>
      <c r="C27" s="444" t="str">
        <f>VLOOKUP(A27,'Feature Raw Data'!$A$3:$C$4024,3,FALSE)</f>
        <v>P3</v>
      </c>
      <c r="D27" s="445" t="str" cm="1">
        <f t="array" ref="D27">_xlfn.TEXTJOIN("",TRUE,IF(ISNUMBER(SEARCH($A27,'Diags Raw Data'!$A$6:$A$3663)),CONCATENATE('Diags Raw Data'!$H$6:$H$3663,", "),""))</f>
        <v xml:space="preserve">USB_04.1-16, </v>
      </c>
      <c r="E27" s="446" t="str">
        <f>VLOOKUP(A27,'Diags Raw Data'!$A$6:$D$3663,4,FALSE)</f>
        <v>USB</v>
      </c>
      <c r="F27" s="446" t="str">
        <f>VLOOKUP(A27,'Feature Raw Data'!$A$3:$E$4024,5,FALSE)</f>
        <v>Legacy</v>
      </c>
      <c r="G27" s="336" t="str">
        <f t="shared" si="0"/>
        <v>Yes</v>
      </c>
      <c r="H27" s="336" t="str">
        <f t="shared" si="1"/>
        <v>Yes</v>
      </c>
      <c r="I27" s="449">
        <f>SUMIF('Diags Raw Data'!$A$6:$A$3663,"*"&amp;$A27&amp;"*",'Diags Raw Data'!$K$6:$K$3663)</f>
        <v>1</v>
      </c>
      <c r="J27" s="450">
        <f>SUMIF('Diags Raw Data'!$A$6:$A$3663,"*"&amp;$A27&amp;"*",'Diags Raw Data'!$L$6:$L$3663)</f>
        <v>16</v>
      </c>
      <c r="K27" s="497" cm="1">
        <f t="array" ref="K27">IF(D27="",0, SUMPRODUCT(--(ISNUMBER(SEARCH($A27,'Diags Raw Data'!$A$6:$A$3663))),'Diags Raw Data'!$L$6:$L$3663,'Diags Raw Data'!$N$6:$N$3663)/J27)</f>
        <v>1</v>
      </c>
      <c r="L27" s="498" cm="1">
        <f t="array" ref="L27">IF(D27="",0, SUMPRODUCT(--(ISNUMBER(SEARCH($A27,'Diags Raw Data'!$A$6:$A$3663))),'Diags Raw Data'!$L$6:$L$3663,'Diags Raw Data'!$P$6:$P$3663)/J27)</f>
        <v>0</v>
      </c>
      <c r="M27" s="499" cm="1">
        <f t="array" ref="M27">SUMPRODUCT(--(ISNUMBER(SEARCH($A27,'Diags Raw Data'!$A$6:$A$3663))),--('Diags Raw Data'!$Q$6:$Q$3663&lt;&gt;"N/A"),'Diags Raw Data'!$R$6:$R$3663)</f>
        <v>16</v>
      </c>
      <c r="N27" s="500" cm="1">
        <f t="array" ref="N27">SUMPRODUCT(--(ISNUMBER(SEARCH($A27,'Diags Raw Data'!$A$6:$A$3663))),--('Diags Raw Data'!$Q$6:$Q$3663&lt;&gt;"N/A"),'Diags Raw Data'!$T$6:$T$3663)+SUMPRODUCT(--(ISNUMBER(SEARCH($A27,'Diags Raw Data'!$A$6:$A$3663))),--('Diags Raw Data'!$Q$6:$Q$3663&lt;&gt;"N/A"),'Diags Raw Data'!$U$6:$U$3663)</f>
        <v>0</v>
      </c>
      <c r="O27" s="501">
        <f t="shared" si="2"/>
        <v>0</v>
      </c>
      <c r="P27" s="502">
        <f>SUMIF('Diags Raw Data'!$A$6:$A$3663,"*"&amp;$A27&amp;"*",'Diags Raw Data'!$Z$6:$Z$3663)</f>
        <v>0</v>
      </c>
      <c r="Q27" s="503">
        <f>SUM(SUMIF('Diags Raw Data'!$A$6:$A$3663,"*"&amp;$A27&amp;"*",'Diags Raw Data'!$AA$6:$AA$3663),SUMIF('Diags Raw Data'!$A$6:$A$3663,"*"&amp;$A27&amp;"*",'Diags Raw Data'!$AB$6:$AB$3663))</f>
        <v>0</v>
      </c>
      <c r="R27" s="504">
        <f t="shared" si="3"/>
        <v>0</v>
      </c>
      <c r="S27" s="504">
        <f t="shared" si="4"/>
        <v>0</v>
      </c>
      <c r="T27" s="505">
        <f t="shared" si="5"/>
        <v>0</v>
      </c>
      <c r="U27" s="451" t="s">
        <v>463</v>
      </c>
      <c r="V27" s="181"/>
    </row>
    <row r="28" spans="1:22" ht="15.75" thickBot="1" x14ac:dyDescent="0.3">
      <c r="A28" s="442" t="str">
        <f>'Diags Raw Data'!A27</f>
        <v>KRK1-USB-005</v>
      </c>
      <c r="B28" s="443" t="str">
        <f>VLOOKUP(A28,'Feature Raw Data'!$A$3:$B$4024,2,FALSE)</f>
        <v>USB1.1 Full speed interrupt stress</v>
      </c>
      <c r="C28" s="444" t="str">
        <f>VLOOKUP(A28,'Feature Raw Data'!$A$3:$C$4024,3,FALSE)</f>
        <v>P3</v>
      </c>
      <c r="D28" s="445" t="str" cm="1">
        <f t="array" ref="D28">_xlfn.TEXTJOIN("",TRUE,IF(ISNUMBER(SEARCH($A28,'Diags Raw Data'!$A$6:$A$3663)),CONCATENATE('Diags Raw Data'!$H$6:$H$3663,", "),""))</f>
        <v xml:space="preserve">USB_05.1-16, </v>
      </c>
      <c r="E28" s="446" t="str">
        <f>VLOOKUP(A28,'Diags Raw Data'!$A$6:$D$3663,4,FALSE)</f>
        <v>USB</v>
      </c>
      <c r="F28" s="446" t="str">
        <f>VLOOKUP(A28,'Feature Raw Data'!$A$3:$E$4024,5,FALSE)</f>
        <v>Legacy</v>
      </c>
      <c r="G28" s="336" t="str">
        <f t="shared" si="0"/>
        <v>Yes</v>
      </c>
      <c r="H28" s="336" t="str">
        <f t="shared" si="1"/>
        <v>Yes</v>
      </c>
      <c r="I28" s="449">
        <f>SUMIF('Diags Raw Data'!$A$6:$A$3663,"*"&amp;$A28&amp;"*",'Diags Raw Data'!$K$6:$K$3663)</f>
        <v>1</v>
      </c>
      <c r="J28" s="450">
        <f>SUMIF('Diags Raw Data'!$A$6:$A$3663,"*"&amp;$A28&amp;"*",'Diags Raw Data'!$L$6:$L$3663)</f>
        <v>16</v>
      </c>
      <c r="K28" s="497" cm="1">
        <f t="array" ref="K28">IF(D28="",0, SUMPRODUCT(--(ISNUMBER(SEARCH($A28,'Diags Raw Data'!$A$6:$A$3663))),'Diags Raw Data'!$L$6:$L$3663,'Diags Raw Data'!$N$6:$N$3663)/J28)</f>
        <v>1</v>
      </c>
      <c r="L28" s="498" cm="1">
        <f t="array" ref="L28">IF(D28="",0, SUMPRODUCT(--(ISNUMBER(SEARCH($A28,'Diags Raw Data'!$A$6:$A$3663))),'Diags Raw Data'!$L$6:$L$3663,'Diags Raw Data'!$P$6:$P$3663)/J28)</f>
        <v>0</v>
      </c>
      <c r="M28" s="499" cm="1">
        <f t="array" ref="M28">SUMPRODUCT(--(ISNUMBER(SEARCH($A28,'Diags Raw Data'!$A$6:$A$3663))),--('Diags Raw Data'!$Q$6:$Q$3663&lt;&gt;"N/A"),'Diags Raw Data'!$R$6:$R$3663)</f>
        <v>16</v>
      </c>
      <c r="N28" s="500" cm="1">
        <f t="array" ref="N28">SUMPRODUCT(--(ISNUMBER(SEARCH($A28,'Diags Raw Data'!$A$6:$A$3663))),--('Diags Raw Data'!$Q$6:$Q$3663&lt;&gt;"N/A"),'Diags Raw Data'!$T$6:$T$3663)+SUMPRODUCT(--(ISNUMBER(SEARCH($A28,'Diags Raw Data'!$A$6:$A$3663))),--('Diags Raw Data'!$Q$6:$Q$3663&lt;&gt;"N/A"),'Diags Raw Data'!$U$6:$U$3663)</f>
        <v>0</v>
      </c>
      <c r="O28" s="501">
        <f t="shared" si="2"/>
        <v>0</v>
      </c>
      <c r="P28" s="502">
        <f>SUMIF('Diags Raw Data'!$A$6:$A$3663,"*"&amp;$A28&amp;"*",'Diags Raw Data'!$Z$6:$Z$3663)</f>
        <v>0</v>
      </c>
      <c r="Q28" s="503">
        <f>SUM(SUMIF('Diags Raw Data'!$A$6:$A$3663,"*"&amp;$A28&amp;"*",'Diags Raw Data'!$AA$6:$AA$3663),SUMIF('Diags Raw Data'!$A$6:$A$3663,"*"&amp;$A28&amp;"*",'Diags Raw Data'!$AB$6:$AB$3663))</f>
        <v>0</v>
      </c>
      <c r="R28" s="504">
        <f t="shared" si="3"/>
        <v>0</v>
      </c>
      <c r="S28" s="504">
        <f t="shared" si="4"/>
        <v>0</v>
      </c>
      <c r="T28" s="505">
        <f t="shared" si="5"/>
        <v>0</v>
      </c>
      <c r="U28" s="451" t="s">
        <v>462</v>
      </c>
      <c r="V28" s="181"/>
    </row>
    <row r="29" spans="1:22" ht="15.75" thickBot="1" x14ac:dyDescent="0.3">
      <c r="A29" s="442" t="str">
        <f>'Diags Raw Data'!A28</f>
        <v>KRK1-USB-006</v>
      </c>
      <c r="B29" s="443" t="str">
        <f>VLOOKUP(A29,'Feature Raw Data'!$A$3:$B$4024,2,FALSE)</f>
        <v>USB1.1 Full speed isoch stress</v>
      </c>
      <c r="C29" s="444" t="str">
        <f>VLOOKUP(A29,'Feature Raw Data'!$A$3:$C$4024,3,FALSE)</f>
        <v>P3</v>
      </c>
      <c r="D29" s="445" t="str" cm="1">
        <f t="array" ref="D29">_xlfn.TEXTJOIN("",TRUE,IF(ISNUMBER(SEARCH($A29,'Diags Raw Data'!$A$6:$A$3663)),CONCATENATE('Diags Raw Data'!$H$6:$H$3663,", "),""))</f>
        <v xml:space="preserve">USB_06.1-16, </v>
      </c>
      <c r="E29" s="446" t="str">
        <f>VLOOKUP(A29,'Diags Raw Data'!$A$6:$D$3663,4,FALSE)</f>
        <v>USB</v>
      </c>
      <c r="F29" s="446" t="str">
        <f>VLOOKUP(A29,'Feature Raw Data'!$A$3:$E$4024,5,FALSE)</f>
        <v>Legacy</v>
      </c>
      <c r="G29" s="336" t="str">
        <f t="shared" si="0"/>
        <v>Yes</v>
      </c>
      <c r="H29" s="336" t="str">
        <f t="shared" si="1"/>
        <v>Yes</v>
      </c>
      <c r="I29" s="449">
        <f>SUMIF('Diags Raw Data'!$A$6:$A$3663,"*"&amp;$A29&amp;"*",'Diags Raw Data'!$K$6:$K$3663)</f>
        <v>1</v>
      </c>
      <c r="J29" s="450">
        <f>SUMIF('Diags Raw Data'!$A$6:$A$3663,"*"&amp;$A29&amp;"*",'Diags Raw Data'!$L$6:$L$3663)</f>
        <v>16</v>
      </c>
      <c r="K29" s="497" cm="1">
        <f t="array" ref="K29">IF(D29="",0, SUMPRODUCT(--(ISNUMBER(SEARCH($A29,'Diags Raw Data'!$A$6:$A$3663))),'Diags Raw Data'!$L$6:$L$3663,'Diags Raw Data'!$N$6:$N$3663)/J29)</f>
        <v>1</v>
      </c>
      <c r="L29" s="498" cm="1">
        <f t="array" ref="L29">IF(D29="",0, SUMPRODUCT(--(ISNUMBER(SEARCH($A29,'Diags Raw Data'!$A$6:$A$3663))),'Diags Raw Data'!$L$6:$L$3663,'Diags Raw Data'!$P$6:$P$3663)/J29)</f>
        <v>0</v>
      </c>
      <c r="M29" s="499" cm="1">
        <f t="array" ref="M29">SUMPRODUCT(--(ISNUMBER(SEARCH($A29,'Diags Raw Data'!$A$6:$A$3663))),--('Diags Raw Data'!$Q$6:$Q$3663&lt;&gt;"N/A"),'Diags Raw Data'!$R$6:$R$3663)</f>
        <v>16</v>
      </c>
      <c r="N29" s="500" cm="1">
        <f t="array" ref="N29">SUMPRODUCT(--(ISNUMBER(SEARCH($A29,'Diags Raw Data'!$A$6:$A$3663))),--('Diags Raw Data'!$Q$6:$Q$3663&lt;&gt;"N/A"),'Diags Raw Data'!$T$6:$T$3663)+SUMPRODUCT(--(ISNUMBER(SEARCH($A29,'Diags Raw Data'!$A$6:$A$3663))),--('Diags Raw Data'!$Q$6:$Q$3663&lt;&gt;"N/A"),'Diags Raw Data'!$U$6:$U$3663)</f>
        <v>0</v>
      </c>
      <c r="O29" s="501">
        <f t="shared" si="2"/>
        <v>0</v>
      </c>
      <c r="P29" s="502">
        <f>SUMIF('Diags Raw Data'!$A$6:$A$3663,"*"&amp;$A29&amp;"*",'Diags Raw Data'!$Z$6:$Z$3663)</f>
        <v>0</v>
      </c>
      <c r="Q29" s="503">
        <f>SUM(SUMIF('Diags Raw Data'!$A$6:$A$3663,"*"&amp;$A29&amp;"*",'Diags Raw Data'!$AA$6:$AA$3663),SUMIF('Diags Raw Data'!$A$6:$A$3663,"*"&amp;$A29&amp;"*",'Diags Raw Data'!$AB$6:$AB$3663))</f>
        <v>0</v>
      </c>
      <c r="R29" s="504">
        <f t="shared" si="3"/>
        <v>0</v>
      </c>
      <c r="S29" s="504">
        <f t="shared" si="4"/>
        <v>0</v>
      </c>
      <c r="T29" s="505">
        <f t="shared" si="5"/>
        <v>0</v>
      </c>
      <c r="U29" s="451" t="s">
        <v>462</v>
      </c>
      <c r="V29" s="181"/>
    </row>
    <row r="30" spans="1:22" ht="15.75" thickBot="1" x14ac:dyDescent="0.3">
      <c r="A30" s="442" t="str">
        <f>'Diags Raw Data'!A29</f>
        <v>KRK1-USB-007</v>
      </c>
      <c r="B30" s="443" t="str">
        <f>VLOOKUP(A30,'Feature Raw Data'!$A$3:$B$4024,2,FALSE)</f>
        <v>USB2.0 High speed device enumeration</v>
      </c>
      <c r="C30" s="444" t="str">
        <f>VLOOKUP(A30,'Feature Raw Data'!$A$3:$C$4024,3,FALSE)</f>
        <v>P3</v>
      </c>
      <c r="D30" s="445" t="str" cm="1">
        <f t="array" ref="D30">_xlfn.TEXTJOIN("",TRUE,IF(ISNUMBER(SEARCH($A30,'Diags Raw Data'!$A$6:$A$3663)),CONCATENATE('Diags Raw Data'!$H$6:$H$3663,", "),""))</f>
        <v xml:space="preserve">USB_07.1-16, </v>
      </c>
      <c r="E30" s="446" t="str">
        <f>VLOOKUP(A30,'Diags Raw Data'!$A$6:$D$3663,4,FALSE)</f>
        <v>USB</v>
      </c>
      <c r="F30" s="446" t="str">
        <f>VLOOKUP(A30,'Feature Raw Data'!$A$3:$E$4024,5,FALSE)</f>
        <v>Legacy</v>
      </c>
      <c r="G30" s="336" t="str">
        <f t="shared" si="0"/>
        <v>Yes</v>
      </c>
      <c r="H30" s="336" t="str">
        <f t="shared" si="1"/>
        <v>Yes</v>
      </c>
      <c r="I30" s="449">
        <f>SUMIF('Diags Raw Data'!$A$6:$A$3663,"*"&amp;$A30&amp;"*",'Diags Raw Data'!$K$6:$K$3663)</f>
        <v>1</v>
      </c>
      <c r="J30" s="450">
        <f>SUMIF('Diags Raw Data'!$A$6:$A$3663,"*"&amp;$A30&amp;"*",'Diags Raw Data'!$L$6:$L$3663)</f>
        <v>16</v>
      </c>
      <c r="K30" s="497" cm="1">
        <f t="array" ref="K30">IF(D30="",0, SUMPRODUCT(--(ISNUMBER(SEARCH($A30,'Diags Raw Data'!$A$6:$A$3663))),'Diags Raw Data'!$L$6:$L$3663,'Diags Raw Data'!$N$6:$N$3663)/J30)</f>
        <v>1</v>
      </c>
      <c r="L30" s="498" cm="1">
        <f t="array" ref="L30">IF(D30="",0, SUMPRODUCT(--(ISNUMBER(SEARCH($A30,'Diags Raw Data'!$A$6:$A$3663))),'Diags Raw Data'!$L$6:$L$3663,'Diags Raw Data'!$P$6:$P$3663)/J30)</f>
        <v>0</v>
      </c>
      <c r="M30" s="499" cm="1">
        <f t="array" ref="M30">SUMPRODUCT(--(ISNUMBER(SEARCH($A30,'Diags Raw Data'!$A$6:$A$3663))),--('Diags Raw Data'!$Q$6:$Q$3663&lt;&gt;"N/A"),'Diags Raw Data'!$R$6:$R$3663)</f>
        <v>16</v>
      </c>
      <c r="N30" s="500" cm="1">
        <f t="array" ref="N30">SUMPRODUCT(--(ISNUMBER(SEARCH($A30,'Diags Raw Data'!$A$6:$A$3663))),--('Diags Raw Data'!$Q$6:$Q$3663&lt;&gt;"N/A"),'Diags Raw Data'!$T$6:$T$3663)+SUMPRODUCT(--(ISNUMBER(SEARCH($A30,'Diags Raw Data'!$A$6:$A$3663))),--('Diags Raw Data'!$Q$6:$Q$3663&lt;&gt;"N/A"),'Diags Raw Data'!$U$6:$U$3663)</f>
        <v>0</v>
      </c>
      <c r="O30" s="501">
        <f>IF((M30=0),0,N30/M30)</f>
        <v>0</v>
      </c>
      <c r="P30" s="502">
        <f>SUMIF('Diags Raw Data'!$A$6:$A$3663,"*"&amp;$A30&amp;"*",'Diags Raw Data'!$Z$6:$Z$3663)</f>
        <v>0</v>
      </c>
      <c r="Q30" s="503">
        <f>SUM(SUMIF('Diags Raw Data'!$A$6:$A$3663,"*"&amp;$A30&amp;"*",'Diags Raw Data'!$AA$6:$AA$3663),SUMIF('Diags Raw Data'!$A$6:$A$3663,"*"&amp;$A30&amp;"*",'Diags Raw Data'!$AB$6:$AB$3663))</f>
        <v>0</v>
      </c>
      <c r="R30" s="504">
        <f>IF((J30=0),0,P30/J30)</f>
        <v>0</v>
      </c>
      <c r="S30" s="504">
        <f>IF((P30=0),0,Q30/P30)</f>
        <v>0</v>
      </c>
      <c r="T30" s="505">
        <f>R30*S30</f>
        <v>0</v>
      </c>
      <c r="U30" s="451" t="s">
        <v>462</v>
      </c>
      <c r="V30" s="181"/>
    </row>
    <row r="31" spans="1:22" ht="15.75" thickBot="1" x14ac:dyDescent="0.3">
      <c r="A31" s="442" t="str">
        <f>'Diags Raw Data'!A30</f>
        <v>KRK1-USB-008</v>
      </c>
      <c r="B31" s="443" t="str">
        <f>VLOOKUP(A31,'Feature Raw Data'!$A$3:$B$4024,2,FALSE)</f>
        <v>USB2.0 High speed bulk stress</v>
      </c>
      <c r="C31" s="444" t="str">
        <f>VLOOKUP(A31,'Feature Raw Data'!$A$3:$C$4024,3,FALSE)</f>
        <v>P3</v>
      </c>
      <c r="D31" s="445" t="str" cm="1">
        <f t="array" ref="D31">_xlfn.TEXTJOIN("",TRUE,IF(ISNUMBER(SEARCH($A31,'Diags Raw Data'!$A$6:$A$3663)),CONCATENATE('Diags Raw Data'!$H$6:$H$3663,", "),""))</f>
        <v xml:space="preserve">USB_08.1-16, </v>
      </c>
      <c r="E31" s="446" t="str">
        <f>VLOOKUP(A31,'Diags Raw Data'!$A$6:$D$3663,4,FALSE)</f>
        <v>USB</v>
      </c>
      <c r="F31" s="446" t="str">
        <f>VLOOKUP(A31,'Feature Raw Data'!$A$3:$E$4024,5,FALSE)</f>
        <v>Legacy</v>
      </c>
      <c r="G31" s="336" t="str">
        <f t="shared" si="0"/>
        <v>Yes</v>
      </c>
      <c r="H31" s="336" t="str">
        <f t="shared" si="1"/>
        <v>Yes</v>
      </c>
      <c r="I31" s="449">
        <f>SUMIF('Diags Raw Data'!$A$6:$A$3663,"*"&amp;$A31&amp;"*",'Diags Raw Data'!$K$6:$K$3663)</f>
        <v>1</v>
      </c>
      <c r="J31" s="450">
        <f>SUMIF('Diags Raw Data'!$A$6:$A$3663,"*"&amp;$A31&amp;"*",'Diags Raw Data'!$L$6:$L$3663)</f>
        <v>16</v>
      </c>
      <c r="K31" s="497" cm="1">
        <f t="array" ref="K31">IF(D31="",0, SUMPRODUCT(--(ISNUMBER(SEARCH($A31,'Diags Raw Data'!$A$6:$A$3663))),'Diags Raw Data'!$L$6:$L$3663,'Diags Raw Data'!$N$6:$N$3663)/J31)</f>
        <v>1</v>
      </c>
      <c r="L31" s="498" cm="1">
        <f t="array" ref="L31">IF(D31="",0, SUMPRODUCT(--(ISNUMBER(SEARCH($A31,'Diags Raw Data'!$A$6:$A$3663))),'Diags Raw Data'!$L$6:$L$3663,'Diags Raw Data'!$P$6:$P$3663)/J31)</f>
        <v>0</v>
      </c>
      <c r="M31" s="499" cm="1">
        <f t="array" ref="M31">SUMPRODUCT(--(ISNUMBER(SEARCH($A31,'Diags Raw Data'!$A$6:$A$3663))),--('Diags Raw Data'!$Q$6:$Q$3663&lt;&gt;"N/A"),'Diags Raw Data'!$R$6:$R$3663)</f>
        <v>16</v>
      </c>
      <c r="N31" s="500" cm="1">
        <f t="array" ref="N31">SUMPRODUCT(--(ISNUMBER(SEARCH($A31,'Diags Raw Data'!$A$6:$A$3663))),--('Diags Raw Data'!$Q$6:$Q$3663&lt;&gt;"N/A"),'Diags Raw Data'!$T$6:$T$3663)+SUMPRODUCT(--(ISNUMBER(SEARCH($A31,'Diags Raw Data'!$A$6:$A$3663))),--('Diags Raw Data'!$Q$6:$Q$3663&lt;&gt;"N/A"),'Diags Raw Data'!$U$6:$U$3663)</f>
        <v>0</v>
      </c>
      <c r="O31" s="501">
        <f t="shared" si="2"/>
        <v>0</v>
      </c>
      <c r="P31" s="502">
        <f>SUMIF('Diags Raw Data'!$A$6:$A$3663,"*"&amp;$A31&amp;"*",'Diags Raw Data'!$Z$6:$Z$3663)</f>
        <v>0</v>
      </c>
      <c r="Q31" s="503">
        <f>SUM(SUMIF('Diags Raw Data'!$A$6:$A$3663,"*"&amp;$A31&amp;"*",'Diags Raw Data'!$AA$6:$AA$3663),SUMIF('Diags Raw Data'!$A$6:$A$3663,"*"&amp;$A31&amp;"*",'Diags Raw Data'!$AB$6:$AB$3663))</f>
        <v>0</v>
      </c>
      <c r="R31" s="504">
        <f t="shared" si="3"/>
        <v>0</v>
      </c>
      <c r="S31" s="504">
        <f t="shared" si="4"/>
        <v>0</v>
      </c>
      <c r="T31" s="505">
        <f t="shared" si="5"/>
        <v>0</v>
      </c>
      <c r="U31" s="451" t="s">
        <v>464</v>
      </c>
      <c r="V31" s="181"/>
    </row>
    <row r="32" spans="1:22" ht="15.75" thickBot="1" x14ac:dyDescent="0.3">
      <c r="A32" s="442" t="str">
        <f>'Diags Raw Data'!A31</f>
        <v>KRK1-USB-009</v>
      </c>
      <c r="B32" s="443" t="str">
        <f>VLOOKUP(A32,'Feature Raw Data'!$A$3:$B$4024,2,FALSE)</f>
        <v>USB2.0 High speed interrupt stress</v>
      </c>
      <c r="C32" s="444" t="str">
        <f>VLOOKUP(A32,'Feature Raw Data'!$A$3:$C$4024,3,FALSE)</f>
        <v>P3</v>
      </c>
      <c r="D32" s="445" t="str" cm="1">
        <f t="array" ref="D32">_xlfn.TEXTJOIN("",TRUE,IF(ISNUMBER(SEARCH($A32,'Diags Raw Data'!$A$6:$A$3663)),CONCATENATE('Diags Raw Data'!$H$6:$H$3663,", "),""))</f>
        <v xml:space="preserve">USB_09.1-16, </v>
      </c>
      <c r="E32" s="446" t="str">
        <f>VLOOKUP(A32,'Diags Raw Data'!$A$6:$D$3663,4,FALSE)</f>
        <v>USB</v>
      </c>
      <c r="F32" s="446" t="str">
        <f>VLOOKUP(A32,'Feature Raw Data'!$A$3:$E$4024,5,FALSE)</f>
        <v>Legacy</v>
      </c>
      <c r="G32" s="336" t="str">
        <f t="shared" si="0"/>
        <v>Yes</v>
      </c>
      <c r="H32" s="336" t="str">
        <f t="shared" si="1"/>
        <v>Yes</v>
      </c>
      <c r="I32" s="449">
        <f>SUMIF('Diags Raw Data'!$A$6:$A$3663,"*"&amp;$A32&amp;"*",'Diags Raw Data'!$K$6:$K$3663)</f>
        <v>1</v>
      </c>
      <c r="J32" s="450">
        <f>SUMIF('Diags Raw Data'!$A$6:$A$3663,"*"&amp;$A32&amp;"*",'Diags Raw Data'!$L$6:$L$3663)</f>
        <v>16</v>
      </c>
      <c r="K32" s="497" cm="1">
        <f t="array" ref="K32">IF(D32="",0, SUMPRODUCT(--(ISNUMBER(SEARCH($A32,'Diags Raw Data'!$A$6:$A$3663))),'Diags Raw Data'!$L$6:$L$3663,'Diags Raw Data'!$N$6:$N$3663)/J32)</f>
        <v>1</v>
      </c>
      <c r="L32" s="498" cm="1">
        <f t="array" ref="L32">IF(D32="",0, SUMPRODUCT(--(ISNUMBER(SEARCH($A32,'Diags Raw Data'!$A$6:$A$3663))),'Diags Raw Data'!$L$6:$L$3663,'Diags Raw Data'!$P$6:$P$3663)/J32)</f>
        <v>0</v>
      </c>
      <c r="M32" s="499" cm="1">
        <f t="array" ref="M32">SUMPRODUCT(--(ISNUMBER(SEARCH($A32,'Diags Raw Data'!$A$6:$A$3663))),--('Diags Raw Data'!$Q$6:$Q$3663&lt;&gt;"N/A"),'Diags Raw Data'!$R$6:$R$3663)</f>
        <v>16</v>
      </c>
      <c r="N32" s="500" cm="1">
        <f t="array" ref="N32">SUMPRODUCT(--(ISNUMBER(SEARCH($A32,'Diags Raw Data'!$A$6:$A$3663))),--('Diags Raw Data'!$Q$6:$Q$3663&lt;&gt;"N/A"),'Diags Raw Data'!$T$6:$T$3663)+SUMPRODUCT(--(ISNUMBER(SEARCH($A32,'Diags Raw Data'!$A$6:$A$3663))),--('Diags Raw Data'!$Q$6:$Q$3663&lt;&gt;"N/A"),'Diags Raw Data'!$U$6:$U$3663)</f>
        <v>0</v>
      </c>
      <c r="O32" s="501">
        <f t="shared" si="2"/>
        <v>0</v>
      </c>
      <c r="P32" s="502">
        <f>SUMIF('Diags Raw Data'!$A$6:$A$3663,"*"&amp;$A32&amp;"*",'Diags Raw Data'!$Z$6:$Z$3663)</f>
        <v>0</v>
      </c>
      <c r="Q32" s="503">
        <f>SUM(SUMIF('Diags Raw Data'!$A$6:$A$3663,"*"&amp;$A32&amp;"*",'Diags Raw Data'!$AA$6:$AA$3663),SUMIF('Diags Raw Data'!$A$6:$A$3663,"*"&amp;$A32&amp;"*",'Diags Raw Data'!$AB$6:$AB$3663))</f>
        <v>0</v>
      </c>
      <c r="R32" s="504">
        <f t="shared" si="3"/>
        <v>0</v>
      </c>
      <c r="S32" s="504">
        <f t="shared" si="4"/>
        <v>0</v>
      </c>
      <c r="T32" s="505">
        <f t="shared" si="5"/>
        <v>0</v>
      </c>
      <c r="U32" s="451" t="s">
        <v>47</v>
      </c>
      <c r="V32" s="181"/>
    </row>
    <row r="33" spans="1:22" ht="15.75" thickBot="1" x14ac:dyDescent="0.3">
      <c r="A33" s="442" t="str">
        <f>'Diags Raw Data'!A32</f>
        <v>KRK1-USB-010</v>
      </c>
      <c r="B33" s="443" t="str">
        <f>VLOOKUP(A33,'Feature Raw Data'!$A$3:$B$4024,2,FALSE)</f>
        <v>USB2.0 High speed isoch stress</v>
      </c>
      <c r="C33" s="444" t="str">
        <f>VLOOKUP(A33,'Feature Raw Data'!$A$3:$C$4024,3,FALSE)</f>
        <v>P3</v>
      </c>
      <c r="D33" s="445" t="str" cm="1">
        <f t="array" ref="D33">_xlfn.TEXTJOIN("",TRUE,IF(ISNUMBER(SEARCH($A33,'Diags Raw Data'!$A$6:$A$3663)),CONCATENATE('Diags Raw Data'!$H$6:$H$3663,", "),""))</f>
        <v xml:space="preserve">USB_10.1-16, </v>
      </c>
      <c r="E33" s="446" t="str">
        <f>VLOOKUP(A33,'Diags Raw Data'!$A$6:$D$3663,4,FALSE)</f>
        <v>USB</v>
      </c>
      <c r="F33" s="446" t="str">
        <f>VLOOKUP(A33,'Feature Raw Data'!$A$3:$E$4024,5,FALSE)</f>
        <v>Legacy</v>
      </c>
      <c r="G33" s="336" t="str">
        <f t="shared" si="0"/>
        <v>Yes</v>
      </c>
      <c r="H33" s="336" t="str">
        <f t="shared" si="1"/>
        <v>Yes</v>
      </c>
      <c r="I33" s="449">
        <f>SUMIF('Diags Raw Data'!$A$6:$A$3663,"*"&amp;$A33&amp;"*",'Diags Raw Data'!$K$6:$K$3663)</f>
        <v>1</v>
      </c>
      <c r="J33" s="450">
        <f>SUMIF('Diags Raw Data'!$A$6:$A$3663,"*"&amp;$A33&amp;"*",'Diags Raw Data'!$L$6:$L$3663)</f>
        <v>16</v>
      </c>
      <c r="K33" s="497" cm="1">
        <f t="array" ref="K33">IF(D33="",0, SUMPRODUCT(--(ISNUMBER(SEARCH($A33,'Diags Raw Data'!$A$6:$A$3663))),'Diags Raw Data'!$L$6:$L$3663,'Diags Raw Data'!$N$6:$N$3663)/J33)</f>
        <v>1</v>
      </c>
      <c r="L33" s="498" cm="1">
        <f t="array" ref="L33">IF(D33="",0, SUMPRODUCT(--(ISNUMBER(SEARCH($A33,'Diags Raw Data'!$A$6:$A$3663))),'Diags Raw Data'!$L$6:$L$3663,'Diags Raw Data'!$P$6:$P$3663)/J33)</f>
        <v>0</v>
      </c>
      <c r="M33" s="499" cm="1">
        <f t="array" ref="M33">SUMPRODUCT(--(ISNUMBER(SEARCH($A33,'Diags Raw Data'!$A$6:$A$3663))),--('Diags Raw Data'!$Q$6:$Q$3663&lt;&gt;"N/A"),'Diags Raw Data'!$R$6:$R$3663)</f>
        <v>16</v>
      </c>
      <c r="N33" s="500" cm="1">
        <f t="array" ref="N33">SUMPRODUCT(--(ISNUMBER(SEARCH($A33,'Diags Raw Data'!$A$6:$A$3663))),--('Diags Raw Data'!$Q$6:$Q$3663&lt;&gt;"N/A"),'Diags Raw Data'!$T$6:$T$3663)+SUMPRODUCT(--(ISNUMBER(SEARCH($A33,'Diags Raw Data'!$A$6:$A$3663))),--('Diags Raw Data'!$Q$6:$Q$3663&lt;&gt;"N/A"),'Diags Raw Data'!$U$6:$U$3663)</f>
        <v>0</v>
      </c>
      <c r="O33" s="501">
        <f t="shared" si="2"/>
        <v>0</v>
      </c>
      <c r="P33" s="502">
        <f>SUMIF('Diags Raw Data'!$A$6:$A$3663,"*"&amp;$A33&amp;"*",'Diags Raw Data'!$Z$6:$Z$3663)</f>
        <v>0</v>
      </c>
      <c r="Q33" s="503">
        <f>SUM(SUMIF('Diags Raw Data'!$A$6:$A$3663,"*"&amp;$A33&amp;"*",'Diags Raw Data'!$AA$6:$AA$3663),SUMIF('Diags Raw Data'!$A$6:$A$3663,"*"&amp;$A33&amp;"*",'Diags Raw Data'!$AB$6:$AB$3663))</f>
        <v>0</v>
      </c>
      <c r="R33" s="504">
        <f t="shared" si="3"/>
        <v>0</v>
      </c>
      <c r="S33" s="504">
        <f t="shared" si="4"/>
        <v>0</v>
      </c>
      <c r="T33" s="505">
        <f t="shared" si="5"/>
        <v>0</v>
      </c>
      <c r="U33" s="451" t="s">
        <v>463</v>
      </c>
      <c r="V33" s="181"/>
    </row>
    <row r="34" spans="1:22" ht="15.75" thickBot="1" x14ac:dyDescent="0.3">
      <c r="A34" s="442" t="str">
        <f>'Diags Raw Data'!A33</f>
        <v>KRK1-USB-011</v>
      </c>
      <c r="B34" s="443" t="str">
        <f>VLOOKUP(A34,'Feature Raw Data'!$A$3:$B$4024,2,FALSE)</f>
        <v>USB3.2 Gen 1 (Superspeed) device enumeration</v>
      </c>
      <c r="C34" s="444" t="str">
        <f>VLOOKUP(A34,'Feature Raw Data'!$A$3:$C$4024,3,FALSE)</f>
        <v>P3</v>
      </c>
      <c r="D34" s="445" t="str" cm="1">
        <f t="array" ref="D34">_xlfn.TEXTJOIN("",TRUE,IF(ISNUMBER(SEARCH($A34,'Diags Raw Data'!$A$6:$A$3663)),CONCATENATE('Diags Raw Data'!$H$6:$H$3663,", "),""))</f>
        <v xml:space="preserve">USB_11.1-12, </v>
      </c>
      <c r="E34" s="446" t="str">
        <f>VLOOKUP(A34,'Diags Raw Data'!$A$6:$D$3663,4,FALSE)</f>
        <v>USB</v>
      </c>
      <c r="F34" s="446" t="str">
        <f>VLOOKUP(A34,'Feature Raw Data'!$A$3:$E$4024,5,FALSE)</f>
        <v>Legacy</v>
      </c>
      <c r="G34" s="336" t="str">
        <f t="shared" si="0"/>
        <v>Yes</v>
      </c>
      <c r="H34" s="336" t="str">
        <f t="shared" si="1"/>
        <v>Yes</v>
      </c>
      <c r="I34" s="449">
        <f>SUMIF('Diags Raw Data'!$A$6:$A$3663,"*"&amp;$A34&amp;"*",'Diags Raw Data'!$K$6:$K$3663)</f>
        <v>1</v>
      </c>
      <c r="J34" s="450">
        <f>SUMIF('Diags Raw Data'!$A$6:$A$3663,"*"&amp;$A34&amp;"*",'Diags Raw Data'!$L$6:$L$3663)</f>
        <v>12</v>
      </c>
      <c r="K34" s="497" cm="1">
        <f t="array" ref="K34">IF(D34="",0, SUMPRODUCT(--(ISNUMBER(SEARCH($A34,'Diags Raw Data'!$A$6:$A$3663))),'Diags Raw Data'!$L$6:$L$3663,'Diags Raw Data'!$N$6:$N$3663)/J34)</f>
        <v>1</v>
      </c>
      <c r="L34" s="498" cm="1">
        <f t="array" ref="L34">IF(D34="",0, SUMPRODUCT(--(ISNUMBER(SEARCH($A34,'Diags Raw Data'!$A$6:$A$3663))),'Diags Raw Data'!$L$6:$L$3663,'Diags Raw Data'!$P$6:$P$3663)/J34)</f>
        <v>0</v>
      </c>
      <c r="M34" s="499" cm="1">
        <f t="array" ref="M34">SUMPRODUCT(--(ISNUMBER(SEARCH($A34,'Diags Raw Data'!$A$6:$A$3663))),--('Diags Raw Data'!$Q$6:$Q$3663&lt;&gt;"N/A"),'Diags Raw Data'!$R$6:$R$3663)</f>
        <v>12</v>
      </c>
      <c r="N34" s="500" cm="1">
        <f t="array" ref="N34">SUMPRODUCT(--(ISNUMBER(SEARCH($A34,'Diags Raw Data'!$A$6:$A$3663))),--('Diags Raw Data'!$Q$6:$Q$3663&lt;&gt;"N/A"),'Diags Raw Data'!$T$6:$T$3663)+SUMPRODUCT(--(ISNUMBER(SEARCH($A34,'Diags Raw Data'!$A$6:$A$3663))),--('Diags Raw Data'!$Q$6:$Q$3663&lt;&gt;"N/A"),'Diags Raw Data'!$U$6:$U$3663)</f>
        <v>0</v>
      </c>
      <c r="O34" s="501">
        <f t="shared" si="2"/>
        <v>0</v>
      </c>
      <c r="P34" s="502">
        <f>SUMIF('Diags Raw Data'!$A$6:$A$3663,"*"&amp;$A34&amp;"*",'Diags Raw Data'!$Z$6:$Z$3663)</f>
        <v>0</v>
      </c>
      <c r="Q34" s="503">
        <f>SUM(SUMIF('Diags Raw Data'!$A$6:$A$3663,"*"&amp;$A34&amp;"*",'Diags Raw Data'!$AA$6:$AA$3663),SUMIF('Diags Raw Data'!$A$6:$A$3663,"*"&amp;$A34&amp;"*",'Diags Raw Data'!$AB$6:$AB$3663))</f>
        <v>0</v>
      </c>
      <c r="R34" s="504">
        <f t="shared" si="3"/>
        <v>0</v>
      </c>
      <c r="S34" s="504">
        <f t="shared" si="4"/>
        <v>0</v>
      </c>
      <c r="T34" s="505">
        <f t="shared" si="5"/>
        <v>0</v>
      </c>
      <c r="U34" s="451" t="s">
        <v>463</v>
      </c>
      <c r="V34" s="181"/>
    </row>
    <row r="35" spans="1:22" ht="15.75" thickBot="1" x14ac:dyDescent="0.3">
      <c r="A35" s="442" t="str">
        <f>'Diags Raw Data'!A34</f>
        <v>KRK1-USB-012</v>
      </c>
      <c r="B35" s="443" t="str">
        <f>VLOOKUP(A35,'Feature Raw Data'!$A$3:$B$4024,2,FALSE)</f>
        <v>USB3.2 Gen 1 (Superspeed) Bulk stress</v>
      </c>
      <c r="C35" s="444" t="str">
        <f>VLOOKUP(A35,'Feature Raw Data'!$A$3:$C$4024,3,FALSE)</f>
        <v>P3</v>
      </c>
      <c r="D35" s="445" t="str" cm="1">
        <f t="array" ref="D35">_xlfn.TEXTJOIN("",TRUE,IF(ISNUMBER(SEARCH($A35,'Diags Raw Data'!$A$6:$A$3663)),CONCATENATE('Diags Raw Data'!$H$6:$H$3663,", "),""))</f>
        <v xml:space="preserve">USB_12.1-12, </v>
      </c>
      <c r="E35" s="446" t="str">
        <f>VLOOKUP(A35,'Diags Raw Data'!$A$6:$D$3663,4,FALSE)</f>
        <v>USB</v>
      </c>
      <c r="F35" s="446" t="str">
        <f>VLOOKUP(A35,'Feature Raw Data'!$A$3:$E$4024,5,FALSE)</f>
        <v>Legacy</v>
      </c>
      <c r="G35" s="336" t="str">
        <f t="shared" si="0"/>
        <v>Yes</v>
      </c>
      <c r="H35" s="336" t="str">
        <f t="shared" si="1"/>
        <v>Yes</v>
      </c>
      <c r="I35" s="449">
        <f>SUMIF('Diags Raw Data'!$A$6:$A$3663,"*"&amp;$A35&amp;"*",'Diags Raw Data'!$K$6:$K$3663)</f>
        <v>1</v>
      </c>
      <c r="J35" s="450">
        <f>SUMIF('Diags Raw Data'!$A$6:$A$3663,"*"&amp;$A35&amp;"*",'Diags Raw Data'!$L$6:$L$3663)</f>
        <v>12</v>
      </c>
      <c r="K35" s="497" cm="1">
        <f t="array" ref="K35">IF(D35="",0, SUMPRODUCT(--(ISNUMBER(SEARCH($A35,'Diags Raw Data'!$A$6:$A$3663))),'Diags Raw Data'!$L$6:$L$3663,'Diags Raw Data'!$N$6:$N$3663)/J35)</f>
        <v>1</v>
      </c>
      <c r="L35" s="498" cm="1">
        <f t="array" ref="L35">IF(D35="",0, SUMPRODUCT(--(ISNUMBER(SEARCH($A35,'Diags Raw Data'!$A$6:$A$3663))),'Diags Raw Data'!$L$6:$L$3663,'Diags Raw Data'!$P$6:$P$3663)/J35)</f>
        <v>0</v>
      </c>
      <c r="M35" s="499" cm="1">
        <f t="array" ref="M35">SUMPRODUCT(--(ISNUMBER(SEARCH($A35,'Diags Raw Data'!$A$6:$A$3663))),--('Diags Raw Data'!$Q$6:$Q$3663&lt;&gt;"N/A"),'Diags Raw Data'!$R$6:$R$3663)</f>
        <v>12</v>
      </c>
      <c r="N35" s="500" cm="1">
        <f t="array" ref="N35">SUMPRODUCT(--(ISNUMBER(SEARCH($A35,'Diags Raw Data'!$A$6:$A$3663))),--('Diags Raw Data'!$Q$6:$Q$3663&lt;&gt;"N/A"),'Diags Raw Data'!$T$6:$T$3663)+SUMPRODUCT(--(ISNUMBER(SEARCH($A35,'Diags Raw Data'!$A$6:$A$3663))),--('Diags Raw Data'!$Q$6:$Q$3663&lt;&gt;"N/A"),'Diags Raw Data'!$U$6:$U$3663)</f>
        <v>0</v>
      </c>
      <c r="O35" s="501">
        <f t="shared" si="2"/>
        <v>0</v>
      </c>
      <c r="P35" s="502">
        <f>SUMIF('Diags Raw Data'!$A$6:$A$3663,"*"&amp;$A35&amp;"*",'Diags Raw Data'!$Z$6:$Z$3663)</f>
        <v>0</v>
      </c>
      <c r="Q35" s="503">
        <f>SUM(SUMIF('Diags Raw Data'!$A$6:$A$3663,"*"&amp;$A35&amp;"*",'Diags Raw Data'!$AA$6:$AA$3663),SUMIF('Diags Raw Data'!$A$6:$A$3663,"*"&amp;$A35&amp;"*",'Diags Raw Data'!$AB$6:$AB$3663))</f>
        <v>0</v>
      </c>
      <c r="R35" s="504">
        <f t="shared" si="3"/>
        <v>0</v>
      </c>
      <c r="S35" s="504">
        <f t="shared" si="4"/>
        <v>0</v>
      </c>
      <c r="T35" s="505">
        <f t="shared" si="5"/>
        <v>0</v>
      </c>
      <c r="U35" s="451" t="s">
        <v>47</v>
      </c>
      <c r="V35" s="181"/>
    </row>
    <row r="36" spans="1:22" ht="15.75" thickBot="1" x14ac:dyDescent="0.3">
      <c r="A36" s="442" t="str">
        <f>'Diags Raw Data'!A35</f>
        <v>KRK1-USB-013</v>
      </c>
      <c r="B36" s="443" t="str">
        <f>VLOOKUP(A36,'Feature Raw Data'!$A$3:$B$4024,2,FALSE)</f>
        <v>USB3.2 Gen 1 (Superspeed) Interrupt stress</v>
      </c>
      <c r="C36" s="444" t="str">
        <f>VLOOKUP(A36,'Feature Raw Data'!$A$3:$C$4024,3,FALSE)</f>
        <v>P3</v>
      </c>
      <c r="D36" s="445" t="str" cm="1">
        <f t="array" ref="D36">_xlfn.TEXTJOIN("",TRUE,IF(ISNUMBER(SEARCH($A36,'Diags Raw Data'!$A$6:$A$3663)),CONCATENATE('Diags Raw Data'!$H$6:$H$3663,", "),""))</f>
        <v xml:space="preserve">USB_13.1-12, </v>
      </c>
      <c r="E36" s="446" t="str">
        <f>VLOOKUP(A36,'Diags Raw Data'!$A$6:$D$3663,4,FALSE)</f>
        <v>USB</v>
      </c>
      <c r="F36" s="446" t="str">
        <f>VLOOKUP(A36,'Feature Raw Data'!$A$3:$E$4024,5,FALSE)</f>
        <v>Legacy</v>
      </c>
      <c r="G36" s="336" t="str">
        <f t="shared" si="0"/>
        <v>Yes</v>
      </c>
      <c r="H36" s="336" t="str">
        <f t="shared" si="1"/>
        <v>Yes</v>
      </c>
      <c r="I36" s="449">
        <f>SUMIF('Diags Raw Data'!$A$6:$A$3663,"*"&amp;$A36&amp;"*",'Diags Raw Data'!$K$6:$K$3663)</f>
        <v>1</v>
      </c>
      <c r="J36" s="450">
        <f>SUMIF('Diags Raw Data'!$A$6:$A$3663,"*"&amp;$A36&amp;"*",'Diags Raw Data'!$L$6:$L$3663)</f>
        <v>12</v>
      </c>
      <c r="K36" s="497" cm="1">
        <f t="array" ref="K36">IF(D36="",0, SUMPRODUCT(--(ISNUMBER(SEARCH($A36,'Diags Raw Data'!$A$6:$A$3663))),'Diags Raw Data'!$L$6:$L$3663,'Diags Raw Data'!$N$6:$N$3663)/J36)</f>
        <v>1</v>
      </c>
      <c r="L36" s="498" cm="1">
        <f t="array" ref="L36">IF(D36="",0, SUMPRODUCT(--(ISNUMBER(SEARCH($A36,'Diags Raw Data'!$A$6:$A$3663))),'Diags Raw Data'!$L$6:$L$3663,'Diags Raw Data'!$P$6:$P$3663)/J36)</f>
        <v>0</v>
      </c>
      <c r="M36" s="499" cm="1">
        <f t="array" ref="M36">SUMPRODUCT(--(ISNUMBER(SEARCH($A36,'Diags Raw Data'!$A$6:$A$3663))),--('Diags Raw Data'!$Q$6:$Q$3663&lt;&gt;"N/A"),'Diags Raw Data'!$R$6:$R$3663)</f>
        <v>12</v>
      </c>
      <c r="N36" s="500" cm="1">
        <f t="array" ref="N36">SUMPRODUCT(--(ISNUMBER(SEARCH($A36,'Diags Raw Data'!$A$6:$A$3663))),--('Diags Raw Data'!$Q$6:$Q$3663&lt;&gt;"N/A"),'Diags Raw Data'!$T$6:$T$3663)+SUMPRODUCT(--(ISNUMBER(SEARCH($A36,'Diags Raw Data'!$A$6:$A$3663))),--('Diags Raw Data'!$Q$6:$Q$3663&lt;&gt;"N/A"),'Diags Raw Data'!$U$6:$U$3663)</f>
        <v>0</v>
      </c>
      <c r="O36" s="501">
        <f t="shared" si="2"/>
        <v>0</v>
      </c>
      <c r="P36" s="502">
        <f>SUMIF('Diags Raw Data'!$A$6:$A$3663,"*"&amp;$A36&amp;"*",'Diags Raw Data'!$Z$6:$Z$3663)</f>
        <v>0</v>
      </c>
      <c r="Q36" s="503">
        <f>SUM(SUMIF('Diags Raw Data'!$A$6:$A$3663,"*"&amp;$A36&amp;"*",'Diags Raw Data'!$AA$6:$AA$3663),SUMIF('Diags Raw Data'!$A$6:$A$3663,"*"&amp;$A36&amp;"*",'Diags Raw Data'!$AB$6:$AB$3663))</f>
        <v>0</v>
      </c>
      <c r="R36" s="504">
        <f t="shared" si="3"/>
        <v>0</v>
      </c>
      <c r="S36" s="504">
        <f t="shared" si="4"/>
        <v>0</v>
      </c>
      <c r="T36" s="505">
        <f t="shared" si="5"/>
        <v>0</v>
      </c>
      <c r="U36" s="451" t="s">
        <v>460</v>
      </c>
      <c r="V36" s="181"/>
    </row>
    <row r="37" spans="1:22" ht="15.75" thickBot="1" x14ac:dyDescent="0.3">
      <c r="A37" s="442" t="str">
        <f>'Diags Raw Data'!A36</f>
        <v>KRK1-USB-014</v>
      </c>
      <c r="B37" s="443" t="str">
        <f>VLOOKUP(A37,'Feature Raw Data'!$A$3:$B$4024,2,FALSE)</f>
        <v>USB3.2 Gen 1 (Superspeed) Isoch stress</v>
      </c>
      <c r="C37" s="444" t="str">
        <f>VLOOKUP(A37,'Feature Raw Data'!$A$3:$C$4024,3,FALSE)</f>
        <v>P3</v>
      </c>
      <c r="D37" s="445" t="str" cm="1">
        <f t="array" ref="D37">_xlfn.TEXTJOIN("",TRUE,IF(ISNUMBER(SEARCH($A37,'Diags Raw Data'!$A$6:$A$3663)),CONCATENATE('Diags Raw Data'!$H$6:$H$3663,", "),""))</f>
        <v xml:space="preserve">USB_14.1-12, </v>
      </c>
      <c r="E37" s="446" t="str">
        <f>VLOOKUP(A37,'Diags Raw Data'!$A$6:$D$3663,4,FALSE)</f>
        <v>USB</v>
      </c>
      <c r="F37" s="446" t="str">
        <f>VLOOKUP(A37,'Feature Raw Data'!$A$3:$E$4024,5,FALSE)</f>
        <v>Legacy</v>
      </c>
      <c r="G37" s="336" t="str">
        <f t="shared" si="0"/>
        <v>Yes</v>
      </c>
      <c r="H37" s="336" t="str">
        <f t="shared" si="1"/>
        <v>Yes</v>
      </c>
      <c r="I37" s="449">
        <f>SUMIF('Diags Raw Data'!$A$6:$A$3663,"*"&amp;$A37&amp;"*",'Diags Raw Data'!$K$6:$K$3663)</f>
        <v>1</v>
      </c>
      <c r="J37" s="450">
        <f>SUMIF('Diags Raw Data'!$A$6:$A$3663,"*"&amp;$A37&amp;"*",'Diags Raw Data'!$L$6:$L$3663)</f>
        <v>12</v>
      </c>
      <c r="K37" s="497" cm="1">
        <f t="array" ref="K37">IF(D37="",0, SUMPRODUCT(--(ISNUMBER(SEARCH($A37,'Diags Raw Data'!$A$6:$A$3663))),'Diags Raw Data'!$L$6:$L$3663,'Diags Raw Data'!$N$6:$N$3663)/J37)</f>
        <v>1</v>
      </c>
      <c r="L37" s="498" cm="1">
        <f t="array" ref="L37">IF(D37="",0, SUMPRODUCT(--(ISNUMBER(SEARCH($A37,'Diags Raw Data'!$A$6:$A$3663))),'Diags Raw Data'!$L$6:$L$3663,'Diags Raw Data'!$P$6:$P$3663)/J37)</f>
        <v>0</v>
      </c>
      <c r="M37" s="499" cm="1">
        <f t="array" ref="M37">SUMPRODUCT(--(ISNUMBER(SEARCH($A37,'Diags Raw Data'!$A$6:$A$3663))),--('Diags Raw Data'!$Q$6:$Q$3663&lt;&gt;"N/A"),'Diags Raw Data'!$R$6:$R$3663)</f>
        <v>12</v>
      </c>
      <c r="N37" s="500" cm="1">
        <f t="array" ref="N37">SUMPRODUCT(--(ISNUMBER(SEARCH($A37,'Diags Raw Data'!$A$6:$A$3663))),--('Diags Raw Data'!$Q$6:$Q$3663&lt;&gt;"N/A"),'Diags Raw Data'!$T$6:$T$3663)+SUMPRODUCT(--(ISNUMBER(SEARCH($A37,'Diags Raw Data'!$A$6:$A$3663))),--('Diags Raw Data'!$Q$6:$Q$3663&lt;&gt;"N/A"),'Diags Raw Data'!$U$6:$U$3663)</f>
        <v>0</v>
      </c>
      <c r="O37" s="501">
        <f t="shared" si="2"/>
        <v>0</v>
      </c>
      <c r="P37" s="502">
        <f>SUMIF('Diags Raw Data'!$A$6:$A$3663,"*"&amp;$A37&amp;"*",'Diags Raw Data'!$Z$6:$Z$3663)</f>
        <v>0</v>
      </c>
      <c r="Q37" s="503">
        <f>SUM(SUMIF('Diags Raw Data'!$A$6:$A$3663,"*"&amp;$A37&amp;"*",'Diags Raw Data'!$AA$6:$AA$3663),SUMIF('Diags Raw Data'!$A$6:$A$3663,"*"&amp;$A37&amp;"*",'Diags Raw Data'!$AB$6:$AB$3663))</f>
        <v>0</v>
      </c>
      <c r="R37" s="504">
        <f t="shared" si="3"/>
        <v>0</v>
      </c>
      <c r="S37" s="504">
        <f t="shared" si="4"/>
        <v>0</v>
      </c>
      <c r="T37" s="505">
        <f t="shared" si="5"/>
        <v>0</v>
      </c>
      <c r="U37" s="451" t="s">
        <v>464</v>
      </c>
      <c r="V37" s="181"/>
    </row>
    <row r="38" spans="1:22" s="186" customFormat="1" ht="15.75" thickBot="1" x14ac:dyDescent="0.3">
      <c r="A38" s="442" t="str">
        <f>'Diags Raw Data'!A37</f>
        <v>KRK1-USB-015</v>
      </c>
      <c r="B38" s="443" t="str">
        <f>VLOOKUP(A38,'Feature Raw Data'!$A$3:$B$4024,2,FALSE)</f>
        <v>USB3.2 Gen 2 (Superspeed plus) Bulk stress</v>
      </c>
      <c r="C38" s="444" t="str">
        <f>VLOOKUP(A38,'Feature Raw Data'!$A$3:$C$4024,3,FALSE)</f>
        <v>P3</v>
      </c>
      <c r="D38" s="445" t="str" cm="1">
        <f t="array" ref="D38">_xlfn.TEXTJOIN("",TRUE,IF(ISNUMBER(SEARCH($A38,'Diags Raw Data'!$A$6:$A$3663)),CONCATENATE('Diags Raw Data'!$H$6:$H$3663,", "),""))</f>
        <v xml:space="preserve">USB_15.1-8, </v>
      </c>
      <c r="E38" s="446" t="str">
        <f>VLOOKUP(A38,'Diags Raw Data'!$A$6:$D$3663,4,FALSE)</f>
        <v>USB</v>
      </c>
      <c r="F38" s="446" t="str">
        <f>VLOOKUP(A38,'Feature Raw Data'!$A$3:$E$4024,5,FALSE)</f>
        <v>Legacy</v>
      </c>
      <c r="G38" s="336" t="str">
        <f t="shared" si="0"/>
        <v>Yes</v>
      </c>
      <c r="H38" s="336" t="str">
        <f t="shared" si="1"/>
        <v>Yes</v>
      </c>
      <c r="I38" s="449">
        <f>SUMIF('Diags Raw Data'!$A$6:$A$3663,"*"&amp;$A38&amp;"*",'Diags Raw Data'!$K$6:$K$3663)</f>
        <v>1</v>
      </c>
      <c r="J38" s="450">
        <f>SUMIF('Diags Raw Data'!$A$6:$A$3663,"*"&amp;$A38&amp;"*",'Diags Raw Data'!$L$6:$L$3663)</f>
        <v>8</v>
      </c>
      <c r="K38" s="497" cm="1">
        <f t="array" ref="K38">IF(D38="",0, SUMPRODUCT(--(ISNUMBER(SEARCH($A38,'Diags Raw Data'!$A$6:$A$3663))),'Diags Raw Data'!$L$6:$L$3663,'Diags Raw Data'!$N$6:$N$3663)/J38)</f>
        <v>1</v>
      </c>
      <c r="L38" s="498" cm="1">
        <f t="array" ref="L38">IF(D38="",0, SUMPRODUCT(--(ISNUMBER(SEARCH($A38,'Diags Raw Data'!$A$6:$A$3663))),'Diags Raw Data'!$L$6:$L$3663,'Diags Raw Data'!$P$6:$P$3663)/J38)</f>
        <v>0</v>
      </c>
      <c r="M38" s="499" cm="1">
        <f t="array" ref="M38">SUMPRODUCT(--(ISNUMBER(SEARCH($A38,'Diags Raw Data'!$A$6:$A$3663))),--('Diags Raw Data'!$Q$6:$Q$3663&lt;&gt;"N/A"),'Diags Raw Data'!$R$6:$R$3663)</f>
        <v>8</v>
      </c>
      <c r="N38" s="500" cm="1">
        <f t="array" ref="N38">SUMPRODUCT(--(ISNUMBER(SEARCH($A38,'Diags Raw Data'!$A$6:$A$3663))),--('Diags Raw Data'!$Q$6:$Q$3663&lt;&gt;"N/A"),'Diags Raw Data'!$T$6:$T$3663)+SUMPRODUCT(--(ISNUMBER(SEARCH($A38,'Diags Raw Data'!$A$6:$A$3663))),--('Diags Raw Data'!$Q$6:$Q$3663&lt;&gt;"N/A"),'Diags Raw Data'!$U$6:$U$3663)</f>
        <v>0</v>
      </c>
      <c r="O38" s="501">
        <f t="shared" si="2"/>
        <v>0</v>
      </c>
      <c r="P38" s="502">
        <f>SUMIF('Diags Raw Data'!$A$6:$A$3663,"*"&amp;$A38&amp;"*",'Diags Raw Data'!$Z$6:$Z$3663)</f>
        <v>0</v>
      </c>
      <c r="Q38" s="503">
        <f>SUM(SUMIF('Diags Raw Data'!$A$6:$A$3663,"*"&amp;$A38&amp;"*",'Diags Raw Data'!$AA$6:$AA$3663),SUMIF('Diags Raw Data'!$A$6:$A$3663,"*"&amp;$A38&amp;"*",'Diags Raw Data'!$AB$6:$AB$3663))</f>
        <v>0</v>
      </c>
      <c r="R38" s="504">
        <f t="shared" si="3"/>
        <v>0</v>
      </c>
      <c r="S38" s="504">
        <f t="shared" si="4"/>
        <v>0</v>
      </c>
      <c r="T38" s="505">
        <f t="shared" si="5"/>
        <v>0</v>
      </c>
      <c r="U38" s="451" t="s">
        <v>462</v>
      </c>
      <c r="V38" s="185"/>
    </row>
    <row r="39" spans="1:22" ht="15.75" thickBot="1" x14ac:dyDescent="0.3">
      <c r="A39" s="442" t="str">
        <f>'Diags Raw Data'!A38</f>
        <v>KRK1-USB-016</v>
      </c>
      <c r="B39" s="443" t="str">
        <f>VLOOKUP(A39,'Feature Raw Data'!$A$3:$B$4024,2,FALSE)</f>
        <v>USB3.2 Gen 2 (Superspeed plus) Interrupt stress</v>
      </c>
      <c r="C39" s="444" t="str">
        <f>VLOOKUP(A39,'Feature Raw Data'!$A$3:$C$4024,3,FALSE)</f>
        <v>P3</v>
      </c>
      <c r="D39" s="445" t="str" cm="1">
        <f t="array" ref="D39">_xlfn.TEXTJOIN("",TRUE,IF(ISNUMBER(SEARCH($A39,'Diags Raw Data'!$A$6:$A$3663)),CONCATENATE('Diags Raw Data'!$H$6:$H$3663,", "),""))</f>
        <v xml:space="preserve">USB_16.1-8, </v>
      </c>
      <c r="E39" s="446" t="str">
        <f>VLOOKUP(A39,'Diags Raw Data'!$A$6:$D$3663,4,FALSE)</f>
        <v>USB</v>
      </c>
      <c r="F39" s="446" t="str">
        <f>VLOOKUP(A39,'Feature Raw Data'!$A$3:$E$4024,5,FALSE)</f>
        <v>Legacy</v>
      </c>
      <c r="G39" s="336" t="str">
        <f t="shared" ref="G39:G48" si="6">IF(D39="","No","Yes")</f>
        <v>Yes</v>
      </c>
      <c r="H39" s="336" t="str">
        <f t="shared" ref="H39:H48" si="7">IF(D39="","No","Yes")</f>
        <v>Yes</v>
      </c>
      <c r="I39" s="449">
        <f>SUMIF('Diags Raw Data'!$A$6:$A$3663,"*"&amp;$A39&amp;"*",'Diags Raw Data'!$K$6:$K$3663)</f>
        <v>1</v>
      </c>
      <c r="J39" s="450">
        <f>SUMIF('Diags Raw Data'!$A$6:$A$3663,"*"&amp;$A39&amp;"*",'Diags Raw Data'!$L$6:$L$3663)</f>
        <v>8</v>
      </c>
      <c r="K39" s="497" cm="1">
        <f t="array" ref="K39">IF(D39="",0, SUMPRODUCT(--(ISNUMBER(SEARCH($A39,'Diags Raw Data'!$A$6:$A$3663))),'Diags Raw Data'!$L$6:$L$3663,'Diags Raw Data'!$N$6:$N$3663)/J39)</f>
        <v>1</v>
      </c>
      <c r="L39" s="498" cm="1">
        <f t="array" ref="L39">IF(D39="",0, SUMPRODUCT(--(ISNUMBER(SEARCH($A39,'Diags Raw Data'!$A$6:$A$3663))),'Diags Raw Data'!$L$6:$L$3663,'Diags Raw Data'!$P$6:$P$3663)/J39)</f>
        <v>0</v>
      </c>
      <c r="M39" s="499" cm="1">
        <f t="array" ref="M39">SUMPRODUCT(--(ISNUMBER(SEARCH($A39,'Diags Raw Data'!$A$6:$A$3663))),--('Diags Raw Data'!$Q$6:$Q$3663&lt;&gt;"N/A"),'Diags Raw Data'!$R$6:$R$3663)</f>
        <v>8</v>
      </c>
      <c r="N39" s="500" cm="1">
        <f t="array" ref="N39">SUMPRODUCT(--(ISNUMBER(SEARCH($A39,'Diags Raw Data'!$A$6:$A$3663))),--('Diags Raw Data'!$Q$6:$Q$3663&lt;&gt;"N/A"),'Diags Raw Data'!$T$6:$T$3663)+SUMPRODUCT(--(ISNUMBER(SEARCH($A39,'Diags Raw Data'!$A$6:$A$3663))),--('Diags Raw Data'!$Q$6:$Q$3663&lt;&gt;"N/A"),'Diags Raw Data'!$U$6:$U$3663)</f>
        <v>0</v>
      </c>
      <c r="O39" s="501">
        <f t="shared" si="2"/>
        <v>0</v>
      </c>
      <c r="P39" s="502">
        <f>SUMIF('Diags Raw Data'!$A$6:$A$3663,"*"&amp;$A39&amp;"*",'Diags Raw Data'!$Z$6:$Z$3663)</f>
        <v>0</v>
      </c>
      <c r="Q39" s="503">
        <f>SUM(SUMIF('Diags Raw Data'!$A$6:$A$3663,"*"&amp;$A39&amp;"*",'Diags Raw Data'!$AA$6:$AA$3663),SUMIF('Diags Raw Data'!$A$6:$A$3663,"*"&amp;$A39&amp;"*",'Diags Raw Data'!$AB$6:$AB$3663))</f>
        <v>0</v>
      </c>
      <c r="R39" s="504">
        <f t="shared" si="3"/>
        <v>0</v>
      </c>
      <c r="S39" s="504">
        <f t="shared" si="4"/>
        <v>0</v>
      </c>
      <c r="T39" s="505">
        <f t="shared" si="5"/>
        <v>0</v>
      </c>
      <c r="U39" s="451" t="s">
        <v>47</v>
      </c>
      <c r="V39" s="181"/>
    </row>
    <row r="40" spans="1:22" ht="15.75" thickBot="1" x14ac:dyDescent="0.3">
      <c r="A40" s="442" t="str">
        <f>'Diags Raw Data'!A39</f>
        <v>KRK1-USB-017</v>
      </c>
      <c r="B40" s="443" t="str">
        <f>VLOOKUP(A40,'Feature Raw Data'!$A$3:$B$4024,2,FALSE)</f>
        <v>USB3.2 Gen 2 (Superspeed plus) Isoch stress</v>
      </c>
      <c r="C40" s="444" t="str">
        <f>VLOOKUP(A40,'Feature Raw Data'!$A$3:$C$4024,3,FALSE)</f>
        <v>P3</v>
      </c>
      <c r="D40" s="445" t="str" cm="1">
        <f t="array" ref="D40">_xlfn.TEXTJOIN("",TRUE,IF(ISNUMBER(SEARCH($A40,'Diags Raw Data'!$A$6:$A$3663)),CONCATENATE('Diags Raw Data'!$H$6:$H$3663,", "),""))</f>
        <v xml:space="preserve">USB_17.1-8, </v>
      </c>
      <c r="E40" s="446" t="str">
        <f>VLOOKUP(A40,'Diags Raw Data'!$A$6:$D$3663,4,FALSE)</f>
        <v>USB</v>
      </c>
      <c r="F40" s="446" t="str">
        <f>VLOOKUP(A40,'Feature Raw Data'!$A$3:$E$4024,5,FALSE)</f>
        <v>Legacy</v>
      </c>
      <c r="G40" s="336" t="str">
        <f t="shared" si="6"/>
        <v>Yes</v>
      </c>
      <c r="H40" s="336" t="str">
        <f t="shared" si="7"/>
        <v>Yes</v>
      </c>
      <c r="I40" s="449">
        <f>SUMIF('Diags Raw Data'!$A$6:$A$3663,"*"&amp;$A40&amp;"*",'Diags Raw Data'!$K$6:$K$3663)</f>
        <v>1</v>
      </c>
      <c r="J40" s="450">
        <f>SUMIF('Diags Raw Data'!$A$6:$A$3663,"*"&amp;$A40&amp;"*",'Diags Raw Data'!$L$6:$L$3663)</f>
        <v>8</v>
      </c>
      <c r="K40" s="497" cm="1">
        <f t="array" ref="K40">IF(D40="",0, SUMPRODUCT(--(ISNUMBER(SEARCH($A40,'Diags Raw Data'!$A$6:$A$3663))),'Diags Raw Data'!$L$6:$L$3663,'Diags Raw Data'!$N$6:$N$3663)/J40)</f>
        <v>1</v>
      </c>
      <c r="L40" s="498" cm="1">
        <f t="array" ref="L40">IF(D40="",0, SUMPRODUCT(--(ISNUMBER(SEARCH($A40,'Diags Raw Data'!$A$6:$A$3663))),'Diags Raw Data'!$L$6:$L$3663,'Diags Raw Data'!$P$6:$P$3663)/J40)</f>
        <v>0</v>
      </c>
      <c r="M40" s="499" cm="1">
        <f t="array" ref="M40">SUMPRODUCT(--(ISNUMBER(SEARCH($A40,'Diags Raw Data'!$A$6:$A$3663))),--('Diags Raw Data'!$Q$6:$Q$3663&lt;&gt;"N/A"),'Diags Raw Data'!$R$6:$R$3663)</f>
        <v>8</v>
      </c>
      <c r="N40" s="500" cm="1">
        <f t="array" ref="N40">SUMPRODUCT(--(ISNUMBER(SEARCH($A40,'Diags Raw Data'!$A$6:$A$3663))),--('Diags Raw Data'!$Q$6:$Q$3663&lt;&gt;"N/A"),'Diags Raw Data'!$T$6:$T$3663)+SUMPRODUCT(--(ISNUMBER(SEARCH($A40,'Diags Raw Data'!$A$6:$A$3663))),--('Diags Raw Data'!$Q$6:$Q$3663&lt;&gt;"N/A"),'Diags Raw Data'!$U$6:$U$3663)</f>
        <v>0</v>
      </c>
      <c r="O40" s="501">
        <f t="shared" si="2"/>
        <v>0</v>
      </c>
      <c r="P40" s="502">
        <f>SUMIF('Diags Raw Data'!$A$6:$A$3663,"*"&amp;$A40&amp;"*",'Diags Raw Data'!$Z$6:$Z$3663)</f>
        <v>0</v>
      </c>
      <c r="Q40" s="503">
        <f>SUM(SUMIF('Diags Raw Data'!$A$6:$A$3663,"*"&amp;$A40&amp;"*",'Diags Raw Data'!$AA$6:$AA$3663),SUMIF('Diags Raw Data'!$A$6:$A$3663,"*"&amp;$A40&amp;"*",'Diags Raw Data'!$AB$6:$AB$3663))</f>
        <v>0</v>
      </c>
      <c r="R40" s="504">
        <f t="shared" si="3"/>
        <v>0</v>
      </c>
      <c r="S40" s="504">
        <f t="shared" si="4"/>
        <v>0</v>
      </c>
      <c r="T40" s="505">
        <f t="shared" si="5"/>
        <v>0</v>
      </c>
      <c r="U40" s="451" t="s">
        <v>462</v>
      </c>
      <c r="V40" s="181"/>
    </row>
    <row r="41" spans="1:22" ht="15.75" thickBot="1" x14ac:dyDescent="0.3">
      <c r="A41" s="442" t="str">
        <f>'Diags Raw Data'!A40</f>
        <v>KRK1-USB-020</v>
      </c>
      <c r="B41" s="443" t="str">
        <f>VLOOKUP(A41,'Feature Raw Data'!$A$3:$B$4024,2,FALSE)</f>
        <v>Support Larger Service Interval</v>
      </c>
      <c r="C41" s="444" t="str">
        <f>VLOOKUP(A41,'Feature Raw Data'!$A$3:$C$4024,3,FALSE)</f>
        <v>P3</v>
      </c>
      <c r="D41" s="445" t="str" cm="1">
        <f t="array" ref="D41">_xlfn.TEXTJOIN("",TRUE,IF(ISNUMBER(SEARCH($A41,'Diags Raw Data'!$A$6:$A$3663)),CONCATENATE('Diags Raw Data'!$H$6:$H$3663,", "),""))</f>
        <v xml:space="preserve">USB_20.1-12, </v>
      </c>
      <c r="E41" s="446" t="str">
        <f>VLOOKUP(A41,'Diags Raw Data'!$A$6:$D$3663,4,FALSE)</f>
        <v>USB</v>
      </c>
      <c r="F41" s="446" t="str">
        <f>VLOOKUP(A41,'Feature Raw Data'!$A$3:$E$4024,5,FALSE)</f>
        <v>Legacy</v>
      </c>
      <c r="G41" s="336" t="str">
        <f t="shared" si="6"/>
        <v>Yes</v>
      </c>
      <c r="H41" s="336" t="str">
        <f t="shared" si="7"/>
        <v>Yes</v>
      </c>
      <c r="I41" s="449">
        <f>SUMIF('Diags Raw Data'!$A$6:$A$3663,"*"&amp;$A41&amp;"*",'Diags Raw Data'!$K$6:$K$3663)</f>
        <v>1</v>
      </c>
      <c r="J41" s="450">
        <f>SUMIF('Diags Raw Data'!$A$6:$A$3663,"*"&amp;$A41&amp;"*",'Diags Raw Data'!$L$6:$L$3663)</f>
        <v>12</v>
      </c>
      <c r="K41" s="497" cm="1">
        <f t="array" ref="K41">IF(D41="",0, SUMPRODUCT(--(ISNUMBER(SEARCH($A41,'Diags Raw Data'!$A$6:$A$3663))),'Diags Raw Data'!$L$6:$L$3663,'Diags Raw Data'!$N$6:$N$3663)/J41)</f>
        <v>1</v>
      </c>
      <c r="L41" s="498" cm="1">
        <f t="array" ref="L41">IF(D41="",0, SUMPRODUCT(--(ISNUMBER(SEARCH($A41,'Diags Raw Data'!$A$6:$A$3663))),'Diags Raw Data'!$L$6:$L$3663,'Diags Raw Data'!$P$6:$P$3663)/J41)</f>
        <v>0</v>
      </c>
      <c r="M41" s="499" cm="1">
        <f t="array" ref="M41">SUMPRODUCT(--(ISNUMBER(SEARCH($A41,'Diags Raw Data'!$A$6:$A$3663))),--('Diags Raw Data'!$Q$6:$Q$3663&lt;&gt;"N/A"),'Diags Raw Data'!$R$6:$R$3663)</f>
        <v>12</v>
      </c>
      <c r="N41" s="500" cm="1">
        <f t="array" ref="N41">SUMPRODUCT(--(ISNUMBER(SEARCH($A41,'Diags Raw Data'!$A$6:$A$3663))),--('Diags Raw Data'!$Q$6:$Q$3663&lt;&gt;"N/A"),'Diags Raw Data'!$T$6:$T$3663)+SUMPRODUCT(--(ISNUMBER(SEARCH($A41,'Diags Raw Data'!$A$6:$A$3663))),--('Diags Raw Data'!$Q$6:$Q$3663&lt;&gt;"N/A"),'Diags Raw Data'!$U$6:$U$3663)</f>
        <v>0</v>
      </c>
      <c r="O41" s="501">
        <f t="shared" si="2"/>
        <v>0</v>
      </c>
      <c r="P41" s="502">
        <f>SUMIF('Diags Raw Data'!$A$6:$A$3663,"*"&amp;$A41&amp;"*",'Diags Raw Data'!$Z$6:$Z$3663)</f>
        <v>0</v>
      </c>
      <c r="Q41" s="503">
        <f>SUM(SUMIF('Diags Raw Data'!$A$6:$A$3663,"*"&amp;$A41&amp;"*",'Diags Raw Data'!$AA$6:$AA$3663),SUMIF('Diags Raw Data'!$A$6:$A$3663,"*"&amp;$A41&amp;"*",'Diags Raw Data'!$AB$6:$AB$3663))</f>
        <v>0</v>
      </c>
      <c r="R41" s="504">
        <f t="shared" si="3"/>
        <v>0</v>
      </c>
      <c r="S41" s="504">
        <f t="shared" si="4"/>
        <v>0</v>
      </c>
      <c r="T41" s="505">
        <f t="shared" si="5"/>
        <v>0</v>
      </c>
      <c r="U41" s="451" t="s">
        <v>463</v>
      </c>
      <c r="V41" s="181"/>
    </row>
    <row r="42" spans="1:22" ht="15.75" thickBot="1" x14ac:dyDescent="0.3">
      <c r="A42" s="442" t="str">
        <f>'Diags Raw Data'!A41</f>
        <v>KRK1-USB-022</v>
      </c>
      <c r="B42" s="443" t="str">
        <f>VLOOKUP(A42,'Feature Raw Data'!$A$3:$B$4024,2,FALSE)</f>
        <v>Concurrent Transfer Robustness : High speed bulk devices</v>
      </c>
      <c r="C42" s="444" t="str">
        <f>VLOOKUP(A42,'Feature Raw Data'!$A$3:$C$4024,3,FALSE)</f>
        <v>P3</v>
      </c>
      <c r="D42" s="445" t="str" cm="1">
        <f t="array" ref="D42">_xlfn.TEXTJOIN("",TRUE,IF(ISNUMBER(SEARCH($A42,'Diags Raw Data'!$A$6:$A$3663)),CONCATENATE('Diags Raw Data'!$H$6:$H$3663,", "),""))</f>
        <v xml:space="preserve">USB_22.1-16, </v>
      </c>
      <c r="E42" s="446" t="str">
        <f>VLOOKUP(A42,'Diags Raw Data'!$A$6:$D$3663,4,FALSE)</f>
        <v>USB</v>
      </c>
      <c r="F42" s="446" t="str">
        <f>VLOOKUP(A42,'Feature Raw Data'!$A$3:$E$4024,5,FALSE)</f>
        <v>Legacy</v>
      </c>
      <c r="G42" s="336" t="str">
        <f t="shared" si="6"/>
        <v>Yes</v>
      </c>
      <c r="H42" s="336" t="str">
        <f t="shared" si="7"/>
        <v>Yes</v>
      </c>
      <c r="I42" s="449">
        <f>SUMIF('Diags Raw Data'!$A$6:$A$3663,"*"&amp;$A42&amp;"*",'Diags Raw Data'!$K$6:$K$3663)</f>
        <v>1</v>
      </c>
      <c r="J42" s="450">
        <f>SUMIF('Diags Raw Data'!$A$6:$A$3663,"*"&amp;$A42&amp;"*",'Diags Raw Data'!$L$6:$L$3663)</f>
        <v>16</v>
      </c>
      <c r="K42" s="497" cm="1">
        <f t="array" ref="K42">IF(D42="",0, SUMPRODUCT(--(ISNUMBER(SEARCH($A42,'Diags Raw Data'!$A$6:$A$3663))),'Diags Raw Data'!$L$6:$L$3663,'Diags Raw Data'!$N$6:$N$3663)/J42)</f>
        <v>1</v>
      </c>
      <c r="L42" s="498" cm="1">
        <f t="array" ref="L42">IF(D42="",0, SUMPRODUCT(--(ISNUMBER(SEARCH($A42,'Diags Raw Data'!$A$6:$A$3663))),'Diags Raw Data'!$L$6:$L$3663,'Diags Raw Data'!$P$6:$P$3663)/J42)</f>
        <v>0</v>
      </c>
      <c r="M42" s="499" cm="1">
        <f t="array" ref="M42">SUMPRODUCT(--(ISNUMBER(SEARCH($A42,'Diags Raw Data'!$A$6:$A$3663))),--('Diags Raw Data'!$Q$6:$Q$3663&lt;&gt;"N/A"),'Diags Raw Data'!$R$6:$R$3663)</f>
        <v>16</v>
      </c>
      <c r="N42" s="500" cm="1">
        <f t="array" ref="N42">SUMPRODUCT(--(ISNUMBER(SEARCH($A42,'Diags Raw Data'!$A$6:$A$3663))),--('Diags Raw Data'!$Q$6:$Q$3663&lt;&gt;"N/A"),'Diags Raw Data'!$T$6:$T$3663)+SUMPRODUCT(--(ISNUMBER(SEARCH($A42,'Diags Raw Data'!$A$6:$A$3663))),--('Diags Raw Data'!$Q$6:$Q$3663&lt;&gt;"N/A"),'Diags Raw Data'!$U$6:$U$3663)</f>
        <v>0</v>
      </c>
      <c r="O42" s="501">
        <f t="shared" si="2"/>
        <v>0</v>
      </c>
      <c r="P42" s="502">
        <f>SUMIF('Diags Raw Data'!$A$6:$A$3663,"*"&amp;$A42&amp;"*",'Diags Raw Data'!$Z$6:$Z$3663)</f>
        <v>0</v>
      </c>
      <c r="Q42" s="503">
        <f>SUM(SUMIF('Diags Raw Data'!$A$6:$A$3663,"*"&amp;$A42&amp;"*",'Diags Raw Data'!$AA$6:$AA$3663),SUMIF('Diags Raw Data'!$A$6:$A$3663,"*"&amp;$A42&amp;"*",'Diags Raw Data'!$AB$6:$AB$3663))</f>
        <v>0</v>
      </c>
      <c r="R42" s="504">
        <f t="shared" si="3"/>
        <v>0</v>
      </c>
      <c r="S42" s="504">
        <f t="shared" si="4"/>
        <v>0</v>
      </c>
      <c r="T42" s="505">
        <f t="shared" si="5"/>
        <v>0</v>
      </c>
      <c r="U42" s="451" t="s">
        <v>47</v>
      </c>
      <c r="V42" s="181"/>
    </row>
    <row r="43" spans="1:22" ht="15.75" thickBot="1" x14ac:dyDescent="0.3">
      <c r="A43" s="442" t="str">
        <f>'Diags Raw Data'!A42</f>
        <v>KRK1-USB-023</v>
      </c>
      <c r="B43" s="443" t="str">
        <f>VLOOKUP(A43,'Feature Raw Data'!$A$3:$B$4024,2,FALSE)</f>
        <v>Concurrent Transfer Robustness : Superspeed bulk devices</v>
      </c>
      <c r="C43" s="444" t="str">
        <f>VLOOKUP(A43,'Feature Raw Data'!$A$3:$C$4024,3,FALSE)</f>
        <v>P3</v>
      </c>
      <c r="D43" s="445" t="str" cm="1">
        <f t="array" ref="D43">_xlfn.TEXTJOIN("",TRUE,IF(ISNUMBER(SEARCH($A43,'Diags Raw Data'!$A$6:$A$3663)),CONCATENATE('Diags Raw Data'!$H$6:$H$3663,", "),""))</f>
        <v xml:space="preserve">USB_23.1-12, </v>
      </c>
      <c r="E43" s="446" t="str">
        <f>VLOOKUP(A43,'Diags Raw Data'!$A$6:$D$3663,4,FALSE)</f>
        <v>USB</v>
      </c>
      <c r="F43" s="446" t="str">
        <f>VLOOKUP(A43,'Feature Raw Data'!$A$3:$E$4024,5,FALSE)</f>
        <v>Legacy</v>
      </c>
      <c r="G43" s="336" t="str">
        <f t="shared" si="6"/>
        <v>Yes</v>
      </c>
      <c r="H43" s="336" t="str">
        <f t="shared" si="7"/>
        <v>Yes</v>
      </c>
      <c r="I43" s="449">
        <f>SUMIF('Diags Raw Data'!$A$6:$A$3663,"*"&amp;$A43&amp;"*",'Diags Raw Data'!$K$6:$K$3663)</f>
        <v>1</v>
      </c>
      <c r="J43" s="450">
        <f>SUMIF('Diags Raw Data'!$A$6:$A$3663,"*"&amp;$A43&amp;"*",'Diags Raw Data'!$L$6:$L$3663)</f>
        <v>12</v>
      </c>
      <c r="K43" s="497" cm="1">
        <f t="array" ref="K43">IF(D43="",0, SUMPRODUCT(--(ISNUMBER(SEARCH($A43,'Diags Raw Data'!$A$6:$A$3663))),'Diags Raw Data'!$L$6:$L$3663,'Diags Raw Data'!$N$6:$N$3663)/J43)</f>
        <v>1</v>
      </c>
      <c r="L43" s="498" cm="1">
        <f t="array" ref="L43">IF(D43="",0, SUMPRODUCT(--(ISNUMBER(SEARCH($A43,'Diags Raw Data'!$A$6:$A$3663))),'Diags Raw Data'!$L$6:$L$3663,'Diags Raw Data'!$P$6:$P$3663)/J43)</f>
        <v>0</v>
      </c>
      <c r="M43" s="499" cm="1">
        <f t="array" ref="M43">SUMPRODUCT(--(ISNUMBER(SEARCH($A43,'Diags Raw Data'!$A$6:$A$3663))),--('Diags Raw Data'!$Q$6:$Q$3663&lt;&gt;"N/A"),'Diags Raw Data'!$R$6:$R$3663)</f>
        <v>12</v>
      </c>
      <c r="N43" s="500" cm="1">
        <f t="array" ref="N43">SUMPRODUCT(--(ISNUMBER(SEARCH($A43,'Diags Raw Data'!$A$6:$A$3663))),--('Diags Raw Data'!$Q$6:$Q$3663&lt;&gt;"N/A"),'Diags Raw Data'!$T$6:$T$3663)+SUMPRODUCT(--(ISNUMBER(SEARCH($A43,'Diags Raw Data'!$A$6:$A$3663))),--('Diags Raw Data'!$Q$6:$Q$3663&lt;&gt;"N/A"),'Diags Raw Data'!$U$6:$U$3663)</f>
        <v>0</v>
      </c>
      <c r="O43" s="501">
        <f t="shared" si="2"/>
        <v>0</v>
      </c>
      <c r="P43" s="502">
        <f>SUMIF('Diags Raw Data'!$A$6:$A$3663,"*"&amp;$A43&amp;"*",'Diags Raw Data'!$Z$6:$Z$3663)</f>
        <v>0</v>
      </c>
      <c r="Q43" s="503">
        <f>SUM(SUMIF('Diags Raw Data'!$A$6:$A$3663,"*"&amp;$A43&amp;"*",'Diags Raw Data'!$AA$6:$AA$3663),SUMIF('Diags Raw Data'!$A$6:$A$3663,"*"&amp;$A43&amp;"*",'Diags Raw Data'!$AB$6:$AB$3663))</f>
        <v>0</v>
      </c>
      <c r="R43" s="504">
        <f t="shared" si="3"/>
        <v>0</v>
      </c>
      <c r="S43" s="504">
        <f t="shared" si="4"/>
        <v>0</v>
      </c>
      <c r="T43" s="505">
        <f t="shared" si="5"/>
        <v>0</v>
      </c>
      <c r="U43" s="451" t="s">
        <v>277</v>
      </c>
      <c r="V43" s="181"/>
    </row>
    <row r="44" spans="1:22" ht="15.75" thickBot="1" x14ac:dyDescent="0.3">
      <c r="A44" s="442" t="str">
        <f>'Diags Raw Data'!A43</f>
        <v>KRK1-USB-024</v>
      </c>
      <c r="B44" s="443" t="str">
        <f>VLOOKUP(A44,'Feature Raw Data'!$A$3:$B$4024,2,FALSE)</f>
        <v>Concurrent Transfer Robustness : Superspeed plus bulk devices</v>
      </c>
      <c r="C44" s="444" t="str">
        <f>VLOOKUP(A44,'Feature Raw Data'!$A$3:$C$4024,3,FALSE)</f>
        <v>P3</v>
      </c>
      <c r="D44" s="445" t="str" cm="1">
        <f t="array" ref="D44">_xlfn.TEXTJOIN("",TRUE,IF(ISNUMBER(SEARCH($A44,'Diags Raw Data'!$A$6:$A$3663)),CONCATENATE('Diags Raw Data'!$H$6:$H$3663,", "),""))</f>
        <v xml:space="preserve">USB_24.1-8, </v>
      </c>
      <c r="E44" s="446" t="str">
        <f>VLOOKUP(A44,'Diags Raw Data'!$A$6:$D$3663,4,FALSE)</f>
        <v>USB</v>
      </c>
      <c r="F44" s="446" t="str">
        <f>VLOOKUP(A44,'Feature Raw Data'!$A$3:$E$4024,5,FALSE)</f>
        <v>Legacy</v>
      </c>
      <c r="G44" s="336" t="str">
        <f t="shared" si="6"/>
        <v>Yes</v>
      </c>
      <c r="H44" s="336" t="str">
        <f t="shared" si="7"/>
        <v>Yes</v>
      </c>
      <c r="I44" s="449">
        <f>SUMIF('Diags Raw Data'!$A$6:$A$3663,"*"&amp;$A44&amp;"*",'Diags Raw Data'!$K$6:$K$3663)</f>
        <v>1</v>
      </c>
      <c r="J44" s="450">
        <f>SUMIF('Diags Raw Data'!$A$6:$A$3663,"*"&amp;$A44&amp;"*",'Diags Raw Data'!$L$6:$L$3663)</f>
        <v>8</v>
      </c>
      <c r="K44" s="497" cm="1">
        <f t="array" ref="K44">IF(D44="",0, SUMPRODUCT(--(ISNUMBER(SEARCH($A44,'Diags Raw Data'!$A$6:$A$3663))),'Diags Raw Data'!$L$6:$L$3663,'Diags Raw Data'!$N$6:$N$3663)/J44)</f>
        <v>1</v>
      </c>
      <c r="L44" s="498" cm="1">
        <f t="array" ref="L44">IF(D44="",0, SUMPRODUCT(--(ISNUMBER(SEARCH($A44,'Diags Raw Data'!$A$6:$A$3663))),'Diags Raw Data'!$L$6:$L$3663,'Diags Raw Data'!$P$6:$P$3663)/J44)</f>
        <v>0</v>
      </c>
      <c r="M44" s="499" cm="1">
        <f t="array" ref="M44">SUMPRODUCT(--(ISNUMBER(SEARCH($A44,'Diags Raw Data'!$A$6:$A$3663))),--('Diags Raw Data'!$Q$6:$Q$3663&lt;&gt;"N/A"),'Diags Raw Data'!$R$6:$R$3663)</f>
        <v>8</v>
      </c>
      <c r="N44" s="500" cm="1">
        <f t="array" ref="N44">SUMPRODUCT(--(ISNUMBER(SEARCH($A44,'Diags Raw Data'!$A$6:$A$3663))),--('Diags Raw Data'!$Q$6:$Q$3663&lt;&gt;"N/A"),'Diags Raw Data'!$T$6:$T$3663)+SUMPRODUCT(--(ISNUMBER(SEARCH($A44,'Diags Raw Data'!$A$6:$A$3663))),--('Diags Raw Data'!$Q$6:$Q$3663&lt;&gt;"N/A"),'Diags Raw Data'!$U$6:$U$3663)</f>
        <v>0</v>
      </c>
      <c r="O44" s="501">
        <f t="shared" si="2"/>
        <v>0</v>
      </c>
      <c r="P44" s="502">
        <f>SUMIF('Diags Raw Data'!$A$6:$A$3663,"*"&amp;$A44&amp;"*",'Diags Raw Data'!$Z$6:$Z$3663)</f>
        <v>0</v>
      </c>
      <c r="Q44" s="503">
        <f>SUM(SUMIF('Diags Raw Data'!$A$6:$A$3663,"*"&amp;$A44&amp;"*",'Diags Raw Data'!$AA$6:$AA$3663),SUMIF('Diags Raw Data'!$A$6:$A$3663,"*"&amp;$A44&amp;"*",'Diags Raw Data'!$AB$6:$AB$3663))</f>
        <v>0</v>
      </c>
      <c r="R44" s="504">
        <f t="shared" si="3"/>
        <v>0</v>
      </c>
      <c r="S44" s="504">
        <f t="shared" si="4"/>
        <v>0</v>
      </c>
      <c r="T44" s="505">
        <f t="shared" si="5"/>
        <v>0</v>
      </c>
      <c r="U44" s="451" t="s">
        <v>460</v>
      </c>
      <c r="V44" s="181"/>
    </row>
    <row r="45" spans="1:22" ht="30.75" thickBot="1" x14ac:dyDescent="0.3">
      <c r="A45" s="442" t="str">
        <f>'Diags Raw Data'!A44</f>
        <v>KRK1-USB-025</v>
      </c>
      <c r="B45" s="443" t="str">
        <f>VLOOKUP(A45,'Feature Raw Data'!$A$3:$B$4024,2,FALSE)</f>
        <v>Concurrent Transfer Robustness : High speed/Superspeed/Superspeed Plus)</v>
      </c>
      <c r="C45" s="444" t="str">
        <f>VLOOKUP(A45,'Feature Raw Data'!$A$3:$C$4024,3,FALSE)</f>
        <v>P3</v>
      </c>
      <c r="D45" s="445" t="str" cm="1">
        <f t="array" ref="D45">_xlfn.TEXTJOIN("",TRUE,IF(ISNUMBER(SEARCH($A45,'Diags Raw Data'!$A$6:$A$3663)),CONCATENATE('Diags Raw Data'!$H$6:$H$3663,", "),""))</f>
        <v xml:space="preserve">USB_25.1-8, </v>
      </c>
      <c r="E45" s="446" t="str">
        <f>VLOOKUP(A45,'Diags Raw Data'!$A$6:$D$3663,4,FALSE)</f>
        <v>USB</v>
      </c>
      <c r="F45" s="446" t="str">
        <f>VLOOKUP(A45,'Feature Raw Data'!$A$3:$E$4024,5,FALSE)</f>
        <v>Legacy</v>
      </c>
      <c r="G45" s="336" t="str">
        <f t="shared" si="6"/>
        <v>Yes</v>
      </c>
      <c r="H45" s="336" t="str">
        <f t="shared" si="7"/>
        <v>Yes</v>
      </c>
      <c r="I45" s="449">
        <f>SUMIF('Diags Raw Data'!$A$6:$A$3663,"*"&amp;$A45&amp;"*",'Diags Raw Data'!$K$6:$K$3663)</f>
        <v>1</v>
      </c>
      <c r="J45" s="450">
        <f>SUMIF('Diags Raw Data'!$A$6:$A$3663,"*"&amp;$A45&amp;"*",'Diags Raw Data'!$L$6:$L$3663)</f>
        <v>8</v>
      </c>
      <c r="K45" s="497" cm="1">
        <f t="array" ref="K45">IF(D45="",0, SUMPRODUCT(--(ISNUMBER(SEARCH($A45,'Diags Raw Data'!$A$6:$A$3663))),'Diags Raw Data'!$L$6:$L$3663,'Diags Raw Data'!$N$6:$N$3663)/J45)</f>
        <v>1</v>
      </c>
      <c r="L45" s="498" cm="1">
        <f t="array" ref="L45">IF(D45="",0, SUMPRODUCT(--(ISNUMBER(SEARCH($A45,'Diags Raw Data'!$A$6:$A$3663))),'Diags Raw Data'!$L$6:$L$3663,'Diags Raw Data'!$P$6:$P$3663)/J45)</f>
        <v>0</v>
      </c>
      <c r="M45" s="499" cm="1">
        <f t="array" ref="M45">SUMPRODUCT(--(ISNUMBER(SEARCH($A45,'Diags Raw Data'!$A$6:$A$3663))),--('Diags Raw Data'!$Q$6:$Q$3663&lt;&gt;"N/A"),'Diags Raw Data'!$R$6:$R$3663)</f>
        <v>8</v>
      </c>
      <c r="N45" s="500" cm="1">
        <f t="array" ref="N45">SUMPRODUCT(--(ISNUMBER(SEARCH($A45,'Diags Raw Data'!$A$6:$A$3663))),--('Diags Raw Data'!$Q$6:$Q$3663&lt;&gt;"N/A"),'Diags Raw Data'!$T$6:$T$3663)+SUMPRODUCT(--(ISNUMBER(SEARCH($A45,'Diags Raw Data'!$A$6:$A$3663))),--('Diags Raw Data'!$Q$6:$Q$3663&lt;&gt;"N/A"),'Diags Raw Data'!$U$6:$U$3663)</f>
        <v>0</v>
      </c>
      <c r="O45" s="501">
        <f t="shared" si="2"/>
        <v>0</v>
      </c>
      <c r="P45" s="502">
        <f>SUMIF('Diags Raw Data'!$A$6:$A$3663,"*"&amp;$A45&amp;"*",'Diags Raw Data'!$Z$6:$Z$3663)</f>
        <v>0</v>
      </c>
      <c r="Q45" s="503">
        <f>SUM(SUMIF('Diags Raw Data'!$A$6:$A$3663,"*"&amp;$A45&amp;"*",'Diags Raw Data'!$AA$6:$AA$3663),SUMIF('Diags Raw Data'!$A$6:$A$3663,"*"&amp;$A45&amp;"*",'Diags Raw Data'!$AB$6:$AB$3663))</f>
        <v>0</v>
      </c>
      <c r="R45" s="504">
        <f t="shared" si="3"/>
        <v>0</v>
      </c>
      <c r="S45" s="504">
        <f t="shared" si="4"/>
        <v>0</v>
      </c>
      <c r="T45" s="505">
        <f t="shared" si="5"/>
        <v>0</v>
      </c>
      <c r="U45" s="451" t="s">
        <v>463</v>
      </c>
      <c r="V45" s="181"/>
    </row>
    <row r="46" spans="1:22" ht="15.75" thickBot="1" x14ac:dyDescent="0.3">
      <c r="A46" s="442" t="str">
        <f>'Diags Raw Data'!A45</f>
        <v>KRK1-USB-026</v>
      </c>
      <c r="B46" s="443" t="str">
        <f>VLOOKUP(A46,'Feature Raw Data'!$A$3:$B$4024,2,FALSE)</f>
        <v>PMM : USB D3 cold entry/exit</v>
      </c>
      <c r="C46" s="444" t="str">
        <f>VLOOKUP(A46,'Feature Raw Data'!$A$3:$C$4024,3,FALSE)</f>
        <v>P3</v>
      </c>
      <c r="D46" s="445" t="str" cm="1">
        <f t="array" ref="D46">_xlfn.TEXTJOIN("",TRUE,IF(ISNUMBER(SEARCH($A46,'Diags Raw Data'!$A$6:$A$3663)),CONCATENATE('Diags Raw Data'!$H$6:$H$3663,", "),""))</f>
        <v xml:space="preserve">USB_26.1-24, </v>
      </c>
      <c r="E46" s="446" t="str">
        <f>VLOOKUP(A46,'Diags Raw Data'!$A$6:$D$3663,4,FALSE)</f>
        <v>USB</v>
      </c>
      <c r="F46" s="446" t="str">
        <f>VLOOKUP(A46,'Feature Raw Data'!$A$3:$E$4024,5,FALSE)</f>
        <v>Legacy</v>
      </c>
      <c r="G46" s="336" t="str">
        <f t="shared" si="6"/>
        <v>Yes</v>
      </c>
      <c r="H46" s="336" t="str">
        <f t="shared" si="7"/>
        <v>Yes</v>
      </c>
      <c r="I46" s="449">
        <f>SUMIF('Diags Raw Data'!$A$6:$A$3663,"*"&amp;$A46&amp;"*",'Diags Raw Data'!$K$6:$K$3663)</f>
        <v>1</v>
      </c>
      <c r="J46" s="450">
        <f>SUMIF('Diags Raw Data'!$A$6:$A$3663,"*"&amp;$A46&amp;"*",'Diags Raw Data'!$L$6:$L$3663)</f>
        <v>24</v>
      </c>
      <c r="K46" s="497" cm="1">
        <f t="array" ref="K46">IF(D46="",0, SUMPRODUCT(--(ISNUMBER(SEARCH($A46,'Diags Raw Data'!$A$6:$A$3663))),'Diags Raw Data'!$L$6:$L$3663,'Diags Raw Data'!$N$6:$N$3663)/J46)</f>
        <v>1</v>
      </c>
      <c r="L46" s="498" cm="1">
        <f t="array" ref="L46">IF(D46="",0, SUMPRODUCT(--(ISNUMBER(SEARCH($A46,'Diags Raw Data'!$A$6:$A$3663))),'Diags Raw Data'!$L$6:$L$3663,'Diags Raw Data'!$P$6:$P$3663)/J46)</f>
        <v>0</v>
      </c>
      <c r="M46" s="499" cm="1">
        <f t="array" ref="M46">SUMPRODUCT(--(ISNUMBER(SEARCH($A46,'Diags Raw Data'!$A$6:$A$3663))),--('Diags Raw Data'!$Q$6:$Q$3663&lt;&gt;"N/A"),'Diags Raw Data'!$R$6:$R$3663)</f>
        <v>24</v>
      </c>
      <c r="N46" s="500" cm="1">
        <f t="array" ref="N46">SUMPRODUCT(--(ISNUMBER(SEARCH($A46,'Diags Raw Data'!$A$6:$A$3663))),--('Diags Raw Data'!$Q$6:$Q$3663&lt;&gt;"N/A"),'Diags Raw Data'!$T$6:$T$3663)+SUMPRODUCT(--(ISNUMBER(SEARCH($A46,'Diags Raw Data'!$A$6:$A$3663))),--('Diags Raw Data'!$Q$6:$Q$3663&lt;&gt;"N/A"),'Diags Raw Data'!$U$6:$U$3663)</f>
        <v>0</v>
      </c>
      <c r="O46" s="501">
        <f t="shared" si="2"/>
        <v>0</v>
      </c>
      <c r="P46" s="502">
        <f>SUMIF('Diags Raw Data'!$A$6:$A$3663,"*"&amp;$A46&amp;"*",'Diags Raw Data'!$Z$6:$Z$3663)</f>
        <v>0</v>
      </c>
      <c r="Q46" s="503">
        <f>SUM(SUMIF('Diags Raw Data'!$A$6:$A$3663,"*"&amp;$A46&amp;"*",'Diags Raw Data'!$AA$6:$AA$3663),SUMIF('Diags Raw Data'!$A$6:$A$3663,"*"&amp;$A46&amp;"*",'Diags Raw Data'!$AB$6:$AB$3663))</f>
        <v>0</v>
      </c>
      <c r="R46" s="504">
        <f t="shared" si="3"/>
        <v>0</v>
      </c>
      <c r="S46" s="504">
        <f t="shared" si="4"/>
        <v>0</v>
      </c>
      <c r="T46" s="505">
        <f t="shared" si="5"/>
        <v>0</v>
      </c>
      <c r="U46" s="451" t="s">
        <v>461</v>
      </c>
      <c r="V46" s="181"/>
    </row>
    <row r="47" spans="1:22" ht="15.75" thickBot="1" x14ac:dyDescent="0.3">
      <c r="A47" s="442" t="str">
        <f>'Diags Raw Data'!A46</f>
        <v>KRK1-USB-027</v>
      </c>
      <c r="B47" s="443" t="str">
        <f>VLOOKUP(A47,'Feature Raw Data'!$A$3:$B$4024,2,FALSE)</f>
        <v>PMM : USB wake on device resume in S0i3 &amp; S4</v>
      </c>
      <c r="C47" s="444" t="str">
        <f>VLOOKUP(A47,'Feature Raw Data'!$A$3:$C$4024,3,FALSE)</f>
        <v>P3</v>
      </c>
      <c r="D47" s="445" t="str" cm="1">
        <f t="array" ref="D47">_xlfn.TEXTJOIN("",TRUE,IF(ISNUMBER(SEARCH($A47,'Diags Raw Data'!$A$6:$A$3663)),CONCATENATE('Diags Raw Data'!$H$6:$H$3663,", "),""))</f>
        <v xml:space="preserve">USB_27.1-24, </v>
      </c>
      <c r="E47" s="446" t="str">
        <f>VLOOKUP(A47,'Diags Raw Data'!$A$6:$D$3663,4,FALSE)</f>
        <v>USB</v>
      </c>
      <c r="F47" s="446" t="str">
        <f>VLOOKUP(A47,'Feature Raw Data'!$A$3:$E$4024,5,FALSE)</f>
        <v>Legacy</v>
      </c>
      <c r="G47" s="336" t="str">
        <f t="shared" si="6"/>
        <v>Yes</v>
      </c>
      <c r="H47" s="336" t="str">
        <f t="shared" si="7"/>
        <v>Yes</v>
      </c>
      <c r="I47" s="449">
        <f>SUMIF('Diags Raw Data'!$A$6:$A$3663,"*"&amp;$A47&amp;"*",'Diags Raw Data'!$K$6:$K$3663)</f>
        <v>1</v>
      </c>
      <c r="J47" s="450">
        <f>SUMIF('Diags Raw Data'!$A$6:$A$3663,"*"&amp;$A47&amp;"*",'Diags Raw Data'!$L$6:$L$3663)</f>
        <v>24</v>
      </c>
      <c r="K47" s="497" cm="1">
        <f t="array" ref="K47">IF(D47="",0, SUMPRODUCT(--(ISNUMBER(SEARCH($A47,'Diags Raw Data'!$A$6:$A$3663))),'Diags Raw Data'!$L$6:$L$3663,'Diags Raw Data'!$N$6:$N$3663)/J47)</f>
        <v>1</v>
      </c>
      <c r="L47" s="498" cm="1">
        <f t="array" ref="L47">IF(D47="",0, SUMPRODUCT(--(ISNUMBER(SEARCH($A47,'Diags Raw Data'!$A$6:$A$3663))),'Diags Raw Data'!$L$6:$L$3663,'Diags Raw Data'!$P$6:$P$3663)/J47)</f>
        <v>0</v>
      </c>
      <c r="M47" s="499" cm="1">
        <f t="array" ref="M47">SUMPRODUCT(--(ISNUMBER(SEARCH($A47,'Diags Raw Data'!$A$6:$A$3663))),--('Diags Raw Data'!$Q$6:$Q$3663&lt;&gt;"N/A"),'Diags Raw Data'!$R$6:$R$3663)</f>
        <v>24</v>
      </c>
      <c r="N47" s="500" cm="1">
        <f t="array" ref="N47">SUMPRODUCT(--(ISNUMBER(SEARCH($A47,'Diags Raw Data'!$A$6:$A$3663))),--('Diags Raw Data'!$Q$6:$Q$3663&lt;&gt;"N/A"),'Diags Raw Data'!$T$6:$T$3663)+SUMPRODUCT(--(ISNUMBER(SEARCH($A47,'Diags Raw Data'!$A$6:$A$3663))),--('Diags Raw Data'!$Q$6:$Q$3663&lt;&gt;"N/A"),'Diags Raw Data'!$U$6:$U$3663)</f>
        <v>0</v>
      </c>
      <c r="O47" s="501">
        <f t="shared" si="2"/>
        <v>0</v>
      </c>
      <c r="P47" s="502">
        <f>SUMIF('Diags Raw Data'!$A$6:$A$3663,"*"&amp;$A47&amp;"*",'Diags Raw Data'!$Z$6:$Z$3663)</f>
        <v>0</v>
      </c>
      <c r="Q47" s="503">
        <f>SUM(SUMIF('Diags Raw Data'!$A$6:$A$3663,"*"&amp;$A47&amp;"*",'Diags Raw Data'!$AA$6:$AA$3663),SUMIF('Diags Raw Data'!$A$6:$A$3663,"*"&amp;$A47&amp;"*",'Diags Raw Data'!$AB$6:$AB$3663))</f>
        <v>0</v>
      </c>
      <c r="R47" s="504">
        <f t="shared" si="3"/>
        <v>0</v>
      </c>
      <c r="S47" s="504">
        <f t="shared" si="4"/>
        <v>0</v>
      </c>
      <c r="T47" s="505">
        <f t="shared" si="5"/>
        <v>0</v>
      </c>
      <c r="U47" s="451" t="s">
        <v>460</v>
      </c>
      <c r="V47" s="181"/>
    </row>
    <row r="48" spans="1:22" ht="15.75" thickBot="1" x14ac:dyDescent="0.3">
      <c r="A48" s="442" t="str">
        <f>'Diags Raw Data'!A47</f>
        <v>KRK1-USB-028</v>
      </c>
      <c r="B48" s="443" t="str">
        <f>VLOOKUP(A48,'Feature Raw Data'!$A$3:$B$4024,2,FALSE)</f>
        <v>PMM : USB wake on connect &amp; disconnect in S0i3 &amp; S4</v>
      </c>
      <c r="C48" s="444" t="str">
        <f>VLOOKUP(A48,'Feature Raw Data'!$A$3:$C$4024,3,FALSE)</f>
        <v>P3</v>
      </c>
      <c r="D48" s="445" t="str" cm="1">
        <f t="array" ref="D48">_xlfn.TEXTJOIN("",TRUE,IF(ISNUMBER(SEARCH($A48,'Diags Raw Data'!$A$6:$A$3663)),CONCATENATE('Diags Raw Data'!$H$6:$H$3663,", "),""))</f>
        <v xml:space="preserve">USB_28.1-12, </v>
      </c>
      <c r="E48" s="446" t="str">
        <f>VLOOKUP(A48,'Diags Raw Data'!$A$6:$D$3663,4,FALSE)</f>
        <v>USB</v>
      </c>
      <c r="F48" s="446" t="str">
        <f>VLOOKUP(A48,'Feature Raw Data'!$A$3:$E$4024,5,FALSE)</f>
        <v>Legacy</v>
      </c>
      <c r="G48" s="336" t="str">
        <f t="shared" si="6"/>
        <v>Yes</v>
      </c>
      <c r="H48" s="336" t="str">
        <f t="shared" si="7"/>
        <v>Yes</v>
      </c>
      <c r="I48" s="449">
        <f>SUMIF('Diags Raw Data'!$A$6:$A$3663,"*"&amp;$A48&amp;"*",'Diags Raw Data'!$K$6:$K$3663)</f>
        <v>1</v>
      </c>
      <c r="J48" s="450">
        <f>SUMIF('Diags Raw Data'!$A$6:$A$3663,"*"&amp;$A48&amp;"*",'Diags Raw Data'!$L$6:$L$3663)</f>
        <v>12</v>
      </c>
      <c r="K48" s="497" cm="1">
        <f t="array" ref="K48">IF(D48="",0, SUMPRODUCT(--(ISNUMBER(SEARCH($A48,'Diags Raw Data'!$A$6:$A$3663))),'Diags Raw Data'!$L$6:$L$3663,'Diags Raw Data'!$N$6:$N$3663)/J48)</f>
        <v>1</v>
      </c>
      <c r="L48" s="498" cm="1">
        <f t="array" ref="L48">IF(D48="",0, SUMPRODUCT(--(ISNUMBER(SEARCH($A48,'Diags Raw Data'!$A$6:$A$3663))),'Diags Raw Data'!$L$6:$L$3663,'Diags Raw Data'!$P$6:$P$3663)/J48)</f>
        <v>0</v>
      </c>
      <c r="M48" s="499" cm="1">
        <f t="array" ref="M48">SUMPRODUCT(--(ISNUMBER(SEARCH($A48,'Diags Raw Data'!$A$6:$A$3663))),--('Diags Raw Data'!$Q$6:$Q$3663&lt;&gt;"N/A"),'Diags Raw Data'!$R$6:$R$3663)</f>
        <v>0</v>
      </c>
      <c r="N48" s="500" cm="1">
        <f t="array" ref="N48">SUMPRODUCT(--(ISNUMBER(SEARCH($A48,'Diags Raw Data'!$A$6:$A$3663))),--('Diags Raw Data'!$Q$6:$Q$3663&lt;&gt;"N/A"),'Diags Raw Data'!$T$6:$T$3663)+SUMPRODUCT(--(ISNUMBER(SEARCH($A48,'Diags Raw Data'!$A$6:$A$3663))),--('Diags Raw Data'!$Q$6:$Q$3663&lt;&gt;"N/A"),'Diags Raw Data'!$U$6:$U$3663)</f>
        <v>0</v>
      </c>
      <c r="O48" s="501">
        <f t="shared" si="2"/>
        <v>0</v>
      </c>
      <c r="P48" s="502">
        <f>SUMIF('Diags Raw Data'!$A$6:$A$3663,"*"&amp;$A48&amp;"*",'Diags Raw Data'!$Z$6:$Z$3663)</f>
        <v>0</v>
      </c>
      <c r="Q48" s="503">
        <f>SUM(SUMIF('Diags Raw Data'!$A$6:$A$3663,"*"&amp;$A48&amp;"*",'Diags Raw Data'!$AA$6:$AA$3663),SUMIF('Diags Raw Data'!$A$6:$A$3663,"*"&amp;$A48&amp;"*",'Diags Raw Data'!$AB$6:$AB$3663))</f>
        <v>0</v>
      </c>
      <c r="R48" s="504">
        <f t="shared" si="3"/>
        <v>0</v>
      </c>
      <c r="S48" s="504">
        <f t="shared" si="4"/>
        <v>0</v>
      </c>
      <c r="T48" s="505">
        <f t="shared" si="5"/>
        <v>0</v>
      </c>
      <c r="U48" s="451" t="s">
        <v>460</v>
      </c>
      <c r="V48" s="181"/>
    </row>
    <row r="49" spans="1:22" ht="15.75" thickBot="1" x14ac:dyDescent="0.3">
      <c r="A49" s="442"/>
      <c r="B49" s="443"/>
      <c r="C49" s="444"/>
      <c r="D49" s="445"/>
      <c r="E49" s="446"/>
      <c r="F49" s="446"/>
      <c r="G49" s="336"/>
      <c r="H49" s="336"/>
      <c r="I49" s="449"/>
      <c r="J49" s="450"/>
      <c r="K49" s="497"/>
      <c r="L49" s="498"/>
      <c r="M49" s="499"/>
      <c r="N49" s="500"/>
      <c r="O49" s="501"/>
      <c r="P49" s="502"/>
      <c r="Q49" s="503"/>
      <c r="R49" s="504"/>
      <c r="S49" s="504"/>
      <c r="T49" s="505"/>
      <c r="U49" s="451"/>
      <c r="V49" s="181"/>
    </row>
    <row r="50" spans="1:22" ht="15.75" thickBot="1" x14ac:dyDescent="0.3">
      <c r="A50" s="442"/>
      <c r="B50" s="443"/>
      <c r="C50" s="444"/>
      <c r="D50" s="445"/>
      <c r="E50" s="446"/>
      <c r="F50" s="446"/>
      <c r="G50" s="336"/>
      <c r="H50" s="336"/>
      <c r="I50" s="449"/>
      <c r="J50" s="450"/>
      <c r="K50" s="497"/>
      <c r="L50" s="498"/>
      <c r="M50" s="499"/>
      <c r="N50" s="500"/>
      <c r="O50" s="501"/>
      <c r="P50" s="502"/>
      <c r="Q50" s="503"/>
      <c r="R50" s="504"/>
      <c r="S50" s="504"/>
      <c r="T50" s="505"/>
      <c r="U50" s="451"/>
      <c r="V50" s="181"/>
    </row>
    <row r="51" spans="1:22" ht="15.75" thickBot="1" x14ac:dyDescent="0.3">
      <c r="A51" s="442"/>
      <c r="B51" s="443"/>
      <c r="C51" s="444"/>
      <c r="D51" s="445"/>
      <c r="E51" s="446"/>
      <c r="F51" s="446"/>
      <c r="G51" s="336"/>
      <c r="H51" s="336"/>
      <c r="I51" s="449"/>
      <c r="J51" s="450"/>
      <c r="K51" s="497"/>
      <c r="L51" s="498"/>
      <c r="M51" s="499"/>
      <c r="N51" s="500"/>
      <c r="O51" s="501"/>
      <c r="P51" s="502"/>
      <c r="Q51" s="503"/>
      <c r="R51" s="504"/>
      <c r="S51" s="504"/>
      <c r="T51" s="505"/>
      <c r="U51" s="451"/>
      <c r="V51" s="181"/>
    </row>
    <row r="52" spans="1:22" ht="15.75" thickBot="1" x14ac:dyDescent="0.3">
      <c r="A52" s="442"/>
      <c r="B52" s="443"/>
      <c r="C52" s="444"/>
      <c r="D52" s="445"/>
      <c r="E52" s="446"/>
      <c r="F52" s="446"/>
      <c r="G52" s="336"/>
      <c r="H52" s="336"/>
      <c r="I52" s="449"/>
      <c r="J52" s="450"/>
      <c r="K52" s="497"/>
      <c r="L52" s="498"/>
      <c r="M52" s="499"/>
      <c r="N52" s="500"/>
      <c r="O52" s="501"/>
      <c r="P52" s="502"/>
      <c r="Q52" s="503"/>
      <c r="R52" s="504"/>
      <c r="S52" s="504"/>
      <c r="T52" s="505"/>
      <c r="U52" s="451"/>
      <c r="V52" s="181"/>
    </row>
    <row r="53" spans="1:22" ht="15.75" thickBot="1" x14ac:dyDescent="0.3">
      <c r="A53" s="442"/>
      <c r="B53" s="443"/>
      <c r="C53" s="444"/>
      <c r="D53" s="445"/>
      <c r="E53" s="446"/>
      <c r="F53" s="446"/>
      <c r="G53" s="336"/>
      <c r="H53" s="336"/>
      <c r="I53" s="449"/>
      <c r="J53" s="450"/>
      <c r="K53" s="497"/>
      <c r="L53" s="498"/>
      <c r="M53" s="499"/>
      <c r="N53" s="500"/>
      <c r="O53" s="501"/>
      <c r="P53" s="502"/>
      <c r="Q53" s="503"/>
      <c r="R53" s="504"/>
      <c r="S53" s="504"/>
      <c r="T53" s="505"/>
      <c r="U53" s="451"/>
      <c r="V53" s="181"/>
    </row>
    <row r="54" spans="1:22" ht="15.75" thickBot="1" x14ac:dyDescent="0.3">
      <c r="A54" s="442"/>
      <c r="B54" s="443"/>
      <c r="C54" s="444"/>
      <c r="D54" s="445"/>
      <c r="E54" s="446"/>
      <c r="F54" s="446"/>
      <c r="G54" s="336"/>
      <c r="H54" s="336"/>
      <c r="I54" s="449"/>
      <c r="J54" s="450"/>
      <c r="K54" s="497"/>
      <c r="L54" s="498"/>
      <c r="M54" s="499"/>
      <c r="N54" s="500"/>
      <c r="O54" s="501"/>
      <c r="P54" s="502"/>
      <c r="Q54" s="503"/>
      <c r="R54" s="504"/>
      <c r="S54" s="504"/>
      <c r="T54" s="505"/>
      <c r="U54" s="451"/>
      <c r="V54" s="181"/>
    </row>
    <row r="55" spans="1:22" ht="15.75" thickBot="1" x14ac:dyDescent="0.3">
      <c r="A55" s="442"/>
      <c r="B55" s="443"/>
      <c r="C55" s="444"/>
      <c r="D55" s="445"/>
      <c r="E55" s="446"/>
      <c r="F55" s="446"/>
      <c r="G55" s="336"/>
      <c r="H55" s="336"/>
      <c r="I55" s="449"/>
      <c r="J55" s="450"/>
      <c r="K55" s="497"/>
      <c r="L55" s="498"/>
      <c r="M55" s="499"/>
      <c r="N55" s="500"/>
      <c r="O55" s="501"/>
      <c r="P55" s="502"/>
      <c r="Q55" s="503"/>
      <c r="R55" s="504"/>
      <c r="S55" s="504"/>
      <c r="T55" s="505"/>
      <c r="U55" s="451"/>
      <c r="V55" s="181"/>
    </row>
    <row r="56" spans="1:22" ht="15.75" thickBot="1" x14ac:dyDescent="0.3">
      <c r="A56" s="442"/>
      <c r="B56" s="443"/>
      <c r="C56" s="444"/>
      <c r="D56" s="445"/>
      <c r="E56" s="446"/>
      <c r="F56" s="446"/>
      <c r="G56" s="336"/>
      <c r="H56" s="336"/>
      <c r="I56" s="449"/>
      <c r="J56" s="450"/>
      <c r="K56" s="497"/>
      <c r="L56" s="498"/>
      <c r="M56" s="499"/>
      <c r="N56" s="500"/>
      <c r="O56" s="501"/>
      <c r="P56" s="502"/>
      <c r="Q56" s="503"/>
      <c r="R56" s="504"/>
      <c r="S56" s="504"/>
      <c r="T56" s="505"/>
      <c r="U56" s="451"/>
      <c r="V56" s="181"/>
    </row>
    <row r="57" spans="1:22" ht="15.75" thickBot="1" x14ac:dyDescent="0.3">
      <c r="A57" s="442"/>
      <c r="B57" s="443"/>
      <c r="C57" s="444"/>
      <c r="D57" s="445"/>
      <c r="E57" s="446"/>
      <c r="F57" s="446"/>
      <c r="G57" s="336"/>
      <c r="H57" s="336"/>
      <c r="I57" s="449"/>
      <c r="J57" s="450"/>
      <c r="K57" s="497"/>
      <c r="L57" s="498"/>
      <c r="M57" s="499"/>
      <c r="N57" s="500"/>
      <c r="O57" s="501"/>
      <c r="P57" s="502"/>
      <c r="Q57" s="503"/>
      <c r="R57" s="504"/>
      <c r="S57" s="504"/>
      <c r="T57" s="505"/>
      <c r="U57" s="451"/>
      <c r="V57" s="181"/>
    </row>
    <row r="58" spans="1:22" ht="15.75" thickBot="1" x14ac:dyDescent="0.3">
      <c r="A58" s="442"/>
      <c r="B58" s="443"/>
      <c r="C58" s="444"/>
      <c r="D58" s="445"/>
      <c r="E58" s="446"/>
      <c r="F58" s="446"/>
      <c r="G58" s="336"/>
      <c r="H58" s="336"/>
      <c r="I58" s="449"/>
      <c r="J58" s="450"/>
      <c r="K58" s="497"/>
      <c r="L58" s="498"/>
      <c r="M58" s="499"/>
      <c r="N58" s="500"/>
      <c r="O58" s="501"/>
      <c r="P58" s="502"/>
      <c r="Q58" s="503"/>
      <c r="R58" s="504"/>
      <c r="S58" s="504"/>
      <c r="T58" s="505"/>
      <c r="U58" s="451"/>
      <c r="V58" s="181"/>
    </row>
    <row r="59" spans="1:22" ht="15.75" thickBot="1" x14ac:dyDescent="0.3">
      <c r="A59" s="442"/>
      <c r="B59" s="443"/>
      <c r="C59" s="444"/>
      <c r="D59" s="445"/>
      <c r="E59" s="446"/>
      <c r="F59" s="446"/>
      <c r="G59" s="336"/>
      <c r="H59" s="336"/>
      <c r="I59" s="449"/>
      <c r="J59" s="450"/>
      <c r="K59" s="497"/>
      <c r="L59" s="498"/>
      <c r="M59" s="499"/>
      <c r="N59" s="500"/>
      <c r="O59" s="501"/>
      <c r="P59" s="502"/>
      <c r="Q59" s="503"/>
      <c r="R59" s="504"/>
      <c r="S59" s="504"/>
      <c r="T59" s="505"/>
      <c r="U59" s="451"/>
      <c r="V59" s="181"/>
    </row>
    <row r="60" spans="1:22" ht="15.75" thickBot="1" x14ac:dyDescent="0.3">
      <c r="A60" s="442"/>
      <c r="B60" s="443"/>
      <c r="C60" s="444"/>
      <c r="D60" s="445"/>
      <c r="E60" s="446"/>
      <c r="F60" s="446"/>
      <c r="G60" s="336"/>
      <c r="H60" s="336"/>
      <c r="I60" s="449"/>
      <c r="J60" s="450"/>
      <c r="K60" s="497"/>
      <c r="L60" s="498"/>
      <c r="M60" s="499"/>
      <c r="N60" s="500"/>
      <c r="O60" s="501"/>
      <c r="P60" s="502"/>
      <c r="Q60" s="503"/>
      <c r="R60" s="504"/>
      <c r="S60" s="504"/>
      <c r="T60" s="505"/>
      <c r="U60" s="451"/>
      <c r="V60" s="181"/>
    </row>
    <row r="61" spans="1:22" ht="15.75" thickBot="1" x14ac:dyDescent="0.3">
      <c r="A61" s="442"/>
      <c r="B61" s="443"/>
      <c r="C61" s="444"/>
      <c r="D61" s="445"/>
      <c r="E61" s="446"/>
      <c r="F61" s="446"/>
      <c r="G61" s="336"/>
      <c r="H61" s="336"/>
      <c r="I61" s="449"/>
      <c r="J61" s="450"/>
      <c r="K61" s="497"/>
      <c r="L61" s="498"/>
      <c r="M61" s="499"/>
      <c r="N61" s="500"/>
      <c r="O61" s="501"/>
      <c r="P61" s="502"/>
      <c r="Q61" s="503"/>
      <c r="R61" s="504"/>
      <c r="S61" s="504"/>
      <c r="T61" s="505"/>
      <c r="U61" s="451"/>
      <c r="V61" s="181"/>
    </row>
    <row r="62" spans="1:22" ht="15.75" thickBot="1" x14ac:dyDescent="0.3">
      <c r="A62" s="442"/>
      <c r="B62" s="443"/>
      <c r="C62" s="444"/>
      <c r="D62" s="445"/>
      <c r="E62" s="446"/>
      <c r="F62" s="446"/>
      <c r="G62" s="336"/>
      <c r="H62" s="336"/>
      <c r="I62" s="449"/>
      <c r="J62" s="450"/>
      <c r="K62" s="497"/>
      <c r="L62" s="498"/>
      <c r="M62" s="499"/>
      <c r="N62" s="500"/>
      <c r="O62" s="501"/>
      <c r="P62" s="502"/>
      <c r="Q62" s="503"/>
      <c r="R62" s="504"/>
      <c r="S62" s="504"/>
      <c r="T62" s="505"/>
      <c r="U62" s="451"/>
      <c r="V62" s="181"/>
    </row>
    <row r="63" spans="1:22" ht="15.75" thickBot="1" x14ac:dyDescent="0.3">
      <c r="A63" s="442"/>
      <c r="B63" s="443"/>
      <c r="C63" s="444"/>
      <c r="D63" s="445"/>
      <c r="E63" s="446"/>
      <c r="F63" s="446"/>
      <c r="G63" s="336"/>
      <c r="H63" s="336"/>
      <c r="I63" s="449"/>
      <c r="J63" s="450"/>
      <c r="K63" s="497"/>
      <c r="L63" s="498"/>
      <c r="M63" s="499"/>
      <c r="N63" s="500"/>
      <c r="O63" s="501"/>
      <c r="P63" s="502"/>
      <c r="Q63" s="503"/>
      <c r="R63" s="504"/>
      <c r="S63" s="504"/>
      <c r="T63" s="505"/>
      <c r="U63" s="451"/>
      <c r="V63" s="181"/>
    </row>
    <row r="64" spans="1:22" ht="15.75" thickBot="1" x14ac:dyDescent="0.3">
      <c r="A64" s="442"/>
      <c r="B64" s="443"/>
      <c r="C64" s="444"/>
      <c r="D64" s="445"/>
      <c r="E64" s="446"/>
      <c r="F64" s="446"/>
      <c r="G64" s="336"/>
      <c r="H64" s="336"/>
      <c r="I64" s="449"/>
      <c r="J64" s="450"/>
      <c r="K64" s="497"/>
      <c r="L64" s="498"/>
      <c r="M64" s="499"/>
      <c r="N64" s="500"/>
      <c r="O64" s="501"/>
      <c r="P64" s="502"/>
      <c r="Q64" s="503"/>
      <c r="R64" s="504"/>
      <c r="S64" s="504"/>
      <c r="T64" s="505"/>
      <c r="U64" s="451"/>
      <c r="V64" s="181"/>
    </row>
    <row r="65" spans="1:22" ht="15.75" thickBot="1" x14ac:dyDescent="0.3">
      <c r="A65" s="442"/>
      <c r="B65" s="443"/>
      <c r="C65" s="444"/>
      <c r="D65" s="445"/>
      <c r="E65" s="446"/>
      <c r="F65" s="446"/>
      <c r="G65" s="336"/>
      <c r="H65" s="336"/>
      <c r="I65" s="449"/>
      <c r="J65" s="450"/>
      <c r="K65" s="497"/>
      <c r="L65" s="498"/>
      <c r="M65" s="499"/>
      <c r="N65" s="500"/>
      <c r="O65" s="501"/>
      <c r="P65" s="502"/>
      <c r="Q65" s="503"/>
      <c r="R65" s="504"/>
      <c r="S65" s="504"/>
      <c r="T65" s="505"/>
      <c r="U65" s="451"/>
      <c r="V65" s="181"/>
    </row>
    <row r="66" spans="1:22" ht="15.75" thickBot="1" x14ac:dyDescent="0.3">
      <c r="A66" s="442"/>
      <c r="B66" s="443"/>
      <c r="C66" s="444"/>
      <c r="D66" s="445"/>
      <c r="E66" s="446"/>
      <c r="F66" s="446"/>
      <c r="G66" s="336"/>
      <c r="H66" s="336"/>
      <c r="I66" s="449"/>
      <c r="J66" s="450"/>
      <c r="K66" s="497"/>
      <c r="L66" s="498"/>
      <c r="M66" s="499"/>
      <c r="N66" s="500"/>
      <c r="O66" s="501"/>
      <c r="P66" s="502"/>
      <c r="Q66" s="503"/>
      <c r="R66" s="504"/>
      <c r="S66" s="504"/>
      <c r="T66" s="505"/>
      <c r="U66" s="451"/>
      <c r="V66" s="181"/>
    </row>
    <row r="67" spans="1:22" ht="15.75" thickBot="1" x14ac:dyDescent="0.3">
      <c r="A67" s="442"/>
      <c r="B67" s="443"/>
      <c r="C67" s="444"/>
      <c r="D67" s="445"/>
      <c r="E67" s="446"/>
      <c r="F67" s="446"/>
      <c r="G67" s="336"/>
      <c r="H67" s="336"/>
      <c r="I67" s="449"/>
      <c r="J67" s="450"/>
      <c r="K67" s="497"/>
      <c r="L67" s="498"/>
      <c r="M67" s="499"/>
      <c r="N67" s="500"/>
      <c r="O67" s="501"/>
      <c r="P67" s="502"/>
      <c r="Q67" s="503"/>
      <c r="R67" s="504"/>
      <c r="S67" s="504"/>
      <c r="T67" s="505"/>
      <c r="U67" s="451"/>
      <c r="V67" s="181"/>
    </row>
    <row r="68" spans="1:22" ht="15.75" thickBot="1" x14ac:dyDescent="0.3">
      <c r="A68" s="442"/>
      <c r="B68" s="443"/>
      <c r="C68" s="444"/>
      <c r="D68" s="445"/>
      <c r="E68" s="446"/>
      <c r="F68" s="446"/>
      <c r="G68" s="336"/>
      <c r="H68" s="336"/>
      <c r="I68" s="449"/>
      <c r="J68" s="450"/>
      <c r="K68" s="497"/>
      <c r="L68" s="498"/>
      <c r="M68" s="499"/>
      <c r="N68" s="500"/>
      <c r="O68" s="501"/>
      <c r="P68" s="502"/>
      <c r="Q68" s="503"/>
      <c r="R68" s="504"/>
      <c r="S68" s="504"/>
      <c r="T68" s="505"/>
      <c r="U68" s="451"/>
      <c r="V68" s="181"/>
    </row>
    <row r="69" spans="1:22" ht="15.75" thickBot="1" x14ac:dyDescent="0.3">
      <c r="A69" s="442"/>
      <c r="B69" s="443"/>
      <c r="C69" s="444"/>
      <c r="D69" s="445"/>
      <c r="E69" s="446"/>
      <c r="F69" s="446"/>
      <c r="G69" s="336"/>
      <c r="H69" s="336"/>
      <c r="I69" s="449"/>
      <c r="J69" s="450"/>
      <c r="K69" s="497"/>
      <c r="L69" s="498"/>
      <c r="M69" s="499"/>
      <c r="N69" s="500"/>
      <c r="O69" s="501"/>
      <c r="P69" s="502"/>
      <c r="Q69" s="503"/>
      <c r="R69" s="504"/>
      <c r="S69" s="504"/>
      <c r="T69" s="505"/>
      <c r="U69" s="451"/>
      <c r="V69" s="181"/>
    </row>
    <row r="70" spans="1:22" ht="15.75" thickBot="1" x14ac:dyDescent="0.3">
      <c r="A70" s="442"/>
      <c r="B70" s="443"/>
      <c r="C70" s="444"/>
      <c r="D70" s="445"/>
      <c r="E70" s="446"/>
      <c r="F70" s="446"/>
      <c r="G70" s="336"/>
      <c r="H70" s="336"/>
      <c r="I70" s="449"/>
      <c r="J70" s="450"/>
      <c r="K70" s="497"/>
      <c r="L70" s="498"/>
      <c r="M70" s="499"/>
      <c r="N70" s="500"/>
      <c r="O70" s="501"/>
      <c r="P70" s="502"/>
      <c r="Q70" s="503"/>
      <c r="R70" s="504"/>
      <c r="S70" s="504"/>
      <c r="T70" s="505"/>
      <c r="U70" s="451"/>
      <c r="V70" s="181"/>
    </row>
    <row r="71" spans="1:22" ht="15.75" thickBot="1" x14ac:dyDescent="0.3">
      <c r="A71" s="442"/>
      <c r="B71" s="443"/>
      <c r="C71" s="444"/>
      <c r="D71" s="445"/>
      <c r="E71" s="446"/>
      <c r="F71" s="446"/>
      <c r="G71" s="336"/>
      <c r="H71" s="336"/>
      <c r="I71" s="449"/>
      <c r="J71" s="450"/>
      <c r="K71" s="497"/>
      <c r="L71" s="498"/>
      <c r="M71" s="499"/>
      <c r="N71" s="500"/>
      <c r="O71" s="501"/>
      <c r="P71" s="502"/>
      <c r="Q71" s="503"/>
      <c r="R71" s="504"/>
      <c r="S71" s="504"/>
      <c r="T71" s="505"/>
      <c r="U71" s="451"/>
      <c r="V71" s="181"/>
    </row>
    <row r="72" spans="1:22" ht="15.75" thickBot="1" x14ac:dyDescent="0.3">
      <c r="A72" s="442"/>
      <c r="B72" s="443"/>
      <c r="C72" s="444"/>
      <c r="D72" s="445"/>
      <c r="E72" s="446"/>
      <c r="F72" s="446"/>
      <c r="G72" s="336"/>
      <c r="H72" s="336"/>
      <c r="I72" s="449"/>
      <c r="J72" s="450"/>
      <c r="K72" s="497"/>
      <c r="L72" s="498"/>
      <c r="M72" s="499"/>
      <c r="N72" s="500"/>
      <c r="O72" s="501"/>
      <c r="P72" s="502"/>
      <c r="Q72" s="503"/>
      <c r="R72" s="504"/>
      <c r="S72" s="504"/>
      <c r="T72" s="505"/>
      <c r="U72" s="451"/>
      <c r="V72" s="181"/>
    </row>
    <row r="73" spans="1:22" ht="15.75" thickBot="1" x14ac:dyDescent="0.3">
      <c r="A73" s="442"/>
      <c r="B73" s="443"/>
      <c r="C73" s="444"/>
      <c r="D73" s="445"/>
      <c r="E73" s="446"/>
      <c r="F73" s="446"/>
      <c r="G73" s="336"/>
      <c r="H73" s="336"/>
      <c r="I73" s="449"/>
      <c r="J73" s="450"/>
      <c r="K73" s="497"/>
      <c r="L73" s="498"/>
      <c r="M73" s="499"/>
      <c r="N73" s="500"/>
      <c r="O73" s="501"/>
      <c r="P73" s="502"/>
      <c r="Q73" s="503"/>
      <c r="R73" s="504"/>
      <c r="S73" s="504"/>
      <c r="T73" s="505"/>
      <c r="U73" s="451"/>
      <c r="V73" s="181"/>
    </row>
    <row r="74" spans="1:22" ht="15.75" thickBot="1" x14ac:dyDescent="0.3">
      <c r="A74" s="442"/>
      <c r="B74" s="443"/>
      <c r="C74" s="444"/>
      <c r="D74" s="445"/>
      <c r="E74" s="446"/>
      <c r="F74" s="446"/>
      <c r="G74" s="336"/>
      <c r="H74" s="336"/>
      <c r="I74" s="449"/>
      <c r="J74" s="450"/>
      <c r="K74" s="497"/>
      <c r="L74" s="498"/>
      <c r="M74" s="499"/>
      <c r="N74" s="500"/>
      <c r="O74" s="501"/>
      <c r="P74" s="502"/>
      <c r="Q74" s="503"/>
      <c r="R74" s="504"/>
      <c r="S74" s="504"/>
      <c r="T74" s="505"/>
      <c r="U74" s="451"/>
      <c r="V74" s="181"/>
    </row>
    <row r="75" spans="1:22" ht="15.75" thickBot="1" x14ac:dyDescent="0.3">
      <c r="A75" s="442"/>
      <c r="B75" s="443"/>
      <c r="C75" s="444"/>
      <c r="D75" s="445"/>
      <c r="E75" s="446"/>
      <c r="F75" s="446"/>
      <c r="G75" s="336"/>
      <c r="H75" s="336"/>
      <c r="I75" s="449"/>
      <c r="J75" s="450"/>
      <c r="K75" s="497"/>
      <c r="L75" s="498"/>
      <c r="M75" s="499"/>
      <c r="N75" s="500"/>
      <c r="O75" s="501"/>
      <c r="P75" s="502"/>
      <c r="Q75" s="503"/>
      <c r="R75" s="504"/>
      <c r="S75" s="504"/>
      <c r="T75" s="505"/>
      <c r="U75" s="451"/>
      <c r="V75" s="181"/>
    </row>
    <row r="76" spans="1:22" ht="15.75" thickBot="1" x14ac:dyDescent="0.3">
      <c r="A76" s="442"/>
      <c r="B76" s="443"/>
      <c r="C76" s="444"/>
      <c r="D76" s="445"/>
      <c r="E76" s="446"/>
      <c r="F76" s="446"/>
      <c r="G76" s="336"/>
      <c r="H76" s="336"/>
      <c r="I76" s="449"/>
      <c r="J76" s="450"/>
      <c r="K76" s="497"/>
      <c r="L76" s="498"/>
      <c r="M76" s="499"/>
      <c r="N76" s="500"/>
      <c r="O76" s="501"/>
      <c r="P76" s="502"/>
      <c r="Q76" s="503"/>
      <c r="R76" s="504"/>
      <c r="S76" s="504"/>
      <c r="T76" s="505"/>
      <c r="U76" s="451"/>
      <c r="V76" s="181"/>
    </row>
    <row r="77" spans="1:22" ht="15.75" thickBot="1" x14ac:dyDescent="0.3">
      <c r="A77" s="442"/>
      <c r="B77" s="443"/>
      <c r="C77" s="444"/>
      <c r="D77" s="445"/>
      <c r="E77" s="446"/>
      <c r="F77" s="446"/>
      <c r="G77" s="336"/>
      <c r="H77" s="336"/>
      <c r="I77" s="449"/>
      <c r="J77" s="450"/>
      <c r="K77" s="497"/>
      <c r="L77" s="498"/>
      <c r="M77" s="499"/>
      <c r="N77" s="500"/>
      <c r="O77" s="501"/>
      <c r="P77" s="502"/>
      <c r="Q77" s="503"/>
      <c r="R77" s="504"/>
      <c r="S77" s="504"/>
      <c r="T77" s="505"/>
      <c r="U77" s="451"/>
      <c r="V77" s="181"/>
    </row>
    <row r="78" spans="1:22" ht="15.75" thickBot="1" x14ac:dyDescent="0.3">
      <c r="A78" s="442"/>
      <c r="B78" s="443"/>
      <c r="C78" s="444"/>
      <c r="D78" s="445"/>
      <c r="E78" s="446"/>
      <c r="F78" s="446"/>
      <c r="G78" s="336"/>
      <c r="H78" s="336"/>
      <c r="I78" s="449"/>
      <c r="J78" s="450"/>
      <c r="K78" s="497"/>
      <c r="L78" s="498"/>
      <c r="M78" s="499"/>
      <c r="N78" s="500"/>
      <c r="O78" s="501"/>
      <c r="P78" s="502"/>
      <c r="Q78" s="503"/>
      <c r="R78" s="504"/>
      <c r="S78" s="504"/>
      <c r="T78" s="505"/>
      <c r="U78" s="451"/>
      <c r="V78" s="181"/>
    </row>
    <row r="79" spans="1:22" ht="15.75" thickBot="1" x14ac:dyDescent="0.3">
      <c r="A79" s="442"/>
      <c r="B79" s="443"/>
      <c r="C79" s="444"/>
      <c r="D79" s="445"/>
      <c r="E79" s="446"/>
      <c r="F79" s="446"/>
      <c r="G79" s="336"/>
      <c r="H79" s="336"/>
      <c r="I79" s="449"/>
      <c r="J79" s="450"/>
      <c r="K79" s="497"/>
      <c r="L79" s="498"/>
      <c r="M79" s="499"/>
      <c r="N79" s="500"/>
      <c r="O79" s="501"/>
      <c r="P79" s="502"/>
      <c r="Q79" s="503"/>
      <c r="R79" s="504"/>
      <c r="S79" s="504"/>
      <c r="T79" s="505"/>
      <c r="U79" s="451"/>
      <c r="V79" s="181"/>
    </row>
    <row r="80" spans="1:22" ht="15.75" thickBot="1" x14ac:dyDescent="0.3">
      <c r="A80" s="442"/>
      <c r="B80" s="443"/>
      <c r="C80" s="444"/>
      <c r="D80" s="445"/>
      <c r="E80" s="446"/>
      <c r="F80" s="446"/>
      <c r="G80" s="336"/>
      <c r="H80" s="336"/>
      <c r="I80" s="449"/>
      <c r="J80" s="450"/>
      <c r="K80" s="497"/>
      <c r="L80" s="498"/>
      <c r="M80" s="499"/>
      <c r="N80" s="500"/>
      <c r="O80" s="501"/>
      <c r="P80" s="502"/>
      <c r="Q80" s="503"/>
      <c r="R80" s="504"/>
      <c r="S80" s="504"/>
      <c r="T80" s="505"/>
      <c r="U80" s="451"/>
      <c r="V80" s="181"/>
    </row>
    <row r="81" spans="1:22" ht="15.75" thickBot="1" x14ac:dyDescent="0.3">
      <c r="A81" s="442"/>
      <c r="B81" s="443"/>
      <c r="C81" s="444"/>
      <c r="D81" s="445"/>
      <c r="E81" s="446"/>
      <c r="F81" s="446"/>
      <c r="G81" s="336"/>
      <c r="H81" s="336"/>
      <c r="I81" s="449"/>
      <c r="J81" s="450"/>
      <c r="K81" s="497"/>
      <c r="L81" s="498"/>
      <c r="M81" s="499"/>
      <c r="N81" s="500"/>
      <c r="O81" s="501"/>
      <c r="P81" s="502"/>
      <c r="Q81" s="503"/>
      <c r="R81" s="504"/>
      <c r="S81" s="504"/>
      <c r="T81" s="505"/>
      <c r="U81" s="451"/>
      <c r="V81" s="181"/>
    </row>
    <row r="82" spans="1:22" ht="15.75" thickBot="1" x14ac:dyDescent="0.3">
      <c r="A82" s="442"/>
      <c r="B82" s="443"/>
      <c r="C82" s="444"/>
      <c r="D82" s="445"/>
      <c r="E82" s="446"/>
      <c r="F82" s="446"/>
      <c r="G82" s="336"/>
      <c r="H82" s="336"/>
      <c r="I82" s="449"/>
      <c r="J82" s="450"/>
      <c r="K82" s="497"/>
      <c r="L82" s="498"/>
      <c r="M82" s="499"/>
      <c r="N82" s="500"/>
      <c r="O82" s="501"/>
      <c r="P82" s="502"/>
      <c r="Q82" s="503"/>
      <c r="R82" s="504"/>
      <c r="S82" s="504"/>
      <c r="T82" s="505"/>
      <c r="U82" s="451"/>
      <c r="V82" s="181"/>
    </row>
    <row r="83" spans="1:22" ht="15.75" thickBot="1" x14ac:dyDescent="0.3">
      <c r="A83" s="442"/>
      <c r="B83" s="443"/>
      <c r="C83" s="444"/>
      <c r="D83" s="445"/>
      <c r="E83" s="446"/>
      <c r="F83" s="446"/>
      <c r="G83" s="336"/>
      <c r="H83" s="336"/>
      <c r="I83" s="449"/>
      <c r="J83" s="450"/>
      <c r="K83" s="497"/>
      <c r="L83" s="498"/>
      <c r="M83" s="499"/>
      <c r="N83" s="500"/>
      <c r="O83" s="501"/>
      <c r="P83" s="502"/>
      <c r="Q83" s="503"/>
      <c r="R83" s="504"/>
      <c r="S83" s="504"/>
      <c r="T83" s="505"/>
      <c r="U83" s="451"/>
      <c r="V83" s="181"/>
    </row>
    <row r="84" spans="1:22" ht="15.75" thickBot="1" x14ac:dyDescent="0.3">
      <c r="A84" s="442"/>
      <c r="B84" s="443"/>
      <c r="C84" s="444"/>
      <c r="D84" s="445"/>
      <c r="E84" s="446"/>
      <c r="F84" s="446"/>
      <c r="G84" s="336"/>
      <c r="H84" s="336"/>
      <c r="I84" s="449"/>
      <c r="J84" s="450"/>
      <c r="K84" s="497"/>
      <c r="L84" s="498"/>
      <c r="M84" s="499"/>
      <c r="N84" s="500"/>
      <c r="O84" s="501"/>
      <c r="P84" s="502"/>
      <c r="Q84" s="503"/>
      <c r="R84" s="504"/>
      <c r="S84" s="504"/>
      <c r="T84" s="505"/>
      <c r="U84" s="451"/>
      <c r="V84" s="181"/>
    </row>
    <row r="85" spans="1:22" ht="15.75" thickBot="1" x14ac:dyDescent="0.3">
      <c r="A85" s="442"/>
      <c r="B85" s="443"/>
      <c r="C85" s="444"/>
      <c r="D85" s="445"/>
      <c r="E85" s="446"/>
      <c r="F85" s="446"/>
      <c r="G85" s="336"/>
      <c r="H85" s="336"/>
      <c r="I85" s="449"/>
      <c r="J85" s="450"/>
      <c r="K85" s="497"/>
      <c r="L85" s="498"/>
      <c r="M85" s="499"/>
      <c r="N85" s="500"/>
      <c r="O85" s="501"/>
      <c r="P85" s="502"/>
      <c r="Q85" s="503"/>
      <c r="R85" s="504"/>
      <c r="S85" s="504"/>
      <c r="T85" s="505"/>
      <c r="U85" s="451"/>
      <c r="V85" s="181"/>
    </row>
    <row r="86" spans="1:22" ht="15.75" thickBot="1" x14ac:dyDescent="0.3">
      <c r="A86" s="442"/>
      <c r="B86" s="443"/>
      <c r="C86" s="444"/>
      <c r="D86" s="445"/>
      <c r="E86" s="446"/>
      <c r="F86" s="446"/>
      <c r="G86" s="336"/>
      <c r="H86" s="336"/>
      <c r="I86" s="449"/>
      <c r="J86" s="450"/>
      <c r="K86" s="497"/>
      <c r="L86" s="498"/>
      <c r="M86" s="499"/>
      <c r="N86" s="500"/>
      <c r="O86" s="501"/>
      <c r="P86" s="502"/>
      <c r="Q86" s="503"/>
      <c r="R86" s="504"/>
      <c r="S86" s="504"/>
      <c r="T86" s="505"/>
      <c r="U86" s="451"/>
      <c r="V86" s="181"/>
    </row>
    <row r="87" spans="1:22" ht="15.75" thickBot="1" x14ac:dyDescent="0.3">
      <c r="A87" s="442"/>
      <c r="B87" s="443"/>
      <c r="C87" s="444"/>
      <c r="D87" s="445"/>
      <c r="E87" s="446"/>
      <c r="F87" s="446"/>
      <c r="G87" s="336"/>
      <c r="H87" s="336"/>
      <c r="I87" s="449"/>
      <c r="J87" s="450"/>
      <c r="K87" s="497"/>
      <c r="L87" s="498"/>
      <c r="M87" s="499"/>
      <c r="N87" s="500"/>
      <c r="O87" s="501"/>
      <c r="P87" s="502"/>
      <c r="Q87" s="503"/>
      <c r="R87" s="504"/>
      <c r="S87" s="504"/>
      <c r="T87" s="505"/>
      <c r="U87" s="451"/>
      <c r="V87" s="181"/>
    </row>
    <row r="88" spans="1:22" ht="15.75" thickBot="1" x14ac:dyDescent="0.3">
      <c r="A88" s="442"/>
      <c r="B88" s="443"/>
      <c r="C88" s="444"/>
      <c r="D88" s="445"/>
      <c r="E88" s="446"/>
      <c r="F88" s="446"/>
      <c r="G88" s="336"/>
      <c r="H88" s="336"/>
      <c r="I88" s="449"/>
      <c r="J88" s="450"/>
      <c r="K88" s="497"/>
      <c r="L88" s="498"/>
      <c r="M88" s="499"/>
      <c r="N88" s="500"/>
      <c r="O88" s="501"/>
      <c r="P88" s="502"/>
      <c r="Q88" s="503"/>
      <c r="R88" s="504"/>
      <c r="S88" s="504"/>
      <c r="T88" s="505"/>
      <c r="U88" s="451"/>
      <c r="V88" s="181"/>
    </row>
    <row r="89" spans="1:22" ht="15.75" thickBot="1" x14ac:dyDescent="0.3">
      <c r="A89" s="442"/>
      <c r="B89" s="443"/>
      <c r="C89" s="444"/>
      <c r="D89" s="445"/>
      <c r="E89" s="446"/>
      <c r="F89" s="446"/>
      <c r="G89" s="336"/>
      <c r="H89" s="336"/>
      <c r="I89" s="449"/>
      <c r="J89" s="450"/>
      <c r="K89" s="497"/>
      <c r="L89" s="498"/>
      <c r="M89" s="499"/>
      <c r="N89" s="500"/>
      <c r="O89" s="501"/>
      <c r="P89" s="502"/>
      <c r="Q89" s="503"/>
      <c r="R89" s="504"/>
      <c r="S89" s="504"/>
      <c r="T89" s="505"/>
      <c r="U89" s="451"/>
      <c r="V89" s="181"/>
    </row>
    <row r="90" spans="1:22" ht="15.75" thickBot="1" x14ac:dyDescent="0.3">
      <c r="A90" s="442"/>
      <c r="B90" s="443"/>
      <c r="C90" s="444"/>
      <c r="D90" s="445"/>
      <c r="E90" s="446"/>
      <c r="F90" s="446"/>
      <c r="G90" s="336"/>
      <c r="H90" s="336"/>
      <c r="I90" s="449"/>
      <c r="J90" s="450"/>
      <c r="K90" s="497"/>
      <c r="L90" s="498"/>
      <c r="M90" s="499"/>
      <c r="N90" s="500"/>
      <c r="O90" s="501"/>
      <c r="P90" s="502"/>
      <c r="Q90" s="503"/>
      <c r="R90" s="504"/>
      <c r="S90" s="504"/>
      <c r="T90" s="505"/>
      <c r="U90" s="451"/>
      <c r="V90" s="181"/>
    </row>
    <row r="91" spans="1:22" ht="15.75" thickBot="1" x14ac:dyDescent="0.3">
      <c r="A91" s="442"/>
      <c r="B91" s="443"/>
      <c r="C91" s="444"/>
      <c r="D91" s="445"/>
      <c r="E91" s="446"/>
      <c r="F91" s="446"/>
      <c r="G91" s="336"/>
      <c r="H91" s="336"/>
      <c r="I91" s="449"/>
      <c r="J91" s="450"/>
      <c r="K91" s="497"/>
      <c r="L91" s="498"/>
      <c r="M91" s="499"/>
      <c r="N91" s="500"/>
      <c r="O91" s="501"/>
      <c r="P91" s="502"/>
      <c r="Q91" s="503"/>
      <c r="R91" s="504"/>
      <c r="S91" s="504"/>
      <c r="T91" s="505"/>
      <c r="U91" s="451"/>
      <c r="V91" s="181"/>
    </row>
    <row r="92" spans="1:22" ht="15.75" thickBot="1" x14ac:dyDescent="0.3">
      <c r="A92" s="442"/>
      <c r="B92" s="443"/>
      <c r="C92" s="444"/>
      <c r="D92" s="445"/>
      <c r="E92" s="446"/>
      <c r="F92" s="446"/>
      <c r="G92" s="336"/>
      <c r="H92" s="336"/>
      <c r="I92" s="449"/>
      <c r="J92" s="450"/>
      <c r="K92" s="497"/>
      <c r="L92" s="498"/>
      <c r="M92" s="499"/>
      <c r="N92" s="500"/>
      <c r="O92" s="501"/>
      <c r="P92" s="502"/>
      <c r="Q92" s="503"/>
      <c r="R92" s="504"/>
      <c r="S92" s="504"/>
      <c r="T92" s="505"/>
      <c r="U92" s="451"/>
      <c r="V92" s="181"/>
    </row>
    <row r="93" spans="1:22" ht="15.75" thickBot="1" x14ac:dyDescent="0.3">
      <c r="A93" s="442"/>
      <c r="B93" s="443"/>
      <c r="C93" s="444"/>
      <c r="D93" s="445"/>
      <c r="E93" s="446"/>
      <c r="F93" s="446"/>
      <c r="G93" s="336"/>
      <c r="H93" s="336"/>
      <c r="I93" s="449"/>
      <c r="J93" s="450"/>
      <c r="K93" s="497"/>
      <c r="L93" s="498"/>
      <c r="M93" s="499"/>
      <c r="N93" s="500"/>
      <c r="O93" s="501"/>
      <c r="P93" s="502"/>
      <c r="Q93" s="503"/>
      <c r="R93" s="504"/>
      <c r="S93" s="504"/>
      <c r="T93" s="505"/>
      <c r="U93" s="451"/>
      <c r="V93" s="181"/>
    </row>
    <row r="94" spans="1:22" ht="15.75" thickBot="1" x14ac:dyDescent="0.3">
      <c r="A94" s="442"/>
      <c r="B94" s="443"/>
      <c r="C94" s="444"/>
      <c r="D94" s="445"/>
      <c r="E94" s="446"/>
      <c r="F94" s="446"/>
      <c r="G94" s="336"/>
      <c r="H94" s="336"/>
      <c r="I94" s="449"/>
      <c r="J94" s="450"/>
      <c r="K94" s="497"/>
      <c r="L94" s="498"/>
      <c r="M94" s="499"/>
      <c r="N94" s="500"/>
      <c r="O94" s="501"/>
      <c r="P94" s="502"/>
      <c r="Q94" s="503"/>
      <c r="R94" s="504"/>
      <c r="S94" s="504"/>
      <c r="T94" s="505"/>
      <c r="U94" s="451"/>
      <c r="V94" s="181"/>
    </row>
    <row r="95" spans="1:22" ht="15.75" thickBot="1" x14ac:dyDescent="0.3">
      <c r="A95" s="442"/>
      <c r="B95" s="443"/>
      <c r="C95" s="444"/>
      <c r="D95" s="445"/>
      <c r="E95" s="446"/>
      <c r="F95" s="446"/>
      <c r="G95" s="336"/>
      <c r="H95" s="336"/>
      <c r="I95" s="449"/>
      <c r="J95" s="450"/>
      <c r="K95" s="497"/>
      <c r="L95" s="498"/>
      <c r="M95" s="499"/>
      <c r="N95" s="500"/>
      <c r="O95" s="501"/>
      <c r="P95" s="502"/>
      <c r="Q95" s="503"/>
      <c r="R95" s="504"/>
      <c r="S95" s="504"/>
      <c r="T95" s="505"/>
      <c r="U95" s="451"/>
      <c r="V95" s="181"/>
    </row>
    <row r="96" spans="1:22" ht="15.75" thickBot="1" x14ac:dyDescent="0.3">
      <c r="A96" s="442"/>
      <c r="B96" s="443"/>
      <c r="C96" s="444"/>
      <c r="D96" s="445"/>
      <c r="E96" s="446"/>
      <c r="F96" s="446"/>
      <c r="G96" s="336"/>
      <c r="H96" s="336"/>
      <c r="I96" s="449"/>
      <c r="J96" s="450"/>
      <c r="K96" s="497"/>
      <c r="L96" s="498"/>
      <c r="M96" s="499"/>
      <c r="N96" s="500"/>
      <c r="O96" s="501"/>
      <c r="P96" s="502"/>
      <c r="Q96" s="503"/>
      <c r="R96" s="504"/>
      <c r="S96" s="504"/>
      <c r="T96" s="505"/>
      <c r="U96" s="451"/>
      <c r="V96" s="181"/>
    </row>
    <row r="97" spans="1:22" ht="15.75" thickBot="1" x14ac:dyDescent="0.3">
      <c r="A97" s="442"/>
      <c r="B97" s="443"/>
      <c r="C97" s="444"/>
      <c r="D97" s="445"/>
      <c r="E97" s="446"/>
      <c r="F97" s="446"/>
      <c r="G97" s="336"/>
      <c r="H97" s="336"/>
      <c r="I97" s="449"/>
      <c r="J97" s="450"/>
      <c r="K97" s="497"/>
      <c r="L97" s="498"/>
      <c r="M97" s="499"/>
      <c r="N97" s="500"/>
      <c r="O97" s="501"/>
      <c r="P97" s="502"/>
      <c r="Q97" s="503"/>
      <c r="R97" s="504"/>
      <c r="S97" s="504"/>
      <c r="T97" s="505"/>
      <c r="U97" s="451"/>
      <c r="V97" s="181"/>
    </row>
    <row r="98" spans="1:22" ht="15.75" thickBot="1" x14ac:dyDescent="0.3">
      <c r="A98" s="442"/>
      <c r="B98" s="443"/>
      <c r="C98" s="444"/>
      <c r="D98" s="445"/>
      <c r="E98" s="446"/>
      <c r="F98" s="446"/>
      <c r="G98" s="336"/>
      <c r="H98" s="336"/>
      <c r="I98" s="449"/>
      <c r="J98" s="450"/>
      <c r="K98" s="497"/>
      <c r="L98" s="498"/>
      <c r="M98" s="499"/>
      <c r="N98" s="500"/>
      <c r="O98" s="501"/>
      <c r="P98" s="502"/>
      <c r="Q98" s="503"/>
      <c r="R98" s="504"/>
      <c r="S98" s="504"/>
      <c r="T98" s="505"/>
      <c r="U98" s="451"/>
      <c r="V98" s="181"/>
    </row>
    <row r="99" spans="1:22" ht="15.75" thickBot="1" x14ac:dyDescent="0.3">
      <c r="A99" s="442"/>
      <c r="B99" s="443"/>
      <c r="C99" s="444"/>
      <c r="D99" s="445"/>
      <c r="E99" s="446"/>
      <c r="F99" s="446"/>
      <c r="G99" s="336"/>
      <c r="H99" s="336"/>
      <c r="I99" s="449"/>
      <c r="J99" s="450"/>
      <c r="K99" s="497"/>
      <c r="L99" s="498"/>
      <c r="M99" s="499"/>
      <c r="N99" s="500"/>
      <c r="O99" s="501"/>
      <c r="P99" s="502"/>
      <c r="Q99" s="503"/>
      <c r="R99" s="504"/>
      <c r="S99" s="504"/>
      <c r="T99" s="505"/>
      <c r="U99" s="451"/>
      <c r="V99" s="181"/>
    </row>
    <row r="100" spans="1:22" ht="15.75" thickBot="1" x14ac:dyDescent="0.3">
      <c r="A100" s="442"/>
      <c r="B100" s="443"/>
      <c r="C100" s="444"/>
      <c r="D100" s="445"/>
      <c r="E100" s="446"/>
      <c r="F100" s="446"/>
      <c r="G100" s="336"/>
      <c r="H100" s="336"/>
      <c r="I100" s="449"/>
      <c r="J100" s="450"/>
      <c r="K100" s="497"/>
      <c r="L100" s="498"/>
      <c r="M100" s="499"/>
      <c r="N100" s="500"/>
      <c r="O100" s="501"/>
      <c r="P100" s="502"/>
      <c r="Q100" s="503"/>
      <c r="R100" s="504"/>
      <c r="S100" s="504"/>
      <c r="T100" s="505"/>
      <c r="U100" s="451"/>
      <c r="V100" s="181"/>
    </row>
    <row r="101" spans="1:22" ht="15.75" thickBot="1" x14ac:dyDescent="0.3">
      <c r="A101" s="442"/>
      <c r="B101" s="443"/>
      <c r="C101" s="444"/>
      <c r="D101" s="445"/>
      <c r="E101" s="446"/>
      <c r="F101" s="446"/>
      <c r="G101" s="336"/>
      <c r="H101" s="336"/>
      <c r="I101" s="449"/>
      <c r="J101" s="450"/>
      <c r="K101" s="497"/>
      <c r="L101" s="498"/>
      <c r="M101" s="499"/>
      <c r="N101" s="500"/>
      <c r="O101" s="501"/>
      <c r="P101" s="502"/>
      <c r="Q101" s="503"/>
      <c r="R101" s="504"/>
      <c r="S101" s="504"/>
      <c r="T101" s="505"/>
      <c r="U101" s="451"/>
      <c r="V101" s="181"/>
    </row>
    <row r="102" spans="1:22" ht="15.75" thickBot="1" x14ac:dyDescent="0.3">
      <c r="A102" s="442"/>
      <c r="B102" s="443"/>
      <c r="C102" s="444"/>
      <c r="D102" s="445"/>
      <c r="E102" s="446"/>
      <c r="F102" s="446"/>
      <c r="G102" s="336"/>
      <c r="H102" s="336"/>
      <c r="I102" s="449"/>
      <c r="J102" s="450"/>
      <c r="K102" s="497"/>
      <c r="L102" s="498"/>
      <c r="M102" s="499"/>
      <c r="N102" s="500"/>
      <c r="O102" s="501"/>
      <c r="P102" s="502"/>
      <c r="Q102" s="503"/>
      <c r="R102" s="504"/>
      <c r="S102" s="504"/>
      <c r="T102" s="505"/>
      <c r="U102" s="451"/>
      <c r="V102" s="181"/>
    </row>
    <row r="103" spans="1:22" ht="15.75" thickBot="1" x14ac:dyDescent="0.3">
      <c r="A103" s="442"/>
      <c r="B103" s="443"/>
      <c r="C103" s="444"/>
      <c r="D103" s="445"/>
      <c r="E103" s="446"/>
      <c r="F103" s="446"/>
      <c r="G103" s="336"/>
      <c r="H103" s="336"/>
      <c r="I103" s="449"/>
      <c r="J103" s="450"/>
      <c r="K103" s="497"/>
      <c r="L103" s="498"/>
      <c r="M103" s="499"/>
      <c r="N103" s="500"/>
      <c r="O103" s="501"/>
      <c r="P103" s="502"/>
      <c r="Q103" s="503"/>
      <c r="R103" s="504"/>
      <c r="S103" s="504"/>
      <c r="T103" s="505"/>
      <c r="U103" s="451"/>
      <c r="V103" s="181"/>
    </row>
    <row r="104" spans="1:22" ht="15.75" thickBot="1" x14ac:dyDescent="0.3">
      <c r="A104" s="442"/>
      <c r="B104" s="443"/>
      <c r="C104" s="444"/>
      <c r="D104" s="445"/>
      <c r="E104" s="446"/>
      <c r="F104" s="446"/>
      <c r="G104" s="336"/>
      <c r="H104" s="336"/>
      <c r="I104" s="449"/>
      <c r="J104" s="450"/>
      <c r="K104" s="497"/>
      <c r="L104" s="498"/>
      <c r="M104" s="499"/>
      <c r="N104" s="500"/>
      <c r="O104" s="501"/>
      <c r="P104" s="502"/>
      <c r="Q104" s="503"/>
      <c r="R104" s="504"/>
      <c r="S104" s="504"/>
      <c r="T104" s="505"/>
      <c r="U104" s="451"/>
      <c r="V104" s="181"/>
    </row>
    <row r="105" spans="1:22" ht="15.75" thickBot="1" x14ac:dyDescent="0.3">
      <c r="A105" s="442"/>
      <c r="B105" s="443"/>
      <c r="C105" s="444"/>
      <c r="D105" s="445"/>
      <c r="E105" s="446"/>
      <c r="F105" s="446"/>
      <c r="G105" s="336"/>
      <c r="H105" s="336"/>
      <c r="I105" s="449"/>
      <c r="J105" s="450"/>
      <c r="K105" s="497"/>
      <c r="L105" s="498"/>
      <c r="M105" s="499"/>
      <c r="N105" s="500"/>
      <c r="O105" s="501"/>
      <c r="P105" s="502"/>
      <c r="Q105" s="503"/>
      <c r="R105" s="504"/>
      <c r="S105" s="504"/>
      <c r="T105" s="505"/>
      <c r="U105" s="451"/>
      <c r="V105" s="181"/>
    </row>
    <row r="106" spans="1:22" ht="15.75" thickBot="1" x14ac:dyDescent="0.3">
      <c r="A106" s="442"/>
      <c r="B106" s="443"/>
      <c r="C106" s="444"/>
      <c r="D106" s="445"/>
      <c r="E106" s="446"/>
      <c r="F106" s="446"/>
      <c r="G106" s="336"/>
      <c r="H106" s="336"/>
      <c r="I106" s="449"/>
      <c r="J106" s="450"/>
      <c r="K106" s="497"/>
      <c r="L106" s="498"/>
      <c r="M106" s="499"/>
      <c r="N106" s="500"/>
      <c r="O106" s="501"/>
      <c r="P106" s="502"/>
      <c r="Q106" s="503"/>
      <c r="R106" s="504"/>
      <c r="S106" s="504"/>
      <c r="T106" s="505"/>
      <c r="U106" s="451"/>
      <c r="V106" s="181"/>
    </row>
    <row r="107" spans="1:22" ht="15.75" thickBot="1" x14ac:dyDescent="0.3">
      <c r="A107" s="442"/>
      <c r="B107" s="443"/>
      <c r="C107" s="444"/>
      <c r="D107" s="445"/>
      <c r="E107" s="446"/>
      <c r="F107" s="446"/>
      <c r="G107" s="336"/>
      <c r="H107" s="336"/>
      <c r="I107" s="449"/>
      <c r="J107" s="450"/>
      <c r="K107" s="497"/>
      <c r="L107" s="498"/>
      <c r="M107" s="499"/>
      <c r="N107" s="500"/>
      <c r="O107" s="501"/>
      <c r="P107" s="502"/>
      <c r="Q107" s="503"/>
      <c r="R107" s="504"/>
      <c r="S107" s="504"/>
      <c r="T107" s="505"/>
      <c r="U107" s="451"/>
      <c r="V107" s="181"/>
    </row>
    <row r="108" spans="1:22" ht="15.75" thickBot="1" x14ac:dyDescent="0.3">
      <c r="A108" s="442"/>
      <c r="B108" s="443"/>
      <c r="C108" s="444"/>
      <c r="D108" s="445"/>
      <c r="E108" s="446"/>
      <c r="F108" s="446"/>
      <c r="G108" s="336"/>
      <c r="H108" s="336"/>
      <c r="I108" s="449"/>
      <c r="J108" s="450"/>
      <c r="K108" s="497"/>
      <c r="L108" s="498"/>
      <c r="M108" s="499"/>
      <c r="N108" s="500"/>
      <c r="O108" s="501"/>
      <c r="P108" s="502"/>
      <c r="Q108" s="503"/>
      <c r="R108" s="504"/>
      <c r="S108" s="504"/>
      <c r="T108" s="505"/>
      <c r="U108" s="451"/>
      <c r="V108" s="181"/>
    </row>
    <row r="109" spans="1:22" ht="15.75" thickBot="1" x14ac:dyDescent="0.3">
      <c r="A109" s="442"/>
      <c r="B109" s="443"/>
      <c r="C109" s="444"/>
      <c r="D109" s="445"/>
      <c r="E109" s="446"/>
      <c r="F109" s="446"/>
      <c r="G109" s="336"/>
      <c r="H109" s="336"/>
      <c r="I109" s="449"/>
      <c r="J109" s="450"/>
      <c r="K109" s="497"/>
      <c r="L109" s="498"/>
      <c r="M109" s="499"/>
      <c r="N109" s="500"/>
      <c r="O109" s="501"/>
      <c r="P109" s="502"/>
      <c r="Q109" s="503"/>
      <c r="R109" s="504"/>
      <c r="S109" s="504"/>
      <c r="T109" s="505"/>
      <c r="U109" s="451"/>
      <c r="V109" s="181"/>
    </row>
    <row r="110" spans="1:22" ht="15.75" thickBot="1" x14ac:dyDescent="0.3">
      <c r="A110" s="442"/>
      <c r="B110" s="443"/>
      <c r="C110" s="444"/>
      <c r="D110" s="445"/>
      <c r="E110" s="446"/>
      <c r="F110" s="446"/>
      <c r="G110" s="336"/>
      <c r="H110" s="336"/>
      <c r="I110" s="449"/>
      <c r="J110" s="450"/>
      <c r="K110" s="497"/>
      <c r="L110" s="498"/>
      <c r="M110" s="499"/>
      <c r="N110" s="500"/>
      <c r="O110" s="501"/>
      <c r="P110" s="502"/>
      <c r="Q110" s="503"/>
      <c r="R110" s="504"/>
      <c r="S110" s="504"/>
      <c r="T110" s="505"/>
      <c r="U110" s="451"/>
      <c r="V110" s="181"/>
    </row>
    <row r="111" spans="1:22" ht="15.75" thickBot="1" x14ac:dyDescent="0.3">
      <c r="A111" s="442"/>
      <c r="B111" s="443"/>
      <c r="C111" s="444"/>
      <c r="D111" s="445"/>
      <c r="E111" s="446"/>
      <c r="F111" s="446"/>
      <c r="G111" s="336"/>
      <c r="H111" s="336"/>
      <c r="I111" s="449"/>
      <c r="J111" s="450"/>
      <c r="K111" s="497"/>
      <c r="L111" s="498"/>
      <c r="M111" s="499"/>
      <c r="N111" s="500"/>
      <c r="O111" s="501"/>
      <c r="P111" s="502"/>
      <c r="Q111" s="503"/>
      <c r="R111" s="504"/>
      <c r="S111" s="504"/>
      <c r="T111" s="505"/>
      <c r="U111" s="451"/>
      <c r="V111" s="181"/>
    </row>
    <row r="112" spans="1:22" ht="15.75" thickBot="1" x14ac:dyDescent="0.3">
      <c r="A112" s="442"/>
      <c r="B112" s="443"/>
      <c r="C112" s="444"/>
      <c r="D112" s="445"/>
      <c r="E112" s="446"/>
      <c r="F112" s="446"/>
      <c r="G112" s="336"/>
      <c r="H112" s="336"/>
      <c r="I112" s="449"/>
      <c r="J112" s="450"/>
      <c r="K112" s="497"/>
      <c r="L112" s="498"/>
      <c r="M112" s="499"/>
      <c r="N112" s="500"/>
      <c r="O112" s="501"/>
      <c r="P112" s="502"/>
      <c r="Q112" s="503"/>
      <c r="R112" s="504"/>
      <c r="S112" s="504"/>
      <c r="T112" s="505"/>
      <c r="U112" s="451"/>
      <c r="V112" s="181"/>
    </row>
    <row r="113" spans="1:22" ht="15.75" thickBot="1" x14ac:dyDescent="0.3">
      <c r="A113" s="442"/>
      <c r="B113" s="443"/>
      <c r="C113" s="444"/>
      <c r="D113" s="445"/>
      <c r="E113" s="446"/>
      <c r="F113" s="446"/>
      <c r="G113" s="336"/>
      <c r="H113" s="336"/>
      <c r="I113" s="449"/>
      <c r="J113" s="450"/>
      <c r="K113" s="497"/>
      <c r="L113" s="498"/>
      <c r="M113" s="499"/>
      <c r="N113" s="500"/>
      <c r="O113" s="501"/>
      <c r="P113" s="502"/>
      <c r="Q113" s="503"/>
      <c r="R113" s="504"/>
      <c r="S113" s="504"/>
      <c r="T113" s="505"/>
      <c r="U113" s="451"/>
      <c r="V113" s="181"/>
    </row>
    <row r="114" spans="1:22" ht="15.75" thickBot="1" x14ac:dyDescent="0.3">
      <c r="A114" s="442"/>
      <c r="B114" s="443"/>
      <c r="C114" s="444"/>
      <c r="D114" s="445"/>
      <c r="E114" s="446"/>
      <c r="F114" s="446"/>
      <c r="G114" s="336"/>
      <c r="H114" s="336"/>
      <c r="I114" s="449"/>
      <c r="J114" s="450"/>
      <c r="K114" s="497"/>
      <c r="L114" s="498"/>
      <c r="M114" s="499"/>
      <c r="N114" s="500"/>
      <c r="O114" s="501"/>
      <c r="P114" s="502"/>
      <c r="Q114" s="503"/>
      <c r="R114" s="504"/>
      <c r="S114" s="504"/>
      <c r="T114" s="505"/>
      <c r="U114" s="451"/>
      <c r="V114" s="181"/>
    </row>
    <row r="115" spans="1:22" ht="15.75" thickBot="1" x14ac:dyDescent="0.3">
      <c r="A115" s="442"/>
      <c r="B115" s="443"/>
      <c r="C115" s="444"/>
      <c r="D115" s="445"/>
      <c r="E115" s="446"/>
      <c r="F115" s="446"/>
      <c r="G115" s="336"/>
      <c r="H115" s="336"/>
      <c r="I115" s="449"/>
      <c r="J115" s="450"/>
      <c r="K115" s="497"/>
      <c r="L115" s="498"/>
      <c r="M115" s="499"/>
      <c r="N115" s="500"/>
      <c r="O115" s="501"/>
      <c r="P115" s="502"/>
      <c r="Q115" s="503"/>
      <c r="R115" s="504"/>
      <c r="S115" s="504"/>
      <c r="T115" s="505"/>
      <c r="U115" s="451"/>
      <c r="V115" s="181"/>
    </row>
    <row r="116" spans="1:22" ht="15.75" thickBot="1" x14ac:dyDescent="0.3">
      <c r="A116" s="442"/>
      <c r="B116" s="443"/>
      <c r="C116" s="444"/>
      <c r="D116" s="445"/>
      <c r="E116" s="446"/>
      <c r="F116" s="446"/>
      <c r="G116" s="336"/>
      <c r="H116" s="336"/>
      <c r="I116" s="449"/>
      <c r="J116" s="450"/>
      <c r="K116" s="497"/>
      <c r="L116" s="498"/>
      <c r="M116" s="499"/>
      <c r="N116" s="500"/>
      <c r="O116" s="501"/>
      <c r="P116" s="502"/>
      <c r="Q116" s="503"/>
      <c r="R116" s="504"/>
      <c r="S116" s="504"/>
      <c r="T116" s="505"/>
      <c r="U116" s="451"/>
      <c r="V116" s="181"/>
    </row>
    <row r="117" spans="1:22" ht="15.75" thickBot="1" x14ac:dyDescent="0.3">
      <c r="A117" s="442"/>
      <c r="B117" s="443"/>
      <c r="C117" s="444"/>
      <c r="D117" s="445"/>
      <c r="E117" s="446"/>
      <c r="F117" s="446"/>
      <c r="G117" s="336"/>
      <c r="H117" s="336"/>
      <c r="I117" s="449"/>
      <c r="J117" s="450"/>
      <c r="K117" s="497"/>
      <c r="L117" s="498"/>
      <c r="M117" s="499"/>
      <c r="N117" s="500"/>
      <c r="O117" s="501"/>
      <c r="P117" s="502"/>
      <c r="Q117" s="503"/>
      <c r="R117" s="504"/>
      <c r="S117" s="504"/>
      <c r="T117" s="505"/>
      <c r="U117" s="451"/>
      <c r="V117" s="181"/>
    </row>
    <row r="118" spans="1:22" ht="15.75" thickBot="1" x14ac:dyDescent="0.3">
      <c r="A118" s="442"/>
      <c r="B118" s="443"/>
      <c r="C118" s="444"/>
      <c r="D118" s="445"/>
      <c r="E118" s="446"/>
      <c r="F118" s="446"/>
      <c r="G118" s="336"/>
      <c r="H118" s="336"/>
      <c r="I118" s="449"/>
      <c r="J118" s="450"/>
      <c r="K118" s="497"/>
      <c r="L118" s="498"/>
      <c r="M118" s="499"/>
      <c r="N118" s="500"/>
      <c r="O118" s="501"/>
      <c r="P118" s="502"/>
      <c r="Q118" s="503"/>
      <c r="R118" s="504"/>
      <c r="S118" s="504"/>
      <c r="T118" s="505"/>
      <c r="U118" s="451"/>
      <c r="V118" s="181"/>
    </row>
    <row r="119" spans="1:22" ht="15.75" thickBot="1" x14ac:dyDescent="0.3">
      <c r="A119" s="442"/>
      <c r="B119" s="443"/>
      <c r="C119" s="444"/>
      <c r="D119" s="445"/>
      <c r="E119" s="446"/>
      <c r="F119" s="446"/>
      <c r="G119" s="336"/>
      <c r="H119" s="336"/>
      <c r="I119" s="449"/>
      <c r="J119" s="450"/>
      <c r="K119" s="497"/>
      <c r="L119" s="498"/>
      <c r="M119" s="499"/>
      <c r="N119" s="500"/>
      <c r="O119" s="501"/>
      <c r="P119" s="502"/>
      <c r="Q119" s="503"/>
      <c r="R119" s="504"/>
      <c r="S119" s="504"/>
      <c r="T119" s="505"/>
      <c r="U119" s="451"/>
      <c r="V119" s="181"/>
    </row>
    <row r="120" spans="1:22" ht="15.75" thickBot="1" x14ac:dyDescent="0.3">
      <c r="A120" s="442"/>
      <c r="B120" s="443"/>
      <c r="C120" s="444"/>
      <c r="D120" s="445"/>
      <c r="E120" s="446"/>
      <c r="F120" s="446"/>
      <c r="G120" s="336"/>
      <c r="H120" s="336"/>
      <c r="I120" s="449"/>
      <c r="J120" s="450"/>
      <c r="K120" s="497"/>
      <c r="L120" s="498"/>
      <c r="M120" s="499"/>
      <c r="N120" s="500"/>
      <c r="O120" s="501"/>
      <c r="P120" s="502"/>
      <c r="Q120" s="503"/>
      <c r="R120" s="504"/>
      <c r="S120" s="504"/>
      <c r="T120" s="505"/>
      <c r="U120" s="451"/>
      <c r="V120" s="181"/>
    </row>
    <row r="121" spans="1:22" ht="15.75" thickBot="1" x14ac:dyDescent="0.3">
      <c r="A121" s="442"/>
      <c r="B121" s="443"/>
      <c r="C121" s="444"/>
      <c r="D121" s="445"/>
      <c r="E121" s="446"/>
      <c r="F121" s="446"/>
      <c r="G121" s="336"/>
      <c r="H121" s="336"/>
      <c r="I121" s="449"/>
      <c r="J121" s="450"/>
      <c r="K121" s="497"/>
      <c r="L121" s="498"/>
      <c r="M121" s="499"/>
      <c r="N121" s="500"/>
      <c r="O121" s="501"/>
      <c r="P121" s="502"/>
      <c r="Q121" s="503"/>
      <c r="R121" s="504"/>
      <c r="S121" s="504"/>
      <c r="T121" s="505"/>
      <c r="U121" s="451"/>
      <c r="V121" s="181"/>
    </row>
    <row r="122" spans="1:22" ht="15.75" thickBot="1" x14ac:dyDescent="0.3">
      <c r="A122" s="442"/>
      <c r="B122" s="443"/>
      <c r="C122" s="444"/>
      <c r="D122" s="445"/>
      <c r="E122" s="446"/>
      <c r="F122" s="446"/>
      <c r="G122" s="336"/>
      <c r="H122" s="336"/>
      <c r="I122" s="449"/>
      <c r="J122" s="450"/>
      <c r="K122" s="497"/>
      <c r="L122" s="498"/>
      <c r="M122" s="499"/>
      <c r="N122" s="500"/>
      <c r="O122" s="501"/>
      <c r="P122" s="502"/>
      <c r="Q122" s="503"/>
      <c r="R122" s="504"/>
      <c r="S122" s="504"/>
      <c r="T122" s="505"/>
      <c r="U122" s="451"/>
      <c r="V122" s="181"/>
    </row>
    <row r="123" spans="1:22" ht="15.75" thickBot="1" x14ac:dyDescent="0.3">
      <c r="A123" s="442"/>
      <c r="B123" s="443"/>
      <c r="C123" s="444"/>
      <c r="D123" s="445"/>
      <c r="E123" s="446"/>
      <c r="F123" s="446"/>
      <c r="G123" s="336"/>
      <c r="H123" s="336"/>
      <c r="I123" s="449"/>
      <c r="J123" s="450"/>
      <c r="K123" s="497"/>
      <c r="L123" s="498"/>
      <c r="M123" s="499"/>
      <c r="N123" s="500"/>
      <c r="O123" s="501"/>
      <c r="P123" s="502"/>
      <c r="Q123" s="503"/>
      <c r="R123" s="504"/>
      <c r="S123" s="504"/>
      <c r="T123" s="505"/>
      <c r="U123" s="451"/>
      <c r="V123" s="181"/>
    </row>
    <row r="124" spans="1:22" ht="15.75" thickBot="1" x14ac:dyDescent="0.3">
      <c r="A124" s="442"/>
      <c r="B124" s="443"/>
      <c r="C124" s="444"/>
      <c r="D124" s="445"/>
      <c r="E124" s="446"/>
      <c r="F124" s="446"/>
      <c r="G124" s="336"/>
      <c r="H124" s="336"/>
      <c r="I124" s="449"/>
      <c r="J124" s="450"/>
      <c r="K124" s="497"/>
      <c r="L124" s="498"/>
      <c r="M124" s="499"/>
      <c r="N124" s="500"/>
      <c r="O124" s="501"/>
      <c r="P124" s="502"/>
      <c r="Q124" s="503"/>
      <c r="R124" s="504"/>
      <c r="S124" s="504"/>
      <c r="T124" s="505"/>
      <c r="U124" s="451"/>
      <c r="V124" s="181"/>
    </row>
    <row r="125" spans="1:22" ht="15.75" thickBot="1" x14ac:dyDescent="0.3">
      <c r="A125" s="442"/>
      <c r="B125" s="443"/>
      <c r="C125" s="444"/>
      <c r="D125" s="445"/>
      <c r="E125" s="446"/>
      <c r="F125" s="446"/>
      <c r="G125" s="336"/>
      <c r="H125" s="336"/>
      <c r="I125" s="449"/>
      <c r="J125" s="450"/>
      <c r="K125" s="497"/>
      <c r="L125" s="498"/>
      <c r="M125" s="499"/>
      <c r="N125" s="500"/>
      <c r="O125" s="501"/>
      <c r="P125" s="502"/>
      <c r="Q125" s="503"/>
      <c r="R125" s="504"/>
      <c r="S125" s="504"/>
      <c r="T125" s="505"/>
      <c r="U125" s="451"/>
      <c r="V125" s="181"/>
    </row>
    <row r="126" spans="1:22" ht="15.75" thickBot="1" x14ac:dyDescent="0.3">
      <c r="A126" s="442"/>
      <c r="B126" s="443"/>
      <c r="C126" s="444"/>
      <c r="D126" s="445"/>
      <c r="E126" s="446"/>
      <c r="F126" s="446"/>
      <c r="G126" s="336"/>
      <c r="H126" s="336"/>
      <c r="I126" s="449"/>
      <c r="J126" s="450"/>
      <c r="K126" s="497"/>
      <c r="L126" s="498"/>
      <c r="M126" s="499"/>
      <c r="N126" s="500"/>
      <c r="O126" s="501"/>
      <c r="P126" s="502"/>
      <c r="Q126" s="503"/>
      <c r="R126" s="504"/>
      <c r="S126" s="504"/>
      <c r="T126" s="505"/>
      <c r="U126" s="451"/>
      <c r="V126" s="181"/>
    </row>
    <row r="127" spans="1:22" ht="15.75" thickBot="1" x14ac:dyDescent="0.3">
      <c r="A127" s="442"/>
      <c r="B127" s="443"/>
      <c r="C127" s="444"/>
      <c r="D127" s="445"/>
      <c r="E127" s="446"/>
      <c r="F127" s="446"/>
      <c r="G127" s="336"/>
      <c r="H127" s="336"/>
      <c r="I127" s="449"/>
      <c r="J127" s="450"/>
      <c r="K127" s="497"/>
      <c r="L127" s="498"/>
      <c r="M127" s="499"/>
      <c r="N127" s="500"/>
      <c r="O127" s="501"/>
      <c r="P127" s="502"/>
      <c r="Q127" s="503"/>
      <c r="R127" s="504"/>
      <c r="S127" s="504"/>
      <c r="T127" s="505"/>
      <c r="U127" s="451"/>
      <c r="V127" s="181"/>
    </row>
    <row r="128" spans="1:22" ht="15.75" thickBot="1" x14ac:dyDescent="0.3">
      <c r="A128" s="442"/>
      <c r="B128" s="443"/>
      <c r="C128" s="444"/>
      <c r="D128" s="445"/>
      <c r="E128" s="446"/>
      <c r="F128" s="446"/>
      <c r="G128" s="336"/>
      <c r="H128" s="336"/>
      <c r="I128" s="449"/>
      <c r="J128" s="450"/>
      <c r="K128" s="497"/>
      <c r="L128" s="498"/>
      <c r="M128" s="499"/>
      <c r="N128" s="500"/>
      <c r="O128" s="501"/>
      <c r="P128" s="502"/>
      <c r="Q128" s="503"/>
      <c r="R128" s="504"/>
      <c r="S128" s="504"/>
      <c r="T128" s="505"/>
      <c r="U128" s="451"/>
      <c r="V128" s="181"/>
    </row>
    <row r="129" spans="1:22" x14ac:dyDescent="0.25">
      <c r="A129" s="442"/>
      <c r="B129" s="443"/>
      <c r="C129" s="444"/>
      <c r="D129" s="445"/>
      <c r="E129" s="446"/>
      <c r="F129" s="446"/>
      <c r="G129" s="336"/>
      <c r="H129" s="336"/>
      <c r="I129" s="449"/>
      <c r="J129" s="450"/>
      <c r="K129" s="497"/>
      <c r="L129" s="498"/>
      <c r="M129" s="499"/>
      <c r="N129" s="500"/>
      <c r="O129" s="501"/>
      <c r="P129" s="502"/>
      <c r="Q129" s="503"/>
      <c r="R129" s="504"/>
      <c r="S129" s="504"/>
      <c r="T129" s="505"/>
      <c r="U129" s="451"/>
      <c r="V129" s="181"/>
    </row>
    <row r="130" spans="1:22" x14ac:dyDescent="0.25">
      <c r="A130" s="380"/>
      <c r="B130" s="414"/>
      <c r="C130" s="335"/>
      <c r="D130" s="82"/>
      <c r="E130" s="180"/>
      <c r="F130" s="180"/>
      <c r="G130" s="180"/>
      <c r="H130" s="180"/>
      <c r="I130" s="335"/>
      <c r="J130" s="194"/>
      <c r="K130" s="506"/>
      <c r="L130" s="507"/>
      <c r="M130" s="508"/>
      <c r="N130" s="509"/>
      <c r="O130" s="510"/>
      <c r="P130" s="511"/>
      <c r="Q130" s="512"/>
      <c r="R130" s="513"/>
      <c r="S130" s="513"/>
      <c r="T130" s="514"/>
      <c r="U130" s="381"/>
      <c r="V130" s="181"/>
    </row>
    <row r="131" spans="1:22" x14ac:dyDescent="0.25">
      <c r="A131" s="380"/>
      <c r="B131" s="414"/>
      <c r="C131" s="335"/>
      <c r="D131" s="82"/>
      <c r="E131" s="180"/>
      <c r="F131" s="180"/>
      <c r="G131" s="180"/>
      <c r="H131" s="180"/>
      <c r="I131" s="335"/>
      <c r="J131" s="194"/>
      <c r="K131" s="506"/>
      <c r="L131" s="507"/>
      <c r="M131" s="508"/>
      <c r="N131" s="509"/>
      <c r="O131" s="510"/>
      <c r="P131" s="511"/>
      <c r="Q131" s="512"/>
      <c r="R131" s="513"/>
      <c r="S131" s="513"/>
      <c r="T131" s="514"/>
      <c r="U131" s="381"/>
      <c r="V131" s="181"/>
    </row>
    <row r="132" spans="1:22" ht="15.75" thickBot="1" x14ac:dyDescent="0.3">
      <c r="A132" s="388"/>
      <c r="B132" s="415"/>
      <c r="C132" s="389"/>
      <c r="D132" s="390"/>
      <c r="E132" s="391"/>
      <c r="F132" s="391"/>
      <c r="G132" s="391"/>
      <c r="H132" s="391"/>
      <c r="I132" s="389"/>
      <c r="J132" s="392"/>
      <c r="K132" s="515"/>
      <c r="L132" s="516"/>
      <c r="M132" s="517"/>
      <c r="N132" s="518"/>
      <c r="O132" s="519"/>
      <c r="P132" s="520"/>
      <c r="Q132" s="521"/>
      <c r="R132" s="522"/>
      <c r="S132" s="522"/>
      <c r="T132" s="523"/>
      <c r="U132" s="393"/>
      <c r="V132" s="181"/>
    </row>
    <row r="133" spans="1:22" x14ac:dyDescent="0.25">
      <c r="A133" s="612" t="s">
        <v>465</v>
      </c>
      <c r="B133" s="675"/>
      <c r="C133" s="675"/>
      <c r="D133" s="675"/>
      <c r="E133" s="675"/>
      <c r="F133" s="675"/>
      <c r="G133" s="675"/>
      <c r="H133" s="675"/>
      <c r="I133" s="675"/>
      <c r="J133" s="675"/>
      <c r="K133" s="675"/>
      <c r="L133" s="675"/>
      <c r="M133" s="675"/>
      <c r="N133" s="675"/>
      <c r="O133" s="675"/>
      <c r="P133" s="675"/>
      <c r="Q133" s="675"/>
      <c r="R133" s="675"/>
      <c r="S133" s="675"/>
      <c r="T133" s="675"/>
      <c r="U133" s="676"/>
      <c r="V133" s="181"/>
    </row>
    <row r="134" spans="1:22" ht="15.75" thickBot="1" x14ac:dyDescent="0.3">
      <c r="A134" s="677"/>
      <c r="B134" s="678"/>
      <c r="C134" s="678"/>
      <c r="D134" s="678"/>
      <c r="E134" s="678"/>
      <c r="F134" s="678"/>
      <c r="G134" s="678"/>
      <c r="H134" s="678"/>
      <c r="I134" s="678"/>
      <c r="J134" s="678"/>
      <c r="K134" s="678"/>
      <c r="L134" s="678"/>
      <c r="M134" s="678"/>
      <c r="N134" s="678"/>
      <c r="O134" s="678"/>
      <c r="P134" s="678"/>
      <c r="Q134" s="678"/>
      <c r="R134" s="678"/>
      <c r="S134" s="678"/>
      <c r="T134" s="678"/>
      <c r="U134" s="679"/>
      <c r="V134" s="181"/>
    </row>
    <row r="135" spans="1:22" s="188" customFormat="1" ht="18.75" x14ac:dyDescent="0.25">
      <c r="A135" s="669" t="s">
        <v>302</v>
      </c>
      <c r="B135" s="670"/>
      <c r="C135" s="670"/>
      <c r="D135" s="670"/>
      <c r="E135" s="670"/>
      <c r="F135" s="671"/>
      <c r="G135" s="402">
        <f>COUNTIF(G7:G132,"Yes")</f>
        <v>42</v>
      </c>
      <c r="H135" s="402">
        <f>COUNTIF(H7:H132,"Yes")</f>
        <v>42</v>
      </c>
      <c r="I135" s="700">
        <f>'Diags Raw Data'!K53</f>
        <v>42</v>
      </c>
      <c r="J135" s="702">
        <f>'Diags Raw Data'!L53</f>
        <v>372</v>
      </c>
      <c r="K135" s="688">
        <f>'Diags Raw Data'!N53</f>
        <v>1</v>
      </c>
      <c r="L135" s="690">
        <f>'Diags Raw Data'!P53</f>
        <v>0</v>
      </c>
      <c r="M135" s="692">
        <f>'Diags Raw Data'!R53</f>
        <v>372</v>
      </c>
      <c r="N135" s="684">
        <f>SUM('Diags Raw Data'!T53+'Diags Raw Data'!U53)</f>
        <v>0</v>
      </c>
      <c r="O135" s="680">
        <f>IF((M135=0),0,N135/M135)</f>
        <v>0</v>
      </c>
      <c r="P135" s="682">
        <f>'Diags Raw Data'!Z53</f>
        <v>0</v>
      </c>
      <c r="Q135" s="698">
        <f>SUM('Diags Raw Data'!AA53+'Diags Raw Data'!AB53)</f>
        <v>0</v>
      </c>
      <c r="R135" s="694">
        <f>IF((J135=0),0,P135/J135)</f>
        <v>0</v>
      </c>
      <c r="S135" s="694">
        <f>IF((P135=0),0,Q135/P135)</f>
        <v>0</v>
      </c>
      <c r="T135" s="694">
        <f>R135*S135</f>
        <v>0</v>
      </c>
      <c r="U135" s="696"/>
      <c r="V135" s="187"/>
    </row>
    <row r="136" spans="1:22" ht="19.5" thickBot="1" x14ac:dyDescent="0.3">
      <c r="A136" s="672"/>
      <c r="B136" s="673"/>
      <c r="C136" s="673"/>
      <c r="D136" s="673"/>
      <c r="E136" s="673"/>
      <c r="F136" s="674"/>
      <c r="G136" s="403">
        <f>COUNTIF(G7:G132,"Yes")/COUNTA(A7:A132)</f>
        <v>1</v>
      </c>
      <c r="H136" s="403">
        <f>(COUNTIF(H7:H132,"Yes")/G135)</f>
        <v>1</v>
      </c>
      <c r="I136" s="701"/>
      <c r="J136" s="703"/>
      <c r="K136" s="689"/>
      <c r="L136" s="691"/>
      <c r="M136" s="693"/>
      <c r="N136" s="685"/>
      <c r="O136" s="681"/>
      <c r="P136" s="683"/>
      <c r="Q136" s="699"/>
      <c r="R136" s="695"/>
      <c r="S136" s="695"/>
      <c r="T136" s="695"/>
      <c r="U136" s="697"/>
      <c r="V136" s="181"/>
    </row>
    <row r="137" spans="1:22" x14ac:dyDescent="0.25">
      <c r="A137" s="189"/>
      <c r="B137" s="190"/>
      <c r="C137" s="190"/>
      <c r="D137" s="189"/>
      <c r="E137" s="190"/>
      <c r="F137" s="190"/>
      <c r="G137" s="384"/>
      <c r="H137" s="190"/>
      <c r="I137" s="394"/>
      <c r="J137" s="394"/>
      <c r="K137" s="195"/>
      <c r="L137" s="195"/>
      <c r="M137" s="196"/>
      <c r="N137" s="196"/>
      <c r="O137" s="195"/>
      <c r="P137" s="192"/>
      <c r="Q137" s="192"/>
      <c r="R137" s="199"/>
      <c r="S137" s="199"/>
      <c r="T137" s="200"/>
      <c r="U137" s="189"/>
    </row>
  </sheetData>
  <sheetProtection insertColumns="0" insertRows="0" deleteRows="0" sort="0"/>
  <autoFilter ref="A6:U136"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35:K136"/>
    <mergeCell ref="L135:L136"/>
    <mergeCell ref="M135:M136"/>
    <mergeCell ref="T2:T3"/>
    <mergeCell ref="U2:U3"/>
    <mergeCell ref="R2:R3"/>
    <mergeCell ref="S2:S3"/>
    <mergeCell ref="S135:S136"/>
    <mergeCell ref="T135:T136"/>
    <mergeCell ref="U135:U136"/>
    <mergeCell ref="Q135:Q136"/>
    <mergeCell ref="R135:R136"/>
    <mergeCell ref="I135:I136"/>
    <mergeCell ref="J135:J136"/>
    <mergeCell ref="K5:L5"/>
    <mergeCell ref="A5:J5"/>
    <mergeCell ref="M5:O5"/>
    <mergeCell ref="P5:U5"/>
    <mergeCell ref="A135:F136"/>
    <mergeCell ref="A133:U134"/>
    <mergeCell ref="O135:O136"/>
    <mergeCell ref="P135:P136"/>
    <mergeCell ref="N135:N136"/>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466</v>
      </c>
      <c r="C1" s="36" t="s">
        <v>467</v>
      </c>
      <c r="D1" s="36" t="s">
        <v>468</v>
      </c>
      <c r="E1" s="36" t="s">
        <v>469</v>
      </c>
      <c r="F1" s="36" t="s">
        <v>470</v>
      </c>
      <c r="G1" s="37" t="s">
        <v>471</v>
      </c>
      <c r="H1" s="12"/>
      <c r="I1" s="12"/>
      <c r="J1" s="12"/>
      <c r="K1" s="12"/>
      <c r="L1" s="13"/>
      <c r="M1" s="1"/>
      <c r="N1" s="11"/>
      <c r="X1" s="11"/>
      <c r="AB1" s="716" t="s">
        <v>472</v>
      </c>
      <c r="AM1" s="716" t="s">
        <v>473</v>
      </c>
    </row>
    <row r="2" spans="1:40" s="14" customFormat="1" ht="12" x14ac:dyDescent="0.2">
      <c r="A2" s="35" t="s">
        <v>474</v>
      </c>
      <c r="B2" s="15">
        <v>42994</v>
      </c>
      <c r="C2" s="15">
        <v>43190</v>
      </c>
      <c r="D2" s="16" t="e">
        <f>#REF!</f>
        <v>#REF!</v>
      </c>
      <c r="E2" s="16" t="e">
        <f>#REF!</f>
        <v>#REF!</v>
      </c>
      <c r="F2" s="16">
        <f>(C2-B2)/7</f>
        <v>28</v>
      </c>
      <c r="G2" s="17" t="e">
        <f>E2/F2</f>
        <v>#REF!</v>
      </c>
      <c r="H2" s="18"/>
      <c r="I2" s="18"/>
      <c r="J2" s="18"/>
      <c r="K2" s="18"/>
      <c r="L2" s="19"/>
      <c r="M2" s="20"/>
      <c r="N2" s="21"/>
      <c r="X2" s="21"/>
      <c r="AB2" s="717"/>
      <c r="AM2" s="71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18" t="s">
        <v>475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19"/>
      <c r="B5" s="47" t="s">
        <v>476</v>
      </c>
      <c r="C5" s="47" t="s">
        <v>477</v>
      </c>
      <c r="D5" s="47" t="s">
        <v>478</v>
      </c>
      <c r="E5" s="47" t="s">
        <v>479</v>
      </c>
      <c r="F5" s="47" t="s">
        <v>480</v>
      </c>
      <c r="G5" s="47" t="s">
        <v>481</v>
      </c>
      <c r="H5" s="47" t="s">
        <v>482</v>
      </c>
      <c r="I5" s="47" t="s">
        <v>483</v>
      </c>
      <c r="J5" s="47" t="s">
        <v>484</v>
      </c>
      <c r="K5" s="47" t="s">
        <v>485</v>
      </c>
      <c r="L5" s="47" t="s">
        <v>486</v>
      </c>
      <c r="M5" s="47" t="s">
        <v>487</v>
      </c>
      <c r="N5" s="47" t="s">
        <v>488</v>
      </c>
      <c r="O5" s="47" t="s">
        <v>489</v>
      </c>
      <c r="P5" s="47" t="s">
        <v>490</v>
      </c>
      <c r="Q5" s="47" t="s">
        <v>491</v>
      </c>
      <c r="R5" s="47" t="s">
        <v>492</v>
      </c>
      <c r="S5" s="47" t="s">
        <v>493</v>
      </c>
      <c r="T5" s="47" t="s">
        <v>494</v>
      </c>
      <c r="U5" s="47" t="s">
        <v>495</v>
      </c>
      <c r="V5" s="47" t="s">
        <v>496</v>
      </c>
      <c r="W5" s="47" t="s">
        <v>497</v>
      </c>
      <c r="X5" s="47" t="s">
        <v>498</v>
      </c>
      <c r="Y5" s="47" t="s">
        <v>499</v>
      </c>
      <c r="Z5" s="47" t="s">
        <v>500</v>
      </c>
      <c r="AA5" s="47" t="s">
        <v>501</v>
      </c>
      <c r="AB5" s="47" t="s">
        <v>502</v>
      </c>
      <c r="AC5" s="47" t="s">
        <v>503</v>
      </c>
      <c r="AD5" s="47" t="s">
        <v>504</v>
      </c>
      <c r="AE5" s="47" t="s">
        <v>505</v>
      </c>
      <c r="AF5" s="47" t="s">
        <v>506</v>
      </c>
      <c r="AG5" s="47" t="s">
        <v>507</v>
      </c>
      <c r="AH5" s="47" t="s">
        <v>508</v>
      </c>
      <c r="AI5" s="47" t="s">
        <v>509</v>
      </c>
      <c r="AJ5" s="47" t="s">
        <v>510</v>
      </c>
      <c r="AK5" s="47" t="s">
        <v>511</v>
      </c>
      <c r="AL5" s="66" t="s">
        <v>512</v>
      </c>
      <c r="AM5" s="65" t="s">
        <v>513</v>
      </c>
      <c r="AN5" s="50"/>
    </row>
    <row r="6" spans="1:40" ht="12" x14ac:dyDescent="0.2">
      <c r="A6" s="48" t="s">
        <v>514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515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18" t="s">
        <v>516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20"/>
      <c r="B10" s="32" t="s">
        <v>476</v>
      </c>
      <c r="C10" s="32" t="s">
        <v>477</v>
      </c>
      <c r="D10" s="32" t="s">
        <v>478</v>
      </c>
      <c r="E10" s="32" t="s">
        <v>479</v>
      </c>
      <c r="F10" s="32" t="s">
        <v>480</v>
      </c>
      <c r="G10" s="32" t="s">
        <v>481</v>
      </c>
      <c r="H10" s="32" t="s">
        <v>482</v>
      </c>
      <c r="I10" s="32" t="s">
        <v>483</v>
      </c>
      <c r="J10" s="32" t="s">
        <v>484</v>
      </c>
      <c r="K10" s="32" t="s">
        <v>485</v>
      </c>
      <c r="L10" s="32" t="s">
        <v>486</v>
      </c>
      <c r="M10" s="32" t="s">
        <v>487</v>
      </c>
      <c r="N10" s="32" t="s">
        <v>488</v>
      </c>
      <c r="O10" s="32" t="s">
        <v>489</v>
      </c>
      <c r="P10" s="32" t="s">
        <v>490</v>
      </c>
      <c r="Q10" s="32" t="s">
        <v>491</v>
      </c>
      <c r="R10" s="32" t="s">
        <v>492</v>
      </c>
      <c r="S10" s="32" t="s">
        <v>493</v>
      </c>
      <c r="T10" s="32" t="s">
        <v>494</v>
      </c>
      <c r="U10" s="32" t="s">
        <v>495</v>
      </c>
      <c r="V10" s="32" t="s">
        <v>496</v>
      </c>
      <c r="W10" s="32" t="s">
        <v>497</v>
      </c>
      <c r="X10" s="32" t="s">
        <v>498</v>
      </c>
      <c r="Y10" s="32" t="s">
        <v>499</v>
      </c>
      <c r="Z10" s="32" t="s">
        <v>500</v>
      </c>
      <c r="AA10" s="32" t="s">
        <v>501</v>
      </c>
      <c r="AB10" s="32" t="s">
        <v>502</v>
      </c>
      <c r="AC10" s="32" t="s">
        <v>503</v>
      </c>
      <c r="AD10" s="32" t="s">
        <v>504</v>
      </c>
      <c r="AE10" s="32" t="s">
        <v>505</v>
      </c>
      <c r="AF10" s="32" t="s">
        <v>506</v>
      </c>
      <c r="AG10" s="32" t="s">
        <v>507</v>
      </c>
      <c r="AH10" s="32" t="s">
        <v>508</v>
      </c>
      <c r="AI10" s="32" t="s">
        <v>509</v>
      </c>
      <c r="AJ10" s="64" t="s">
        <v>510</v>
      </c>
      <c r="AK10" s="63" t="s">
        <v>511</v>
      </c>
      <c r="AL10" s="47" t="s">
        <v>512</v>
      </c>
      <c r="AM10" s="72" t="s">
        <v>513</v>
      </c>
      <c r="AN10" s="68"/>
    </row>
    <row r="11" spans="1:40" x14ac:dyDescent="0.25">
      <c r="A11" s="42" t="s">
        <v>514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515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517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518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519</v>
      </c>
      <c r="B1" s="157" t="s">
        <v>520</v>
      </c>
      <c r="C1" s="158" t="s">
        <v>521</v>
      </c>
      <c r="D1" s="158" t="s">
        <v>522</v>
      </c>
      <c r="E1" s="158" t="s">
        <v>523</v>
      </c>
      <c r="F1" s="158" t="s">
        <v>524</v>
      </c>
      <c r="G1" s="158" t="s">
        <v>525</v>
      </c>
      <c r="H1" s="158" t="s">
        <v>526</v>
      </c>
      <c r="I1" s="158" t="s">
        <v>527</v>
      </c>
      <c r="J1" s="158" t="s">
        <v>528</v>
      </c>
      <c r="K1" s="158" t="s">
        <v>529</v>
      </c>
      <c r="L1" s="158" t="s">
        <v>530</v>
      </c>
      <c r="M1" s="158" t="s">
        <v>531</v>
      </c>
      <c r="N1" s="158" t="s">
        <v>532</v>
      </c>
      <c r="O1" s="158" t="s">
        <v>533</v>
      </c>
      <c r="P1" s="158" t="s">
        <v>534</v>
      </c>
      <c r="Q1" s="158" t="s">
        <v>535</v>
      </c>
      <c r="R1" s="158" t="s">
        <v>536</v>
      </c>
      <c r="S1" s="158" t="s">
        <v>537</v>
      </c>
      <c r="T1" s="158" t="s">
        <v>538</v>
      </c>
      <c r="U1" s="158" t="s">
        <v>539</v>
      </c>
      <c r="V1" s="158" t="s">
        <v>540</v>
      </c>
      <c r="W1" s="158" t="s">
        <v>541</v>
      </c>
      <c r="X1" s="158" t="s">
        <v>542</v>
      </c>
      <c r="Y1" s="158" t="s">
        <v>543</v>
      </c>
      <c r="Z1" s="158" t="s">
        <v>544</v>
      </c>
      <c r="AA1" s="158" t="s">
        <v>545</v>
      </c>
      <c r="AB1" s="158" t="s">
        <v>546</v>
      </c>
      <c r="AC1" s="158" t="s">
        <v>547</v>
      </c>
      <c r="AD1" s="158" t="s">
        <v>548</v>
      </c>
      <c r="AE1" s="158" t="s">
        <v>549</v>
      </c>
      <c r="AF1" s="158" t="s">
        <v>550</v>
      </c>
      <c r="AG1" s="158" t="s">
        <v>551</v>
      </c>
      <c r="AH1" s="158" t="s">
        <v>552</v>
      </c>
      <c r="AI1" s="158" t="s">
        <v>553</v>
      </c>
      <c r="AJ1" s="158" t="s">
        <v>554</v>
      </c>
      <c r="AK1" s="158" t="s">
        <v>555</v>
      </c>
      <c r="AL1" s="158" t="s">
        <v>556</v>
      </c>
      <c r="AM1" s="158" t="s">
        <v>557</v>
      </c>
      <c r="AN1" s="158" t="s">
        <v>558</v>
      </c>
      <c r="AO1" s="158" t="s">
        <v>559</v>
      </c>
      <c r="AP1" s="158" t="s">
        <v>560</v>
      </c>
      <c r="AQ1" s="158" t="s">
        <v>561</v>
      </c>
      <c r="AR1" s="158" t="s">
        <v>562</v>
      </c>
      <c r="AS1" s="158" t="s">
        <v>563</v>
      </c>
      <c r="AT1" s="158" t="s">
        <v>564</v>
      </c>
      <c r="AU1" s="158" t="s">
        <v>565</v>
      </c>
      <c r="AV1" s="158" t="s">
        <v>566</v>
      </c>
      <c r="AW1" s="158" t="s">
        <v>567</v>
      </c>
      <c r="AX1" s="158" t="s">
        <v>568</v>
      </c>
      <c r="AY1" s="158" t="s">
        <v>569</v>
      </c>
      <c r="AZ1" s="158" t="s">
        <v>570</v>
      </c>
      <c r="BA1" s="158" t="s">
        <v>571</v>
      </c>
      <c r="BB1" s="159" t="s">
        <v>572</v>
      </c>
    </row>
    <row r="2" spans="1:54" s="135" customFormat="1" x14ac:dyDescent="0.2">
      <c r="A2" s="151" t="s">
        <v>515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518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516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515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517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573</v>
      </c>
      <c r="B3" s="129" t="s">
        <v>574</v>
      </c>
      <c r="C3" s="129"/>
      <c r="D3" s="219"/>
      <c r="E3" s="129"/>
    </row>
    <row r="4" spans="1:5" x14ac:dyDescent="0.25">
      <c r="A4" s="79" t="s">
        <v>47</v>
      </c>
      <c r="B4">
        <v>0</v>
      </c>
    </row>
    <row r="5" spans="1:5" x14ac:dyDescent="0.25">
      <c r="A5" s="79" t="s">
        <v>575</v>
      </c>
      <c r="B5">
        <v>85</v>
      </c>
      <c r="D5" s="130">
        <f>GETPIVOTDATA("#Tests",$A$3,"ETA","wk-1")/GETPIVOTDATA("#Tests",$A$3)</f>
        <v>0.17</v>
      </c>
      <c r="E5" s="131">
        <f>D5</f>
        <v>0.17</v>
      </c>
    </row>
    <row r="6" spans="1:5" x14ac:dyDescent="0.25">
      <c r="A6" s="79" t="s">
        <v>576</v>
      </c>
      <c r="B6">
        <v>48</v>
      </c>
      <c r="D6" s="130">
        <f>GETPIVOTDATA("#Tests",$A$3,"ETA","wk-2")/GETPIVOTDATA("#Tests",$A$3)</f>
        <v>9.6000000000000002E-2</v>
      </c>
      <c r="E6" s="131">
        <f t="shared" ref="E6:E12" si="0">E5+D6</f>
        <v>0.26600000000000001</v>
      </c>
    </row>
    <row r="7" spans="1:5" x14ac:dyDescent="0.25">
      <c r="A7" s="79" t="s">
        <v>577</v>
      </c>
      <c r="B7">
        <v>96</v>
      </c>
      <c r="D7" s="130">
        <f>GETPIVOTDATA("#Tests",$A$3,"ETA","wk-3")/GETPIVOTDATA("#Tests",$A$3)</f>
        <v>0.192</v>
      </c>
      <c r="E7" s="131">
        <f t="shared" si="0"/>
        <v>0.45800000000000002</v>
      </c>
    </row>
    <row r="8" spans="1:5" x14ac:dyDescent="0.25">
      <c r="A8" s="79" t="s">
        <v>578</v>
      </c>
      <c r="B8">
        <v>79</v>
      </c>
      <c r="D8" s="130">
        <f>GETPIVOTDATA("#Tests",$A$3,"ETA","wk-4")/GETPIVOTDATA("#Tests",$A$3)</f>
        <v>0.158</v>
      </c>
      <c r="E8" s="131">
        <f t="shared" si="0"/>
        <v>0.61599999999999999</v>
      </c>
    </row>
    <row r="9" spans="1:5" x14ac:dyDescent="0.25">
      <c r="A9" s="79" t="s">
        <v>579</v>
      </c>
      <c r="B9">
        <v>82</v>
      </c>
      <c r="D9" s="130">
        <f>GETPIVOTDATA("#Tests",$A$3,"ETA","wk-5")/GETPIVOTDATA("#Tests",$A$3)</f>
        <v>0.16400000000000001</v>
      </c>
      <c r="E9" s="131">
        <f t="shared" si="0"/>
        <v>0.78</v>
      </c>
    </row>
    <row r="10" spans="1:5" x14ac:dyDescent="0.25">
      <c r="A10" s="79" t="s">
        <v>580</v>
      </c>
      <c r="B10">
        <v>60</v>
      </c>
      <c r="D10" s="130">
        <f>GETPIVOTDATA("#Tests",$A$3,"ETA","wk-6")/GETPIVOTDATA("#Tests",$A$3)</f>
        <v>0.12</v>
      </c>
      <c r="E10" s="131">
        <f t="shared" si="0"/>
        <v>0.9</v>
      </c>
    </row>
    <row r="11" spans="1:5" x14ac:dyDescent="0.25">
      <c r="A11" s="79" t="s">
        <v>581</v>
      </c>
      <c r="B11">
        <v>30</v>
      </c>
      <c r="D11" s="130">
        <f>GETPIVOTDATA("#Tests",$A$3,"ETA","wk-7")/GETPIVOTDATA("#Tests",$A$3)</f>
        <v>0.06</v>
      </c>
      <c r="E11" s="131">
        <f t="shared" si="0"/>
        <v>0.96</v>
      </c>
    </row>
    <row r="12" spans="1:5" x14ac:dyDescent="0.25">
      <c r="A12" s="79" t="s">
        <v>582</v>
      </c>
      <c r="B12">
        <v>20</v>
      </c>
      <c r="D12" s="130">
        <f>GETPIVOTDATA("#Tests",$A$3,"ETA","wk-8")/GETPIVOTDATA("#Tests",$A$3)</f>
        <v>0.04</v>
      </c>
      <c r="E12" s="131">
        <f t="shared" si="0"/>
        <v>1</v>
      </c>
    </row>
    <row r="13" spans="1:5" x14ac:dyDescent="0.25">
      <c r="A13" s="79" t="s">
        <v>441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2024-03-25T18:12:49Z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