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0B632D51-609F-4AD6-A7F1-19EE819866C5}" xr6:coauthVersionLast="47" xr6:coauthVersionMax="47" xr10:uidLastSave="{00000000-0000-0000-0000-000000000000}"/>
  <bookViews>
    <workbookView xWindow="-20445" yWindow="1065" windowWidth="20115" windowHeight="14325" firstSheet="1"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externalReferences>
    <externalReference r:id="rId13"/>
    <externalReference r:id="rId14"/>
  </externalReferences>
  <definedNames>
    <definedName name="_xlnm._FilterDatabase" localSheetId="4" hidden="1">'Diags Raw Data'!$A$5:$AH$1089</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81"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89" i="53" l="1"/>
  <c r="J183" i="55" s="1"/>
  <c r="S6" i="53"/>
  <c r="S7" i="53"/>
  <c r="B177" i="55"/>
  <c r="C177" i="55"/>
  <c r="D177" i="55" a="1"/>
  <c r="D177" i="55" s="1"/>
  <c r="E177" i="55"/>
  <c r="F177" i="55"/>
  <c r="I177" i="55"/>
  <c r="J177" i="55"/>
  <c r="R1089" i="53"/>
  <c r="M177" i="55" s="1" a="1"/>
  <c r="M177" i="55" s="1"/>
  <c r="O177" i="55" s="1"/>
  <c r="M176" i="55" a="1"/>
  <c r="M176" i="55" s="1"/>
  <c r="U1089"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Z15" i="53"/>
  <c r="AE15" i="53"/>
  <c r="Z778" i="53"/>
  <c r="AE778" i="53" s="1"/>
  <c r="Z340" i="53"/>
  <c r="AE340" i="53" s="1"/>
  <c r="P340" i="53"/>
  <c r="S340" i="53"/>
  <c r="X340" i="53" s="1"/>
  <c r="G340" i="53"/>
  <c r="Z195" i="53"/>
  <c r="AE195" i="53" s="1"/>
  <c r="S195" i="53"/>
  <c r="X195" i="53" s="1"/>
  <c r="P195" i="53"/>
  <c r="G195" i="53"/>
  <c r="D149" i="55" a="1"/>
  <c r="D149" i="55" s="1"/>
  <c r="K1089" i="53"/>
  <c r="D18" i="59"/>
  <c r="D19" i="59"/>
  <c r="D20" i="59"/>
  <c r="D4" i="59"/>
  <c r="D5" i="59"/>
  <c r="D6" i="59"/>
  <c r="Z208" i="53"/>
  <c r="AE208" i="53" s="1"/>
  <c r="G501" i="53"/>
  <c r="Z432" i="53"/>
  <c r="AE432" i="53" s="1"/>
  <c r="S432" i="53"/>
  <c r="X432" i="53" s="1"/>
  <c r="P432" i="53"/>
  <c r="G432" i="53"/>
  <c r="Z101" i="53"/>
  <c r="AE101" i="53" s="1"/>
  <c r="Z102" i="53"/>
  <c r="AE102" i="53" s="1"/>
  <c r="AA1089" i="53"/>
  <c r="Z1052" i="53"/>
  <c r="AE1052" i="53" s="1"/>
  <c r="S1052" i="53"/>
  <c r="X1052" i="53" s="1"/>
  <c r="P1052" i="53"/>
  <c r="Z1062" i="53"/>
  <c r="AE1062" i="53" s="1"/>
  <c r="S1062" i="53"/>
  <c r="X1062" i="53" s="1"/>
  <c r="P1062" i="53"/>
  <c r="Z824" i="53"/>
  <c r="G1082" i="53"/>
  <c r="G1083" i="53"/>
  <c r="G1084"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G588" i="53"/>
  <c r="D94" i="55" a="1"/>
  <c r="D94" i="55" s="1"/>
  <c r="E94" i="55"/>
  <c r="F94" i="55"/>
  <c r="I94" i="55"/>
  <c r="J94" i="55"/>
  <c r="Q94" i="55"/>
  <c r="B95" i="55"/>
  <c r="C95" i="55"/>
  <c r="D95" i="55" a="1"/>
  <c r="D95" i="55" s="1"/>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4" i="53"/>
  <c r="P335" i="53"/>
  <c r="P336" i="53"/>
  <c r="P337" i="53"/>
  <c r="P338" i="53"/>
  <c r="P339" i="53"/>
  <c r="P341" i="53"/>
  <c r="P342" i="53"/>
  <c r="P343" i="53"/>
  <c r="P344" i="53"/>
  <c r="P345" i="53"/>
  <c r="P346" i="53"/>
  <c r="P347" i="53"/>
  <c r="P348" i="53"/>
  <c r="P349" i="53"/>
  <c r="P350" i="53"/>
  <c r="P351" i="53"/>
  <c r="P352" i="53"/>
  <c r="P353" i="53"/>
  <c r="P354" i="53"/>
  <c r="P355" i="53"/>
  <c r="P356" i="53"/>
  <c r="P357" i="53"/>
  <c r="P358" i="53"/>
  <c r="P359" i="53"/>
  <c r="P360" i="53"/>
  <c r="P361" i="53"/>
  <c r="P362" i="53"/>
  <c r="P363" i="53"/>
  <c r="P364" i="53"/>
  <c r="P365" i="53"/>
  <c r="P366" i="53"/>
  <c r="P367" i="53"/>
  <c r="P368" i="53"/>
  <c r="P369" i="53"/>
  <c r="P370" i="53"/>
  <c r="P371" i="53"/>
  <c r="P372" i="53"/>
  <c r="P373" i="53"/>
  <c r="P374" i="53"/>
  <c r="P375" i="53"/>
  <c r="P376" i="53"/>
  <c r="P377" i="53"/>
  <c r="P378" i="53"/>
  <c r="P379" i="53"/>
  <c r="P380" i="53"/>
  <c r="P381" i="53"/>
  <c r="P382" i="53"/>
  <c r="P383" i="53"/>
  <c r="P384" i="53"/>
  <c r="P385" i="53"/>
  <c r="P386" i="53"/>
  <c r="P387" i="53"/>
  <c r="P388" i="53"/>
  <c r="P389" i="53"/>
  <c r="P390" i="53"/>
  <c r="P391" i="53"/>
  <c r="P392" i="53"/>
  <c r="P393" i="53"/>
  <c r="P394" i="53"/>
  <c r="P395" i="53"/>
  <c r="P396" i="53"/>
  <c r="P397" i="53"/>
  <c r="P398" i="53"/>
  <c r="P399" i="53"/>
  <c r="P400" i="53"/>
  <c r="P401" i="53"/>
  <c r="P402" i="53"/>
  <c r="P403" i="53"/>
  <c r="P404" i="53"/>
  <c r="P405" i="53"/>
  <c r="P406" i="53"/>
  <c r="P407" i="53"/>
  <c r="P408" i="53"/>
  <c r="P409" i="53"/>
  <c r="P410" i="53"/>
  <c r="P411" i="53"/>
  <c r="P412" i="53"/>
  <c r="P413" i="53"/>
  <c r="P414" i="53"/>
  <c r="P415" i="53"/>
  <c r="P416" i="53"/>
  <c r="P417" i="53"/>
  <c r="P418" i="53"/>
  <c r="P419" i="53"/>
  <c r="P420" i="53"/>
  <c r="P421" i="53"/>
  <c r="P422" i="53"/>
  <c r="P423" i="53"/>
  <c r="P424" i="53"/>
  <c r="P425" i="53"/>
  <c r="P426" i="53"/>
  <c r="P427" i="53"/>
  <c r="P428" i="53"/>
  <c r="P429" i="53"/>
  <c r="P430" i="53"/>
  <c r="P431" i="53"/>
  <c r="P433" i="53"/>
  <c r="P434" i="53"/>
  <c r="P435" i="53"/>
  <c r="P436" i="53"/>
  <c r="P437" i="53"/>
  <c r="P438" i="53"/>
  <c r="P439" i="53"/>
  <c r="P440" i="53"/>
  <c r="P441" i="53"/>
  <c r="P442" i="53"/>
  <c r="P443" i="53"/>
  <c r="P444" i="53"/>
  <c r="P445" i="53"/>
  <c r="P446" i="53"/>
  <c r="P447" i="53"/>
  <c r="P448" i="53"/>
  <c r="P449" i="53"/>
  <c r="P450" i="53"/>
  <c r="P451" i="53"/>
  <c r="P452" i="53"/>
  <c r="P453" i="53"/>
  <c r="P454" i="53"/>
  <c r="P455" i="53"/>
  <c r="P456" i="53"/>
  <c r="P457" i="53"/>
  <c r="P458" i="53"/>
  <c r="P459" i="53"/>
  <c r="P460" i="53"/>
  <c r="P461" i="53"/>
  <c r="P462" i="53"/>
  <c r="P463" i="53"/>
  <c r="P464" i="53"/>
  <c r="P465" i="53"/>
  <c r="P466" i="53"/>
  <c r="P467" i="53"/>
  <c r="P468" i="53"/>
  <c r="P469" i="53"/>
  <c r="P470" i="53"/>
  <c r="P471" i="53"/>
  <c r="P472" i="53"/>
  <c r="P473" i="53"/>
  <c r="P474" i="53"/>
  <c r="P475" i="53"/>
  <c r="P476" i="53"/>
  <c r="P477" i="53"/>
  <c r="P478" i="53"/>
  <c r="P479" i="53"/>
  <c r="P480" i="53"/>
  <c r="P481" i="53"/>
  <c r="P482" i="53"/>
  <c r="P483" i="53"/>
  <c r="P484" i="53"/>
  <c r="P485" i="53"/>
  <c r="P486" i="53"/>
  <c r="P487" i="53"/>
  <c r="P488" i="53"/>
  <c r="P489" i="53"/>
  <c r="P490" i="53"/>
  <c r="P491" i="53"/>
  <c r="P492" i="53"/>
  <c r="P493" i="53"/>
  <c r="P494" i="53"/>
  <c r="P495" i="53"/>
  <c r="P496" i="53"/>
  <c r="P497" i="53"/>
  <c r="P498" i="53"/>
  <c r="P499" i="53"/>
  <c r="P500" i="53"/>
  <c r="P501" i="53"/>
  <c r="P502" i="53"/>
  <c r="P503" i="53"/>
  <c r="P504" i="53"/>
  <c r="P505" i="53"/>
  <c r="P506" i="53"/>
  <c r="P507" i="53"/>
  <c r="P508" i="53"/>
  <c r="P509" i="53"/>
  <c r="P510" i="53"/>
  <c r="P511" i="53"/>
  <c r="P512" i="53"/>
  <c r="P513" i="53"/>
  <c r="P514" i="53"/>
  <c r="P515" i="53"/>
  <c r="P516" i="53"/>
  <c r="P517" i="53"/>
  <c r="P518" i="53"/>
  <c r="P519" i="53"/>
  <c r="P520" i="53"/>
  <c r="P521" i="53"/>
  <c r="P522" i="53"/>
  <c r="P523" i="53"/>
  <c r="P524" i="53"/>
  <c r="P525" i="53"/>
  <c r="P526" i="53"/>
  <c r="P527" i="53"/>
  <c r="P528" i="53"/>
  <c r="P529" i="53"/>
  <c r="P530" i="53"/>
  <c r="P531" i="53"/>
  <c r="P532" i="53"/>
  <c r="P533" i="53"/>
  <c r="P534" i="53"/>
  <c r="P535" i="53"/>
  <c r="P536" i="53"/>
  <c r="P537" i="53"/>
  <c r="P538" i="53"/>
  <c r="P539" i="53"/>
  <c r="P540" i="53"/>
  <c r="P541" i="53"/>
  <c r="P542" i="53"/>
  <c r="P543" i="53"/>
  <c r="P544" i="53"/>
  <c r="P545" i="53"/>
  <c r="P546" i="53"/>
  <c r="P547" i="53"/>
  <c r="P548" i="53"/>
  <c r="P549" i="53"/>
  <c r="P550" i="53"/>
  <c r="P551" i="53"/>
  <c r="P552" i="53"/>
  <c r="P553" i="53"/>
  <c r="P554" i="53"/>
  <c r="P555" i="53"/>
  <c r="P556" i="53"/>
  <c r="P557" i="53"/>
  <c r="P558" i="53"/>
  <c r="P559" i="53"/>
  <c r="P560" i="53"/>
  <c r="P561" i="53"/>
  <c r="P562" i="53"/>
  <c r="P563" i="53"/>
  <c r="P564" i="53"/>
  <c r="P565" i="53"/>
  <c r="P566" i="53"/>
  <c r="P567" i="53"/>
  <c r="P568" i="53"/>
  <c r="P569" i="53"/>
  <c r="P570" i="53"/>
  <c r="P571" i="53"/>
  <c r="P572" i="53"/>
  <c r="P573" i="53"/>
  <c r="P574" i="53"/>
  <c r="P575" i="53"/>
  <c r="P576" i="53"/>
  <c r="P577" i="53"/>
  <c r="P578" i="53"/>
  <c r="P579" i="53"/>
  <c r="P580" i="53"/>
  <c r="P581" i="53"/>
  <c r="P582" i="53"/>
  <c r="P583" i="53"/>
  <c r="P584" i="53"/>
  <c r="P585" i="53"/>
  <c r="P586" i="53"/>
  <c r="P587" i="53"/>
  <c r="P588" i="53"/>
  <c r="P589" i="53"/>
  <c r="P590" i="53"/>
  <c r="P591" i="53"/>
  <c r="P592" i="53"/>
  <c r="P593" i="53"/>
  <c r="P594" i="53"/>
  <c r="P595" i="53"/>
  <c r="P596" i="53"/>
  <c r="P597" i="53"/>
  <c r="P598" i="53"/>
  <c r="P599" i="53"/>
  <c r="P600" i="53"/>
  <c r="P601" i="53"/>
  <c r="P602" i="53"/>
  <c r="P603" i="53"/>
  <c r="P604" i="53"/>
  <c r="P605" i="53"/>
  <c r="P606" i="53"/>
  <c r="P607" i="53"/>
  <c r="P608" i="53"/>
  <c r="P609" i="53"/>
  <c r="P610" i="53"/>
  <c r="P611" i="53"/>
  <c r="P612" i="53"/>
  <c r="P613" i="53"/>
  <c r="P614" i="53"/>
  <c r="P615" i="53"/>
  <c r="P616" i="53"/>
  <c r="P617" i="53"/>
  <c r="P618" i="53"/>
  <c r="P619" i="53"/>
  <c r="P620" i="53"/>
  <c r="P621" i="53"/>
  <c r="P622" i="53"/>
  <c r="P623" i="53"/>
  <c r="P624" i="53"/>
  <c r="P625" i="53"/>
  <c r="P626" i="53"/>
  <c r="P627" i="53"/>
  <c r="P628" i="53"/>
  <c r="P629" i="53"/>
  <c r="P630" i="53"/>
  <c r="P631" i="53"/>
  <c r="P632" i="53"/>
  <c r="P633" i="53"/>
  <c r="P634" i="53"/>
  <c r="P635" i="53"/>
  <c r="P636" i="53"/>
  <c r="P637" i="53"/>
  <c r="P638" i="53"/>
  <c r="P639" i="53"/>
  <c r="P640" i="53"/>
  <c r="P641" i="53"/>
  <c r="P642" i="53"/>
  <c r="P643" i="53"/>
  <c r="P644" i="53"/>
  <c r="P645" i="53"/>
  <c r="P646" i="53"/>
  <c r="P647" i="53"/>
  <c r="P648" i="53"/>
  <c r="P649" i="53"/>
  <c r="P650" i="53"/>
  <c r="P651" i="53"/>
  <c r="P652" i="53"/>
  <c r="P653" i="53"/>
  <c r="P654" i="53"/>
  <c r="P655" i="53"/>
  <c r="P656" i="53"/>
  <c r="P657" i="53"/>
  <c r="P658" i="53"/>
  <c r="P659" i="53"/>
  <c r="P660" i="53"/>
  <c r="P661" i="53"/>
  <c r="P662" i="53"/>
  <c r="P663" i="53"/>
  <c r="P664" i="53"/>
  <c r="P665" i="53"/>
  <c r="P666" i="53"/>
  <c r="P667" i="53"/>
  <c r="P668" i="53"/>
  <c r="P669" i="53"/>
  <c r="P670" i="53"/>
  <c r="P671" i="53"/>
  <c r="P672" i="53"/>
  <c r="P673" i="53"/>
  <c r="P674" i="53"/>
  <c r="P675" i="53"/>
  <c r="P676" i="53"/>
  <c r="P677" i="53"/>
  <c r="P678" i="53"/>
  <c r="P679" i="53"/>
  <c r="P680" i="53"/>
  <c r="P681" i="53"/>
  <c r="P682" i="53"/>
  <c r="P683" i="53"/>
  <c r="P684" i="53"/>
  <c r="P685" i="53"/>
  <c r="P686" i="53"/>
  <c r="P687" i="53"/>
  <c r="P688" i="53"/>
  <c r="P689" i="53"/>
  <c r="P690" i="53"/>
  <c r="P691" i="53"/>
  <c r="P692" i="53"/>
  <c r="P693" i="53"/>
  <c r="P694" i="53"/>
  <c r="P695" i="53"/>
  <c r="P696" i="53"/>
  <c r="P697" i="53"/>
  <c r="P698" i="53"/>
  <c r="P699" i="53"/>
  <c r="P700" i="53"/>
  <c r="P701" i="53"/>
  <c r="P702" i="53"/>
  <c r="P703" i="53"/>
  <c r="P704" i="53"/>
  <c r="P705" i="53"/>
  <c r="P706" i="53"/>
  <c r="P707" i="53"/>
  <c r="P708" i="53"/>
  <c r="P709" i="53"/>
  <c r="P710" i="53"/>
  <c r="P711" i="53"/>
  <c r="P712" i="53"/>
  <c r="P713" i="53"/>
  <c r="P714" i="53"/>
  <c r="P715" i="53"/>
  <c r="P716" i="53"/>
  <c r="P717" i="53"/>
  <c r="P718" i="53"/>
  <c r="P719" i="53"/>
  <c r="P720" i="53"/>
  <c r="P721" i="53"/>
  <c r="P722" i="53"/>
  <c r="P723" i="53"/>
  <c r="P724" i="53"/>
  <c r="P725" i="53"/>
  <c r="P726" i="53"/>
  <c r="P727" i="53"/>
  <c r="P728" i="53"/>
  <c r="P729" i="53"/>
  <c r="P730" i="53"/>
  <c r="P731" i="53"/>
  <c r="P732" i="53"/>
  <c r="P733" i="53"/>
  <c r="P734" i="53"/>
  <c r="P735" i="53"/>
  <c r="P736" i="53"/>
  <c r="P737" i="53"/>
  <c r="P738" i="53"/>
  <c r="P739" i="53"/>
  <c r="P740" i="53"/>
  <c r="P741" i="53"/>
  <c r="P742" i="53"/>
  <c r="P743" i="53"/>
  <c r="P744" i="53"/>
  <c r="P745" i="53"/>
  <c r="P746" i="53"/>
  <c r="P747" i="53"/>
  <c r="P748" i="53"/>
  <c r="P749" i="53"/>
  <c r="P750" i="53"/>
  <c r="P751" i="53"/>
  <c r="P752" i="53"/>
  <c r="P753" i="53"/>
  <c r="P754" i="53"/>
  <c r="P755" i="53"/>
  <c r="P756" i="53"/>
  <c r="P757" i="53"/>
  <c r="P758" i="53"/>
  <c r="P759" i="53"/>
  <c r="P760" i="53"/>
  <c r="P761" i="53"/>
  <c r="P762" i="53"/>
  <c r="P763" i="53"/>
  <c r="P764" i="53"/>
  <c r="P765" i="53"/>
  <c r="P766" i="53"/>
  <c r="P767" i="53"/>
  <c r="P768" i="53"/>
  <c r="P769" i="53"/>
  <c r="P770" i="53"/>
  <c r="P771" i="53"/>
  <c r="P772" i="53"/>
  <c r="P773" i="53"/>
  <c r="P774" i="53"/>
  <c r="P775" i="53"/>
  <c r="P776" i="53"/>
  <c r="P777" i="53"/>
  <c r="P778" i="53"/>
  <c r="P779" i="53"/>
  <c r="P780" i="53"/>
  <c r="P781" i="53"/>
  <c r="P782" i="53"/>
  <c r="P783" i="53"/>
  <c r="P784" i="53"/>
  <c r="P785" i="53"/>
  <c r="P786" i="53"/>
  <c r="P787" i="53"/>
  <c r="P788" i="53"/>
  <c r="P789" i="53"/>
  <c r="P790" i="53"/>
  <c r="P791" i="53"/>
  <c r="P792" i="53"/>
  <c r="P793" i="53"/>
  <c r="P794" i="53"/>
  <c r="P795" i="53"/>
  <c r="P796" i="53"/>
  <c r="P797" i="53"/>
  <c r="P798" i="53"/>
  <c r="P799" i="53"/>
  <c r="P800" i="53"/>
  <c r="P801" i="53"/>
  <c r="P802" i="53"/>
  <c r="P803" i="53"/>
  <c r="P804" i="53"/>
  <c r="P805" i="53"/>
  <c r="P806" i="53"/>
  <c r="P807" i="53"/>
  <c r="P808" i="53"/>
  <c r="P809" i="53"/>
  <c r="P810" i="53"/>
  <c r="P811" i="53"/>
  <c r="P812" i="53"/>
  <c r="P813" i="53"/>
  <c r="P814" i="53"/>
  <c r="P815" i="53"/>
  <c r="P816" i="53"/>
  <c r="P817" i="53"/>
  <c r="P818" i="53"/>
  <c r="P819" i="53"/>
  <c r="P820" i="53"/>
  <c r="P821" i="53"/>
  <c r="P822" i="53"/>
  <c r="P823" i="53"/>
  <c r="P824" i="53"/>
  <c r="P825" i="53"/>
  <c r="P826" i="53"/>
  <c r="P827" i="53"/>
  <c r="P828" i="53"/>
  <c r="P829" i="53"/>
  <c r="P830" i="53"/>
  <c r="P831" i="53"/>
  <c r="P832" i="53"/>
  <c r="P833" i="53"/>
  <c r="P834" i="53"/>
  <c r="P835" i="53"/>
  <c r="P836" i="53"/>
  <c r="P837" i="53"/>
  <c r="P838" i="53"/>
  <c r="P839" i="53"/>
  <c r="P840" i="53"/>
  <c r="P841" i="53"/>
  <c r="P842" i="53"/>
  <c r="P843" i="53"/>
  <c r="P844" i="53"/>
  <c r="P845" i="53"/>
  <c r="P846" i="53"/>
  <c r="P847" i="53"/>
  <c r="P848" i="53"/>
  <c r="P849" i="53"/>
  <c r="P850" i="53"/>
  <c r="P851" i="53"/>
  <c r="P852" i="53"/>
  <c r="P853" i="53"/>
  <c r="P854" i="53"/>
  <c r="P855" i="53"/>
  <c r="P856" i="53"/>
  <c r="P857" i="53"/>
  <c r="P858" i="53"/>
  <c r="P859" i="53"/>
  <c r="P860" i="53"/>
  <c r="P861" i="53"/>
  <c r="P862" i="53"/>
  <c r="P863" i="53"/>
  <c r="P864" i="53"/>
  <c r="P865" i="53"/>
  <c r="P866" i="53"/>
  <c r="P867" i="53"/>
  <c r="P868" i="53"/>
  <c r="P869" i="53"/>
  <c r="P870" i="53"/>
  <c r="P871" i="53"/>
  <c r="P872" i="53"/>
  <c r="P873" i="53"/>
  <c r="P874" i="53"/>
  <c r="P875" i="53"/>
  <c r="P876" i="53"/>
  <c r="P877" i="53"/>
  <c r="P878" i="53"/>
  <c r="P879" i="53"/>
  <c r="P880" i="53"/>
  <c r="P881" i="53"/>
  <c r="P882" i="53"/>
  <c r="P883" i="53"/>
  <c r="P884" i="53"/>
  <c r="P885" i="53"/>
  <c r="P886" i="53"/>
  <c r="P887" i="53"/>
  <c r="P888" i="53"/>
  <c r="P889" i="53"/>
  <c r="P890" i="53"/>
  <c r="P891" i="53"/>
  <c r="P892" i="53"/>
  <c r="P893" i="53"/>
  <c r="P894" i="53"/>
  <c r="P895" i="53"/>
  <c r="P896" i="53"/>
  <c r="P897" i="53"/>
  <c r="P898" i="53"/>
  <c r="P899" i="53"/>
  <c r="P900" i="53"/>
  <c r="P901" i="53"/>
  <c r="P902" i="53"/>
  <c r="P903" i="53"/>
  <c r="P904" i="53"/>
  <c r="P905" i="53"/>
  <c r="P906" i="53"/>
  <c r="P907" i="53"/>
  <c r="P908" i="53"/>
  <c r="P909" i="53"/>
  <c r="P910" i="53"/>
  <c r="P911" i="53"/>
  <c r="P912" i="53"/>
  <c r="P913" i="53"/>
  <c r="P914" i="53"/>
  <c r="P915" i="53"/>
  <c r="P916" i="53"/>
  <c r="P917" i="53"/>
  <c r="P918" i="53"/>
  <c r="P919" i="53"/>
  <c r="P920" i="53"/>
  <c r="P921" i="53"/>
  <c r="P922" i="53"/>
  <c r="P923" i="53"/>
  <c r="P924" i="53"/>
  <c r="P925" i="53"/>
  <c r="P926" i="53"/>
  <c r="P927" i="53"/>
  <c r="P928" i="53"/>
  <c r="P929" i="53"/>
  <c r="P930" i="53"/>
  <c r="P931" i="53"/>
  <c r="P932" i="53"/>
  <c r="P933" i="53"/>
  <c r="P934" i="53"/>
  <c r="P935" i="53"/>
  <c r="P936" i="53"/>
  <c r="P937" i="53"/>
  <c r="P938" i="53"/>
  <c r="P939" i="53"/>
  <c r="P940" i="53"/>
  <c r="P941" i="53"/>
  <c r="P942" i="53"/>
  <c r="P943" i="53"/>
  <c r="P944" i="53"/>
  <c r="P945" i="53"/>
  <c r="P946" i="53"/>
  <c r="P947" i="53"/>
  <c r="P948" i="53"/>
  <c r="P949" i="53"/>
  <c r="P950" i="53"/>
  <c r="P951" i="53"/>
  <c r="P952" i="53"/>
  <c r="P953" i="53"/>
  <c r="P954" i="53"/>
  <c r="P955" i="53"/>
  <c r="P956" i="53"/>
  <c r="P957" i="53"/>
  <c r="P958" i="53"/>
  <c r="P959" i="53"/>
  <c r="P960" i="53"/>
  <c r="P961" i="53"/>
  <c r="P962" i="53"/>
  <c r="P963" i="53"/>
  <c r="P964" i="53"/>
  <c r="P965" i="53"/>
  <c r="P966" i="53"/>
  <c r="P967" i="53"/>
  <c r="P968" i="53"/>
  <c r="P969" i="53"/>
  <c r="P970" i="53"/>
  <c r="P971" i="53"/>
  <c r="P972" i="53"/>
  <c r="P973" i="53"/>
  <c r="P974" i="53"/>
  <c r="P975" i="53"/>
  <c r="P976" i="53"/>
  <c r="P977" i="53"/>
  <c r="P978" i="53"/>
  <c r="P979" i="53"/>
  <c r="P980" i="53"/>
  <c r="P981" i="53"/>
  <c r="P982" i="53"/>
  <c r="P983" i="53"/>
  <c r="P984" i="53"/>
  <c r="P985" i="53"/>
  <c r="P986" i="53"/>
  <c r="P987" i="53"/>
  <c r="P988" i="53"/>
  <c r="P989" i="53"/>
  <c r="P990" i="53"/>
  <c r="P991" i="53"/>
  <c r="P992" i="53"/>
  <c r="P993" i="53"/>
  <c r="P994" i="53"/>
  <c r="P995" i="53"/>
  <c r="P996" i="53"/>
  <c r="P997" i="53"/>
  <c r="P998" i="53"/>
  <c r="P999" i="53"/>
  <c r="P1000" i="53"/>
  <c r="P1001" i="53"/>
  <c r="P1002" i="53"/>
  <c r="P1003" i="53"/>
  <c r="P1004" i="53"/>
  <c r="P1005" i="53"/>
  <c r="P1006" i="53"/>
  <c r="P1007" i="53"/>
  <c r="P1008" i="53"/>
  <c r="P1009" i="53"/>
  <c r="P1010" i="53"/>
  <c r="P1011" i="53"/>
  <c r="P1012" i="53"/>
  <c r="P1013" i="53"/>
  <c r="P1014" i="53"/>
  <c r="P1015" i="53"/>
  <c r="P1016" i="53"/>
  <c r="P1017" i="53"/>
  <c r="P1018" i="53"/>
  <c r="P1019" i="53"/>
  <c r="P1020" i="53"/>
  <c r="P1021" i="53"/>
  <c r="P1022" i="53"/>
  <c r="P1023" i="53"/>
  <c r="P1024" i="53"/>
  <c r="P1025" i="53"/>
  <c r="P1026" i="53"/>
  <c r="P1027" i="53"/>
  <c r="P1028" i="53"/>
  <c r="P1029" i="53"/>
  <c r="P1030" i="53"/>
  <c r="P1031" i="53"/>
  <c r="P1032" i="53"/>
  <c r="P1033" i="53"/>
  <c r="P1034" i="53"/>
  <c r="P1035" i="53"/>
  <c r="P1036" i="53"/>
  <c r="P1037" i="53"/>
  <c r="P1038" i="53"/>
  <c r="P1039" i="53"/>
  <c r="P1040" i="53"/>
  <c r="P1041" i="53"/>
  <c r="P1042" i="53"/>
  <c r="P1043" i="53"/>
  <c r="P1044" i="53"/>
  <c r="P1045" i="53"/>
  <c r="P1046" i="53"/>
  <c r="P1047" i="53"/>
  <c r="P1048" i="53"/>
  <c r="P1049" i="53"/>
  <c r="P1050" i="53"/>
  <c r="P1051" i="53"/>
  <c r="P1053" i="53"/>
  <c r="P1054" i="53"/>
  <c r="P1055" i="53"/>
  <c r="P1056" i="53"/>
  <c r="P1057" i="53"/>
  <c r="P1058" i="53"/>
  <c r="P1059" i="53"/>
  <c r="P1060" i="53"/>
  <c r="P1061" i="53"/>
  <c r="P1063" i="53"/>
  <c r="P1064" i="53"/>
  <c r="P1065" i="53"/>
  <c r="P1066" i="53"/>
  <c r="P1067" i="53"/>
  <c r="P1068" i="53"/>
  <c r="P1069" i="53"/>
  <c r="P1070" i="53"/>
  <c r="P1082" i="53"/>
  <c r="P1083" i="53"/>
  <c r="P1084" i="53"/>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G710" i="53" s="1"/>
  <c r="D98" i="55" a="1"/>
  <c r="D98" i="55" s="1"/>
  <c r="E98" i="55"/>
  <c r="F98" i="55"/>
  <c r="I98" i="55"/>
  <c r="J98" i="55"/>
  <c r="Q98" i="55"/>
  <c r="B99" i="55"/>
  <c r="C99" i="55"/>
  <c r="G650" i="53"/>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Z1070" i="53"/>
  <c r="AE1070" i="53" s="1"/>
  <c r="S1070" i="53"/>
  <c r="G12" i="59"/>
  <c r="Z1082" i="53"/>
  <c r="AE1082" i="53" s="1"/>
  <c r="Z1083" i="53"/>
  <c r="AE1083" i="53" s="1"/>
  <c r="Z1084" i="53"/>
  <c r="AE1084" i="53" s="1"/>
  <c r="S1082" i="53"/>
  <c r="X1082" i="53" s="1"/>
  <c r="S1083" i="53"/>
  <c r="X1083" i="53" s="1"/>
  <c r="S1084" i="53"/>
  <c r="X1084" i="53" s="1"/>
  <c r="C56" i="55"/>
  <c r="G1068" i="53" s="1"/>
  <c r="C25" i="55"/>
  <c r="G99" i="53" s="1"/>
  <c r="B6" i="59"/>
  <c r="E6" i="59"/>
  <c r="Z1065" i="53"/>
  <c r="AE1065" i="53" s="1"/>
  <c r="Z1066" i="53"/>
  <c r="AE1066" i="53" s="1"/>
  <c r="Z1067" i="53"/>
  <c r="AE1067" i="53" s="1"/>
  <c r="Z1068" i="53"/>
  <c r="AE1068" i="53" s="1"/>
  <c r="Z1069" i="53"/>
  <c r="AE1069" i="53" s="1"/>
  <c r="Z863" i="53"/>
  <c r="AE863" i="53" s="1"/>
  <c r="Z864" i="53"/>
  <c r="AE864" i="53" s="1"/>
  <c r="Z865" i="53"/>
  <c r="AE865" i="53" s="1"/>
  <c r="Z866" i="53"/>
  <c r="AE866" i="53" s="1"/>
  <c r="Z867" i="53"/>
  <c r="AE867" i="53" s="1"/>
  <c r="Z868" i="53"/>
  <c r="AE868" i="53" s="1"/>
  <c r="Z869" i="53"/>
  <c r="AE869" i="53" s="1"/>
  <c r="Z870" i="53"/>
  <c r="AE870" i="53" s="1"/>
  <c r="Z871" i="53"/>
  <c r="AE871" i="53" s="1"/>
  <c r="Z872" i="53"/>
  <c r="AE872" i="53" s="1"/>
  <c r="Z873" i="53"/>
  <c r="AE873" i="53" s="1"/>
  <c r="Z874" i="53"/>
  <c r="AE874" i="53" s="1"/>
  <c r="Z875" i="53"/>
  <c r="AE875" i="53" s="1"/>
  <c r="Z876" i="53"/>
  <c r="AE876" i="53" s="1"/>
  <c r="Z877" i="53"/>
  <c r="AE877" i="53" s="1"/>
  <c r="Z878" i="53"/>
  <c r="AE878" i="53" s="1"/>
  <c r="Z879" i="53"/>
  <c r="Z880" i="53"/>
  <c r="AE880" i="53" s="1"/>
  <c r="Z881" i="53"/>
  <c r="AE881" i="53" s="1"/>
  <c r="Z882" i="53"/>
  <c r="AE882" i="53" s="1"/>
  <c r="Z883" i="53"/>
  <c r="AE883" i="53" s="1"/>
  <c r="Z884" i="53"/>
  <c r="AE884" i="53" s="1"/>
  <c r="Z885" i="53"/>
  <c r="AE885" i="53" s="1"/>
  <c r="Z886" i="53"/>
  <c r="AE886" i="53" s="1"/>
  <c r="Z887" i="53"/>
  <c r="AE887" i="53" s="1"/>
  <c r="Z888" i="53"/>
  <c r="AE888" i="53" s="1"/>
  <c r="Z889" i="53"/>
  <c r="AE889" i="53" s="1"/>
  <c r="Z890" i="53"/>
  <c r="AE890" i="53" s="1"/>
  <c r="Z891" i="53"/>
  <c r="AE891" i="53" s="1"/>
  <c r="Z892" i="53"/>
  <c r="AE892" i="53" s="1"/>
  <c r="Z893" i="53"/>
  <c r="AE893" i="53" s="1"/>
  <c r="Z894" i="53"/>
  <c r="AE894" i="53" s="1"/>
  <c r="Z895" i="53"/>
  <c r="AE895" i="53" s="1"/>
  <c r="Z896" i="53"/>
  <c r="AE896" i="53" s="1"/>
  <c r="Z897" i="53"/>
  <c r="AE897" i="53" s="1"/>
  <c r="Z898" i="53"/>
  <c r="AE898" i="53" s="1"/>
  <c r="Z899" i="53"/>
  <c r="AE899" i="53" s="1"/>
  <c r="Z900" i="53"/>
  <c r="AE900" i="53" s="1"/>
  <c r="Z901" i="53"/>
  <c r="AE901" i="53" s="1"/>
  <c r="Z902" i="53"/>
  <c r="AE902" i="53" s="1"/>
  <c r="Z903" i="53"/>
  <c r="AE903" i="53" s="1"/>
  <c r="Z904" i="53"/>
  <c r="AE904" i="53" s="1"/>
  <c r="Z905" i="53"/>
  <c r="AE905" i="53" s="1"/>
  <c r="Z906" i="53"/>
  <c r="AE906" i="53" s="1"/>
  <c r="Z907" i="53"/>
  <c r="AE907" i="53" s="1"/>
  <c r="Z908" i="53"/>
  <c r="AE908" i="53" s="1"/>
  <c r="Z909" i="53"/>
  <c r="AE909" i="53" s="1"/>
  <c r="Z910" i="53"/>
  <c r="AE910" i="53" s="1"/>
  <c r="Z911" i="53"/>
  <c r="AE911" i="53" s="1"/>
  <c r="Z912" i="53"/>
  <c r="AE912" i="53" s="1"/>
  <c r="Z913" i="53"/>
  <c r="AE913" i="53" s="1"/>
  <c r="Z914" i="53"/>
  <c r="AE914" i="53" s="1"/>
  <c r="Z915" i="53"/>
  <c r="AE915" i="53" s="1"/>
  <c r="Z916" i="53"/>
  <c r="AE916" i="53" s="1"/>
  <c r="Z917" i="53"/>
  <c r="AE917" i="53" s="1"/>
  <c r="Z918" i="53"/>
  <c r="AE918" i="53" s="1"/>
  <c r="Z919" i="53"/>
  <c r="AE919" i="53" s="1"/>
  <c r="Z920" i="53"/>
  <c r="AE920" i="53" s="1"/>
  <c r="Z921" i="53"/>
  <c r="AE921" i="53" s="1"/>
  <c r="Z922" i="53"/>
  <c r="AE922" i="53" s="1"/>
  <c r="Z923" i="53"/>
  <c r="AE923" i="53" s="1"/>
  <c r="Z924" i="53"/>
  <c r="AE924" i="53" s="1"/>
  <c r="Z925" i="53"/>
  <c r="AE925" i="53" s="1"/>
  <c r="Z926" i="53"/>
  <c r="AE926" i="53" s="1"/>
  <c r="Z927" i="53"/>
  <c r="AE927" i="53" s="1"/>
  <c r="Z928" i="53"/>
  <c r="AE928" i="53" s="1"/>
  <c r="Z929" i="53"/>
  <c r="AE929" i="53" s="1"/>
  <c r="Z930" i="53"/>
  <c r="AE930" i="53" s="1"/>
  <c r="Z931" i="53"/>
  <c r="AE931" i="53" s="1"/>
  <c r="Z932" i="53"/>
  <c r="AE932" i="53" s="1"/>
  <c r="Z933" i="53"/>
  <c r="AE933" i="53" s="1"/>
  <c r="Z934" i="53"/>
  <c r="AE934" i="53" s="1"/>
  <c r="Z935" i="53"/>
  <c r="AE935" i="53" s="1"/>
  <c r="Z936" i="53"/>
  <c r="AE936" i="53" s="1"/>
  <c r="Z937" i="53"/>
  <c r="AE937" i="53" s="1"/>
  <c r="Z938" i="53"/>
  <c r="AE938" i="53" s="1"/>
  <c r="Z939" i="53"/>
  <c r="AE939" i="53" s="1"/>
  <c r="Z940" i="53"/>
  <c r="AE940" i="53" s="1"/>
  <c r="Z941" i="53"/>
  <c r="AE941" i="53" s="1"/>
  <c r="Z942" i="53"/>
  <c r="AE942" i="53" s="1"/>
  <c r="Z943" i="53"/>
  <c r="AE943" i="53" s="1"/>
  <c r="Z944" i="53"/>
  <c r="AE944" i="53" s="1"/>
  <c r="Z945" i="53"/>
  <c r="AE945" i="53" s="1"/>
  <c r="Z946" i="53"/>
  <c r="AE946" i="53" s="1"/>
  <c r="Z947" i="53"/>
  <c r="AE947" i="53" s="1"/>
  <c r="Z948" i="53"/>
  <c r="AE948" i="53" s="1"/>
  <c r="Z949" i="53"/>
  <c r="AE949" i="53" s="1"/>
  <c r="Z950" i="53"/>
  <c r="AE950" i="53" s="1"/>
  <c r="Z951" i="53"/>
  <c r="AE951" i="53" s="1"/>
  <c r="Z952" i="53"/>
  <c r="AE952" i="53" s="1"/>
  <c r="Z953" i="53"/>
  <c r="AE953" i="53" s="1"/>
  <c r="Z954" i="53"/>
  <c r="AE954" i="53" s="1"/>
  <c r="Z955" i="53"/>
  <c r="AE955" i="53" s="1"/>
  <c r="Z956" i="53"/>
  <c r="AE956" i="53" s="1"/>
  <c r="Z957" i="53"/>
  <c r="AE957" i="53" s="1"/>
  <c r="Z958" i="53"/>
  <c r="AE958" i="53" s="1"/>
  <c r="Z959" i="53"/>
  <c r="AE959" i="53" s="1"/>
  <c r="Z960" i="53"/>
  <c r="AE960" i="53" s="1"/>
  <c r="Z961" i="53"/>
  <c r="AE961" i="53" s="1"/>
  <c r="Z962" i="53"/>
  <c r="AE962" i="53" s="1"/>
  <c r="Z963" i="53"/>
  <c r="AE963" i="53" s="1"/>
  <c r="Z964" i="53"/>
  <c r="AE964" i="53" s="1"/>
  <c r="Z965" i="53"/>
  <c r="AE965" i="53" s="1"/>
  <c r="Z966" i="53"/>
  <c r="AE966" i="53" s="1"/>
  <c r="Z967" i="53"/>
  <c r="AE967" i="53" s="1"/>
  <c r="Z968" i="53"/>
  <c r="AE968" i="53" s="1"/>
  <c r="Z969" i="53"/>
  <c r="AE969" i="53" s="1"/>
  <c r="Z970" i="53"/>
  <c r="AE970" i="53" s="1"/>
  <c r="Z971" i="53"/>
  <c r="AE971" i="53" s="1"/>
  <c r="Z972" i="53"/>
  <c r="AE972" i="53" s="1"/>
  <c r="Z973" i="53"/>
  <c r="AE973" i="53" s="1"/>
  <c r="Z974" i="53"/>
  <c r="AE974" i="53" s="1"/>
  <c r="Z975" i="53"/>
  <c r="AE975" i="53" s="1"/>
  <c r="Z976" i="53"/>
  <c r="AE976" i="53" s="1"/>
  <c r="Z977" i="53"/>
  <c r="AE977" i="53" s="1"/>
  <c r="Z978" i="53"/>
  <c r="AE978" i="53" s="1"/>
  <c r="Z979" i="53"/>
  <c r="AE979" i="53" s="1"/>
  <c r="Z980" i="53"/>
  <c r="AE980" i="53" s="1"/>
  <c r="Z981" i="53"/>
  <c r="AE981" i="53" s="1"/>
  <c r="Z982" i="53"/>
  <c r="AE982" i="53" s="1"/>
  <c r="Z983" i="53"/>
  <c r="AE983" i="53" s="1"/>
  <c r="Z984" i="53"/>
  <c r="AE984" i="53" s="1"/>
  <c r="Z985" i="53"/>
  <c r="AE985" i="53" s="1"/>
  <c r="Z986" i="53"/>
  <c r="AE986" i="53" s="1"/>
  <c r="Z987" i="53"/>
  <c r="AE987" i="53" s="1"/>
  <c r="Z988" i="53"/>
  <c r="AE988" i="53" s="1"/>
  <c r="Z989" i="53"/>
  <c r="AE989" i="53" s="1"/>
  <c r="Z990" i="53"/>
  <c r="AE990" i="53" s="1"/>
  <c r="Z991" i="53"/>
  <c r="AE991" i="53" s="1"/>
  <c r="Z992" i="53"/>
  <c r="AE992" i="53" s="1"/>
  <c r="Z993" i="53"/>
  <c r="AE993" i="53" s="1"/>
  <c r="Z994" i="53"/>
  <c r="AE994" i="53" s="1"/>
  <c r="Z995" i="53"/>
  <c r="AE995" i="53" s="1"/>
  <c r="Z996" i="53"/>
  <c r="AE996" i="53" s="1"/>
  <c r="Z997" i="53"/>
  <c r="AE997" i="53" s="1"/>
  <c r="Z998" i="53"/>
  <c r="AE998" i="53" s="1"/>
  <c r="Z999" i="53"/>
  <c r="AE999" i="53" s="1"/>
  <c r="Z1000" i="53"/>
  <c r="AE1000" i="53" s="1"/>
  <c r="Z1001" i="53"/>
  <c r="AE1001" i="53" s="1"/>
  <c r="Z1002" i="53"/>
  <c r="AE1002" i="53" s="1"/>
  <c r="Z1003" i="53"/>
  <c r="AE1003" i="53" s="1"/>
  <c r="Z1004" i="53"/>
  <c r="AE1004" i="53" s="1"/>
  <c r="Z1005" i="53"/>
  <c r="AE1005" i="53" s="1"/>
  <c r="Z1006" i="53"/>
  <c r="AE1006" i="53" s="1"/>
  <c r="Z1007" i="53"/>
  <c r="AE1007" i="53" s="1"/>
  <c r="Z1008" i="53"/>
  <c r="AE1008" i="53" s="1"/>
  <c r="Z1009" i="53"/>
  <c r="AE1009" i="53" s="1"/>
  <c r="Z1010" i="53"/>
  <c r="AE1010" i="53" s="1"/>
  <c r="Z1011" i="53"/>
  <c r="AE1011" i="53" s="1"/>
  <c r="Z1012" i="53"/>
  <c r="AE1012" i="53" s="1"/>
  <c r="Z1013" i="53"/>
  <c r="AE1013" i="53" s="1"/>
  <c r="Z1014" i="53"/>
  <c r="AE1014" i="53" s="1"/>
  <c r="Z1015" i="53"/>
  <c r="AE1015" i="53" s="1"/>
  <c r="Z1016" i="53"/>
  <c r="AE1016" i="53" s="1"/>
  <c r="Z1017" i="53"/>
  <c r="AE1017" i="53" s="1"/>
  <c r="Z1018" i="53"/>
  <c r="AE1018" i="53" s="1"/>
  <c r="Z1019" i="53"/>
  <c r="AE1019" i="53" s="1"/>
  <c r="Z1020" i="53"/>
  <c r="AE1020" i="53" s="1"/>
  <c r="Z1021" i="53"/>
  <c r="AE1021" i="53" s="1"/>
  <c r="Z1022" i="53"/>
  <c r="AE1022" i="53" s="1"/>
  <c r="Z1023" i="53"/>
  <c r="AE1023" i="53" s="1"/>
  <c r="Z1024" i="53"/>
  <c r="AE1024" i="53" s="1"/>
  <c r="Z1025" i="53"/>
  <c r="AE1025" i="53" s="1"/>
  <c r="Z1026" i="53"/>
  <c r="AE1026" i="53" s="1"/>
  <c r="Z1027" i="53"/>
  <c r="AE1027" i="53" s="1"/>
  <c r="Z1028" i="53"/>
  <c r="AE1028" i="53" s="1"/>
  <c r="Z1029" i="53"/>
  <c r="AE1029" i="53" s="1"/>
  <c r="Z1030" i="53"/>
  <c r="AE1030" i="53" s="1"/>
  <c r="Z1031" i="53"/>
  <c r="AE1031" i="53" s="1"/>
  <c r="Z1032" i="53"/>
  <c r="AE1032" i="53" s="1"/>
  <c r="Z1033" i="53"/>
  <c r="AE1033" i="53" s="1"/>
  <c r="Z1034" i="53"/>
  <c r="AE1034" i="53" s="1"/>
  <c r="Z1035" i="53"/>
  <c r="AE1035" i="53" s="1"/>
  <c r="Z1036" i="53"/>
  <c r="AE1036" i="53" s="1"/>
  <c r="Z1037" i="53"/>
  <c r="AE1037" i="53" s="1"/>
  <c r="Z1038" i="53"/>
  <c r="AE1038" i="53" s="1"/>
  <c r="Z1039" i="53"/>
  <c r="AE1039" i="53" s="1"/>
  <c r="Z1040" i="53"/>
  <c r="AE1040" i="53" s="1"/>
  <c r="Z1041" i="53"/>
  <c r="AE1041" i="53" s="1"/>
  <c r="Z1042" i="53"/>
  <c r="AE1042" i="53" s="1"/>
  <c r="Z1043" i="53"/>
  <c r="AE1043" i="53" s="1"/>
  <c r="Z1044" i="53"/>
  <c r="AE1044" i="53" s="1"/>
  <c r="Z1045" i="53"/>
  <c r="AE1045" i="53" s="1"/>
  <c r="Z1046" i="53"/>
  <c r="AE1046" i="53" s="1"/>
  <c r="Z1047" i="53"/>
  <c r="AE1047" i="53" s="1"/>
  <c r="Z1048" i="53"/>
  <c r="AE1048" i="53" s="1"/>
  <c r="Z1049" i="53"/>
  <c r="AE1049" i="53" s="1"/>
  <c r="Z1050" i="53"/>
  <c r="AE1050" i="53" s="1"/>
  <c r="Z1051" i="53"/>
  <c r="AE1051" i="53" s="1"/>
  <c r="Z1053" i="53"/>
  <c r="AE1053" i="53" s="1"/>
  <c r="Z1054" i="53"/>
  <c r="AE1054" i="53" s="1"/>
  <c r="Z1055" i="53"/>
  <c r="AE1055" i="53" s="1"/>
  <c r="Z1056" i="53"/>
  <c r="AE1056" i="53" s="1"/>
  <c r="Z1057" i="53"/>
  <c r="AE1057" i="53" s="1"/>
  <c r="Z1058" i="53"/>
  <c r="AE1058" i="53" s="1"/>
  <c r="Z1059" i="53"/>
  <c r="AE1059" i="53" s="1"/>
  <c r="Z1060" i="53"/>
  <c r="AE1060" i="53" s="1"/>
  <c r="Z1061" i="53"/>
  <c r="AE1061" i="53" s="1"/>
  <c r="Z1063" i="53"/>
  <c r="AE1063" i="53" s="1"/>
  <c r="Z1064" i="53"/>
  <c r="AE1064" i="53" s="1"/>
  <c r="Z484" i="53"/>
  <c r="AE484" i="53" s="1"/>
  <c r="Z485" i="53"/>
  <c r="AE485" i="53" s="1"/>
  <c r="Z486" i="53"/>
  <c r="AE486" i="53" s="1"/>
  <c r="Z487" i="53"/>
  <c r="AE487" i="53" s="1"/>
  <c r="Z488" i="53"/>
  <c r="AE488" i="53" s="1"/>
  <c r="Z489" i="53"/>
  <c r="AE489" i="53" s="1"/>
  <c r="Z490" i="53"/>
  <c r="AE490" i="53" s="1"/>
  <c r="Z491" i="53"/>
  <c r="AE491" i="53" s="1"/>
  <c r="Z492" i="53"/>
  <c r="AE492" i="53" s="1"/>
  <c r="Z493" i="53"/>
  <c r="AE493" i="53" s="1"/>
  <c r="Z494" i="53"/>
  <c r="AE494" i="53" s="1"/>
  <c r="Z495" i="53"/>
  <c r="AE495" i="53" s="1"/>
  <c r="Z496" i="53"/>
  <c r="AE496" i="53" s="1"/>
  <c r="Z497" i="53"/>
  <c r="AE497" i="53" s="1"/>
  <c r="Z498" i="53"/>
  <c r="AE498" i="53" s="1"/>
  <c r="Z499" i="53"/>
  <c r="AE499" i="53" s="1"/>
  <c r="Z500" i="53"/>
  <c r="AE500" i="53" s="1"/>
  <c r="Z501" i="53"/>
  <c r="AE501" i="53" s="1"/>
  <c r="Z502" i="53"/>
  <c r="AE502" i="53" s="1"/>
  <c r="Z503" i="53"/>
  <c r="AE503" i="53" s="1"/>
  <c r="Z504" i="53"/>
  <c r="AE504" i="53" s="1"/>
  <c r="Z505" i="53"/>
  <c r="AE505" i="53" s="1"/>
  <c r="Z506" i="53"/>
  <c r="AE506" i="53" s="1"/>
  <c r="Z507" i="53"/>
  <c r="AE507" i="53" s="1"/>
  <c r="Z508" i="53"/>
  <c r="AE508" i="53" s="1"/>
  <c r="Z509" i="53"/>
  <c r="AE509" i="53" s="1"/>
  <c r="Z510" i="53"/>
  <c r="AE510" i="53" s="1"/>
  <c r="Z511" i="53"/>
  <c r="AE511" i="53" s="1"/>
  <c r="Z512" i="53"/>
  <c r="AE512" i="53" s="1"/>
  <c r="Z513" i="53"/>
  <c r="AE513" i="53" s="1"/>
  <c r="Z514" i="53"/>
  <c r="AE514" i="53" s="1"/>
  <c r="Z515" i="53"/>
  <c r="AE515" i="53" s="1"/>
  <c r="Z516" i="53"/>
  <c r="AE516" i="53" s="1"/>
  <c r="Z517" i="53"/>
  <c r="AE517" i="53" s="1"/>
  <c r="Z518" i="53"/>
  <c r="AE518" i="53" s="1"/>
  <c r="Z519" i="53"/>
  <c r="AE519" i="53" s="1"/>
  <c r="Z520" i="53"/>
  <c r="AE520" i="53" s="1"/>
  <c r="Z521" i="53"/>
  <c r="AE521" i="53" s="1"/>
  <c r="Z522" i="53"/>
  <c r="AE522" i="53" s="1"/>
  <c r="Z523" i="53"/>
  <c r="AE523" i="53" s="1"/>
  <c r="Z524" i="53"/>
  <c r="AE524" i="53" s="1"/>
  <c r="Z525" i="53"/>
  <c r="AE525" i="53" s="1"/>
  <c r="Z526" i="53"/>
  <c r="AE526" i="53" s="1"/>
  <c r="Z527" i="53"/>
  <c r="AE527" i="53" s="1"/>
  <c r="Z528" i="53"/>
  <c r="AE528" i="53" s="1"/>
  <c r="Z529" i="53"/>
  <c r="AE529" i="53" s="1"/>
  <c r="Z530" i="53"/>
  <c r="AE530" i="53" s="1"/>
  <c r="Z531" i="53"/>
  <c r="AE531" i="53" s="1"/>
  <c r="Z532" i="53"/>
  <c r="AE532" i="53" s="1"/>
  <c r="Z533" i="53"/>
  <c r="AE533" i="53" s="1"/>
  <c r="Z534" i="53"/>
  <c r="AE534" i="53" s="1"/>
  <c r="Z535" i="53"/>
  <c r="AE535" i="53" s="1"/>
  <c r="Z536" i="53"/>
  <c r="AE536" i="53" s="1"/>
  <c r="Z537" i="53"/>
  <c r="AE537" i="53" s="1"/>
  <c r="Z538" i="53"/>
  <c r="AE538" i="53" s="1"/>
  <c r="Z539" i="53"/>
  <c r="AE539" i="53" s="1"/>
  <c r="Z540" i="53"/>
  <c r="AE540" i="53" s="1"/>
  <c r="Z541" i="53"/>
  <c r="AE541" i="53" s="1"/>
  <c r="Z542" i="53"/>
  <c r="AE542" i="53" s="1"/>
  <c r="Z543" i="53"/>
  <c r="AE543" i="53" s="1"/>
  <c r="Z544" i="53"/>
  <c r="AE544" i="53" s="1"/>
  <c r="Z545" i="53"/>
  <c r="AE545" i="53" s="1"/>
  <c r="Z546" i="53"/>
  <c r="AE546" i="53" s="1"/>
  <c r="Z547" i="53"/>
  <c r="AE547" i="53" s="1"/>
  <c r="Z548" i="53"/>
  <c r="AE548" i="53" s="1"/>
  <c r="Z549" i="53"/>
  <c r="AE549" i="53" s="1"/>
  <c r="Z550" i="53"/>
  <c r="AE550" i="53" s="1"/>
  <c r="Z551" i="53"/>
  <c r="AE551" i="53" s="1"/>
  <c r="Z552" i="53"/>
  <c r="AE552" i="53" s="1"/>
  <c r="Z553" i="53"/>
  <c r="AE553" i="53" s="1"/>
  <c r="Z690" i="53"/>
  <c r="AE690" i="53" s="1"/>
  <c r="Z554" i="53"/>
  <c r="AE554" i="53" s="1"/>
  <c r="Z555" i="53"/>
  <c r="AE555" i="53" s="1"/>
  <c r="Z556" i="53"/>
  <c r="AE556" i="53" s="1"/>
  <c r="Z557" i="53"/>
  <c r="AE557" i="53" s="1"/>
  <c r="Z558" i="53"/>
  <c r="AE558" i="53" s="1"/>
  <c r="Z559" i="53"/>
  <c r="AE559" i="53" s="1"/>
  <c r="Z560" i="53"/>
  <c r="AE560" i="53" s="1"/>
  <c r="Z561" i="53"/>
  <c r="AE561" i="53" s="1"/>
  <c r="Z562" i="53"/>
  <c r="AE562" i="53" s="1"/>
  <c r="Z563" i="53"/>
  <c r="AE563" i="53" s="1"/>
  <c r="Z564" i="53"/>
  <c r="AE564" i="53" s="1"/>
  <c r="Z565" i="53"/>
  <c r="AE565" i="53" s="1"/>
  <c r="Z566" i="53"/>
  <c r="AE566" i="53" s="1"/>
  <c r="Z567" i="53"/>
  <c r="AE567" i="53" s="1"/>
  <c r="Z568" i="53"/>
  <c r="AE568" i="53" s="1"/>
  <c r="Z569" i="53"/>
  <c r="AE569" i="53" s="1"/>
  <c r="Z570" i="53"/>
  <c r="AE570" i="53" s="1"/>
  <c r="Z571" i="53"/>
  <c r="AE571" i="53" s="1"/>
  <c r="Z572" i="53"/>
  <c r="AE572" i="53" s="1"/>
  <c r="Z573" i="53"/>
  <c r="AE573" i="53" s="1"/>
  <c r="Z574" i="53"/>
  <c r="AE574" i="53" s="1"/>
  <c r="Z575" i="53"/>
  <c r="AE575" i="53" s="1"/>
  <c r="Z576" i="53"/>
  <c r="AE576" i="53" s="1"/>
  <c r="Z577" i="53"/>
  <c r="AE577" i="53" s="1"/>
  <c r="Z578" i="53"/>
  <c r="AE578" i="53" s="1"/>
  <c r="Z579" i="53"/>
  <c r="AE579" i="53" s="1"/>
  <c r="Z580" i="53"/>
  <c r="AE580" i="53" s="1"/>
  <c r="Z581" i="53"/>
  <c r="AE581" i="53" s="1"/>
  <c r="Z582" i="53"/>
  <c r="AE582" i="53" s="1"/>
  <c r="Z583" i="53"/>
  <c r="AE583" i="53" s="1"/>
  <c r="Z584" i="53"/>
  <c r="AE584" i="53" s="1"/>
  <c r="Z585" i="53"/>
  <c r="AE585" i="53" s="1"/>
  <c r="Z586" i="53"/>
  <c r="AE586" i="53" s="1"/>
  <c r="Z587" i="53"/>
  <c r="AE587" i="53" s="1"/>
  <c r="Z588" i="53"/>
  <c r="AE588" i="53" s="1"/>
  <c r="Z589" i="53"/>
  <c r="AE589" i="53" s="1"/>
  <c r="Z590" i="53"/>
  <c r="AE590" i="53" s="1"/>
  <c r="Z591" i="53"/>
  <c r="AE591" i="53" s="1"/>
  <c r="Z592" i="53"/>
  <c r="AE592" i="53" s="1"/>
  <c r="Z593" i="53"/>
  <c r="AE593" i="53" s="1"/>
  <c r="Z594" i="53"/>
  <c r="AE594" i="53" s="1"/>
  <c r="Z595" i="53"/>
  <c r="Z596" i="53"/>
  <c r="AE596" i="53" s="1"/>
  <c r="Z597" i="53"/>
  <c r="AE597" i="53" s="1"/>
  <c r="Z598" i="53"/>
  <c r="AE598" i="53" s="1"/>
  <c r="Z599" i="53"/>
  <c r="AE599" i="53" s="1"/>
  <c r="Z600" i="53"/>
  <c r="AE600" i="53" s="1"/>
  <c r="Z601" i="53"/>
  <c r="AE601" i="53" s="1"/>
  <c r="Z602" i="53"/>
  <c r="AE602" i="53" s="1"/>
  <c r="Z603" i="53"/>
  <c r="AE603" i="53" s="1"/>
  <c r="Z604" i="53"/>
  <c r="AE604" i="53" s="1"/>
  <c r="Z605" i="53"/>
  <c r="AE605" i="53" s="1"/>
  <c r="Z606" i="53"/>
  <c r="AE606" i="53" s="1"/>
  <c r="Z607" i="53"/>
  <c r="AE607" i="53" s="1"/>
  <c r="Z608" i="53"/>
  <c r="AE608" i="53" s="1"/>
  <c r="Z609" i="53"/>
  <c r="AE609" i="53" s="1"/>
  <c r="Z610" i="53"/>
  <c r="AE610" i="53" s="1"/>
  <c r="Z611" i="53"/>
  <c r="AE611" i="53" s="1"/>
  <c r="Z612" i="53"/>
  <c r="AE612" i="53" s="1"/>
  <c r="Z613" i="53"/>
  <c r="AE613" i="53" s="1"/>
  <c r="Z614" i="53"/>
  <c r="AE614" i="53" s="1"/>
  <c r="Z615" i="53"/>
  <c r="AE615" i="53" s="1"/>
  <c r="Z616" i="53"/>
  <c r="AE616" i="53" s="1"/>
  <c r="Z617" i="53"/>
  <c r="AE617" i="53" s="1"/>
  <c r="Z618" i="53"/>
  <c r="AE618" i="53" s="1"/>
  <c r="Z619" i="53"/>
  <c r="AE619" i="53" s="1"/>
  <c r="Z620" i="53"/>
  <c r="AE620" i="53" s="1"/>
  <c r="Z621" i="53"/>
  <c r="AE621" i="53" s="1"/>
  <c r="Z622" i="53"/>
  <c r="AE622" i="53" s="1"/>
  <c r="Z623" i="53"/>
  <c r="AE623" i="53" s="1"/>
  <c r="Z624" i="53"/>
  <c r="AE624" i="53" s="1"/>
  <c r="Z625" i="53"/>
  <c r="AE625" i="53" s="1"/>
  <c r="Z626" i="53"/>
  <c r="AE626" i="53" s="1"/>
  <c r="Z627" i="53"/>
  <c r="AE627" i="53" s="1"/>
  <c r="Z628" i="53"/>
  <c r="AE628" i="53" s="1"/>
  <c r="Z629" i="53"/>
  <c r="AE629" i="53" s="1"/>
  <c r="Z630" i="53"/>
  <c r="AE630" i="53" s="1"/>
  <c r="Z631" i="53"/>
  <c r="AE631" i="53" s="1"/>
  <c r="Z632" i="53"/>
  <c r="AE632" i="53" s="1"/>
  <c r="Z633" i="53"/>
  <c r="AE633" i="53" s="1"/>
  <c r="Z634" i="53"/>
  <c r="AE634" i="53" s="1"/>
  <c r="Z635" i="53"/>
  <c r="Z636" i="53"/>
  <c r="AE636" i="53" s="1"/>
  <c r="Z637" i="53"/>
  <c r="AE637" i="53" s="1"/>
  <c r="Z638" i="53"/>
  <c r="AE638" i="53" s="1"/>
  <c r="Z639" i="53"/>
  <c r="AE639" i="53" s="1"/>
  <c r="Z640" i="53"/>
  <c r="AE640" i="53" s="1"/>
  <c r="Z641" i="53"/>
  <c r="AE641" i="53" s="1"/>
  <c r="Z642" i="53"/>
  <c r="AE642" i="53" s="1"/>
  <c r="Z643" i="53"/>
  <c r="AE643" i="53" s="1"/>
  <c r="Z644" i="53"/>
  <c r="AE644" i="53" s="1"/>
  <c r="Z645" i="53"/>
  <c r="AE645" i="53" s="1"/>
  <c r="Z646" i="53"/>
  <c r="AE646" i="53" s="1"/>
  <c r="Z647" i="53"/>
  <c r="AE647" i="53" s="1"/>
  <c r="Z648" i="53"/>
  <c r="AE648" i="53" s="1"/>
  <c r="Z649" i="53"/>
  <c r="AE649" i="53" s="1"/>
  <c r="Z650" i="53"/>
  <c r="AE650" i="53" s="1"/>
  <c r="Z651" i="53"/>
  <c r="AE651" i="53" s="1"/>
  <c r="Z652" i="53"/>
  <c r="AE652" i="53" s="1"/>
  <c r="Z653" i="53"/>
  <c r="AE653" i="53" s="1"/>
  <c r="Z654" i="53"/>
  <c r="AE654" i="53" s="1"/>
  <c r="Z655" i="53"/>
  <c r="AE655" i="53" s="1"/>
  <c r="Z656" i="53"/>
  <c r="AE656" i="53" s="1"/>
  <c r="Z657" i="53"/>
  <c r="AE657" i="53" s="1"/>
  <c r="Z658" i="53"/>
  <c r="AE658" i="53" s="1"/>
  <c r="Z659" i="53"/>
  <c r="AE659" i="53" s="1"/>
  <c r="Z660" i="53"/>
  <c r="AE660" i="53" s="1"/>
  <c r="Z661" i="53"/>
  <c r="AE661" i="53" s="1"/>
  <c r="Z662" i="53"/>
  <c r="Z663" i="53"/>
  <c r="AE663" i="53" s="1"/>
  <c r="Z664" i="53"/>
  <c r="AE664" i="53" s="1"/>
  <c r="Z665" i="53"/>
  <c r="AE665" i="53" s="1"/>
  <c r="Z666" i="53"/>
  <c r="AE666" i="53" s="1"/>
  <c r="Z667" i="53"/>
  <c r="AE667" i="53" s="1"/>
  <c r="Z668" i="53"/>
  <c r="AE668" i="53" s="1"/>
  <c r="Z669" i="53"/>
  <c r="AE669" i="53" s="1"/>
  <c r="Z670" i="53"/>
  <c r="AE670" i="53" s="1"/>
  <c r="Z671" i="53"/>
  <c r="AE671" i="53" s="1"/>
  <c r="Z672" i="53"/>
  <c r="AE672" i="53" s="1"/>
  <c r="Z673" i="53"/>
  <c r="AE673" i="53" s="1"/>
  <c r="Z674" i="53"/>
  <c r="AE674" i="53" s="1"/>
  <c r="Z675" i="53"/>
  <c r="AE675" i="53" s="1"/>
  <c r="Z676" i="53"/>
  <c r="AE676" i="53" s="1"/>
  <c r="Z677" i="53"/>
  <c r="AE677" i="53" s="1"/>
  <c r="Z678" i="53"/>
  <c r="AE678" i="53" s="1"/>
  <c r="Z679" i="53"/>
  <c r="AE679" i="53" s="1"/>
  <c r="Z680" i="53"/>
  <c r="AE680" i="53" s="1"/>
  <c r="Z681" i="53"/>
  <c r="AE681" i="53" s="1"/>
  <c r="Z682" i="53"/>
  <c r="AE682" i="53" s="1"/>
  <c r="Z683" i="53"/>
  <c r="AE683" i="53" s="1"/>
  <c r="Z684" i="53"/>
  <c r="AE684" i="53" s="1"/>
  <c r="Z685" i="53"/>
  <c r="AE685" i="53" s="1"/>
  <c r="Z686" i="53"/>
  <c r="AE686" i="53" s="1"/>
  <c r="Z687" i="53"/>
  <c r="AE687" i="53" s="1"/>
  <c r="Z688" i="53"/>
  <c r="AE688" i="53" s="1"/>
  <c r="Z689" i="53"/>
  <c r="AE689" i="53" s="1"/>
  <c r="Z691" i="53"/>
  <c r="AE691" i="53" s="1"/>
  <c r="Z692" i="53"/>
  <c r="AE692" i="53" s="1"/>
  <c r="Z693" i="53"/>
  <c r="AE693" i="53" s="1"/>
  <c r="Z694" i="53"/>
  <c r="AE694" i="53" s="1"/>
  <c r="Z695" i="53"/>
  <c r="AE695" i="53" s="1"/>
  <c r="Z696" i="53"/>
  <c r="AE696" i="53" s="1"/>
  <c r="Z697" i="53"/>
  <c r="AE697" i="53" s="1"/>
  <c r="Z698" i="53"/>
  <c r="AE698" i="53" s="1"/>
  <c r="Z699" i="53"/>
  <c r="AE699" i="53" s="1"/>
  <c r="Z700" i="53"/>
  <c r="AE700" i="53" s="1"/>
  <c r="Z701" i="53"/>
  <c r="AE701" i="53" s="1"/>
  <c r="Z702" i="53"/>
  <c r="AE702" i="53" s="1"/>
  <c r="Z703" i="53"/>
  <c r="AE703" i="53" s="1"/>
  <c r="Z704" i="53"/>
  <c r="AE704" i="53" s="1"/>
  <c r="Z705" i="53"/>
  <c r="AE705" i="53" s="1"/>
  <c r="Z706" i="53"/>
  <c r="AE706" i="53" s="1"/>
  <c r="Z707" i="53"/>
  <c r="AE707" i="53" s="1"/>
  <c r="Z708" i="53"/>
  <c r="Z709" i="53"/>
  <c r="AE709" i="53" s="1"/>
  <c r="Z710" i="53"/>
  <c r="AE710" i="53" s="1"/>
  <c r="Z711" i="53"/>
  <c r="AE711" i="53" s="1"/>
  <c r="Z712" i="53"/>
  <c r="AE712" i="53" s="1"/>
  <c r="Z713" i="53"/>
  <c r="AE713" i="53" s="1"/>
  <c r="Z714" i="53"/>
  <c r="AE714" i="53" s="1"/>
  <c r="Z715" i="53"/>
  <c r="AE715" i="53" s="1"/>
  <c r="Z716" i="53"/>
  <c r="AE716" i="53" s="1"/>
  <c r="Z717" i="53"/>
  <c r="AE717" i="53" s="1"/>
  <c r="Z718" i="53"/>
  <c r="AE718" i="53" s="1"/>
  <c r="Z719" i="53"/>
  <c r="AE719" i="53" s="1"/>
  <c r="Z720" i="53"/>
  <c r="AE720" i="53" s="1"/>
  <c r="Z721" i="53"/>
  <c r="AE721" i="53" s="1"/>
  <c r="Z722" i="53"/>
  <c r="AE722" i="53" s="1"/>
  <c r="Z723" i="53"/>
  <c r="AE723" i="53" s="1"/>
  <c r="Z724" i="53"/>
  <c r="AE724" i="53" s="1"/>
  <c r="Z725" i="53"/>
  <c r="AE725" i="53" s="1"/>
  <c r="Z726" i="53"/>
  <c r="AE726" i="53" s="1"/>
  <c r="Z727" i="53"/>
  <c r="AE727" i="53" s="1"/>
  <c r="Z728" i="53"/>
  <c r="AE728" i="53" s="1"/>
  <c r="Z729" i="53"/>
  <c r="AE729" i="53" s="1"/>
  <c r="Z730" i="53"/>
  <c r="AE730" i="53" s="1"/>
  <c r="Z731" i="53"/>
  <c r="AE731" i="53" s="1"/>
  <c r="Z732" i="53"/>
  <c r="AE732" i="53" s="1"/>
  <c r="Z733" i="53"/>
  <c r="AE733" i="53" s="1"/>
  <c r="Z734" i="53"/>
  <c r="Z735" i="53"/>
  <c r="AE735" i="53" s="1"/>
  <c r="Z736" i="53"/>
  <c r="AE736" i="53" s="1"/>
  <c r="Z737" i="53"/>
  <c r="AE737" i="53" s="1"/>
  <c r="Z738" i="53"/>
  <c r="AE738" i="53" s="1"/>
  <c r="Z739" i="53"/>
  <c r="AE739" i="53" s="1"/>
  <c r="Z740" i="53"/>
  <c r="AE740" i="53" s="1"/>
  <c r="Z741" i="53"/>
  <c r="AE741" i="53" s="1"/>
  <c r="Z742" i="53"/>
  <c r="AE742" i="53" s="1"/>
  <c r="Z743" i="53"/>
  <c r="AE743" i="53" s="1"/>
  <c r="Z744" i="53"/>
  <c r="AE744" i="53" s="1"/>
  <c r="Z745" i="53"/>
  <c r="AE745" i="53" s="1"/>
  <c r="Z746" i="53"/>
  <c r="AE746" i="53" s="1"/>
  <c r="Z747" i="53"/>
  <c r="AE747" i="53" s="1"/>
  <c r="Z748" i="53"/>
  <c r="AE748" i="53" s="1"/>
  <c r="Z749" i="53"/>
  <c r="AE749" i="53" s="1"/>
  <c r="Z750" i="53"/>
  <c r="AE750" i="53" s="1"/>
  <c r="Z751" i="53"/>
  <c r="AE751" i="53" s="1"/>
  <c r="Z752" i="53"/>
  <c r="AE752" i="53" s="1"/>
  <c r="Z753" i="53"/>
  <c r="AE753" i="53" s="1"/>
  <c r="Z754" i="53"/>
  <c r="AE754" i="53" s="1"/>
  <c r="Z755" i="53"/>
  <c r="AE755" i="53" s="1"/>
  <c r="Z756" i="53"/>
  <c r="AE756" i="53" s="1"/>
  <c r="Z757" i="53"/>
  <c r="AE757" i="53" s="1"/>
  <c r="Z758" i="53"/>
  <c r="AE758" i="53" s="1"/>
  <c r="Z759" i="53"/>
  <c r="AE759" i="53" s="1"/>
  <c r="Z760" i="53"/>
  <c r="AE760" i="53" s="1"/>
  <c r="Z761" i="53"/>
  <c r="AE761" i="53" s="1"/>
  <c r="Z762" i="53"/>
  <c r="AE762" i="53" s="1"/>
  <c r="Z763" i="53"/>
  <c r="AE763" i="53" s="1"/>
  <c r="Z764" i="53"/>
  <c r="AE764" i="53" s="1"/>
  <c r="Z765" i="53"/>
  <c r="AE765" i="53" s="1"/>
  <c r="Z766" i="53"/>
  <c r="AE766" i="53" s="1"/>
  <c r="Z767" i="53"/>
  <c r="AE767" i="53" s="1"/>
  <c r="Z768" i="53"/>
  <c r="AE768" i="53" s="1"/>
  <c r="Z769" i="53"/>
  <c r="Z770" i="53"/>
  <c r="AE770" i="53" s="1"/>
  <c r="Z771" i="53"/>
  <c r="AE771" i="53" s="1"/>
  <c r="Z772" i="53"/>
  <c r="AE772" i="53" s="1"/>
  <c r="Z773" i="53"/>
  <c r="AE773" i="53" s="1"/>
  <c r="Z774" i="53"/>
  <c r="AE774" i="53" s="1"/>
  <c r="Z775" i="53"/>
  <c r="AE775" i="53" s="1"/>
  <c r="Z776" i="53"/>
  <c r="AE776" i="53" s="1"/>
  <c r="Z777" i="53"/>
  <c r="AE777" i="53" s="1"/>
  <c r="Z779" i="53"/>
  <c r="AE779" i="53" s="1"/>
  <c r="Z780" i="53"/>
  <c r="AE780" i="53" s="1"/>
  <c r="Z781" i="53"/>
  <c r="AE781" i="53" s="1"/>
  <c r="Z782" i="53"/>
  <c r="AE782" i="53" s="1"/>
  <c r="Z783" i="53"/>
  <c r="AE783" i="53" s="1"/>
  <c r="Z784" i="53"/>
  <c r="AE784" i="53" s="1"/>
  <c r="Z785" i="53"/>
  <c r="AE785" i="53" s="1"/>
  <c r="Z786" i="53"/>
  <c r="AE786" i="53" s="1"/>
  <c r="Z787" i="53"/>
  <c r="AE787" i="53" s="1"/>
  <c r="Z788" i="53"/>
  <c r="AE788" i="53" s="1"/>
  <c r="Z789" i="53"/>
  <c r="AE789" i="53" s="1"/>
  <c r="Z790" i="53"/>
  <c r="AE790" i="53" s="1"/>
  <c r="Z791" i="53"/>
  <c r="AE791" i="53" s="1"/>
  <c r="Z792" i="53"/>
  <c r="AE792" i="53" s="1"/>
  <c r="Z793" i="53"/>
  <c r="AE793" i="53" s="1"/>
  <c r="Z794" i="53"/>
  <c r="AE794" i="53" s="1"/>
  <c r="Z795" i="53"/>
  <c r="AE795" i="53" s="1"/>
  <c r="Z796" i="53"/>
  <c r="AE796" i="53" s="1"/>
  <c r="Z797" i="53"/>
  <c r="AE797" i="53" s="1"/>
  <c r="Z798" i="53"/>
  <c r="AE798" i="53" s="1"/>
  <c r="Z799" i="53"/>
  <c r="AE799" i="53" s="1"/>
  <c r="Z800" i="53"/>
  <c r="AE800" i="53" s="1"/>
  <c r="Z801" i="53"/>
  <c r="AE801" i="53" s="1"/>
  <c r="Z802" i="53"/>
  <c r="AE802" i="53" s="1"/>
  <c r="Z803" i="53"/>
  <c r="AE803" i="53" s="1"/>
  <c r="Z804" i="53"/>
  <c r="AE804" i="53" s="1"/>
  <c r="Z805" i="53"/>
  <c r="AE805" i="53" s="1"/>
  <c r="Z806" i="53"/>
  <c r="AE806" i="53" s="1"/>
  <c r="Z807" i="53"/>
  <c r="AE807" i="53" s="1"/>
  <c r="Z808" i="53"/>
  <c r="AE808" i="53" s="1"/>
  <c r="Z809" i="53"/>
  <c r="AE809" i="53" s="1"/>
  <c r="Z810" i="53"/>
  <c r="AE810" i="53" s="1"/>
  <c r="Z811" i="53"/>
  <c r="AE811" i="53" s="1"/>
  <c r="Z812" i="53"/>
  <c r="AE812" i="53" s="1"/>
  <c r="Z813" i="53"/>
  <c r="AE813" i="53" s="1"/>
  <c r="Z814" i="53"/>
  <c r="AE814" i="53" s="1"/>
  <c r="Z815" i="53"/>
  <c r="AE815" i="53" s="1"/>
  <c r="Z816" i="53"/>
  <c r="AE816" i="53" s="1"/>
  <c r="Z817" i="53"/>
  <c r="AE817" i="53" s="1"/>
  <c r="Z818" i="53"/>
  <c r="AE818" i="53" s="1"/>
  <c r="Z819" i="53"/>
  <c r="AE819" i="53" s="1"/>
  <c r="Z820" i="53"/>
  <c r="AE820" i="53" s="1"/>
  <c r="Z821" i="53"/>
  <c r="P95" i="55" s="1"/>
  <c r="Z822" i="53"/>
  <c r="AE822" i="53" s="1"/>
  <c r="Z823" i="53"/>
  <c r="AE823" i="53" s="1"/>
  <c r="Z825" i="53"/>
  <c r="AE825" i="53" s="1"/>
  <c r="Z826" i="53"/>
  <c r="AE826" i="53" s="1"/>
  <c r="Z827" i="53"/>
  <c r="AE827" i="53" s="1"/>
  <c r="Z828" i="53"/>
  <c r="AE828" i="53" s="1"/>
  <c r="Z829" i="53"/>
  <c r="AE829" i="53" s="1"/>
  <c r="Z830" i="53"/>
  <c r="AE830" i="53" s="1"/>
  <c r="Z831" i="53"/>
  <c r="AE831" i="53" s="1"/>
  <c r="Z832" i="53"/>
  <c r="AE832" i="53" s="1"/>
  <c r="Z833" i="53"/>
  <c r="AE833" i="53" s="1"/>
  <c r="Z834" i="53"/>
  <c r="AE834" i="53" s="1"/>
  <c r="Z835" i="53"/>
  <c r="AE835" i="53" s="1"/>
  <c r="Z836" i="53"/>
  <c r="AE836" i="53" s="1"/>
  <c r="Z837" i="53"/>
  <c r="AE837" i="53" s="1"/>
  <c r="Z838" i="53"/>
  <c r="AE838" i="53" s="1"/>
  <c r="Z839" i="53"/>
  <c r="AE839" i="53" s="1"/>
  <c r="Z840" i="53"/>
  <c r="AE840" i="53" s="1"/>
  <c r="Z841" i="53"/>
  <c r="AE841" i="53" s="1"/>
  <c r="Z842" i="53"/>
  <c r="P101" i="55" s="1"/>
  <c r="Z843" i="53"/>
  <c r="AE843" i="53" s="1"/>
  <c r="Z844" i="53"/>
  <c r="AE844" i="53" s="1"/>
  <c r="Z845" i="53"/>
  <c r="AE845" i="53" s="1"/>
  <c r="Z846" i="53"/>
  <c r="AE846" i="53" s="1"/>
  <c r="Z847" i="53"/>
  <c r="AE847" i="53" s="1"/>
  <c r="Z848" i="53"/>
  <c r="AE848" i="53" s="1"/>
  <c r="Z849" i="53"/>
  <c r="AE849" i="53" s="1"/>
  <c r="Z850" i="53"/>
  <c r="AE850" i="53" s="1"/>
  <c r="Z851" i="53"/>
  <c r="AE851" i="53" s="1"/>
  <c r="Z852" i="53"/>
  <c r="AE852" i="53" s="1"/>
  <c r="Z853" i="53"/>
  <c r="AE853" i="53" s="1"/>
  <c r="Z854" i="53"/>
  <c r="AE854" i="53" s="1"/>
  <c r="Z855" i="53"/>
  <c r="AE855" i="53" s="1"/>
  <c r="Z856" i="53"/>
  <c r="AE856" i="53" s="1"/>
  <c r="Z857" i="53"/>
  <c r="AE857" i="53" s="1"/>
  <c r="Z858" i="53"/>
  <c r="AE858" i="53" s="1"/>
  <c r="Z859" i="53"/>
  <c r="AE859" i="53" s="1"/>
  <c r="Z860" i="53"/>
  <c r="AE860" i="53" s="1"/>
  <c r="Z861" i="53"/>
  <c r="AE861" i="53" s="1"/>
  <c r="Z862" i="53"/>
  <c r="AE862"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s="1"/>
  <c r="Z287" i="53"/>
  <c r="AE287" i="53" s="1"/>
  <c r="Z288" i="53"/>
  <c r="AE288" i="53" s="1"/>
  <c r="Z289" i="53"/>
  <c r="AE289" i="53" s="1"/>
  <c r="Z290" i="53"/>
  <c r="AE290" i="53" s="1"/>
  <c r="Z291" i="53"/>
  <c r="AE291" i="53" s="1"/>
  <c r="Z292" i="53"/>
  <c r="AE292" i="53" s="1"/>
  <c r="Z293" i="53"/>
  <c r="AE293" i="53" s="1"/>
  <c r="Z294" i="53"/>
  <c r="AE294" i="53" s="1"/>
  <c r="Z295" i="53"/>
  <c r="AE295" i="53" s="1"/>
  <c r="Z296" i="53"/>
  <c r="AE296" i="53" s="1"/>
  <c r="Z297" i="53"/>
  <c r="AE297" i="53" s="1"/>
  <c r="Z298" i="53"/>
  <c r="AE298" i="53" s="1"/>
  <c r="Z299" i="53"/>
  <c r="AE299" i="53" s="1"/>
  <c r="Z300" i="53"/>
  <c r="AE300" i="53" s="1"/>
  <c r="Z301" i="53"/>
  <c r="AE301" i="53" s="1"/>
  <c r="Z302" i="53"/>
  <c r="AE302" i="53" s="1"/>
  <c r="Z303" i="53"/>
  <c r="AE303" i="53" s="1"/>
  <c r="Z304" i="53"/>
  <c r="AE304" i="53" s="1"/>
  <c r="Z305" i="53"/>
  <c r="AE305" i="53" s="1"/>
  <c r="Z306" i="53"/>
  <c r="AE306" i="53" s="1"/>
  <c r="Z307" i="53"/>
  <c r="AE307" i="53" s="1"/>
  <c r="Z308" i="53"/>
  <c r="AE308" i="53" s="1"/>
  <c r="Z309" i="53"/>
  <c r="AE309" i="53" s="1"/>
  <c r="Z310" i="53"/>
  <c r="AE310" i="53" s="1"/>
  <c r="Z311" i="53"/>
  <c r="AE311" i="53" s="1"/>
  <c r="Z312" i="53"/>
  <c r="AE312" i="53" s="1"/>
  <c r="Z313" i="53"/>
  <c r="AE313" i="53" s="1"/>
  <c r="Z314" i="53"/>
  <c r="AE314" i="53" s="1"/>
  <c r="Z315" i="53"/>
  <c r="AE315" i="53" s="1"/>
  <c r="Z316" i="53"/>
  <c r="AE316" i="53" s="1"/>
  <c r="Z317" i="53"/>
  <c r="AE317" i="53" s="1"/>
  <c r="Z318" i="53"/>
  <c r="AE318" i="53" s="1"/>
  <c r="Z319" i="53"/>
  <c r="AE319" i="53" s="1"/>
  <c r="Z320" i="53"/>
  <c r="AE320" i="53" s="1"/>
  <c r="Z321" i="53"/>
  <c r="AE321" i="53" s="1"/>
  <c r="Z322" i="53"/>
  <c r="AE322" i="53" s="1"/>
  <c r="Z323" i="53"/>
  <c r="AE323" i="53" s="1"/>
  <c r="Z324" i="53"/>
  <c r="AE324" i="53" s="1"/>
  <c r="Z325" i="53"/>
  <c r="AE325" i="53" s="1"/>
  <c r="Z326" i="53"/>
  <c r="AE326" i="53" s="1"/>
  <c r="Z327" i="53"/>
  <c r="AE327" i="53" s="1"/>
  <c r="Z328" i="53"/>
  <c r="AE328" i="53" s="1"/>
  <c r="Z329" i="53"/>
  <c r="AE329" i="53" s="1"/>
  <c r="Z330" i="53"/>
  <c r="AE330" i="53" s="1"/>
  <c r="Z331" i="53"/>
  <c r="AE331" i="53" s="1"/>
  <c r="Z332" i="53"/>
  <c r="AE332" i="53" s="1"/>
  <c r="Z333" i="53"/>
  <c r="AE333" i="53" s="1"/>
  <c r="Z334" i="53"/>
  <c r="AE334" i="53" s="1"/>
  <c r="Z335" i="53"/>
  <c r="AE335" i="53" s="1"/>
  <c r="Z336" i="53"/>
  <c r="AE336" i="53" s="1"/>
  <c r="Z337" i="53"/>
  <c r="AE337" i="53" s="1"/>
  <c r="Z338" i="53"/>
  <c r="AE338" i="53" s="1"/>
  <c r="Z339" i="53"/>
  <c r="AE339" i="53" s="1"/>
  <c r="Z341" i="53"/>
  <c r="AE341" i="53" s="1"/>
  <c r="Z342" i="53"/>
  <c r="AE342" i="53" s="1"/>
  <c r="Z343" i="53"/>
  <c r="AE343" i="53" s="1"/>
  <c r="Z344" i="53"/>
  <c r="AE344" i="53" s="1"/>
  <c r="Z345" i="53"/>
  <c r="AE345" i="53" s="1"/>
  <c r="Z346" i="53"/>
  <c r="AE346" i="53" s="1"/>
  <c r="Z347" i="53"/>
  <c r="AE347" i="53" s="1"/>
  <c r="Z348" i="53"/>
  <c r="AE348" i="53" s="1"/>
  <c r="Z349" i="53"/>
  <c r="AE349" i="53" s="1"/>
  <c r="Z350" i="53"/>
  <c r="AE350" i="53" s="1"/>
  <c r="Z351" i="53"/>
  <c r="AE351" i="53" s="1"/>
  <c r="Z352" i="53"/>
  <c r="AE352" i="53" s="1"/>
  <c r="Z353" i="53"/>
  <c r="AE353" i="53" s="1"/>
  <c r="Z354" i="53"/>
  <c r="AE354" i="53" s="1"/>
  <c r="Z355" i="53"/>
  <c r="AE355" i="53" s="1"/>
  <c r="Z356" i="53"/>
  <c r="AE356" i="53" s="1"/>
  <c r="Z357" i="53"/>
  <c r="AE357" i="53" s="1"/>
  <c r="Z358" i="53"/>
  <c r="AE358" i="53" s="1"/>
  <c r="Z359" i="53"/>
  <c r="AE359" i="53" s="1"/>
  <c r="Z360" i="53"/>
  <c r="AE360" i="53" s="1"/>
  <c r="Z361" i="53"/>
  <c r="AE361" i="53" s="1"/>
  <c r="Z362" i="53"/>
  <c r="AE362" i="53" s="1"/>
  <c r="Z363" i="53"/>
  <c r="AE363" i="53" s="1"/>
  <c r="Z364" i="53"/>
  <c r="AE364" i="53" s="1"/>
  <c r="Z365" i="53"/>
  <c r="AE365" i="53" s="1"/>
  <c r="Z366" i="53"/>
  <c r="AE366" i="53" s="1"/>
  <c r="Z367" i="53"/>
  <c r="AE367" i="53" s="1"/>
  <c r="Z368" i="53"/>
  <c r="AE368" i="53" s="1"/>
  <c r="Z369" i="53"/>
  <c r="AE369" i="53" s="1"/>
  <c r="Z370" i="53"/>
  <c r="AE370" i="53" s="1"/>
  <c r="Z371" i="53"/>
  <c r="AE371" i="53" s="1"/>
  <c r="Z372" i="53"/>
  <c r="AE372" i="53" s="1"/>
  <c r="Z373" i="53"/>
  <c r="AE373" i="53" s="1"/>
  <c r="Z374" i="53"/>
  <c r="AE374" i="53" s="1"/>
  <c r="Z375" i="53"/>
  <c r="AE375" i="53" s="1"/>
  <c r="Z376" i="53"/>
  <c r="AE376" i="53" s="1"/>
  <c r="Z377" i="53"/>
  <c r="AE377" i="53" s="1"/>
  <c r="Z378" i="53"/>
  <c r="AE378" i="53" s="1"/>
  <c r="Z379" i="53"/>
  <c r="AE379" i="53" s="1"/>
  <c r="Z380" i="53"/>
  <c r="AE380" i="53" s="1"/>
  <c r="Z381" i="53"/>
  <c r="AE381" i="53" s="1"/>
  <c r="Z382" i="53"/>
  <c r="AE382" i="53" s="1"/>
  <c r="Z383" i="53"/>
  <c r="AE383" i="53" s="1"/>
  <c r="Z384" i="53"/>
  <c r="AE384" i="53" s="1"/>
  <c r="Z385" i="53"/>
  <c r="AE385" i="53" s="1"/>
  <c r="Z386" i="53"/>
  <c r="AE386" i="53" s="1"/>
  <c r="Z387" i="53"/>
  <c r="AE387" i="53" s="1"/>
  <c r="Z388" i="53"/>
  <c r="AE388" i="53" s="1"/>
  <c r="Z389" i="53"/>
  <c r="AE389" i="53" s="1"/>
  <c r="Z390" i="53"/>
  <c r="AE390" i="53" s="1"/>
  <c r="Z391" i="53"/>
  <c r="AE391" i="53" s="1"/>
  <c r="Z392" i="53"/>
  <c r="AE392" i="53" s="1"/>
  <c r="Z393" i="53"/>
  <c r="AE393" i="53" s="1"/>
  <c r="Z394" i="53"/>
  <c r="AE394" i="53" s="1"/>
  <c r="Z395" i="53"/>
  <c r="AE395" i="53" s="1"/>
  <c r="Z396" i="53"/>
  <c r="AE396" i="53" s="1"/>
  <c r="Z397" i="53"/>
  <c r="AE397" i="53" s="1"/>
  <c r="Z398" i="53"/>
  <c r="AE398" i="53" s="1"/>
  <c r="Z399" i="53"/>
  <c r="AE399" i="53" s="1"/>
  <c r="Z400" i="53"/>
  <c r="AE400" i="53" s="1"/>
  <c r="Z401" i="53"/>
  <c r="AE401" i="53" s="1"/>
  <c r="Z402" i="53"/>
  <c r="AE402" i="53" s="1"/>
  <c r="Z403" i="53"/>
  <c r="AE403" i="53" s="1"/>
  <c r="Z404" i="53"/>
  <c r="AE404" i="53" s="1"/>
  <c r="Z405" i="53"/>
  <c r="AE405" i="53" s="1"/>
  <c r="Z406" i="53"/>
  <c r="AE406" i="53" s="1"/>
  <c r="Z407" i="53"/>
  <c r="AE407" i="53" s="1"/>
  <c r="Z408" i="53"/>
  <c r="AE408" i="53" s="1"/>
  <c r="Z409" i="53"/>
  <c r="AE409" i="53" s="1"/>
  <c r="Z410" i="53"/>
  <c r="AE410" i="53" s="1"/>
  <c r="Z411" i="53"/>
  <c r="AE411" i="53" s="1"/>
  <c r="Z412" i="53"/>
  <c r="Z413" i="53"/>
  <c r="AE413" i="53" s="1"/>
  <c r="Z414" i="53"/>
  <c r="AE414" i="53" s="1"/>
  <c r="Z415" i="53"/>
  <c r="AE415" i="53" s="1"/>
  <c r="Z416" i="53"/>
  <c r="AE416" i="53" s="1"/>
  <c r="Z417" i="53"/>
  <c r="AE417" i="53" s="1"/>
  <c r="Z418" i="53"/>
  <c r="AE418" i="53" s="1"/>
  <c r="Z419" i="53"/>
  <c r="AE419" i="53" s="1"/>
  <c r="Z420" i="53"/>
  <c r="AE420" i="53" s="1"/>
  <c r="Z421" i="53"/>
  <c r="AE421" i="53" s="1"/>
  <c r="Z422" i="53"/>
  <c r="AE422" i="53" s="1"/>
  <c r="Z423" i="53"/>
  <c r="Z424" i="53"/>
  <c r="AE424" i="53" s="1"/>
  <c r="Z425" i="53"/>
  <c r="AE425" i="53" s="1"/>
  <c r="Z426" i="53"/>
  <c r="AE426" i="53" s="1"/>
  <c r="Z427" i="53"/>
  <c r="AE427" i="53" s="1"/>
  <c r="Z428" i="53"/>
  <c r="AE428" i="53" s="1"/>
  <c r="Z429" i="53"/>
  <c r="AE429" i="53" s="1"/>
  <c r="Z430" i="53"/>
  <c r="AE430" i="53" s="1"/>
  <c r="Z431" i="53"/>
  <c r="AE431" i="53" s="1"/>
  <c r="Z433" i="53"/>
  <c r="AE433" i="53" s="1"/>
  <c r="Z434" i="53"/>
  <c r="AE434" i="53" s="1"/>
  <c r="Z435" i="53"/>
  <c r="AE435" i="53" s="1"/>
  <c r="Z436" i="53"/>
  <c r="AE436" i="53" s="1"/>
  <c r="Z437" i="53"/>
  <c r="AE437" i="53" s="1"/>
  <c r="Z438" i="53"/>
  <c r="AE438" i="53" s="1"/>
  <c r="Z439" i="53"/>
  <c r="AE439" i="53" s="1"/>
  <c r="Z440" i="53"/>
  <c r="AE440" i="53" s="1"/>
  <c r="Z441" i="53"/>
  <c r="AE441" i="53" s="1"/>
  <c r="Z442" i="53"/>
  <c r="AE442" i="53" s="1"/>
  <c r="Z443" i="53"/>
  <c r="AE443" i="53" s="1"/>
  <c r="Z444" i="53"/>
  <c r="AE444" i="53" s="1"/>
  <c r="Z445" i="53"/>
  <c r="AE445" i="53" s="1"/>
  <c r="Z446" i="53"/>
  <c r="AE446" i="53" s="1"/>
  <c r="Z447" i="53"/>
  <c r="AE447" i="53" s="1"/>
  <c r="Z448" i="53"/>
  <c r="AE448" i="53" s="1"/>
  <c r="Z449" i="53"/>
  <c r="AE449" i="53" s="1"/>
  <c r="Z450" i="53"/>
  <c r="AE450" i="53" s="1"/>
  <c r="Z451" i="53"/>
  <c r="AE451" i="53" s="1"/>
  <c r="Z452" i="53"/>
  <c r="AE452" i="53" s="1"/>
  <c r="Z453" i="53"/>
  <c r="AE453" i="53" s="1"/>
  <c r="Z454" i="53"/>
  <c r="AE454" i="53" s="1"/>
  <c r="Z455" i="53"/>
  <c r="AE455" i="53" s="1"/>
  <c r="Z456" i="53"/>
  <c r="AE456" i="53" s="1"/>
  <c r="Z457" i="53"/>
  <c r="AE457" i="53" s="1"/>
  <c r="Z458" i="53"/>
  <c r="AE458" i="53" s="1"/>
  <c r="Z459" i="53"/>
  <c r="AE459" i="53" s="1"/>
  <c r="Z460" i="53"/>
  <c r="AE460" i="53" s="1"/>
  <c r="Z461" i="53"/>
  <c r="AE461" i="53" s="1"/>
  <c r="Z462" i="53"/>
  <c r="AE462" i="53" s="1"/>
  <c r="Z463" i="53"/>
  <c r="AE463" i="53" s="1"/>
  <c r="Z464" i="53"/>
  <c r="AE464" i="53" s="1"/>
  <c r="Z465" i="53"/>
  <c r="AE465" i="53" s="1"/>
  <c r="Z466" i="53"/>
  <c r="AE466" i="53" s="1"/>
  <c r="Z467" i="53"/>
  <c r="AE467" i="53" s="1"/>
  <c r="Z468" i="53"/>
  <c r="AE468" i="53" s="1"/>
  <c r="Z469" i="53"/>
  <c r="AE469" i="53" s="1"/>
  <c r="Z470" i="53"/>
  <c r="AE470" i="53" s="1"/>
  <c r="Z471" i="53"/>
  <c r="AE471" i="53" s="1"/>
  <c r="Z472" i="53"/>
  <c r="AE472" i="53" s="1"/>
  <c r="Z473" i="53"/>
  <c r="AE473" i="53" s="1"/>
  <c r="Z474" i="53"/>
  <c r="AE474" i="53" s="1"/>
  <c r="Z475" i="53"/>
  <c r="AE475" i="53" s="1"/>
  <c r="Z476" i="53"/>
  <c r="AE476" i="53" s="1"/>
  <c r="Z477" i="53"/>
  <c r="AE477" i="53" s="1"/>
  <c r="Z478" i="53"/>
  <c r="AE478" i="53" s="1"/>
  <c r="Z479" i="53"/>
  <c r="AE479" i="53" s="1"/>
  <c r="Z480" i="53"/>
  <c r="AE480" i="53" s="1"/>
  <c r="Z481" i="53"/>
  <c r="AE481" i="53" s="1"/>
  <c r="Z482" i="53"/>
  <c r="AE482" i="53" s="1"/>
  <c r="Z483" i="53"/>
  <c r="AE483" i="53" s="1"/>
  <c r="Z7" i="53"/>
  <c r="Z8" i="53"/>
  <c r="AE8" i="53" s="1"/>
  <c r="Z9" i="53"/>
  <c r="AE9" i="53" s="1"/>
  <c r="Z10" i="53"/>
  <c r="AE10" i="53" s="1"/>
  <c r="Z11" i="53"/>
  <c r="AE11" i="53" s="1"/>
  <c r="Z12" i="53"/>
  <c r="AE12" i="53" s="1"/>
  <c r="Z13" i="53"/>
  <c r="AE13" i="53" s="1"/>
  <c r="Z14" i="53"/>
  <c r="AE14" i="53" s="1"/>
  <c r="Z16" i="53"/>
  <c r="AE16" i="53" s="1"/>
  <c r="Z17" i="53"/>
  <c r="AE17" i="53" s="1"/>
  <c r="Z18" i="53"/>
  <c r="AE18" i="53" s="1"/>
  <c r="Z19" i="53"/>
  <c r="AE19" i="53" s="1"/>
  <c r="Z20" i="53"/>
  <c r="AE20" i="53" s="1"/>
  <c r="Z21" i="53"/>
  <c r="AE21" i="53" s="1"/>
  <c r="Z22" i="53"/>
  <c r="AE22" i="53" s="1"/>
  <c r="Z23" i="53"/>
  <c r="AE23" i="53" s="1"/>
  <c r="Z24" i="53"/>
  <c r="AE24" i="53" s="1"/>
  <c r="Z25" i="53"/>
  <c r="AE25" i="53" s="1"/>
  <c r="Z26" i="53"/>
  <c r="AE26" i="53" s="1"/>
  <c r="Z27" i="53"/>
  <c r="AE27" i="53" s="1"/>
  <c r="Z28" i="53"/>
  <c r="AE28" i="53" s="1"/>
  <c r="Z29" i="53"/>
  <c r="AE29" i="53" s="1"/>
  <c r="Z30" i="53"/>
  <c r="AE30" i="53" s="1"/>
  <c r="Z31" i="53"/>
  <c r="AE31" i="53" s="1"/>
  <c r="Z32" i="53"/>
  <c r="AE32" i="53" s="1"/>
  <c r="Z33" i="53"/>
  <c r="AE33" i="53" s="1"/>
  <c r="Z34" i="53"/>
  <c r="AE34" i="53" s="1"/>
  <c r="Z35" i="53"/>
  <c r="AE35" i="53" s="1"/>
  <c r="Z36" i="53"/>
  <c r="AE36" i="53" s="1"/>
  <c r="Z37" i="53"/>
  <c r="AE37" i="53" s="1"/>
  <c r="Z38" i="53"/>
  <c r="AE38" i="53" s="1"/>
  <c r="Z39" i="53"/>
  <c r="AE39" i="53" s="1"/>
  <c r="Z40" i="53"/>
  <c r="AE40" i="53" s="1"/>
  <c r="Z41" i="53"/>
  <c r="AE41" i="53" s="1"/>
  <c r="Z42" i="53"/>
  <c r="AE42" i="53" s="1"/>
  <c r="Z43" i="53"/>
  <c r="AE43" i="53" s="1"/>
  <c r="Z44" i="53"/>
  <c r="AE44" i="53" s="1"/>
  <c r="Z45" i="53"/>
  <c r="AE45" i="53" s="1"/>
  <c r="Z46" i="53"/>
  <c r="AE46" i="53" s="1"/>
  <c r="Z47" i="53"/>
  <c r="AE47" i="53" s="1"/>
  <c r="Z48" i="53"/>
  <c r="AE48" i="53" s="1"/>
  <c r="Z49" i="53"/>
  <c r="AE49" i="53" s="1"/>
  <c r="Z50" i="53"/>
  <c r="AE50" i="53" s="1"/>
  <c r="Z51" i="53"/>
  <c r="AE51" i="53" s="1"/>
  <c r="Z52" i="53"/>
  <c r="AE52" i="53" s="1"/>
  <c r="Z53" i="53"/>
  <c r="AE53" i="53" s="1"/>
  <c r="Z54" i="53"/>
  <c r="AE54" i="53" s="1"/>
  <c r="Z55" i="53"/>
  <c r="AE55" i="53" s="1"/>
  <c r="Z56" i="53"/>
  <c r="AE56" i="53" s="1"/>
  <c r="Z57" i="53"/>
  <c r="AE57" i="53" s="1"/>
  <c r="Z58" i="53"/>
  <c r="AE58" i="53" s="1"/>
  <c r="Z59" i="53"/>
  <c r="AE59" i="53" s="1"/>
  <c r="Z60" i="53"/>
  <c r="AE60" i="53" s="1"/>
  <c r="Z61" i="53"/>
  <c r="AE61" i="53" s="1"/>
  <c r="Z62" i="53"/>
  <c r="AE62" i="53" s="1"/>
  <c r="Z63" i="53"/>
  <c r="AE63" i="53" s="1"/>
  <c r="Z64" i="53"/>
  <c r="AE64" i="53" s="1"/>
  <c r="Z65" i="53"/>
  <c r="AE65" i="53" s="1"/>
  <c r="Z66" i="53"/>
  <c r="AE66" i="53" s="1"/>
  <c r="Z67" i="53"/>
  <c r="AE67" i="53" s="1"/>
  <c r="Z68" i="53"/>
  <c r="AE68" i="53" s="1"/>
  <c r="Z69" i="53"/>
  <c r="AE69" i="53" s="1"/>
  <c r="Z70" i="53"/>
  <c r="AE70" i="53" s="1"/>
  <c r="Z71" i="53"/>
  <c r="AE71" i="53" s="1"/>
  <c r="Z72" i="53"/>
  <c r="AE72" i="53" s="1"/>
  <c r="Z73" i="53"/>
  <c r="AE73" i="53" s="1"/>
  <c r="Z74" i="53"/>
  <c r="AE74" i="53" s="1"/>
  <c r="Z75" i="53"/>
  <c r="AE75" i="53" s="1"/>
  <c r="Z76" i="53"/>
  <c r="AE76" i="53" s="1"/>
  <c r="Z77" i="53"/>
  <c r="AE77" i="53" s="1"/>
  <c r="Z78" i="53"/>
  <c r="AE78" i="53" s="1"/>
  <c r="Z79" i="53"/>
  <c r="AE79" i="53" s="1"/>
  <c r="Z80" i="53"/>
  <c r="AE80" i="53" s="1"/>
  <c r="Z81" i="53"/>
  <c r="AE81" i="53" s="1"/>
  <c r="Z82" i="53"/>
  <c r="AE82" i="53" s="1"/>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AE95" i="53" s="1"/>
  <c r="Z96" i="53"/>
  <c r="AE96" i="53" s="1"/>
  <c r="Z97" i="53"/>
  <c r="AE97" i="53" s="1"/>
  <c r="Z98" i="53"/>
  <c r="Z99" i="53"/>
  <c r="AE99" i="53" s="1"/>
  <c r="Z100" i="53"/>
  <c r="AE100" i="53" s="1"/>
  <c r="Z103" i="53"/>
  <c r="AE103" i="53" s="1"/>
  <c r="Z104" i="53"/>
  <c r="AE104" i="53" s="1"/>
  <c r="Z105" i="53"/>
  <c r="AE105" i="53" s="1"/>
  <c r="Z106" i="53"/>
  <c r="AE106" i="53" s="1"/>
  <c r="Z107" i="53"/>
  <c r="AE107" i="53" s="1"/>
  <c r="Z108" i="53"/>
  <c r="AE108" i="53" s="1"/>
  <c r="Z109" i="53"/>
  <c r="AE109" i="53" s="1"/>
  <c r="Z110" i="53"/>
  <c r="AE110" i="53" s="1"/>
  <c r="Z111" i="53"/>
  <c r="AE111" i="53" s="1"/>
  <c r="Z112" i="53"/>
  <c r="AE112" i="53" s="1"/>
  <c r="Z113" i="53"/>
  <c r="AE113" i="53" s="1"/>
  <c r="Z114" i="53"/>
  <c r="AE114" i="53" s="1"/>
  <c r="Z115" i="53"/>
  <c r="AE115" i="53" s="1"/>
  <c r="Z116" i="53"/>
  <c r="AE116" i="53" s="1"/>
  <c r="Z117" i="53"/>
  <c r="AE117" i="53" s="1"/>
  <c r="Z118" i="53"/>
  <c r="AE118" i="53" s="1"/>
  <c r="Z119" i="53"/>
  <c r="AE119" i="53" s="1"/>
  <c r="Z120" i="53"/>
  <c r="AE120" i="53" s="1"/>
  <c r="Z121" i="53"/>
  <c r="AE121" i="53" s="1"/>
  <c r="Z122" i="53"/>
  <c r="AE122" i="53" s="1"/>
  <c r="Z123" i="53"/>
  <c r="AE123" i="53" s="1"/>
  <c r="Z124" i="53"/>
  <c r="AE124" i="53" s="1"/>
  <c r="Z125" i="53"/>
  <c r="AE125" i="53" s="1"/>
  <c r="Z126" i="53"/>
  <c r="Z127" i="53"/>
  <c r="AE127" i="53" s="1"/>
  <c r="Z128" i="53"/>
  <c r="AE128" i="53" s="1"/>
  <c r="Z129" i="53"/>
  <c r="AE129" i="53" s="1"/>
  <c r="Z130" i="53"/>
  <c r="AE130" i="53" s="1"/>
  <c r="Z131" i="53"/>
  <c r="AE131" i="53" s="1"/>
  <c r="Z132" i="53"/>
  <c r="AE132" i="53" s="1"/>
  <c r="Z133" i="53"/>
  <c r="AE133" i="53" s="1"/>
  <c r="Z134" i="53"/>
  <c r="AE134" i="53" s="1"/>
  <c r="Z135" i="53"/>
  <c r="AE135" i="53" s="1"/>
  <c r="Z136" i="53"/>
  <c r="AE136" i="53" s="1"/>
  <c r="Z137" i="53"/>
  <c r="AE137" i="53" s="1"/>
  <c r="Z138" i="53"/>
  <c r="AE138" i="53" s="1"/>
  <c r="Z139" i="53"/>
  <c r="AE139" i="53" s="1"/>
  <c r="Z140" i="53"/>
  <c r="AE140" i="53" s="1"/>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AE152" i="53" s="1"/>
  <c r="Z153" i="53"/>
  <c r="AE153" i="53" s="1"/>
  <c r="Z154" i="53"/>
  <c r="AE154" i="53" s="1"/>
  <c r="Z155" i="53"/>
  <c r="AE155" i="53" s="1"/>
  <c r="Z156" i="53"/>
  <c r="AE156" i="53" s="1"/>
  <c r="Z157" i="53"/>
  <c r="AE157" i="53" s="1"/>
  <c r="Z158" i="53"/>
  <c r="AE158" i="53" s="1"/>
  <c r="Z159" i="53"/>
  <c r="AE159" i="53" s="1"/>
  <c r="Z160" i="53"/>
  <c r="AE160" i="53" s="1"/>
  <c r="Z161" i="53"/>
  <c r="AE161" i="53" s="1"/>
  <c r="Z162" i="53"/>
  <c r="Z163" i="53"/>
  <c r="AE163" i="53" s="1"/>
  <c r="Z164" i="53"/>
  <c r="AE164" i="53" s="1"/>
  <c r="Z165" i="53"/>
  <c r="AE165" i="53" s="1"/>
  <c r="Z166" i="53"/>
  <c r="AE166" i="53" s="1"/>
  <c r="Z167" i="53"/>
  <c r="AE167" i="53" s="1"/>
  <c r="Z168" i="53"/>
  <c r="AE168" i="53" s="1"/>
  <c r="Z169" i="53"/>
  <c r="AE169" i="53" s="1"/>
  <c r="Z170" i="53"/>
  <c r="AE170" i="53" s="1"/>
  <c r="Z171" i="53"/>
  <c r="AE171" i="53" s="1"/>
  <c r="Z172" i="53"/>
  <c r="AE172" i="53" s="1"/>
  <c r="Z173" i="53"/>
  <c r="AE173" i="53" s="1"/>
  <c r="Z174" i="53"/>
  <c r="AE174" i="53" s="1"/>
  <c r="Z175" i="53"/>
  <c r="AE175" i="53" s="1"/>
  <c r="Z176" i="53"/>
  <c r="AE176" i="53" s="1"/>
  <c r="Z177" i="53"/>
  <c r="AE177" i="53" s="1"/>
  <c r="Z178" i="53"/>
  <c r="AE178" i="53" s="1"/>
  <c r="Z179" i="53"/>
  <c r="AE179" i="53" s="1"/>
  <c r="Z180" i="53"/>
  <c r="AE180" i="53" s="1"/>
  <c r="Z181" i="53"/>
  <c r="AE181" i="53" s="1"/>
  <c r="Z182" i="53"/>
  <c r="AE182" i="53" s="1"/>
  <c r="Z183" i="53"/>
  <c r="AE183" i="53" s="1"/>
  <c r="Z184" i="53"/>
  <c r="AE184" i="53" s="1"/>
  <c r="Z185" i="53"/>
  <c r="AE185" i="53" s="1"/>
  <c r="Z186" i="53"/>
  <c r="AE186" i="53" s="1"/>
  <c r="Z187" i="53"/>
  <c r="AE187" i="53" s="1"/>
  <c r="Z188" i="53"/>
  <c r="AE188" i="53" s="1"/>
  <c r="Z189" i="53"/>
  <c r="AE189" i="53" s="1"/>
  <c r="Z190" i="53"/>
  <c r="AE190" i="53" s="1"/>
  <c r="Z191" i="53"/>
  <c r="AE191" i="53" s="1"/>
  <c r="Z192" i="53"/>
  <c r="AE192" i="53" s="1"/>
  <c r="Z193" i="53"/>
  <c r="AE193" i="53" s="1"/>
  <c r="Z194" i="53"/>
  <c r="AE194" i="53" s="1"/>
  <c r="Z196" i="53"/>
  <c r="AE196" i="53" s="1"/>
  <c r="Z197" i="53"/>
  <c r="AE197" i="53" s="1"/>
  <c r="Z198" i="53"/>
  <c r="AE198" i="53" s="1"/>
  <c r="Z199" i="53"/>
  <c r="AE199" i="53" s="1"/>
  <c r="Z200" i="53"/>
  <c r="AE200" i="53" s="1"/>
  <c r="Z201" i="53"/>
  <c r="AE201" i="53" s="1"/>
  <c r="Z202" i="53"/>
  <c r="AE202" i="53" s="1"/>
  <c r="Z203" i="53"/>
  <c r="AE203" i="53" s="1"/>
  <c r="Z204" i="53"/>
  <c r="AE204" i="53" s="1"/>
  <c r="Z205" i="53"/>
  <c r="AE205" i="53" s="1"/>
  <c r="Z206" i="53"/>
  <c r="AE206" i="53" s="1"/>
  <c r="Z207" i="53"/>
  <c r="AE207" i="53" s="1"/>
  <c r="Z209" i="53"/>
  <c r="AE209" i="53" s="1"/>
  <c r="Z210" i="53"/>
  <c r="AE210" i="53" s="1"/>
  <c r="Z211" i="53"/>
  <c r="AE211" i="53" s="1"/>
  <c r="Z212" i="53"/>
  <c r="AE212" i="53" s="1"/>
  <c r="Z213" i="53"/>
  <c r="AE213" i="53" s="1"/>
  <c r="Z214" i="53"/>
  <c r="AE214" i="53" s="1"/>
  <c r="Z215" i="53"/>
  <c r="AE215" i="53" s="1"/>
  <c r="Z216" i="53"/>
  <c r="AE216" i="53" s="1"/>
  <c r="Z217" i="53"/>
  <c r="AE217" i="53" s="1"/>
  <c r="Z218" i="53"/>
  <c r="AE218" i="53" s="1"/>
  <c r="Z219" i="53"/>
  <c r="AE219" i="53" s="1"/>
  <c r="Z220" i="53"/>
  <c r="AE220" i="53" s="1"/>
  <c r="Z221" i="53"/>
  <c r="AE221" i="53" s="1"/>
  <c r="Z222" i="53"/>
  <c r="AE222" i="53" s="1"/>
  <c r="Z223" i="53"/>
  <c r="AE223" i="53" s="1"/>
  <c r="Z224" i="53"/>
  <c r="AE224" i="53" s="1"/>
  <c r="Z225" i="53"/>
  <c r="AE225" i="53" s="1"/>
  <c r="Z226" i="53"/>
  <c r="AE226" i="53" s="1"/>
  <c r="Z227" i="53"/>
  <c r="AE227" i="53" s="1"/>
  <c r="Z228" i="53"/>
  <c r="AE228" i="53" s="1"/>
  <c r="Z229" i="53"/>
  <c r="AE229" i="53" s="1"/>
  <c r="Z230" i="53"/>
  <c r="AE230" i="53" s="1"/>
  <c r="Z231" i="53"/>
  <c r="AE231" i="53" s="1"/>
  <c r="Z232" i="53"/>
  <c r="AE232" i="53" s="1"/>
  <c r="Z233" i="53"/>
  <c r="AE233" i="53" s="1"/>
  <c r="Z234" i="53"/>
  <c r="AE234" i="53" s="1"/>
  <c r="Z235" i="53"/>
  <c r="AE235" i="53" s="1"/>
  <c r="Z236" i="53"/>
  <c r="AE236" i="53" s="1"/>
  <c r="Z237" i="53"/>
  <c r="AE237" i="53" s="1"/>
  <c r="Z238" i="53"/>
  <c r="AE238" i="53" s="1"/>
  <c r="Z239" i="53"/>
  <c r="AE239" i="53" s="1"/>
  <c r="Z240" i="53"/>
  <c r="AE240" i="53" s="1"/>
  <c r="Z241" i="53"/>
  <c r="AE241" i="53" s="1"/>
  <c r="Z242" i="53"/>
  <c r="AE242" i="53" s="1"/>
  <c r="Z243" i="53"/>
  <c r="AE243" i="53" s="1"/>
  <c r="Z244" i="53"/>
  <c r="AE244" i="53" s="1"/>
  <c r="Z245" i="53"/>
  <c r="AE245" i="53" s="1"/>
  <c r="Z246" i="53"/>
  <c r="AE246" i="53" s="1"/>
  <c r="Z247" i="53"/>
  <c r="AE247" i="53" s="1"/>
  <c r="Z248" i="53"/>
  <c r="AE248" i="53" s="1"/>
  <c r="Z249" i="53"/>
  <c r="AE249" i="53" s="1"/>
  <c r="Z250" i="53"/>
  <c r="AE250" i="53" s="1"/>
  <c r="Z251" i="53"/>
  <c r="AE251" i="53" s="1"/>
  <c r="Z252" i="53"/>
  <c r="AE252" i="53" s="1"/>
  <c r="Z253" i="53"/>
  <c r="AE253" i="53" s="1"/>
  <c r="Z254" i="53"/>
  <c r="AE254" i="53" s="1"/>
  <c r="Z255" i="53"/>
  <c r="AE255" i="53" s="1"/>
  <c r="Z256" i="53"/>
  <c r="AE256" i="53" s="1"/>
  <c r="Z257" i="53"/>
  <c r="AE257" i="53" s="1"/>
  <c r="Z258" i="53"/>
  <c r="AE258" i="53" s="1"/>
  <c r="Z259" i="53"/>
  <c r="AE259" i="53" s="1"/>
  <c r="Z260" i="53"/>
  <c r="AE260" i="53" s="1"/>
  <c r="Z261" i="53"/>
  <c r="AE261" i="53" s="1"/>
  <c r="Z262" i="53"/>
  <c r="AE262" i="53" s="1"/>
  <c r="Z263" i="53"/>
  <c r="AE263" i="53" s="1"/>
  <c r="Z264" i="53"/>
  <c r="AE264" i="53" s="1"/>
  <c r="Z265" i="53"/>
  <c r="AE265" i="53" s="1"/>
  <c r="Z266" i="53"/>
  <c r="AE266" i="53" s="1"/>
  <c r="Z267" i="53"/>
  <c r="AE267" i="53" s="1"/>
  <c r="Z268" i="53"/>
  <c r="AE268" i="53" s="1"/>
  <c r="Z269" i="53"/>
  <c r="AE269" i="53" s="1"/>
  <c r="Z270" i="53"/>
  <c r="AE270" i="53" s="1"/>
  <c r="Z271" i="53"/>
  <c r="AE271" i="53" s="1"/>
  <c r="Z272" i="53"/>
  <c r="AE272" i="53" s="1"/>
  <c r="Z273" i="53"/>
  <c r="AE273" i="53" s="1"/>
  <c r="Z274" i="53"/>
  <c r="AE274" i="53" s="1"/>
  <c r="Z275" i="53"/>
  <c r="AE275" i="53" s="1"/>
  <c r="Z276" i="53"/>
  <c r="AE276" i="53" s="1"/>
  <c r="Z6" i="53"/>
  <c r="AE6" i="53" s="1"/>
  <c r="S778" i="53"/>
  <c r="X778" i="53" s="1"/>
  <c r="G778" i="53"/>
  <c r="S341" i="53"/>
  <c r="X341" i="53" s="1"/>
  <c r="C52" i="55"/>
  <c r="G331" i="53"/>
  <c r="G341" i="53"/>
  <c r="S981" i="53"/>
  <c r="X981" i="53" s="1"/>
  <c r="G981" i="53"/>
  <c r="S1006" i="53"/>
  <c r="X1006" i="53" s="1"/>
  <c r="G1006" i="53"/>
  <c r="S992" i="53"/>
  <c r="X992" i="53" s="1"/>
  <c r="G992" i="53"/>
  <c r="S924" i="53"/>
  <c r="X924" i="53" s="1"/>
  <c r="G924" i="53"/>
  <c r="S917" i="53"/>
  <c r="X917" i="53" s="1"/>
  <c r="G917" i="53"/>
  <c r="S915" i="53"/>
  <c r="X915" i="53" s="1"/>
  <c r="G915" i="53"/>
  <c r="S910" i="53"/>
  <c r="X910" i="53" s="1"/>
  <c r="G910" i="53"/>
  <c r="S446" i="53"/>
  <c r="X446" i="53" s="1"/>
  <c r="S447" i="53"/>
  <c r="X447" i="53" s="1"/>
  <c r="G446" i="53"/>
  <c r="G931" i="53"/>
  <c r="S16" i="53"/>
  <c r="X16" i="53" s="1"/>
  <c r="G16" i="53"/>
  <c r="S877" i="53"/>
  <c r="X877" i="53" s="1"/>
  <c r="S878" i="53"/>
  <c r="X878" i="53" s="1"/>
  <c r="G877" i="53"/>
  <c r="G878" i="53"/>
  <c r="S871" i="53"/>
  <c r="X871" i="53" s="1"/>
  <c r="G871" i="53"/>
  <c r="S931" i="53"/>
  <c r="X931" i="53" s="1"/>
  <c r="S1068" i="53"/>
  <c r="X1068" i="53" s="1"/>
  <c r="S1054" i="53"/>
  <c r="X1054" i="53" s="1"/>
  <c r="D7" i="55" a="1"/>
  <c r="D7" i="55" s="1"/>
  <c r="H7" i="55" s="1"/>
  <c r="D8" i="55" a="1"/>
  <c r="D8" i="55" s="1"/>
  <c r="D9" i="55" a="1"/>
  <c r="D9" i="55" s="1"/>
  <c r="D10" i="55" a="1"/>
  <c r="D10" i="55" s="1"/>
  <c r="H10" i="55" s="1"/>
  <c r="D12" i="55" a="1"/>
  <c r="D12" i="55" s="1"/>
  <c r="H12" i="55" s="1"/>
  <c r="D13" i="55" a="1"/>
  <c r="D13" i="55" s="1"/>
  <c r="D14" i="55" a="1"/>
  <c r="D14" i="55" s="1"/>
  <c r="H14" i="55" s="1"/>
  <c r="D15" i="55" a="1"/>
  <c r="D15" i="55" s="1"/>
  <c r="D16" i="55" a="1"/>
  <c r="D16" i="55" s="1"/>
  <c r="G16" i="55" s="1"/>
  <c r="D17" i="55" a="1"/>
  <c r="D17" i="55" s="1"/>
  <c r="H17" i="55" s="1"/>
  <c r="D19" i="55" a="1"/>
  <c r="D19" i="55" s="1"/>
  <c r="H19" i="55" s="1"/>
  <c r="D20" i="55" a="1"/>
  <c r="D20" i="55" s="1"/>
  <c r="D21" i="55" a="1"/>
  <c r="D21" i="55" s="1"/>
  <c r="H21" i="55" s="1"/>
  <c r="D22" i="55" a="1"/>
  <c r="D22" i="55" s="1"/>
  <c r="H22" i="55" s="1"/>
  <c r="D23" i="55" a="1"/>
  <c r="D23" i="55" s="1"/>
  <c r="H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H35" i="55" s="1"/>
  <c r="D36" i="55" a="1"/>
  <c r="D36" i="55" s="1"/>
  <c r="H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H53" i="55" s="1"/>
  <c r="D54" i="55" a="1"/>
  <c r="D54" i="55" s="1"/>
  <c r="D55" i="55" a="1"/>
  <c r="D55" i="55" s="1"/>
  <c r="G55" i="55" s="1"/>
  <c r="D56" i="55" a="1"/>
  <c r="D56" i="55" s="1"/>
  <c r="H56" i="55" s="1"/>
  <c r="D57" i="55" a="1"/>
  <c r="D57" i="55" s="1"/>
  <c r="D58" i="55" a="1"/>
  <c r="D58" i="55" s="1"/>
  <c r="G58" i="55" s="1"/>
  <c r="D59" i="55" a="1"/>
  <c r="D59" i="55" s="1"/>
  <c r="G59" i="55" s="1"/>
  <c r="D60" i="55" a="1"/>
  <c r="D60" i="55" s="1"/>
  <c r="D61" i="55" a="1"/>
  <c r="D61" i="55" s="1"/>
  <c r="D62" i="55" a="1"/>
  <c r="D62" i="55" s="1"/>
  <c r="D63" i="55" a="1"/>
  <c r="D63" i="55" s="1"/>
  <c r="H63" i="55" s="1"/>
  <c r="D64" i="55" a="1"/>
  <c r="D64" i="55" s="1"/>
  <c r="G64" i="55" s="1"/>
  <c r="D65" i="55" a="1"/>
  <c r="D65" i="55" s="1"/>
  <c r="D66" i="55" a="1"/>
  <c r="D66" i="55" s="1"/>
  <c r="H66" i="55" s="1"/>
  <c r="D67" i="55" a="1"/>
  <c r="D67" i="55" s="1"/>
  <c r="H67" i="55" s="1"/>
  <c r="D68" i="55" a="1"/>
  <c r="D68" i="55" s="1"/>
  <c r="G68" i="55" s="1"/>
  <c r="J68" i="55"/>
  <c r="D69" i="55" a="1"/>
  <c r="D69" i="55" s="1"/>
  <c r="D70" i="55" a="1"/>
  <c r="D70" i="55" s="1"/>
  <c r="H70" i="55" s="1"/>
  <c r="D71" i="55" a="1"/>
  <c r="D71" i="55" s="1"/>
  <c r="D72" i="55" a="1"/>
  <c r="D72" i="55" s="1"/>
  <c r="G72" i="55" s="1"/>
  <c r="D73" i="55" a="1"/>
  <c r="D73" i="55" s="1"/>
  <c r="G73" i="55" s="1"/>
  <c r="D74" i="55" a="1"/>
  <c r="D74" i="55" s="1"/>
  <c r="G74" i="55" s="1"/>
  <c r="D75" i="55" a="1"/>
  <c r="D75" i="55" s="1"/>
  <c r="H75" i="55" s="1"/>
  <c r="D76" i="55" a="1"/>
  <c r="D76" i="55" s="1"/>
  <c r="D77" i="55" a="1"/>
  <c r="D77" i="55" s="1"/>
  <c r="D78" i="55" a="1"/>
  <c r="D78" i="55" s="1"/>
  <c r="D79" i="55" a="1"/>
  <c r="D79" i="55" s="1"/>
  <c r="H79" i="55" s="1"/>
  <c r="D80" i="55" a="1"/>
  <c r="D80" i="55" s="1"/>
  <c r="G80" i="55" s="1"/>
  <c r="D81" i="55" a="1"/>
  <c r="D81" i="55" s="1"/>
  <c r="D82" i="55" a="1"/>
  <c r="D82" i="55" s="1"/>
  <c r="L82" i="55" s="1" a="1"/>
  <c r="D83" i="55" a="1"/>
  <c r="D83" i="55" s="1"/>
  <c r="D84" i="55" a="1"/>
  <c r="D84" i="55" s="1"/>
  <c r="G84" i="55" s="1"/>
  <c r="D85" i="55" a="1"/>
  <c r="D85" i="55" s="1"/>
  <c r="H85" i="55" s="1"/>
  <c r="D86" i="55" a="1"/>
  <c r="D86" i="55" s="1"/>
  <c r="D87" i="55" a="1"/>
  <c r="D87" i="55" s="1"/>
  <c r="K87" i="55" s="1" a="1"/>
  <c r="K87" i="55" s="1"/>
  <c r="D88" i="55" a="1"/>
  <c r="D88" i="55" s="1"/>
  <c r="G88" i="55" s="1"/>
  <c r="D89" i="55" a="1"/>
  <c r="D89" i="55" s="1"/>
  <c r="K89" i="55" s="1" a="1"/>
  <c r="K89" i="55" s="1"/>
  <c r="D90" i="55" a="1"/>
  <c r="D90" i="55" s="1"/>
  <c r="L90" i="55" s="1" a="1"/>
  <c r="L90" i="55" s="1"/>
  <c r="D91" i="55" a="1"/>
  <c r="D91" i="55" s="1"/>
  <c r="D92" i="55" a="1"/>
  <c r="D92" i="55" s="1"/>
  <c r="H92" i="55" s="1"/>
  <c r="J92" i="55"/>
  <c r="D93" i="55" a="1"/>
  <c r="D93" i="55" s="1"/>
  <c r="G93" i="55" s="1"/>
  <c r="D100" i="55" a="1"/>
  <c r="D100" i="55" s="1"/>
  <c r="H100" i="55" s="1"/>
  <c r="D101" i="55" a="1"/>
  <c r="D101" i="55" s="1"/>
  <c r="G101" i="55" s="1"/>
  <c r="D102" i="55" a="1"/>
  <c r="D102" i="55" s="1"/>
  <c r="G102" i="55" s="1"/>
  <c r="D103" i="55" a="1"/>
  <c r="D103" i="55" s="1"/>
  <c r="H103" i="55" s="1"/>
  <c r="D104" i="55" a="1"/>
  <c r="D104" i="55" s="1"/>
  <c r="H104" i="55" s="1"/>
  <c r="D105" i="55" a="1"/>
  <c r="D105" i="55" s="1"/>
  <c r="G105" i="55" s="1"/>
  <c r="D106" i="55" a="1"/>
  <c r="D106" i="55" s="1"/>
  <c r="D107" i="55" a="1"/>
  <c r="D107" i="55" s="1"/>
  <c r="D108" i="55" a="1"/>
  <c r="D108" i="55" s="1"/>
  <c r="H108" i="55" s="1"/>
  <c r="D109" i="55" a="1"/>
  <c r="D109" i="55" s="1"/>
  <c r="G109" i="55" s="1"/>
  <c r="D110" i="55" a="1"/>
  <c r="D110" i="55" s="1"/>
  <c r="H110" i="55" s="1"/>
  <c r="D111" i="55" a="1"/>
  <c r="D111" i="55" s="1"/>
  <c r="D112" i="55" a="1"/>
  <c r="D112" i="55" s="1"/>
  <c r="G112" i="55" s="1"/>
  <c r="D113" i="55" a="1"/>
  <c r="D113" i="55" s="1"/>
  <c r="H113" i="55" s="1"/>
  <c r="D114" i="55" a="1"/>
  <c r="D114" i="55" s="1"/>
  <c r="D115" i="55" a="1"/>
  <c r="D115" i="55" s="1"/>
  <c r="H115" i="55" s="1"/>
  <c r="D116" i="55" a="1"/>
  <c r="D116" i="55" s="1"/>
  <c r="D117" i="55" a="1"/>
  <c r="D117" i="55" s="1"/>
  <c r="G117" i="55" s="1"/>
  <c r="D118" i="55" a="1"/>
  <c r="D118" i="55" s="1"/>
  <c r="H118" i="55" s="1"/>
  <c r="D119" i="55" a="1"/>
  <c r="D119" i="55" s="1"/>
  <c r="G119" i="55" s="1"/>
  <c r="D120" i="55" a="1"/>
  <c r="D120" i="55" s="1"/>
  <c r="H120" i="55" s="1"/>
  <c r="D121" i="55" a="1"/>
  <c r="D121" i="55" s="1"/>
  <c r="G121" i="55" s="1"/>
  <c r="D122" i="55" a="1"/>
  <c r="D122" i="55" s="1"/>
  <c r="D123" i="55" a="1"/>
  <c r="D123" i="55" s="1"/>
  <c r="K123" i="55" s="1" a="1"/>
  <c r="K123" i="55" s="1"/>
  <c r="D124" i="55" a="1"/>
  <c r="D124" i="55" s="1"/>
  <c r="H124" i="55" s="1"/>
  <c r="D125" i="55" a="1"/>
  <c r="D125" i="55" s="1"/>
  <c r="D126" i="55" a="1"/>
  <c r="D126" i="55" s="1"/>
  <c r="H126" i="55" s="1"/>
  <c r="D127" i="55" a="1"/>
  <c r="D127" i="55" s="1"/>
  <c r="G127" i="55" s="1"/>
  <c r="D128" i="55" a="1"/>
  <c r="D128" i="55" s="1"/>
  <c r="D129" i="55" a="1"/>
  <c r="D129" i="55" s="1"/>
  <c r="D130" i="55" a="1"/>
  <c r="D130" i="55" s="1"/>
  <c r="K130" i="55" s="1" a="1"/>
  <c r="K130" i="55" s="1"/>
  <c r="D131" i="55" a="1"/>
  <c r="D131" i="55" s="1"/>
  <c r="D132" i="55" a="1"/>
  <c r="D132" i="55" s="1"/>
  <c r="H132" i="55" s="1"/>
  <c r="D133" i="55" a="1"/>
  <c r="D133" i="55" s="1"/>
  <c r="H133" i="55" s="1"/>
  <c r="D134" i="55" a="1"/>
  <c r="D134" i="55" s="1"/>
  <c r="H134" i="55" s="1"/>
  <c r="D135" i="55" a="1"/>
  <c r="D135" i="55" s="1"/>
  <c r="D136" i="55" a="1"/>
  <c r="D136" i="55" s="1"/>
  <c r="H136" i="55" s="1"/>
  <c r="D137" i="55" a="1"/>
  <c r="D137" i="55" s="1"/>
  <c r="L137" i="55" s="1" a="1"/>
  <c r="L137" i="55" s="1"/>
  <c r="D138" i="55" a="1"/>
  <c r="D138" i="55" s="1"/>
  <c r="D139" i="55" a="1"/>
  <c r="D139" i="55" s="1"/>
  <c r="J139" i="55"/>
  <c r="D140" i="55" a="1"/>
  <c r="D140" i="55" s="1"/>
  <c r="D141" i="55" a="1"/>
  <c r="D141" i="55" s="1"/>
  <c r="H141" i="55" s="1"/>
  <c r="D142" i="55" a="1"/>
  <c r="D142" i="55" s="1"/>
  <c r="H142" i="55" s="1"/>
  <c r="D143" i="55" a="1"/>
  <c r="D143" i="55" s="1"/>
  <c r="H143" i="55" s="1"/>
  <c r="D145" i="55" a="1"/>
  <c r="D145" i="55" s="1"/>
  <c r="D146" i="55" a="1"/>
  <c r="D146" i="55" s="1"/>
  <c r="G146" i="55" s="1"/>
  <c r="D147" i="55" a="1"/>
  <c r="D147" i="55" s="1"/>
  <c r="G147" i="55" s="1"/>
  <c r="D148" i="55" a="1"/>
  <c r="D148" i="55" s="1"/>
  <c r="H148" i="55" s="1"/>
  <c r="D150" i="55" a="1"/>
  <c r="D150" i="55" s="1"/>
  <c r="H150" i="55" s="1"/>
  <c r="D151" i="55" a="1"/>
  <c r="D151" i="55" s="1"/>
  <c r="H151" i="55" s="1"/>
  <c r="D152" i="55" a="1"/>
  <c r="D152" i="55" s="1"/>
  <c r="L152" i="55" s="1" a="1"/>
  <c r="L152" i="55" s="1"/>
  <c r="D153" i="55" a="1"/>
  <c r="D153" i="55" s="1"/>
  <c r="H153" i="55" s="1"/>
  <c r="D154" i="55" a="1"/>
  <c r="D154" i="55" s="1"/>
  <c r="G154" i="55" s="1"/>
  <c r="D155" i="55" a="1"/>
  <c r="D155" i="55" s="1"/>
  <c r="D156" i="55" a="1"/>
  <c r="D156" i="55" s="1"/>
  <c r="G156" i="55" s="1"/>
  <c r="D157" i="55" a="1"/>
  <c r="D157" i="55" s="1"/>
  <c r="K157" i="55" s="1" a="1"/>
  <c r="K157" i="55" s="1"/>
  <c r="D158" i="55" a="1"/>
  <c r="D158" i="55" s="1"/>
  <c r="D159" i="55" a="1"/>
  <c r="D159" i="55" s="1"/>
  <c r="L159" i="55" s="1" a="1"/>
  <c r="L159" i="55" s="1"/>
  <c r="D160" i="55" a="1"/>
  <c r="D160" i="55" s="1"/>
  <c r="G160" i="55" s="1"/>
  <c r="D161" i="55" a="1"/>
  <c r="D161" i="55" s="1"/>
  <c r="G161" i="55" s="1"/>
  <c r="D162" i="55" a="1"/>
  <c r="D162" i="55" s="1"/>
  <c r="D163" i="55" a="1"/>
  <c r="D163" i="55" s="1"/>
  <c r="G163" i="55" s="1"/>
  <c r="D164" i="55" a="1"/>
  <c r="D164" i="55" s="1"/>
  <c r="D165" i="55" a="1"/>
  <c r="D165" i="55" s="1"/>
  <c r="G165" i="55" s="1"/>
  <c r="D166" i="55" a="1"/>
  <c r="D166" i="55" s="1"/>
  <c r="G166" i="55" s="1"/>
  <c r="D167" i="55" a="1"/>
  <c r="D167" i="55" s="1"/>
  <c r="G167" i="55" s="1"/>
  <c r="D168" i="55" a="1"/>
  <c r="D168" i="55" s="1"/>
  <c r="H168" i="55" s="1"/>
  <c r="D169" i="55" a="1"/>
  <c r="D169" i="55" s="1"/>
  <c r="G169" i="55" s="1"/>
  <c r="D171" i="55" a="1"/>
  <c r="D171" i="55" s="1"/>
  <c r="H171" i="55" s="1"/>
  <c r="D172" i="55" a="1"/>
  <c r="D172" i="55" s="1"/>
  <c r="G172" i="55" s="1"/>
  <c r="D173" i="55" a="1"/>
  <c r="D173" i="55" s="1"/>
  <c r="G173" i="55" s="1"/>
  <c r="D174" i="55" a="1"/>
  <c r="D174" i="55" s="1"/>
  <c r="H174" i="55" s="1"/>
  <c r="D175" i="55" a="1"/>
  <c r="D175" i="55" s="1"/>
  <c r="H175" i="55" s="1"/>
  <c r="D179" i="55" a="1"/>
  <c r="D179" i="55" s="1"/>
  <c r="K179" i="55" s="1" a="1"/>
  <c r="K179" i="55" s="1"/>
  <c r="J179" i="55"/>
  <c r="R179" i="55" s="1"/>
  <c r="D180" i="55" a="1"/>
  <c r="D180" i="55" s="1"/>
  <c r="H180" i="55" s="1"/>
  <c r="D181" i="55" a="1"/>
  <c r="D181" i="55" s="1"/>
  <c r="K181" i="55" s="1" a="1"/>
  <c r="K181" i="55" s="1"/>
  <c r="D182" i="55" a="1"/>
  <c r="D182" i="55" s="1"/>
  <c r="G182" i="55" s="1"/>
  <c r="X1064" i="53"/>
  <c r="G1064" i="53"/>
  <c r="AG1061" i="53"/>
  <c r="S1061" i="53"/>
  <c r="X1061" i="53" s="1"/>
  <c r="G1061" i="53"/>
  <c r="X1060" i="53"/>
  <c r="X1059" i="53"/>
  <c r="X1063" i="53"/>
  <c r="S1017" i="53"/>
  <c r="X1017" i="53" s="1"/>
  <c r="S431" i="53"/>
  <c r="X431" i="53" s="1"/>
  <c r="G431" i="53"/>
  <c r="S1016" i="53"/>
  <c r="X1016" i="53" s="1"/>
  <c r="G1016" i="53"/>
  <c r="S870" i="53"/>
  <c r="X870" i="53" s="1"/>
  <c r="S689" i="53"/>
  <c r="X689" i="53" s="1"/>
  <c r="S401" i="53"/>
  <c r="X401" i="53" s="1"/>
  <c r="S402" i="53"/>
  <c r="X402" i="53" s="1"/>
  <c r="S403" i="53"/>
  <c r="X403" i="53" s="1"/>
  <c r="S404" i="53"/>
  <c r="X404" i="53" s="1"/>
  <c r="S405" i="53"/>
  <c r="X405" i="53" s="1"/>
  <c r="S406" i="53"/>
  <c r="X406" i="53" s="1"/>
  <c r="S407" i="53"/>
  <c r="X407" i="53" s="1"/>
  <c r="S408" i="53"/>
  <c r="X408" i="53" s="1"/>
  <c r="S608" i="53"/>
  <c r="X608" i="53" s="1"/>
  <c r="S609" i="53"/>
  <c r="X609" i="53" s="1"/>
  <c r="S610" i="53"/>
  <c r="X610" i="53" s="1"/>
  <c r="S611" i="53"/>
  <c r="X611" i="53" s="1"/>
  <c r="S612" i="53"/>
  <c r="X612" i="53" s="1"/>
  <c r="S613" i="53"/>
  <c r="X613" i="53" s="1"/>
  <c r="G608" i="53"/>
  <c r="G609" i="53"/>
  <c r="G610" i="53"/>
  <c r="G611" i="53"/>
  <c r="G612" i="53"/>
  <c r="G613" i="53"/>
  <c r="S448" i="53"/>
  <c r="X448" i="53" s="1"/>
  <c r="G447" i="53"/>
  <c r="S179" i="53"/>
  <c r="X179" i="53" s="1"/>
  <c r="G179" i="53"/>
  <c r="S17" i="53"/>
  <c r="X17" i="53" s="1"/>
  <c r="G17" i="53"/>
  <c r="S908" i="53"/>
  <c r="X908" i="53" s="1"/>
  <c r="S1050" i="53"/>
  <c r="X1050" i="53" s="1"/>
  <c r="X7" i="53"/>
  <c r="S8" i="53"/>
  <c r="S9" i="53"/>
  <c r="S10" i="53"/>
  <c r="X10" i="53" s="1"/>
  <c r="S11" i="53"/>
  <c r="X11" i="53" s="1"/>
  <c r="S12" i="53"/>
  <c r="X12" i="53" s="1"/>
  <c r="S13" i="53"/>
  <c r="X13" i="53" s="1"/>
  <c r="S14" i="53"/>
  <c r="X14" i="53" s="1"/>
  <c r="S15" i="53"/>
  <c r="X15" i="53" s="1"/>
  <c r="S18" i="53"/>
  <c r="X18" i="53" s="1"/>
  <c r="S19" i="53"/>
  <c r="X19" i="53" s="1"/>
  <c r="S20" i="53"/>
  <c r="X20" i="53" s="1"/>
  <c r="S21" i="53"/>
  <c r="X21" i="53" s="1"/>
  <c r="S22" i="53"/>
  <c r="X22" i="53" s="1"/>
  <c r="S23" i="53"/>
  <c r="X23" i="53" s="1"/>
  <c r="S24" i="53"/>
  <c r="X24" i="53" s="1"/>
  <c r="S25" i="53"/>
  <c r="X25" i="53" s="1"/>
  <c r="S26" i="53"/>
  <c r="X26" i="53" s="1"/>
  <c r="S27" i="53"/>
  <c r="X27" i="53" s="1"/>
  <c r="S28" i="53"/>
  <c r="X28" i="53" s="1"/>
  <c r="S29" i="53"/>
  <c r="X29" i="53" s="1"/>
  <c r="S30" i="53"/>
  <c r="X30" i="53" s="1"/>
  <c r="S31" i="53"/>
  <c r="X31" i="53" s="1"/>
  <c r="S32" i="53"/>
  <c r="X32" i="53" s="1"/>
  <c r="S33" i="53"/>
  <c r="X33" i="53" s="1"/>
  <c r="S34" i="53"/>
  <c r="X34" i="53" s="1"/>
  <c r="S35" i="53"/>
  <c r="X35" i="53" s="1"/>
  <c r="S36" i="53"/>
  <c r="X36" i="53" s="1"/>
  <c r="S37" i="53"/>
  <c r="X37" i="53" s="1"/>
  <c r="S38" i="53"/>
  <c r="X38" i="53" s="1"/>
  <c r="S39" i="53"/>
  <c r="X39" i="53" s="1"/>
  <c r="S40" i="53"/>
  <c r="X40" i="53" s="1"/>
  <c r="S41" i="53"/>
  <c r="X41" i="53" s="1"/>
  <c r="S42" i="53"/>
  <c r="X42" i="53" s="1"/>
  <c r="S43" i="53"/>
  <c r="X43" i="53" s="1"/>
  <c r="S44" i="53"/>
  <c r="X44" i="53" s="1"/>
  <c r="S45" i="53"/>
  <c r="X45" i="53" s="1"/>
  <c r="S46" i="53"/>
  <c r="X46" i="53" s="1"/>
  <c r="S47" i="53"/>
  <c r="X47" i="53" s="1"/>
  <c r="S48" i="53"/>
  <c r="X48" i="53" s="1"/>
  <c r="S49" i="53"/>
  <c r="X49" i="53" s="1"/>
  <c r="S50" i="53"/>
  <c r="X50" i="53" s="1"/>
  <c r="S51" i="53"/>
  <c r="X51" i="53" s="1"/>
  <c r="S52" i="53"/>
  <c r="X52" i="53" s="1"/>
  <c r="S53" i="53"/>
  <c r="X53" i="53" s="1"/>
  <c r="S54" i="53"/>
  <c r="X54" i="53" s="1"/>
  <c r="S55" i="53"/>
  <c r="X55" i="53" s="1"/>
  <c r="S56" i="53"/>
  <c r="X56" i="53" s="1"/>
  <c r="S57" i="53"/>
  <c r="X57" i="53" s="1"/>
  <c r="S58" i="53"/>
  <c r="X58" i="53" s="1"/>
  <c r="S59" i="53"/>
  <c r="X59" i="53" s="1"/>
  <c r="S60" i="53"/>
  <c r="X60" i="53" s="1"/>
  <c r="S61" i="53"/>
  <c r="X61" i="53" s="1"/>
  <c r="S62" i="53"/>
  <c r="X62" i="53" s="1"/>
  <c r="S63" i="53"/>
  <c r="X63" i="53" s="1"/>
  <c r="S64" i="53"/>
  <c r="X64" i="53" s="1"/>
  <c r="S65" i="53"/>
  <c r="X65" i="53" s="1"/>
  <c r="S66" i="53"/>
  <c r="X66" i="53" s="1"/>
  <c r="S67" i="53"/>
  <c r="X67" i="53" s="1"/>
  <c r="S68" i="53"/>
  <c r="X68" i="53" s="1"/>
  <c r="S69" i="53"/>
  <c r="X69" i="53" s="1"/>
  <c r="S70" i="53"/>
  <c r="X70" i="53" s="1"/>
  <c r="S71" i="53"/>
  <c r="X71" i="53" s="1"/>
  <c r="S72" i="53"/>
  <c r="X72" i="53" s="1"/>
  <c r="S73" i="53"/>
  <c r="X73" i="53" s="1"/>
  <c r="S74" i="53"/>
  <c r="X74" i="53" s="1"/>
  <c r="S75" i="53"/>
  <c r="X75" i="53" s="1"/>
  <c r="S76" i="53"/>
  <c r="X76" i="53" s="1"/>
  <c r="S77" i="53"/>
  <c r="X77" i="53" s="1"/>
  <c r="S78" i="53"/>
  <c r="X78" i="53" s="1"/>
  <c r="S79" i="53"/>
  <c r="X79" i="53" s="1"/>
  <c r="S80" i="53"/>
  <c r="X80" i="53" s="1"/>
  <c r="S81" i="53"/>
  <c r="X81" i="53" s="1"/>
  <c r="S82" i="53"/>
  <c r="X82" i="53" s="1"/>
  <c r="S83" i="53"/>
  <c r="X83" i="53" s="1"/>
  <c r="S84" i="53"/>
  <c r="X84" i="53" s="1"/>
  <c r="S85" i="53"/>
  <c r="X85" i="53" s="1"/>
  <c r="S86" i="53"/>
  <c r="X86" i="53" s="1"/>
  <c r="S87" i="53"/>
  <c r="X87" i="53" s="1"/>
  <c r="S88" i="53"/>
  <c r="X88" i="53" s="1"/>
  <c r="S89" i="53"/>
  <c r="X89" i="53" s="1"/>
  <c r="S90" i="53"/>
  <c r="X90" i="53" s="1"/>
  <c r="S91" i="53"/>
  <c r="X91" i="53" s="1"/>
  <c r="S92" i="53"/>
  <c r="X92" i="53" s="1"/>
  <c r="S93" i="53"/>
  <c r="X93" i="53" s="1"/>
  <c r="S94" i="53"/>
  <c r="X94" i="53" s="1"/>
  <c r="S95" i="53"/>
  <c r="X95" i="53" s="1"/>
  <c r="S96" i="53"/>
  <c r="X96" i="53" s="1"/>
  <c r="S97" i="53"/>
  <c r="X97" i="53" s="1"/>
  <c r="S98" i="53"/>
  <c r="X98" i="53" s="1"/>
  <c r="S99" i="53"/>
  <c r="X99" i="53" s="1"/>
  <c r="S100" i="53"/>
  <c r="X100" i="53" s="1"/>
  <c r="S101" i="53"/>
  <c r="X101" i="53" s="1"/>
  <c r="S102" i="53"/>
  <c r="X102" i="53" s="1"/>
  <c r="S103" i="53"/>
  <c r="X103" i="53" s="1"/>
  <c r="S104" i="53"/>
  <c r="X104" i="53" s="1"/>
  <c r="S105" i="53"/>
  <c r="X105" i="53" s="1"/>
  <c r="S106" i="53"/>
  <c r="X106" i="53" s="1"/>
  <c r="S107" i="53"/>
  <c r="X107" i="53" s="1"/>
  <c r="S108" i="53"/>
  <c r="X108" i="53" s="1"/>
  <c r="S109" i="53"/>
  <c r="X109" i="53" s="1"/>
  <c r="S110" i="53"/>
  <c r="X110" i="53" s="1"/>
  <c r="S111" i="53"/>
  <c r="X111" i="53" s="1"/>
  <c r="S112" i="53"/>
  <c r="X112" i="53" s="1"/>
  <c r="S113" i="53"/>
  <c r="X113" i="53" s="1"/>
  <c r="S114" i="53"/>
  <c r="X114" i="53" s="1"/>
  <c r="S115" i="53"/>
  <c r="X115" i="53" s="1"/>
  <c r="S116" i="53"/>
  <c r="X116" i="53" s="1"/>
  <c r="S117" i="53"/>
  <c r="X117" i="53" s="1"/>
  <c r="S118" i="53"/>
  <c r="X118" i="53" s="1"/>
  <c r="S119" i="53"/>
  <c r="X119" i="53" s="1"/>
  <c r="S120" i="53"/>
  <c r="X120" i="53" s="1"/>
  <c r="S121" i="53"/>
  <c r="X121" i="53" s="1"/>
  <c r="S122" i="53"/>
  <c r="X122" i="53" s="1"/>
  <c r="S123" i="53"/>
  <c r="X123" i="53" s="1"/>
  <c r="S124" i="53"/>
  <c r="X124" i="53" s="1"/>
  <c r="S125" i="53"/>
  <c r="X125" i="53" s="1"/>
  <c r="S126" i="53"/>
  <c r="X126" i="53" s="1"/>
  <c r="S127" i="53"/>
  <c r="X127" i="53" s="1"/>
  <c r="S128" i="53"/>
  <c r="X128" i="53" s="1"/>
  <c r="S129" i="53"/>
  <c r="X129" i="53" s="1"/>
  <c r="S130" i="53"/>
  <c r="X130" i="53" s="1"/>
  <c r="S131" i="53"/>
  <c r="X131" i="53" s="1"/>
  <c r="S132" i="53"/>
  <c r="X132" i="53" s="1"/>
  <c r="S133" i="53"/>
  <c r="X133" i="53" s="1"/>
  <c r="S134" i="53"/>
  <c r="X134" i="53" s="1"/>
  <c r="S135" i="53"/>
  <c r="X135" i="53" s="1"/>
  <c r="S136" i="53"/>
  <c r="X136" i="53" s="1"/>
  <c r="S137" i="53"/>
  <c r="X137" i="53" s="1"/>
  <c r="S138" i="53"/>
  <c r="X138" i="53" s="1"/>
  <c r="S139" i="53"/>
  <c r="X139" i="53" s="1"/>
  <c r="S140" i="53"/>
  <c r="X140" i="53" s="1"/>
  <c r="S141" i="53"/>
  <c r="X141" i="53" s="1"/>
  <c r="S142" i="53"/>
  <c r="X142" i="53" s="1"/>
  <c r="S143" i="53"/>
  <c r="X143" i="53" s="1"/>
  <c r="S144" i="53"/>
  <c r="X144" i="53" s="1"/>
  <c r="S145" i="53"/>
  <c r="X145" i="53" s="1"/>
  <c r="S146" i="53"/>
  <c r="X146" i="53" s="1"/>
  <c r="S147" i="53"/>
  <c r="X147" i="53" s="1"/>
  <c r="S148" i="53"/>
  <c r="X148" i="53" s="1"/>
  <c r="S149" i="53"/>
  <c r="X149" i="53" s="1"/>
  <c r="S150" i="53"/>
  <c r="X150" i="53" s="1"/>
  <c r="S151" i="53"/>
  <c r="X151" i="53" s="1"/>
  <c r="S152" i="53"/>
  <c r="X152" i="53" s="1"/>
  <c r="S153" i="53"/>
  <c r="X153" i="53" s="1"/>
  <c r="S154" i="53"/>
  <c r="X154" i="53" s="1"/>
  <c r="S155" i="53"/>
  <c r="X155" i="53" s="1"/>
  <c r="S156" i="53"/>
  <c r="X156" i="53" s="1"/>
  <c r="S157" i="53"/>
  <c r="X157" i="53" s="1"/>
  <c r="S158" i="53"/>
  <c r="X158" i="53" s="1"/>
  <c r="S159" i="53"/>
  <c r="X159" i="53" s="1"/>
  <c r="S160" i="53"/>
  <c r="X160" i="53" s="1"/>
  <c r="S161" i="53"/>
  <c r="X161" i="53" s="1"/>
  <c r="S162" i="53"/>
  <c r="X162" i="53" s="1"/>
  <c r="S163" i="53"/>
  <c r="X163" i="53" s="1"/>
  <c r="S164" i="53"/>
  <c r="X164" i="53" s="1"/>
  <c r="S165" i="53"/>
  <c r="X165" i="53" s="1"/>
  <c r="S166" i="53"/>
  <c r="X166" i="53" s="1"/>
  <c r="S167" i="53"/>
  <c r="X167" i="53" s="1"/>
  <c r="S168" i="53"/>
  <c r="X168" i="53" s="1"/>
  <c r="S169" i="53"/>
  <c r="X169" i="53" s="1"/>
  <c r="S170" i="53"/>
  <c r="X170" i="53" s="1"/>
  <c r="S171" i="53"/>
  <c r="X171" i="53" s="1"/>
  <c r="S172" i="53"/>
  <c r="X172" i="53" s="1"/>
  <c r="S173" i="53"/>
  <c r="X173" i="53" s="1"/>
  <c r="S174" i="53"/>
  <c r="X174" i="53" s="1"/>
  <c r="S175" i="53"/>
  <c r="X175" i="53" s="1"/>
  <c r="S176" i="53"/>
  <c r="X176" i="53" s="1"/>
  <c r="S177" i="53"/>
  <c r="X177" i="53" s="1"/>
  <c r="S178" i="53"/>
  <c r="X178" i="53" s="1"/>
  <c r="S180" i="53"/>
  <c r="X180" i="53" s="1"/>
  <c r="S181" i="53"/>
  <c r="X181" i="53" s="1"/>
  <c r="S182" i="53"/>
  <c r="X182" i="53" s="1"/>
  <c r="S183" i="53"/>
  <c r="X183" i="53" s="1"/>
  <c r="S184" i="53"/>
  <c r="X184" i="53" s="1"/>
  <c r="S185" i="53"/>
  <c r="X185" i="53" s="1"/>
  <c r="S186" i="53"/>
  <c r="X186" i="53" s="1"/>
  <c r="S187" i="53"/>
  <c r="X187" i="53" s="1"/>
  <c r="S188" i="53"/>
  <c r="X188" i="53" s="1"/>
  <c r="S189" i="53"/>
  <c r="X189" i="53" s="1"/>
  <c r="S190" i="53"/>
  <c r="X190" i="53" s="1"/>
  <c r="S191" i="53"/>
  <c r="X191" i="53" s="1"/>
  <c r="S192" i="53"/>
  <c r="X192" i="53" s="1"/>
  <c r="S193" i="53"/>
  <c r="X193" i="53" s="1"/>
  <c r="S194" i="53"/>
  <c r="X194" i="53" s="1"/>
  <c r="S196" i="53"/>
  <c r="X196" i="53" s="1"/>
  <c r="S197" i="53"/>
  <c r="X197" i="53" s="1"/>
  <c r="S198" i="53"/>
  <c r="X198" i="53" s="1"/>
  <c r="S199" i="53"/>
  <c r="X199" i="53" s="1"/>
  <c r="S200" i="53"/>
  <c r="X200" i="53" s="1"/>
  <c r="S201" i="53"/>
  <c r="X201" i="53" s="1"/>
  <c r="S202" i="53"/>
  <c r="X202" i="53" s="1"/>
  <c r="S203" i="53"/>
  <c r="X203" i="53" s="1"/>
  <c r="S204" i="53"/>
  <c r="X204" i="53" s="1"/>
  <c r="S205" i="53"/>
  <c r="X205" i="53" s="1"/>
  <c r="S206" i="53"/>
  <c r="X206" i="53" s="1"/>
  <c r="S207" i="53"/>
  <c r="X207" i="53" s="1"/>
  <c r="S208" i="53"/>
  <c r="X208" i="53" s="1"/>
  <c r="S209" i="53"/>
  <c r="X209" i="53" s="1"/>
  <c r="S210" i="53"/>
  <c r="X210" i="53" s="1"/>
  <c r="S211" i="53"/>
  <c r="X211" i="53" s="1"/>
  <c r="S212" i="53"/>
  <c r="X212" i="53" s="1"/>
  <c r="S213" i="53"/>
  <c r="X213" i="53" s="1"/>
  <c r="S214" i="53"/>
  <c r="X214" i="53" s="1"/>
  <c r="S215" i="53"/>
  <c r="X215" i="53" s="1"/>
  <c r="S216" i="53"/>
  <c r="X216" i="53" s="1"/>
  <c r="S217" i="53"/>
  <c r="X217" i="53" s="1"/>
  <c r="S218" i="53"/>
  <c r="X218" i="53" s="1"/>
  <c r="S219" i="53"/>
  <c r="X219" i="53" s="1"/>
  <c r="S220" i="53"/>
  <c r="X220" i="53" s="1"/>
  <c r="S221" i="53"/>
  <c r="X221" i="53" s="1"/>
  <c r="S222" i="53"/>
  <c r="X222" i="53" s="1"/>
  <c r="S223" i="53"/>
  <c r="X223" i="53" s="1"/>
  <c r="S224" i="53"/>
  <c r="X224" i="53" s="1"/>
  <c r="S225" i="53"/>
  <c r="X225" i="53" s="1"/>
  <c r="S226" i="53"/>
  <c r="X226" i="53" s="1"/>
  <c r="S227" i="53"/>
  <c r="X227" i="53" s="1"/>
  <c r="S228" i="53"/>
  <c r="X228" i="53" s="1"/>
  <c r="S229" i="53"/>
  <c r="X229" i="53" s="1"/>
  <c r="S230" i="53"/>
  <c r="X230" i="53" s="1"/>
  <c r="S231" i="53"/>
  <c r="X231" i="53" s="1"/>
  <c r="S232" i="53"/>
  <c r="X232" i="53" s="1"/>
  <c r="S233" i="53"/>
  <c r="X233" i="53" s="1"/>
  <c r="S234" i="53"/>
  <c r="X234" i="53" s="1"/>
  <c r="S235" i="53"/>
  <c r="X235" i="53" s="1"/>
  <c r="S236" i="53"/>
  <c r="X236" i="53" s="1"/>
  <c r="S237" i="53"/>
  <c r="X237" i="53" s="1"/>
  <c r="S238" i="53"/>
  <c r="X238" i="53" s="1"/>
  <c r="S239" i="53"/>
  <c r="X239" i="53" s="1"/>
  <c r="S240" i="53"/>
  <c r="X240" i="53" s="1"/>
  <c r="S241" i="53"/>
  <c r="X241" i="53" s="1"/>
  <c r="S242" i="53"/>
  <c r="X242" i="53" s="1"/>
  <c r="S243" i="53"/>
  <c r="X243" i="53" s="1"/>
  <c r="S244" i="53"/>
  <c r="X244" i="53" s="1"/>
  <c r="S245" i="53"/>
  <c r="X245" i="53" s="1"/>
  <c r="S246" i="53"/>
  <c r="X246" i="53" s="1"/>
  <c r="S247" i="53"/>
  <c r="X247" i="53" s="1"/>
  <c r="S248" i="53"/>
  <c r="X248" i="53" s="1"/>
  <c r="S249" i="53"/>
  <c r="X249" i="53" s="1"/>
  <c r="S250" i="53"/>
  <c r="X250" i="53" s="1"/>
  <c r="S251" i="53"/>
  <c r="X251" i="53" s="1"/>
  <c r="S252" i="53"/>
  <c r="X252" i="53" s="1"/>
  <c r="S253" i="53"/>
  <c r="X253" i="53" s="1"/>
  <c r="S254" i="53"/>
  <c r="X254" i="53" s="1"/>
  <c r="S255" i="53"/>
  <c r="X255" i="53" s="1"/>
  <c r="S256" i="53"/>
  <c r="X256" i="53" s="1"/>
  <c r="S257" i="53"/>
  <c r="X257" i="53" s="1"/>
  <c r="S258" i="53"/>
  <c r="X258" i="53" s="1"/>
  <c r="S259" i="53"/>
  <c r="X259" i="53" s="1"/>
  <c r="S260" i="53"/>
  <c r="X260" i="53" s="1"/>
  <c r="S261" i="53"/>
  <c r="X261" i="53" s="1"/>
  <c r="S262" i="53"/>
  <c r="X262" i="53" s="1"/>
  <c r="S263" i="53"/>
  <c r="X263" i="53" s="1"/>
  <c r="S264" i="53"/>
  <c r="X264" i="53" s="1"/>
  <c r="S265" i="53"/>
  <c r="X265" i="53" s="1"/>
  <c r="S266" i="53"/>
  <c r="X266" i="53" s="1"/>
  <c r="S267" i="53"/>
  <c r="X267" i="53" s="1"/>
  <c r="S268" i="53"/>
  <c r="X268" i="53" s="1"/>
  <c r="S269" i="53"/>
  <c r="X269" i="53" s="1"/>
  <c r="S270" i="53"/>
  <c r="X270" i="53" s="1"/>
  <c r="S271" i="53"/>
  <c r="X271" i="53" s="1"/>
  <c r="S272" i="53"/>
  <c r="X272" i="53" s="1"/>
  <c r="S273" i="53"/>
  <c r="X273" i="53" s="1"/>
  <c r="S274" i="53"/>
  <c r="X274" i="53" s="1"/>
  <c r="S275" i="53"/>
  <c r="X275" i="53" s="1"/>
  <c r="S276" i="53"/>
  <c r="X276" i="53" s="1"/>
  <c r="S277" i="53"/>
  <c r="X277" i="53" s="1"/>
  <c r="S278" i="53"/>
  <c r="X278" i="53" s="1"/>
  <c r="S279" i="53"/>
  <c r="X279" i="53" s="1"/>
  <c r="S280" i="53"/>
  <c r="X280" i="53" s="1"/>
  <c r="S281" i="53"/>
  <c r="X281" i="53" s="1"/>
  <c r="S282" i="53"/>
  <c r="X282" i="53" s="1"/>
  <c r="S283" i="53"/>
  <c r="X283" i="53" s="1"/>
  <c r="S284" i="53"/>
  <c r="X284" i="53" s="1"/>
  <c r="S285" i="53"/>
  <c r="X285" i="53" s="1"/>
  <c r="S286" i="53"/>
  <c r="X286" i="53" s="1"/>
  <c r="S287" i="53"/>
  <c r="X287" i="53" s="1"/>
  <c r="S288" i="53"/>
  <c r="X288" i="53" s="1"/>
  <c r="S289" i="53"/>
  <c r="X289" i="53" s="1"/>
  <c r="S290" i="53"/>
  <c r="X290" i="53" s="1"/>
  <c r="S291" i="53"/>
  <c r="X291" i="53" s="1"/>
  <c r="S292" i="53"/>
  <c r="X292" i="53" s="1"/>
  <c r="S293" i="53"/>
  <c r="X293" i="53" s="1"/>
  <c r="S294" i="53"/>
  <c r="X294" i="53" s="1"/>
  <c r="S295" i="53"/>
  <c r="X295" i="53" s="1"/>
  <c r="S296" i="53"/>
  <c r="X296" i="53" s="1"/>
  <c r="S297" i="53"/>
  <c r="X297" i="53" s="1"/>
  <c r="S298" i="53"/>
  <c r="X298" i="53" s="1"/>
  <c r="S299" i="53"/>
  <c r="X299" i="53" s="1"/>
  <c r="S300" i="53"/>
  <c r="X300" i="53" s="1"/>
  <c r="S301" i="53"/>
  <c r="X301" i="53" s="1"/>
  <c r="S302" i="53"/>
  <c r="X302" i="53" s="1"/>
  <c r="S303" i="53"/>
  <c r="X303" i="53" s="1"/>
  <c r="S304" i="53"/>
  <c r="X304" i="53" s="1"/>
  <c r="S305" i="53"/>
  <c r="X305" i="53" s="1"/>
  <c r="S306" i="53"/>
  <c r="X306" i="53" s="1"/>
  <c r="S307" i="53"/>
  <c r="X307" i="53" s="1"/>
  <c r="S308" i="53"/>
  <c r="X308" i="53" s="1"/>
  <c r="S309" i="53"/>
  <c r="X309" i="53" s="1"/>
  <c r="S310" i="53"/>
  <c r="X310" i="53" s="1"/>
  <c r="S311" i="53"/>
  <c r="X311" i="53" s="1"/>
  <c r="S312" i="53"/>
  <c r="X312" i="53" s="1"/>
  <c r="S313" i="53"/>
  <c r="X313" i="53" s="1"/>
  <c r="S314" i="53"/>
  <c r="X314" i="53" s="1"/>
  <c r="S315" i="53"/>
  <c r="X315" i="53" s="1"/>
  <c r="S316" i="53"/>
  <c r="X316" i="53" s="1"/>
  <c r="S317" i="53"/>
  <c r="X317" i="53" s="1"/>
  <c r="S318" i="53"/>
  <c r="X318" i="53" s="1"/>
  <c r="S319" i="53"/>
  <c r="X319" i="53" s="1"/>
  <c r="S320" i="53"/>
  <c r="X320" i="53" s="1"/>
  <c r="S321" i="53"/>
  <c r="X321" i="53" s="1"/>
  <c r="S322" i="53"/>
  <c r="X322" i="53" s="1"/>
  <c r="S323" i="53"/>
  <c r="X323" i="53" s="1"/>
  <c r="S324" i="53"/>
  <c r="X324" i="53" s="1"/>
  <c r="S325" i="53"/>
  <c r="X325" i="53" s="1"/>
  <c r="S326" i="53"/>
  <c r="X326" i="53" s="1"/>
  <c r="S327" i="53"/>
  <c r="X327" i="53" s="1"/>
  <c r="S328" i="53"/>
  <c r="X328" i="53" s="1"/>
  <c r="S329" i="53"/>
  <c r="X329" i="53" s="1"/>
  <c r="S330" i="53"/>
  <c r="X330" i="53" s="1"/>
  <c r="S331" i="53"/>
  <c r="X331" i="53" s="1"/>
  <c r="S332" i="53"/>
  <c r="X332" i="53" s="1"/>
  <c r="S333" i="53"/>
  <c r="X333" i="53" s="1"/>
  <c r="S334" i="53"/>
  <c r="X334" i="53" s="1"/>
  <c r="S335" i="53"/>
  <c r="X335" i="53" s="1"/>
  <c r="S336" i="53"/>
  <c r="X336" i="53" s="1"/>
  <c r="S337" i="53"/>
  <c r="X337" i="53" s="1"/>
  <c r="S338" i="53"/>
  <c r="X338" i="53" s="1"/>
  <c r="S339" i="53"/>
  <c r="X339" i="53" s="1"/>
  <c r="S342" i="53"/>
  <c r="X342" i="53" s="1"/>
  <c r="S343" i="53"/>
  <c r="X343" i="53" s="1"/>
  <c r="S344" i="53"/>
  <c r="X344" i="53" s="1"/>
  <c r="S345" i="53"/>
  <c r="X345" i="53" s="1"/>
  <c r="S346" i="53"/>
  <c r="X346" i="53" s="1"/>
  <c r="S347" i="53"/>
  <c r="X347" i="53" s="1"/>
  <c r="S348" i="53"/>
  <c r="X348" i="53" s="1"/>
  <c r="S349" i="53"/>
  <c r="X349" i="53" s="1"/>
  <c r="S350" i="53"/>
  <c r="X350" i="53" s="1"/>
  <c r="S351" i="53"/>
  <c r="X351" i="53" s="1"/>
  <c r="S352" i="53"/>
  <c r="X352" i="53" s="1"/>
  <c r="S353" i="53"/>
  <c r="X353" i="53" s="1"/>
  <c r="S354" i="53"/>
  <c r="X354" i="53" s="1"/>
  <c r="S355" i="53"/>
  <c r="X355" i="53" s="1"/>
  <c r="S356" i="53"/>
  <c r="X356" i="53" s="1"/>
  <c r="S357" i="53"/>
  <c r="X357" i="53" s="1"/>
  <c r="S358" i="53"/>
  <c r="X358" i="53" s="1"/>
  <c r="S359" i="53"/>
  <c r="X359" i="53" s="1"/>
  <c r="S360" i="53"/>
  <c r="X360" i="53" s="1"/>
  <c r="S361" i="53"/>
  <c r="X361" i="53" s="1"/>
  <c r="S362" i="53"/>
  <c r="X362" i="53" s="1"/>
  <c r="S363" i="53"/>
  <c r="X363" i="53" s="1"/>
  <c r="S364" i="53"/>
  <c r="X364" i="53" s="1"/>
  <c r="S365" i="53"/>
  <c r="X365" i="53" s="1"/>
  <c r="S366" i="53"/>
  <c r="X366" i="53" s="1"/>
  <c r="S367" i="53"/>
  <c r="X367" i="53" s="1"/>
  <c r="S368" i="53"/>
  <c r="X368" i="53" s="1"/>
  <c r="S369" i="53"/>
  <c r="X369" i="53" s="1"/>
  <c r="S370" i="53"/>
  <c r="X370" i="53" s="1"/>
  <c r="S371" i="53"/>
  <c r="X371" i="53" s="1"/>
  <c r="S372" i="53"/>
  <c r="X372" i="53" s="1"/>
  <c r="S373" i="53"/>
  <c r="X373" i="53" s="1"/>
  <c r="S374" i="53"/>
  <c r="X374" i="53" s="1"/>
  <c r="S375" i="53"/>
  <c r="X375" i="53" s="1"/>
  <c r="S376" i="53"/>
  <c r="X376" i="53" s="1"/>
  <c r="S377" i="53"/>
  <c r="X377" i="53" s="1"/>
  <c r="S378" i="53"/>
  <c r="X378" i="53" s="1"/>
  <c r="S379" i="53"/>
  <c r="X379" i="53" s="1"/>
  <c r="S380" i="53"/>
  <c r="X380" i="53" s="1"/>
  <c r="S381" i="53"/>
  <c r="X381" i="53" s="1"/>
  <c r="S382" i="53"/>
  <c r="X382" i="53" s="1"/>
  <c r="S383" i="53"/>
  <c r="X383" i="53" s="1"/>
  <c r="S384" i="53"/>
  <c r="X384" i="53" s="1"/>
  <c r="S385" i="53"/>
  <c r="X385" i="53" s="1"/>
  <c r="S386" i="53"/>
  <c r="X386" i="53" s="1"/>
  <c r="S387" i="53"/>
  <c r="X387" i="53" s="1"/>
  <c r="S388" i="53"/>
  <c r="X388" i="53" s="1"/>
  <c r="S389" i="53"/>
  <c r="X389" i="53" s="1"/>
  <c r="S390" i="53"/>
  <c r="X390" i="53" s="1"/>
  <c r="S391" i="53"/>
  <c r="X391" i="53" s="1"/>
  <c r="S392" i="53"/>
  <c r="X392" i="53" s="1"/>
  <c r="S393" i="53"/>
  <c r="X393" i="53" s="1"/>
  <c r="S394" i="53"/>
  <c r="X394" i="53" s="1"/>
  <c r="S395" i="53"/>
  <c r="X395" i="53" s="1"/>
  <c r="S396" i="53"/>
  <c r="X396" i="53" s="1"/>
  <c r="S397" i="53"/>
  <c r="X397" i="53" s="1"/>
  <c r="S398" i="53"/>
  <c r="X398" i="53" s="1"/>
  <c r="S399" i="53"/>
  <c r="X399" i="53" s="1"/>
  <c r="S400" i="53"/>
  <c r="X400" i="53" s="1"/>
  <c r="S409" i="53"/>
  <c r="X409" i="53" s="1"/>
  <c r="S410" i="53"/>
  <c r="X410" i="53" s="1"/>
  <c r="S411" i="53"/>
  <c r="X411" i="53" s="1"/>
  <c r="S412" i="53"/>
  <c r="X412" i="53" s="1"/>
  <c r="S413" i="53"/>
  <c r="X413" i="53" s="1"/>
  <c r="S414" i="53"/>
  <c r="X414" i="53" s="1"/>
  <c r="S415" i="53"/>
  <c r="X415" i="53" s="1"/>
  <c r="S416" i="53"/>
  <c r="X416" i="53" s="1"/>
  <c r="S417" i="53"/>
  <c r="X417" i="53" s="1"/>
  <c r="S418" i="53"/>
  <c r="X418" i="53" s="1"/>
  <c r="S419" i="53"/>
  <c r="X419" i="53" s="1"/>
  <c r="S420" i="53"/>
  <c r="X420" i="53" s="1"/>
  <c r="S421" i="53"/>
  <c r="X421" i="53" s="1"/>
  <c r="S422" i="53"/>
  <c r="X422" i="53" s="1"/>
  <c r="S423" i="53"/>
  <c r="X423" i="53" s="1"/>
  <c r="S424" i="53"/>
  <c r="X424" i="53" s="1"/>
  <c r="S425" i="53"/>
  <c r="X425" i="53" s="1"/>
  <c r="S426" i="53"/>
  <c r="X426" i="53" s="1"/>
  <c r="S427" i="53"/>
  <c r="X427" i="53" s="1"/>
  <c r="S428" i="53"/>
  <c r="X428" i="53" s="1"/>
  <c r="S429" i="53"/>
  <c r="X429" i="53" s="1"/>
  <c r="S430" i="53"/>
  <c r="X430" i="53" s="1"/>
  <c r="S433" i="53"/>
  <c r="X433" i="53" s="1"/>
  <c r="S434" i="53"/>
  <c r="X434" i="53" s="1"/>
  <c r="S435" i="53"/>
  <c r="X435" i="53" s="1"/>
  <c r="S436" i="53"/>
  <c r="X436" i="53" s="1"/>
  <c r="S437" i="53"/>
  <c r="X437" i="53" s="1"/>
  <c r="S438" i="53"/>
  <c r="X438" i="53" s="1"/>
  <c r="S439" i="53"/>
  <c r="X439" i="53" s="1"/>
  <c r="S440" i="53"/>
  <c r="X440" i="53" s="1"/>
  <c r="S441" i="53"/>
  <c r="X441" i="53" s="1"/>
  <c r="S442" i="53"/>
  <c r="X442" i="53" s="1"/>
  <c r="S443" i="53"/>
  <c r="X443" i="53" s="1"/>
  <c r="S444" i="53"/>
  <c r="X444" i="53" s="1"/>
  <c r="S445" i="53"/>
  <c r="X445" i="53" s="1"/>
  <c r="S449" i="53"/>
  <c r="X449" i="53" s="1"/>
  <c r="S450" i="53"/>
  <c r="X450" i="53" s="1"/>
  <c r="S451" i="53"/>
  <c r="X451" i="53" s="1"/>
  <c r="S452" i="53"/>
  <c r="X452" i="53" s="1"/>
  <c r="S453" i="53"/>
  <c r="X453" i="53" s="1"/>
  <c r="S454" i="53"/>
  <c r="X454" i="53" s="1"/>
  <c r="S455" i="53"/>
  <c r="X455" i="53" s="1"/>
  <c r="S456" i="53"/>
  <c r="X456" i="53" s="1"/>
  <c r="S457" i="53"/>
  <c r="X457" i="53" s="1"/>
  <c r="S458" i="53"/>
  <c r="X458" i="53" s="1"/>
  <c r="S459" i="53"/>
  <c r="X459" i="53" s="1"/>
  <c r="S460" i="53"/>
  <c r="X460" i="53" s="1"/>
  <c r="S461" i="53"/>
  <c r="X461" i="53" s="1"/>
  <c r="S462" i="53"/>
  <c r="X462" i="53" s="1"/>
  <c r="S463" i="53"/>
  <c r="X463" i="53" s="1"/>
  <c r="S464" i="53"/>
  <c r="X464" i="53" s="1"/>
  <c r="S465" i="53"/>
  <c r="X465" i="53" s="1"/>
  <c r="S466" i="53"/>
  <c r="X466" i="53" s="1"/>
  <c r="S467" i="53"/>
  <c r="X467" i="53" s="1"/>
  <c r="S468" i="53"/>
  <c r="X468" i="53" s="1"/>
  <c r="S469" i="53"/>
  <c r="X469" i="53" s="1"/>
  <c r="S470" i="53"/>
  <c r="X470" i="53" s="1"/>
  <c r="S471" i="53"/>
  <c r="X471" i="53" s="1"/>
  <c r="S472" i="53"/>
  <c r="X472" i="53" s="1"/>
  <c r="S473" i="53"/>
  <c r="X473" i="53" s="1"/>
  <c r="S474" i="53"/>
  <c r="X474" i="53" s="1"/>
  <c r="S475" i="53"/>
  <c r="X475" i="53" s="1"/>
  <c r="S476" i="53"/>
  <c r="X476" i="53" s="1"/>
  <c r="S477" i="53"/>
  <c r="X477" i="53" s="1"/>
  <c r="S478" i="53"/>
  <c r="X478" i="53" s="1"/>
  <c r="S479" i="53"/>
  <c r="X479" i="53" s="1"/>
  <c r="S480" i="53"/>
  <c r="X480" i="53" s="1"/>
  <c r="S481" i="53"/>
  <c r="X481" i="53" s="1"/>
  <c r="S482" i="53"/>
  <c r="X482" i="53" s="1"/>
  <c r="S483" i="53"/>
  <c r="X483" i="53" s="1"/>
  <c r="S484" i="53"/>
  <c r="X484" i="53" s="1"/>
  <c r="S485" i="53"/>
  <c r="X485" i="53" s="1"/>
  <c r="S486" i="53"/>
  <c r="X486" i="53" s="1"/>
  <c r="S487" i="53"/>
  <c r="X487" i="53" s="1"/>
  <c r="S488" i="53"/>
  <c r="X488" i="53" s="1"/>
  <c r="S489" i="53"/>
  <c r="X489" i="53" s="1"/>
  <c r="S490" i="53"/>
  <c r="X490" i="53" s="1"/>
  <c r="S491" i="53"/>
  <c r="X491" i="53" s="1"/>
  <c r="S492" i="53"/>
  <c r="X492" i="53" s="1"/>
  <c r="S493" i="53"/>
  <c r="X493" i="53" s="1"/>
  <c r="S494" i="53"/>
  <c r="X494" i="53" s="1"/>
  <c r="S495" i="53"/>
  <c r="X495" i="53" s="1"/>
  <c r="S496" i="53"/>
  <c r="X496" i="53" s="1"/>
  <c r="S497" i="53"/>
  <c r="X497" i="53" s="1"/>
  <c r="S498" i="53"/>
  <c r="X498" i="53" s="1"/>
  <c r="S499" i="53"/>
  <c r="X499" i="53" s="1"/>
  <c r="S500" i="53"/>
  <c r="X500" i="53" s="1"/>
  <c r="S501" i="53"/>
  <c r="X501" i="53" s="1"/>
  <c r="S502" i="53"/>
  <c r="X502" i="53" s="1"/>
  <c r="S503" i="53"/>
  <c r="X503" i="53" s="1"/>
  <c r="S504" i="53"/>
  <c r="X504" i="53" s="1"/>
  <c r="S505" i="53"/>
  <c r="X505" i="53" s="1"/>
  <c r="S506" i="53"/>
  <c r="X506" i="53" s="1"/>
  <c r="S507" i="53"/>
  <c r="X507" i="53" s="1"/>
  <c r="S508" i="53"/>
  <c r="X508" i="53" s="1"/>
  <c r="S509" i="53"/>
  <c r="X509" i="53" s="1"/>
  <c r="S510" i="53"/>
  <c r="X510" i="53" s="1"/>
  <c r="S511" i="53"/>
  <c r="X511" i="53" s="1"/>
  <c r="S512" i="53"/>
  <c r="X512" i="53" s="1"/>
  <c r="S513" i="53"/>
  <c r="X513" i="53" s="1"/>
  <c r="S514" i="53"/>
  <c r="X514" i="53" s="1"/>
  <c r="S515" i="53"/>
  <c r="X515" i="53" s="1"/>
  <c r="S516" i="53"/>
  <c r="X516" i="53" s="1"/>
  <c r="S517" i="53"/>
  <c r="X517" i="53" s="1"/>
  <c r="S518" i="53"/>
  <c r="X518" i="53" s="1"/>
  <c r="S519" i="53"/>
  <c r="X519" i="53" s="1"/>
  <c r="S520" i="53"/>
  <c r="X520" i="53" s="1"/>
  <c r="S521" i="53"/>
  <c r="X521" i="53" s="1"/>
  <c r="S522" i="53"/>
  <c r="X522" i="53" s="1"/>
  <c r="S523" i="53"/>
  <c r="X523" i="53" s="1"/>
  <c r="S524" i="53"/>
  <c r="X524" i="53" s="1"/>
  <c r="S525" i="53"/>
  <c r="X525" i="53" s="1"/>
  <c r="S526" i="53"/>
  <c r="X526" i="53" s="1"/>
  <c r="S527" i="53"/>
  <c r="X527" i="53" s="1"/>
  <c r="S528" i="53"/>
  <c r="X528" i="53" s="1"/>
  <c r="S529" i="53"/>
  <c r="X529" i="53" s="1"/>
  <c r="S530" i="53"/>
  <c r="X530" i="53" s="1"/>
  <c r="S531" i="53"/>
  <c r="X531" i="53" s="1"/>
  <c r="S532" i="53"/>
  <c r="X532" i="53" s="1"/>
  <c r="S533" i="53"/>
  <c r="X533" i="53" s="1"/>
  <c r="S534" i="53"/>
  <c r="X534" i="53" s="1"/>
  <c r="S535" i="53"/>
  <c r="X535" i="53" s="1"/>
  <c r="S536" i="53"/>
  <c r="X536" i="53" s="1"/>
  <c r="S537" i="53"/>
  <c r="X537" i="53" s="1"/>
  <c r="S538" i="53"/>
  <c r="X538" i="53" s="1"/>
  <c r="S539" i="53"/>
  <c r="X539" i="53" s="1"/>
  <c r="S540" i="53"/>
  <c r="X540" i="53" s="1"/>
  <c r="S541" i="53"/>
  <c r="X541" i="53" s="1"/>
  <c r="S542" i="53"/>
  <c r="X542" i="53" s="1"/>
  <c r="S543" i="53"/>
  <c r="X543" i="53" s="1"/>
  <c r="S544" i="53"/>
  <c r="X544" i="53" s="1"/>
  <c r="S545" i="53"/>
  <c r="X545" i="53" s="1"/>
  <c r="S546" i="53"/>
  <c r="X546" i="53" s="1"/>
  <c r="S547" i="53"/>
  <c r="X547" i="53" s="1"/>
  <c r="S548" i="53"/>
  <c r="X548" i="53" s="1"/>
  <c r="S549" i="53"/>
  <c r="X549" i="53" s="1"/>
  <c r="S550" i="53"/>
  <c r="X550" i="53" s="1"/>
  <c r="S551" i="53"/>
  <c r="X551" i="53" s="1"/>
  <c r="S552" i="53"/>
  <c r="X552" i="53" s="1"/>
  <c r="S553" i="53"/>
  <c r="X553" i="53" s="1"/>
  <c r="S554" i="53"/>
  <c r="X554" i="53" s="1"/>
  <c r="S555" i="53"/>
  <c r="X555" i="53" s="1"/>
  <c r="S556" i="53"/>
  <c r="X556" i="53" s="1"/>
  <c r="S557" i="53"/>
  <c r="X557" i="53" s="1"/>
  <c r="S558" i="53"/>
  <c r="X558" i="53" s="1"/>
  <c r="S559" i="53"/>
  <c r="X559" i="53" s="1"/>
  <c r="S560" i="53"/>
  <c r="X560" i="53" s="1"/>
  <c r="S561" i="53"/>
  <c r="X561" i="53" s="1"/>
  <c r="S562" i="53"/>
  <c r="X562" i="53" s="1"/>
  <c r="S563" i="53"/>
  <c r="X563" i="53" s="1"/>
  <c r="S564" i="53"/>
  <c r="X564" i="53" s="1"/>
  <c r="S565" i="53"/>
  <c r="X565" i="53" s="1"/>
  <c r="S566" i="53"/>
  <c r="X566" i="53" s="1"/>
  <c r="S567" i="53"/>
  <c r="X567" i="53" s="1"/>
  <c r="S568" i="53"/>
  <c r="X568" i="53" s="1"/>
  <c r="S569" i="53"/>
  <c r="X569" i="53" s="1"/>
  <c r="S570" i="53"/>
  <c r="X570" i="53" s="1"/>
  <c r="S571" i="53"/>
  <c r="X571" i="53" s="1"/>
  <c r="S572" i="53"/>
  <c r="X572" i="53" s="1"/>
  <c r="S573" i="53"/>
  <c r="X573" i="53" s="1"/>
  <c r="S574" i="53"/>
  <c r="X574" i="53" s="1"/>
  <c r="S575" i="53"/>
  <c r="X575" i="53" s="1"/>
  <c r="S576" i="53"/>
  <c r="X576" i="53" s="1"/>
  <c r="S577" i="53"/>
  <c r="X577" i="53" s="1"/>
  <c r="S578" i="53"/>
  <c r="X578" i="53" s="1"/>
  <c r="S579" i="53"/>
  <c r="X579" i="53" s="1"/>
  <c r="S580" i="53"/>
  <c r="X580" i="53" s="1"/>
  <c r="S581" i="53"/>
  <c r="X581" i="53" s="1"/>
  <c r="S582" i="53"/>
  <c r="X582" i="53" s="1"/>
  <c r="S583" i="53"/>
  <c r="X583" i="53" s="1"/>
  <c r="S584" i="53"/>
  <c r="X584" i="53" s="1"/>
  <c r="S585" i="53"/>
  <c r="X585" i="53" s="1"/>
  <c r="S586" i="53"/>
  <c r="X586" i="53" s="1"/>
  <c r="S587" i="53"/>
  <c r="X587" i="53" s="1"/>
  <c r="S588" i="53"/>
  <c r="X588" i="53" s="1"/>
  <c r="S589" i="53"/>
  <c r="X589" i="53" s="1"/>
  <c r="S590" i="53"/>
  <c r="X590" i="53" s="1"/>
  <c r="S591" i="53"/>
  <c r="X591" i="53" s="1"/>
  <c r="S592" i="53"/>
  <c r="X592" i="53" s="1"/>
  <c r="S593" i="53"/>
  <c r="X593" i="53" s="1"/>
  <c r="S594" i="53"/>
  <c r="X594" i="53" s="1"/>
  <c r="S595" i="53"/>
  <c r="X595" i="53" s="1"/>
  <c r="S596" i="53"/>
  <c r="X596" i="53" s="1"/>
  <c r="S597" i="53"/>
  <c r="X597" i="53" s="1"/>
  <c r="S598" i="53"/>
  <c r="X598" i="53" s="1"/>
  <c r="S599" i="53"/>
  <c r="X599" i="53" s="1"/>
  <c r="S600" i="53"/>
  <c r="X600" i="53" s="1"/>
  <c r="S601" i="53"/>
  <c r="X601" i="53" s="1"/>
  <c r="S602" i="53"/>
  <c r="X602" i="53" s="1"/>
  <c r="S603" i="53"/>
  <c r="X603" i="53" s="1"/>
  <c r="S604" i="53"/>
  <c r="X604" i="53" s="1"/>
  <c r="S605" i="53"/>
  <c r="X605" i="53" s="1"/>
  <c r="S606" i="53"/>
  <c r="X606" i="53" s="1"/>
  <c r="S607" i="53"/>
  <c r="X607" i="53" s="1"/>
  <c r="S614" i="53"/>
  <c r="X614" i="53" s="1"/>
  <c r="S615" i="53"/>
  <c r="X615" i="53" s="1"/>
  <c r="S616" i="53"/>
  <c r="X616" i="53" s="1"/>
  <c r="S617" i="53"/>
  <c r="X617" i="53" s="1"/>
  <c r="S618" i="53"/>
  <c r="X618" i="53" s="1"/>
  <c r="S619" i="53"/>
  <c r="X619" i="53" s="1"/>
  <c r="S620" i="53"/>
  <c r="X620" i="53" s="1"/>
  <c r="S621" i="53"/>
  <c r="X621" i="53" s="1"/>
  <c r="S622" i="53"/>
  <c r="X622" i="53" s="1"/>
  <c r="S623" i="53"/>
  <c r="X623" i="53" s="1"/>
  <c r="S624" i="53"/>
  <c r="X624" i="53" s="1"/>
  <c r="S625" i="53"/>
  <c r="X625" i="53" s="1"/>
  <c r="S626" i="53"/>
  <c r="X626" i="53" s="1"/>
  <c r="S627" i="53"/>
  <c r="X627" i="53" s="1"/>
  <c r="S628" i="53"/>
  <c r="X628" i="53" s="1"/>
  <c r="S629" i="53"/>
  <c r="X629" i="53" s="1"/>
  <c r="S630" i="53"/>
  <c r="X630" i="53" s="1"/>
  <c r="S631" i="53"/>
  <c r="X631" i="53" s="1"/>
  <c r="S632" i="53"/>
  <c r="X632" i="53" s="1"/>
  <c r="S633" i="53"/>
  <c r="X633" i="53" s="1"/>
  <c r="S634" i="53"/>
  <c r="X634" i="53" s="1"/>
  <c r="S635" i="53"/>
  <c r="X635" i="53" s="1"/>
  <c r="S636" i="53"/>
  <c r="X636" i="53" s="1"/>
  <c r="S637" i="53"/>
  <c r="X637" i="53" s="1"/>
  <c r="S638" i="53"/>
  <c r="X638" i="53" s="1"/>
  <c r="S639" i="53"/>
  <c r="X639" i="53" s="1"/>
  <c r="S640" i="53"/>
  <c r="X640" i="53" s="1"/>
  <c r="S641" i="53"/>
  <c r="X641" i="53" s="1"/>
  <c r="S642" i="53"/>
  <c r="X642" i="53" s="1"/>
  <c r="S643" i="53"/>
  <c r="X643" i="53" s="1"/>
  <c r="S644" i="53"/>
  <c r="X644" i="53" s="1"/>
  <c r="S645" i="53"/>
  <c r="X645" i="53" s="1"/>
  <c r="S646" i="53"/>
  <c r="X646" i="53" s="1"/>
  <c r="S647" i="53"/>
  <c r="X647" i="53" s="1"/>
  <c r="S648" i="53"/>
  <c r="X648" i="53" s="1"/>
  <c r="S649" i="53"/>
  <c r="X649" i="53" s="1"/>
  <c r="S650" i="53"/>
  <c r="X650" i="53" s="1"/>
  <c r="S651" i="53"/>
  <c r="X651" i="53" s="1"/>
  <c r="S652" i="53"/>
  <c r="X652" i="53" s="1"/>
  <c r="S653" i="53"/>
  <c r="X653" i="53" s="1"/>
  <c r="S654" i="53"/>
  <c r="X654" i="53" s="1"/>
  <c r="S655" i="53"/>
  <c r="X655" i="53" s="1"/>
  <c r="S656" i="53"/>
  <c r="X656" i="53" s="1"/>
  <c r="S657" i="53"/>
  <c r="X657" i="53" s="1"/>
  <c r="S658" i="53"/>
  <c r="X658" i="53" s="1"/>
  <c r="S659" i="53"/>
  <c r="X659" i="53" s="1"/>
  <c r="S660" i="53"/>
  <c r="X660" i="53" s="1"/>
  <c r="S661" i="53"/>
  <c r="X661" i="53" s="1"/>
  <c r="S662" i="53"/>
  <c r="X662" i="53" s="1"/>
  <c r="S663" i="53"/>
  <c r="X663" i="53" s="1"/>
  <c r="S664" i="53"/>
  <c r="X664" i="53" s="1"/>
  <c r="S665" i="53"/>
  <c r="X665" i="53" s="1"/>
  <c r="S666" i="53"/>
  <c r="X666" i="53" s="1"/>
  <c r="S667" i="53"/>
  <c r="X667" i="53" s="1"/>
  <c r="S668" i="53"/>
  <c r="X668" i="53" s="1"/>
  <c r="S669" i="53"/>
  <c r="X669" i="53" s="1"/>
  <c r="S670" i="53"/>
  <c r="X670" i="53" s="1"/>
  <c r="S671" i="53"/>
  <c r="X671" i="53" s="1"/>
  <c r="S672" i="53"/>
  <c r="X672" i="53" s="1"/>
  <c r="S673" i="53"/>
  <c r="X673" i="53" s="1"/>
  <c r="S674" i="53"/>
  <c r="X674" i="53" s="1"/>
  <c r="S675" i="53"/>
  <c r="X675" i="53" s="1"/>
  <c r="S676" i="53"/>
  <c r="X676" i="53" s="1"/>
  <c r="S677" i="53"/>
  <c r="X677" i="53" s="1"/>
  <c r="S678" i="53"/>
  <c r="X678" i="53" s="1"/>
  <c r="S679" i="53"/>
  <c r="X679" i="53" s="1"/>
  <c r="S680" i="53"/>
  <c r="X680" i="53" s="1"/>
  <c r="S681" i="53"/>
  <c r="X681" i="53" s="1"/>
  <c r="S682" i="53"/>
  <c r="X682" i="53" s="1"/>
  <c r="S683" i="53"/>
  <c r="X683" i="53" s="1"/>
  <c r="S684" i="53"/>
  <c r="X684" i="53" s="1"/>
  <c r="S685" i="53"/>
  <c r="X685" i="53" s="1"/>
  <c r="S686" i="53"/>
  <c r="X686" i="53" s="1"/>
  <c r="S687" i="53"/>
  <c r="X687" i="53" s="1"/>
  <c r="S688" i="53"/>
  <c r="X688" i="53" s="1"/>
  <c r="S690" i="53"/>
  <c r="X690" i="53" s="1"/>
  <c r="S691" i="53"/>
  <c r="X691" i="53" s="1"/>
  <c r="S692" i="53"/>
  <c r="X692" i="53" s="1"/>
  <c r="S693" i="53"/>
  <c r="X693" i="53" s="1"/>
  <c r="S694" i="53"/>
  <c r="X694" i="53" s="1"/>
  <c r="S695" i="53"/>
  <c r="X695" i="53" s="1"/>
  <c r="S696" i="53"/>
  <c r="X696" i="53" s="1"/>
  <c r="S697" i="53"/>
  <c r="X697" i="53" s="1"/>
  <c r="S698" i="53"/>
  <c r="X698" i="53" s="1"/>
  <c r="S699" i="53"/>
  <c r="X699" i="53" s="1"/>
  <c r="S700" i="53"/>
  <c r="X700" i="53" s="1"/>
  <c r="S701" i="53"/>
  <c r="X701" i="53" s="1"/>
  <c r="S702" i="53"/>
  <c r="X702" i="53" s="1"/>
  <c r="S703" i="53"/>
  <c r="X703" i="53" s="1"/>
  <c r="S704" i="53"/>
  <c r="X704" i="53" s="1"/>
  <c r="S705" i="53"/>
  <c r="X705" i="53" s="1"/>
  <c r="S706" i="53"/>
  <c r="X706" i="53" s="1"/>
  <c r="S707" i="53"/>
  <c r="X707" i="53" s="1"/>
  <c r="S708" i="53"/>
  <c r="X708" i="53" s="1"/>
  <c r="S709" i="53"/>
  <c r="X709" i="53" s="1"/>
  <c r="S710" i="53"/>
  <c r="X710" i="53" s="1"/>
  <c r="S711" i="53"/>
  <c r="X711" i="53" s="1"/>
  <c r="S712" i="53"/>
  <c r="X712" i="53" s="1"/>
  <c r="S713" i="53"/>
  <c r="X713" i="53" s="1"/>
  <c r="S714" i="53"/>
  <c r="X714" i="53" s="1"/>
  <c r="S715" i="53"/>
  <c r="X715" i="53" s="1"/>
  <c r="S716" i="53"/>
  <c r="X716" i="53" s="1"/>
  <c r="S717" i="53"/>
  <c r="X717" i="53" s="1"/>
  <c r="S718" i="53"/>
  <c r="X718" i="53" s="1"/>
  <c r="S719" i="53"/>
  <c r="X719" i="53" s="1"/>
  <c r="S720" i="53"/>
  <c r="X720" i="53" s="1"/>
  <c r="S721" i="53"/>
  <c r="X721" i="53" s="1"/>
  <c r="S722" i="53"/>
  <c r="X722" i="53" s="1"/>
  <c r="S723" i="53"/>
  <c r="X723" i="53" s="1"/>
  <c r="S724" i="53"/>
  <c r="X724" i="53" s="1"/>
  <c r="S725" i="53"/>
  <c r="X725" i="53" s="1"/>
  <c r="S726" i="53"/>
  <c r="X726" i="53" s="1"/>
  <c r="S727" i="53"/>
  <c r="X727" i="53" s="1"/>
  <c r="S728" i="53"/>
  <c r="X728" i="53" s="1"/>
  <c r="S729" i="53"/>
  <c r="X729" i="53" s="1"/>
  <c r="S730" i="53"/>
  <c r="X730" i="53" s="1"/>
  <c r="S731" i="53"/>
  <c r="X731" i="53" s="1"/>
  <c r="S732" i="53"/>
  <c r="X732" i="53" s="1"/>
  <c r="S733" i="53"/>
  <c r="X733" i="53" s="1"/>
  <c r="S734" i="53"/>
  <c r="X734" i="53" s="1"/>
  <c r="S735" i="53"/>
  <c r="X735" i="53" s="1"/>
  <c r="S736" i="53"/>
  <c r="X736" i="53" s="1"/>
  <c r="S737" i="53"/>
  <c r="X737" i="53" s="1"/>
  <c r="S738" i="53"/>
  <c r="X738" i="53" s="1"/>
  <c r="S739" i="53"/>
  <c r="X739" i="53" s="1"/>
  <c r="S740" i="53"/>
  <c r="X740" i="53" s="1"/>
  <c r="S741" i="53"/>
  <c r="X741" i="53" s="1"/>
  <c r="S742" i="53"/>
  <c r="X742" i="53" s="1"/>
  <c r="S743" i="53"/>
  <c r="X743" i="53" s="1"/>
  <c r="S744" i="53"/>
  <c r="X744" i="53" s="1"/>
  <c r="S745" i="53"/>
  <c r="X745" i="53" s="1"/>
  <c r="S746" i="53"/>
  <c r="X746" i="53" s="1"/>
  <c r="S747" i="53"/>
  <c r="X747" i="53" s="1"/>
  <c r="S748" i="53"/>
  <c r="X748" i="53" s="1"/>
  <c r="S749" i="53"/>
  <c r="X749" i="53" s="1"/>
  <c r="S750" i="53"/>
  <c r="X750" i="53" s="1"/>
  <c r="S751" i="53"/>
  <c r="X751" i="53" s="1"/>
  <c r="S752" i="53"/>
  <c r="X752" i="53" s="1"/>
  <c r="S753" i="53"/>
  <c r="X753" i="53" s="1"/>
  <c r="S754" i="53"/>
  <c r="X754" i="53" s="1"/>
  <c r="S755" i="53"/>
  <c r="X755" i="53" s="1"/>
  <c r="S756" i="53"/>
  <c r="X756" i="53" s="1"/>
  <c r="S757" i="53"/>
  <c r="X757" i="53" s="1"/>
  <c r="S758" i="53"/>
  <c r="X758" i="53" s="1"/>
  <c r="S759" i="53"/>
  <c r="X759" i="53" s="1"/>
  <c r="S760" i="53"/>
  <c r="X760" i="53" s="1"/>
  <c r="S761" i="53"/>
  <c r="X761" i="53" s="1"/>
  <c r="S762" i="53"/>
  <c r="X762" i="53" s="1"/>
  <c r="S763" i="53"/>
  <c r="X763" i="53" s="1"/>
  <c r="S764" i="53"/>
  <c r="X764" i="53" s="1"/>
  <c r="S765" i="53"/>
  <c r="X765" i="53" s="1"/>
  <c r="S766" i="53"/>
  <c r="X766" i="53" s="1"/>
  <c r="S767" i="53"/>
  <c r="X767" i="53" s="1"/>
  <c r="S768" i="53"/>
  <c r="X768" i="53" s="1"/>
  <c r="S769" i="53"/>
  <c r="X769" i="53" s="1"/>
  <c r="S770" i="53"/>
  <c r="X770" i="53" s="1"/>
  <c r="S771" i="53"/>
  <c r="X771" i="53" s="1"/>
  <c r="S772" i="53"/>
  <c r="X772" i="53" s="1"/>
  <c r="S773" i="53"/>
  <c r="X773" i="53" s="1"/>
  <c r="S774" i="53"/>
  <c r="X774" i="53" s="1"/>
  <c r="S775" i="53"/>
  <c r="X775" i="53" s="1"/>
  <c r="S776" i="53"/>
  <c r="X776" i="53" s="1"/>
  <c r="S777" i="53"/>
  <c r="X777" i="53" s="1"/>
  <c r="S779" i="53"/>
  <c r="X779" i="53" s="1"/>
  <c r="S780" i="53"/>
  <c r="X780" i="53" s="1"/>
  <c r="S781" i="53"/>
  <c r="X781" i="53" s="1"/>
  <c r="S782" i="53"/>
  <c r="X782" i="53" s="1"/>
  <c r="S783" i="53"/>
  <c r="X783" i="53" s="1"/>
  <c r="S784" i="53"/>
  <c r="X784" i="53" s="1"/>
  <c r="S785" i="53"/>
  <c r="X785" i="53" s="1"/>
  <c r="S786" i="53"/>
  <c r="X786" i="53" s="1"/>
  <c r="S787" i="53"/>
  <c r="X787" i="53" s="1"/>
  <c r="S788" i="53"/>
  <c r="X788" i="53" s="1"/>
  <c r="S789" i="53"/>
  <c r="X789" i="53" s="1"/>
  <c r="S790" i="53"/>
  <c r="X790" i="53" s="1"/>
  <c r="S791" i="53"/>
  <c r="X791" i="53" s="1"/>
  <c r="S792" i="53"/>
  <c r="X792" i="53" s="1"/>
  <c r="S793" i="53"/>
  <c r="X793" i="53" s="1"/>
  <c r="S794" i="53"/>
  <c r="X794" i="53" s="1"/>
  <c r="S795" i="53"/>
  <c r="X795" i="53" s="1"/>
  <c r="S796" i="53"/>
  <c r="X796" i="53" s="1"/>
  <c r="S797" i="53"/>
  <c r="X797" i="53" s="1"/>
  <c r="S798" i="53"/>
  <c r="X798" i="53" s="1"/>
  <c r="S799" i="53"/>
  <c r="X799" i="53" s="1"/>
  <c r="S800" i="53"/>
  <c r="X800" i="53" s="1"/>
  <c r="S801" i="53"/>
  <c r="X801" i="53" s="1"/>
  <c r="S802" i="53"/>
  <c r="X802" i="53" s="1"/>
  <c r="S803" i="53"/>
  <c r="X803" i="53" s="1"/>
  <c r="S804" i="53"/>
  <c r="X804" i="53" s="1"/>
  <c r="S805" i="53"/>
  <c r="X805" i="53" s="1"/>
  <c r="S806" i="53"/>
  <c r="X806" i="53" s="1"/>
  <c r="S807" i="53"/>
  <c r="X807" i="53" s="1"/>
  <c r="S808" i="53"/>
  <c r="X808" i="53" s="1"/>
  <c r="S809" i="53"/>
  <c r="X809" i="53" s="1"/>
  <c r="S810" i="53"/>
  <c r="X810" i="53" s="1"/>
  <c r="S811" i="53"/>
  <c r="X811" i="53" s="1"/>
  <c r="S812" i="53"/>
  <c r="X812" i="53" s="1"/>
  <c r="S813" i="53"/>
  <c r="X813" i="53" s="1"/>
  <c r="S814" i="53"/>
  <c r="X814" i="53" s="1"/>
  <c r="S815" i="53"/>
  <c r="X815" i="53" s="1"/>
  <c r="S816" i="53"/>
  <c r="X816" i="53" s="1"/>
  <c r="S817" i="53"/>
  <c r="X817" i="53" s="1"/>
  <c r="S818" i="53"/>
  <c r="X818" i="53" s="1"/>
  <c r="S819" i="53"/>
  <c r="X819" i="53" s="1"/>
  <c r="S820" i="53"/>
  <c r="X820" i="53" s="1"/>
  <c r="S821" i="53"/>
  <c r="X821" i="53" s="1"/>
  <c r="S822" i="53"/>
  <c r="X822" i="53" s="1"/>
  <c r="S823" i="53"/>
  <c r="X823" i="53" s="1"/>
  <c r="S824" i="53"/>
  <c r="X824" i="53" s="1"/>
  <c r="S825" i="53"/>
  <c r="X825" i="53" s="1"/>
  <c r="S826" i="53"/>
  <c r="X826" i="53" s="1"/>
  <c r="S827" i="53"/>
  <c r="X827" i="53" s="1"/>
  <c r="S828" i="53"/>
  <c r="X828" i="53" s="1"/>
  <c r="S829" i="53"/>
  <c r="X829" i="53" s="1"/>
  <c r="S830" i="53"/>
  <c r="X830" i="53" s="1"/>
  <c r="S831" i="53"/>
  <c r="X831" i="53" s="1"/>
  <c r="S832" i="53"/>
  <c r="X832" i="53" s="1"/>
  <c r="S833" i="53"/>
  <c r="X833" i="53" s="1"/>
  <c r="S834" i="53"/>
  <c r="X834" i="53" s="1"/>
  <c r="S835" i="53"/>
  <c r="X835" i="53" s="1"/>
  <c r="S836" i="53"/>
  <c r="X836" i="53" s="1"/>
  <c r="S837" i="53"/>
  <c r="X837" i="53" s="1"/>
  <c r="S838" i="53"/>
  <c r="X838" i="53" s="1"/>
  <c r="S839" i="53"/>
  <c r="X839" i="53" s="1"/>
  <c r="S840" i="53"/>
  <c r="X840" i="53" s="1"/>
  <c r="S841" i="53"/>
  <c r="X841" i="53" s="1"/>
  <c r="S842" i="53"/>
  <c r="X842" i="53" s="1"/>
  <c r="S843" i="53"/>
  <c r="X843" i="53" s="1"/>
  <c r="S844" i="53"/>
  <c r="X844" i="53" s="1"/>
  <c r="S845" i="53"/>
  <c r="X845" i="53" s="1"/>
  <c r="S846" i="53"/>
  <c r="X846" i="53" s="1"/>
  <c r="S847" i="53"/>
  <c r="X847" i="53" s="1"/>
  <c r="S848" i="53"/>
  <c r="X848" i="53" s="1"/>
  <c r="S849" i="53"/>
  <c r="X849" i="53" s="1"/>
  <c r="S850" i="53"/>
  <c r="X850" i="53" s="1"/>
  <c r="S851" i="53"/>
  <c r="X851" i="53" s="1"/>
  <c r="S852" i="53"/>
  <c r="X852" i="53" s="1"/>
  <c r="S853" i="53"/>
  <c r="X853" i="53" s="1"/>
  <c r="S854" i="53"/>
  <c r="X854" i="53" s="1"/>
  <c r="S855" i="53"/>
  <c r="X855" i="53" s="1"/>
  <c r="S856" i="53"/>
  <c r="X856" i="53" s="1"/>
  <c r="S857" i="53"/>
  <c r="X857" i="53" s="1"/>
  <c r="S858" i="53"/>
  <c r="X858" i="53" s="1"/>
  <c r="S859" i="53"/>
  <c r="X859" i="53" s="1"/>
  <c r="S860" i="53"/>
  <c r="X860" i="53" s="1"/>
  <c r="S861" i="53"/>
  <c r="X861" i="53" s="1"/>
  <c r="S862" i="53"/>
  <c r="X862" i="53" s="1"/>
  <c r="S863" i="53"/>
  <c r="X863" i="53" s="1"/>
  <c r="S864" i="53"/>
  <c r="X864" i="53" s="1"/>
  <c r="S865" i="53"/>
  <c r="X865" i="53" s="1"/>
  <c r="S866" i="53"/>
  <c r="X866" i="53" s="1"/>
  <c r="S867" i="53"/>
  <c r="X867" i="53" s="1"/>
  <c r="S868" i="53"/>
  <c r="X868" i="53" s="1"/>
  <c r="S869" i="53"/>
  <c r="X869" i="53" s="1"/>
  <c r="S872" i="53"/>
  <c r="S873" i="53"/>
  <c r="X873" i="53" s="1"/>
  <c r="S874" i="53"/>
  <c r="X874" i="53" s="1"/>
  <c r="S875" i="53"/>
  <c r="X875" i="53" s="1"/>
  <c r="S876" i="53"/>
  <c r="X876" i="53" s="1"/>
  <c r="S879" i="53"/>
  <c r="X879" i="53" s="1"/>
  <c r="S880" i="53"/>
  <c r="X880" i="53" s="1"/>
  <c r="S881" i="53"/>
  <c r="X881" i="53" s="1"/>
  <c r="S882" i="53"/>
  <c r="X882" i="53" s="1"/>
  <c r="S883" i="53"/>
  <c r="X883" i="53" s="1"/>
  <c r="S884" i="53"/>
  <c r="X884" i="53" s="1"/>
  <c r="S885" i="53"/>
  <c r="X885" i="53" s="1"/>
  <c r="S886" i="53"/>
  <c r="X886" i="53" s="1"/>
  <c r="S887" i="53"/>
  <c r="X887" i="53" s="1"/>
  <c r="S888" i="53"/>
  <c r="X888" i="53" s="1"/>
  <c r="S889" i="53"/>
  <c r="X889" i="53" s="1"/>
  <c r="S890" i="53"/>
  <c r="X890" i="53" s="1"/>
  <c r="S891" i="53"/>
  <c r="X891" i="53" s="1"/>
  <c r="S892" i="53"/>
  <c r="X892" i="53" s="1"/>
  <c r="S893" i="53"/>
  <c r="X893" i="53" s="1"/>
  <c r="S894" i="53"/>
  <c r="X894" i="53" s="1"/>
  <c r="S895" i="53"/>
  <c r="X895" i="53" s="1"/>
  <c r="S896" i="53"/>
  <c r="X896" i="53" s="1"/>
  <c r="S897" i="53"/>
  <c r="X897" i="53" s="1"/>
  <c r="S898" i="53"/>
  <c r="X898" i="53" s="1"/>
  <c r="S899" i="53"/>
  <c r="X899" i="53" s="1"/>
  <c r="S900" i="53"/>
  <c r="X900" i="53" s="1"/>
  <c r="S901" i="53"/>
  <c r="X901" i="53" s="1"/>
  <c r="S902" i="53"/>
  <c r="X902" i="53" s="1"/>
  <c r="S903" i="53"/>
  <c r="X903" i="53" s="1"/>
  <c r="S904" i="53"/>
  <c r="X904" i="53" s="1"/>
  <c r="S905" i="53"/>
  <c r="X905" i="53" s="1"/>
  <c r="S906" i="53"/>
  <c r="X906" i="53" s="1"/>
  <c r="S907" i="53"/>
  <c r="X907" i="53" s="1"/>
  <c r="S909" i="53"/>
  <c r="X909" i="53" s="1"/>
  <c r="S911" i="53"/>
  <c r="X911" i="53" s="1"/>
  <c r="S912" i="53"/>
  <c r="X912" i="53" s="1"/>
  <c r="S913" i="53"/>
  <c r="X913" i="53" s="1"/>
  <c r="S914" i="53"/>
  <c r="X914" i="53" s="1"/>
  <c r="S916" i="53"/>
  <c r="X916" i="53" s="1"/>
  <c r="S918" i="53"/>
  <c r="X918" i="53" s="1"/>
  <c r="S919" i="53"/>
  <c r="X919" i="53" s="1"/>
  <c r="S920" i="53"/>
  <c r="X920" i="53" s="1"/>
  <c r="S921" i="53"/>
  <c r="X921" i="53" s="1"/>
  <c r="S922" i="53"/>
  <c r="X922" i="53" s="1"/>
  <c r="S923" i="53"/>
  <c r="X923" i="53" s="1"/>
  <c r="S925" i="53"/>
  <c r="X925" i="53" s="1"/>
  <c r="S926" i="53"/>
  <c r="X926" i="53" s="1"/>
  <c r="S927" i="53"/>
  <c r="X927" i="53" s="1"/>
  <c r="S928" i="53"/>
  <c r="X928" i="53" s="1"/>
  <c r="S929" i="53"/>
  <c r="X929" i="53" s="1"/>
  <c r="S930" i="53"/>
  <c r="X930" i="53" s="1"/>
  <c r="S932" i="53"/>
  <c r="X932" i="53" s="1"/>
  <c r="S933" i="53"/>
  <c r="X933" i="53" s="1"/>
  <c r="S934" i="53"/>
  <c r="X934" i="53" s="1"/>
  <c r="S935" i="53"/>
  <c r="X935" i="53" s="1"/>
  <c r="S936" i="53"/>
  <c r="X936" i="53" s="1"/>
  <c r="S937" i="53"/>
  <c r="X937" i="53" s="1"/>
  <c r="S938" i="53"/>
  <c r="X938" i="53" s="1"/>
  <c r="S939" i="53"/>
  <c r="X939" i="53" s="1"/>
  <c r="S940" i="53"/>
  <c r="X940" i="53" s="1"/>
  <c r="S941" i="53"/>
  <c r="X941" i="53" s="1"/>
  <c r="S942" i="53"/>
  <c r="X942" i="53" s="1"/>
  <c r="S943" i="53"/>
  <c r="X943" i="53" s="1"/>
  <c r="S944" i="53"/>
  <c r="X944" i="53" s="1"/>
  <c r="S945" i="53"/>
  <c r="X945" i="53" s="1"/>
  <c r="S946" i="53"/>
  <c r="X946" i="53" s="1"/>
  <c r="S947" i="53"/>
  <c r="X947" i="53" s="1"/>
  <c r="S948" i="53"/>
  <c r="X948" i="53" s="1"/>
  <c r="S949" i="53"/>
  <c r="X949" i="53" s="1"/>
  <c r="S950" i="53"/>
  <c r="X950" i="53" s="1"/>
  <c r="S951" i="53"/>
  <c r="X951" i="53" s="1"/>
  <c r="S952" i="53"/>
  <c r="X952" i="53" s="1"/>
  <c r="S953" i="53"/>
  <c r="X953" i="53" s="1"/>
  <c r="S954" i="53"/>
  <c r="X954" i="53" s="1"/>
  <c r="S955" i="53"/>
  <c r="X955" i="53" s="1"/>
  <c r="S956" i="53"/>
  <c r="X956" i="53" s="1"/>
  <c r="S957" i="53"/>
  <c r="X957" i="53" s="1"/>
  <c r="S958" i="53"/>
  <c r="X958" i="53" s="1"/>
  <c r="S959" i="53"/>
  <c r="X959" i="53" s="1"/>
  <c r="S960" i="53"/>
  <c r="X960" i="53" s="1"/>
  <c r="S961" i="53"/>
  <c r="X961" i="53" s="1"/>
  <c r="S962" i="53"/>
  <c r="X962" i="53" s="1"/>
  <c r="S963" i="53"/>
  <c r="X963" i="53" s="1"/>
  <c r="S964" i="53"/>
  <c r="X964" i="53" s="1"/>
  <c r="S965" i="53"/>
  <c r="X965" i="53" s="1"/>
  <c r="S966" i="53"/>
  <c r="X966" i="53" s="1"/>
  <c r="S967" i="53"/>
  <c r="X967" i="53" s="1"/>
  <c r="S968" i="53"/>
  <c r="X968" i="53" s="1"/>
  <c r="S969" i="53"/>
  <c r="X969" i="53" s="1"/>
  <c r="S970" i="53"/>
  <c r="X970" i="53" s="1"/>
  <c r="S971" i="53"/>
  <c r="X971" i="53" s="1"/>
  <c r="S972" i="53"/>
  <c r="X972" i="53" s="1"/>
  <c r="S973" i="53"/>
  <c r="X973" i="53" s="1"/>
  <c r="S974" i="53"/>
  <c r="X974" i="53" s="1"/>
  <c r="S975" i="53"/>
  <c r="X975" i="53" s="1"/>
  <c r="S976" i="53"/>
  <c r="X976" i="53" s="1"/>
  <c r="S977" i="53"/>
  <c r="X977" i="53" s="1"/>
  <c r="S978" i="53"/>
  <c r="X978" i="53" s="1"/>
  <c r="S979" i="53"/>
  <c r="X979" i="53" s="1"/>
  <c r="S980" i="53"/>
  <c r="X980" i="53" s="1"/>
  <c r="S982" i="53"/>
  <c r="X982" i="53" s="1"/>
  <c r="S983" i="53"/>
  <c r="X983" i="53" s="1"/>
  <c r="S984" i="53"/>
  <c r="X984" i="53" s="1"/>
  <c r="S985" i="53"/>
  <c r="X985" i="53" s="1"/>
  <c r="S986" i="53"/>
  <c r="X986" i="53" s="1"/>
  <c r="S987" i="53"/>
  <c r="X987" i="53" s="1"/>
  <c r="S988" i="53"/>
  <c r="X988" i="53" s="1"/>
  <c r="S989" i="53"/>
  <c r="X989" i="53" s="1"/>
  <c r="S990" i="53"/>
  <c r="X990" i="53" s="1"/>
  <c r="S991" i="53"/>
  <c r="X991" i="53" s="1"/>
  <c r="S993" i="53"/>
  <c r="X993" i="53" s="1"/>
  <c r="S994" i="53"/>
  <c r="X994" i="53" s="1"/>
  <c r="S995" i="53"/>
  <c r="X995" i="53" s="1"/>
  <c r="S996" i="53"/>
  <c r="X996" i="53" s="1"/>
  <c r="S997" i="53"/>
  <c r="X997" i="53" s="1"/>
  <c r="S998" i="53"/>
  <c r="X998" i="53" s="1"/>
  <c r="S999" i="53"/>
  <c r="X999" i="53" s="1"/>
  <c r="S1000" i="53"/>
  <c r="X1000" i="53" s="1"/>
  <c r="S1001" i="53"/>
  <c r="X1001" i="53" s="1"/>
  <c r="S1002" i="53"/>
  <c r="X1002" i="53" s="1"/>
  <c r="S1003" i="53"/>
  <c r="X1003" i="53" s="1"/>
  <c r="S1004" i="53"/>
  <c r="X1004" i="53" s="1"/>
  <c r="S1005" i="53"/>
  <c r="X1005" i="53" s="1"/>
  <c r="S1007" i="53"/>
  <c r="X1007" i="53" s="1"/>
  <c r="S1008" i="53"/>
  <c r="X1008" i="53" s="1"/>
  <c r="S1009" i="53"/>
  <c r="X1009" i="53" s="1"/>
  <c r="S1010" i="53"/>
  <c r="X1010" i="53" s="1"/>
  <c r="S1011" i="53"/>
  <c r="X1011" i="53" s="1"/>
  <c r="S1012" i="53"/>
  <c r="X1012" i="53" s="1"/>
  <c r="S1013" i="53"/>
  <c r="X1013" i="53" s="1"/>
  <c r="S1014" i="53"/>
  <c r="X1014" i="53" s="1"/>
  <c r="S1015" i="53"/>
  <c r="X1015" i="53" s="1"/>
  <c r="S1018" i="53"/>
  <c r="X1018" i="53" s="1"/>
  <c r="S1019" i="53"/>
  <c r="X1019" i="53" s="1"/>
  <c r="S1020" i="53"/>
  <c r="X1020" i="53" s="1"/>
  <c r="S1021" i="53"/>
  <c r="X1021" i="53" s="1"/>
  <c r="S1022" i="53"/>
  <c r="X1022" i="53" s="1"/>
  <c r="S1023" i="53"/>
  <c r="X1023" i="53" s="1"/>
  <c r="S1024" i="53"/>
  <c r="X1024" i="53" s="1"/>
  <c r="S1025" i="53"/>
  <c r="X1025" i="53" s="1"/>
  <c r="S1026" i="53"/>
  <c r="X1026" i="53" s="1"/>
  <c r="S1027" i="53"/>
  <c r="X1027" i="53" s="1"/>
  <c r="S1028" i="53"/>
  <c r="X1028" i="53" s="1"/>
  <c r="S1029" i="53"/>
  <c r="X1029" i="53" s="1"/>
  <c r="S1030" i="53"/>
  <c r="X1030" i="53" s="1"/>
  <c r="S1031" i="53"/>
  <c r="X1031" i="53" s="1"/>
  <c r="S1032" i="53"/>
  <c r="X1032" i="53" s="1"/>
  <c r="S1033" i="53"/>
  <c r="X1033" i="53" s="1"/>
  <c r="S1034" i="53"/>
  <c r="X1034" i="53" s="1"/>
  <c r="S1035" i="53"/>
  <c r="X1035" i="53" s="1"/>
  <c r="S1036" i="53"/>
  <c r="X1036" i="53" s="1"/>
  <c r="S1037" i="53"/>
  <c r="X1037" i="53" s="1"/>
  <c r="S1038" i="53"/>
  <c r="X1038" i="53" s="1"/>
  <c r="S1039" i="53"/>
  <c r="X1039" i="53" s="1"/>
  <c r="S1040" i="53"/>
  <c r="X1040" i="53" s="1"/>
  <c r="S1041" i="53"/>
  <c r="X1041" i="53" s="1"/>
  <c r="S1042" i="53"/>
  <c r="X1042" i="53" s="1"/>
  <c r="S1043" i="53"/>
  <c r="X1043" i="53" s="1"/>
  <c r="S1044" i="53"/>
  <c r="X1044" i="53" s="1"/>
  <c r="S1045" i="53"/>
  <c r="X1045" i="53" s="1"/>
  <c r="S1046" i="53"/>
  <c r="X1046" i="53" s="1"/>
  <c r="S1047" i="53"/>
  <c r="X1047" i="53" s="1"/>
  <c r="S1048" i="53"/>
  <c r="X1048" i="53" s="1"/>
  <c r="S1049" i="53"/>
  <c r="X1049" i="53" s="1"/>
  <c r="S1051" i="53"/>
  <c r="X1051" i="53" s="1"/>
  <c r="S1053" i="53"/>
  <c r="X1053" i="53" s="1"/>
  <c r="S1055" i="53"/>
  <c r="X1055" i="53" s="1"/>
  <c r="S1056" i="53"/>
  <c r="X1056" i="53" s="1"/>
  <c r="S1057" i="53"/>
  <c r="X1057" i="53" s="1"/>
  <c r="S1058" i="53"/>
  <c r="X1058" i="53" s="1"/>
  <c r="S1065" i="53"/>
  <c r="X1065" i="53" s="1"/>
  <c r="S1066" i="53"/>
  <c r="X1066" i="53" s="1"/>
  <c r="S1067" i="53"/>
  <c r="X1067" i="53" s="1"/>
  <c r="X1069" i="53"/>
  <c r="X6" i="53"/>
  <c r="G954" i="53"/>
  <c r="G950" i="53"/>
  <c r="G946" i="53"/>
  <c r="G942" i="53"/>
  <c r="G938" i="53"/>
  <c r="G934" i="53"/>
  <c r="G935" i="53"/>
  <c r="B4" i="59"/>
  <c r="P4" i="59"/>
  <c r="T1089" i="53"/>
  <c r="N114" i="55" s="1" a="1"/>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G890" i="53"/>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G879" i="53"/>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G437" i="53"/>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G960" i="53" s="1"/>
  <c r="E167" i="55"/>
  <c r="F167" i="55"/>
  <c r="I167" i="55"/>
  <c r="B168" i="55"/>
  <c r="C168" i="55"/>
  <c r="E168" i="55"/>
  <c r="F168" i="55"/>
  <c r="I168" i="55"/>
  <c r="B169" i="55"/>
  <c r="C169" i="55"/>
  <c r="G784" i="53"/>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T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G839" i="53"/>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G1047" i="53"/>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G870" i="53" s="1"/>
  <c r="E132" i="55"/>
  <c r="F132" i="55"/>
  <c r="I132" i="55"/>
  <c r="B133" i="55"/>
  <c r="C133" i="55"/>
  <c r="E133" i="55"/>
  <c r="F133" i="55"/>
  <c r="I133" i="55"/>
  <c r="B134" i="55"/>
  <c r="C134" i="55"/>
  <c r="G592" i="53"/>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G481" i="53" s="1"/>
  <c r="C121" i="55"/>
  <c r="G526" i="53" s="1"/>
  <c r="C122" i="55"/>
  <c r="G491" i="53" s="1"/>
  <c r="C123" i="55"/>
  <c r="C124" i="55"/>
  <c r="C125" i="55"/>
  <c r="C126" i="55"/>
  <c r="G594" i="53" s="1"/>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G561" i="53" s="1"/>
  <c r="E111" i="55"/>
  <c r="F111" i="55"/>
  <c r="I111" i="55"/>
  <c r="C112" i="55"/>
  <c r="G868" i="53"/>
  <c r="E112" i="55"/>
  <c r="F112" i="55"/>
  <c r="I112" i="55"/>
  <c r="C113" i="55"/>
  <c r="G693" i="53"/>
  <c r="E113" i="55"/>
  <c r="F113" i="55"/>
  <c r="I113" i="55"/>
  <c r="C114" i="55"/>
  <c r="E114" i="55"/>
  <c r="F114" i="55"/>
  <c r="I114" i="55"/>
  <c r="C115" i="55"/>
  <c r="G480" i="53"/>
  <c r="E115" i="55"/>
  <c r="F115" i="55"/>
  <c r="I115" i="55"/>
  <c r="C116" i="55"/>
  <c r="G460" i="53" s="1"/>
  <c r="E116" i="55"/>
  <c r="F116" i="55"/>
  <c r="I116" i="55"/>
  <c r="C117" i="55"/>
  <c r="G818" i="53" s="1"/>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G856" i="53"/>
  <c r="E102" i="55"/>
  <c r="F102" i="55"/>
  <c r="I102" i="55"/>
  <c r="B103" i="55"/>
  <c r="C103" i="55"/>
  <c r="E103" i="55"/>
  <c r="F103" i="55"/>
  <c r="I103" i="55"/>
  <c r="B104" i="55"/>
  <c r="C104" i="55"/>
  <c r="E104" i="55"/>
  <c r="F104" i="55"/>
  <c r="I104" i="55"/>
  <c r="B105" i="55"/>
  <c r="C105" i="55"/>
  <c r="G848" i="53"/>
  <c r="E105" i="55"/>
  <c r="F105" i="55"/>
  <c r="I105" i="55"/>
  <c r="B106" i="55"/>
  <c r="C106" i="55"/>
  <c r="E106" i="55"/>
  <c r="F106" i="55"/>
  <c r="I106" i="55"/>
  <c r="B107" i="55"/>
  <c r="C107" i="55"/>
  <c r="E107" i="55"/>
  <c r="F107" i="55"/>
  <c r="I107" i="55"/>
  <c r="B108" i="55"/>
  <c r="C108" i="55"/>
  <c r="G861" i="53"/>
  <c r="E108" i="55"/>
  <c r="F108" i="55"/>
  <c r="I108" i="55"/>
  <c r="B109" i="55"/>
  <c r="C109" i="55"/>
  <c r="G864" i="53" s="1"/>
  <c r="E109" i="55"/>
  <c r="F109" i="55"/>
  <c r="I109" i="55"/>
  <c r="Q100" i="55"/>
  <c r="J100" i="55"/>
  <c r="I100" i="55"/>
  <c r="F100" i="55"/>
  <c r="E100" i="55"/>
  <c r="G821" i="53"/>
  <c r="C100" i="55"/>
  <c r="G661" i="53" s="1"/>
  <c r="B100" i="55"/>
  <c r="P90" i="55"/>
  <c r="S90" i="55" s="1"/>
  <c r="J90" i="55"/>
  <c r="R90" i="55" s="1"/>
  <c r="Q90" i="55"/>
  <c r="Q91" i="55"/>
  <c r="J91" i="55"/>
  <c r="Q92" i="55"/>
  <c r="P93" i="55"/>
  <c r="S93" i="55" s="1"/>
  <c r="Q93" i="55"/>
  <c r="J93" i="55"/>
  <c r="R93" i="55" s="1"/>
  <c r="B90" i="55"/>
  <c r="C90" i="55"/>
  <c r="E90" i="55"/>
  <c r="F90" i="55"/>
  <c r="I90" i="55"/>
  <c r="B91" i="55"/>
  <c r="C91" i="55"/>
  <c r="G1054" i="53" s="1"/>
  <c r="E91" i="55"/>
  <c r="F91" i="55"/>
  <c r="I91" i="55"/>
  <c r="B92" i="55"/>
  <c r="C92" i="55"/>
  <c r="G689" i="53"/>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J66" i="55"/>
  <c r="P67" i="55"/>
  <c r="S67" i="55" s="1"/>
  <c r="P68" i="55"/>
  <c r="S68" i="55" s="1"/>
  <c r="J63" i="55"/>
  <c r="J64" i="55"/>
  <c r="J67" i="55"/>
  <c r="R67" i="55" s="1"/>
  <c r="I63" i="55"/>
  <c r="I64" i="55"/>
  <c r="I65" i="55"/>
  <c r="I66" i="55"/>
  <c r="I67" i="55"/>
  <c r="I68" i="55"/>
  <c r="F63" i="55"/>
  <c r="F64" i="55"/>
  <c r="F65" i="55"/>
  <c r="F66" i="55"/>
  <c r="F67" i="55"/>
  <c r="F68" i="55"/>
  <c r="E63" i="55"/>
  <c r="E64" i="55"/>
  <c r="E65" i="55"/>
  <c r="E66" i="55"/>
  <c r="E67" i="55"/>
  <c r="E68" i="55"/>
  <c r="C63" i="55"/>
  <c r="G154" i="53"/>
  <c r="C64" i="55"/>
  <c r="C65" i="55"/>
  <c r="G635" i="53"/>
  <c r="C66" i="55"/>
  <c r="G181" i="53" s="1"/>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G243" i="53"/>
  <c r="C9" i="55"/>
  <c r="G6" i="53"/>
  <c r="G874" i="53"/>
  <c r="G875" i="53"/>
  <c r="I4" i="60"/>
  <c r="H4" i="60"/>
  <c r="G4" i="60"/>
  <c r="F4" i="60"/>
  <c r="E4" i="60"/>
  <c r="D4" i="60"/>
  <c r="C4" i="60"/>
  <c r="B4" i="60"/>
  <c r="G1028" i="53"/>
  <c r="G1027" i="53"/>
  <c r="P62" i="55"/>
  <c r="G397" i="53"/>
  <c r="G414" i="53"/>
  <c r="G413" i="53"/>
  <c r="G411" i="53"/>
  <c r="G410" i="53"/>
  <c r="G1048" i="53"/>
  <c r="G1049" i="53"/>
  <c r="S18" i="59"/>
  <c r="R18" i="59"/>
  <c r="P18" i="59"/>
  <c r="K18" i="59"/>
  <c r="J18" i="59"/>
  <c r="J19" i="59"/>
  <c r="J20" i="59"/>
  <c r="I18" i="59"/>
  <c r="H18" i="59"/>
  <c r="E18" i="59"/>
  <c r="E19" i="59"/>
  <c r="E20" i="59"/>
  <c r="B18" i="59"/>
  <c r="C18" i="59"/>
  <c r="S19" i="59"/>
  <c r="S20" i="59"/>
  <c r="R19" i="59"/>
  <c r="Q19" i="59"/>
  <c r="P19" i="59"/>
  <c r="B19" i="59"/>
  <c r="K19" i="59"/>
  <c r="I19" i="59"/>
  <c r="I20" i="59"/>
  <c r="H19" i="59"/>
  <c r="C19" i="59"/>
  <c r="N19" i="59" s="1"/>
  <c r="S11" i="59"/>
  <c r="R11" i="59"/>
  <c r="R12" i="59"/>
  <c r="R13" i="59"/>
  <c r="Q11" i="59"/>
  <c r="P11" i="59"/>
  <c r="K11" i="59"/>
  <c r="J11" i="59"/>
  <c r="I11" i="59"/>
  <c r="H11" i="59"/>
  <c r="E11" i="59"/>
  <c r="D11" i="59"/>
  <c r="C11" i="59"/>
  <c r="B11" i="59"/>
  <c r="S12" i="59"/>
  <c r="Q12" i="59"/>
  <c r="P12" i="59"/>
  <c r="B12" i="59"/>
  <c r="T12" i="59" s="1"/>
  <c r="P13" i="59"/>
  <c r="K12" i="59"/>
  <c r="J12" i="59"/>
  <c r="I12" i="59"/>
  <c r="H12" i="59"/>
  <c r="E12" i="59"/>
  <c r="D12" i="59"/>
  <c r="C12" i="59"/>
  <c r="N12" i="59" s="1"/>
  <c r="S5" i="59"/>
  <c r="R5" i="59"/>
  <c r="R4" i="59"/>
  <c r="R6" i="59"/>
  <c r="Q5" i="59"/>
  <c r="P5" i="59"/>
  <c r="B5" i="59"/>
  <c r="B7" i="59" s="1"/>
  <c r="K5" i="59"/>
  <c r="J5" i="59"/>
  <c r="I5" i="59"/>
  <c r="C5" i="59"/>
  <c r="H5" i="59"/>
  <c r="E5" i="59"/>
  <c r="S4" i="59"/>
  <c r="K4" i="59"/>
  <c r="J4" i="59"/>
  <c r="I4" i="59"/>
  <c r="H4" i="59"/>
  <c r="C4" i="59"/>
  <c r="C6" i="59"/>
  <c r="E4" i="59"/>
  <c r="G660" i="53"/>
  <c r="G659" i="53"/>
  <c r="G658" i="53"/>
  <c r="G657" i="53"/>
  <c r="G656" i="53"/>
  <c r="G655" i="53"/>
  <c r="G649" i="53"/>
  <c r="G648" i="53"/>
  <c r="G647" i="53"/>
  <c r="G646" i="53"/>
  <c r="G645" i="53"/>
  <c r="G644" i="53"/>
  <c r="G631" i="53"/>
  <c r="G630" i="53"/>
  <c r="G629" i="53"/>
  <c r="G628" i="53"/>
  <c r="G627" i="53"/>
  <c r="G626" i="53"/>
  <c r="G625" i="53"/>
  <c r="G624" i="53"/>
  <c r="G623" i="53"/>
  <c r="G622" i="53"/>
  <c r="G621" i="53"/>
  <c r="G620" i="53"/>
  <c r="G619" i="53"/>
  <c r="G618" i="53"/>
  <c r="G617" i="53"/>
  <c r="G616" i="53"/>
  <c r="G615" i="53"/>
  <c r="G614" i="53"/>
  <c r="G607" i="53"/>
  <c r="G606" i="53"/>
  <c r="G605" i="53"/>
  <c r="G604" i="53"/>
  <c r="G603" i="53"/>
  <c r="G602" i="53"/>
  <c r="G601" i="53"/>
  <c r="G600" i="53"/>
  <c r="G599" i="53"/>
  <c r="G598" i="53"/>
  <c r="G597" i="53"/>
  <c r="G596" i="53"/>
  <c r="G595" i="53"/>
  <c r="G581" i="53"/>
  <c r="G580" i="53"/>
  <c r="G579" i="53"/>
  <c r="G577" i="53"/>
  <c r="G575" i="53"/>
  <c r="G574" i="53"/>
  <c r="G569" i="53"/>
  <c r="G568" i="53"/>
  <c r="G567" i="53"/>
  <c r="G565" i="53"/>
  <c r="G563" i="53"/>
  <c r="G562" i="53"/>
  <c r="G557" i="53"/>
  <c r="G556" i="53"/>
  <c r="G555" i="53"/>
  <c r="G553" i="53"/>
  <c r="G551" i="53"/>
  <c r="G550" i="53"/>
  <c r="G531" i="53"/>
  <c r="G530" i="53"/>
  <c r="G528" i="53"/>
  <c r="G527" i="53"/>
  <c r="G525" i="53"/>
  <c r="G524" i="53"/>
  <c r="G522" i="53"/>
  <c r="G521" i="53"/>
  <c r="G520" i="53"/>
  <c r="G519" i="53"/>
  <c r="G518" i="53"/>
  <c r="G517" i="53"/>
  <c r="G516" i="53"/>
  <c r="G515" i="53"/>
  <c r="G513" i="53"/>
  <c r="G512" i="53"/>
  <c r="G511" i="53"/>
  <c r="G510" i="53"/>
  <c r="G509" i="53"/>
  <c r="G508" i="53"/>
  <c r="G507" i="53"/>
  <c r="G506" i="53"/>
  <c r="G505" i="53"/>
  <c r="G504" i="53"/>
  <c r="G503" i="53"/>
  <c r="G502" i="53"/>
  <c r="G500" i="53"/>
  <c r="G499" i="53"/>
  <c r="G498" i="53"/>
  <c r="G497" i="53"/>
  <c r="G496" i="53"/>
  <c r="G493" i="53"/>
  <c r="G492" i="53"/>
  <c r="G479" i="53"/>
  <c r="G478" i="53"/>
  <c r="G454" i="53"/>
  <c r="G453" i="53"/>
  <c r="G452" i="53"/>
  <c r="G451" i="53"/>
  <c r="G450" i="53"/>
  <c r="G449" i="53"/>
  <c r="G448" i="53"/>
  <c r="G445" i="53"/>
  <c r="G444" i="53"/>
  <c r="G443" i="53"/>
  <c r="G440" i="53"/>
  <c r="G439" i="53"/>
  <c r="G438" i="53"/>
  <c r="G436" i="53"/>
  <c r="G435" i="53"/>
  <c r="G434" i="53"/>
  <c r="G433" i="53"/>
  <c r="G422" i="53"/>
  <c r="G421" i="53"/>
  <c r="G420" i="53"/>
  <c r="G415" i="53"/>
  <c r="G400" i="53"/>
  <c r="G399" i="53"/>
  <c r="G398" i="53"/>
  <c r="G366" i="53"/>
  <c r="G365" i="53"/>
  <c r="G364" i="53"/>
  <c r="G363" i="53"/>
  <c r="G362" i="53"/>
  <c r="G361" i="53"/>
  <c r="G360" i="53"/>
  <c r="G358" i="53"/>
  <c r="G357" i="53"/>
  <c r="G356" i="53"/>
  <c r="G355" i="53"/>
  <c r="G354" i="53"/>
  <c r="G353" i="53"/>
  <c r="G352" i="53"/>
  <c r="G350" i="53"/>
  <c r="G349" i="53"/>
  <c r="G348" i="53"/>
  <c r="G347" i="53"/>
  <c r="G346" i="53"/>
  <c r="G345" i="53"/>
  <c r="G344" i="53"/>
  <c r="G343" i="53"/>
  <c r="G342" i="53"/>
  <c r="G339" i="53"/>
  <c r="G338" i="53"/>
  <c r="G337" i="53"/>
  <c r="G336" i="53"/>
  <c r="G335" i="53"/>
  <c r="G334" i="53"/>
  <c r="G333" i="53"/>
  <c r="G330" i="53"/>
  <c r="G329" i="53"/>
  <c r="G328" i="53"/>
  <c r="G327" i="53"/>
  <c r="G326" i="53"/>
  <c r="G325" i="53"/>
  <c r="G324" i="53"/>
  <c r="G246" i="53"/>
  <c r="G245" i="53"/>
  <c r="G241" i="53"/>
  <c r="G238" i="53"/>
  <c r="G237" i="53"/>
  <c r="G235" i="53"/>
  <c r="G234" i="53"/>
  <c r="G204" i="53"/>
  <c r="G203" i="53"/>
  <c r="G202" i="53"/>
  <c r="G201" i="53"/>
  <c r="G200" i="53"/>
  <c r="G199" i="53"/>
  <c r="G196" i="53"/>
  <c r="G194" i="53"/>
  <c r="G193" i="53"/>
  <c r="G192" i="53"/>
  <c r="G191" i="53"/>
  <c r="G190" i="53"/>
  <c r="G189" i="53"/>
  <c r="G188" i="53"/>
  <c r="G187" i="53"/>
  <c r="G186" i="53"/>
  <c r="G185" i="53"/>
  <c r="G184" i="53"/>
  <c r="G183" i="53"/>
  <c r="G182" i="53"/>
  <c r="G178" i="53"/>
  <c r="G177" i="53"/>
  <c r="G176" i="53"/>
  <c r="G175" i="53"/>
  <c r="G173" i="53"/>
  <c r="G172" i="53"/>
  <c r="G171" i="53"/>
  <c r="G143" i="53"/>
  <c r="G142" i="53"/>
  <c r="G125" i="53"/>
  <c r="G124" i="53"/>
  <c r="G123" i="53"/>
  <c r="G122" i="53"/>
  <c r="G120" i="53"/>
  <c r="G119" i="53"/>
  <c r="G118" i="53"/>
  <c r="G117" i="53"/>
  <c r="G113" i="53"/>
  <c r="G112" i="53"/>
  <c r="G110" i="53"/>
  <c r="G109" i="53"/>
  <c r="G108" i="53"/>
  <c r="G107" i="53"/>
  <c r="G106" i="53"/>
  <c r="G94" i="53"/>
  <c r="G93" i="53"/>
  <c r="G92" i="53"/>
  <c r="G91" i="53"/>
  <c r="G90" i="53"/>
  <c r="G89" i="53"/>
  <c r="G82" i="53"/>
  <c r="G81" i="53"/>
  <c r="G80" i="53"/>
  <c r="G79" i="53"/>
  <c r="G78" i="53"/>
  <c r="G77" i="53"/>
  <c r="G76" i="53"/>
  <c r="G75" i="53"/>
  <c r="G72" i="53"/>
  <c r="G71" i="53"/>
  <c r="G70" i="53"/>
  <c r="G69" i="53"/>
  <c r="G68" i="53"/>
  <c r="G67" i="53"/>
  <c r="G66" i="53"/>
  <c r="G65" i="53"/>
  <c r="G62" i="53"/>
  <c r="G61" i="53"/>
  <c r="G60" i="53"/>
  <c r="G59" i="53"/>
  <c r="G58" i="53"/>
  <c r="G57" i="53"/>
  <c r="G56" i="53"/>
  <c r="G55" i="53"/>
  <c r="G54" i="53"/>
  <c r="G53" i="53"/>
  <c r="G869" i="53"/>
  <c r="G855" i="53"/>
  <c r="G854" i="53"/>
  <c r="G841" i="53"/>
  <c r="G840" i="53"/>
  <c r="G838" i="53"/>
  <c r="G837" i="53"/>
  <c r="G836" i="53"/>
  <c r="G835" i="53"/>
  <c r="G834" i="53"/>
  <c r="G833" i="53"/>
  <c r="G826" i="53"/>
  <c r="G825" i="53"/>
  <c r="G824" i="53"/>
  <c r="G823" i="53"/>
  <c r="G822" i="53"/>
  <c r="G817" i="53"/>
  <c r="G816" i="53"/>
  <c r="G815" i="53"/>
  <c r="G814" i="53"/>
  <c r="G813" i="53"/>
  <c r="G812" i="53"/>
  <c r="G811" i="53"/>
  <c r="G810" i="53"/>
  <c r="G809" i="53"/>
  <c r="G803" i="53"/>
  <c r="G802" i="53"/>
  <c r="G801" i="53"/>
  <c r="G800" i="53"/>
  <c r="G795" i="53"/>
  <c r="G794" i="53"/>
  <c r="G793" i="53"/>
  <c r="G792" i="53"/>
  <c r="G787" i="53"/>
  <c r="G786" i="53"/>
  <c r="G785" i="53"/>
  <c r="G783" i="53"/>
  <c r="G782" i="53"/>
  <c r="G781" i="53"/>
  <c r="G780" i="53"/>
  <c r="G779" i="53"/>
  <c r="G768" i="53"/>
  <c r="G767" i="53"/>
  <c r="G765" i="53"/>
  <c r="G764" i="53"/>
  <c r="G763" i="53"/>
  <c r="G762" i="53"/>
  <c r="G704" i="53"/>
  <c r="G703" i="53"/>
  <c r="G702" i="53"/>
  <c r="G700" i="53"/>
  <c r="G699" i="53"/>
  <c r="G698" i="53"/>
  <c r="G697" i="53"/>
  <c r="G696" i="53"/>
  <c r="G695" i="53"/>
  <c r="G694" i="53"/>
  <c r="G692" i="53"/>
  <c r="G691" i="53"/>
  <c r="G690" i="53"/>
  <c r="G487" i="53"/>
  <c r="G583" i="53"/>
  <c r="G866" i="53"/>
  <c r="Q61" i="55"/>
  <c r="J61" i="55"/>
  <c r="I61" i="55"/>
  <c r="F61" i="55"/>
  <c r="E61" i="55"/>
  <c r="C61" i="55"/>
  <c r="B61" i="55"/>
  <c r="G1067" i="53"/>
  <c r="G851" i="53"/>
  <c r="Q60" i="55"/>
  <c r="J60" i="55"/>
  <c r="I60" i="55"/>
  <c r="F60" i="55"/>
  <c r="E60" i="55"/>
  <c r="C60" i="55"/>
  <c r="G429" i="53"/>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G1044" i="53"/>
  <c r="G1043" i="53"/>
  <c r="G1042" i="53"/>
  <c r="G1041" i="53"/>
  <c r="G1039" i="53"/>
  <c r="G1038" i="53"/>
  <c r="G1009" i="53"/>
  <c r="G1008" i="53"/>
  <c r="G1005" i="53"/>
  <c r="G1004" i="53"/>
  <c r="G1003" i="53"/>
  <c r="G1001" i="53"/>
  <c r="G796" i="53"/>
  <c r="G1026" i="53"/>
  <c r="G442" i="53"/>
  <c r="G725" i="53"/>
  <c r="G842" i="53"/>
  <c r="Q55" i="55"/>
  <c r="J55" i="55"/>
  <c r="I55" i="55"/>
  <c r="F55" i="55"/>
  <c r="E55" i="55"/>
  <c r="C55" i="55"/>
  <c r="B55" i="55"/>
  <c r="Q54" i="55"/>
  <c r="J54" i="55"/>
  <c r="I54" i="55"/>
  <c r="F54" i="55"/>
  <c r="E54" i="55"/>
  <c r="C54" i="55"/>
  <c r="B54" i="55"/>
  <c r="Q53" i="55"/>
  <c r="J53" i="55"/>
  <c r="I53" i="55"/>
  <c r="F53" i="55"/>
  <c r="E53" i="55"/>
  <c r="C53" i="55"/>
  <c r="G713" i="53"/>
  <c r="B53" i="55"/>
  <c r="Q52" i="55"/>
  <c r="I52" i="55"/>
  <c r="F52" i="55"/>
  <c r="E52" i="55"/>
  <c r="G769" i="53"/>
  <c r="G732" i="53"/>
  <c r="B52" i="55"/>
  <c r="Q51" i="55"/>
  <c r="J51" i="55"/>
  <c r="I51" i="55"/>
  <c r="F51" i="55"/>
  <c r="E51" i="55"/>
  <c r="C51" i="55"/>
  <c r="G359" i="53"/>
  <c r="G978" i="53"/>
  <c r="B51" i="55"/>
  <c r="Q50" i="55"/>
  <c r="J50" i="55"/>
  <c r="I50" i="55"/>
  <c r="F50" i="55"/>
  <c r="E50" i="55"/>
  <c r="C50" i="55"/>
  <c r="G28" i="53"/>
  <c r="B50" i="55"/>
  <c r="Q49" i="55"/>
  <c r="J49" i="55"/>
  <c r="I49" i="55"/>
  <c r="F49" i="55"/>
  <c r="E49" i="55"/>
  <c r="C49" i="55"/>
  <c r="G168" i="53" s="1"/>
  <c r="B49" i="55"/>
  <c r="Q48" i="55"/>
  <c r="J48" i="55"/>
  <c r="I48" i="55"/>
  <c r="F48" i="55"/>
  <c r="E48" i="55"/>
  <c r="C48" i="55"/>
  <c r="G965" i="53"/>
  <c r="B48" i="55"/>
  <c r="Q47" i="55"/>
  <c r="J47" i="55"/>
  <c r="I47" i="55"/>
  <c r="F47" i="55"/>
  <c r="E47" i="55"/>
  <c r="C47" i="55"/>
  <c r="B47" i="55"/>
  <c r="Q46" i="55"/>
  <c r="J46" i="55"/>
  <c r="I46" i="55"/>
  <c r="F46" i="55"/>
  <c r="E46" i="55"/>
  <c r="C46" i="55"/>
  <c r="G240" i="53" s="1"/>
  <c r="B46" i="55"/>
  <c r="Q44" i="55"/>
  <c r="J44" i="55"/>
  <c r="I44" i="55"/>
  <c r="F44" i="55"/>
  <c r="E44" i="55"/>
  <c r="C44" i="55"/>
  <c r="G426" i="53"/>
  <c r="G876" i="53"/>
  <c r="B44" i="55"/>
  <c r="Q43" i="55"/>
  <c r="J43" i="55"/>
  <c r="I43" i="55"/>
  <c r="F43" i="55"/>
  <c r="E43" i="55"/>
  <c r="C43" i="55"/>
  <c r="G423" i="53"/>
  <c r="G174" i="53"/>
  <c r="B43" i="55"/>
  <c r="Q42" i="55"/>
  <c r="J42" i="55"/>
  <c r="I42" i="55"/>
  <c r="F42" i="55"/>
  <c r="E42" i="55"/>
  <c r="C42" i="55"/>
  <c r="G393" i="53"/>
  <c r="B42" i="55"/>
  <c r="Q41" i="55"/>
  <c r="J41" i="55"/>
  <c r="I41" i="55"/>
  <c r="F41" i="55"/>
  <c r="E41" i="55"/>
  <c r="C41" i="55"/>
  <c r="B41" i="55"/>
  <c r="Q40" i="55"/>
  <c r="J40" i="55"/>
  <c r="I40" i="55"/>
  <c r="F40" i="55"/>
  <c r="E40" i="55"/>
  <c r="C40" i="55"/>
  <c r="B40" i="55"/>
  <c r="Q39" i="55"/>
  <c r="J39" i="55"/>
  <c r="I39" i="55"/>
  <c r="F39" i="55"/>
  <c r="E39" i="55"/>
  <c r="C39" i="55"/>
  <c r="G961" i="53"/>
  <c r="G967" i="53"/>
  <c r="B39" i="55"/>
  <c r="Q38" i="55"/>
  <c r="J38" i="55"/>
  <c r="I38" i="55"/>
  <c r="F38" i="55"/>
  <c r="E38" i="55"/>
  <c r="C38" i="55"/>
  <c r="G128" i="53" s="1"/>
  <c r="G966" i="53"/>
  <c r="B38" i="55"/>
  <c r="Q37" i="55"/>
  <c r="J37" i="55"/>
  <c r="I37" i="55"/>
  <c r="F37" i="55"/>
  <c r="E37" i="55"/>
  <c r="C37" i="55"/>
  <c r="G206" i="53"/>
  <c r="B37" i="55"/>
  <c r="Q36" i="55"/>
  <c r="I36" i="55"/>
  <c r="F36" i="55"/>
  <c r="E36" i="55"/>
  <c r="C36" i="55"/>
  <c r="G1066" i="53"/>
  <c r="G964" i="53"/>
  <c r="B36" i="55"/>
  <c r="Q35" i="55"/>
  <c r="J35" i="55"/>
  <c r="I35" i="55"/>
  <c r="F35" i="55"/>
  <c r="E35" i="55"/>
  <c r="C35" i="55"/>
  <c r="G258" i="53"/>
  <c r="G963" i="53"/>
  <c r="B35" i="55"/>
  <c r="Q34" i="55"/>
  <c r="P34" i="55"/>
  <c r="S34" i="55" s="1"/>
  <c r="J34" i="55"/>
  <c r="I34" i="55"/>
  <c r="F34" i="55"/>
  <c r="E34" i="55"/>
  <c r="C34" i="55"/>
  <c r="G197" i="53"/>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G1065" i="53"/>
  <c r="B31" i="55"/>
  <c r="Q30" i="55"/>
  <c r="J30" i="55"/>
  <c r="I30" i="55"/>
  <c r="F30" i="55"/>
  <c r="E30" i="55"/>
  <c r="C30" i="55"/>
  <c r="B30" i="55"/>
  <c r="Q29" i="55"/>
  <c r="J29" i="55"/>
  <c r="I29" i="55"/>
  <c r="F29" i="55"/>
  <c r="E29" i="55"/>
  <c r="C29" i="55"/>
  <c r="G1069" i="53"/>
  <c r="G1057" i="53"/>
  <c r="B29" i="55"/>
  <c r="Q28" i="55"/>
  <c r="J28" i="55"/>
  <c r="I28" i="55"/>
  <c r="F28" i="55"/>
  <c r="E28" i="55"/>
  <c r="C28" i="55"/>
  <c r="G384" i="53" s="1"/>
  <c r="G956" i="53"/>
  <c r="B28" i="55"/>
  <c r="Q27" i="55"/>
  <c r="J27" i="55"/>
  <c r="I27" i="55"/>
  <c r="F27" i="55"/>
  <c r="E27" i="55"/>
  <c r="C27" i="55"/>
  <c r="G1052" i="53"/>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G1056" i="53"/>
  <c r="B22" i="55"/>
  <c r="Q21" i="55"/>
  <c r="J21" i="55"/>
  <c r="I21" i="55"/>
  <c r="F21" i="55"/>
  <c r="E21" i="55"/>
  <c r="C21" i="55"/>
  <c r="B21" i="55"/>
  <c r="Q20" i="55"/>
  <c r="J20" i="55"/>
  <c r="I20" i="55"/>
  <c r="F20" i="55"/>
  <c r="E20" i="55"/>
  <c r="C20" i="55"/>
  <c r="G244" i="53"/>
  <c r="B20" i="55"/>
  <c r="G239" i="53"/>
  <c r="G936" i="53"/>
  <c r="Q19" i="55"/>
  <c r="J19" i="55"/>
  <c r="I19" i="55"/>
  <c r="F19" i="55"/>
  <c r="E19" i="55"/>
  <c r="C19" i="55"/>
  <c r="B19" i="55"/>
  <c r="G929" i="53"/>
  <c r="G925" i="53"/>
  <c r="G923" i="53"/>
  <c r="G922" i="53"/>
  <c r="G921" i="53"/>
  <c r="G920" i="53"/>
  <c r="G919" i="53"/>
  <c r="G918" i="53"/>
  <c r="G416" i="53"/>
  <c r="G916" i="53"/>
  <c r="G914" i="53"/>
  <c r="G913" i="53"/>
  <c r="G912" i="53"/>
  <c r="Q17" i="55"/>
  <c r="J17" i="55"/>
  <c r="R17" i="55" s="1"/>
  <c r="I17" i="55"/>
  <c r="F17" i="55"/>
  <c r="E17" i="55"/>
  <c r="C17" i="55"/>
  <c r="G114" i="53"/>
  <c r="G115" i="53"/>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G1050" i="53" s="1"/>
  <c r="G903" i="53"/>
  <c r="B13" i="55"/>
  <c r="G927" i="53"/>
  <c r="G928" i="53"/>
  <c r="G995" i="53"/>
  <c r="G930" i="53"/>
  <c r="G941" i="53"/>
  <c r="G937" i="53"/>
  <c r="G939" i="53"/>
  <c r="G949" i="53"/>
  <c r="G973" i="53"/>
  <c r="G911" i="53"/>
  <c r="G940" i="53"/>
  <c r="G951" i="53"/>
  <c r="G952" i="53"/>
  <c r="G953" i="53"/>
  <c r="G1045" i="53"/>
  <c r="G955" i="53"/>
  <c r="G975" i="53"/>
  <c r="G943" i="53"/>
  <c r="G957" i="53"/>
  <c r="G1040" i="53"/>
  <c r="G976" i="53"/>
  <c r="G1046" i="53"/>
  <c r="G979" i="53"/>
  <c r="G980" i="53"/>
  <c r="G944" i="53"/>
  <c r="G983" i="53"/>
  <c r="G984" i="53"/>
  <c r="G1000" i="53"/>
  <c r="G945" i="53"/>
  <c r="G969" i="53"/>
  <c r="G926" i="53"/>
  <c r="G947" i="53"/>
  <c r="G932" i="53"/>
  <c r="G933" i="53"/>
  <c r="G948" i="53"/>
  <c r="G970" i="53"/>
  <c r="G972" i="53"/>
  <c r="B7" i="55"/>
  <c r="T2" i="53"/>
  <c r="O1089"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G873" i="53"/>
  <c r="G909" i="53"/>
  <c r="G10" i="53"/>
  <c r="F12" i="55"/>
  <c r="F8" i="55"/>
  <c r="F9" i="55"/>
  <c r="F10" i="55"/>
  <c r="G1021" i="53"/>
  <c r="G1023" i="53"/>
  <c r="G1012" i="53"/>
  <c r="G1014" i="53"/>
  <c r="G1015" i="53"/>
  <c r="G1020" i="53"/>
  <c r="G1022" i="53"/>
  <c r="G1029" i="53"/>
  <c r="G1030" i="53"/>
  <c r="G1031" i="53"/>
  <c r="G1032" i="53"/>
  <c r="G1033" i="53"/>
  <c r="C10" i="55"/>
  <c r="C12" i="55"/>
  <c r="C8" i="55"/>
  <c r="G998" i="53"/>
  <c r="G987" i="53"/>
  <c r="G989" i="53"/>
  <c r="G991" i="53"/>
  <c r="G990" i="53"/>
  <c r="G994" i="53"/>
  <c r="G997" i="53"/>
  <c r="G986" i="53"/>
  <c r="G1011" i="53"/>
  <c r="G1035" i="53"/>
  <c r="G1034" i="53"/>
  <c r="G1037" i="53"/>
  <c r="K20" i="59"/>
  <c r="K13" i="59"/>
  <c r="J13" i="59"/>
  <c r="S13" i="59"/>
  <c r="R20" i="59"/>
  <c r="AD1089" i="53"/>
  <c r="AC1089" i="53"/>
  <c r="W1089" i="53"/>
  <c r="V1089" i="53"/>
  <c r="H20" i="59"/>
  <c r="C20" i="59"/>
  <c r="B20" i="59"/>
  <c r="P20" i="59"/>
  <c r="Q20" i="59"/>
  <c r="Q18" i="59"/>
  <c r="Q21" i="59" s="1"/>
  <c r="B13" i="59"/>
  <c r="F13" i="59" s="1"/>
  <c r="Q13" i="59"/>
  <c r="I13" i="59"/>
  <c r="H13" i="59"/>
  <c r="E13" i="59"/>
  <c r="G13" i="59"/>
  <c r="M13" i="59"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C12" i="26"/>
  <c r="P17" i="55"/>
  <c r="S17" i="55" s="1"/>
  <c r="O13" i="59"/>
  <c r="U13" i="59" s="1"/>
  <c r="F7" i="55"/>
  <c r="G22" i="53"/>
  <c r="G24" i="53"/>
  <c r="G20" i="53"/>
  <c r="G14" i="53"/>
  <c r="G25" i="53"/>
  <c r="G21" i="53"/>
  <c r="G100" i="53"/>
  <c r="G87" i="53"/>
  <c r="G96" i="53"/>
  <c r="G88" i="53"/>
  <c r="G97" i="53"/>
  <c r="G394" i="53"/>
  <c r="G391" i="53"/>
  <c r="G395" i="53"/>
  <c r="G385" i="53"/>
  <c r="G74" i="53"/>
  <c r="G50" i="53"/>
  <c r="G85" i="53"/>
  <c r="G51" i="53"/>
  <c r="G49" i="53"/>
  <c r="G396" i="53"/>
  <c r="G73" i="53"/>
  <c r="G52" i="53"/>
  <c r="G388" i="53"/>
  <c r="G386" i="53"/>
  <c r="G27" i="53"/>
  <c r="G392" i="53"/>
  <c r="G390" i="53"/>
  <c r="G84" i="53"/>
  <c r="G290" i="53"/>
  <c r="G288" i="53"/>
  <c r="G289" i="53"/>
  <c r="G321" i="53"/>
  <c r="G317" i="53"/>
  <c r="G313" i="53"/>
  <c r="G309" i="53"/>
  <c r="G322" i="53"/>
  <c r="G320" i="53"/>
  <c r="G311" i="53"/>
  <c r="G314" i="53"/>
  <c r="G312" i="53"/>
  <c r="G310" i="53"/>
  <c r="G308" i="53"/>
  <c r="G318" i="53"/>
  <c r="G316" i="53"/>
  <c r="G307" i="53"/>
  <c r="G315" i="53"/>
  <c r="G323" i="53"/>
  <c r="G319" i="53"/>
  <c r="G284" i="53"/>
  <c r="G280" i="53"/>
  <c r="G276" i="53"/>
  <c r="G272" i="53"/>
  <c r="G268" i="53"/>
  <c r="G286" i="53"/>
  <c r="G281" i="53"/>
  <c r="G279" i="53"/>
  <c r="G270" i="53"/>
  <c r="G282" i="53"/>
  <c r="G277" i="53"/>
  <c r="G275" i="53"/>
  <c r="G278" i="53"/>
  <c r="G273" i="53"/>
  <c r="G271" i="53"/>
  <c r="G269" i="53"/>
  <c r="G267" i="53"/>
  <c r="G285" i="53"/>
  <c r="G283" i="53"/>
  <c r="G274" i="53"/>
  <c r="G230" i="53"/>
  <c r="G226" i="53"/>
  <c r="G222" i="53"/>
  <c r="G218" i="53"/>
  <c r="G214" i="53"/>
  <c r="G231" i="53"/>
  <c r="G229" i="53"/>
  <c r="G220" i="53"/>
  <c r="G215" i="53"/>
  <c r="G213" i="53"/>
  <c r="G232" i="53"/>
  <c r="G227" i="53"/>
  <c r="G225" i="53"/>
  <c r="G216" i="53"/>
  <c r="G228" i="53"/>
  <c r="G223" i="53"/>
  <c r="G221" i="53"/>
  <c r="G219" i="53"/>
  <c r="G217" i="53"/>
  <c r="G224" i="53"/>
  <c r="G212" i="53"/>
  <c r="G417" i="53"/>
  <c r="G419" i="53"/>
  <c r="G418" i="53"/>
  <c r="G159" i="53"/>
  <c r="G147" i="53"/>
  <c r="G139" i="53"/>
  <c r="G161" i="53"/>
  <c r="G156" i="53"/>
  <c r="G145" i="53"/>
  <c r="G157" i="53"/>
  <c r="G140" i="53"/>
  <c r="G138" i="53"/>
  <c r="G146" i="53"/>
  <c r="G144" i="53"/>
  <c r="G160" i="53"/>
  <c r="G158" i="53"/>
  <c r="G141" i="53"/>
  <c r="G424" i="53"/>
  <c r="G425" i="53"/>
  <c r="G428" i="53"/>
  <c r="G427" i="53"/>
  <c r="G137" i="53"/>
  <c r="G760" i="53"/>
  <c r="G756" i="53"/>
  <c r="G752" i="53"/>
  <c r="G748" i="53"/>
  <c r="G761" i="53"/>
  <c r="G757" i="53"/>
  <c r="G753" i="53"/>
  <c r="G749" i="53"/>
  <c r="G759" i="53"/>
  <c r="G755" i="53"/>
  <c r="G751" i="53"/>
  <c r="G747" i="53"/>
  <c r="G758" i="53"/>
  <c r="G754" i="53"/>
  <c r="G750" i="53"/>
  <c r="G746" i="53"/>
  <c r="G730" i="53"/>
  <c r="G728" i="53"/>
  <c r="G727" i="53"/>
  <c r="G726" i="53"/>
  <c r="G797" i="53"/>
  <c r="G798" i="53"/>
  <c r="G799" i="53"/>
  <c r="G789" i="53"/>
  <c r="G776" i="53"/>
  <c r="G772" i="53"/>
  <c r="G790" i="53"/>
  <c r="G777" i="53"/>
  <c r="G773" i="53"/>
  <c r="G791" i="53"/>
  <c r="G770" i="53"/>
  <c r="G775" i="53"/>
  <c r="G771" i="53"/>
  <c r="G847" i="53"/>
  <c r="G850" i="53"/>
  <c r="G846" i="53"/>
  <c r="G849" i="53"/>
  <c r="G430" i="53"/>
  <c r="G651" i="53"/>
  <c r="G654" i="53"/>
  <c r="G653" i="53"/>
  <c r="G652" i="53"/>
  <c r="G843" i="53"/>
  <c r="G844" i="53"/>
  <c r="G859" i="53"/>
  <c r="G860" i="53"/>
  <c r="G858" i="53"/>
  <c r="G198" i="53"/>
  <c r="G383" i="53"/>
  <c r="G379" i="53"/>
  <c r="G371" i="53"/>
  <c r="G380" i="53"/>
  <c r="G369" i="53"/>
  <c r="G46" i="53"/>
  <c r="G34" i="53"/>
  <c r="G376" i="53"/>
  <c r="G374" i="53"/>
  <c r="G40" i="53"/>
  <c r="G35" i="53"/>
  <c r="G33" i="53"/>
  <c r="G377" i="53"/>
  <c r="G373" i="53"/>
  <c r="G45" i="53"/>
  <c r="G36" i="53"/>
  <c r="G382" i="53"/>
  <c r="G368" i="53"/>
  <c r="G44" i="53"/>
  <c r="G32" i="53"/>
  <c r="G43" i="53"/>
  <c r="G39" i="53"/>
  <c r="G37" i="53"/>
  <c r="G880" i="53"/>
  <c r="G589" i="53"/>
  <c r="G545" i="53"/>
  <c r="G541" i="53"/>
  <c r="G590" i="53"/>
  <c r="G548" i="53"/>
  <c r="G546" i="53"/>
  <c r="G544" i="53"/>
  <c r="G543" i="53"/>
  <c r="G591" i="53"/>
  <c r="G547" i="53"/>
  <c r="G542" i="53"/>
  <c r="G724" i="53"/>
  <c r="G720" i="53"/>
  <c r="G716" i="53"/>
  <c r="G721" i="53"/>
  <c r="G717" i="53"/>
  <c r="G723" i="53"/>
  <c r="G719" i="53"/>
  <c r="G715" i="53"/>
  <c r="G722" i="53"/>
  <c r="G718" i="53"/>
  <c r="G593" i="53"/>
  <c r="G549" i="53"/>
  <c r="G643" i="53"/>
  <c r="G639" i="53"/>
  <c r="G642" i="53"/>
  <c r="G640" i="53"/>
  <c r="G638" i="53"/>
  <c r="G641" i="53"/>
  <c r="G482" i="53"/>
  <c r="G485" i="53"/>
  <c r="G808" i="53"/>
  <c r="G483" i="53"/>
  <c r="G456" i="53"/>
  <c r="G484" i="53"/>
  <c r="G688" i="53"/>
  <c r="G684" i="53"/>
  <c r="G680" i="53"/>
  <c r="G676" i="53"/>
  <c r="G672" i="53"/>
  <c r="G668" i="53"/>
  <c r="G687" i="53"/>
  <c r="G678" i="53"/>
  <c r="G673" i="53"/>
  <c r="G671" i="53"/>
  <c r="G685" i="53"/>
  <c r="G683" i="53"/>
  <c r="G674" i="53"/>
  <c r="G669" i="53"/>
  <c r="G686" i="53"/>
  <c r="G681" i="53"/>
  <c r="G679" i="53"/>
  <c r="G670" i="53"/>
  <c r="G682" i="53"/>
  <c r="G677" i="53"/>
  <c r="G675" i="53"/>
  <c r="G470" i="53"/>
  <c r="G466" i="53"/>
  <c r="G462" i="53"/>
  <c r="G475" i="53"/>
  <c r="G473" i="53"/>
  <c r="G464" i="53"/>
  <c r="G832" i="53"/>
  <c r="G820" i="53"/>
  <c r="G831" i="53"/>
  <c r="G819" i="53"/>
  <c r="G465" i="53"/>
  <c r="G463" i="53"/>
  <c r="G461" i="53"/>
  <c r="G476" i="53"/>
  <c r="G469" i="53"/>
  <c r="G830" i="53"/>
  <c r="G805" i="53"/>
  <c r="G472" i="53"/>
  <c r="G468" i="53"/>
  <c r="G806" i="53"/>
  <c r="G852" i="53"/>
  <c r="G853" i="53"/>
  <c r="G863" i="53"/>
  <c r="G862" i="53"/>
  <c r="G585" i="53"/>
  <c r="G573" i="53"/>
  <c r="G578" i="53"/>
  <c r="G571" i="53"/>
  <c r="G582" i="53"/>
  <c r="G572" i="53"/>
  <c r="G570" i="53"/>
  <c r="G566" i="53"/>
  <c r="G584" i="53"/>
  <c r="G576" i="53"/>
  <c r="G564" i="53"/>
  <c r="G828" i="53"/>
  <c r="G867" i="53"/>
  <c r="G865" i="53"/>
  <c r="G489" i="53"/>
  <c r="G490" i="53"/>
  <c r="P57" i="55"/>
  <c r="S57" i="55" s="1"/>
  <c r="P56" i="55"/>
  <c r="G242" i="53"/>
  <c r="G233" i="53"/>
  <c r="G236" i="53"/>
  <c r="G164" i="53"/>
  <c r="G287" i="53"/>
  <c r="G101" i="53"/>
  <c r="G102" i="53"/>
  <c r="G103" i="53"/>
  <c r="G104" i="53"/>
  <c r="G105" i="53"/>
  <c r="G111" i="53"/>
  <c r="G486" i="53"/>
  <c r="G552" i="53"/>
  <c r="G558" i="53"/>
  <c r="G488" i="53"/>
  <c r="G845" i="53"/>
  <c r="G807" i="53"/>
  <c r="G477" i="53"/>
  <c r="G467" i="53"/>
  <c r="G632" i="53"/>
  <c r="G455" i="53"/>
  <c r="G666" i="53"/>
  <c r="G665" i="53"/>
  <c r="G151" i="53"/>
  <c r="G636" i="53"/>
  <c r="G441" i="53"/>
  <c r="G634" i="53"/>
  <c r="G743" i="53"/>
  <c r="G737" i="53"/>
  <c r="G381" i="53"/>
  <c r="G736" i="53"/>
  <c r="G739" i="53"/>
  <c r="G740" i="53"/>
  <c r="G735" i="53"/>
  <c r="G664" i="53"/>
  <c r="G734" i="53"/>
  <c r="G741" i="53"/>
  <c r="G163" i="53"/>
  <c r="G742" i="53"/>
  <c r="G729" i="53"/>
  <c r="G744" i="53"/>
  <c r="G745" i="53"/>
  <c r="G738" i="53"/>
  <c r="G714" i="53"/>
  <c r="G731" i="53"/>
  <c r="G733" i="53"/>
  <c r="G48" i="53"/>
  <c r="G23" i="53"/>
  <c r="G165" i="53"/>
  <c r="G15" i="53"/>
  <c r="G13" i="53"/>
  <c r="G9" i="53"/>
  <c r="G1024" i="53"/>
  <c r="G116" i="53"/>
  <c r="G667" i="53"/>
  <c r="G711" i="53"/>
  <c r="G712" i="53"/>
  <c r="G162" i="53"/>
  <c r="G63" i="53"/>
  <c r="G19" i="53"/>
  <c r="G12" i="53"/>
  <c r="G8" i="53"/>
  <c r="G152" i="53"/>
  <c r="G153" i="53"/>
  <c r="G47" i="53"/>
  <c r="G64" i="53"/>
  <c r="G18" i="53"/>
  <c r="G11" i="53"/>
  <c r="G7" i="53"/>
  <c r="AB2" i="53"/>
  <c r="AB1089" i="53"/>
  <c r="Q2" i="55" s="1"/>
  <c r="P60" i="55"/>
  <c r="S60" i="55" s="1"/>
  <c r="G1013" i="53"/>
  <c r="G996" i="53"/>
  <c r="G872" i="53"/>
  <c r="G774" i="53"/>
  <c r="G985" i="53"/>
  <c r="G977" i="53"/>
  <c r="G11" i="59"/>
  <c r="G302" i="53"/>
  <c r="G291" i="53"/>
  <c r="G788" i="53"/>
  <c r="G300" i="53"/>
  <c r="G292" i="53"/>
  <c r="G296" i="53"/>
  <c r="G293" i="53"/>
  <c r="G305" i="53"/>
  <c r="G297" i="53"/>
  <c r="G298" i="53"/>
  <c r="G294" i="53"/>
  <c r="G295" i="53"/>
  <c r="G301" i="53"/>
  <c r="G304" i="53"/>
  <c r="G299" i="53"/>
  <c r="G1010" i="53"/>
  <c r="G993" i="53"/>
  <c r="G999" i="53"/>
  <c r="G1007" i="53"/>
  <c r="G968" i="53"/>
  <c r="G982" i="53"/>
  <c r="G1002" i="53"/>
  <c r="G412" i="53"/>
  <c r="G971" i="53"/>
  <c r="G351" i="53"/>
  <c r="G962" i="53"/>
  <c r="P37" i="55"/>
  <c r="S37" i="55" s="1"/>
  <c r="P55" i="55"/>
  <c r="P31" i="55"/>
  <c r="S31" i="55" s="1"/>
  <c r="P36" i="55"/>
  <c r="S36" i="55" s="1"/>
  <c r="P61" i="55"/>
  <c r="S61" i="55" s="1"/>
  <c r="P53" i="55"/>
  <c r="S53" i="55" s="1"/>
  <c r="P16" i="55"/>
  <c r="G306" i="53"/>
  <c r="G303" i="53"/>
  <c r="N2" i="53"/>
  <c r="G1063" i="53"/>
  <c r="G974" i="53"/>
  <c r="G633" i="53"/>
  <c r="G637" i="53"/>
  <c r="G988" i="53"/>
  <c r="G409" i="53"/>
  <c r="G902" i="53"/>
  <c r="P92" i="55"/>
  <c r="AE769" i="53"/>
  <c r="AE595" i="53"/>
  <c r="AE635" i="53"/>
  <c r="AE821" i="53"/>
  <c r="G12" i="26"/>
  <c r="F12" i="26"/>
  <c r="AE824" i="53"/>
  <c r="G98" i="55"/>
  <c r="H98" i="55"/>
  <c r="G26" i="55"/>
  <c r="H26" i="55"/>
  <c r="Z12" i="26"/>
  <c r="M125" i="55" a="1"/>
  <c r="M125" i="55" s="1"/>
  <c r="O125" i="55" s="1"/>
  <c r="M134" i="55" a="1"/>
  <c r="M134" i="55" s="1"/>
  <c r="P108" i="55"/>
  <c r="P146" i="55"/>
  <c r="S146" i="55" s="1"/>
  <c r="P118" i="55"/>
  <c r="S118" i="55" s="1"/>
  <c r="P105"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s="1"/>
  <c r="M27" i="55" a="1"/>
  <c r="M27" i="55" s="1"/>
  <c r="M156" i="55" a="1"/>
  <c r="M156" i="55" s="1"/>
  <c r="M105" i="55" a="1"/>
  <c r="M105" i="55" s="1"/>
  <c r="AB12" i="26"/>
  <c r="AG14" i="26"/>
  <c r="AI14" i="26"/>
  <c r="I14" i="26"/>
  <c r="AK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G63" i="55"/>
  <c r="G48" i="55"/>
  <c r="P132" i="55"/>
  <c r="P166" i="55"/>
  <c r="S166" i="55" s="1"/>
  <c r="N147" i="55" a="1"/>
  <c r="N147" i="55" s="1"/>
  <c r="N172" i="55" a="1"/>
  <c r="N172" i="55" s="1"/>
  <c r="M16" i="55" a="1"/>
  <c r="M16" i="55" s="1"/>
  <c r="N27" i="55" a="1"/>
  <c r="N27" i="55" s="1"/>
  <c r="N157" i="55" a="1"/>
  <c r="N157" i="55" s="1"/>
  <c r="N129" i="55" a="1"/>
  <c r="N129" i="55" s="1"/>
  <c r="N56" i="55" a="1"/>
  <c r="N56" i="55" s="1"/>
  <c r="H84" i="55"/>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M171" i="55" a="1"/>
  <c r="M171" i="55" s="1"/>
  <c r="M167" i="55" a="1"/>
  <c r="M167" i="55" s="1"/>
  <c r="P72" i="55"/>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N114" i="55"/>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G61" i="55"/>
  <c r="H61" i="55"/>
  <c r="H146" i="55"/>
  <c r="G52" i="55"/>
  <c r="H52" i="55"/>
  <c r="G20" i="55"/>
  <c r="H20" i="55"/>
  <c r="G9" i="55"/>
  <c r="H9" i="55"/>
  <c r="G96" i="55"/>
  <c r="H96" i="55"/>
  <c r="H77" i="55"/>
  <c r="L77" i="55" a="1"/>
  <c r="L77" i="55" s="1"/>
  <c r="G77" i="55"/>
  <c r="K77" i="55" a="1"/>
  <c r="K77" i="55" s="1"/>
  <c r="G40" i="55"/>
  <c r="H40" i="55"/>
  <c r="L82" i="55"/>
  <c r="K82" i="55" a="1"/>
  <c r="K82" i="55" s="1"/>
  <c r="G82" i="55"/>
  <c r="H82" i="55"/>
  <c r="N154" i="55" a="1"/>
  <c r="N154" i="55" s="1"/>
  <c r="D6" i="26"/>
  <c r="E7" i="26"/>
  <c r="F7" i="26" s="1"/>
  <c r="K14" i="26"/>
  <c r="AK12" i="26"/>
  <c r="F14" i="26"/>
  <c r="E12" i="26"/>
  <c r="AC14" i="26"/>
  <c r="M14" i="26"/>
  <c r="AD12" i="26"/>
  <c r="W14" i="26"/>
  <c r="AF12" i="26"/>
  <c r="AL12" i="26"/>
  <c r="H91" i="55"/>
  <c r="G91" i="55"/>
  <c r="H38" i="55"/>
  <c r="G38" i="55"/>
  <c r="H13" i="55"/>
  <c r="G13" i="55"/>
  <c r="N75" i="55" a="1"/>
  <c r="N75" i="55" s="1"/>
  <c r="N131" i="55" a="1"/>
  <c r="N131" i="55" s="1"/>
  <c r="N118" i="55" a="1"/>
  <c r="N118" i="55" s="1"/>
  <c r="N82" i="55" a="1"/>
  <c r="N82" i="55" s="1"/>
  <c r="N161" i="55" a="1"/>
  <c r="N161" i="55" s="1"/>
  <c r="N2" i="55"/>
  <c r="N51" i="55" a="1"/>
  <c r="N51" i="55" s="1"/>
  <c r="N43" i="55" a="1"/>
  <c r="N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G103" i="55"/>
  <c r="G60" i="55"/>
  <c r="H60" i="55"/>
  <c r="H78" i="55"/>
  <c r="G75" i="55"/>
  <c r="H99" i="55"/>
  <c r="H62" i="55"/>
  <c r="L67" i="55" a="1"/>
  <c r="L67" i="55" s="1"/>
  <c r="G67" i="55"/>
  <c r="G70" i="55"/>
  <c r="G7" i="55"/>
  <c r="L45" i="55" a="1"/>
  <c r="L45" i="55" s="1"/>
  <c r="K67" i="55" a="1"/>
  <c r="K67" i="55" s="1"/>
  <c r="H68" i="55"/>
  <c r="H59" i="55"/>
  <c r="L79" i="55" a="1"/>
  <c r="L79" i="55" s="1"/>
  <c r="G79" i="55"/>
  <c r="G21" i="55"/>
  <c r="K79" i="55" a="1"/>
  <c r="K79" i="55" s="1"/>
  <c r="R177" i="55"/>
  <c r="T177" i="55" s="1"/>
  <c r="H119" i="55"/>
  <c r="R178" i="55"/>
  <c r="T178" i="55" s="1"/>
  <c r="L178" i="55" a="1"/>
  <c r="L178" i="55" s="1"/>
  <c r="G178" i="55"/>
  <c r="H178" i="55"/>
  <c r="K178" i="55" a="1"/>
  <c r="K178" i="55" s="1"/>
  <c r="G177" i="55"/>
  <c r="H177" i="55"/>
  <c r="K177" i="55" a="1"/>
  <c r="K177" i="55" s="1"/>
  <c r="L177" i="55" a="1"/>
  <c r="L177" i="55" s="1"/>
  <c r="G176" i="55"/>
  <c r="H176" i="55"/>
  <c r="G959" i="53"/>
  <c r="R175" i="55"/>
  <c r="T175" i="55" s="1"/>
  <c r="K182" i="55" a="1"/>
  <c r="K182" i="55" s="1"/>
  <c r="G523" i="53"/>
  <c r="G332" i="53"/>
  <c r="P47" i="55"/>
  <c r="O12" i="59"/>
  <c r="U12" i="59" s="1"/>
  <c r="P96" i="55"/>
  <c r="R96" i="55" s="1"/>
  <c r="P30" i="55"/>
  <c r="P13" i="55"/>
  <c r="P70" i="55"/>
  <c r="S70" i="55" s="1"/>
  <c r="O6" i="59"/>
  <c r="U6" i="59" s="1"/>
  <c r="P71" i="55"/>
  <c r="S71" i="55" s="1"/>
  <c r="P138" i="55"/>
  <c r="P173" i="55"/>
  <c r="S173" i="55" s="1"/>
  <c r="P172" i="55"/>
  <c r="R172" i="55" s="1"/>
  <c r="P69" i="55"/>
  <c r="P58" i="55"/>
  <c r="P128" i="55"/>
  <c r="S128" i="55" s="1"/>
  <c r="P20" i="55"/>
  <c r="S20" i="55" s="1"/>
  <c r="P145" i="55"/>
  <c r="S145" i="55" s="1"/>
  <c r="P179" i="55"/>
  <c r="S179" i="55" s="1"/>
  <c r="T179" i="55" s="1"/>
  <c r="P164" i="55"/>
  <c r="S164" i="55" s="1"/>
  <c r="P160" i="55"/>
  <c r="S160" i="55" s="1"/>
  <c r="P74" i="55"/>
  <c r="S74" i="55" s="1"/>
  <c r="P112" i="55"/>
  <c r="S112" i="55" s="1"/>
  <c r="P109" i="55"/>
  <c r="S109" i="55" s="1"/>
  <c r="P102" i="55"/>
  <c r="AE842" i="53"/>
  <c r="P144" i="55"/>
  <c r="R144" i="55" s="1"/>
  <c r="P150" i="55"/>
  <c r="S150" i="55" s="1"/>
  <c r="P73" i="55"/>
  <c r="S73" i="55" s="1"/>
  <c r="P142" i="55"/>
  <c r="R142" i="55" s="1"/>
  <c r="AE734" i="53"/>
  <c r="P133" i="55"/>
  <c r="R133" i="55" s="1"/>
  <c r="P99" i="55"/>
  <c r="S99" i="55" s="1"/>
  <c r="P111" i="55"/>
  <c r="S105" i="55"/>
  <c r="P42" i="55"/>
  <c r="S42" i="55" s="1"/>
  <c r="S101" i="55"/>
  <c r="Q183" i="55"/>
  <c r="AE98" i="53"/>
  <c r="T130" i="55"/>
  <c r="S55" i="55"/>
  <c r="S62" i="55"/>
  <c r="S127" i="55"/>
  <c r="S56" i="55"/>
  <c r="S92" i="55"/>
  <c r="S16" i="55"/>
  <c r="T45" i="55"/>
  <c r="T149"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145" i="55"/>
  <c r="G145" i="55"/>
  <c r="H131" i="55"/>
  <c r="L131" i="55" a="1"/>
  <c r="L131" i="55" s="1"/>
  <c r="K131" i="55" a="1"/>
  <c r="K131" i="55" s="1"/>
  <c r="G44" i="55"/>
  <c r="H44" i="55"/>
  <c r="H32" i="55"/>
  <c r="H54" i="55"/>
  <c r="G54" i="55"/>
  <c r="G18" i="55"/>
  <c r="H18" i="55"/>
  <c r="G46" i="55"/>
  <c r="H46" i="55"/>
  <c r="G25" i="55"/>
  <c r="H25" i="55"/>
  <c r="L155" i="55" a="1"/>
  <c r="L155" i="55" s="1"/>
  <c r="K155" i="55" a="1"/>
  <c r="K155" i="55" s="1"/>
  <c r="H155" i="55"/>
  <c r="G155" i="55"/>
  <c r="G97" i="55"/>
  <c r="H97" i="55"/>
  <c r="H31" i="55"/>
  <c r="H125" i="55"/>
  <c r="H64" i="55"/>
  <c r="K137" i="55" a="1"/>
  <c r="K137" i="55" s="1"/>
  <c r="H135" i="55"/>
  <c r="G49" i="55"/>
  <c r="H49" i="55"/>
  <c r="G87" i="55"/>
  <c r="H87" i="55"/>
  <c r="L87" i="55" a="1"/>
  <c r="L87" i="55" s="1"/>
  <c r="G19" i="55"/>
  <c r="G887" i="53"/>
  <c r="G893" i="53"/>
  <c r="G559" i="53"/>
  <c r="G560" i="53"/>
  <c r="G532" i="53"/>
  <c r="G900" i="53"/>
  <c r="G529" i="53"/>
  <c r="G895" i="53"/>
  <c r="G889" i="53"/>
  <c r="G901" i="53"/>
  <c r="G904" i="53"/>
  <c r="G899" i="53"/>
  <c r="G891" i="53"/>
  <c r="G536" i="53"/>
  <c r="G663" i="53"/>
  <c r="G535" i="53"/>
  <c r="G538" i="53"/>
  <c r="G121" i="53"/>
  <c r="G908" i="53"/>
  <c r="G539" i="53"/>
  <c r="G907" i="53"/>
  <c r="G906" i="53"/>
  <c r="G1051" i="53"/>
  <c r="G905" i="53"/>
  <c r="G1036" i="53"/>
  <c r="G167" i="53"/>
  <c r="G897" i="53"/>
  <c r="G534" i="53"/>
  <c r="G827" i="53"/>
  <c r="G533" i="53"/>
  <c r="G587" i="53"/>
  <c r="G554" i="53"/>
  <c r="G586" i="53"/>
  <c r="G892" i="53"/>
  <c r="G131" i="53"/>
  <c r="G896" i="53"/>
  <c r="G898" i="53"/>
  <c r="G894" i="53"/>
  <c r="G888" i="53"/>
  <c r="G537" i="53"/>
  <c r="G882" i="53"/>
  <c r="G1025" i="53"/>
  <c r="G881" i="53"/>
  <c r="G766" i="53"/>
  <c r="G886" i="53"/>
  <c r="G884" i="53"/>
  <c r="G255" i="53"/>
  <c r="G885" i="53"/>
  <c r="G248" i="53"/>
  <c r="G883" i="53"/>
  <c r="G261" i="53"/>
  <c r="G260" i="53"/>
  <c r="G170" i="53"/>
  <c r="G266" i="53"/>
  <c r="G256" i="53"/>
  <c r="G249" i="53"/>
  <c r="G252" i="53"/>
  <c r="G247" i="53"/>
  <c r="G662" i="53"/>
  <c r="G540" i="53"/>
  <c r="G257" i="53"/>
  <c r="G150" i="53"/>
  <c r="G127" i="53"/>
  <c r="G1062" i="53"/>
  <c r="G130" i="53"/>
  <c r="G378" i="53"/>
  <c r="G375" i="53"/>
  <c r="G133" i="53"/>
  <c r="G701" i="53"/>
  <c r="G367" i="53"/>
  <c r="G389" i="53"/>
  <c r="G372" i="53"/>
  <c r="G136" i="53"/>
  <c r="G1055" i="53"/>
  <c r="G129" i="53"/>
  <c r="G370" i="53"/>
  <c r="G148" i="53"/>
  <c r="G132" i="53"/>
  <c r="G95" i="53"/>
  <c r="G709" i="53"/>
  <c r="G126" i="53"/>
  <c r="G387" i="53"/>
  <c r="G149" i="53"/>
  <c r="G135" i="53"/>
  <c r="G155" i="53"/>
  <c r="G134" i="53"/>
  <c r="G708" i="53"/>
  <c r="G166" i="53"/>
  <c r="G474" i="53"/>
  <c r="G180" i="53"/>
  <c r="G86" i="53"/>
  <c r="G83" i="53"/>
  <c r="G495" i="53"/>
  <c r="G1053" i="53"/>
  <c r="G31" i="53"/>
  <c r="G705" i="53"/>
  <c r="G857" i="53"/>
  <c r="G169" i="53"/>
  <c r="G494" i="53"/>
  <c r="G38" i="53"/>
  <c r="G98" i="53"/>
  <c r="G458" i="53"/>
  <c r="G707" i="53"/>
  <c r="G1058" i="53"/>
  <c r="G706" i="53"/>
  <c r="G42" i="53"/>
  <c r="G26" i="53"/>
  <c r="G514" i="53"/>
  <c r="G29" i="53"/>
  <c r="G459" i="53"/>
  <c r="G41" i="53"/>
  <c r="G457" i="53"/>
  <c r="G30" i="53"/>
  <c r="G471" i="53"/>
  <c r="G829" i="53"/>
  <c r="G804" i="53"/>
  <c r="G1018" i="53"/>
  <c r="G1019" i="53"/>
  <c r="E6" i="26"/>
  <c r="G1059" i="53"/>
  <c r="G1060" i="53"/>
  <c r="G207" i="53"/>
  <c r="G209" i="53"/>
  <c r="G253" i="53"/>
  <c r="G205" i="53"/>
  <c r="G263" i="53"/>
  <c r="G210" i="53"/>
  <c r="G265" i="53"/>
  <c r="G250" i="53"/>
  <c r="G211" i="53"/>
  <c r="G262" i="53"/>
  <c r="G254" i="53"/>
  <c r="G264" i="53"/>
  <c r="G251" i="53"/>
  <c r="G259" i="53"/>
  <c r="G208" i="53"/>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N134" i="55" a="1"/>
  <c r="N134" i="55" s="1"/>
  <c r="N145" i="55" a="1"/>
  <c r="N145" i="55" s="1"/>
  <c r="N23" i="55" a="1"/>
  <c r="N23" i="55" s="1"/>
  <c r="N126" i="55" a="1"/>
  <c r="N126" i="55" s="1"/>
  <c r="N40" i="55" a="1"/>
  <c r="N40" i="55" s="1"/>
  <c r="N137" i="55" a="1"/>
  <c r="N137" i="55" s="1"/>
  <c r="N44" i="55" a="1"/>
  <c r="N44" i="55" s="1"/>
  <c r="N120" i="55" a="1"/>
  <c r="N120" i="55" s="1"/>
  <c r="N127" i="55" a="1"/>
  <c r="N127" i="55" s="1"/>
  <c r="N108" i="55" a="1"/>
  <c r="N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N143" i="55" a="1"/>
  <c r="N143" i="55" s="1"/>
  <c r="N57" i="55" a="1"/>
  <c r="N57" i="55" s="1"/>
  <c r="T163" i="55"/>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N13" i="55" a="1"/>
  <c r="N13" i="55" s="1"/>
  <c r="N106" i="55" a="1"/>
  <c r="N106" i="55" s="1"/>
  <c r="G41" i="55"/>
  <c r="H149" i="55"/>
  <c r="H55" i="55"/>
  <c r="H163" i="55"/>
  <c r="H106" i="55"/>
  <c r="G34" i="55"/>
  <c r="H34" i="55"/>
  <c r="L76" i="55" a="1"/>
  <c r="L76" i="55" s="1"/>
  <c r="K76" i="55" a="1"/>
  <c r="K76" i="55" s="1"/>
  <c r="G76" i="55"/>
  <c r="H76" i="55"/>
  <c r="G170" i="55"/>
  <c r="H170" i="55"/>
  <c r="N95" i="55" a="1"/>
  <c r="N95" i="55" s="1"/>
  <c r="N53" i="55" a="1"/>
  <c r="N53" i="55" s="1"/>
  <c r="N84" i="55" a="1"/>
  <c r="N84" i="55" s="1"/>
  <c r="N63" i="55" a="1"/>
  <c r="N63" i="55" s="1"/>
  <c r="N89" i="55" a="1"/>
  <c r="N89" i="55" s="1"/>
  <c r="N26" i="55" a="1"/>
  <c r="N26" i="55" s="1"/>
  <c r="P176" i="55"/>
  <c r="R176" i="55" s="1"/>
  <c r="AE879" i="53"/>
  <c r="P129" i="55"/>
  <c r="P117" i="55"/>
  <c r="S117" i="55" s="1"/>
  <c r="Y12" i="26"/>
  <c r="G14" i="26"/>
  <c r="AJ12" i="26"/>
  <c r="C6" i="26"/>
  <c r="K12" i="26"/>
  <c r="H12" i="26"/>
  <c r="AE14" i="26"/>
  <c r="R14" i="26"/>
  <c r="AE12" i="26"/>
  <c r="AB14" i="26"/>
  <c r="J12" i="26"/>
  <c r="N12" i="26"/>
  <c r="D12" i="26"/>
  <c r="B6" i="26"/>
  <c r="V14" i="26"/>
  <c r="P12" i="26"/>
  <c r="N176" i="55" a="1"/>
  <c r="N176" i="55" s="1"/>
  <c r="O176" i="55" s="1"/>
  <c r="N178" i="55" a="1"/>
  <c r="N178" i="55" s="1"/>
  <c r="N177" i="55" a="1"/>
  <c r="N177" i="55" s="1"/>
  <c r="H45" i="55"/>
  <c r="K45" i="55" a="1"/>
  <c r="K45" i="55" s="1"/>
  <c r="H114" i="55"/>
  <c r="G114" i="55"/>
  <c r="G95" i="55"/>
  <c r="H95" i="55"/>
  <c r="H8" i="55"/>
  <c r="G8" i="55"/>
  <c r="H33" i="55"/>
  <c r="G33" i="55"/>
  <c r="H71" i="55"/>
  <c r="G71" i="55"/>
  <c r="K57" i="55" a="1"/>
  <c r="K57" i="55" s="1"/>
  <c r="L57" i="55" a="1"/>
  <c r="L57" i="55" s="1"/>
  <c r="H57" i="55"/>
  <c r="L130" i="55" a="1"/>
  <c r="L130" i="55" s="1"/>
  <c r="H130" i="55"/>
  <c r="L83" i="55" a="1"/>
  <c r="L83" i="55" s="1"/>
  <c r="G83" i="55"/>
  <c r="K83" i="55" a="1"/>
  <c r="K83" i="55" s="1"/>
  <c r="H83" i="55"/>
  <c r="L14" i="55" a="1"/>
  <c r="L14" i="55" s="1"/>
  <c r="P97" i="55"/>
  <c r="R97" i="55" s="1"/>
  <c r="P119" i="55"/>
  <c r="R119" i="55" s="1"/>
  <c r="K14" i="55" a="1"/>
  <c r="K14" i="55" s="1"/>
  <c r="K12" i="55" a="1"/>
  <c r="K12" i="55" s="1"/>
  <c r="P26" i="55"/>
  <c r="S26" i="55" s="1"/>
  <c r="G56" i="55"/>
  <c r="P33" i="55"/>
  <c r="S33" i="55" s="1"/>
  <c r="P50" i="55"/>
  <c r="S50" i="55" s="1"/>
  <c r="L123" i="55" a="1"/>
  <c r="L123" i="55" s="1"/>
  <c r="P49" i="55"/>
  <c r="P170" i="55"/>
  <c r="S170" i="55" s="1"/>
  <c r="L12" i="55" a="1"/>
  <c r="L12" i="55" s="1"/>
  <c r="G14" i="55"/>
  <c r="P115" i="55"/>
  <c r="P91" i="55"/>
  <c r="P46" i="55"/>
  <c r="S46" i="55" s="1"/>
  <c r="P103" i="55"/>
  <c r="S103" i="55" s="1"/>
  <c r="O5" i="59"/>
  <c r="U5" i="59" s="1"/>
  <c r="S168" i="55"/>
  <c r="P27" i="55"/>
  <c r="S27" i="55" s="1"/>
  <c r="L93" i="55" a="1"/>
  <c r="L93" i="55" s="1"/>
  <c r="P52" i="55"/>
  <c r="S52" i="55" s="1"/>
  <c r="G100" i="55"/>
  <c r="H123" i="55"/>
  <c r="H28" i="55"/>
  <c r="X1070" i="53"/>
  <c r="H93" i="55"/>
  <c r="P120" i="55"/>
  <c r="Z2" i="53"/>
  <c r="H112" i="55"/>
  <c r="P94" i="55"/>
  <c r="R94" i="55" s="1"/>
  <c r="P48" i="55"/>
  <c r="S48" i="55" s="1"/>
  <c r="P25" i="55"/>
  <c r="L124" i="55" a="1"/>
  <c r="L124" i="55" s="1"/>
  <c r="S108" i="55"/>
  <c r="L157" i="55" a="1"/>
  <c r="L157" i="55" s="1"/>
  <c r="P44" i="55"/>
  <c r="S44" i="55" s="1"/>
  <c r="P65" i="55"/>
  <c r="S65" i="55" s="1"/>
  <c r="P75" i="55"/>
  <c r="K124" i="55" a="1"/>
  <c r="K124" i="55" s="1"/>
  <c r="H157" i="55"/>
  <c r="P54" i="55"/>
  <c r="P113" i="55"/>
  <c r="P121" i="55"/>
  <c r="R121" i="55" s="1"/>
  <c r="P165" i="55"/>
  <c r="R165" i="55" s="1"/>
  <c r="P35" i="55"/>
  <c r="R68" i="55"/>
  <c r="P18" i="55"/>
  <c r="S18" i="55" s="1"/>
  <c r="G12" i="55"/>
  <c r="G42" i="55"/>
  <c r="P64" i="55"/>
  <c r="S64" i="55" s="1"/>
  <c r="P114" i="55"/>
  <c r="G29" i="55"/>
  <c r="L88" i="55" a="1"/>
  <c r="L88" i="55" s="1"/>
  <c r="G113" i="55"/>
  <c r="P28" i="55"/>
  <c r="S28" i="55" s="1"/>
  <c r="P143" i="55"/>
  <c r="P151" i="55"/>
  <c r="P167" i="55"/>
  <c r="S167" i="55" s="1"/>
  <c r="P140" i="55"/>
  <c r="S140" i="55" s="1"/>
  <c r="P139" i="55"/>
  <c r="R139" i="55" s="1"/>
  <c r="G123" i="55"/>
  <c r="P122" i="55"/>
  <c r="S122" i="55" s="1"/>
  <c r="P156" i="55"/>
  <c r="R156" i="55" s="1"/>
  <c r="O20" i="59"/>
  <c r="U20" i="59" s="1"/>
  <c r="G30" i="55"/>
  <c r="G23" i="55"/>
  <c r="P40" i="55"/>
  <c r="S40" i="55" s="1"/>
  <c r="F6" i="59"/>
  <c r="F4" i="59"/>
  <c r="I21" i="59"/>
  <c r="L147" i="55" a="1"/>
  <c r="L147" i="55" s="1"/>
  <c r="P43" i="55"/>
  <c r="AE423" i="53"/>
  <c r="P110" i="55"/>
  <c r="S110" i="55" s="1"/>
  <c r="P125" i="55"/>
  <c r="S125" i="55" s="1"/>
  <c r="G92" i="55"/>
  <c r="P171" i="55"/>
  <c r="S171" i="55" s="1"/>
  <c r="H121" i="55"/>
  <c r="I183" i="55"/>
  <c r="N1089" i="53"/>
  <c r="P1089" i="53"/>
  <c r="L172" i="55" s="1" a="1"/>
  <c r="L172" i="55" s="1"/>
  <c r="P2" i="53"/>
  <c r="I2" i="55"/>
  <c r="P9" i="55"/>
  <c r="S9" i="55" s="1"/>
  <c r="H109" i="55"/>
  <c r="X8" i="53"/>
  <c r="H88" i="55"/>
  <c r="K88" i="55" a="1"/>
  <c r="K88" i="55" s="1"/>
  <c r="H147" i="55"/>
  <c r="H105" i="55"/>
  <c r="H172" i="55"/>
  <c r="G18" i="59"/>
  <c r="O4" i="59"/>
  <c r="T4" i="59" s="1"/>
  <c r="AE126" i="53"/>
  <c r="P38" i="55"/>
  <c r="S38" i="55" s="1"/>
  <c r="N59" i="55" a="1"/>
  <c r="N59" i="55" s="1"/>
  <c r="N24" i="55" a="1"/>
  <c r="N24" i="55" s="1"/>
  <c r="N20" i="55" a="1"/>
  <c r="N20" i="55" s="1"/>
  <c r="N182" i="55" a="1"/>
  <c r="N182" i="55" s="1"/>
  <c r="N151" i="55" a="1"/>
  <c r="N151" i="55" s="1"/>
  <c r="N31" i="55" a="1"/>
  <c r="N31" i="55" s="1"/>
  <c r="N169" i="55" a="1"/>
  <c r="N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N146" i="55" a="1"/>
  <c r="N146" i="55" s="1"/>
  <c r="N130" i="55" a="1"/>
  <c r="N130" i="55" s="1"/>
  <c r="N167" i="55" a="1"/>
  <c r="N167" i="55" s="1"/>
  <c r="O167" i="55" s="1"/>
  <c r="N179" i="55" a="1"/>
  <c r="N179" i="55" s="1"/>
  <c r="N93" i="55" a="1"/>
  <c r="N93" i="55" s="1"/>
  <c r="N49" i="55" a="1"/>
  <c r="N49" i="55" s="1"/>
  <c r="N80" i="55" a="1"/>
  <c r="N80" i="55" s="1"/>
  <c r="N18" i="55" a="1"/>
  <c r="N18" i="55" s="1"/>
  <c r="N132" i="55" a="1"/>
  <c r="N132" i="55" s="1"/>
  <c r="N155" i="55" a="1"/>
  <c r="N155" i="55" s="1"/>
  <c r="N117" i="55" a="1"/>
  <c r="N117" i="55" s="1"/>
  <c r="N175" i="55" a="1"/>
  <c r="N175" i="55" s="1"/>
  <c r="N83" i="55" a="1"/>
  <c r="N83" i="55" s="1"/>
  <c r="N77" i="55" a="1"/>
  <c r="N77" i="55" s="1"/>
  <c r="N171" i="55" a="1"/>
  <c r="N171" i="55" s="1"/>
  <c r="P158" i="55"/>
  <c r="O18" i="59"/>
  <c r="U18" i="59" s="1"/>
  <c r="P7" i="55"/>
  <c r="AE412" i="53"/>
  <c r="Z1089" i="53"/>
  <c r="AE1089" i="53" s="1"/>
  <c r="L78" i="55" a="1"/>
  <c r="L78" i="55" s="1"/>
  <c r="G78" i="55"/>
  <c r="P134" i="55"/>
  <c r="P21" i="55"/>
  <c r="S21" i="55" s="1"/>
  <c r="P19" i="55"/>
  <c r="S19" i="55" s="1"/>
  <c r="AE162" i="53"/>
  <c r="P59" i="55"/>
  <c r="S59" i="55" s="1"/>
  <c r="AE7" i="53"/>
  <c r="P8" i="55"/>
  <c r="G62" i="55"/>
  <c r="P41" i="55"/>
  <c r="O19" i="59"/>
  <c r="U19" i="59" s="1"/>
  <c r="K78" i="55" a="1"/>
  <c r="K78" i="55" s="1"/>
  <c r="H47" i="55"/>
  <c r="G47" i="55"/>
  <c r="P23" i="55"/>
  <c r="S23" i="55" s="1"/>
  <c r="M178" i="55" a="1"/>
  <c r="M178" i="55" s="1"/>
  <c r="O178" i="55" s="1"/>
  <c r="M12" i="59"/>
  <c r="F19" i="59"/>
  <c r="L11" i="59"/>
  <c r="N65" i="55" a="1"/>
  <c r="N65" i="55" s="1"/>
  <c r="N156" i="55" a="1"/>
  <c r="N156" i="55" s="1"/>
  <c r="O156" i="55" s="1"/>
  <c r="N73" i="55" a="1"/>
  <c r="N73" i="55" s="1"/>
  <c r="N96" i="55" a="1"/>
  <c r="N96" i="55" s="1"/>
  <c r="N16" i="55" a="1"/>
  <c r="N16" i="55" s="1"/>
  <c r="O16" i="55" s="1"/>
  <c r="G4" i="59"/>
  <c r="M4" i="59" s="1"/>
  <c r="N138" i="55" a="1"/>
  <c r="N138" i="55" s="1"/>
  <c r="N174" i="55" a="1"/>
  <c r="N174" i="55" s="1"/>
  <c r="N19" i="55" a="1"/>
  <c r="N19" i="55" s="1"/>
  <c r="N173" i="55" a="1"/>
  <c r="N173" i="55" s="1"/>
  <c r="N62" i="55" a="1"/>
  <c r="N62" i="55" s="1"/>
  <c r="G958" i="53"/>
  <c r="S14" i="26"/>
  <c r="N11" i="55" a="1"/>
  <c r="N11" i="55" s="1"/>
  <c r="N64" i="55" a="1"/>
  <c r="N64" i="55" s="1"/>
  <c r="N128" i="55" a="1"/>
  <c r="N128" i="55" s="1"/>
  <c r="N166" i="55" a="1"/>
  <c r="N166" i="55" s="1"/>
  <c r="N144" i="55" a="1"/>
  <c r="N144" i="55" s="1"/>
  <c r="N119" i="55" a="1"/>
  <c r="N119" i="55" s="1"/>
  <c r="N34" i="55" a="1"/>
  <c r="N34" i="55" s="1"/>
  <c r="O34" i="55" s="1"/>
  <c r="X9" i="53"/>
  <c r="N38" i="55" a="1"/>
  <c r="N38" i="55" s="1"/>
  <c r="N104" i="55" a="1"/>
  <c r="N104" i="55" s="1"/>
  <c r="N30" i="55" a="1"/>
  <c r="N30" i="55" s="1"/>
  <c r="G19" i="59"/>
  <c r="N22" i="55" a="1"/>
  <c r="N22" i="55" s="1"/>
  <c r="N159" i="55" a="1"/>
  <c r="N159" i="55" s="1"/>
  <c r="N162" i="55" a="1"/>
  <c r="N162" i="55" s="1"/>
  <c r="N12" i="55" a="1"/>
  <c r="N12" i="55" s="1"/>
  <c r="N148" i="55" a="1"/>
  <c r="N148" i="55" s="1"/>
  <c r="N121" i="55" a="1"/>
  <c r="N121" i="55" s="1"/>
  <c r="N36" i="55" a="1"/>
  <c r="N36" i="55" s="1"/>
  <c r="N21" i="55" a="1"/>
  <c r="N21" i="55" s="1"/>
  <c r="AA14" i="26"/>
  <c r="N112" i="55" a="1"/>
  <c r="N112" i="55" s="1"/>
  <c r="N183" i="55"/>
  <c r="O183" i="55" s="1"/>
  <c r="N70" i="55" a="1"/>
  <c r="N70" i="55" s="1"/>
  <c r="N69" i="55" a="1"/>
  <c r="N69" i="55" s="1"/>
  <c r="N98" i="55" a="1"/>
  <c r="N98" i="55" s="1"/>
  <c r="N52" i="55" a="1"/>
  <c r="N52" i="55" s="1"/>
  <c r="O52" i="55" s="1"/>
  <c r="N14" i="55" a="1"/>
  <c r="N14" i="55" s="1"/>
  <c r="D9" i="57"/>
  <c r="D6" i="57"/>
  <c r="D8" i="57"/>
  <c r="D10" i="57"/>
  <c r="D7" i="57"/>
  <c r="D12" i="57"/>
  <c r="D5" i="57"/>
  <c r="D11" i="57"/>
  <c r="K9" i="55" l="1" a="1"/>
  <c r="K9" i="55" s="1"/>
  <c r="R134" i="55"/>
  <c r="R21" i="59"/>
  <c r="P14" i="59"/>
  <c r="S21" i="59"/>
  <c r="E21" i="59"/>
  <c r="F20" i="59"/>
  <c r="D7" i="59"/>
  <c r="E14" i="59"/>
  <c r="S14" i="59"/>
  <c r="C7" i="59"/>
  <c r="N7" i="59" s="1"/>
  <c r="Q14" i="59"/>
  <c r="N18" i="59"/>
  <c r="H14" i="59"/>
  <c r="K14" i="59"/>
  <c r="R14" i="59"/>
  <c r="K21" i="59"/>
  <c r="Q7" i="59"/>
  <c r="E7" i="59"/>
  <c r="R141" i="55"/>
  <c r="N4" i="59"/>
  <c r="K7" i="59"/>
  <c r="S7" i="59"/>
  <c r="V20" i="59"/>
  <c r="V6" i="59"/>
  <c r="H7" i="59"/>
  <c r="V4" i="59"/>
  <c r="L19" i="59"/>
  <c r="H21" i="59"/>
  <c r="P21" i="59"/>
  <c r="D21" i="59"/>
  <c r="I14" i="59"/>
  <c r="P7" i="59"/>
  <c r="V7" i="59" s="1"/>
  <c r="I7" i="59"/>
  <c r="L12" i="59"/>
  <c r="D14" i="59"/>
  <c r="F14" i="59" s="1" a="1"/>
  <c r="F14" i="59" s="1"/>
  <c r="C14" i="59"/>
  <c r="N14" i="59" s="1"/>
  <c r="N5" i="59"/>
  <c r="L13" i="59"/>
  <c r="C21" i="59"/>
  <c r="G14" i="59"/>
  <c r="V5" i="59"/>
  <c r="N6" i="59"/>
  <c r="F5" i="59"/>
  <c r="G120" i="55"/>
  <c r="H74" i="55"/>
  <c r="G148" i="55"/>
  <c r="H156" i="55"/>
  <c r="G90" i="55"/>
  <c r="R7" i="59"/>
  <c r="N20" i="59"/>
  <c r="J21" i="59"/>
  <c r="T81" i="55"/>
  <c r="F18" i="59"/>
  <c r="T89" i="55"/>
  <c r="S141" i="55"/>
  <c r="G20" i="59"/>
  <c r="L20" i="59" s="1"/>
  <c r="H102" i="55"/>
  <c r="G51" i="55"/>
  <c r="R166" i="55"/>
  <c r="G66" i="55"/>
  <c r="J2" i="55"/>
  <c r="R7" i="55"/>
  <c r="K90" i="55" a="1"/>
  <c r="K90" i="55" s="1"/>
  <c r="H90" i="55"/>
  <c r="H127" i="55"/>
  <c r="L148" i="55" a="1"/>
  <c r="L148" i="55" s="1"/>
  <c r="G143" i="55"/>
  <c r="H137" i="55"/>
  <c r="H161" i="55"/>
  <c r="R47" i="55"/>
  <c r="R30" i="55"/>
  <c r="R41" i="55"/>
  <c r="V18" i="59"/>
  <c r="R16" i="55"/>
  <c r="T16" i="55" s="1"/>
  <c r="V19" i="59"/>
  <c r="T14" i="55"/>
  <c r="R138" i="55"/>
  <c r="V13" i="59"/>
  <c r="T110" i="55"/>
  <c r="R143" i="55"/>
  <c r="R115" i="55"/>
  <c r="R8" i="55"/>
  <c r="T13" i="59"/>
  <c r="R111" i="55"/>
  <c r="O47" i="55"/>
  <c r="R164" i="55"/>
  <c r="O21" i="55"/>
  <c r="R72" i="55"/>
  <c r="R55" i="55"/>
  <c r="L103" i="55" a="1"/>
  <c r="L103" i="55" s="1"/>
  <c r="L9" i="55" a="1"/>
  <c r="L9" i="55" s="1"/>
  <c r="L62" i="55" a="1"/>
  <c r="L62" i="55" s="1"/>
  <c r="H152" i="55"/>
  <c r="L180" i="55" a="1"/>
  <c r="L180" i="55" s="1"/>
  <c r="G152" i="55"/>
  <c r="H167" i="55"/>
  <c r="K152" i="55" a="1"/>
  <c r="K152" i="55" s="1"/>
  <c r="G133" i="55"/>
  <c r="L182" i="55" a="1"/>
  <c r="L182" i="55" s="1"/>
  <c r="K180" i="55" a="1"/>
  <c r="K180" i="55" s="1"/>
  <c r="G118" i="55"/>
  <c r="G35" i="55"/>
  <c r="K17" i="55" a="1"/>
  <c r="K17" i="55" s="1"/>
  <c r="H117" i="55"/>
  <c r="G142" i="55"/>
  <c r="G168" i="55"/>
  <c r="L179" i="55" a="1"/>
  <c r="L179" i="55" s="1"/>
  <c r="H166" i="55"/>
  <c r="H101" i="55"/>
  <c r="K80" i="55" a="1"/>
  <c r="K80" i="55" s="1"/>
  <c r="L80" i="55" a="1"/>
  <c r="L80" i="55" s="1"/>
  <c r="H179" i="55"/>
  <c r="H182" i="55"/>
  <c r="H80" i="55"/>
  <c r="G151" i="55"/>
  <c r="G17" i="55"/>
  <c r="L17" i="55" a="1"/>
  <c r="L17" i="55" s="1"/>
  <c r="R62" i="55"/>
  <c r="T62" i="55" s="1"/>
  <c r="T131" i="55"/>
  <c r="S144" i="55"/>
  <c r="S138" i="55"/>
  <c r="O99" i="55"/>
  <c r="G132" i="55"/>
  <c r="R61" i="55"/>
  <c r="T61" i="55" s="1"/>
  <c r="V11" i="59"/>
  <c r="R63" i="55"/>
  <c r="T63" i="55" s="1"/>
  <c r="R146" i="55"/>
  <c r="B21" i="59"/>
  <c r="R34" i="55"/>
  <c r="T34" i="55" s="1"/>
  <c r="T10" i="55"/>
  <c r="R9" i="55"/>
  <c r="T9" i="55" s="1"/>
  <c r="R56" i="55"/>
  <c r="B14" i="59"/>
  <c r="V14" i="59" s="1"/>
  <c r="R114" i="55"/>
  <c r="R54" i="55"/>
  <c r="R113" i="55"/>
  <c r="V12" i="59"/>
  <c r="R43" i="55"/>
  <c r="T87" i="55"/>
  <c r="T107" i="55"/>
  <c r="T137" i="55"/>
  <c r="R69" i="55"/>
  <c r="R58" i="55"/>
  <c r="R150" i="55"/>
  <c r="F12" i="59"/>
  <c r="R25" i="55"/>
  <c r="R102" i="55"/>
  <c r="R13" i="55"/>
  <c r="R128" i="55"/>
  <c r="T128" i="55" s="1"/>
  <c r="O71" i="55"/>
  <c r="R49" i="55"/>
  <c r="T57" i="55"/>
  <c r="O20" i="55"/>
  <c r="S54" i="55"/>
  <c r="T54" i="55" s="1"/>
  <c r="G134" i="55"/>
  <c r="O2" i="55"/>
  <c r="S25" i="55"/>
  <c r="R173" i="55"/>
  <c r="J14" i="59"/>
  <c r="J7" i="59"/>
  <c r="L106" i="55" a="1"/>
  <c r="L106" i="55" s="1"/>
  <c r="R132" i="55"/>
  <c r="T162" i="55"/>
  <c r="L71" i="55" a="1"/>
  <c r="L71" i="55" s="1"/>
  <c r="L60" i="55" a="1"/>
  <c r="L60" i="55" s="1"/>
  <c r="S142" i="55"/>
  <c r="L36" i="55" a="1"/>
  <c r="L36" i="55" s="1"/>
  <c r="G108" i="55"/>
  <c r="L100" i="55" a="1"/>
  <c r="L100" i="55" s="1"/>
  <c r="O23" i="55"/>
  <c r="L68" i="55" a="1"/>
  <c r="L68" i="55" s="1"/>
  <c r="O102" i="55"/>
  <c r="L168" i="55" a="1"/>
  <c r="L168" i="55" s="1"/>
  <c r="L75" i="55" a="1"/>
  <c r="L75" i="55" s="1"/>
  <c r="L145" i="55" a="1"/>
  <c r="L145" i="55" s="1"/>
  <c r="L135" i="55" a="1"/>
  <c r="L135" i="55" s="1"/>
  <c r="L170" i="55" a="1"/>
  <c r="L170" i="55" s="1"/>
  <c r="L171" i="55" a="1"/>
  <c r="L171" i="55" s="1"/>
  <c r="P29" i="55"/>
  <c r="S29" i="55" s="1"/>
  <c r="L42" i="55" a="1"/>
  <c r="L42" i="55" s="1"/>
  <c r="L66" i="55" a="1"/>
  <c r="L66" i="55" s="1"/>
  <c r="P84" i="55"/>
  <c r="S84" i="55" s="1"/>
  <c r="L96" i="55" a="1"/>
  <c r="L96" i="55" s="1"/>
  <c r="L55" i="55" a="1"/>
  <c r="L55" i="55" s="1"/>
  <c r="L115" i="55" a="1"/>
  <c r="L115" i="55" s="1"/>
  <c r="O7" i="59"/>
  <c r="U7" i="59" s="1"/>
  <c r="L132" i="55" a="1"/>
  <c r="L132" i="55" s="1"/>
  <c r="L97" i="55" a="1"/>
  <c r="L97" i="55" s="1"/>
  <c r="L167" i="55" a="1"/>
  <c r="L167" i="55" s="1"/>
  <c r="L160" i="55" a="1"/>
  <c r="L160" i="55" s="1"/>
  <c r="L2" i="55"/>
  <c r="L56" i="55" a="1"/>
  <c r="L56" i="55" s="1"/>
  <c r="L91" i="55" a="1"/>
  <c r="L91" i="55" s="1"/>
  <c r="S30" i="55"/>
  <c r="L166" i="55" a="1"/>
  <c r="L166" i="55" s="1"/>
  <c r="L41" i="55" a="1"/>
  <c r="L41" i="55" s="1"/>
  <c r="T80" i="55"/>
  <c r="L120" i="55" a="1"/>
  <c r="L120" i="55" s="1"/>
  <c r="L161" i="55" a="1"/>
  <c r="L161" i="55" s="1"/>
  <c r="R21" i="55"/>
  <c r="R112" i="55"/>
  <c r="T112" i="55" s="1"/>
  <c r="L118" i="55" a="1"/>
  <c r="L118" i="55" s="1"/>
  <c r="L44" i="55" a="1"/>
  <c r="L44" i="55" s="1"/>
  <c r="K46" i="55" a="1"/>
  <c r="K46" i="55" s="1"/>
  <c r="S113" i="55"/>
  <c r="T113" i="55" s="1"/>
  <c r="O29" i="55"/>
  <c r="O22" i="55"/>
  <c r="R120" i="55"/>
  <c r="T123" i="55"/>
  <c r="O134" i="55"/>
  <c r="O42" i="55"/>
  <c r="T68" i="55"/>
  <c r="R19" i="55"/>
  <c r="R145" i="55"/>
  <c r="T145" i="55" s="1"/>
  <c r="S139" i="55"/>
  <c r="R52" i="55"/>
  <c r="R99" i="55"/>
  <c r="T99" i="55" s="1"/>
  <c r="R167" i="55"/>
  <c r="T167" i="55" s="1"/>
  <c r="S49" i="55"/>
  <c r="K91" i="55" a="1"/>
  <c r="K91" i="55" s="1"/>
  <c r="K176" i="55" a="1"/>
  <c r="K176" i="55" s="1"/>
  <c r="K13" i="55" a="1"/>
  <c r="K13" i="55" s="1"/>
  <c r="K85" i="55" a="1"/>
  <c r="K85" i="55" s="1"/>
  <c r="K2" i="55"/>
  <c r="S43" i="55"/>
  <c r="K35" i="55" a="1"/>
  <c r="K35" i="55" s="1"/>
  <c r="S41" i="55"/>
  <c r="T41" i="55" s="1"/>
  <c r="T19" i="59"/>
  <c r="S120" i="55"/>
  <c r="R108" i="55"/>
  <c r="T108" i="55" s="1"/>
  <c r="T20" i="59"/>
  <c r="R50" i="55"/>
  <c r="T50" i="55" s="1"/>
  <c r="R42" i="55"/>
  <c r="T42" i="55" s="1"/>
  <c r="N21" i="59"/>
  <c r="L34" i="55" a="1"/>
  <c r="L34" i="55" s="1"/>
  <c r="L51" i="55" a="1"/>
  <c r="L51" i="55" s="1"/>
  <c r="L183" i="55"/>
  <c r="L146" i="55" a="1"/>
  <c r="L146" i="55" s="1"/>
  <c r="L18" i="55" a="1"/>
  <c r="L18" i="55" s="1"/>
  <c r="K143" i="55" a="1"/>
  <c r="K143" i="55" s="1"/>
  <c r="R105" i="55"/>
  <c r="T105" i="55" s="1"/>
  <c r="T159" i="55"/>
  <c r="L29" i="55" a="1"/>
  <c r="L29" i="55" s="1"/>
  <c r="L64" i="55" a="1"/>
  <c r="L64" i="55" s="1"/>
  <c r="L169" i="55" a="1"/>
  <c r="L169" i="55" s="1"/>
  <c r="L59" i="55" a="1"/>
  <c r="L59" i="55" s="1"/>
  <c r="L113" i="55" a="1"/>
  <c r="L113" i="55" s="1"/>
  <c r="L127" i="55" a="1"/>
  <c r="L127" i="55" s="1"/>
  <c r="L101" i="55" a="1"/>
  <c r="L101" i="55" s="1"/>
  <c r="L49" i="55" a="1"/>
  <c r="L49" i="55" s="1"/>
  <c r="K156" i="55" a="1"/>
  <c r="K156" i="55" s="1"/>
  <c r="L38" i="55" a="1"/>
  <c r="L38" i="55" s="1"/>
  <c r="L104" i="55" a="1"/>
  <c r="L104" i="55" s="1"/>
  <c r="L53" i="55" a="1"/>
  <c r="L53" i="55" s="1"/>
  <c r="L20" i="55" a="1"/>
  <c r="L20" i="55" s="1"/>
  <c r="L151" i="55" a="1"/>
  <c r="L151" i="55" s="1"/>
  <c r="L63" i="55" a="1"/>
  <c r="L63" i="55" s="1"/>
  <c r="L47" i="55" a="1"/>
  <c r="L47" i="55" s="1"/>
  <c r="R59" i="55"/>
  <c r="T59" i="55" s="1"/>
  <c r="K145" i="55" a="1"/>
  <c r="K145" i="55" s="1"/>
  <c r="O119" i="55"/>
  <c r="L117" i="55" a="1"/>
  <c r="L117" i="55" s="1"/>
  <c r="K134" i="55" a="1"/>
  <c r="K134" i="55" s="1"/>
  <c r="T166" i="55"/>
  <c r="L54" i="55" a="1"/>
  <c r="L54" i="55" s="1"/>
  <c r="L52" i="55" a="1"/>
  <c r="L52" i="55" s="1"/>
  <c r="S8" i="55"/>
  <c r="T8" i="55" s="1"/>
  <c r="R38" i="55"/>
  <c r="T38" i="55" s="1"/>
  <c r="L10" i="55" a="1"/>
  <c r="L10" i="55" s="1"/>
  <c r="K149" i="55" a="1"/>
  <c r="K149" i="55" s="1"/>
  <c r="L133" i="55" a="1"/>
  <c r="L133" i="55" s="1"/>
  <c r="R23" i="55"/>
  <c r="T23" i="55" s="1"/>
  <c r="K63" i="55" a="1"/>
  <c r="K63" i="55" s="1"/>
  <c r="K29" i="55" a="1"/>
  <c r="K29" i="55" s="1"/>
  <c r="L156" i="55" a="1"/>
  <c r="L156" i="55" s="1"/>
  <c r="L74" i="55" a="1"/>
  <c r="L74" i="55" s="1"/>
  <c r="L22" i="55" a="1"/>
  <c r="L22" i="55" s="1"/>
  <c r="L48" i="55" a="1"/>
  <c r="L48" i="55" s="1"/>
  <c r="L112" i="55" a="1"/>
  <c r="L112" i="55" s="1"/>
  <c r="L61" i="55" a="1"/>
  <c r="L61" i="55" s="1"/>
  <c r="L108" i="55" a="1"/>
  <c r="L108" i="55" s="1"/>
  <c r="L13" i="55" a="1"/>
  <c r="L13" i="55" s="1"/>
  <c r="L141" i="55" a="1"/>
  <c r="L141" i="55" s="1"/>
  <c r="L85" i="55" a="1"/>
  <c r="L85" i="55" s="1"/>
  <c r="L35" i="55" a="1"/>
  <c r="L35" i="55" s="1"/>
  <c r="L27" i="55" a="1"/>
  <c r="L27" i="55" s="1"/>
  <c r="L46" i="55" a="1"/>
  <c r="L46" i="55" s="1"/>
  <c r="K38" i="55" a="1"/>
  <c r="K38" i="55" s="1"/>
  <c r="K18" i="55" a="1"/>
  <c r="K18" i="55" s="1"/>
  <c r="K92" i="55" a="1"/>
  <c r="K92" i="55" s="1"/>
  <c r="L40" i="55" a="1"/>
  <c r="L40" i="55" s="1"/>
  <c r="L19" i="55" a="1"/>
  <c r="L19" i="55" s="1"/>
  <c r="L176" i="55" a="1"/>
  <c r="L176" i="55" s="1"/>
  <c r="L121" i="55" a="1"/>
  <c r="L121" i="55" s="1"/>
  <c r="L16" i="55" a="1"/>
  <c r="L16" i="55" s="1"/>
  <c r="K171" i="55" a="1"/>
  <c r="K171" i="55" s="1"/>
  <c r="K74" i="55" a="1"/>
  <c r="K74" i="55" s="1"/>
  <c r="R70" i="55"/>
  <c r="T70" i="55" s="1"/>
  <c r="L114" i="55" a="1"/>
  <c r="L114" i="55" s="1"/>
  <c r="L142" i="55" a="1"/>
  <c r="L142" i="55" s="1"/>
  <c r="K22" i="55" a="1"/>
  <c r="K22" i="55" s="1"/>
  <c r="L30" i="55" a="1"/>
  <c r="L30" i="55" s="1"/>
  <c r="L23" i="55" a="1"/>
  <c r="L23" i="55" s="1"/>
  <c r="L150" i="55" a="1"/>
  <c r="L150" i="55" s="1"/>
  <c r="L107" i="55" a="1"/>
  <c r="L107" i="55" s="1"/>
  <c r="L102" i="55" a="1"/>
  <c r="L102" i="55" s="1"/>
  <c r="L153" i="55" a="1"/>
  <c r="L153" i="55" s="1"/>
  <c r="L8" i="55" a="1"/>
  <c r="L8" i="55" s="1"/>
  <c r="K95" i="55" a="1"/>
  <c r="K95" i="55" s="1"/>
  <c r="K183" i="55"/>
  <c r="L39" i="55" a="1"/>
  <c r="L39" i="55" s="1"/>
  <c r="T18" i="59"/>
  <c r="L33" i="55" a="1"/>
  <c r="L33" i="55" s="1"/>
  <c r="L165" i="55" a="1"/>
  <c r="L165" i="55" s="1"/>
  <c r="L92" i="55" a="1"/>
  <c r="L92" i="55" s="1"/>
  <c r="L32" i="55" a="1"/>
  <c r="L32" i="55" s="1"/>
  <c r="L136" i="55" a="1"/>
  <c r="L136" i="55" s="1"/>
  <c r="L94" i="55" a="1"/>
  <c r="L94" i="55" s="1"/>
  <c r="L43" i="55" a="1"/>
  <c r="L43" i="55" s="1"/>
  <c r="L99" i="55" a="1"/>
  <c r="L99" i="55" s="1"/>
  <c r="L70" i="55" a="1"/>
  <c r="L70" i="55" s="1"/>
  <c r="L134" i="55" a="1"/>
  <c r="L134" i="55" s="1"/>
  <c r="L144" i="55" a="1"/>
  <c r="L144" i="55" s="1"/>
  <c r="L125" i="55" a="1"/>
  <c r="L125" i="55" s="1"/>
  <c r="L7" i="55" a="1"/>
  <c r="L7" i="55" s="1"/>
  <c r="L84" i="55" a="1"/>
  <c r="L84" i="55" s="1"/>
  <c r="L72" i="55" a="1"/>
  <c r="L72" i="55" s="1"/>
  <c r="L26" i="55" a="1"/>
  <c r="L26" i="55" s="1"/>
  <c r="K161" i="55" a="1"/>
  <c r="K161" i="55" s="1"/>
  <c r="K7" i="55" a="1"/>
  <c r="K7" i="55" s="1"/>
  <c r="S58" i="55"/>
  <c r="T58" i="55" s="1"/>
  <c r="S111" i="55"/>
  <c r="L149" i="55" a="1"/>
  <c r="L149" i="55" s="1"/>
  <c r="L98" i="55" a="1"/>
  <c r="L98" i="55" s="1"/>
  <c r="L25" i="55" a="1"/>
  <c r="L25" i="55" s="1"/>
  <c r="L28" i="55" a="1"/>
  <c r="L28" i="55" s="1"/>
  <c r="L143" i="55" a="1"/>
  <c r="L143" i="55" s="1"/>
  <c r="L95" i="55" a="1"/>
  <c r="L95" i="55" s="1"/>
  <c r="L173" i="55" a="1"/>
  <c r="L173" i="55" s="1"/>
  <c r="L31" i="55" a="1"/>
  <c r="L31" i="55" s="1"/>
  <c r="K42" i="55" a="1"/>
  <c r="K42" i="55" s="1"/>
  <c r="K98" i="55" a="1"/>
  <c r="K98" i="55" s="1"/>
  <c r="S134" i="55"/>
  <c r="T134" i="55" s="1"/>
  <c r="T135" i="55"/>
  <c r="L21" i="55" a="1"/>
  <c r="L21" i="55" s="1"/>
  <c r="L119" i="55" a="1"/>
  <c r="L119" i="55" s="1"/>
  <c r="L105" i="55" a="1"/>
  <c r="L105" i="55" s="1"/>
  <c r="R171" i="55"/>
  <c r="T171" i="55" s="1"/>
  <c r="S96" i="55"/>
  <c r="T96" i="55" s="1"/>
  <c r="R60" i="55"/>
  <c r="T60" i="55" s="1"/>
  <c r="G171" i="55"/>
  <c r="F21" i="59" a="1"/>
  <c r="F21" i="59" s="1"/>
  <c r="S172" i="55"/>
  <c r="T155" i="55"/>
  <c r="T6" i="59"/>
  <c r="F7" i="59" a="1"/>
  <c r="F7" i="59" s="1"/>
  <c r="G22" i="55"/>
  <c r="R73" i="55"/>
  <c r="T73" i="55" s="1"/>
  <c r="R40" i="55"/>
  <c r="T40" i="55" s="1"/>
  <c r="R160" i="55"/>
  <c r="T160" i="55" s="1"/>
  <c r="H154" i="55"/>
  <c r="S72" i="55"/>
  <c r="T72" i="55" s="1"/>
  <c r="R33" i="55"/>
  <c r="T33" i="55" s="1"/>
  <c r="S132" i="55"/>
  <c r="T132" i="55" s="1"/>
  <c r="P174" i="55"/>
  <c r="S174" i="55" s="1"/>
  <c r="O121" i="55"/>
  <c r="P2" i="55"/>
  <c r="O21" i="59"/>
  <c r="U21" i="59" s="1"/>
  <c r="S102" i="55"/>
  <c r="K154" i="55" a="1"/>
  <c r="K154" i="55" s="1"/>
  <c r="G53" i="55"/>
  <c r="P66" i="55"/>
  <c r="P161" i="55"/>
  <c r="H162" i="55"/>
  <c r="L162" i="55" a="1"/>
  <c r="L162" i="55" s="1"/>
  <c r="L4" i="59"/>
  <c r="K170" i="55" a="1"/>
  <c r="K170" i="55" s="1"/>
  <c r="V21" i="59"/>
  <c r="T90" i="55"/>
  <c r="K158" i="55" a="1"/>
  <c r="K158" i="55" s="1"/>
  <c r="T82" i="55"/>
  <c r="P183" i="55"/>
  <c r="S183" i="55" s="1"/>
  <c r="R126" i="55"/>
  <c r="S7" i="55"/>
  <c r="T7" i="55" s="1"/>
  <c r="AE2" i="53"/>
  <c r="L129" i="55" a="1"/>
  <c r="L129" i="55" s="1"/>
  <c r="H129" i="55"/>
  <c r="G129" i="55"/>
  <c r="L73" i="55" a="1"/>
  <c r="L73" i="55" s="1"/>
  <c r="H173" i="55"/>
  <c r="G115" i="55"/>
  <c r="K174" i="55" a="1"/>
  <c r="K174" i="55" s="1"/>
  <c r="K159" i="55" a="1"/>
  <c r="K159" i="55" s="1"/>
  <c r="L58" i="55" a="1"/>
  <c r="L58" i="55" s="1"/>
  <c r="G126" i="55"/>
  <c r="H89" i="55"/>
  <c r="H158" i="55"/>
  <c r="L110" i="55" a="1"/>
  <c r="L110" i="55" s="1"/>
  <c r="L89" i="55" a="1"/>
  <c r="L89" i="55" s="1"/>
  <c r="H58" i="55"/>
  <c r="H159" i="55"/>
  <c r="K147" i="55" a="1"/>
  <c r="K147" i="55" s="1"/>
  <c r="K148" i="55" a="1"/>
  <c r="K148" i="55" s="1"/>
  <c r="G150" i="55"/>
  <c r="G89" i="55"/>
  <c r="H160" i="55"/>
  <c r="G158" i="55"/>
  <c r="K150" i="55" a="1"/>
  <c r="K150" i="55" s="1"/>
  <c r="K163" i="55" a="1"/>
  <c r="K163" i="55" s="1"/>
  <c r="G159" i="55"/>
  <c r="H165" i="55"/>
  <c r="L126" i="55" a="1"/>
  <c r="L126" i="55" s="1"/>
  <c r="G174" i="55"/>
  <c r="L175" i="55" a="1"/>
  <c r="L175" i="55" s="1"/>
  <c r="K160" i="55" a="1"/>
  <c r="K160" i="55" s="1"/>
  <c r="K165" i="55" a="1"/>
  <c r="K165" i="55" s="1"/>
  <c r="G179" i="55"/>
  <c r="G136" i="55"/>
  <c r="L163" i="55" a="1"/>
  <c r="L163" i="55" s="1"/>
  <c r="H169" i="55"/>
  <c r="L158" i="55" a="1"/>
  <c r="L158" i="55" s="1"/>
  <c r="K73" i="55" a="1"/>
  <c r="K73" i="55" s="1"/>
  <c r="H73" i="55"/>
  <c r="K93" i="55" a="1"/>
  <c r="K93" i="55" s="1"/>
  <c r="G175" i="55"/>
  <c r="G141" i="55"/>
  <c r="L181" i="55" a="1"/>
  <c r="L181" i="55" s="1"/>
  <c r="H181" i="55"/>
  <c r="K162" i="55" a="1"/>
  <c r="K162" i="55" s="1"/>
  <c r="H116" i="55"/>
  <c r="L116" i="55" a="1"/>
  <c r="L116" i="55" s="1"/>
  <c r="G116" i="55"/>
  <c r="K116" i="55" a="1"/>
  <c r="K116" i="55" s="1"/>
  <c r="K168" i="55" a="1"/>
  <c r="K168" i="55" s="1"/>
  <c r="K54" i="55" a="1"/>
  <c r="K54" i="55" s="1"/>
  <c r="K71" i="55" a="1"/>
  <c r="K71" i="55" s="1"/>
  <c r="K136" i="55" a="1"/>
  <c r="K136" i="55" s="1"/>
  <c r="K8" i="55" a="1"/>
  <c r="K8" i="55" s="1"/>
  <c r="K133" i="55" a="1"/>
  <c r="K133" i="55" s="1"/>
  <c r="K166" i="55" a="1"/>
  <c r="K166" i="55" s="1"/>
  <c r="K118" i="55" a="1"/>
  <c r="K118" i="55" s="1"/>
  <c r="O64" i="55"/>
  <c r="S115" i="55"/>
  <c r="T115" i="55" s="1"/>
  <c r="O7" i="55"/>
  <c r="K115" i="55" a="1"/>
  <c r="K115" i="55" s="1"/>
  <c r="K66" i="55" a="1"/>
  <c r="K66" i="55" s="1"/>
  <c r="K117" i="55" a="1"/>
  <c r="K117" i="55" s="1"/>
  <c r="K107" i="55" a="1"/>
  <c r="K107" i="55" s="1"/>
  <c r="K58" i="55" a="1"/>
  <c r="K58" i="55" s="1"/>
  <c r="K153" i="55" a="1"/>
  <c r="K153" i="55" s="1"/>
  <c r="K129" i="55" a="1"/>
  <c r="K129" i="55" s="1"/>
  <c r="T101" i="55"/>
  <c r="K121" i="55" a="1"/>
  <c r="K121" i="55" s="1"/>
  <c r="K94" i="55" a="1"/>
  <c r="K94" i="55" s="1"/>
  <c r="K55" i="55" a="1"/>
  <c r="K55" i="55" s="1"/>
  <c r="K33" i="55" a="1"/>
  <c r="K33" i="55" s="1"/>
  <c r="K141" i="55" a="1"/>
  <c r="K141" i="55" s="1"/>
  <c r="K16" i="55" a="1"/>
  <c r="K16" i="55" s="1"/>
  <c r="K61" i="55" a="1"/>
  <c r="K61" i="55" s="1"/>
  <c r="K126" i="55" a="1"/>
  <c r="K126" i="55" s="1"/>
  <c r="K51" i="55" a="1"/>
  <c r="K51" i="55" s="1"/>
  <c r="K32" i="55" a="1"/>
  <c r="K32" i="55" s="1"/>
  <c r="K144" i="55" a="1"/>
  <c r="K144" i="55" s="1"/>
  <c r="K103" i="55" a="1"/>
  <c r="K103" i="55" s="1"/>
  <c r="K27" i="55" a="1"/>
  <c r="K27" i="55" s="1"/>
  <c r="K84" i="55" a="1"/>
  <c r="K84" i="55" s="1"/>
  <c r="K49" i="55" a="1"/>
  <c r="K49" i="55" s="1"/>
  <c r="K114" i="55" a="1"/>
  <c r="K114" i="55" s="1"/>
  <c r="K104" i="55" a="1"/>
  <c r="K104" i="55" s="1"/>
  <c r="K56" i="55" a="1"/>
  <c r="K56" i="55" s="1"/>
  <c r="K132" i="55" a="1"/>
  <c r="K132" i="55" s="1"/>
  <c r="K101" i="55" a="1"/>
  <c r="K101" i="55" s="1"/>
  <c r="K119" i="55" a="1"/>
  <c r="K119" i="55" s="1"/>
  <c r="K23" i="55" a="1"/>
  <c r="K23" i="55" s="1"/>
  <c r="K64" i="55" a="1"/>
  <c r="K64" i="55" s="1"/>
  <c r="K167" i="55" a="1"/>
  <c r="K167" i="55" s="1"/>
  <c r="K20" i="55" a="1"/>
  <c r="K20" i="55" s="1"/>
  <c r="K110" i="55" a="1"/>
  <c r="K110" i="55" s="1"/>
  <c r="K108" i="55" a="1"/>
  <c r="K108" i="55" s="1"/>
  <c r="K21" i="55" a="1"/>
  <c r="K21" i="55" s="1"/>
  <c r="K112" i="55" a="1"/>
  <c r="K112" i="55" s="1"/>
  <c r="K30" i="55" a="1"/>
  <c r="K30" i="55" s="1"/>
  <c r="K60" i="55" a="1"/>
  <c r="K60" i="55" s="1"/>
  <c r="K125" i="55" a="1"/>
  <c r="K125" i="55" s="1"/>
  <c r="K99" i="55" a="1"/>
  <c r="K99" i="55" s="1"/>
  <c r="K31" i="55" a="1"/>
  <c r="K31" i="55" s="1"/>
  <c r="K44" i="55" a="1"/>
  <c r="K44" i="55" s="1"/>
  <c r="K120" i="55" a="1"/>
  <c r="K120" i="55" s="1"/>
  <c r="K146" i="55" a="1"/>
  <c r="K146" i="55" s="1"/>
  <c r="R26" i="55"/>
  <c r="T26" i="55" s="1"/>
  <c r="K109" i="55" a="1"/>
  <c r="K109" i="55" s="1"/>
  <c r="K53" i="55" a="1"/>
  <c r="K53" i="55" s="1"/>
  <c r="K25" i="55" a="1"/>
  <c r="K25" i="55" s="1"/>
  <c r="K43" i="55" a="1"/>
  <c r="K43" i="55" s="1"/>
  <c r="K173" i="55" a="1"/>
  <c r="K173" i="55" s="1"/>
  <c r="K52" i="55" a="1"/>
  <c r="K52" i="55" s="1"/>
  <c r="L154" i="55" a="1"/>
  <c r="L154" i="55" s="1"/>
  <c r="K172" i="55" a="1"/>
  <c r="K172" i="55" s="1"/>
  <c r="K19" i="55" a="1"/>
  <c r="K19" i="55" s="1"/>
  <c r="K169" i="55" a="1"/>
  <c r="K169" i="55" s="1"/>
  <c r="K106" i="55" a="1"/>
  <c r="K106" i="55" s="1"/>
  <c r="K47" i="55" a="1"/>
  <c r="K47" i="55" s="1"/>
  <c r="K135" i="55" a="1"/>
  <c r="K135" i="55" s="1"/>
  <c r="K48" i="55" a="1"/>
  <c r="K48" i="55" s="1"/>
  <c r="K28" i="55" a="1"/>
  <c r="K28" i="55" s="1"/>
  <c r="O129" i="55"/>
  <c r="P100" i="55"/>
  <c r="R100" i="55" s="1"/>
  <c r="S133" i="55"/>
  <c r="T133" i="55" s="1"/>
  <c r="T19" i="55"/>
  <c r="K68" i="55" a="1"/>
  <c r="K68" i="55" s="1"/>
  <c r="K70" i="55" a="1"/>
  <c r="K70" i="55" s="1"/>
  <c r="K34" i="55" a="1"/>
  <c r="K34" i="55" s="1"/>
  <c r="K151" i="55" a="1"/>
  <c r="K151" i="55" s="1"/>
  <c r="K100" i="55" a="1"/>
  <c r="K100" i="55" s="1"/>
  <c r="K127" i="55" a="1"/>
  <c r="K127" i="55" s="1"/>
  <c r="K41" i="55" a="1"/>
  <c r="K41" i="55" s="1"/>
  <c r="K142" i="55" a="1"/>
  <c r="K142" i="55" s="1"/>
  <c r="U4" i="59"/>
  <c r="O56" i="55"/>
  <c r="K26" i="55" a="1"/>
  <c r="K26" i="55" s="1"/>
  <c r="K105" i="55" a="1"/>
  <c r="K105" i="55" s="1"/>
  <c r="K36" i="55" a="1"/>
  <c r="K36" i="55" s="1"/>
  <c r="K72" i="55" a="1"/>
  <c r="K72" i="55" s="1"/>
  <c r="K113" i="55" a="1"/>
  <c r="K113" i="55" s="1"/>
  <c r="K39" i="55" a="1"/>
  <c r="K39" i="55" s="1"/>
  <c r="K10" i="55" a="1"/>
  <c r="K10" i="55" s="1"/>
  <c r="K97" i="55" a="1"/>
  <c r="K97" i="55" s="1"/>
  <c r="K75" i="55" a="1"/>
  <c r="K75" i="55" s="1"/>
  <c r="T182" i="55"/>
  <c r="G128" i="55"/>
  <c r="K128" i="55" a="1"/>
  <c r="K128" i="55" s="1"/>
  <c r="H128" i="55"/>
  <c r="L128" i="55" a="1"/>
  <c r="L128" i="55" s="1"/>
  <c r="H111" i="55"/>
  <c r="G111" i="55"/>
  <c r="L111" i="55" a="1"/>
  <c r="L111" i="55" s="1"/>
  <c r="K111" i="55" a="1"/>
  <c r="K111" i="55" s="1"/>
  <c r="S95" i="55"/>
  <c r="R95" i="55"/>
  <c r="L138" i="55" a="1"/>
  <c r="L138" i="55" s="1"/>
  <c r="G138" i="55"/>
  <c r="H138" i="55"/>
  <c r="K138" i="55" a="1"/>
  <c r="K138" i="55" s="1"/>
  <c r="H122" i="55"/>
  <c r="G122" i="55"/>
  <c r="L122" i="55" a="1"/>
  <c r="L122" i="55" s="1"/>
  <c r="K122" i="55" a="1"/>
  <c r="K122" i="55" s="1"/>
  <c r="H69" i="55"/>
  <c r="K69" i="55" a="1"/>
  <c r="K69" i="55" s="1"/>
  <c r="L69" i="55" a="1"/>
  <c r="L69" i="55" s="1"/>
  <c r="G69" i="55"/>
  <c r="T106" i="55"/>
  <c r="T124" i="55"/>
  <c r="T148" i="55"/>
  <c r="T77" i="55"/>
  <c r="O174" i="55"/>
  <c r="T125" i="55"/>
  <c r="R109" i="55"/>
  <c r="T109" i="55" s="1"/>
  <c r="T21" i="55"/>
  <c r="R28" i="55"/>
  <c r="T28" i="55" s="1"/>
  <c r="R170" i="55"/>
  <c r="T170" i="55" s="1"/>
  <c r="T164" i="55"/>
  <c r="R65" i="55"/>
  <c r="T65" i="55" s="1"/>
  <c r="O26" i="55"/>
  <c r="S47" i="55"/>
  <c r="T47" i="55" s="1"/>
  <c r="S165" i="55"/>
  <c r="T165" i="55" s="1"/>
  <c r="L86" i="55" a="1"/>
  <c r="L86" i="55" s="1"/>
  <c r="H86" i="55"/>
  <c r="K86" i="55" a="1"/>
  <c r="K86" i="55" s="1"/>
  <c r="G86" i="55"/>
  <c r="H24" i="55"/>
  <c r="K24" i="55" a="1"/>
  <c r="K24" i="55" s="1"/>
  <c r="L24" i="55" a="1"/>
  <c r="L24" i="55" s="1"/>
  <c r="G24" i="55"/>
  <c r="H37" i="55"/>
  <c r="K37" i="55" a="1"/>
  <c r="K37" i="55" s="1"/>
  <c r="L37" i="55" a="1"/>
  <c r="L37" i="55" s="1"/>
  <c r="G37" i="55"/>
  <c r="G81" i="55"/>
  <c r="K81" i="55" a="1"/>
  <c r="K81" i="55" s="1"/>
  <c r="L81" i="55" a="1"/>
  <c r="L81" i="55" s="1"/>
  <c r="H81" i="55"/>
  <c r="G65" i="55"/>
  <c r="H65" i="55"/>
  <c r="K65" i="55" a="1"/>
  <c r="K65" i="55" s="1"/>
  <c r="L65" i="55" a="1"/>
  <c r="L65" i="55" s="1"/>
  <c r="G50" i="55"/>
  <c r="H50" i="55"/>
  <c r="L50" i="55" a="1"/>
  <c r="L50" i="55" s="1"/>
  <c r="K50" i="55" a="1"/>
  <c r="K50" i="55" s="1"/>
  <c r="H140" i="55"/>
  <c r="K140" i="55" a="1"/>
  <c r="K140" i="55" s="1"/>
  <c r="G140" i="55"/>
  <c r="L140" i="55" a="1"/>
  <c r="L140" i="55" s="1"/>
  <c r="L15" i="55" a="1"/>
  <c r="L15" i="55" s="1"/>
  <c r="H15" i="55"/>
  <c r="K15" i="55" a="1"/>
  <c r="K15" i="55" s="1"/>
  <c r="G15" i="55"/>
  <c r="K139" i="55" a="1"/>
  <c r="K139" i="55" s="1"/>
  <c r="L139" i="55" a="1"/>
  <c r="L139" i="55" s="1"/>
  <c r="G139" i="55"/>
  <c r="H139" i="55"/>
  <c r="L109" i="55" a="1"/>
  <c r="L109" i="55" s="1"/>
  <c r="O150" i="55"/>
  <c r="O61" i="55"/>
  <c r="N11" i="59"/>
  <c r="T79" i="55"/>
  <c r="T104" i="55"/>
  <c r="R64" i="55"/>
  <c r="T64" i="55" s="1"/>
  <c r="O98" i="55"/>
  <c r="T144" i="55"/>
  <c r="O100" i="55"/>
  <c r="T56" i="55"/>
  <c r="P51" i="55"/>
  <c r="S51" i="55" s="1"/>
  <c r="P136" i="55"/>
  <c r="R127" i="55"/>
  <c r="T127" i="55" s="1"/>
  <c r="S121" i="55"/>
  <c r="T121" i="55" s="1"/>
  <c r="R48" i="55"/>
  <c r="T48" i="55" s="1"/>
  <c r="S126" i="55"/>
  <c r="O46" i="55"/>
  <c r="O114" i="55"/>
  <c r="O111" i="55"/>
  <c r="O160" i="55"/>
  <c r="AE662" i="53"/>
  <c r="T11" i="55"/>
  <c r="T49" i="55"/>
  <c r="T139" i="55"/>
  <c r="O127" i="55"/>
  <c r="T86" i="55"/>
  <c r="S119" i="55"/>
  <c r="T119" i="55" s="1"/>
  <c r="T12" i="55"/>
  <c r="T76" i="55"/>
  <c r="R103" i="55"/>
  <c r="T103" i="55" s="1"/>
  <c r="T25" i="55"/>
  <c r="R168" i="55"/>
  <c r="T168" i="55" s="1"/>
  <c r="T55" i="55"/>
  <c r="O103" i="55"/>
  <c r="O68" i="55"/>
  <c r="S13" i="55"/>
  <c r="T52" i="55"/>
  <c r="O65" i="55"/>
  <c r="R122" i="55"/>
  <c r="T122" i="55" s="1"/>
  <c r="O164" i="55"/>
  <c r="T85" i="55"/>
  <c r="O143" i="55"/>
  <c r="L174" i="55" a="1"/>
  <c r="L174" i="55" s="1"/>
  <c r="F11" i="59"/>
  <c r="O108" i="55"/>
  <c r="O118" i="55"/>
  <c r="O8" i="55"/>
  <c r="O168" i="55"/>
  <c r="O55" i="55"/>
  <c r="L164" i="55" a="1"/>
  <c r="L164" i="55" s="1"/>
  <c r="K164" i="55" a="1"/>
  <c r="K164" i="55" s="1"/>
  <c r="H164" i="55"/>
  <c r="G164" i="55"/>
  <c r="R71" i="55"/>
  <c r="T71" i="55" s="1"/>
  <c r="T153" i="55"/>
  <c r="O169" i="55"/>
  <c r="O19" i="55"/>
  <c r="O44" i="55"/>
  <c r="O112" i="55"/>
  <c r="T142" i="55"/>
  <c r="O139" i="55"/>
  <c r="O9" i="55"/>
  <c r="O38" i="55"/>
  <c r="S156" i="55"/>
  <c r="T156" i="55" s="1"/>
  <c r="R44" i="55"/>
  <c r="T44" i="55" s="1"/>
  <c r="O41" i="55"/>
  <c r="O120" i="55"/>
  <c r="M19" i="59"/>
  <c r="S114" i="55"/>
  <c r="T114" i="55" s="1"/>
  <c r="O49" i="55"/>
  <c r="T138" i="55"/>
  <c r="R20" i="55"/>
  <c r="T20" i="55" s="1"/>
  <c r="R74" i="55"/>
  <c r="T74" i="55" s="1"/>
  <c r="T31" i="55"/>
  <c r="O62" i="55"/>
  <c r="M14" i="59"/>
  <c r="O72" i="55"/>
  <c r="O172" i="55"/>
  <c r="M11" i="59"/>
  <c r="T17" i="55"/>
  <c r="O144" i="55"/>
  <c r="O145" i="55"/>
  <c r="O28" i="55"/>
  <c r="O96" i="55"/>
  <c r="T15" i="55"/>
  <c r="O170" i="55"/>
  <c r="O30" i="55"/>
  <c r="O33" i="55"/>
  <c r="O58" i="55"/>
  <c r="O115" i="55"/>
  <c r="K40" i="55" a="1"/>
  <c r="K40" i="55" s="1"/>
  <c r="T7" i="59"/>
  <c r="O132" i="55"/>
  <c r="R117" i="55"/>
  <c r="T117" i="55" s="1"/>
  <c r="T173" i="55"/>
  <c r="O171" i="55"/>
  <c r="O69" i="55"/>
  <c r="T146" i="55"/>
  <c r="R18" i="55"/>
  <c r="T18" i="55" s="1"/>
  <c r="O48" i="55"/>
  <c r="O43" i="55"/>
  <c r="O37" i="55"/>
  <c r="O161" i="55"/>
  <c r="T172" i="55"/>
  <c r="T83" i="55"/>
  <c r="T154" i="55"/>
  <c r="P22" i="55"/>
  <c r="P98" i="55"/>
  <c r="O11" i="59"/>
  <c r="P39" i="55"/>
  <c r="T67" i="55"/>
  <c r="T157" i="55"/>
  <c r="T147" i="55"/>
  <c r="T24" i="55"/>
  <c r="D13" i="57"/>
  <c r="E5" i="57"/>
  <c r="E6" i="57" s="1"/>
  <c r="E7" i="57" s="1"/>
  <c r="E8" i="57" s="1"/>
  <c r="E9" i="57" s="1"/>
  <c r="E10" i="57" s="1"/>
  <c r="E11" i="57" s="1"/>
  <c r="E12" i="57" s="1"/>
  <c r="S158" i="55"/>
  <c r="R158" i="55"/>
  <c r="G7" i="26"/>
  <c r="F6" i="26"/>
  <c r="O122" i="55"/>
  <c r="O25" i="55"/>
  <c r="O70" i="55"/>
  <c r="O140" i="55"/>
  <c r="O133" i="55"/>
  <c r="O18" i="55"/>
  <c r="T30" i="55"/>
  <c r="O128" i="55"/>
  <c r="O142" i="55"/>
  <c r="R91" i="55"/>
  <c r="S91" i="55"/>
  <c r="O75" i="55"/>
  <c r="O95" i="55"/>
  <c r="O63" i="55"/>
  <c r="O51" i="55"/>
  <c r="O141" i="55"/>
  <c r="O101" i="55"/>
  <c r="O126" i="55"/>
  <c r="T150" i="55"/>
  <c r="R75" i="55"/>
  <c r="S75" i="55"/>
  <c r="O60" i="55"/>
  <c r="O116" i="55"/>
  <c r="O50" i="55"/>
  <c r="O105" i="55"/>
  <c r="O166" i="55"/>
  <c r="O117" i="55"/>
  <c r="O40" i="55"/>
  <c r="O74" i="55"/>
  <c r="O13" i="55"/>
  <c r="O73" i="55"/>
  <c r="O27" i="55"/>
  <c r="O94" i="55"/>
  <c r="O136" i="55"/>
  <c r="O84" i="55"/>
  <c r="O54" i="55"/>
  <c r="O146" i="55"/>
  <c r="O158" i="55"/>
  <c r="O35" i="55"/>
  <c r="O97" i="55"/>
  <c r="O92" i="55"/>
  <c r="O66" i="55"/>
  <c r="O109" i="55"/>
  <c r="R151" i="55"/>
  <c r="S151" i="55"/>
  <c r="O173" i="55"/>
  <c r="S35" i="55"/>
  <c r="R35" i="55"/>
  <c r="R129" i="55"/>
  <c r="S129" i="55"/>
  <c r="O138" i="55"/>
  <c r="O53" i="55"/>
  <c r="O151" i="55"/>
  <c r="O113" i="55"/>
  <c r="O59" i="55"/>
  <c r="L18" i="59"/>
  <c r="M18" i="59"/>
  <c r="R53" i="55"/>
  <c r="T53" i="55" s="1"/>
  <c r="T5" i="59"/>
  <c r="R27" i="55"/>
  <c r="T27" i="55" s="1"/>
  <c r="S69" i="55"/>
  <c r="T69" i="55" s="1"/>
  <c r="T181" i="55"/>
  <c r="K62" i="55" a="1"/>
  <c r="K62" i="55" s="1"/>
  <c r="K96" i="55" a="1"/>
  <c r="K96" i="55" s="1"/>
  <c r="K102" i="55" a="1"/>
  <c r="K102" i="55" s="1"/>
  <c r="S97" i="55"/>
  <c r="T97" i="55" s="1"/>
  <c r="G5" i="59"/>
  <c r="S2" i="53"/>
  <c r="S143" i="55"/>
  <c r="T143" i="55" s="1"/>
  <c r="O39" i="55"/>
  <c r="G6" i="59"/>
  <c r="X872" i="53"/>
  <c r="S176" i="55"/>
  <c r="T176" i="55" s="1"/>
  <c r="R46" i="55"/>
  <c r="T46" i="55" s="1"/>
  <c r="K175" i="55" a="1"/>
  <c r="K175" i="55" s="1"/>
  <c r="R84" i="55"/>
  <c r="T84" i="55" s="1"/>
  <c r="S1089" i="53"/>
  <c r="S94" i="55"/>
  <c r="T94" i="55" s="1"/>
  <c r="R37" i="55"/>
  <c r="T37" i="55" s="1"/>
  <c r="R118" i="55"/>
  <c r="T118" i="55" s="1"/>
  <c r="T180" i="55"/>
  <c r="K59" i="55" a="1"/>
  <c r="K59" i="55" s="1"/>
  <c r="R140" i="55"/>
  <c r="T140" i="55" s="1"/>
  <c r="T78" i="55"/>
  <c r="T32" i="55"/>
  <c r="T93" i="55"/>
  <c r="T88" i="55"/>
  <c r="R92" i="55"/>
  <c r="T92" i="55" s="1"/>
  <c r="AE708" i="53"/>
  <c r="P116" i="55"/>
  <c r="S116" i="55" s="1"/>
  <c r="P169" i="55"/>
  <c r="L14" i="59" l="1"/>
  <c r="T141" i="55"/>
  <c r="G21" i="59"/>
  <c r="L21" i="59" s="1"/>
  <c r="M20" i="59"/>
  <c r="T111" i="55"/>
  <c r="T102" i="55"/>
  <c r="T13" i="55"/>
  <c r="R183" i="55"/>
  <c r="T2" i="55" s="1"/>
  <c r="T21" i="59"/>
  <c r="R2" i="55"/>
  <c r="S2" i="55"/>
  <c r="R29" i="55"/>
  <c r="T29" i="55" s="1"/>
  <c r="T43" i="55"/>
  <c r="T120" i="55"/>
  <c r="T126" i="55"/>
  <c r="R174" i="55"/>
  <c r="T174" i="55" s="1"/>
  <c r="S100" i="55"/>
  <c r="T100" i="55" s="1"/>
  <c r="R161" i="55"/>
  <c r="S161" i="55"/>
  <c r="R66" i="55"/>
  <c r="S66" i="55"/>
  <c r="T91" i="55"/>
  <c r="T95" i="55"/>
  <c r="G2" i="55"/>
  <c r="H3" i="55" s="1"/>
  <c r="G3" i="55"/>
  <c r="H2" i="55"/>
  <c r="S136" i="55"/>
  <c r="R136" i="55"/>
  <c r="G183" i="55"/>
  <c r="H184" i="55" s="1"/>
  <c r="G184" i="55"/>
  <c r="R51" i="55"/>
  <c r="T51" i="55" s="1"/>
  <c r="T129" i="55"/>
  <c r="S22" i="55"/>
  <c r="R22" i="55"/>
  <c r="H183" i="55"/>
  <c r="U11" i="59"/>
  <c r="O14" i="59"/>
  <c r="T11" i="59"/>
  <c r="R98" i="55"/>
  <c r="S98" i="55"/>
  <c r="S39" i="55"/>
  <c r="R39" i="55"/>
  <c r="T35" i="55"/>
  <c r="R169" i="55"/>
  <c r="S169" i="55"/>
  <c r="X2" i="53"/>
  <c r="X1089" i="53"/>
  <c r="T75" i="55"/>
  <c r="T151" i="55"/>
  <c r="R116" i="55"/>
  <c r="T116" i="55" s="1"/>
  <c r="L6" i="59"/>
  <c r="M6" i="59"/>
  <c r="H7" i="26"/>
  <c r="G6" i="26"/>
  <c r="T158" i="55"/>
  <c r="M5" i="59"/>
  <c r="G7" i="59"/>
  <c r="L5" i="59"/>
  <c r="M21" i="59" l="1"/>
  <c r="T183" i="55"/>
  <c r="T66" i="55"/>
  <c r="T161" i="55"/>
  <c r="T22" i="55"/>
  <c r="T136" i="55"/>
  <c r="T98" i="55"/>
  <c r="T39" i="55"/>
  <c r="T14" i="59"/>
  <c r="U14" i="59"/>
  <c r="T169" i="55"/>
  <c r="M7" i="59"/>
  <c r="L7" i="59"/>
  <c r="H6" i="26"/>
  <c r="I7" i="26"/>
  <c r="J7" i="26" l="1"/>
  <c r="I6" i="26"/>
  <c r="K7" i="26" l="1"/>
  <c r="J6" i="26"/>
  <c r="L7" i="26" l="1"/>
  <c r="K6" i="26"/>
  <c r="M7" i="26" l="1"/>
  <c r="L6" i="26"/>
  <c r="N7" i="26" l="1"/>
  <c r="M6" i="26"/>
  <c r="N6" i="26" l="1"/>
  <c r="O7" i="26"/>
  <c r="O6" i="26" l="1"/>
  <c r="P7" i="26"/>
  <c r="P6" i="26" l="1"/>
  <c r="Q7" i="26"/>
  <c r="R7" i="26" l="1"/>
  <c r="Q6" i="26"/>
  <c r="S7" i="26" l="1"/>
  <c r="R6" i="26"/>
  <c r="T7" i="26" l="1"/>
  <c r="S6" i="26"/>
  <c r="U7" i="26" l="1"/>
  <c r="T6" i="26"/>
  <c r="U6" i="26" l="1"/>
  <c r="V7" i="26"/>
  <c r="W7" i="26" l="1"/>
  <c r="V6" i="26"/>
  <c r="W6" i="26" l="1"/>
  <c r="X7" i="26"/>
  <c r="Y7" i="26" l="1"/>
  <c r="X6" i="26"/>
  <c r="Z7" i="26" l="1"/>
  <c r="Y6" i="26"/>
  <c r="AA7" i="26" l="1"/>
  <c r="Z6" i="26"/>
  <c r="AB7" i="26" l="1"/>
  <c r="AA6" i="26"/>
  <c r="AB6" i="26" l="1"/>
  <c r="AC7" i="26"/>
  <c r="AD7" i="26" l="1"/>
  <c r="AC6" i="26"/>
  <c r="AD6" i="26" l="1"/>
  <c r="AE7" i="26"/>
  <c r="AF7" i="26" l="1"/>
  <c r="AE6" i="26"/>
  <c r="AF6" i="26" l="1"/>
  <c r="AG7" i="26"/>
  <c r="AH7" i="26" l="1"/>
  <c r="AG6"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4051F3ED-B7C8-44BB-B90F-4FDAB7191D7D}">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<sst xmlns="http://schemas.openxmlformats.org/spreadsheetml/2006/main" count="11551" uniqueCount="2933">
  <si>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</si>
  <si>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</si>
  <si>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</si>
  <si>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</si>
  <si>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</si>
  <si>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</si>
  <si>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</si>
  <si>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</si>
  <si>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</si>
  <si>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</si>
  <si>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</si>
  <si>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</si>
  <si>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</si>
  <si>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</si>
  <si>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</si>
  <si>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</si>
  <si>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</si>
  <si>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</si>
  <si>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</si>
  <si>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</si>
  <si>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</si>
  <si>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</si>
  <si>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</si>
  <si>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</si>
  <si>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</si>
  <si>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</si>
  <si>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</si>
  <si>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</si>
  <si>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</si>
  <si>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</si>
  <si>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</si>
  <si>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</si>
  <si>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</si>
  <si>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</si>
  <si>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</si>
  <si>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</si>
  <si>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</si>
  <si>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</si>
  <si>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</si>
  <si>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</si>
  <si>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</si>
  <si>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</si>
  <si>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</si>
  <si>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</si>
  <si>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</si>
  <si>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</si>
  <si>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</si>
  <si>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</si>
  <si>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</si>
  <si>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</si>
  <si>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</si>
  <si>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</si>
  <si>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</si>
  <si>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</si>
  <si>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</si>
  <si>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</si>
  <si>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</si>
  <si>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</si>
  <si>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</si>
  <si>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</si>
  <si>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</si>
  <si>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</si>
  <si>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</si>
  <si>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</si>
  <si>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</si>
  <si>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</si>
  <si>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</si>
  <si>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</si>
  <si>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</si>
  <si>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</si>
  <si>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</si>
  <si>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</si>
  <si>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</si>
  <si>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</si>
  <si>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</si>
  <si>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</si>
  <si>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</si>
  <si>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</si>
  <si>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</si>
  <si>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</si>
  <si>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</si>
  <si>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</si>
  <si>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</si>
  <si>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</si>
  <si>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</si>
  <si>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</si>
  <si>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</si>
  <si>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</si>
  <si>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</si>
  <si>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</si>
  <si>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</si>
  <si>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</si>
  <si>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</si>
  <si>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</si>
  <si>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</si>
  <si>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</si>
  <si>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</si>
  <si>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</si>
  <si>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</si>
  <si>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</si>
  <si>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</si>
  <si>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</si>
  <si>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</si>
  <si>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</si>
  <si>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</si>
  <si>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</si>
  <si>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</si>
  <si>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</si>
  <si>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</si>
  <si>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</si>
  <si>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</si>
  <si>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</si>
  <si>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</si>
  <si>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</si>
  <si>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</si>
  <si>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</si>
  <si>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</si>
  <si>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</si>
  <si>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</si>
  <si>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</si>
  <si>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</si>
  <si>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</si>
  <si>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</si>
  <si>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</si>
  <si>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</si>
  <si>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</si>
  <si>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</si>
  <si>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</si>
  <si>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</si>
  <si>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</si>
  <si>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</si>
  <si>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</si>
  <si>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</si>
  <si>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</si>
  <si>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</si>
  <si>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</si>
  <si>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</si>
  <si>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</si>
  <si>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</si>
  <si>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</si>
  <si>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</si>
  <si>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</si>
  <si>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</si>
  <si>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</si>
  <si>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</si>
  <si>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</si>
  <si>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</si>
  <si>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</si>
  <si>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</si>
  <si>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</si>
  <si>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</si>
  <si>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</si>
  <si>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</si>
  <si>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</si>
  <si>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</si>
  <si>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</si>
  <si>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</si>
  <si>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</si>
  <si>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</si>
  <si>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</si>
  <si>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</si>
  <si>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</si>
  <si>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</si>
  <si>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</si>
  <si>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</si>
  <si>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</si>
  <si>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</si>
  <si>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</si>
  <si>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</si>
  <si>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</si>
  <si>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</si>
  <si>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</si>
  <si>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</si>
  <si>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</si>
  <si>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</si>
  <si>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</si>
  <si>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</si>
  <si>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</si>
  <si>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</si>
  <si>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</si>
  <si>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</si>
  <si>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</si>
  <si>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</si>
  <si>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</si>
  <si>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</si>
  <si>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</si>
  <si>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</si>
  <si>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</si>
  <si>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</si>
  <si>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</si>
  <si>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</si>
  <si>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</si>
  <si>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</si>
  <si>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</si>
  <si>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</si>
  <si>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</si>
  <si>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</si>
  <si>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</si>
  <si>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</si>
  <si>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</si>
  <si>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</si>
  <si>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</si>
  <si>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</si>
  <si>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</si>
  <si>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</si>
  <si>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</si>
  <si>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</si>
  <si>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</si>
  <si>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</si>
  <si>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</si>
  <si>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</si>
  <si>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</si>
  <si>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</si>
  <si>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</si>
  <si>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</si>
  <si>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</si>
  <si>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</si>
  <si>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</si>
  <si>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</si>
  <si>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</si>
  <si>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</si>
  <si>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</si>
  <si>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</si>
  <si>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</si>
  <si>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</si>
  <si>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</si>
  <si>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</si>
  <si>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</si>
  <si>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</si>
  <si>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</si>
  <si>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</si>
  <si>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</si>
  <si>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</si>
  <si>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</si>
  <si>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</si>
  <si>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</si>
  <si>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</si>
  <si>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</si>
  <si>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</si>
  <si>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</si>
  <si>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</si>
  <si>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</si>
  <si>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</si>
  <si>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</si>
  <si>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</si>
  <si>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</si>
  <si>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</si>
  <si>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</si>
  <si>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</si>
  <si>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</si>
  <si>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</si>
  <si>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</si>
  <si>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</si>
  <si>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</si>
  <si>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</si>
  <si>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</si>
  <si>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</si>
  <si>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</si>
  <si>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KRK-GMHUB-001 KRK-GMHUB-002 KRK-GMHUB-003 KRK-GMHUB-041 KRK-GMHUB-238</t>
  </si>
  <si>
    <t>SOC: SoC-15 SDP Interfaces</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</si>
  <si>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</si>
  <si>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</si>
  <si>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</si>
  <si>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</si>
  <si>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</si>
  <si>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</si>
  <si>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</si>
  <si>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</si>
  <si>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</si>
  <si>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</si>
  <si>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</si>
  <si>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</si>
  <si>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</si>
  <si>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</si>
  <si>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</si>
  <si>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</si>
  <si>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</si>
  <si>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</si>
  <si>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</si>
  <si>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</si>
  <si>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</si>
  <si>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</si>
  <si>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pmhub001.9</t>
  </si>
  <si>
    <t>-vm -atc -UseCpDirReg=1 -tcoreptloc=1</t>
  </si>
  <si>
    <t>KRK-GMHUB-001 KRK-GMHUB-002 KRK-GMHUB-003 KRK-GMHUB-041 KRK-GMHUB-065</t>
  </si>
  <si>
    <t>MMHUB Independent VM Context Aperture Address Range/Boundary tests</t>
  </si>
  <si>
    <t>mhub002.1-15</t>
  </si>
  <si>
    <t>mhub002.16</t>
  </si>
  <si>
    <t>TNG</t>
  </si>
  <si>
    <t>KRK-GMHUB-001 KRK-GMHUB-002 KRK-GMHUB-003 KRK-GMHUB-041</t>
  </si>
  <si>
    <t>MMHUB Concurrent access to multiple apertures test</t>
  </si>
  <si>
    <t>mhub002.17</t>
  </si>
  <si>
    <t>Access to a VM FB region mapped to the 1st 16MB of FB</t>
  </si>
  <si>
    <t>mhub002.18</t>
  </si>
  <si>
    <t>dmhub002.2-15</t>
  </si>
  <si>
    <t>-vm -atc -mhub_non_tc_pt_depth=[1-4]</t>
  </si>
  <si>
    <t>pmhub002.1-15</t>
  </si>
  <si>
    <t>-vm -atc -tcoreptloc=1</t>
  </si>
  <si>
    <t>pmhub002.17</t>
  </si>
  <si>
    <t>MMHUB VM Non-ADM Mode</t>
  </si>
  <si>
    <t>mhub003</t>
  </si>
  <si>
    <t>-vm -UseSdmaPio</t>
  </si>
  <si>
    <t>nmhub003</t>
  </si>
  <si>
    <t>-vm -atc -tc_EnableNonIdentityMapping</t>
  </si>
  <si>
    <t>pmhub003</t>
  </si>
  <si>
    <t>KRK-GMHUB-072</t>
  </si>
  <si>
    <t>MMUTCL2 - VML2: Increase MTYPE from 2 to 3 bits</t>
  </si>
  <si>
    <t>MMHUB PDE C attribute</t>
  </si>
  <si>
    <t>mhub005</t>
  </si>
  <si>
    <t>-vm -tcoreptloc=1</t>
  </si>
  <si>
    <t>hmhub005</t>
  </si>
  <si>
    <t>-vm -atc -tcoreptloc=1 -SteerDefaultAllocToHighAddr</t>
  </si>
  <si>
    <t>KRK-GMHUB-073</t>
  </si>
  <si>
    <t>MMUTCL2 - VML2: PTE Attributes</t>
  </si>
  <si>
    <t>MMHUB VM FB page access test</t>
  </si>
  <si>
    <t>mhub006.1</t>
  </si>
  <si>
    <t>MMHUB VM System Memory page access test</t>
  </si>
  <si>
    <t>mhub006.2</t>
  </si>
  <si>
    <t>MMHUB VM ATC page access test</t>
  </si>
  <si>
    <t>mhub006.3</t>
  </si>
  <si>
    <t>-vm -atc</t>
  </si>
  <si>
    <t>MMHUB VM Unmapped invalid fault test</t>
  </si>
  <si>
    <t>mhub006.4</t>
  </si>
  <si>
    <t>pmhub006.1</t>
  </si>
  <si>
    <t>pmhub006.3</t>
  </si>
  <si>
    <t>pmhub006.4</t>
  </si>
  <si>
    <t>nmhub006.2</t>
  </si>
  <si>
    <t>hmhub006.2</t>
  </si>
  <si>
    <t>-vm -atc -SteerDefaultAllocToHighAddr</t>
  </si>
  <si>
    <t>hmhub006.3</t>
  </si>
  <si>
    <t>-vm -atc -SteerDefaultAllocToHighAddr</t>
  </si>
  <si>
    <t>MMHUB Snooped test with Qword</t>
  </si>
  <si>
    <t>mhub007.4</t>
  </si>
  <si>
    <t>hmhub007.4</t>
  </si>
  <si>
    <t>nmhub007.4</t>
  </si>
  <si>
    <t>Chengchun</t>
  </si>
  <si>
    <t>MMHUB W attribute test</t>
  </si>
  <si>
    <t>mhub008.1</t>
  </si>
  <si>
    <t>MMHUB R attribute test</t>
  </si>
  <si>
    <t>mhub008.2</t>
  </si>
  <si>
    <t>hmhub008.1</t>
  </si>
  <si>
    <t>hmhub008.2</t>
  </si>
  <si>
    <t>pmhub008.1</t>
  </si>
  <si>
    <t>pmhub008.2</t>
  </si>
  <si>
    <t>KRK-GMHUB-071 KRK-GMHUB-072</t>
  </si>
  <si>
    <t>MMHUB 2-level PDE test</t>
  </si>
  <si>
    <t>mhub010.1</t>
  </si>
  <si>
    <t>MMHUB 4-level PDE test</t>
  </si>
  <si>
    <t>mhub010.2</t>
  </si>
  <si>
    <t>hmhub010.1</t>
  </si>
  <si>
    <t>pmhub010.1</t>
  </si>
  <si>
    <t>hmhub010.2</t>
  </si>
  <si>
    <t>pmhub010.2</t>
  </si>
  <si>
    <t>KRK-GMHUB-071 KRK-GMHUB-073 KRK-GMHUB-077</t>
  </si>
  <si>
    <t>Zhongli</t>
  </si>
  <si>
    <t>MMHUB TF PTE Test</t>
  </si>
  <si>
    <t>mhub011.1</t>
  </si>
  <si>
    <t>hmhub011.1</t>
  </si>
  <si>
    <t>phub011.1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</si>
  <si>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</si>
  <si>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</si>
  <si>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</si>
  <si>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</si>
  <si>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</si>
  <si>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</si>
  <si>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</si>
  <si>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</si>
  <si>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</si>
  <si>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</si>
  <si>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</si>
  <si>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</si>
  <si>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KRK-GMHUB-072 KRK-GMHUB-073 KRK-GMHUB-076 KRK-GMHUB-078</t>
  </si>
  <si>
    <t>Zi Harn</t>
  </si>
  <si>
    <t>MMHUB VM Page Table Block &amp; Fragment Sizes</t>
  </si>
  <si>
    <t>mhub012</t>
  </si>
  <si>
    <t>hmhub012</t>
  </si>
  <si>
    <t>pmhub012</t>
  </si>
  <si>
    <t>KRK-GMHUB-072 KRK-GMHUB-073 KRK-GMHUB-092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</si>
  <si>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</si>
  <si>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</si>
  <si>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</si>
  <si>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</si>
  <si>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</si>
  <si>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</si>
  <si>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</si>
  <si>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</si>
  <si>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</si>
  <si>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</si>
  <si>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</si>
  <si>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</si>
  <si>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</si>
  <si>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</si>
  <si>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</si>
  <si>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</si>
  <si>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</si>
  <si>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</si>
  <si>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</si>
  <si>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</si>
  <si>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</si>
  <si>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</si>
  <si>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hmhub013.1</t>
  </si>
  <si>
    <t>hmhub013.2</t>
  </si>
  <si>
    <t>-vm -atc -tcoreptloc=1 -pm4rb=system -SteerDefaultAllocToHighAddr</t>
  </si>
  <si>
    <t>hmhub013.3</t>
  </si>
  <si>
    <t>hmhub013.4</t>
  </si>
  <si>
    <t>hmhub013.5</t>
  </si>
  <si>
    <t>hmhub013.6</t>
  </si>
  <si>
    <t>hmhub013.7</t>
  </si>
  <si>
    <t>-vm -atc -SteerDefaultAllocToHighAddr  -tcoreptloc=1</t>
  </si>
  <si>
    <t>hmhub013.8</t>
  </si>
  <si>
    <t>hmhub013.9</t>
  </si>
  <si>
    <t>hmhub013.10</t>
  </si>
  <si>
    <t>MMHUB Heterogeneous PTE/PDE in the same Cache Line</t>
  </si>
  <si>
    <t>mhub014.1,2</t>
  </si>
  <si>
    <t>hmhub014.1,2</t>
  </si>
  <si>
    <t>pmhub014.1,2</t>
  </si>
  <si>
    <t>-vm -atc -tcoreptloc=1</t>
  </si>
  <si>
    <t>KRK-GMHUB-044</t>
  </si>
  <si>
    <t>MMUTCL2: Sideband OSSSYS translation path</t>
  </si>
  <si>
    <t>SDMA 0 Queue Entry Reuse</t>
  </si>
  <si>
    <t>mhub015.3,4</t>
  </si>
  <si>
    <t>hmhub015.3</t>
  </si>
  <si>
    <t>pmhub015.3</t>
  </si>
  <si>
    <t>SDMA 0 Queue Prefetch/Unordered AT Completion</t>
  </si>
  <si>
    <t>mhub016.5,7</t>
  </si>
  <si>
    <t>hmhub016.5,7</t>
  </si>
  <si>
    <t>pmhub016.5,7</t>
  </si>
  <si>
    <t>SDMA 0 XNACK=1;IOMMP failed Translation Completion</t>
  </si>
  <si>
    <t>mhub018.3</t>
  </si>
  <si>
    <t>hmhub018.3</t>
  </si>
  <si>
    <t>pmhub018.3</t>
  </si>
  <si>
    <t>GCHUB</t>
  </si>
  <si>
    <t>GFXHUB SDMA 0 XNACK=2;PRT page</t>
  </si>
  <si>
    <t>mhub019.3</t>
  </si>
  <si>
    <t>hmhub019.3</t>
  </si>
  <si>
    <t>pmhub019.3</t>
  </si>
  <si>
    <t>GFXHUB SDMA 0 XNACK=3;Page fault</t>
  </si>
  <si>
    <t>mhub020.3</t>
  </si>
  <si>
    <t>-vm </t>
  </si>
  <si>
    <t>SEM UTC-L1 Reuse &amp; Invalicatoin using ATC resource</t>
  </si>
  <si>
    <t>mhub023.3</t>
  </si>
  <si>
    <t>dmhub023.3</t>
  </si>
  <si>
    <t>-vm -atc -mhub_pt_override=0 -mhub_non_tc_pt_depth=[1-3]</t>
  </si>
  <si>
    <t>KRK-GMHUB-040 KRK-GMHUB-042</t>
  </si>
  <si>
    <t>UTCL1: Support both GPUVM invalidate and ATC invalidate</t>
  </si>
  <si>
    <t>Sukaina</t>
  </si>
  <si>
    <t>MM UTC L1 Invalidation - GPUVM</t>
  </si>
  <si>
    <t>mhub026.1</t>
  </si>
  <si>
    <t>MM UTC L1 Invalidation - GPUVA-&gt;SPA - ATC Host</t>
  </si>
  <si>
    <t>mhub026.2,3</t>
  </si>
  <si>
    <t xml:space="preserve">-vm -atc </t>
  </si>
  <si>
    <t>MM UTC L1 Invalidation - GPA-&gt;SPA - ATC Host</t>
  </si>
  <si>
    <t>mhub026.4,5</t>
  </si>
  <si>
    <t>MM UTC L1 Invalidation - GPA-&gt;GPA ATC Host</t>
  </si>
  <si>
    <t>mhub026.6,7</t>
  </si>
  <si>
    <t>MM UTC L1 Invalidation - Combo</t>
  </si>
  <si>
    <t>mhub026.8</t>
  </si>
  <si>
    <t>-vm -atc -gpu_copyengine=tcore</t>
  </si>
  <si>
    <t>hmhub026.1</t>
  </si>
  <si>
    <t>hmhub026.2,3</t>
  </si>
  <si>
    <t>-vm -atc -UseSem -SteerDefaultAllocToHighAddr</t>
  </si>
  <si>
    <t>hmhub026.4,5</t>
  </si>
  <si>
    <t>hmhub026.6,7</t>
  </si>
  <si>
    <t>pmhub026.1</t>
  </si>
  <si>
    <t>KRK-GMHUB-034 KRK-GMHUB-042</t>
  </si>
  <si>
    <t>VM L1 Aperture-Only TLB Faults test</t>
  </si>
  <si>
    <t>mhub027.1,2</t>
  </si>
  <si>
    <t>hmhub027.1,2</t>
  </si>
  <si>
    <t>pmhub027.1,2</t>
  </si>
  <si>
    <t>-vm -atc -UseSem -tcoreptloc=1</t>
  </si>
  <si>
    <t>VM L1 Read/Write TLB Hits/Misses tests</t>
  </si>
  <si>
    <t>mhub028.1,2</t>
  </si>
  <si>
    <t>VM L1 Read/Write TLB Eviction</t>
  </si>
  <si>
    <t>mhub029.1,2</t>
  </si>
  <si>
    <t xml:space="preserve">-vm </t>
  </si>
  <si>
    <t>VM L1 Fragment Processing</t>
  </si>
  <si>
    <t>KRK-GMHUB-071 KRK-GMHUB-051 KRK-GMHUB-045</t>
  </si>
  <si>
    <t>MMUTCL2: Implement 'router' to aggregate UTCL1 requests for non-OSS requests</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</si>
  <si>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</si>
  <si>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</si>
  <si>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</si>
  <si>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</si>
  <si>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</si>
  <si>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</si>
  <si>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</si>
  <si>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</si>
  <si>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</si>
  <si>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</si>
  <si>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pmhub031.1</t>
  </si>
  <si>
    <t>-vm -atc -UseSem -tcoreptloc=1</t>
  </si>
  <si>
    <t>pmhub031.2</t>
  </si>
  <si>
    <t>-vm -atc -UseSem -tc_BlockFragmentSize=0 -tc_SmallkCacheFragSize=0 -tc_BigkCacheFragSize=4 -tcoreptloc=1</t>
  </si>
  <si>
    <t>pmhub031.3-5</t>
  </si>
  <si>
    <t>pmhub031.6-9</t>
  </si>
  <si>
    <t>-vm -UseVcnClient -tcoreptloc=1</t>
  </si>
  <si>
    <t>KRK-GMHUB-061</t>
  </si>
  <si>
    <t>MMUTCL2 - VML2: Page Table Levels</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</si>
  <si>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</si>
  <si>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</si>
  <si>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</si>
  <si>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</si>
  <si>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</si>
  <si>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</si>
  <si>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</si>
  <si>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</si>
  <si>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</si>
  <si>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</si>
  <si>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</si>
  <si>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</si>
  <si>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</si>
  <si>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</si>
  <si>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</si>
  <si>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</si>
  <si>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</si>
  <si>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</si>
  <si>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</si>
  <si>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</si>
  <si>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</si>
  <si>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</si>
  <si>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</si>
  <si>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</si>
  <si>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</si>
  <si>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</si>
  <si>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</si>
  <si>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</si>
  <si>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pmhub032.1-2</t>
  </si>
  <si>
    <t>-vm -tc_SmallkCacheFragSize=4 -tcoreptloc=1</t>
  </si>
  <si>
    <t>pmhub032.3</t>
  </si>
  <si>
    <t>-vm -tc_BigkCacheFragSize=4  -tc_SmallkCacheFragSize=1  -tcoreptloc=1</t>
  </si>
  <si>
    <t>pmhub032.4</t>
  </si>
  <si>
    <t>-vm -tc_BigkCacheFragSize=4  -tc_SmallkCacheFragSize=1 -tcoreptloc=1</t>
  </si>
  <si>
    <t>pmhub032.5</t>
  </si>
  <si>
    <t>-vm -tc_BigkCacheFragSize=1  -tc_SmallkCacheFragSize=4 -tc_ulVidmemFragmentSize=2 -tcoreptloc=1</t>
  </si>
  <si>
    <t>pmhub032.6</t>
  </si>
  <si>
    <t>-vm -tc_BigkCacheFragSize=1  -tc_SmallkCacheFragSize=4 -tc_ulVidmemFragmentSize=2  -tcoreptloc=1</t>
  </si>
  <si>
    <t>pmhub032.7</t>
  </si>
  <si>
    <t>-vm -tc_BigkCacheFragSize=4 -tcoreptloc=1</t>
  </si>
  <si>
    <t>pmhub032.8</t>
  </si>
  <si>
    <t>pmhub032.9</t>
  </si>
  <si>
    <t>-vm -atc -tc_BigkCacheFragSize=1  -tc_SmallkCacheFragSize=4 -tcoreptloc=1</t>
  </si>
  <si>
    <t>pmhub032.10</t>
  </si>
  <si>
    <t>-vm -tc_BigkCacheFragSize=4  -tc_SmallkCacheFragSize=1 -tc_ulVidmemFragmentSize=2 -tcoreptloc=1</t>
  </si>
  <si>
    <t>pmhub032.11</t>
  </si>
  <si>
    <t>pmhub032.12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</si>
  <si>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</si>
  <si>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</si>
  <si>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</si>
  <si>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</si>
  <si>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</si>
  <si>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</si>
  <si>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</si>
  <si>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</si>
  <si>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</si>
  <si>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</si>
  <si>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</si>
  <si>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</si>
  <si>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</si>
  <si>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</si>
  <si>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</si>
  <si>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</si>
  <si>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</si>
  <si>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</si>
  <si>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mhub033.101,103,106</t>
  </si>
  <si>
    <t>-vm -tc_BigkCacheFragSize=4 -UseSdmaPio</t>
  </si>
  <si>
    <t>mhub033.104</t>
  </si>
  <si>
    <t>-vm  -tc_BigkCacheFragSize=4 -tc_ulVidmemFragmentSize=0 -UseSdmaPio</t>
  </si>
  <si>
    <t>pmhub033.1</t>
  </si>
  <si>
    <t>pmhub033.2</t>
  </si>
  <si>
    <t>pmhub033.3</t>
  </si>
  <si>
    <t>-vm -atc -UseSem -tc_BlockFragmentSize=4 -tcoreptloc=1</t>
  </si>
  <si>
    <t>pmhub033.4</t>
  </si>
  <si>
    <t>pmhub033.5</t>
  </si>
  <si>
    <t>pmhub033.6</t>
  </si>
  <si>
    <t>KRK-GMHUB-061 KRK-GMHUB-085</t>
  </si>
  <si>
    <t>MMUTCL2 - VML2: VML2 BigK/4K cache swap</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</si>
  <si>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</si>
  <si>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</si>
  <si>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</si>
  <si>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</si>
  <si>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</si>
  <si>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</si>
  <si>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</si>
  <si>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</si>
  <si>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</si>
  <si>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</si>
  <si>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</si>
  <si>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</si>
  <si>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</si>
  <si>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mhub035.1,2,3,13,14,15</t>
  </si>
  <si>
    <t>MM UTCL1 Fragment Processing SoftRT ATC</t>
  </si>
  <si>
    <t>mhub035.7,8,9,19,20,21</t>
  </si>
  <si>
    <t>MM UTCL1 Fragment Processing NonRT GPUVM</t>
  </si>
  <si>
    <t>mhub035.4,5,6,16,17,18</t>
  </si>
  <si>
    <t>MM UTCL1 Fragment Processing SoftRT GPUVM</t>
  </si>
  <si>
    <t>mhub035.10,11,12,22,23,24</t>
  </si>
  <si>
    <t>KRK-GMHUB-065</t>
  </si>
  <si>
    <t>MMUTCL2 - ATCL2: Caches</t>
  </si>
  <si>
    <t>MMHUB ATC L2 Cache Hits/Misses on Read/Write Translation Request(PASID/NO PASID)</t>
  </si>
  <si>
    <t>mhub037.1-4</t>
  </si>
  <si>
    <t>mhub038.1-4</t>
  </si>
  <si>
    <t>mhub039.1-16</t>
  </si>
  <si>
    <t>KRK-GMHUB-065 KRK-GMHUB-066 KRK-GMHUB-097</t>
  </si>
  <si>
    <t>MMHUB ATC L2 Cache Eviction (4K - SoftRT/NonRT with or without PASID)</t>
  </si>
  <si>
    <t>mhub040.1-4</t>
  </si>
  <si>
    <t>KRK-GMHUB-066 KRK-GMHUB-097</t>
  </si>
  <si>
    <t>mhub040.11,13</t>
  </si>
  <si>
    <t>-vm -atc -UseSdmaPio</t>
  </si>
  <si>
    <t>hmhub040.1-4</t>
  </si>
  <si>
    <t>MMHUB ATC L2 Cache Eviction (2M - SoftRT/NonRT with or without PASID)</t>
  </si>
  <si>
    <t>hmhub040.11-14</t>
  </si>
  <si>
    <t>-vm -atc -tc_LogHostPageSize=21 -SteerDefaultAllocToHighAddr</t>
  </si>
  <si>
    <t>pmhub040.1-4</t>
  </si>
  <si>
    <t>pmhub040.11-14</t>
  </si>
  <si>
    <t>-vm -atc -tc_LogHostPageSize=21 -tcoreptloc=1</t>
  </si>
  <si>
    <t>mhub040.12,14</t>
  </si>
  <si>
    <t>-vm -atc -tc_LogHostPageSize=21 </t>
  </si>
  <si>
    <t>KRK-GMHUB-097</t>
  </si>
  <si>
    <t>MMHUB ATC L2 Cache Hits/Misses on Failed Translation Requests (PASID)</t>
  </si>
  <si>
    <t>mhub042.1</t>
  </si>
  <si>
    <t>MMHUB ATC L2 Cache Hits/Misses on Failed Translation Requests (NO PASID)</t>
  </si>
  <si>
    <t>mhub042.2</t>
  </si>
  <si>
    <t>hmhub042.1</t>
  </si>
  <si>
    <t>pmhub042.1</t>
  </si>
  <si>
    <t>hmhub042.2</t>
  </si>
  <si>
    <t>pmhub042.2</t>
  </si>
  <si>
    <t>MM UTC L1 NonRT Read/Write TLB Hits/Misses GPUVA-&gt;SPA</t>
  </si>
  <si>
    <t>mhub043.1,2</t>
  </si>
  <si>
    <t>MM UTC L1 SoftRT Read/Write TLB Hits/Misses GPUVA-&gt;SPA</t>
  </si>
  <si>
    <t>mhub043.3,4</t>
  </si>
  <si>
    <t>MM UTC L1 NonRT Read/Write TLB Hits/Misses GPUVA-&gt;GPA</t>
  </si>
  <si>
    <t>mhub043.5,6</t>
  </si>
  <si>
    <t>MM UTC L1 SoftRT Read/Write TLB Hits/Misses GPUVA-&gt;GPA</t>
  </si>
  <si>
    <t>mhub043.7,8</t>
  </si>
  <si>
    <t>MM UTC L1 NonRT Read/Write TLB Hits/Misses GPA-&gt;SPA</t>
  </si>
  <si>
    <t>mhub043.9,10</t>
  </si>
  <si>
    <t>MM UTC L1 SoftRT Read/Write TLB Hits/Misses GPA-&gt;SPA</t>
  </si>
  <si>
    <t>mhub043.11,12</t>
  </si>
  <si>
    <t>MM UTC L1 ATC NonRT/SoftRT Read/Write TLB Eviction using PTE Physical Address for GPUVA-SPA translations</t>
  </si>
  <si>
    <t>mhub044.1,2,3,4</t>
  </si>
  <si>
    <t>-vm -atc -mhub_disable_32K_pte_grouping=1</t>
  </si>
  <si>
    <t>MM UTC L1 GPUVM NonRT/SoftRT Read/Write TLB Eviction using PTE Physical Address for GPUVA-GPA translations</t>
  </si>
  <si>
    <t>mhub044.9,10,11,12</t>
  </si>
  <si>
    <t>MM UTC L1 ATC NonRT/SoftRT Read/Write TLB Eviction using PTE Physical Address for GPA-SPA translations</t>
  </si>
  <si>
    <t>mhub044.17,18,19,20</t>
  </si>
  <si>
    <t xml:space="preserve">MM UTC L1 Supertest </t>
  </si>
  <si>
    <t>mhub045.1-12, 21-32</t>
  </si>
  <si>
    <t>-vm -atc -tcoreptloc=0</t>
  </si>
  <si>
    <t>mhub045.13,14</t>
  </si>
  <si>
    <t>-vm -atc -tcoreptloc=0 -UseSdmaPio</t>
  </si>
  <si>
    <t>KRK-GMHUB-057</t>
  </si>
  <si>
    <t>MMUTCL2 - VML2: Translation bypass by VMID</t>
  </si>
  <si>
    <t>Chriz</t>
  </si>
  <si>
    <t>MMHUB Translation Bypass by VMID</t>
  </si>
  <si>
    <t>mhub046.1-8</t>
  </si>
  <si>
    <t>dmhub046.1-8</t>
  </si>
  <si>
    <t>Radhika</t>
  </si>
  <si>
    <t>MMHUB ATC L2 Cache Super test utilizing all ATC caches for different page sizes</t>
  </si>
  <si>
    <t>mhub047.1</t>
  </si>
  <si>
    <t>nmhub047.1</t>
  </si>
  <si>
    <t xml:space="preserve">-vm -atc -tc_EnableNonIdentityMapping </t>
  </si>
  <si>
    <t>pmhub047.1</t>
  </si>
  <si>
    <t>-vm -atc -tcoreptloc=1 -UseSem</t>
  </si>
  <si>
    <t>mhub047.2</t>
  </si>
  <si>
    <t>nmhub047.2</t>
  </si>
  <si>
    <t>-vm -atc -tc_EnableNonIdentityMapping -UseSem</t>
  </si>
  <si>
    <t>pmhub047.2</t>
  </si>
  <si>
    <t>KRK-GMHUB-060</t>
  </si>
  <si>
    <t>MMUTCL2 - VML2: UTCL2 Page Size Optimization</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</si>
  <si>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</si>
  <si>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</si>
  <si>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</si>
  <si>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</si>
  <si>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</si>
  <si>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</si>
  <si>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</si>
  <si>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</si>
  <si>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</si>
  <si>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</si>
  <si>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</si>
  <si>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</si>
  <si>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</si>
  <si>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</si>
  <si>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</si>
  <si>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</si>
  <si>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</si>
  <si>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</si>
  <si>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</si>
  <si>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hmhub048.1</t>
  </si>
  <si>
    <t>-vm -atc -UseVcnClient=1 tc_ulSysmemFragmentSize=4 -SteerDefaultAllocToHighAddr</t>
  </si>
  <si>
    <t>hmhub048.2</t>
  </si>
  <si>
    <t>hmhub048.3</t>
  </si>
  <si>
    <t>-vm -atc -UseVcnClient=1 tc_ulSysmemFragmentSize=9-SteerDefaultAllocToHighAddr</t>
  </si>
  <si>
    <t>hmhub048.4</t>
  </si>
  <si>
    <t>hmhub048.5</t>
  </si>
  <si>
    <t>hmhub048.6</t>
  </si>
  <si>
    <t>hmhub048.7</t>
  </si>
  <si>
    <t>nmhub048.1</t>
  </si>
  <si>
    <t>-vm -atc -UseVcnClient=1 tc_ulSysmemFragmentSize=4 -tc_EnableNonIdentityMapping</t>
  </si>
  <si>
    <t>nmhub048.2</t>
  </si>
  <si>
    <t>nmhub048.3</t>
  </si>
  <si>
    <t>-vm -atc -UseVcnClient=1 tc_ulSysmemFragmentSize=9 -tc_EnableNonIdentityMapping</t>
  </si>
  <si>
    <t>nmhub048.4</t>
  </si>
  <si>
    <t>nmhub048.5</t>
  </si>
  <si>
    <t>nmhub048.6</t>
  </si>
  <si>
    <t>nmhub048.7</t>
  </si>
  <si>
    <t>pmhub048.1</t>
  </si>
  <si>
    <t>-vm -atc -UseVcnClient=1 tc_ulSysmemFragmentSize=4 -tcoreptloc=1</t>
  </si>
  <si>
    <t>pmhub048.2</t>
  </si>
  <si>
    <t>pmhub048.3</t>
  </si>
  <si>
    <t>-vm -atc -UseVcnClient=1 tc_ulSysmemFragmentSize=9 -tcoreptloc=1</t>
  </si>
  <si>
    <t>pmhub048.4</t>
  </si>
  <si>
    <t>pmhub048.5</t>
  </si>
  <si>
    <t>pmhub048.6</t>
  </si>
  <si>
    <t>pmhub048.7</t>
  </si>
  <si>
    <t>KRK-GMHUB-063 KRK-GMHUB-069</t>
  </si>
  <si>
    <t>MMHUB Per-VM Context Invalidations</t>
  </si>
  <si>
    <t>mhub052.1</t>
  </si>
  <si>
    <t>hmhub052.1</t>
  </si>
  <si>
    <t>pmhub052.1</t>
  </si>
  <si>
    <t>MMHUB VM PDE/PTE only Invalidations</t>
  </si>
  <si>
    <t>mhub053.1</t>
  </si>
  <si>
    <t>hmhub053.1</t>
  </si>
  <si>
    <t>pmhub053.1</t>
  </si>
  <si>
    <t>KRK-GMHUB-063 KRK-GMHUB-069 KRK-GMHUB-070</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</si>
  <si>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</si>
  <si>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</si>
  <si>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</si>
  <si>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</si>
  <si>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</si>
  <si>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</si>
  <si>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mhub054.3, 5-8</t>
  </si>
  <si>
    <t xml:space="preserve">MMHUB VM L2 Address Range/Boundary Invalidation </t>
  </si>
  <si>
    <t>pmhub054.1,3,5-8</t>
  </si>
  <si>
    <t>MMHUB:UTCL1 - Support both GPUVM invalidate and ATC invalidate</t>
  </si>
  <si>
    <t xml:space="preserve">MMHUB L1 Range Invalidation </t>
  </si>
  <si>
    <t>mhub055</t>
  </si>
  <si>
    <t>KRK-GMHUB-064 KRK-GMHUB-065 KRK-GMHUB-069 KRK-GMHUB-070</t>
  </si>
  <si>
    <t>MMHUB:MMUTCL2:VML2 - Per invalidate engine registers</t>
  </si>
  <si>
    <t>MMHUB VM Invalidation Stress Test</t>
  </si>
  <si>
    <t>mhub057.1</t>
  </si>
  <si>
    <t>KRK-GMHUB-064 KRK-GMHUB-069 KRK-GMHUB-070</t>
  </si>
  <si>
    <t>mhub057.6</t>
  </si>
  <si>
    <t>pmhub057.6</t>
  </si>
  <si>
    <t>dmhub057.6</t>
  </si>
  <si>
    <t>-vm -atc -UseSem -mhub_non_tc_pt_depth=[1-4]</t>
  </si>
  <si>
    <t>KRK-GMHUB-058</t>
  </si>
  <si>
    <t>MMUTCL2 - VML2: GPUVM Table Walks to Sysmem</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</si>
  <si>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</si>
  <si>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</si>
  <si>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</si>
  <si>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</si>
  <si>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</si>
  <si>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</si>
  <si>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</si>
  <si>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</si>
  <si>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</si>
  <si>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</si>
  <si>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</si>
  <si>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</si>
  <si>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</si>
  <si>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</si>
  <si>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</si>
  <si>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</si>
  <si>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</si>
  <si>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</si>
  <si>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</si>
  <si>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</si>
  <si>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</si>
  <si>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</si>
  <si>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</si>
  <si>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</si>
  <si>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</si>
  <si>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</si>
  <si>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</si>
  <si>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</si>
  <si>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</si>
  <si>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</si>
  <si>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</si>
  <si>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</si>
  <si>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</si>
  <si>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</si>
  <si>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</si>
  <si>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</si>
  <si>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</si>
  <si>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</si>
  <si>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</si>
  <si>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</si>
  <si>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</si>
  <si>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</si>
  <si>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</si>
  <si>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</si>
  <si>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</si>
  <si>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</si>
  <si>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</si>
  <si>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hmhub058.1</t>
  </si>
  <si>
    <t>-vm -atc -tcoreptloc=0 -zsm -UseSem -SteerDefaultAllocToHighAddr</t>
  </si>
  <si>
    <t>hmhub058.2</t>
  </si>
  <si>
    <t>-vm -atc -tcoreptloc=1 -zsm -UseSem -SteerDefaultAllocToHighAddr</t>
  </si>
  <si>
    <t>hmhub058.3</t>
  </si>
  <si>
    <t>hmhub058.4</t>
  </si>
  <si>
    <t>hmhub058.5</t>
  </si>
  <si>
    <t>hmhub058.6</t>
  </si>
  <si>
    <t>hmhub058.7</t>
  </si>
  <si>
    <t>hmhub058.8</t>
  </si>
  <si>
    <t>hmhub058.9</t>
  </si>
  <si>
    <t>hmhub058.10</t>
  </si>
  <si>
    <t>hmhub058.11</t>
  </si>
  <si>
    <t>hmhub058.12</t>
  </si>
  <si>
    <t>hmhub058.13</t>
  </si>
  <si>
    <t>hmhub058.14</t>
  </si>
  <si>
    <t>hmhub058.15</t>
  </si>
  <si>
    <t>hmhub058.16</t>
  </si>
  <si>
    <t>hmhub058.17</t>
  </si>
  <si>
    <t>hmhub058.18</t>
  </si>
  <si>
    <t>SOFTRT GPUVM Table Walks with PT in FB  - PDE.P</t>
  </si>
  <si>
    <t>hmhub058.19</t>
  </si>
  <si>
    <t>hmhub058.20</t>
  </si>
  <si>
    <t>KRK-GMHUB-057 KRK-GMHUB-061 KRK-GMHUB-089 KRK-GMHUB-090</t>
  </si>
  <si>
    <t>MMUTCL2 - VML2: Per VMID BigK/SmallK/Bank_Select Support</t>
  </si>
  <si>
    <t>MMHUB UTCL2 Per-VMID BigK/SmallK Settings</t>
  </si>
  <si>
    <t>mhub059.1-32</t>
  </si>
  <si>
    <t>-vm  -tc_ulVidmemFragmentSize=0 -UseSdmaPio</t>
  </si>
  <si>
    <t>hmhub059.1-32</t>
  </si>
  <si>
    <t>-vm -tc_ulVidmemFragmentSize=0 -SteerDefaultAllocToHighAddr</t>
  </si>
  <si>
    <t>pmhub059.1-32</t>
  </si>
  <si>
    <t>-vm -tc_ulVidmemFragmentSize=0 -tcoreptloc=1</t>
  </si>
  <si>
    <t>nmhub059.1-32</t>
  </si>
  <si>
    <t>-vm -tc_ulVidmemFragmentSize=0 -tc_EnableNonIdentityMapping</t>
  </si>
  <si>
    <t>KRK-GMHUB-050 KRK-GMHUB-056</t>
  </si>
  <si>
    <t>MMUTCL2 - VML2: GPUVA,VMID translation assist</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</si>
  <si>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</si>
  <si>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</si>
  <si>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</si>
  <si>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</si>
  <si>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</si>
  <si>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</si>
  <si>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</si>
  <si>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</si>
  <si>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</si>
  <si>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</si>
  <si>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</si>
  <si>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</si>
  <si>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</si>
  <si>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</si>
  <si>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</si>
  <si>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</si>
  <si>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</si>
  <si>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</si>
  <si>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</si>
  <si>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</si>
  <si>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</si>
  <si>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</si>
  <si>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</si>
  <si>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</si>
  <si>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</si>
  <si>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</si>
  <si>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</si>
  <si>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</si>
  <si>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</si>
  <si>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</si>
  <si>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</si>
  <si>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</si>
  <si>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</si>
  <si>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</si>
  <si>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hmhub060.1-16</t>
  </si>
  <si>
    <t>pmhub060.1-16</t>
  </si>
  <si>
    <t>hmhub060.17-32</t>
  </si>
  <si>
    <t>pmhub060.17-32</t>
  </si>
  <si>
    <t>nmhub060.17-32</t>
  </si>
  <si>
    <t>hmhub060.33-46</t>
  </si>
  <si>
    <t>pmhub060.33-46</t>
  </si>
  <si>
    <t>nmhub060.33-46</t>
  </si>
  <si>
    <t>hmhub060.47-60</t>
  </si>
  <si>
    <t>pmhub060.47-60</t>
  </si>
  <si>
    <t>hmhub060.61</t>
  </si>
  <si>
    <t>-novm -SteerDefaultAllocToHighAddr</t>
  </si>
  <si>
    <t>MMHUB VMID Translation Assist - FB_GPA-&gt;FB_GPA</t>
  </si>
  <si>
    <t>hmhub060.62</t>
  </si>
  <si>
    <t>hmhub060.63</t>
  </si>
  <si>
    <t>hmhub060.64</t>
  </si>
  <si>
    <t>pmhub060.63</t>
  </si>
  <si>
    <t>pmhub060.64</t>
  </si>
  <si>
    <t>nmhub060.64</t>
  </si>
  <si>
    <t>MMHUB One-Shot Invalidate All Register</t>
  </si>
  <si>
    <t>mhub062.1</t>
  </si>
  <si>
    <t>hmhub062.1</t>
  </si>
  <si>
    <t>-vm -atc  -UseSem -SteerDefaultAllocToHighAddr -UseSem</t>
  </si>
  <si>
    <t>pmhub062.1</t>
  </si>
  <si>
    <t>-vm -atc  -UseSem -tcoreptloc=1 -UseSem</t>
  </si>
  <si>
    <t>dmhub062.1</t>
  </si>
  <si>
    <t>-vm -atc -UseSem -mhub_non_tc_pt_depth=[2-4] -mhub_pt_override=0</t>
  </si>
  <si>
    <t>MMHUB VMID-to-PASID Mapping Registers</t>
  </si>
  <si>
    <t>mhub063.1</t>
  </si>
  <si>
    <t xml:space="preserve">-vm -atc  </t>
  </si>
  <si>
    <t>pmhub063.1</t>
  </si>
  <si>
    <t>-vm -atc -tcoreptloc=1  -UseSem</t>
  </si>
  <si>
    <t>dmhub063.1</t>
  </si>
  <si>
    <t>-vm -atc -mhub_non_tc_pt_depth=[2-4] -mhub_pt_override=0  -UseSem</t>
  </si>
  <si>
    <t>KRK-GMHUB-075</t>
  </si>
  <si>
    <t>MMHUB IOMMU Single/Multi Page Invalidation without PASID</t>
  </si>
  <si>
    <t>mhub064.1,3</t>
  </si>
  <si>
    <t>-vm -atc  -tc_DisableIommuHostTranslation=0 -tc_ClearDteIotlb</t>
  </si>
  <si>
    <t>MMHUB IOMMU Single/Multi Page Invalidation with PASID</t>
  </si>
  <si>
    <t>mhub064.2,4</t>
  </si>
  <si>
    <t>hmhub064.1,3</t>
  </si>
  <si>
    <t>-vm -atc  -SteerDefaultAllocToHighAddr -UseSem</t>
  </si>
  <si>
    <t>dmhub064.1,3</t>
  </si>
  <si>
    <t>-vm -atc  -mhub_non_tc_pt_depth=[2-4] -mhub_pt_override=0 -UseSem</t>
  </si>
  <si>
    <t>pmhub064.1,3</t>
  </si>
  <si>
    <t>-vm -atc  -tcoreptloc=1 -UseSem</t>
  </si>
  <si>
    <t>nmhub064.1,3</t>
  </si>
  <si>
    <t>-vm -atc  -tc_EnableNonIdentityMapping -UseSem</t>
  </si>
  <si>
    <t>hmhub064.2,4</t>
  </si>
  <si>
    <t>dmhub064.2,4</t>
  </si>
  <si>
    <t>pmhub064.2,4</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</si>
  <si>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</si>
  <si>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</si>
  <si>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</si>
  <si>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</si>
  <si>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mhub066.1,3</t>
  </si>
  <si>
    <t>MMHUB IOMMU Global Invalidation with PASID</t>
  </si>
  <si>
    <t>mhub066.2,4</t>
  </si>
  <si>
    <t>hmhub066.1,3</t>
  </si>
  <si>
    <t>-vm -atc -SteerDefaultAllocToHighAddr -UseSem</t>
  </si>
  <si>
    <t>dmhub066.1,3</t>
  </si>
  <si>
    <t>-vm -atc -mhub_non_tc_pt_depth=[2-4] -mhub_pt_override=0 -UseSem</t>
  </si>
  <si>
    <t>pmhub066.1,3</t>
  </si>
  <si>
    <t>nmhub066.1,3</t>
  </si>
  <si>
    <t>hmhub066.2,4</t>
  </si>
  <si>
    <t>dmhub066.2,4</t>
  </si>
  <si>
    <t>pmhub066.2,4</t>
  </si>
  <si>
    <t>KRK-GMHUB-075 KRK-GMHUB-247</t>
  </si>
  <si>
    <t>MMHUB IOMMU Flush-Type Lightweight/Heavyweight  Invalidation with/without PASID</t>
  </si>
  <si>
    <t>mhub067.1-4</t>
  </si>
  <si>
    <t>hmhub067.1-4</t>
  </si>
  <si>
    <t>dmhub067.1-4</t>
  </si>
  <si>
    <t>pmhub067.1-4</t>
  </si>
  <si>
    <t>MMHUB Disable By-Domain ATC Invalidation</t>
  </si>
  <si>
    <t>mhub068.1,2</t>
  </si>
  <si>
    <t>hmhub068.1,2</t>
  </si>
  <si>
    <t>dmhub068.1,2</t>
  </si>
  <si>
    <t>-vm -atc  -mhub_non_tc_pt_depth=[1-4] -UseSem</t>
  </si>
  <si>
    <t>pmhub068.1,2</t>
  </si>
  <si>
    <t>KRK-GMHUB-074</t>
  </si>
  <si>
    <t>MMHUB Disable Per-Address ATC Invalication</t>
  </si>
  <si>
    <t>mhub069.1-5</t>
  </si>
  <si>
    <t>hmhub069.1-5</t>
  </si>
  <si>
    <t>dmhub069.1-5</t>
  </si>
  <si>
    <t>pmhub069.1-5</t>
  </si>
  <si>
    <t>MMHUB IDLE State Multiple Source Regiser-Based &amp; IOMMU-Based Invalidations</t>
  </si>
  <si>
    <t>mhub070.1-3</t>
  </si>
  <si>
    <t>hmhub070.1-3</t>
  </si>
  <si>
    <t>dmhub070.1-3</t>
  </si>
  <si>
    <t>pmhub070.1-3</t>
  </si>
  <si>
    <t>MMHUB Permission &amp; Invalid Fault: PTE WRX &amp; SVT Attribute</t>
  </si>
  <si>
    <t>mhub081.1,2</t>
  </si>
  <si>
    <t>hmhub081.1,2</t>
  </si>
  <si>
    <t>pmhub081.1,2</t>
  </si>
  <si>
    <t>MMHUB Address/Walker Error: PDE V Attribute</t>
  </si>
  <si>
    <t>mhub082</t>
  </si>
  <si>
    <t>pmhub082</t>
  </si>
  <si>
    <t>MMHUB Address/Walker Error: Dummy Page Fault</t>
  </si>
  <si>
    <t>mhub083</t>
  </si>
  <si>
    <t>hmhub083</t>
  </si>
  <si>
    <t>pmhub083</t>
  </si>
  <si>
    <t>MMHUB Address/Walker Error: VM Context Aperture Fault</t>
  </si>
  <si>
    <t>mhub084.1-2</t>
  </si>
  <si>
    <t>hmhub084.1-2</t>
  </si>
  <si>
    <t>pmhub084.1-2</t>
  </si>
  <si>
    <t>MMHUB-Address Walker Error: Page Table Setup Fault test</t>
  </si>
  <si>
    <t>mhub085</t>
  </si>
  <si>
    <t>hmhub085</t>
  </si>
  <si>
    <t>pmhub085</t>
  </si>
  <si>
    <t>KRK-GMHUB-051 KRK-GMHUB-073</t>
  </si>
  <si>
    <t>MMHUB Mapping Error: PTE SVT Address Space</t>
  </si>
  <si>
    <t>mhub086.1,2</t>
  </si>
  <si>
    <t>hmhub086.1,2</t>
  </si>
  <si>
    <t>pmhub086.1,2</t>
  </si>
  <si>
    <t>MMHUB Retry on Faults</t>
  </si>
  <si>
    <t>mhub089</t>
  </si>
  <si>
    <t>hmhub089</t>
  </si>
  <si>
    <t>pmhub089</t>
  </si>
  <si>
    <t>MMHUB No Caching of VM Faulted Requests</t>
  </si>
  <si>
    <t>mhub093.1</t>
  </si>
  <si>
    <t>pmhub093.1</t>
  </si>
  <si>
    <t>-vm -atc -tcoreptloc=1-UseSem</t>
  </si>
  <si>
    <t>Multiple Faults</t>
  </si>
  <si>
    <t>mhub094</t>
  </si>
  <si>
    <t>hmhub094</t>
  </si>
  <si>
    <t>pmhub094</t>
  </si>
  <si>
    <t>dmhub094</t>
  </si>
  <si>
    <t>-vm -atc -mhub_non_tc_pt_depth=[1-4] -UseSem</t>
  </si>
  <si>
    <t>MMHUB Multiple Faults on Multiple VM Context</t>
  </si>
  <si>
    <t>mhub095</t>
  </si>
  <si>
    <t>hmhub095</t>
  </si>
  <si>
    <t>pmhub095</t>
  </si>
  <si>
    <t>dmhub095</t>
  </si>
  <si>
    <t>MMHUB Unmapped ATC GVA Pages/Mapped GPA Pages</t>
  </si>
  <si>
    <t>mhub101.1-8</t>
  </si>
  <si>
    <t>mhub101.9-12</t>
  </si>
  <si>
    <t>-vm -tc_DisableIommuHostTranslation=0 -tc_ClearDteIotlb </t>
  </si>
  <si>
    <t>KRK-GMHUB-012  KRK-GMHUB-017 KRK-GMHUB-025 KRK-GMHUB-026 KRK-GMHUB-028</t>
  </si>
  <si>
    <t>MMEA: Number of EAs/Access to FB &amp; System Memory</t>
  </si>
  <si>
    <t>MMHUB EA</t>
  </si>
  <si>
    <t>mhub111.1-4</t>
  </si>
  <si>
    <t>hmhub111.1-4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</si>
  <si>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</si>
  <si>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</si>
  <si>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</si>
  <si>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</si>
  <si>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</si>
  <si>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</si>
  <si>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</si>
  <si>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</si>
  <si>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</si>
  <si>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</si>
  <si>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</si>
  <si>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</si>
  <si>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</si>
  <si>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</si>
  <si>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</si>
  <si>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</si>
  <si>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</si>
  <si>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</si>
  <si>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KRK-GMHUB-074 KRK-GMHUB-108</t>
  </si>
  <si>
    <t>MMUTCL2 - VML2: PTE permissions returned</t>
  </si>
  <si>
    <t xml:space="preserve">MMHUB PTE permissions returned - Read after write </t>
  </si>
  <si>
    <t>mhub141.1</t>
  </si>
  <si>
    <t>hmhub141.1</t>
  </si>
  <si>
    <t>pmhub141.1</t>
  </si>
  <si>
    <t xml:space="preserve">MMHUB PTE permissions returned - Write after read </t>
  </si>
  <si>
    <t>mhub141.2</t>
  </si>
  <si>
    <t>hmhub141.2</t>
  </si>
  <si>
    <t>pmhub141.2</t>
  </si>
  <si>
    <t>pmhub111.1-4</t>
  </si>
  <si>
    <t>MMUTCL2 - VML2: VMID Fence</t>
  </si>
  <si>
    <t xml:space="preserve">MMHUB Per-Client GPUVM VMID Enable Bitmap Register </t>
  </si>
  <si>
    <t>mhub142.1-16</t>
  </si>
  <si>
    <t>hmhub142.1-16</t>
  </si>
  <si>
    <t>pmhub142.1-16</t>
  </si>
  <si>
    <t>dmhub142.1-16</t>
  </si>
  <si>
    <t>GFXHUB Per-Client GPUVM VMID Enable Bitmap Register - Disable SDMA0 on VMIDs(ECO)</t>
  </si>
  <si>
    <t>hmhub142.17-32</t>
  </si>
  <si>
    <t>pmhub142.17-32</t>
  </si>
  <si>
    <t>dmhub142.17-32</t>
  </si>
  <si>
    <t>KRK-GMHUB-066</t>
  </si>
  <si>
    <t xml:space="preserve"> MMUTCL2 - VML2: Register bits that enable software to control hit/miss behaviour on invalid ptes in cache</t>
  </si>
  <si>
    <t>MMHUB Non-defaulMMHUB-Invalid PTE Permission Fault</t>
  </si>
  <si>
    <t>mhub145.1-2</t>
  </si>
  <si>
    <t>hmhub145.1-2</t>
  </si>
  <si>
    <t>dmhub145.1-2</t>
  </si>
  <si>
    <t>KRK-GMHUB-067</t>
  </si>
  <si>
    <t>MMUTCL2 - VML2: Register bits that enable software to control hit/miss behaviour on permission mismatch in cache</t>
  </si>
  <si>
    <t xml:space="preserve">MMHUB Valid PTE with Permission Mismatch in Cache </t>
  </si>
  <si>
    <t>mhub146.1-2</t>
  </si>
  <si>
    <t>hmhub146.1-2</t>
  </si>
  <si>
    <t>pmhub146.1-2</t>
  </si>
  <si>
    <t>KRK-GMHUB-086 KRK-GMHUB-118</t>
  </si>
  <si>
    <t>Security: Trusted Memory Zone (TMZ)</t>
  </si>
  <si>
    <t>MMHUB-TMZ System Level Testing</t>
  </si>
  <si>
    <t>mhub150.1-4,10,11,12,20,21,30-41</t>
  </si>
  <si>
    <t>-skiptextbuffering -skip_iommu_check=1 -skip_consoleblank_check=1 -disable_libdce -norlc -gpu_copyengine=tcore -tc_DefaultCopyUtil=HostCopy -no_toollib -nobios -load_ucode=tcore -tmzmode=tmz -vm</t>
  </si>
  <si>
    <t>hmhub150.1-4,10,11,12,20,21,30-41</t>
  </si>
  <si>
    <t>-vm -nobios -skiptextbuffering -disable_libdce -load_ucode=tcore -no_toollib -norlc -gpu_copyengine=tcore -tc_DefaultCopyUtil=HostCopy -vcnForceBackDoorFW -vcn_use_psp_init=0 -vcn_instance_id=0 -tmzmode=tmz -tc_SecureMode=0 -SteerDefaultAllocToHighAddr</t>
  </si>
  <si>
    <t>KRK-GMHUB-003 KRK-GMHUB-041</t>
  </si>
  <si>
    <t>MMHUB:SOC - AXI4 client interface</t>
  </si>
  <si>
    <t>VCN AXI Space Test</t>
  </si>
  <si>
    <t>mhub164.1-2,4</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</si>
  <si>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</si>
  <si>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</si>
  <si>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</si>
  <si>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</si>
  <si>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</si>
  <si>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</si>
  <si>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</si>
  <si>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</si>
  <si>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</si>
  <si>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</si>
  <si>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KRK-GMHUB-241 KRK-GMHUB-245</t>
  </si>
  <si>
    <t>SOC: VDCI on DF SDP Interfaces</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</si>
  <si>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</si>
  <si>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</si>
  <si>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</si>
  <si>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</si>
  <si>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</si>
  <si>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</si>
  <si>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</si>
  <si>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</si>
  <si>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</si>
  <si>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GCUTCL2 - VML2: MARC</t>
  </si>
  <si>
    <t>GFXHUB MARC aperture test</t>
  </si>
  <si>
    <t>mhub201.11</t>
  </si>
  <si>
    <t>-vm -atc -UseCpDirReg=1</t>
  </si>
  <si>
    <t>GFXHUB All MARC apertures test</t>
  </si>
  <si>
    <t>mhub201.12</t>
  </si>
  <si>
    <t>imhub201.7</t>
  </si>
  <si>
    <t>-novm -UseCpDirReg=1 -tc_DisableIommuHostTranslation=0</t>
  </si>
  <si>
    <t>pmhub201.9</t>
  </si>
  <si>
    <t>-vm -atc -UseCpDirReg=1 -tcoreptloc</t>
  </si>
  <si>
    <t>GFXHUB Independent VM Context Aperture Address Range/Boundary</t>
  </si>
  <si>
    <t>mhub202.1-15</t>
  </si>
  <si>
    <t>mhub202.16</t>
  </si>
  <si>
    <t>GFXHUB Concurrent Access to Multiple Apertures</t>
  </si>
  <si>
    <t>mhub202.17</t>
  </si>
  <si>
    <t>dmhub202.2-15</t>
  </si>
  <si>
    <t>pmhub202.1-15</t>
  </si>
  <si>
    <t>pmhub202.17</t>
  </si>
  <si>
    <t>GFXHUB VM Non-ADM Mode</t>
  </si>
  <si>
    <t>mhub203</t>
  </si>
  <si>
    <t>nmhub203</t>
  </si>
  <si>
    <t>pmhub203</t>
  </si>
  <si>
    <t>GCUTCL2 - VML2: PDE Attributes</t>
  </si>
  <si>
    <t>GFXHUB PDE C attribute</t>
  </si>
  <si>
    <t>mhub205</t>
  </si>
  <si>
    <t>hmhub205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</si>
  <si>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</si>
  <si>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</si>
  <si>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</si>
  <si>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</si>
  <si>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</si>
  <si>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</si>
  <si>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</si>
  <si>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</si>
  <si>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</si>
  <si>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</si>
  <si>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pmhub206.1</t>
  </si>
  <si>
    <t>hmhub206.2</t>
  </si>
  <si>
    <t>nmhub206.2</t>
  </si>
  <si>
    <t>hmhub206.3</t>
  </si>
  <si>
    <t>pmhub206.3</t>
  </si>
  <si>
    <t>pmhub206.4</t>
  </si>
  <si>
    <t>GFXHUB Snooped test for testing Qword</t>
  </si>
  <si>
    <t>mhub207.4</t>
  </si>
  <si>
    <t>hmhub207.4</t>
  </si>
  <si>
    <t>nmhub207.4</t>
  </si>
  <si>
    <t>pmhub207.4</t>
  </si>
  <si>
    <t>GFXHUB W attribute test</t>
  </si>
  <si>
    <t>mhub208.1</t>
  </si>
  <si>
    <t>hmhub208.1</t>
  </si>
  <si>
    <t>pmhub208.1</t>
  </si>
  <si>
    <t>GFXHUB R attribute test</t>
  </si>
  <si>
    <t>mhub208.2</t>
  </si>
  <si>
    <t>hmhub208.2</t>
  </si>
  <si>
    <t>pmhub208.2</t>
  </si>
  <si>
    <t>KRK-GMHUB-168 KRK-GMHUB-184</t>
  </si>
  <si>
    <t>GFXHUB X attribute test</t>
  </si>
  <si>
    <t>mhub208.3</t>
  </si>
  <si>
    <t>-vm -q</t>
  </si>
  <si>
    <t>KRK-GMHUB-161 KRK-GMHUB-177</t>
  </si>
  <si>
    <t>Page Migration (RW=0)</t>
  </si>
  <si>
    <t>mhub209.3,4,5</t>
  </si>
  <si>
    <t xml:space="preserve">GFXHUB Valid PTE with RW=0 in Cache </t>
  </si>
  <si>
    <t>mhub209.6</t>
  </si>
  <si>
    <t>KRK-GMHUB-167</t>
  </si>
  <si>
    <t>GFXHUB 2-level PDE test</t>
  </si>
  <si>
    <t>mhub210.1</t>
  </si>
  <si>
    <t>KRK-GMHUB-172</t>
  </si>
  <si>
    <t>GFXHUB 4-level PDE test</t>
  </si>
  <si>
    <t>mhub210.2</t>
  </si>
  <si>
    <t>hmhub210.1</t>
  </si>
  <si>
    <t>pmhub210.1</t>
  </si>
  <si>
    <t>hmhub210.2</t>
  </si>
  <si>
    <t>pmhub210.2</t>
  </si>
  <si>
    <t>KRK-GMHUB-167 KRK-GMHUB-172</t>
  </si>
  <si>
    <t>GCUTCL2 - VML2: Translate Further/PTE.F bit</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</si>
  <si>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</si>
  <si>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</si>
  <si>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</si>
  <si>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</si>
  <si>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</si>
  <si>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</si>
  <si>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</si>
  <si>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</si>
  <si>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hmhub211.2</t>
  </si>
  <si>
    <t>-vm -atc -tc_BigkCacheFragSize=4 -CpDirRegVm -SteerDefaultAllocToHighAddr</t>
  </si>
  <si>
    <t>hmhub211.4</t>
  </si>
  <si>
    <t>-vm -atc -tc_SmallkCacheFragSize=4 -CpDirRegVm -SteerDefaultAllocToHighAddr</t>
  </si>
  <si>
    <t>KRK-GMHUB-174</t>
  </si>
  <si>
    <t>GCUTCL2 - VML2: Levels of Page Tables</t>
  </si>
  <si>
    <t>GFXHUB VM Page Table Block &amp; Fragment Sizes</t>
  </si>
  <si>
    <t>mhub212</t>
  </si>
  <si>
    <t>hmhub212</t>
  </si>
  <si>
    <t>pmhub212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</si>
  <si>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</si>
  <si>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</si>
  <si>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</si>
  <si>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</si>
  <si>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</si>
  <si>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</si>
  <si>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</si>
  <si>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</si>
  <si>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</si>
  <si>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</si>
  <si>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</si>
  <si>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</si>
  <si>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</si>
  <si>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</si>
  <si>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</si>
  <si>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</si>
  <si>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</si>
  <si>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</si>
  <si>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</si>
  <si>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</si>
  <si>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</si>
  <si>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</si>
  <si>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hmhub213.1</t>
  </si>
  <si>
    <t>hmhub213.2</t>
  </si>
  <si>
    <t>hmhub213.3</t>
  </si>
  <si>
    <t>hmhub213.4</t>
  </si>
  <si>
    <t>hmhub213.5</t>
  </si>
  <si>
    <t>hmhub213.6</t>
  </si>
  <si>
    <t>hmhub213.7</t>
  </si>
  <si>
    <t>hmhub213.8</t>
  </si>
  <si>
    <t>hmhub213.9</t>
  </si>
  <si>
    <t>hmhub213.10</t>
  </si>
  <si>
    <t>GFXHUB Heterogeneous PTE/PDE in the same Cache Line</t>
  </si>
  <si>
    <t>mhub214.1,2</t>
  </si>
  <si>
    <t>hmhub214.1,2</t>
  </si>
  <si>
    <t>pmhub214.1,2</t>
  </si>
  <si>
    <t>UTC L1 TLB Hits/Misses - VM FB</t>
  </si>
  <si>
    <t>mhub215.3-4</t>
  </si>
  <si>
    <t>-vm -pm4rb=fb</t>
  </si>
  <si>
    <t>UTC L1 TLB Hits/Misses - ATC VM</t>
  </si>
  <si>
    <t>mhub215.5-6</t>
  </si>
  <si>
    <t>-vm -atc -pm4rb=fb</t>
  </si>
  <si>
    <t>hmhub215.3-4</t>
  </si>
  <si>
    <t>-vm -atc -pm4rb=fb -SteerDefaultAllocToHighAddr</t>
  </si>
  <si>
    <t>pmhub215.3-4</t>
  </si>
  <si>
    <t>-vm -atc -pm4rb=fb -tcoreptloc=1</t>
  </si>
  <si>
    <t>hmhub215.5-6</t>
  </si>
  <si>
    <t>pmhub215.5-6</t>
  </si>
  <si>
    <t>KRK-GMHUB-173</t>
  </si>
  <si>
    <t>UTC L1 XNACK=1</t>
  </si>
  <si>
    <t>mhub218.1</t>
  </si>
  <si>
    <t>hmhub218.1</t>
  </si>
  <si>
    <t>pmhub218.1</t>
  </si>
  <si>
    <t>GFXHUB UTC L1 XNACK=2</t>
  </si>
  <si>
    <t>mhub219.1</t>
  </si>
  <si>
    <t>hmhub219.1</t>
  </si>
  <si>
    <t>pmhub219.1</t>
  </si>
  <si>
    <t>UTC L1 XNACK=3</t>
  </si>
  <si>
    <t>mhub220.1</t>
  </si>
  <si>
    <t>hmhub220.1</t>
  </si>
  <si>
    <t>pmhub220.1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</si>
  <si>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</si>
  <si>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</si>
  <si>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</si>
  <si>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</si>
  <si>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</si>
  <si>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</si>
  <si>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</si>
  <si>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</si>
  <si>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</si>
  <si>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</si>
  <si>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</si>
  <si>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</si>
  <si>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</si>
  <si>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GCUTCL2 - VML2: GPUVM L2 cache read/dump capabilities</t>
  </si>
  <si>
    <t>VM L2 PTE 4K Pages Hits/Misses test with DumpCache</t>
  </si>
  <si>
    <t>mhub231.10-11</t>
  </si>
  <si>
    <t>-vm -CpDirRegVm -tc_SmallkCacheFragSize=0 -tc_BigkCacheFragSize=4</t>
  </si>
  <si>
    <t>pmhub231.1</t>
  </si>
  <si>
    <t>pmhub231.2</t>
  </si>
  <si>
    <t>-vm -atc -tc_BlockFragmentSize=4 -tcoreptloc=1</t>
  </si>
  <si>
    <t>pmhub231.3</t>
  </si>
  <si>
    <t>pmhub231.4</t>
  </si>
  <si>
    <t>pmhub231.5</t>
  </si>
  <si>
    <t>pmhub231.6</t>
  </si>
  <si>
    <t>pmhub231.7</t>
  </si>
  <si>
    <t>pmhub231.8-9</t>
  </si>
  <si>
    <t>pmhub231.10-11</t>
  </si>
  <si>
    <t>KRK-GMHUB-144 KRK-GMHUB-162</t>
  </si>
  <si>
    <t>GFXHUB VM L2 PDE/PTE Cache Line</t>
  </si>
  <si>
    <t>mhub232.1</t>
  </si>
  <si>
    <t>-vm -UseCpDirReg -pm4rb=fb -tc_SmallkCacheFragSize=4 -tc_ulVidmemFragmentSize=2</t>
  </si>
  <si>
    <t>KRK-GMHUB-144 KRK-GMHUB-164</t>
  </si>
  <si>
    <t>mhub232.2</t>
  </si>
  <si>
    <t>-vm -pm4rb=fb -tc_SmallkCacheFragSize=4</t>
  </si>
  <si>
    <t>KRK-GMHUB-144 KRK-GMHUB-165</t>
  </si>
  <si>
    <t>GCUTCL2 - VML2: Programmable “smallK” size</t>
  </si>
  <si>
    <t>mhub232.3</t>
  </si>
  <si>
    <t>-vm -tc_BigkCacheFragSize=4 -tc_SmallkCacheFragSize=1 -pm4rb=fb</t>
  </si>
  <si>
    <t>KRK-GMHUB-144 KRK-GMHUB-166</t>
  </si>
  <si>
    <t>mhub232.4</t>
  </si>
  <si>
    <t>GFXHUB PTE Cache Line (BigK=8K)</t>
  </si>
  <si>
    <t>mhub232.5</t>
  </si>
  <si>
    <t>-tc_SmallkCacheFragSize=4 -tc_BigkCacheFragSize=1 -tc_ulVidmemFragmentSize=2 -vm -CpDirRegVm -pm4rb=fb</t>
  </si>
  <si>
    <t>KRK-GMHUB-144 KRK-GMHUB-167 KRK-GMHUB-172</t>
  </si>
  <si>
    <t>GFXHUB PDE0 Cache Line (BigK=8K)</t>
  </si>
  <si>
    <t>mhub232.6</t>
  </si>
  <si>
    <t> -tc_BigkCacheFragSize=1 -tc_SmallkCacheFragSize=4 -tc_ulVidmemFragmentSize=2 -vm -atc -CpDirRegVm -pm4rb=fb</t>
  </si>
  <si>
    <t>KRK-GMHUB-144 KRK-GMHUB-173</t>
  </si>
  <si>
    <t>mhub232.7</t>
  </si>
  <si>
    <t> -vm -CpDirRegVm -UseCpDirReg -tc_BigkCacheFragSize=4 -pm4rb=fb -tc_ulVidmemFragmentSize=2</t>
  </si>
  <si>
    <t>KRK-GMHUB-144 KRK-GMHUB-174</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</si>
  <si>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</si>
  <si>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</si>
  <si>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</si>
  <si>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</si>
  <si>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</si>
  <si>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</si>
  <si>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</si>
  <si>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</si>
  <si>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</si>
  <si>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</si>
  <si>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</si>
  <si>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</si>
  <si>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</si>
  <si>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</si>
  <si>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hmhub232.1</t>
  </si>
  <si>
    <t>-vm -atc -UseCpDirReg -pm4rb=fb -tc_SmallkCacheFragSize=4 -SteerDefaultAllocToHighAddr</t>
  </si>
  <si>
    <t>hmhub232.2</t>
  </si>
  <si>
    <t>-vm -atc -pm4rb=fb -tc_SmallkCacheFragSize=4 -SteerDefaultAllocToHighAddr</t>
  </si>
  <si>
    <t>hmhub232.3</t>
  </si>
  <si>
    <t>-vm -atc -tc_BigkCacheFragSize=4 -tc_SmallkCacheFragSize=1 -pm4rb=fb -SteerDefaultAllocToHighAddr</t>
  </si>
  <si>
    <t>hmhub232.4</t>
  </si>
  <si>
    <t>hmhub232.5</t>
  </si>
  <si>
    <t> -tc_SmallkCacheFragSize=4 -tc_BigkCacheFragSize=1 -tc_ulVidmemFragmentSize=2 -vm -atc -CpDirRegVm -pm4rb=fb -SteerDefaultAllocToHighAddr</t>
  </si>
  <si>
    <t>hmhub232.6</t>
  </si>
  <si>
    <t> -tc_BigkCacheFragSize=1 -tc_SmallkCacheFragSize=4 -tc_ulVidmemFragmentSize=2 -vm -atc -CpDirRegVm -pm4rb=fb -SteerDefaultAllocToHighAddr</t>
  </si>
  <si>
    <t>hmhub232.7</t>
  </si>
  <si>
    <t> -vm -atc -CpDirRegVm -tc_BigkCacheFragSize=4 -pm4rb=fb -SteerDefaultAllocToHighAddr</t>
  </si>
  <si>
    <t>hmhub232.8</t>
  </si>
  <si>
    <t>hmhub232.9</t>
  </si>
  <si>
    <t> -vm -atc -CpDirRegVm -tc_SmallkCacheFragSize=4 -tc_BigkCacheFragSize=1 -pm4rb=fb -SteerDefaultAllocToHighAddr</t>
  </si>
  <si>
    <t>hmhub232.10</t>
  </si>
  <si>
    <t>hmhub232.11</t>
  </si>
  <si>
    <t> -vm -atc -CpDirRegVm -tc_SmallkCacheFragSize=4 -tc_BigkCacheFragSize=1 -pm4rb=fb -tc_ulVidmemFragmentSize=2 -SteerDefaultAllocToHighAddr</t>
  </si>
  <si>
    <t>hmhub232.12</t>
  </si>
  <si>
    <t xml:space="preserve"> -vm -atc -CpDirRegVm -tc_SmallkCacheFragSize=4 -tc_BigkCacheFragSize=1 -pm4rb=fb -tc_ulVidmemFragmentSize=2 -SteerDefaultAllocToHighAddr</t>
  </si>
  <si>
    <t>pmhub232.1</t>
  </si>
  <si>
    <t>pmhub232.2</t>
  </si>
  <si>
    <t>-vm -atc -pm4rb=fb -tc_SmallkCacheFragSize=4 -tcoreptloc=1</t>
  </si>
  <si>
    <t>pmhub232.3</t>
  </si>
  <si>
    <t>-vm -atc -tc_BigkCacheFragSize=4 -tc_SmallkCacheFragSize=1 -pm4rb=fb -tcoreptloc=1</t>
  </si>
  <si>
    <t>pmhub232.4</t>
  </si>
  <si>
    <t>-vm -atc -tc_BigkCacheFragSize=4 -tc_SmallkCacheFragSize=1 -pm4rb=fb-tcoreptloc=1</t>
  </si>
  <si>
    <t>pmhub232.5</t>
  </si>
  <si>
    <t> -tc_SmallkCacheFragSize=4 -tc_BigkCacheFragSize=1 -tc_ulVidmemFragmentSize=2 -vm -atc -CpDirRegVm -pm4rb=fb -tcoreptloc=1</t>
  </si>
  <si>
    <t>pmhub232.6</t>
  </si>
  <si>
    <t> -tc_BigkCacheFragSize=1 -tc_SmallkCacheFragSize=4 -tc_ulVidmemFragmentSize=2 -vm -atc -CpDirRegVm -pm4rb=fb -tcoreptloc=1</t>
  </si>
  <si>
    <t>pmhub232.7</t>
  </si>
  <si>
    <t> -vm -atc -CpDirRegVm -tc_BigkCacheFragSize=4 -pm4rb=fb -tcoreptloc=1</t>
  </si>
  <si>
    <t>pmhub232.8</t>
  </si>
  <si>
    <t>pmhub232.9</t>
  </si>
  <si>
    <t> -vm -atc -CpDirRegVm -tc_SmallkCacheFragSize=4 -tc_BigkCacheFragSize=1 -pm4rb=fb -tcoreptloc=1</t>
  </si>
  <si>
    <t>pmhub232.10</t>
  </si>
  <si>
    <t>pmhub232.11</t>
  </si>
  <si>
    <t> -vm -atc -CpDirRegVm -tc_SmallkCacheFragSize=4 -tc_BigkCacheFragSize=1 -pm4rb=fb -tcoreptloc=1 -tc_ulVidmemFragmentSize=2</t>
  </si>
  <si>
    <t>pmhub232.12</t>
  </si>
  <si>
    <t xml:space="preserve"> -vm -atc -CpDirRegVm -tc_SmallkCacheFragSize=4 -tc_BigkCacheFragSize=1 -pm4rb=fb -tcoreptloc=1  -tc_ulVidmemFragmentSize=2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</si>
  <si>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</si>
  <si>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</si>
  <si>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</si>
  <si>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</si>
  <si>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</si>
  <si>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</si>
  <si>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</si>
  <si>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</si>
  <si>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</si>
  <si>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pmhub233.1</t>
  </si>
  <si>
    <t>-vm -atc -UseCpDirReg -tcoreptloc=1</t>
  </si>
  <si>
    <t>pmhub233.2</t>
  </si>
  <si>
    <t>-vm -atc -CpDirRegVm -tcoreptloc=1</t>
  </si>
  <si>
    <t>pmhub233.3</t>
  </si>
  <si>
    <t>-vm -atc -CpDirRegVm -tc_BigkCacheFragSize=4 -tcoreptloc=1</t>
  </si>
  <si>
    <t>GFXHUB-GPUVM L2 Cache Dump Capabilities</t>
  </si>
  <si>
    <t>mhub233.101,103</t>
  </si>
  <si>
    <t xml:space="preserve">-vm -atc -tc_BigkCacheFragSize=4 -CpDirRegVm </t>
  </si>
  <si>
    <t>pmhub233.101,103</t>
  </si>
  <si>
    <t>-vm -atc -disable_libdce -norlc -tc_BigkCacheFragSize=4 -CpDirRegVm -SkipGfxDmaInst -tcoreptloc=1</t>
  </si>
  <si>
    <t>KRK-GMHUB-180</t>
  </si>
  <si>
    <t>GFXHUB UTC L2 SmallK and BigK Cache Test - 4K and 64K</t>
  </si>
  <si>
    <t>mhub234.1</t>
  </si>
  <si>
    <t>-vm -tc_SmallkCacheFragSize=0 -tc_BigkCacheFragSize=4 -pm4rb=fb -CpDirRegVm</t>
  </si>
  <si>
    <t>KRK-GMHUB-180 KRK-GMHUB-162</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</si>
  <si>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</si>
  <si>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</si>
  <si>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</si>
  <si>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</si>
  <si>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</si>
  <si>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</si>
  <si>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</si>
  <si>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</si>
  <si>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</si>
  <si>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hmhub234.1</t>
  </si>
  <si>
    <t>-vm -atc -tc_SmallkCacheFragSize=0 -tc_BigkCacheFragSize=4 -pm4rb=fb -CpDirRegVm -SteerDefaultAllocToHighAddr</t>
  </si>
  <si>
    <t>hmhub234.2</t>
  </si>
  <si>
    <t>-vm -atc -tc_SmallkCacheFragSize=4 -tc_BigkCacheFragSize=0 -pm4rb=fb -CpDirRegVm -SteerDefaultAllocToHighAddr</t>
  </si>
  <si>
    <t>hmhub234.3</t>
  </si>
  <si>
    <t>-vm -atc -tc_SmallkCacheFragSize=1 -tc_BigkCacheFragSize=4 -pm4rb=fb -CpDirRegVm -SteerDefaultAllocToHighAddr</t>
  </si>
  <si>
    <t>hmhub234.4</t>
  </si>
  <si>
    <t>-vm -atc -tc_SmallkCacheFragSize=4 -tc_BigkCacheFragSize=1 -pm4rb=fb -CpDirRegVm -SteerDefaultAllocToHighAddr</t>
  </si>
  <si>
    <t>pmhub234.1</t>
  </si>
  <si>
    <t>-vm -atc -tc_SmallkCacheFragSize=0 -tc_BigkCacheFragSize=4 -pm4rb=fb -CpDirRegVm -tcoreptloc</t>
  </si>
  <si>
    <t>pmhub234.2</t>
  </si>
  <si>
    <t>-vm -atc -tc_SmallkCacheFragSize=4 -tc_BigkCacheFragSize=0 -pm4rb=fb -CpDirRegVm  -tcoreptloc</t>
  </si>
  <si>
    <t>pmhub234.3</t>
  </si>
  <si>
    <t>-vm -atc -tc_SmallkCacheFragSize=1 -tc_BigkCacheFragSize=4 -pm4rb=fb -CpDirRegVm  -tcoreptloc</t>
  </si>
  <si>
    <t>pmhub234.4</t>
  </si>
  <si>
    <t>-vm -atc -tc_SmallkCacheFragSize=4 -tc_BigkCacheFragSize=1 -pm4rb=fb -CpDirRegVm  -tcoreptloc</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</si>
  <si>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</si>
  <si>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</si>
  <si>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</si>
  <si>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</si>
  <si>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</si>
  <si>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</si>
  <si>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</si>
  <si>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</si>
  <si>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</si>
  <si>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</si>
  <si>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</si>
  <si>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Read/Write Translation Request(NO PASID)</t>
  </si>
  <si>
    <t>hmhub237.1,3</t>
  </si>
  <si>
    <t>GFXHUB ATC L2 Cache Hits/Misses on Read/Write Translation Request(PASID)</t>
  </si>
  <si>
    <t>hmhub237.2,4</t>
  </si>
  <si>
    <t>nmhub237.1,3</t>
  </si>
  <si>
    <t>-vm -atc -tc_EnableNonIdentityMapping</t>
  </si>
  <si>
    <t>pmhub237.1,3</t>
  </si>
  <si>
    <t>pmhub237.2,4</t>
  </si>
  <si>
    <t>GFXHUB ATC L2 Cache Hits/Misses on Concurrent Multiple Access (NO PASID)</t>
  </si>
  <si>
    <t>mhub238.1,3</t>
  </si>
  <si>
    <t>GFXHUB ATC L2 Cache Hits/Misses on Concurrent Multiple Access (PASID)</t>
  </si>
  <si>
    <t>mhub238.2,4</t>
  </si>
  <si>
    <t>hmhub238.1,3</t>
  </si>
  <si>
    <t>hmhub238.2,4</t>
  </si>
  <si>
    <t>pmhub238.1,3</t>
  </si>
  <si>
    <t>pmhub238.2,4</t>
  </si>
  <si>
    <t>GFXHUB ATC L2 Cache Hits/Misses on Read/Write Translation Request with different number of translated pages (NO PASID)</t>
  </si>
  <si>
    <t>mhub239.1-4,9-12</t>
  </si>
  <si>
    <t>hmhub239.1-4,9-12</t>
  </si>
  <si>
    <t>nmhub239.1-4,9-12</t>
  </si>
  <si>
    <t>-vm -atc -pm4rb=fb -tc_EnableNonIdentityMapping</t>
  </si>
  <si>
    <t>pmhub239.1-4,9-12</t>
  </si>
  <si>
    <t>GFXHUB ATC L2 Cache Hits/Misses on Read/Write Translation Request with different number of translated pages (PASID)</t>
  </si>
  <si>
    <t>mhub239.5-8,13-16</t>
  </si>
  <si>
    <t>hmhub239.5-8,13-16</t>
  </si>
  <si>
    <t>pmhub239.5-8,13-16</t>
  </si>
  <si>
    <t>KRK-GMHUB-095 KRK-GMHUB-193 KRK-GMHUB-201 KRK-GMHUB-099</t>
  </si>
  <si>
    <t>GCUTCL2 - ATL2: Caches</t>
  </si>
  <si>
    <t>GFXHUB ATC L2 Cache Eviction (PASID - 4K)</t>
  </si>
  <si>
    <t>mhub240.1</t>
  </si>
  <si>
    <t>-vm -atc -CpDirRegVm</t>
  </si>
  <si>
    <t>KRK-GMHUB-095 KRK-GMHUB-193 KRK-GMHUB-201</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</si>
  <si>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</si>
  <si>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</si>
  <si>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</si>
  <si>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</si>
  <si>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</si>
  <si>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</si>
  <si>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</si>
  <si>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</si>
  <si>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</si>
  <si>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</si>
  <si>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KRK-GMHUB-095 KRK-GMHUB-201</t>
  </si>
  <si>
    <t>GFXHUB ATC L2 Cache Eviction (No PASID - 2M)</t>
  </si>
  <si>
    <t>mhub240.6</t>
  </si>
  <si>
    <t>-vm -atc -CpDirRegVm -tc_LogHostPageSize=21</t>
  </si>
  <si>
    <t>pmhub240.1</t>
  </si>
  <si>
    <t>pmhub240.2</t>
  </si>
  <si>
    <t>pmhub240.3</t>
  </si>
  <si>
    <t>pmhub240.4</t>
  </si>
  <si>
    <t>-vm -atc -CpDirRegVm -tc_LogHostPageSize=15 -tcoreptloc=1</t>
  </si>
  <si>
    <t>pmhub240.5</t>
  </si>
  <si>
    <t>pmhub240.6</t>
  </si>
  <si>
    <t>-vm -atc -CpDirRegVm -tc_LogHostPageSize=21 -tcoreptloc=1</t>
  </si>
  <si>
    <t>GFXHUB ATC L2 Cache Hits/Misses on Failed Translation Requests (PASID)</t>
  </si>
  <si>
    <t>mhub242.1</t>
  </si>
  <si>
    <t>GFXHUB ATC L2 Cache Hits/Misses on Failed Translation Requests (NO PASID)</t>
  </si>
  <si>
    <t>mhub242.2</t>
  </si>
  <si>
    <t>hmhub242.1</t>
  </si>
  <si>
    <t>hmhub242.2</t>
  </si>
  <si>
    <t>pmhub242.1</t>
  </si>
  <si>
    <t>pmhub242.2</t>
  </si>
  <si>
    <t>KRK-GMHUB-149</t>
  </si>
  <si>
    <t>GCUTCL2 - VML2: Translation bypass by VMID</t>
  </si>
  <si>
    <t>GFXHUB Translation Bypass by VMID</t>
  </si>
  <si>
    <t>mhub246.1-8</t>
  </si>
  <si>
    <t>hmhub246.1-8</t>
  </si>
  <si>
    <t>nmhub246.5-8</t>
  </si>
  <si>
    <t>pmhub246.1-8</t>
  </si>
  <si>
    <t>dmhub246.1-8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</si>
  <si>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</si>
  <si>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</si>
  <si>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</si>
  <si>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</si>
  <si>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</si>
  <si>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nmhub247.1</t>
  </si>
  <si>
    <t>-vm -atc -CpDirRegVm -tc_EnableNonIdentityMapping</t>
  </si>
  <si>
    <t>nmhub247.2</t>
  </si>
  <si>
    <t>pmhub247.1</t>
  </si>
  <si>
    <t>pmhub247.2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</si>
  <si>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</si>
  <si>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</si>
  <si>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</si>
  <si>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</si>
  <si>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</si>
  <si>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</si>
  <si>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</si>
  <si>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</si>
  <si>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</si>
  <si>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</si>
  <si>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</si>
  <si>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</si>
  <si>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</si>
  <si>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</si>
  <si>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</si>
  <si>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</si>
  <si>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</si>
  <si>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</si>
  <si>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</si>
  <si>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</si>
  <si>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hmhub248.1</t>
  </si>
  <si>
    <t>-vm -atc -UseVcnClient=1 -tc_ulSysmemFragmentSize=4 -SteerDefaultAllocToHighAddr</t>
  </si>
  <si>
    <t>hmhub248.2</t>
  </si>
  <si>
    <t>hmhub248.3</t>
  </si>
  <si>
    <t>-vm -atc -UseVcnClient=1 -tc_ulSysmemFragmentSize=9 -SteerDefaultAllocToHighAddr</t>
  </si>
  <si>
    <t>hmhub248.4</t>
  </si>
  <si>
    <t>hmhub248.5</t>
  </si>
  <si>
    <t>hmhub248.6</t>
  </si>
  <si>
    <t>hmhub248.7</t>
  </si>
  <si>
    <t>nmhub248.1</t>
  </si>
  <si>
    <t>-vm -atc -UseVcnClient=1 -tc_ulSysmemFragmentSize=4 -tc_EnableNonIdentityMapping</t>
  </si>
  <si>
    <t>nmhub248.2</t>
  </si>
  <si>
    <t>nmhub248.3</t>
  </si>
  <si>
    <t>-vm -atc -UseVcnClient=1 -tc_ulSysmemFragmentSize=9 -tc_EnableNonIdentityMapping</t>
  </si>
  <si>
    <t>nmhub248.4</t>
  </si>
  <si>
    <t>nmhub248.5</t>
  </si>
  <si>
    <t>nmhub248.6</t>
  </si>
  <si>
    <t>nmhub248.7</t>
  </si>
  <si>
    <t>pmhub248.1</t>
  </si>
  <si>
    <t>-vm -atc -UseVcnClient=1 -tc_ulSysmemFragmentSize=4 -tcoreptloc=1</t>
  </si>
  <si>
    <t>pmhub248.2</t>
  </si>
  <si>
    <t>pmhub248.3</t>
  </si>
  <si>
    <t>-vm -atc -UseVcnClient=1 -tc_ulSysmemFragmentSize=9 -tcoreptloc=1</t>
  </si>
  <si>
    <t>pmhub248.4</t>
  </si>
  <si>
    <t>pmhub248.5</t>
  </si>
  <si>
    <t>pmhub248.6</t>
  </si>
  <si>
    <t>pmhub248.7</t>
  </si>
  <si>
    <t>KRK-GMHUB-136</t>
  </si>
  <si>
    <t>GFXHUB:GCUTCL2 - Remove 2MB max page size limit</t>
  </si>
  <si>
    <t>GFXHUB Page Size Limit tests</t>
  </si>
  <si>
    <t>mhub249</t>
  </si>
  <si>
    <t>KRK-GMHUB-165 KRK-GMHUB-166</t>
  </si>
  <si>
    <t>GFXHUB Per-VM Context Invalidations</t>
  </si>
  <si>
    <t>mhub252.1</t>
  </si>
  <si>
    <t>hmhub252.1</t>
  </si>
  <si>
    <t>pmhub252.1</t>
  </si>
  <si>
    <t>KRK-GMHUB-165</t>
  </si>
  <si>
    <t>GFXHUB VM PDE/PTE Only Invalidation</t>
  </si>
  <si>
    <t>mhub253.1</t>
  </si>
  <si>
    <t>hmhub253.1</t>
  </si>
  <si>
    <t>pmhub253.1</t>
  </si>
  <si>
    <t>KRK-GMHUB-153 KRK-GMHUB-165</t>
  </si>
  <si>
    <t>GCUTCL2 - VML2: Range-based UTCL1 and VML1 invalidation</t>
  </si>
  <si>
    <t xml:space="preserve">GFXHUB VM L2 Address Range/Boundary Invalidation </t>
  </si>
  <si>
    <t>mhub254.1,3,5-8</t>
  </si>
  <si>
    <t>pmhub254.1,3,5-8</t>
  </si>
  <si>
    <t>GFXHUB L1 Range Invalidation</t>
  </si>
  <si>
    <t>mhub255.1,2</t>
  </si>
  <si>
    <t>hmhub255</t>
  </si>
  <si>
    <t>pmhub255</t>
  </si>
  <si>
    <t>GFXHUB VM Invalidation Stress Test</t>
  </si>
  <si>
    <t>mhub257.6</t>
  </si>
  <si>
    <t>-vm -SkipVcnInst=1</t>
  </si>
  <si>
    <t>hmhub257.6</t>
  </si>
  <si>
    <t>-vm -atc -SteerDefaultAllocToHighAddr -SkipVcnInst=1</t>
  </si>
  <si>
    <t>pmhub257.6</t>
  </si>
  <si>
    <t>dmhub257.6</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</si>
  <si>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</si>
  <si>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</si>
  <si>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</si>
  <si>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</si>
  <si>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</si>
  <si>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</si>
  <si>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</si>
  <si>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</si>
  <si>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</si>
  <si>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</si>
  <si>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</si>
  <si>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</si>
  <si>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</si>
  <si>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</si>
  <si>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</si>
  <si>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</si>
  <si>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</si>
  <si>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</si>
  <si>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</si>
  <si>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</si>
  <si>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</si>
  <si>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</si>
  <si>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</si>
  <si>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</si>
  <si>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</si>
  <si>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</si>
  <si>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hmhub258.1</t>
  </si>
  <si>
    <t>-vm -atc -tcoreptloc=0 -zsm -CpDirRegVm -SteerDefaultAllocToHighAddr</t>
  </si>
  <si>
    <t>hmhub258.2</t>
  </si>
  <si>
    <t>-vm -atc -tcoreptloc=1 -zsm -CpDirRegVm -SteerDefaultAllocToHighAddr</t>
  </si>
  <si>
    <t>hmhub258.3</t>
  </si>
  <si>
    <t>hmhub258.4</t>
  </si>
  <si>
    <t>hmhub258.5</t>
  </si>
  <si>
    <t>hmhub258.6</t>
  </si>
  <si>
    <t>hmhub258.7</t>
  </si>
  <si>
    <t>hmhub258.8</t>
  </si>
  <si>
    <t>hmhub258.9</t>
  </si>
  <si>
    <t>hmhub258.10</t>
  </si>
  <si>
    <t>KRK-GMHUB-149 KRK-GMHUB-189</t>
  </si>
  <si>
    <t>GCUTCL2 - VML2: Per VMID BigK support/SmallK/Bank_Select Support</t>
  </si>
  <si>
    <t>GFXHUB UTCL2 Per-VMID BigK/SmallK Settings</t>
  </si>
  <si>
    <t>mhub259.1-32</t>
  </si>
  <si>
    <t>-vm -CpDirRegVm -tc_ulVidmemFragmentSize=0</t>
  </si>
  <si>
    <t>hmhub259.1-32</t>
  </si>
  <si>
    <t>-vm -CpDirRegVm -tc_ulVidmemFragmentSize=0 -SteerDefaultAllocToHighAddr</t>
  </si>
  <si>
    <t>pmhub259.1-32</t>
  </si>
  <si>
    <t>-vm -CpDirRegVm -tc_ulVidmemFragmentSize=0 -tcoreptloc=1</t>
  </si>
  <si>
    <t>nmhub259.1-32</t>
  </si>
  <si>
    <t>-vm -CpDirRegVm -tc_ulVidmemFragmentSize=0 -tc_EnableNonIdentityMapping</t>
  </si>
  <si>
    <t>KRK-GMHUB-132 KRK-GMHUB-147</t>
  </si>
  <si>
    <t>GCUTCL2 - VML2: GPUVA,VMID translation assist</t>
  </si>
  <si>
    <t>GFXHUB VMID Translation Assist -GPUVA-&gt;FB_SPA in VMID0-15</t>
  </si>
  <si>
    <t>mhub260.1-16</t>
  </si>
  <si>
    <t>hmhub260.1-16</t>
  </si>
  <si>
    <t>GFXHUB VMID Translation Assist - GPUVA-&gt;SYSMEM_SPA in VMID0-15</t>
  </si>
  <si>
    <t>mhub260.17-32</t>
  </si>
  <si>
    <t>GFXHUB VMID Translation Assist - ATC Host in VMID2-15</t>
  </si>
  <si>
    <t>mhub260.33-46</t>
  </si>
  <si>
    <t>KRK-GMHUB-132 KRK-GMHUB-147 KRK-GMHUB-149</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</si>
  <si>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</si>
  <si>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</si>
  <si>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</si>
  <si>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</si>
  <si>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</si>
  <si>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</si>
  <si>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</si>
  <si>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</si>
  <si>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</si>
  <si>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</si>
  <si>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</si>
  <si>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</si>
  <si>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</si>
  <si>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</si>
  <si>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</si>
  <si>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</si>
  <si>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</si>
  <si>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</si>
  <si>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</si>
  <si>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</si>
  <si>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</si>
  <si>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</si>
  <si>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</si>
  <si>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</si>
  <si>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</si>
  <si>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</si>
  <si>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</si>
  <si>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pmhub260.1-16</t>
  </si>
  <si>
    <t>hmhub260.17-32</t>
  </si>
  <si>
    <t>pmhub260.17-32</t>
  </si>
  <si>
    <t>nmhub260.17-32</t>
  </si>
  <si>
    <t>hmhub260.33-46</t>
  </si>
  <si>
    <t>pmhub260.33-46</t>
  </si>
  <si>
    <t>nmhub260.33-46</t>
  </si>
  <si>
    <t>hmhub260.47-60</t>
  </si>
  <si>
    <t>pmhub260.47-60</t>
  </si>
  <si>
    <t>hmhub260.61</t>
  </si>
  <si>
    <t>GFXHUB VMID Translation Assist - FB_GPA-&gt;FB_GPA</t>
  </si>
  <si>
    <t>hmhub260.62</t>
  </si>
  <si>
    <t>hmhub260.63</t>
  </si>
  <si>
    <t>pmhub260.63</t>
  </si>
  <si>
    <t>hmhub260.64</t>
  </si>
  <si>
    <t>pmhub260.64</t>
  </si>
  <si>
    <t>nmhub260.64</t>
  </si>
  <si>
    <t>GFXHUB One-Shot Invalidate All Register</t>
  </si>
  <si>
    <t>mhub262.1</t>
  </si>
  <si>
    <t>hmhub262.1</t>
  </si>
  <si>
    <t>pmhub262.1</t>
  </si>
  <si>
    <t>dmhub262.1</t>
  </si>
  <si>
    <t>-vm -atc -pm4rb=fb -mhub_non_tc_pt_depth=[2-4] -mhub_pt_override=0</t>
  </si>
  <si>
    <t>KRK-GMHUB-250</t>
  </si>
  <si>
    <t>GFXHUB VMID-to-PASID Mapping Registers</t>
  </si>
  <si>
    <t>mhub263.1</t>
  </si>
  <si>
    <t>pmhub263.1</t>
  </si>
  <si>
    <t>dmhub263.1</t>
  </si>
  <si>
    <t>-vm -atc -mhub_non_tc_pt_depth=[2-4] -mhub_pt_override=0</t>
  </si>
  <si>
    <t>KRK-GMHUB-075 KRK-GMHUB-106 KRK-GMHUB-200 KRK-GMHUB-201</t>
  </si>
  <si>
    <t>GCUTCL2 - ATL2: lightweight/heavyweight flush-type invalidation</t>
  </si>
  <si>
    <t>GFXHUB IOMMU Single/Multi Page Invalidation without PASID</t>
  </si>
  <si>
    <t>mhub264.1,3</t>
  </si>
  <si>
    <t>-vm -atc -pm4rb=fb -tc_DisableIommuHostTranslation=0 -tc_ClearDteIotlb</t>
  </si>
  <si>
    <t>hmhub264.1,3</t>
  </si>
  <si>
    <t>dmhub264.1,3</t>
  </si>
  <si>
    <t>pmhub264.1,3</t>
  </si>
  <si>
    <t>nmhub264.1,3</t>
  </si>
  <si>
    <t>KRK-GMHUB-075 KRK-GMHUB-106 KRK-GMHUB-250 KRK-GMHUB-200</t>
  </si>
  <si>
    <t>GFXHUB IOMMU Single/Multi Page Invalidation with PASID</t>
  </si>
  <si>
    <t>mhub264.2,4</t>
  </si>
  <si>
    <t>hmhub264.2,4</t>
  </si>
  <si>
    <t>dmhub264.2,4</t>
  </si>
  <si>
    <t>pmhub264.2,4</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</si>
  <si>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</si>
  <si>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</si>
  <si>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</si>
  <si>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mhub266.1,3</t>
  </si>
  <si>
    <t>hmhub266.1,3</t>
  </si>
  <si>
    <t>dmhub266.1,3</t>
  </si>
  <si>
    <t>pmhub266.1,3</t>
  </si>
  <si>
    <t>nmhub266.1,3</t>
  </si>
  <si>
    <t>GFXHUB IOMMU Global Invalidation with PASID</t>
  </si>
  <si>
    <t>mhub266.2,4</t>
  </si>
  <si>
    <t>hmhub266.2,4</t>
  </si>
  <si>
    <t>dmhub266.2,4</t>
  </si>
  <si>
    <t>pmhub266.2,4</t>
  </si>
  <si>
    <t>KRK-GMHUB-075 KRK-GMHUB-106 KRK-GMHUB-200</t>
  </si>
  <si>
    <t>GFXHUB IOMMU Flush-Type Lightweight/Heavyweight  Invalidation with/without PASID</t>
  </si>
  <si>
    <t>mhub267.1-4</t>
  </si>
  <si>
    <t>hmhub267.1-4</t>
  </si>
  <si>
    <t>dmhub267.1-4</t>
  </si>
  <si>
    <t>pmhub267.1-4</t>
  </si>
  <si>
    <t>GFXHUB Disable By-Domain ATC Invalidation</t>
  </si>
  <si>
    <t>mhub268.1,2</t>
  </si>
  <si>
    <t>hmhub268.1,2</t>
  </si>
  <si>
    <t>dmhub268.1,2</t>
  </si>
  <si>
    <t>-vm -atc -pm4rb=fb -mhub_non_tc_pt_depth=[1-4]</t>
  </si>
  <si>
    <t>pmhub268.1,2</t>
  </si>
  <si>
    <t>KRK-GMHUB-105 KRK-GMHUB-199</t>
  </si>
  <si>
    <t>GCUTCL2 - ATL2: Invalidate by Address Range and VMID aka "Sharpshooting"</t>
  </si>
  <si>
    <t>GFXHUB Disable Per-Address ATC Invalication</t>
  </si>
  <si>
    <t>mhub269.1-5</t>
  </si>
  <si>
    <t>-vm -atc -UseCpDirReg -CpDirRegVm</t>
  </si>
  <si>
    <t>hmhub269.1-5</t>
  </si>
  <si>
    <t>-vm -atc -UseCpDirReg -CpDirRegVm -SteerDefaultAllocToHighAddr</t>
  </si>
  <si>
    <t>dmhub269.1-5</t>
  </si>
  <si>
    <t>-vm -atc -UseCpDirReg -CpDirRegVm -mhub_non_tc_pt_depth=[2-4] -mhub_pt_override=0</t>
  </si>
  <si>
    <t>pmhub269.1-5</t>
  </si>
  <si>
    <t>-vm -atc -UseCpDirReg -CpDirRegVm -tcoreptloc=1</t>
  </si>
  <si>
    <t>GFXHUB IDLE State Multiple Source Regiser-Based &amp; IOMMU-Based Invalidations</t>
  </si>
  <si>
    <t>mhub270.1-3</t>
  </si>
  <si>
    <t>hmhub270.1-3</t>
  </si>
  <si>
    <t>dmhub270.1-3</t>
  </si>
  <si>
    <t>pmhub270.1-3</t>
  </si>
  <si>
    <t>KRK-GMHUB-169</t>
  </si>
  <si>
    <t>GFXHUB Permission &amp; Invalid Fault: PTE WRX &amp; SVT Attribute</t>
  </si>
  <si>
    <t>mhub281.1,2</t>
  </si>
  <si>
    <t>hmhub281.1,2</t>
  </si>
  <si>
    <t>pmhub281.1,2</t>
  </si>
  <si>
    <t>GFXHUB Address/Walker Error: PDE V Attribute</t>
  </si>
  <si>
    <t>mhub282</t>
  </si>
  <si>
    <t>pmhub282</t>
  </si>
  <si>
    <t>GFXHUB Address/Walker Error: Dummy Page Fault</t>
  </si>
  <si>
    <t>mhub283</t>
  </si>
  <si>
    <t>hmhub283</t>
  </si>
  <si>
    <t>pmhub283</t>
  </si>
  <si>
    <t>GFXHUB Address/Walker Error: VM Context Aperture Fault</t>
  </si>
  <si>
    <t>mhub284.1-2</t>
  </si>
  <si>
    <t>hmhub284.1-2</t>
  </si>
  <si>
    <t>pmhub284.1-2</t>
  </si>
  <si>
    <t>GFXHUB-Address Walker Error: Page Table Setup Fault test</t>
  </si>
  <si>
    <t>mhub285</t>
  </si>
  <si>
    <t>hmhub285</t>
  </si>
  <si>
    <t>pmhub285</t>
  </si>
  <si>
    <t>GFXHUB Mapping Error: PTE SVT Address Space</t>
  </si>
  <si>
    <t>mhub286.1,2</t>
  </si>
  <si>
    <t>hmhub286.1,2</t>
  </si>
  <si>
    <t>pmhub286.1,2</t>
  </si>
  <si>
    <t>KRK-GMHUB-052 KRK-GMHUB-145</t>
  </si>
  <si>
    <t>GFXHUB PRT Fault</t>
  </si>
  <si>
    <t>mhub287</t>
  </si>
  <si>
    <t>hmhub287</t>
  </si>
  <si>
    <t>pmhub287</t>
  </si>
  <si>
    <t>GFXHUB Retry on Faults</t>
  </si>
  <si>
    <t>mhub289</t>
  </si>
  <si>
    <t>hmhub289</t>
  </si>
  <si>
    <t>pmhub289</t>
  </si>
  <si>
    <t>GCUTCL2 - VML2: GPUVM fault with retry/Xnack interface</t>
  </si>
  <si>
    <t>GFXHUB No Caching of VM Faulted Requests</t>
  </si>
  <si>
    <t>mhub293.1</t>
  </si>
  <si>
    <t>pmhub293.1</t>
  </si>
  <si>
    <t>GFXHUB-Multiple Faults test</t>
  </si>
  <si>
    <t>mhub294</t>
  </si>
  <si>
    <t>hmhub294</t>
  </si>
  <si>
    <t>pmhub294</t>
  </si>
  <si>
    <t>dmhub294</t>
  </si>
  <si>
    <t>GFXHUB Multiple Faults on Multiple VM Context</t>
  </si>
  <si>
    <t>mhub295</t>
  </si>
  <si>
    <t>dmhub295</t>
  </si>
  <si>
    <t>hmhub295</t>
  </si>
  <si>
    <t>pmhub295</t>
  </si>
  <si>
    <t>GFXHUB Unmapped ATC GVA Pages/Mapped GPA Pages</t>
  </si>
  <si>
    <t>mhub301.1-8</t>
  </si>
  <si>
    <t>-vm -atc  -doorbellLoc=fb -pm4rb=fb</t>
  </si>
  <si>
    <t>mhub301.9-12</t>
  </si>
  <si>
    <t>-vm -tc_DisableIommuHostTranslation=0  -doorbellLoc=fb -pm4rb=fb  -tc_ClearDteIotlb</t>
  </si>
  <si>
    <t>KRK-GMHUB-214 KRK-GMHUB-213 KRK-GMHUB-224</t>
  </si>
  <si>
    <t>GFXHUB EA</t>
  </si>
  <si>
    <t>mhub311.1-4</t>
  </si>
  <si>
    <t>hmhub311.1-4</t>
  </si>
  <si>
    <t>pmhub311.1-4</t>
  </si>
  <si>
    <t>KRK-GMHUB-151 KRK-GMHUB-156 KRK-GMHUB-203</t>
  </si>
  <si>
    <t>GCUTCL2 - VML2: CAM/filter to avoid duplicate table-walk reads</t>
  </si>
  <si>
    <t>GFXHUB-PTW Fetch QoS test</t>
  </si>
  <si>
    <t>mhub340.1</t>
  </si>
  <si>
    <t>-vm -tc_DisableIommuHostTranslation=0  -doorbellLoc=fb -pm4rb=fb</t>
  </si>
  <si>
    <t>hmhub340.1</t>
  </si>
  <si>
    <t>pmhub340.1</t>
  </si>
  <si>
    <t>KRK-GMHUB-156 KRK-GMHUB-170 KRK-GMHUB-205</t>
  </si>
  <si>
    <t>GCUTCL2 - VML2: PTE permissions returned</t>
  </si>
  <si>
    <t xml:space="preserve">GFXHUB PTE permissions returned - Read after write </t>
  </si>
  <si>
    <t>mhub341.1</t>
  </si>
  <si>
    <t>hmhub341.1</t>
  </si>
  <si>
    <t>pmhub341.1</t>
  </si>
  <si>
    <t>KRK-GMHUB-156</t>
  </si>
  <si>
    <t xml:space="preserve">GFXHUB PTE permissions returned - Write after read </t>
  </si>
  <si>
    <t>mhub341.2</t>
  </si>
  <si>
    <t>hmhub341.2</t>
  </si>
  <si>
    <t>pmhub341.2</t>
  </si>
  <si>
    <t>GCUTCL2 - VML2: GPU VM Enable bitmap aka VMID Fence</t>
  </si>
  <si>
    <t xml:space="preserve">GFXHUB Per-Client GPUVM VMID Enable Bitmap Register </t>
  </si>
  <si>
    <t>mhub342.1-16</t>
  </si>
  <si>
    <t>pmhub342.1-16</t>
  </si>
  <si>
    <t>dmhub342.1-16</t>
  </si>
  <si>
    <t>pmhub342.17-32</t>
  </si>
  <si>
    <t>dmhub342.17-32</t>
  </si>
  <si>
    <t>KRK-GMHUB-152</t>
  </si>
  <si>
    <t>GCUTCL2 - VML2: GPA Mode</t>
  </si>
  <si>
    <t>GFXHUB-UTCL2 GPA Translation test</t>
  </si>
  <si>
    <t>mhub344.1,2</t>
  </si>
  <si>
    <t>mhub344.3</t>
  </si>
  <si>
    <t>hmhub344.1-3</t>
  </si>
  <si>
    <t>pmhub344.1-3</t>
  </si>
  <si>
    <t>nmhub344.1</t>
  </si>
  <si>
    <t>KRK-GMHUB-159</t>
  </si>
  <si>
    <t>GCUTCL2 - VML2: Register bits that enable software to control hit/miss behaviour on invalid ptes in cache</t>
  </si>
  <si>
    <t>GFXHUB Non-defaulMMHUB-Invalid PTE Permission Fault</t>
  </si>
  <si>
    <t>mhub345.1-2</t>
  </si>
  <si>
    <t>hmhub345.1-2</t>
  </si>
  <si>
    <t>pmhub345.1-2</t>
  </si>
  <si>
    <t>KRK-GMHUB-160</t>
  </si>
  <si>
    <t>GCUTCL2 - VML2: Register bits that enable software to control hit/miss behaviour on permission mismatch in cache</t>
  </si>
  <si>
    <t xml:space="preserve">GFXHUB Valid PTE with Permission Mismatch in Cache </t>
  </si>
  <si>
    <t>mhub346.1-2</t>
  </si>
  <si>
    <t>-vm -atc -UseCpDirReg -CpDirRegVm -SkipGfxDmaInst</t>
  </si>
  <si>
    <t>dmhub346.1-2</t>
  </si>
  <si>
    <t>-vm -atc -vmid=[choose a value 2 or higher] -mhub_non_tc_pt_depth=[1-4]</t>
  </si>
  <si>
    <t>hmhub346.1-2</t>
  </si>
  <si>
    <t>pmhub346.1-2</t>
  </si>
  <si>
    <t>KRK-GMHUB-164</t>
  </si>
  <si>
    <t>GCUTCL2 - VML2: Trusted Memory Zone (TMZ) Secure Filtering</t>
  </si>
  <si>
    <t>GFXHUB-TMZ System Level Testing</t>
  </si>
  <si>
    <t>mhub350.1-8,10,20,30-37</t>
  </si>
  <si>
    <t>-skiptextbuffering -skip_iommu_check=1 -skip_consoleblank_check=1 -disable_libdce -norlc -gpu_copyengine=tcore -tc_DefaultCopyUtil=HostCopy -no_toollib -nobios -load_ucode=tcore -skip_iommu_check=1 -tmzmode=tmz -tc_SecureMode=0 -vm -v=debug -ppmode=0</t>
  </si>
  <si>
    <t>hmhub350.1-4,10,20,30-37</t>
  </si>
  <si>
    <t>-disable_libdce -load_ucode=tcore -no_toollib -skiptextbuffering -SkipVcnInst=1 -vm -norlc -nobios -tmzmode=tmz -tc_SecureMode=0</t>
  </si>
  <si>
    <t>KRK-GMHUB-187</t>
  </si>
  <si>
    <t>GFXHUB:GCUTCL2:VML2 - Programmable bank select in UTCL1/UTCL2</t>
  </si>
  <si>
    <t>GFXHUB Programmable Bank Select Test</t>
  </si>
  <si>
    <t>mhub354.1,2</t>
  </si>
  <si>
    <t>ATHUB</t>
  </si>
  <si>
    <t>Address Transtation using MMHUB Client</t>
  </si>
  <si>
    <t>mhub401.1</t>
  </si>
  <si>
    <t xml:space="preserve">-atc -vm </t>
  </si>
  <si>
    <t>KRK-GMHUB-001 KRK-GMHUB-107 KRK-GMHUB-240 KRK-GMHUB-238 KRK-GMHUB-245 KRK-GMHUB-258</t>
  </si>
  <si>
    <t>mhub401.1-6,11-16,21-26</t>
  </si>
  <si>
    <t>KRK-GMHUB-001 KRK-GMHUB-238 KRK-GMHUB-245 KRK-GMHUB-258</t>
  </si>
  <si>
    <t>Only IOMMU Host trans enabled and not ATC: SYS -&gt; SYS ; FB -&gt; FB. System memory requests go through IO Path</t>
  </si>
  <si>
    <t>mhub401.34</t>
  </si>
  <si>
    <t>-vm  -tc_DisableIommuHostTranslation=0 -tc_EnableNonIdentityMapping</t>
  </si>
  <si>
    <t>nmhub401.4-6</t>
  </si>
  <si>
    <t>-atc -vm -UseSem -tc_EnableNonIdentityMapping</t>
  </si>
  <si>
    <t>dmhub401.1,13</t>
  </si>
  <si>
    <t>-atc -vm -mhub_non_tc_pt_depth=[1-4] -UseSem</t>
  </si>
  <si>
    <t>KRK-GMHUB-204 KRK-GMHUB-258</t>
  </si>
  <si>
    <t>Address Transtation using GFXHUB Client</t>
  </si>
  <si>
    <t>mhub402.1-6,11-16,21-26</t>
  </si>
  <si>
    <t>-atc -vm</t>
  </si>
  <si>
    <t>mhub402.3</t>
  </si>
  <si>
    <t>mhub402.11</t>
  </si>
  <si>
    <t>KRK-GMHUB-258</t>
  </si>
  <si>
    <t>mhub402.34</t>
  </si>
  <si>
    <t>-vm  -tc_DisableIommuHostTranslation=0 -tc_EnableNonIdentityMapping</t>
  </si>
  <si>
    <t>dmhub402.3,11</t>
  </si>
  <si>
    <t>-atc -vm -mhub_non_tc_pt_depth=[1-4]</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</si>
  <si>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</si>
  <si>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</si>
  <si>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</si>
  <si>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</si>
  <si>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</si>
  <si>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</si>
  <si>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</si>
  <si>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</si>
  <si>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</si>
  <si>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</si>
  <si>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</si>
  <si>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</si>
  <si>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</si>
  <si>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</si>
  <si>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</si>
  <si>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</si>
  <si>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</si>
  <si>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</si>
  <si>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</si>
  <si>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</si>
  <si>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</si>
  <si>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</si>
  <si>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</si>
  <si>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</si>
  <si>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</si>
  <si>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</si>
  <si>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</si>
  <si>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</si>
  <si>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</si>
  <si>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</si>
  <si>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</si>
  <si>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</si>
  <si>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</si>
  <si>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</si>
  <si>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</si>
  <si>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</si>
  <si>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</si>
  <si>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</si>
  <si>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</si>
  <si>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</si>
  <si>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</si>
  <si>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</si>
  <si>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</si>
  <si>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</si>
  <si>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</si>
  <si>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</si>
  <si>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</si>
  <si>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</si>
  <si>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</si>
  <si>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</si>
  <si>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Physical Address Tool Large</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</si>
  <si>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</si>
  <si>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</si>
  <si>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</si>
  <si>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</si>
  <si>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</si>
  <si>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</si>
  <si>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</si>
  <si>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</si>
  <si>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</si>
  <si>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</si>
  <si>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</si>
  <si>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KRK-GMHUB-001 KRK-GMHUB-240 KRK-GMHUB-238 KRK-GMHUB-245</t>
  </si>
  <si>
    <t xml:space="preserve">SOC: SOC-15 SDP interfaces (SOC-15 baseline) </t>
  </si>
  <si>
    <t>ATHUB Invalidation due to ATC_ATS_DEUBT.INVALIDATE_ALL bit</t>
  </si>
  <si>
    <t>mhub405.1</t>
  </si>
  <si>
    <t>KRK-GMHUB-238 KRK-GMHUB-246</t>
  </si>
  <si>
    <t>ATHUB Invalidation due to ATC_ATS_CNTL.DISABLE_ATC bit</t>
  </si>
  <si>
    <t>mhub405.2</t>
  </si>
  <si>
    <t>KRK-GMHUB-238 KRK-GMHUB-246 KRK-GMHUB-247</t>
  </si>
  <si>
    <t>ATHUB Invalidation due to PCIe ATS_CONTROL Register</t>
  </si>
  <si>
    <t>mhub405.3</t>
  </si>
  <si>
    <t>KRK-GMHUB-238 KRK-GMHUB-246 KRK-GMHUB-248</t>
  </si>
  <si>
    <t>ATHUB Invalidation due to VMID-to-PASID Mapping Registers</t>
  </si>
  <si>
    <t>mhub405.4-5</t>
  </si>
  <si>
    <t>KRK-GMHUB-238 KRK-GMHUB-246 KRK-GMHUB-249</t>
  </si>
  <si>
    <t>ATHUB IOMMU Invalidation - Multiple GFXHUB &amp; MMHUB Entries</t>
  </si>
  <si>
    <t>mhub405.6</t>
  </si>
  <si>
    <t>KRK-GMHUB-238 KRK-GMHUB-251</t>
  </si>
  <si>
    <t>ATHUB IOMMU Invalidation with No PasID</t>
  </si>
  <si>
    <t>mhub405.7</t>
  </si>
  <si>
    <t>KRK-GMHUB-238 KRK-GMHUB-254</t>
  </si>
  <si>
    <t>ATHUB IOMMU Invalidation with PasID</t>
  </si>
  <si>
    <t>mhub405.8</t>
  </si>
  <si>
    <t>KRK-GMHUB-238 KRK-GMHUB-255</t>
  </si>
  <si>
    <t>ATHUB Multiple Source Invalidation - Multiple GFXHUB &amp; MMHUB Entries</t>
  </si>
  <si>
    <t>mhub405.9</t>
  </si>
  <si>
    <t>dmhub405.1</t>
  </si>
  <si>
    <t>dmhub405.6</t>
  </si>
  <si>
    <t>dmhub405.7</t>
  </si>
  <si>
    <t>dmhub405.9</t>
  </si>
  <si>
    <t>KRK-GMHUB-246 KRK-GMHUB-248</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</si>
  <si>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</si>
  <si>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</si>
  <si>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</si>
  <si>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</si>
  <si>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</si>
  <si>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</si>
  <si>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</si>
  <si>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</si>
  <si>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</si>
  <si>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</si>
  <si>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dmhub407.8</t>
  </si>
  <si>
    <t>-atc -vm -mhub_non_tc_pt_depth=[2-4]</t>
  </si>
  <si>
    <t>mhub407.8</t>
  </si>
  <si>
    <t>ATC Invalidation Stress test</t>
  </si>
  <si>
    <t>mhub409</t>
  </si>
  <si>
    <t>KRK-GMHUB-033 KRK-GMHUB-075 KRK-GMHUB-038 KRK-GMHUB-171</t>
  </si>
  <si>
    <t>Producer: CPU, Consumer: CPDMA</t>
  </si>
  <si>
    <t>mhub408.1-2</t>
  </si>
  <si>
    <t>mhub408.3-4</t>
  </si>
  <si>
    <t>CPU – Producer, CPDMA – Consumer, MTYPE=4</t>
  </si>
  <si>
    <t>mhub408.5,6</t>
  </si>
  <si>
    <t>CPU – Producer, CPDMA – Consumer, MTYPE=6</t>
  </si>
  <si>
    <t>mhub408.7,8</t>
  </si>
  <si>
    <t>KRK-GMHUB-084 KRK-GMHUB-033 KRK-GMHUB-075 KRK-GMHUB-038 KRK-GMHUB-171 KRK-GMHUB-183</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</si>
  <si>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</si>
  <si>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</si>
  <si>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</si>
  <si>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</si>
  <si>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</si>
  <si>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</si>
  <si>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</si>
  <si>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</si>
  <si>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</si>
  <si>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</si>
  <si>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</si>
  <si>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</si>
  <si>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</si>
  <si>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</si>
  <si>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</si>
  <si>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</si>
  <si>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</si>
  <si>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</si>
  <si>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</si>
  <si>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</si>
  <si>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</si>
  <si>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</si>
  <si>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</si>
  <si>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</si>
  <si>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</si>
  <si>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</si>
  <si>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</si>
  <si>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</si>
  <si>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</si>
  <si>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</si>
  <si>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</si>
  <si>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</si>
  <si>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</si>
  <si>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</si>
  <si>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mhub408.57,58</t>
  </si>
  <si>
    <t>ATHUB Write Re-assemble test</t>
  </si>
  <si>
    <t>mhub410.1-2</t>
  </si>
  <si>
    <t>KRK-GMHUB-248</t>
  </si>
  <si>
    <t>ATS: Invalidation flow stall</t>
  </si>
  <si>
    <t>ATHUB - Invalidation Flow Stall by Stall</t>
  </si>
  <si>
    <t>mhub412.1</t>
  </si>
  <si>
    <t>-vm -atc -UseSdma</t>
  </si>
  <si>
    <t>ATHUB - Invalidation Flow Stall by GFX Power-Down</t>
  </si>
  <si>
    <t>mhub412.2</t>
  </si>
  <si>
    <t>ATHUB - Invalidation Flow Stall by Stall-&gt;Power-Down-&gt;Un-Stall</t>
  </si>
  <si>
    <t>mhub412.3</t>
  </si>
  <si>
    <t>KRK-GMHUB-249 KRK-GMHUB-251</t>
  </si>
  <si>
    <t>ATS: Host ATC enable (Van Gogh Only)</t>
  </si>
  <si>
    <t xml:space="preserve">ATC Host Translation Enable Mode </t>
  </si>
  <si>
    <t>mhub413.1-3</t>
  </si>
  <si>
    <t>KRK-GMHUB-071 KRK-GMHUB-254 KRK-GMHUB-102</t>
  </si>
  <si>
    <t>MMUTCL2 - ATCL2: Console IOV Support</t>
  </si>
  <si>
    <t>ATHUB Pseudo-IOV - Basic using MM client</t>
  </si>
  <si>
    <t>mhub414.1</t>
  </si>
  <si>
    <t xml:space="preserve">-vm -atc -tc_DisableIommuHostTranslation=0 -tc_EnableConsoleIovMode </t>
  </si>
  <si>
    <t>pmhub414.1</t>
  </si>
  <si>
    <t>-vm -atc -tc_DisableIommuHostTranslation=0 -tc_EnableConsoleIovMode -UseSem -tcoreptloc=1</t>
  </si>
  <si>
    <t>pnmhub414.1</t>
  </si>
  <si>
    <t>-vm -atc -tc_DisableIommuHostTranslation=0 -tc_EnableConsoleIovMode -UseSem -tcoreptloc=1 -tc_EnableNonIdentityMapping</t>
  </si>
  <si>
    <t>ATHUB Pseudo-IOV - VMID-&gt;VFID using MM client</t>
  </si>
  <si>
    <t>mhub414.2</t>
  </si>
  <si>
    <t>pmhub414.2</t>
  </si>
  <si>
    <t>pnmhub414.2</t>
  </si>
  <si>
    <t>KRK-GMHUB-071 KRK-GMHUB-254 KRK-GMHUB-255 KRK-GMHUB-102</t>
  </si>
  <si>
    <t>ATHUB Pseudo-IOV - Enabled and no PASID using MM client</t>
  </si>
  <si>
    <t>mhub414.3</t>
  </si>
  <si>
    <t>pmhub414.3</t>
  </si>
  <si>
    <t>pnmhub414.3</t>
  </si>
  <si>
    <t>KRK-GMHUB-071 KRK-GMHUB-196 KRK-GMHUB-254 KRK-GMHUB-255 KRK-GMHUB-256 KRK-GMHUB-102</t>
  </si>
  <si>
    <t>ATHUB Pseudo-IOV - IOMMU INV when enabled using MM client</t>
  </si>
  <si>
    <t>mhub414.4</t>
  </si>
  <si>
    <t>pmhub414.4</t>
  </si>
  <si>
    <t>pnmhub414.4</t>
  </si>
  <si>
    <t>ATHUB Pseudo-IOV - Basic using GC client</t>
  </si>
  <si>
    <t>mhub414.5</t>
  </si>
  <si>
    <t>-vm -atc -tc_DisableIommuHostTranslation=0 -tc_EnableConsoleIovMode</t>
  </si>
  <si>
    <t>pmhub414.5</t>
  </si>
  <si>
    <t>-vm -atc -tc_DisableIommuHostTranslation=0 -tc_EnableConsoleIovMode -tcoreptloc=1</t>
  </si>
  <si>
    <t>pnmhub414.5</t>
  </si>
  <si>
    <t>-vm -atc -tc_DisableIommuHostTranslation=0 -tc_EnableConsoleIovMode -tcoreptloc=1 -tc_EnableNonIdentityMapping</t>
  </si>
  <si>
    <t>ATHUB Pseudo-IOV - VMID-&gt;VFID using GC client</t>
  </si>
  <si>
    <t>mhub414.6</t>
  </si>
  <si>
    <t>pmhub414.6</t>
  </si>
  <si>
    <t>pnmhub414.6</t>
  </si>
  <si>
    <t>dmhub414.6</t>
  </si>
  <si>
    <t>-vm -atc -tc_DisableIommuHostTranslation=0 -tc_EnableConsoleIovMode -non_zero_vmid=2 -mhub_non_tc_pt_depth=[1-4]</t>
  </si>
  <si>
    <t>ATHUB Pseudo-IOV - Enabled and no PASID using GC client</t>
  </si>
  <si>
    <t>mhub414.7</t>
  </si>
  <si>
    <t>pmhub414.7</t>
  </si>
  <si>
    <t>pnmhub414.7</t>
  </si>
  <si>
    <t>ATHUB Pseudo-IOV - IOMMU INV when enabled using GC client</t>
  </si>
  <si>
    <t>mhub414.8</t>
  </si>
  <si>
    <t>pmhub414.8</t>
  </si>
  <si>
    <t>pnmhub414.8</t>
  </si>
  <si>
    <t>KRK-GMHUB-071 KRK-GMHUB-196 KRK-GMHUB-102</t>
  </si>
  <si>
    <t>ATHUB Pseudo-IOV - Basic using MM client - non-zero vmid</t>
  </si>
  <si>
    <t>mhub414.101</t>
  </si>
  <si>
    <t>pmhub414.101</t>
  </si>
  <si>
    <t>pnmhub414.101</t>
  </si>
  <si>
    <t>dmhub414.101</t>
  </si>
  <si>
    <t>-vm -atc -tc_DisableIommuHostTranslation=0 -tc_EnableConsoleIovMode -UseSem -non_zero_vmid=2 -mhub_non_tc_pt_depth=[1-4]</t>
  </si>
  <si>
    <t>mhub414.102</t>
  </si>
  <si>
    <t>pmhub414.102</t>
  </si>
  <si>
    <t>pnmhub414.102</t>
  </si>
  <si>
    <t>mhub414.103</t>
  </si>
  <si>
    <t>pmhub414.103</t>
  </si>
  <si>
    <t>pnmhub414.103</t>
  </si>
  <si>
    <t>KRK-GMHUB-071 KRK-GMHUB-196 KRK-GMHUB-256 KRK-GMHUB-102</t>
  </si>
  <si>
    <t>ATHUB Pseudo-IOV - IOMMU INV when enabled using MM client - non-zero vmid</t>
  </si>
  <si>
    <t>mhub414.104</t>
  </si>
  <si>
    <t>pmhub414.104</t>
  </si>
  <si>
    <t>pnmhub414.104</t>
  </si>
  <si>
    <t>ATHUB Pseudo-IOV - Basic using GC client - non-zero vmid</t>
  </si>
  <si>
    <t>mhub414.105</t>
  </si>
  <si>
    <t>pmhub414.105</t>
  </si>
  <si>
    <t>pnmhub414.105</t>
  </si>
  <si>
    <t>dmhub414.105</t>
  </si>
  <si>
    <t>mhub414.106</t>
  </si>
  <si>
    <t>pmhub414.106</t>
  </si>
  <si>
    <t>pnmhub414.106</t>
  </si>
  <si>
    <t>mhub414.107</t>
  </si>
  <si>
    <t>pmhub414.107</t>
  </si>
  <si>
    <t>pnmhub414.107</t>
  </si>
  <si>
    <t>ATHUB Pseudo-IOV - IOMMU INV when enabled using GC client - non-zero vmid</t>
  </si>
  <si>
    <t>mhub414.108</t>
  </si>
  <si>
    <t>pmhub414.108</t>
  </si>
  <si>
    <t>pnmhub414.108</t>
  </si>
  <si>
    <t>KRK-GMHUB-071 KRK-GMHUB-102 KRK-GMHUB-104 KRK-GMHUB-196 KRK-GMHUB-198</t>
  </si>
  <si>
    <t>GFXHUB UTCL2-ATCL2 Snoop Override</t>
  </si>
  <si>
    <t>mhub416.1-4</t>
  </si>
  <si>
    <t>ATHUB response to RdRspStatus!=OKAY from nBIF</t>
  </si>
  <si>
    <t>ATHUB NBIF SLVERR Test</t>
  </si>
  <si>
    <t>mhub418.1</t>
  </si>
  <si>
    <t>-vm -atc -mhub_force_atcl2_req_8_ptes=1</t>
  </si>
  <si>
    <t>KRK-GMHUB-062</t>
  </si>
  <si>
    <t>MMUTCL2 - VML2: CAM/filter to avoid duplicate table-walk reads</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</si>
  <si>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</si>
  <si>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</si>
  <si>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</si>
  <si>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</si>
  <si>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</si>
  <si>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</si>
  <si>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</si>
  <si>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</si>
  <si>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</si>
  <si>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</si>
  <si>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</si>
  <si>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</si>
  <si>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</si>
  <si>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r>
      <t>SDMA/CPDMA/VCN SYS resource, invalidation with matching GPA addresses, ATC L2 invalidation from db32 scrip (</t>
    </r>
    <r>
      <rPr>
        <b/>
        <sz val="11"/>
        <color theme="1"/>
        <rFont val="Calibri"/>
        <family val="2"/>
        <scheme val="minor"/>
      </rPr>
      <t>no test variation in Arden</t>
    </r>
    <r>
      <rPr>
        <sz val="11"/>
        <color theme="1"/>
        <rFont val="Calibri"/>
        <family val="2"/>
        <scheme val="minor"/>
      </rPr>
      <t>)</t>
    </r>
  </si>
  <si>
    <t>mhub407.114</t>
  </si>
  <si>
    <t>[ECO] [MR-81] Non-zero VMID not functional for GC console-IOV mode</t>
  </si>
  <si>
    <r>
      <t>PseudoIOV Address Translation- Basic Console IOV mode using MMHUB/GFXHUB client with non-zero vmid with VMID=VFID mapping (</t>
    </r>
    <r>
      <rPr>
        <b/>
        <sz val="11"/>
        <color theme="1"/>
        <rFont val="Calibri"/>
        <family val="2"/>
        <scheme val="minor"/>
      </rPr>
      <t>no test variation in Arden</t>
    </r>
    <r>
      <rPr>
        <sz val="11"/>
        <color theme="1"/>
        <rFont val="Calibri"/>
        <family val="2"/>
        <scheme val="minor"/>
      </rPr>
      <t>)</t>
    </r>
  </si>
  <si>
    <t xml:space="preserve">-vm -atc -tc_DisableIommuHostTranslation=0 -tc_EnableConsoleIovMode -tcoreptloc=1 </t>
  </si>
  <si>
    <t>[ECO] MMUTCL2 - ATCL2: U-bit support</t>
  </si>
  <si>
    <t>MMHUB ATC L2 Cache Hits/Misses - U-bit</t>
  </si>
  <si>
    <t>mhub037.5</t>
  </si>
  <si>
    <t>KRK-GMHUB-197 KRK-GMHUB-103</t>
  </si>
  <si>
    <t>[ECO] GCUTCL2 - ATCL2: U-bit support</t>
  </si>
  <si>
    <t>GFXHUB ATC L2 Cache Hits/Misses - U-bit</t>
  </si>
  <si>
    <t>mhub237.5</t>
  </si>
  <si>
    <t>Charlie</t>
  </si>
  <si>
    <t>ATHUB RAS Datapath Parity with Read/Write access (P3)</t>
  </si>
  <si>
    <t>mhub611.1,5</t>
  </si>
  <si>
    <t>mhub611.2,4,6</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</si>
  <si>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</si>
  <si>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</si>
  <si>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</si>
  <si>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</si>
  <si>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</si>
  <si>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</si>
  <si>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</si>
  <si>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</si>
  <si>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</si>
  <si>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mhub66.1,3</t>
  </si>
  <si>
    <t>ATC L2 cache hits and misses tests</t>
  </si>
  <si>
    <t>mhub37.1,3</t>
  </si>
  <si>
    <t>mhub237.1,3</t>
  </si>
  <si>
    <t>-vm -atc -tc_DisableIommuHostTranslation=0 -tc_ClearDteIotlb  -pm4rb=fb</t>
  </si>
  <si>
    <t>mhub38.1,3</t>
  </si>
  <si>
    <t>-vm -atc -tc_DisableIommuHostTranslation=0 -tc_ClearDteIotlb -pm4rb=fb</t>
  </si>
  <si>
    <t>mhub39.1-4,9-12</t>
  </si>
  <si>
    <t>VM tests</t>
  </si>
  <si>
    <t>mhub2.1-15</t>
  </si>
  <si>
    <t>mhub53.1</t>
  </si>
  <si>
    <t>mhub54.1,3</t>
  </si>
  <si>
    <t>mhub254.1,3</t>
  </si>
  <si>
    <t>KRK-GMHUB-182</t>
  </si>
  <si>
    <t>GFXHUB Check is local</t>
  </si>
  <si>
    <t>mhub348.1-4</t>
  </si>
  <si>
    <t>Performance of Virtual FIFOs in GPUVML2</t>
  </si>
  <si>
    <t>Performance of Virtual FIFOs in ATCL2</t>
  </si>
  <si>
    <t>KRK-GMHUB-009</t>
  </si>
  <si>
    <t>“GPU Snoop” aka ‘gcc’ support in DAGB"</t>
  </si>
  <si>
    <t xml:space="preserve">“GPU Snoop” aka ‘gcc’ support in DAGB" </t>
  </si>
  <si>
    <t>mhub415.1-5, 11-15, 21-25, 31-35</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</si>
  <si>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</si>
  <si>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</si>
  <si>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</si>
  <si>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</si>
  <si>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</si>
  <si>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</si>
  <si>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</si>
  <si>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</si>
  <si>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</si>
  <si>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</si>
  <si>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</si>
  <si>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</si>
  <si>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Aperture Fault on L2 Return Test</t>
  </si>
  <si>
    <t>mhub162</t>
  </si>
  <si>
    <t>MMHUB:MMUTCL2:VML2 - GPUVM fault status register</t>
  </si>
  <si>
    <t>MMHUB VML2 fault status register PRT field</t>
  </si>
  <si>
    <t>mhubxxxx</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</si>
  <si>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</si>
  <si>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</si>
  <si>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</si>
  <si>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</si>
  <si>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</si>
  <si>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</si>
  <si>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</si>
  <si>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</si>
  <si>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</si>
  <si>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 xml:space="preserve">MMHUB:MMUTCL2:VML2 - Common PSP-only default page </t>
  </si>
  <si>
    <t>MMHUB Common PSP-only default page test</t>
  </si>
  <si>
    <t>mhub091.7-13</t>
  </si>
  <si>
    <t>• Refer to TP section 4.3.1.3 Common PSP-only Default Page</t>
  </si>
  <si>
    <t>mhub272.3</t>
  </si>
  <si>
    <t>KRK-GMHUB-146 KRK-GMHUB-053</t>
  </si>
  <si>
    <t>mhub291.1-4</t>
  </si>
  <si>
    <t>mhub291.5-6</t>
  </si>
  <si>
    <t xml:space="preserve">MMHUB:MMUTCL2:VML2 - DWB Scatter/Gather </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</si>
  <si>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</si>
  <si>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</si>
  <si>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</si>
  <si>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</si>
  <si>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</si>
  <si>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</si>
  <si>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</si>
  <si>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</si>
  <si>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</si>
  <si>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mhub087</t>
  </si>
  <si>
    <t>KRK-GMHUB-044 KRK-GMHUB-064 KRK-GMHUB-070 KRK-GMHUB-106 KRK-GMHUB-200</t>
  </si>
  <si>
    <t>Invalidation Storm Test</t>
  </si>
  <si>
    <t>Ashraf</t>
  </si>
  <si>
    <t>mhub50.1-4</t>
  </si>
  <si>
    <t>KRK-GMHUB-004 KRK-GMHUB-242</t>
  </si>
  <si>
    <t>MMHUB:SOC - OpenCL Platform Atomics</t>
  </si>
  <si>
    <t>vcn005.1-4</t>
  </si>
  <si>
    <t>KRK-GMHUB-054 KRK-GMHUB-055</t>
  </si>
  <si>
    <t>KRK-GMHUB-059</t>
  </si>
  <si>
    <t>P2</t>
  </si>
  <si>
    <t>KRK-GMHUB-119</t>
  </si>
  <si>
    <t>KRK-GMHUB-154</t>
  </si>
  <si>
    <t>GFXHUB:GCUTCL2:VML2 - TLBi Support - Invalidation rates of  1TB VA, 32M invalidates/sec</t>
  </si>
  <si>
    <t>This feature is covered in OSS Diag tracker</t>
  </si>
  <si>
    <t>sdma86.1-14,87.1,91.1</t>
  </si>
  <si>
    <t>This feature is covered in GFX Diag tracker</t>
  </si>
  <si>
    <t>utci2.1</t>
  </si>
  <si>
    <t xml:space="preserve"> KRK-GMHUB-157 KRK-GMHUB-158 </t>
  </si>
  <si>
    <t>GFXHUB:GCUTCL2:VML2 - Full GCR Support</t>
  </si>
  <si>
    <t>utci7.1-6</t>
  </si>
  <si>
    <t>GFXHUB:GCUTCL2:VML2 - Trusted Memory Zone (TMZ) Secure Filtering</t>
  </si>
  <si>
    <t>utci6.1-2</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</si>
  <si>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</si>
  <si>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</si>
  <si>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</si>
  <si>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</si>
  <si>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</si>
  <si>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</si>
  <si>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</si>
  <si>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</si>
  <si>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</si>
  <si>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</si>
  <si>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</si>
  <si>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</si>
  <si>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</si>
  <si>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</si>
  <si>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</si>
  <si>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</si>
  <si>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</si>
  <si>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</si>
  <si>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</si>
  <si>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</si>
  <si>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</si>
  <si>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</si>
  <si>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</si>
  <si>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</si>
  <si>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</si>
  <si>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</si>
  <si>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</si>
  <si>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</si>
  <si>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</si>
  <si>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</si>
  <si>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</si>
  <si>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</si>
  <si>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</si>
  <si>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</si>
  <si>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</si>
  <si>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</si>
  <si>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</si>
  <si>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</si>
  <si>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</si>
  <si>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</si>
  <si>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</si>
  <si>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</si>
  <si>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</si>
  <si>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</si>
  <si>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</si>
  <si>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</si>
  <si>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</si>
  <si>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</si>
  <si>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</si>
  <si>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</si>
  <si>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</si>
  <si>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</si>
  <si>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</si>
  <si>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</si>
  <si>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</si>
  <si>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</si>
  <si>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</si>
  <si>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</si>
  <si>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</si>
  <si>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</si>
  <si>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</si>
  <si>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</si>
  <si>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</si>
  <si>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</si>
  <si>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</si>
  <si>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</si>
  <si>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</si>
  <si>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</si>
  <si>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</si>
  <si>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</si>
  <si>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</si>
  <si>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</si>
  <si>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</si>
  <si>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</si>
  <si>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</si>
  <si>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</si>
  <si>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</si>
  <si>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</si>
  <si>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</si>
  <si>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</si>
  <si>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</si>
  <si>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</si>
  <si>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</si>
  <si>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</si>
  <si>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</si>
  <si>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</si>
  <si>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</si>
  <si>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</si>
  <si>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</si>
  <si>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</si>
  <si>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</si>
  <si>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</si>
  <si>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</si>
  <si>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</si>
  <si>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</si>
  <si>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</si>
  <si>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</si>
  <si>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</si>
  <si>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</si>
  <si>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</si>
  <si>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</si>
  <si>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</si>
  <si>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</si>
  <si>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</si>
  <si>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</si>
  <si>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</si>
  <si>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</si>
  <si>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</si>
  <si>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</si>
  <si>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</si>
  <si>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</si>
  <si>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</si>
  <si>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</si>
  <si>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</si>
  <si>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</si>
  <si>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</si>
  <si>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</si>
  <si>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</si>
  <si>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</si>
  <si>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</si>
  <si>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</si>
  <si>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</si>
  <si>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</si>
  <si>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</si>
  <si>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</si>
  <si>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</si>
  <si>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</si>
  <si>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</si>
  <si>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</si>
  <si>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</si>
  <si>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</si>
  <si>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</si>
  <si>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</si>
  <si>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</si>
  <si>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</si>
  <si>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</si>
  <si>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</si>
  <si>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</si>
  <si>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</si>
  <si>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</si>
  <si>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</si>
  <si>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</si>
  <si>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</si>
  <si>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</si>
  <si>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</si>
  <si>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</si>
  <si>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</si>
  <si>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</si>
  <si>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</si>
  <si>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</si>
  <si>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</si>
  <si>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</si>
  <si>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</si>
  <si>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</si>
  <si>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</si>
  <si>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</si>
  <si>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</si>
  <si>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</si>
  <si>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</si>
  <si>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</si>
  <si>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</si>
  <si>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</si>
  <si>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</si>
  <si>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</si>
  <si>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</si>
  <si>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</si>
  <si>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</si>
  <si>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</si>
  <si>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</si>
  <si>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</si>
  <si>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</si>
  <si>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</si>
  <si>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</si>
  <si>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</si>
  <si>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</si>
  <si>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</si>
  <si>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</si>
  <si>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</si>
  <si>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</si>
  <si>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</si>
  <si>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</si>
  <si>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</si>
  <si>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</si>
  <si>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</si>
  <si>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</si>
  <si>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</si>
  <si>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</si>
  <si>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</si>
  <si>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</si>
  <si>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</si>
  <si>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</si>
  <si>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</si>
  <si>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</si>
  <si>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</si>
  <si>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</si>
  <si>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</si>
  <si>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</si>
  <si>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</si>
  <si>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</si>
  <si>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</si>
  <si>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</si>
  <si>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</si>
  <si>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</si>
  <si>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</si>
  <si>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</si>
  <si>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</si>
  <si>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</si>
  <si>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</si>
  <si>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</si>
  <si>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</si>
  <si>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</si>
  <si>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</si>
  <si>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</si>
  <si>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</si>
  <si>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</si>
  <si>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</si>
  <si>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</si>
  <si>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</si>
  <si>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</si>
  <si>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</si>
  <si>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</si>
  <si>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</si>
  <si>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</si>
  <si>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</si>
  <si>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</si>
  <si>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</si>
  <si>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</si>
  <si>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</si>
  <si>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</si>
  <si>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</si>
  <si>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</si>
  <si>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</si>
  <si>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</si>
  <si>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</si>
  <si>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</si>
  <si>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</si>
  <si>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</si>
  <si>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</si>
  <si>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</si>
  <si>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</si>
  <si>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</si>
  <si>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</si>
  <si>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</si>
  <si>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</si>
  <si>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</si>
  <si>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</si>
  <si>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</si>
  <si>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</si>
  <si>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</si>
  <si>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</si>
  <si>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</si>
  <si>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</si>
  <si>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</si>
  <si>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</si>
  <si>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</si>
  <si>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</si>
  <si>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</si>
  <si>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</si>
  <si>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</si>
  <si>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</si>
  <si>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</si>
  <si>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</si>
  <si>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</si>
  <si>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</si>
  <si>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</si>
  <si>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</si>
  <si>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</si>
  <si>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</si>
  <si>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</si>
  <si>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</si>
  <si>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</si>
  <si>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</si>
  <si>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</si>
  <si>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</si>
  <si>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</si>
  <si>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</si>
  <si>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</si>
  <si>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</si>
  <si>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</si>
  <si>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</si>
  <si>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</si>
  <si>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</si>
  <si>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</si>
  <si>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</si>
  <si>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</si>
  <si>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</si>
  <si>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</si>
  <si>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</si>
  <si>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</si>
  <si>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</si>
  <si>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</si>
  <si>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</si>
  <si>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</si>
  <si>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</si>
  <si>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</si>
  <si>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</si>
  <si>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</si>
  <si>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</si>
  <si>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</si>
  <si>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</si>
  <si>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</si>
  <si>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</si>
  <si>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</si>
  <si>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</si>
  <si>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</si>
  <si>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</si>
  <si>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</si>
  <si>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</si>
  <si>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</si>
  <si>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</si>
  <si>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</si>
  <si>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</si>
  <si>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</si>
  <si>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</si>
  <si>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</si>
  <si>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</si>
  <si>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</si>
  <si>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</si>
  <si>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</si>
  <si>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</si>
  <si>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</si>
  <si>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</si>
  <si>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</si>
  <si>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</si>
  <si>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</si>
  <si>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</si>
  <si>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</si>
  <si>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</si>
  <si>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</si>
  <si>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</si>
  <si>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</si>
  <si>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</si>
  <si>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</si>
  <si>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</si>
  <si>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</si>
  <si>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</si>
  <si>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</si>
  <si>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</si>
  <si>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</si>
  <si>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</si>
  <si>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</si>
  <si>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</si>
  <si>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</si>
  <si>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</si>
  <si>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</si>
  <si>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</si>
  <si>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</si>
  <si>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</si>
  <si>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</si>
  <si>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</si>
  <si>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</si>
  <si>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</si>
  <si>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</si>
  <si>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</si>
  <si>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</si>
  <si>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</si>
  <si>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</si>
  <si>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</si>
  <si>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</si>
  <si>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</si>
  <si>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</si>
  <si>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</si>
  <si>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</si>
  <si>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</si>
  <si>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</si>
  <si>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</si>
  <si>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</si>
  <si>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</si>
  <si>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</si>
  <si>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</si>
  <si>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</si>
  <si>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</si>
  <si>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</si>
  <si>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</si>
  <si>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</si>
  <si>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</si>
  <si>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</si>
  <si>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</si>
  <si>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</si>
  <si>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</si>
  <si>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</si>
  <si>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</si>
  <si>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</si>
  <si>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</si>
  <si>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</si>
  <si>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</si>
  <si>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</si>
  <si>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</si>
  <si>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</si>
  <si>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</si>
  <si>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</si>
  <si>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</si>
  <si>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</si>
  <si>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</si>
  <si>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</si>
  <si>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</si>
  <si>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</si>
  <si>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</si>
  <si>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</si>
  <si>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</si>
  <si>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</si>
  <si>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</si>
  <si>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</si>
  <si>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</si>
  <si>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</si>
  <si>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</si>
  <si>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</si>
  <si>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</si>
  <si>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</si>
  <si>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</si>
  <si>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</si>
  <si>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</si>
  <si>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</si>
  <si>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</si>
  <si>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</si>
  <si>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</si>
  <si>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</si>
  <si>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</si>
  <si>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</si>
  <si>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</si>
  <si>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</si>
  <si>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</si>
  <si>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</si>
  <si>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</si>
  <si>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</si>
  <si>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</si>
  <si>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</si>
  <si>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</si>
  <si>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</si>
  <si>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</si>
  <si>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</si>
  <si>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</si>
  <si>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</si>
  <si>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</si>
  <si>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</si>
  <si>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</si>
  <si>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</si>
  <si>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</si>
  <si>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</si>
  <si>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</si>
  <si>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</si>
  <si>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</si>
  <si>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</si>
  <si>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</si>
  <si>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</si>
  <si>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</si>
  <si>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</si>
  <si>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</si>
  <si>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</si>
  <si>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</si>
  <si>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</si>
  <si>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</si>
  <si>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</si>
  <si>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</si>
  <si>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</si>
  <si>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</si>
  <si>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</si>
  <si>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</si>
  <si>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</si>
  <si>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</si>
  <si>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</si>
  <si>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</si>
  <si>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</si>
  <si>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</si>
  <si>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</si>
  <si>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</si>
  <si>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</si>
  <si>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</si>
  <si>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</si>
  <si>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</si>
  <si>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</si>
  <si>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</si>
  <si>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</si>
  <si>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</si>
  <si>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</si>
  <si>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</si>
  <si>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</si>
  <si>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</si>
  <si>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</si>
  <si>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</si>
  <si>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</si>
  <si>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</si>
  <si>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</si>
  <si>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</si>
  <si>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</si>
  <si>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</si>
  <si>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</si>
  <si>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</si>
  <si>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</si>
  <si>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</si>
  <si>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</si>
  <si>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</si>
  <si>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</si>
  <si>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</si>
  <si>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</si>
  <si>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</si>
  <si>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</si>
  <si>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</si>
  <si>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</si>
  <si>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</si>
  <si>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</si>
  <si>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</si>
  <si>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</si>
  <si>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</si>
  <si>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</si>
  <si>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</si>
  <si>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</si>
  <si>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</si>
  <si>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</si>
  <si>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</si>
  <si>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</si>
  <si>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</si>
  <si>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</si>
  <si>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</si>
  <si>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</si>
  <si>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</si>
  <si>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</si>
  <si>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</si>
  <si>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</si>
  <si>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</si>
  <si>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</si>
  <si>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</si>
  <si>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</si>
  <si>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</si>
  <si>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</si>
  <si>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</si>
  <si>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</si>
  <si>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</si>
  <si>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</si>
  <si>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</si>
  <si>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</si>
  <si>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</si>
  <si>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</si>
  <si>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</si>
  <si>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</si>
  <si>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</si>
  <si>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</si>
  <si>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</si>
  <si>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</si>
  <si>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</si>
  <si>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</si>
  <si>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</si>
  <si>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</si>
  <si>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</si>
  <si>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</si>
  <si>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</si>
  <si>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</si>
  <si>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</si>
  <si>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</si>
  <si>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</si>
  <si>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</si>
  <si>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</si>
  <si>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</si>
  <si>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</si>
  <si>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</si>
  <si>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</si>
  <si>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</si>
  <si>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</si>
  <si>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</si>
  <si>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</si>
  <si>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</si>
  <si>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</si>
  <si>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</si>
  <si>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</si>
  <si>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</si>
  <si>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</si>
  <si>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</si>
  <si>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</si>
  <si>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</si>
  <si>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</si>
  <si>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</si>
  <si>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</si>
  <si>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</si>
  <si>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</si>
  <si>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</si>
  <si>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</si>
  <si>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</si>
  <si>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</si>
  <si>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</si>
  <si>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</si>
  <si>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</si>
  <si>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</si>
  <si>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</si>
  <si>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</si>
  <si>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</si>
  <si>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</si>
  <si>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</si>
  <si>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</si>
  <si>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</si>
  <si>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</si>
  <si>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</si>
  <si>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</si>
  <si>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</si>
  <si>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</si>
  <si>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</si>
  <si>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</si>
  <si>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</si>
  <si>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</si>
  <si>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</si>
  <si>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</si>
  <si>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</si>
  <si>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</si>
  <si>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</si>
  <si>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</si>
  <si>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</si>
  <si>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</si>
  <si>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</si>
  <si>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</si>
  <si>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</si>
  <si>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</si>
  <si>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</si>
  <si>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</si>
  <si>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</si>
  <si>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</si>
  <si>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</si>
  <si>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</si>
  <si>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</si>
  <si>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</si>
  <si>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</si>
  <si>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</si>
  <si>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</si>
  <si>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</si>
  <si>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</si>
  <si>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</si>
  <si>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</si>
  <si>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</si>
  <si>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</si>
  <si>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</si>
  <si>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</si>
  <si>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</si>
  <si>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</si>
  <si>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</si>
  <si>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</si>
  <si>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</si>
  <si>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</si>
  <si>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</si>
  <si>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</si>
  <si>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</si>
  <si>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</si>
  <si>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</si>
  <si>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</si>
  <si>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</si>
  <si>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</si>
  <si>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</si>
  <si>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</si>
  <si>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</si>
  <si>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</si>
  <si>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</si>
  <si>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</si>
  <si>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</si>
  <si>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</si>
  <si>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</si>
  <si>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</si>
  <si>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</si>
  <si>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</si>
  <si>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</si>
  <si>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</si>
  <si>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</si>
  <si>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</si>
  <si>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</si>
  <si>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</si>
  <si>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</si>
  <si>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</si>
  <si>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</si>
  <si>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</si>
  <si>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</si>
  <si>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</si>
  <si>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</si>
  <si>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</si>
  <si>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</si>
  <si>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</si>
  <si>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</si>
  <si>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mhub030.1-3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</si>
</sst>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b/>
      <u/>
      <sz val="11"/>
      <color theme="1"/>
      <name val="Calibri"/>
      <family val="2"/>
      <scheme val="minor"/>
    </font>
    <font>
      <sz val="9"/>
      <color rgb="FF000000"/>
      <name val="Segoe U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79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66" fontId="0" fillId="33" borderId="17" xfId="0" applyNumberFormat="1" applyFill="1" applyBorder="1" applyAlignment="1">
      <alignment horizontal="center" vertical="center"/>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xf>
    <xf numFmtId="0" fontId="18" fillId="52" borderId="10" xfId="0" applyFont="1" applyFill="1" applyBorder="1" applyAlignment="1">
      <alignment horizontal="center" vertical="center" wrapText="1"/>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0" xfId="0" applyFill="1" applyBorder="1" applyAlignment="1" applyProtection="1">
      <alignment vertical="center" wrapText="1"/>
      <protection locked="0"/>
    </xf>
    <xf numFmtId="0" fontId="0" fillId="52" borderId="17" xfId="0" applyFill="1" applyBorder="1" applyAlignment="1">
      <alignment horizontal="center" vertical="center" wrapText="1"/>
    </xf>
    <xf numFmtId="0" fontId="0" fillId="52" borderId="17" xfId="0" applyFill="1" applyBorder="1" applyAlignment="1">
      <alignment horizontal="left" vertical="center" wrapText="1"/>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33" borderId="17" xfId="0" applyFill="1" applyBorder="1" applyAlignment="1">
      <alignment horizontal="left" vertical="center"/>
    </xf>
    <xf numFmtId="0" fontId="0" fillId="33" borderId="10" xfId="0" applyFill="1" applyBorder="1" applyAlignment="1">
      <alignment horizontal="left" vertical="center"/>
    </xf>
    <xf numFmtId="0" fontId="0" fillId="52" borderId="13" xfId="0" applyFill="1" applyBorder="1" applyAlignment="1">
      <alignment horizontal="left" vertical="center"/>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0" fillId="52" borderId="10" xfId="0" applyFill="1" applyBorder="1" applyAlignment="1">
      <alignment horizontal="left" vertical="center"/>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0" fontId="1" fillId="52" borderId="10" xfId="45" applyFill="1" applyBorder="1" applyAlignment="1">
      <alignment horizontal="left" vertical="center" wrapText="1"/>
    </xf>
    <xf numFmtId="0" fontId="1" fillId="52" borderId="10" xfId="45" applyFill="1" applyBorder="1" applyAlignment="1">
      <alignment horizontal="left" vertical="center"/>
    </xf>
    <xf numFmtId="0" fontId="0" fillId="52" borderId="10" xfId="45" applyFont="1" applyFill="1" applyBorder="1" applyAlignment="1">
      <alignment horizontal="left" vertical="center" wrapText="1"/>
    </xf>
    <xf numFmtId="0" fontId="44" fillId="52" borderId="10" xfId="0" applyFont="1" applyFill="1" applyBorder="1" applyAlignment="1">
      <alignment horizontal="left" vertical="center" wrapText="1"/>
    </xf>
    <xf numFmtId="0" fontId="0" fillId="52" borderId="13" xfId="0" applyFill="1" applyBorder="1" applyAlignment="1">
      <alignment horizontal="left" vertical="center" wrapText="1"/>
    </xf>
    <xf numFmtId="9" fontId="18" fillId="52" borderId="26" xfId="0" applyNumberFormat="1" applyFont="1" applyFill="1" applyBorder="1" applyAlignment="1">
      <alignment horizontal="center" vertical="center"/>
    </xf>
    <xf numFmtId="49" fontId="0" fillId="52" borderId="10" xfId="0" applyNumberFormat="1" applyFill="1" applyBorder="1" applyAlignment="1">
      <alignment horizontal="left" vertical="center"/>
    </xf>
    <xf numFmtId="49" fontId="18" fillId="52" borderId="10" xfId="0" applyNumberFormat="1" applyFont="1" applyFill="1" applyBorder="1" applyAlignment="1">
      <alignment horizontal="left" vertical="center"/>
    </xf>
    <xf numFmtId="49" fontId="18" fillId="52" borderId="10" xfId="45" applyNumberFormat="1" applyFont="1" applyFill="1" applyBorder="1" applyAlignment="1">
      <alignment horizontal="left" vertical="center" wrapText="1"/>
    </xf>
    <xf numFmtId="49" fontId="1" fillId="52" borderId="10" xfId="45" applyNumberFormat="1" applyFill="1" applyBorder="1" applyAlignment="1">
      <alignment horizontal="left" vertical="center" wrapText="1"/>
    </xf>
    <xf numFmtId="49" fontId="18" fillId="52" borderId="10" xfId="45" applyNumberFormat="1" applyFont="1" applyFill="1" applyBorder="1" applyAlignment="1">
      <alignment horizontal="left" vertical="center"/>
    </xf>
    <xf numFmtId="0" fontId="0" fillId="52" borderId="10" xfId="0" quotePrefix="1" applyFill="1" applyBorder="1" applyAlignment="1">
      <alignment horizontal="left" vertical="center" wrapText="1"/>
    </xf>
    <xf numFmtId="49" fontId="1" fillId="52" borderId="10" xfId="45" applyNumberFormat="1" applyFill="1" applyBorder="1" applyAlignment="1">
      <alignment horizontal="left" vertical="center"/>
    </xf>
    <xf numFmtId="49" fontId="45" fillId="52" borderId="10" xfId="0" applyNumberFormat="1" applyFont="1" applyFill="1" applyBorder="1" applyAlignment="1">
      <alignment horizontal="left" vertical="center" wrapText="1"/>
    </xf>
    <xf numFmtId="0" fontId="45"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4" fillId="52" borderId="10" xfId="0" applyFont="1" applyFill="1" applyBorder="1" applyAlignment="1">
      <alignment horizontal="left" vertical="center"/>
    </xf>
    <xf numFmtId="0" fontId="45" fillId="52" borderId="10" xfId="0" applyFont="1" applyFill="1" applyBorder="1" applyAlignment="1">
      <alignment horizontal="center" vertical="center" wrapText="1"/>
    </xf>
    <xf numFmtId="0" fontId="0" fillId="52" borderId="17" xfId="0" applyFill="1" applyBorder="1" applyAlignment="1">
      <alignment horizontal="left" vertical="center"/>
    </xf>
    <xf numFmtId="49" fontId="0" fillId="52" borderId="17" xfId="0" applyNumberFormat="1" applyFill="1" applyBorder="1" applyAlignment="1">
      <alignment horizontal="left" vertical="center"/>
    </xf>
    <xf numFmtId="0" fontId="44" fillId="52" borderId="13" xfId="0" applyFont="1" applyFill="1" applyBorder="1" applyAlignment="1">
      <alignment horizontal="left" vertical="center" wrapText="1"/>
    </xf>
    <xf numFmtId="0" fontId="19" fillId="43" borderId="11" xfId="0" applyFont="1" applyFill="1" applyBorder="1" applyAlignment="1" applyProtection="1">
      <alignment horizontal="left" vertical="center" wrapText="1"/>
      <protection locked="0"/>
    </xf>
    <xf numFmtId="0" fontId="19" fillId="53" borderId="12" xfId="0" applyFont="1" applyFill="1" applyBorder="1" applyAlignment="1" applyProtection="1">
      <alignment horizontal="left" vertical="center"/>
      <protection locked="0"/>
    </xf>
    <xf numFmtId="0" fontId="19"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protection locked="0"/>
    </xf>
    <xf numFmtId="9" fontId="18" fillId="42" borderId="39" xfId="42" applyFont="1" applyFill="1" applyBorder="1" applyAlignment="1">
      <alignment horizontal="center" vertical="center"/>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11" xfId="0" applyFont="1" applyFill="1" applyBorder="1" applyAlignment="1" applyProtection="1">
      <alignment horizontal="left" vertical="center"/>
      <protection locked="0"/>
    </xf>
    <xf numFmtId="9" fontId="18" fillId="52" borderId="31" xfId="0" applyNumberFormat="1" applyFon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19" fillId="53" borderId="68"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0" fillId="52" borderId="10" xfId="0" applyFill="1" applyBorder="1" applyAlignment="1" applyProtection="1">
      <alignment vertical="center" wrapText="1"/>
      <protection locked="0"/>
    </xf>
    <xf numFmtId="0" fontId="44" fillId="52" borderId="10" xfId="0" applyFont="1" applyFill="1" applyBorder="1" applyAlignment="1">
      <alignment horizontal="center" vertical="center" wrapText="1"/>
    </xf>
    <xf numFmtId="0" fontId="44" fillId="52" borderId="10" xfId="0" applyFont="1" applyFill="1" applyBorder="1" applyAlignment="1" applyProtection="1">
      <alignment vertical="center"/>
      <protection locked="0"/>
    </xf>
    <xf numFmtId="0" fontId="44"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9" fontId="45" fillId="52" borderId="26" xfId="0" applyNumberFormat="1" applyFont="1" applyFill="1" applyBorder="1" applyAlignment="1">
      <alignment horizontal="center" vertical="center"/>
    </xf>
    <xf numFmtId="9" fontId="45" fillId="42" borderId="55" xfId="42" applyFont="1" applyFill="1" applyBorder="1" applyAlignment="1">
      <alignment horizontal="center" vertical="center"/>
    </xf>
    <xf numFmtId="0" fontId="44" fillId="52" borderId="13" xfId="0" applyFont="1" applyFill="1" applyBorder="1" applyAlignment="1">
      <alignment vertical="center"/>
    </xf>
    <xf numFmtId="1" fontId="44" fillId="52" borderId="10" xfId="0" applyNumberFormat="1" applyFont="1" applyFill="1" applyBorder="1" applyAlignment="1" applyProtection="1">
      <alignment horizontal="center" vertical="center"/>
      <protection locked="0"/>
    </xf>
    <xf numFmtId="1" fontId="44" fillId="52" borderId="14" xfId="0" applyNumberFormat="1" applyFont="1" applyFill="1" applyBorder="1" applyAlignment="1" applyProtection="1">
      <alignment vertical="center"/>
      <protection locked="0"/>
    </xf>
    <xf numFmtId="0" fontId="44" fillId="33" borderId="10" xfId="0" applyFont="1" applyFill="1" applyBorder="1" applyAlignment="1">
      <alignment horizontal="left" vertical="center"/>
    </xf>
    <xf numFmtId="0" fontId="44" fillId="52" borderId="14" xfId="0" applyFont="1" applyFill="1" applyBorder="1" applyAlignment="1" applyProtection="1">
      <alignment vertical="center"/>
      <protection locked="0"/>
    </xf>
    <xf numFmtId="0" fontId="44" fillId="0" borderId="0" xfId="0" applyFont="1" applyAlignment="1" applyProtection="1">
      <alignment vertical="center"/>
      <protection locked="0"/>
    </xf>
    <xf numFmtId="49" fontId="45" fillId="52" borderId="10" xfId="0" applyNumberFormat="1" applyFont="1" applyFill="1" applyBorder="1" applyAlignment="1">
      <alignment horizontal="left" vertical="center"/>
    </xf>
    <xf numFmtId="0" fontId="45" fillId="52" borderId="10" xfId="0" applyFont="1" applyFill="1" applyBorder="1" applyAlignment="1">
      <alignment horizontal="center" vertical="center"/>
    </xf>
    <xf numFmtId="0" fontId="46" fillId="0" borderId="0" xfId="0" applyFont="1"/>
    <xf numFmtId="0" fontId="16" fillId="0" borderId="10" xfId="0" applyFont="1" applyBorder="1"/>
    <xf numFmtId="0" fontId="0" fillId="52" borderId="16" xfId="0" applyFill="1" applyBorder="1" applyAlignment="1">
      <alignment horizontal="left" vertical="center" wrapText="1"/>
    </xf>
    <xf numFmtId="0" fontId="16" fillId="52" borderId="10" xfId="0" applyFont="1" applyFill="1" applyBorder="1" applyAlignment="1" applyProtection="1">
      <alignment vertical="center"/>
      <protection locked="0"/>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9"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18" fillId="52" borderId="55"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0" fillId="52" borderId="10" xfId="0" applyFill="1" applyBorder="1" applyAlignment="1">
      <alignment vertical="center" wrapText="1"/>
    </xf>
    <xf numFmtId="49" fontId="0" fillId="52" borderId="10" xfId="0" applyNumberFormat="1" applyFill="1" applyBorder="1" applyAlignment="1">
      <alignment horizontal="left" vertical="center" wrapText="1"/>
    </xf>
    <xf numFmtId="43" fontId="18" fillId="52" borderId="55" xfId="44" applyFont="1" applyFill="1" applyBorder="1" applyAlignment="1" applyProtection="1">
      <alignment horizontal="center" vertical="center"/>
      <protection locked="0"/>
    </xf>
    <xf numFmtId="49" fontId="18" fillId="52" borderId="14" xfId="0" applyNumberFormat="1"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7" fillId="0" borderId="0" xfId="0" applyFont="1"/>
    <xf numFmtId="1" fontId="0" fillId="52" borderId="14" xfId="0" applyNumberFormat="1" applyFill="1" applyBorder="1" applyAlignment="1" applyProtection="1">
      <alignment vertical="center" wrapText="1"/>
      <protection locked="0"/>
    </xf>
    <xf numFmtId="0" fontId="44" fillId="52" borderId="10" xfId="0" applyFont="1" applyFill="1" applyBorder="1" applyAlignment="1">
      <alignment vertical="center" wrapText="1"/>
    </xf>
    <xf numFmtId="0" fontId="45" fillId="52" borderId="10" xfId="0" applyFont="1" applyFill="1" applyBorder="1" applyAlignment="1" applyProtection="1">
      <alignment vertical="center"/>
      <protection locked="0"/>
    </xf>
    <xf numFmtId="0" fontId="45" fillId="52" borderId="10" xfId="0" applyFont="1" applyFill="1" applyBorder="1" applyAlignment="1" applyProtection="1">
      <alignment horizontal="center" vertical="center"/>
      <protection locked="0"/>
    </xf>
    <xf numFmtId="0" fontId="45" fillId="52" borderId="10" xfId="0" applyFont="1" applyFill="1" applyBorder="1" applyAlignment="1" applyProtection="1">
      <alignment vertical="center" wrapText="1"/>
      <protection locked="0"/>
    </xf>
    <xf numFmtId="0" fontId="45"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wrapText="1"/>
    </xf>
    <xf numFmtId="43" fontId="45" fillId="52" borderId="55" xfId="44" applyFont="1" applyFill="1" applyBorder="1" applyAlignment="1" applyProtection="1">
      <alignment horizontal="center" vertical="center"/>
      <protection locked="0"/>
    </xf>
    <xf numFmtId="9" fontId="45" fillId="52" borderId="13" xfId="0" applyNumberFormat="1" applyFont="1" applyFill="1" applyBorder="1" applyAlignment="1" applyProtection="1">
      <alignment horizontal="center" vertical="center"/>
      <protection locked="0"/>
    </xf>
    <xf numFmtId="0" fontId="45" fillId="52" borderId="10" xfId="42" applyNumberFormat="1" applyFont="1" applyFill="1" applyBorder="1" applyAlignment="1" applyProtection="1">
      <alignment horizontal="center" vertical="center"/>
      <protection locked="0"/>
    </xf>
    <xf numFmtId="9" fontId="45" fillId="42" borderId="14" xfId="42" applyFont="1" applyFill="1" applyBorder="1" applyAlignment="1">
      <alignment horizontal="center" vertical="center"/>
    </xf>
    <xf numFmtId="1" fontId="45" fillId="52" borderId="10" xfId="0" applyNumberFormat="1" applyFont="1" applyFill="1" applyBorder="1" applyAlignment="1" applyProtection="1">
      <alignment horizontal="center" vertical="center"/>
      <protection locked="0"/>
    </xf>
    <xf numFmtId="1" fontId="45" fillId="52" borderId="55" xfId="0" applyNumberFormat="1" applyFont="1" applyFill="1" applyBorder="1" applyAlignment="1" applyProtection="1">
      <alignment vertical="center"/>
      <protection locked="0"/>
    </xf>
    <xf numFmtId="0" fontId="45" fillId="33" borderId="10" xfId="0" applyFont="1" applyFill="1" applyBorder="1" applyAlignment="1">
      <alignment vertical="center"/>
    </xf>
    <xf numFmtId="0" fontId="44" fillId="52" borderId="16" xfId="0" applyFont="1" applyFill="1" applyBorder="1" applyAlignment="1">
      <alignment vertical="center"/>
    </xf>
    <xf numFmtId="0" fontId="44" fillId="52" borderId="14" xfId="0" applyFont="1" applyFill="1" applyBorder="1" applyAlignment="1" applyProtection="1">
      <alignment horizontal="center" vertical="center"/>
      <protection locked="0"/>
    </xf>
    <xf numFmtId="49" fontId="18" fillId="52" borderId="10" xfId="0" applyNumberFormat="1" applyFont="1" applyFill="1" applyBorder="1" applyAlignment="1" applyProtection="1">
      <alignment vertical="center" wrapText="1"/>
      <protection locked="0"/>
    </xf>
    <xf numFmtId="1" fontId="18" fillId="52" borderId="14" xfId="0" applyNumberFormat="1" applyFont="1" applyFill="1" applyBorder="1" applyAlignment="1" applyProtection="1">
      <alignment vertical="center"/>
      <protection locked="0"/>
    </xf>
    <xf numFmtId="0" fontId="44" fillId="52" borderId="10" xfId="45" applyFont="1" applyFill="1" applyBorder="1" applyAlignment="1">
      <alignment horizontal="left" vertical="center" wrapText="1"/>
    </xf>
    <xf numFmtId="1" fontId="44" fillId="41" borderId="17" xfId="0" applyNumberFormat="1" applyFont="1" applyFill="1" applyBorder="1" applyAlignment="1">
      <alignment horizontal="center" vertical="center"/>
    </xf>
    <xf numFmtId="166" fontId="44" fillId="41" borderId="17" xfId="0" applyNumberFormat="1" applyFont="1" applyFill="1" applyBorder="1" applyAlignment="1">
      <alignment horizontal="center" vertical="center"/>
    </xf>
    <xf numFmtId="0" fontId="45" fillId="52" borderId="14" xfId="0" applyFont="1" applyFill="1" applyBorder="1" applyAlignment="1" applyProtection="1">
      <alignment vertical="center" wrapText="1"/>
      <protection locked="0"/>
    </xf>
    <xf numFmtId="0" fontId="45" fillId="52" borderId="14" xfId="0" applyFont="1" applyFill="1" applyBorder="1" applyAlignment="1" applyProtection="1">
      <alignment vertical="center"/>
      <protection locked="0"/>
    </xf>
    <xf numFmtId="0" fontId="44" fillId="52" borderId="13"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37" xfId="0" applyFill="1" applyBorder="1" applyAlignment="1">
      <alignment vertical="center"/>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Phoenix/Common/IP%20Status%20Trackers/Phoenix_GMHUB_Diagnostics_Status_Track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NV31/Common/IP%20Status%20Trackers/NV31_MHUB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Sheet2"/>
      <sheetName val="Progress (WIP)"/>
      <sheetName val="Progress"/>
      <sheetName val="Test Ownership"/>
      <sheetName val="Sheet1"/>
      <sheetName val="Coverage Plan"/>
    </sheetNames>
    <sheetDataSet>
      <sheetData sheetId="0"/>
      <sheetData sheetId="1"/>
      <sheetData sheetId="2"/>
      <sheetData sheetId="3"/>
      <sheetData sheetId="4"/>
      <sheetData sheetId="5"/>
      <sheetData sheetId="6"/>
      <sheetData sheetId="7">
        <row r="7">
          <cell r="A7" t="str">
            <v>PHX-GMHUB-001</v>
          </cell>
          <cell r="B7" t="str">
            <v>MMHUB:SOC - SOC-15 SDP Interfaces</v>
          </cell>
          <cell r="C7" t="str">
            <v>P1</v>
          </cell>
        </row>
        <row r="8">
          <cell r="A8" t="str">
            <v>PHX-GMHUB-002</v>
          </cell>
          <cell r="B8" t="str">
            <v>MMHUB:SOC - SOC-15 SCF/SMN interfaces</v>
          </cell>
          <cell r="C8" t="str">
            <v>P2</v>
          </cell>
        </row>
        <row r="9">
          <cell r="A9" t="str">
            <v>PHX-GMHUB-003</v>
          </cell>
          <cell r="B9" t="str">
            <v>MMHUB:SOC - AXI4 client interface</v>
          </cell>
          <cell r="C9" t="str">
            <v>P1</v>
          </cell>
        </row>
        <row r="10">
          <cell r="A10" t="str">
            <v>PHX-GMHUB-004</v>
          </cell>
          <cell r="B10" t="str">
            <v>MMHUB:SOC - OpenCL Platform Atomics</v>
          </cell>
          <cell r="C10" t="str">
            <v>P2</v>
          </cell>
        </row>
        <row r="11">
          <cell r="A11" t="str">
            <v>PHX-GMHUB-005</v>
          </cell>
          <cell r="B11" t="str">
            <v>MMHUB:SOC - Strong Ordering for HDP writes/atomics</v>
          </cell>
          <cell r="C11" t="str">
            <v>P2</v>
          </cell>
        </row>
        <row r="12">
          <cell r="A12" t="str">
            <v>PHX-GMHUB-006</v>
          </cell>
          <cell r="B12" t="str">
            <v>MMHUB:SOC - SRIOV</v>
          </cell>
          <cell r="C12" t="str">
            <v>N/A</v>
          </cell>
        </row>
        <row r="13">
          <cell r="A13" t="str">
            <v>PHX-GMHUB-007</v>
          </cell>
          <cell r="B13" t="str">
            <v>MMHUB:DAGB - DF sends "unsolicidated error response" across SDP to MMHUB</v>
          </cell>
          <cell r="C13" t="str">
            <v>N/A</v>
          </cell>
        </row>
        <row r="14">
          <cell r="A14" t="str">
            <v>PHX-GMHUB-008</v>
          </cell>
          <cell r="B14" t="str">
            <v>MMHUB:DAGB - Repeater FGCG in tap chain</v>
          </cell>
          <cell r="C14" t="str">
            <v>P1</v>
          </cell>
        </row>
        <row r="15">
          <cell r="A15" t="str">
            <v>PHX-GMHUB-009</v>
          </cell>
          <cell r="B15" t="str">
            <v>MMHUB:DAGB - “GPU Snoop” aka ‘gcc’ support in DAGB</v>
          </cell>
          <cell r="C15" t="str">
            <v>P2</v>
          </cell>
        </row>
        <row r="16">
          <cell r="A16" t="str">
            <v>PHX-GMHUB-010</v>
          </cell>
          <cell r="B16" t="str">
            <v>MMHUB:DAGB - Safe TDR</v>
          </cell>
          <cell r="C16" t="str">
            <v>P1</v>
          </cell>
        </row>
        <row r="17">
          <cell r="A17" t="str">
            <v>PHX-GMHUB-011</v>
          </cell>
          <cell r="B17" t="str">
            <v>MMHUB:DAGB - HDP Performance for Mixed RD/WR</v>
          </cell>
          <cell r="C17" t="str">
            <v>P2</v>
          </cell>
        </row>
        <row r="18">
          <cell r="A18" t="str">
            <v>PHX-GMHUB-012</v>
          </cell>
          <cell r="B18" t="str">
            <v>MMHUB:DAGB - Support SDP interface</v>
          </cell>
          <cell r="C18" t="str">
            <v>P1</v>
          </cell>
        </row>
        <row r="19">
          <cell r="A19" t="str">
            <v>PHX-GMHUB-013</v>
          </cell>
          <cell r="B19" t="str">
            <v xml:space="preserve">MMHUB:DAGB - Programmable priority per client on SDP </v>
          </cell>
          <cell r="C19" t="str">
            <v>P1</v>
          </cell>
        </row>
        <row r="20">
          <cell r="A20" t="str">
            <v>PHX-GMHUB-014</v>
          </cell>
          <cell r="B20" t="str">
            <v xml:space="preserve">MMHUB:DAGB - Programmable override priority per client on SDP </v>
          </cell>
          <cell r="C20" t="str">
            <v>P1</v>
          </cell>
        </row>
        <row r="21">
          <cell r="A21" t="str">
            <v>PHX-GMHUB-015</v>
          </cell>
          <cell r="B21" t="str">
            <v>MMHUB:Performance - SOC-15 QoS 1.0</v>
          </cell>
          <cell r="C21" t="str">
            <v>P2</v>
          </cell>
        </row>
        <row r="22">
          <cell r="A22" t="str">
            <v>PHX-GMHUB-016</v>
          </cell>
          <cell r="B22" t="str">
            <v>MMHUB:Performance - Support guest/host layer translation for DCN DWB</v>
          </cell>
          <cell r="C22" t="str">
            <v>N/A</v>
          </cell>
        </row>
        <row r="23">
          <cell r="A23" t="str">
            <v>PHX-GMHUB-017</v>
          </cell>
          <cell r="B23" t="str">
            <v>MMHUB:MMEA - Compelte removal of MMEA</v>
          </cell>
          <cell r="C23" t="str">
            <v>N/A</v>
          </cell>
        </row>
        <row r="24">
          <cell r="A24" t="str">
            <v>PHX-GMHUB-018</v>
          </cell>
          <cell r="B24" t="str">
            <v>MMHUB:MMEA - Safe TDR</v>
          </cell>
          <cell r="C24" t="str">
            <v>N/A</v>
          </cell>
        </row>
        <row r="25">
          <cell r="A25" t="str">
            <v>PHX-GMHUB-019</v>
          </cell>
          <cell r="B25" t="str">
            <v>MMHUB: MMEA - Support new interleaves between channels</v>
          </cell>
          <cell r="C25" t="str">
            <v>N/A</v>
          </cell>
        </row>
        <row r="26">
          <cell r="A26" t="str">
            <v>PHX-GMHUB-020</v>
          </cell>
          <cell r="B26" t="str">
            <v>MMHUB: MMEA - GECC</v>
          </cell>
          <cell r="C26" t="str">
            <v>N/A</v>
          </cell>
        </row>
        <row r="27">
          <cell r="A27" t="str">
            <v>PHX-GMHUB-021</v>
          </cell>
          <cell r="B27" t="str">
            <v>MMHUB: MMEA - Programmable priority per client on SDP</v>
          </cell>
          <cell r="C27" t="str">
            <v>N/A</v>
          </cell>
        </row>
        <row r="28">
          <cell r="A28" t="str">
            <v>PHX-GMHUB-022</v>
          </cell>
          <cell r="B28" t="str">
            <v>MMHUB: MMEA - Programmable override priority per client on SDP</v>
          </cell>
          <cell r="C28" t="str">
            <v>N/A</v>
          </cell>
        </row>
        <row r="29">
          <cell r="A29" t="str">
            <v>PHX-GMHUB-023</v>
          </cell>
          <cell r="B29" t="str">
            <v>MMHUB: MMEA - Write-Request Accumulation</v>
          </cell>
          <cell r="C29" t="str">
            <v>N/A</v>
          </cell>
        </row>
        <row r="30">
          <cell r="A30" t="str">
            <v>PHX-GMHUB-024</v>
          </cell>
          <cell r="B30" t="str">
            <v>MMHUB: MMEA - Age-based Arbitration</v>
          </cell>
          <cell r="C30" t="str">
            <v>N/A</v>
          </cell>
        </row>
        <row r="31">
          <cell r="A31" t="str">
            <v>PHX-GMHUB-025</v>
          </cell>
          <cell r="B31" t="str">
            <v>MMHUB: MMEA - Number of Eas/Access to FB and System Memory</v>
          </cell>
          <cell r="C31" t="str">
            <v>N/A</v>
          </cell>
        </row>
        <row r="32">
          <cell r="A32" t="str">
            <v>PHX-GMHUB-026</v>
          </cell>
          <cell r="B32" t="str">
            <v>MMHUB: MMEA - Arbiters</v>
          </cell>
          <cell r="C32" t="str">
            <v>N/A</v>
          </cell>
        </row>
        <row r="33">
          <cell r="A33" t="str">
            <v>PHX-GMHUB-027</v>
          </cell>
          <cell r="B33" t="str">
            <v>MMHUB: MMEA - SDP request tags</v>
          </cell>
          <cell r="C33" t="str">
            <v>N/A</v>
          </cell>
        </row>
        <row r="34">
          <cell r="A34" t="str">
            <v>PHX-GMHUB-028</v>
          </cell>
          <cell r="B34" t="str">
            <v>MMHUB: MMEA - "noalloc" support (MALL)</v>
          </cell>
          <cell r="C34" t="str">
            <v>N/A</v>
          </cell>
        </row>
        <row r="35">
          <cell r="A35" t="str">
            <v>PHX-GMHUB-029</v>
          </cell>
          <cell r="B35" t="str">
            <v>MMHUB: MMEA - Dirty RAM</v>
          </cell>
          <cell r="C35" t="str">
            <v>N/A</v>
          </cell>
        </row>
        <row r="36">
          <cell r="A36" t="str">
            <v>PHX-GMHUB-030</v>
          </cell>
          <cell r="B36" t="str">
            <v>MMHUB: VML1 - TLBs</v>
          </cell>
          <cell r="C36" t="str">
            <v>N/A</v>
          </cell>
        </row>
        <row r="37">
          <cell r="A37" t="str">
            <v>PHX-GMHUB-031</v>
          </cell>
          <cell r="B37" t="str">
            <v>MMHUB: VML1 - TLS and Pre-fetcher - TLB + SAW for ISP</v>
          </cell>
          <cell r="C37" t="str">
            <v>N/A</v>
          </cell>
        </row>
        <row r="38">
          <cell r="A38" t="str">
            <v>PHX-GMHUB-032</v>
          </cell>
          <cell r="B38" t="str">
            <v>MMHUB: VML1 - "noalloc" support (MALL)</v>
          </cell>
          <cell r="C38" t="str">
            <v>N/A</v>
          </cell>
        </row>
        <row r="39">
          <cell r="A39" t="str">
            <v>PHX-GMHUB-033</v>
          </cell>
          <cell r="B39" t="str">
            <v>MMHUB: VML1 - "GPU Snoop" aka 'gcc' support in GPUVM L1</v>
          </cell>
          <cell r="C39" t="str">
            <v>N/A</v>
          </cell>
        </row>
        <row r="40">
          <cell r="A40" t="str">
            <v>PHX-GMHUB-034</v>
          </cell>
          <cell r="B40" t="str">
            <v>MMHUB:UTCL1 - TLBs</v>
          </cell>
          <cell r="C40" t="str">
            <v>P1</v>
          </cell>
        </row>
        <row r="41">
          <cell r="A41" t="str">
            <v>PHX-GMHUB-035</v>
          </cell>
          <cell r="B41" t="str">
            <v xml:space="preserve">MMHUB:UTCL1 - CPU Visible Frame-Buffer Surface Remapping </v>
          </cell>
          <cell r="C41" t="str">
            <v>N/A</v>
          </cell>
        </row>
        <row r="42">
          <cell r="A42" t="str">
            <v>PHX-GMHUB-036</v>
          </cell>
          <cell r="B42" t="str">
            <v>MMHUB:UTCL1 - Flexible Frame-Buffer Mapping (FFBM)</v>
          </cell>
          <cell r="C42" t="str">
            <v>N/A</v>
          </cell>
        </row>
        <row r="43">
          <cell r="A43" t="str">
            <v>PHX-GMHUB-037</v>
          </cell>
          <cell r="B43" t="str">
            <v>MMHUB:UTCL1 - "noalloc" support (MALL)</v>
          </cell>
          <cell r="C43" t="str">
            <v>N/A</v>
          </cell>
        </row>
        <row r="44">
          <cell r="A44" t="str">
            <v>PHX-GMHUB-038</v>
          </cell>
          <cell r="B44" t="str">
            <v>MMHUB:UTCL1 - “GPU Snoop” aka ‘gcc’ support in GPUVM L1</v>
          </cell>
          <cell r="C44" t="str">
            <v>P2</v>
          </cell>
        </row>
        <row r="45">
          <cell r="A45" t="str">
            <v>PHX-GMHUB-039</v>
          </cell>
          <cell r="B45" t="str">
            <v>MMHUB:UTCL1 - No Retry Supported</v>
          </cell>
          <cell r="C45" t="str">
            <v>N/A</v>
          </cell>
        </row>
        <row r="46">
          <cell r="A46" t="str">
            <v>PHX-GMHUB-040</v>
          </cell>
          <cell r="B46" t="str">
            <v>MMHUB:UTCL1 - Support both GPUVM invalidate and ATC invalidate</v>
          </cell>
          <cell r="C46" t="str">
            <v>P2</v>
          </cell>
        </row>
        <row r="47">
          <cell r="A47" t="str">
            <v>PHX-GMHUB-041</v>
          </cell>
          <cell r="B47" t="str">
            <v>MMHUB:UTCL1 - Aperture Checks</v>
          </cell>
          <cell r="C47" t="str">
            <v>P1</v>
          </cell>
        </row>
        <row r="48">
          <cell r="A48" t="str">
            <v>PHX-GMHUB-042</v>
          </cell>
          <cell r="B48" t="str">
            <v>MMHUB:UTCL1 - CAM/TLB stores these translations:GPUVA-&gt;SYSMEM_GPA, GPUVA-&gt;SYSMEM_SPA, GPUVA-&gt;FB_SPA, SYSMEM _GPA-&gt;SYSMEM_SPA (L2TLB only + ATC enabled), FB_GPA-&gt;FB_SPA (L2TLB, VFs only + FFBM)</v>
          </cell>
          <cell r="C48" t="str">
            <v>P2</v>
          </cell>
        </row>
        <row r="49">
          <cell r="A49" t="str">
            <v>PHX-GMHUB-043</v>
          </cell>
          <cell r="B49" t="str">
            <v>MMHUB:UTCL1 - TLSi L1</v>
          </cell>
          <cell r="C49" t="str">
            <v>P1</v>
          </cell>
        </row>
        <row r="50">
          <cell r="A50" t="str">
            <v>PHX-GMHUB-044</v>
          </cell>
          <cell r="B50" t="str">
            <v>MMHUB:MMUTCL2 - Sideband translation path</v>
          </cell>
          <cell r="C50" t="str">
            <v>P1</v>
          </cell>
        </row>
        <row r="51">
          <cell r="A51" t="str">
            <v>PHX-GMHUB-045</v>
          </cell>
          <cell r="B51" t="str">
            <v>MMHUB:MMUTCL2 - Implement 'router' to aggregate UTCL1 requests for non-OSS requests</v>
          </cell>
          <cell r="C51" t="str">
            <v>P2</v>
          </cell>
        </row>
        <row r="52">
          <cell r="A52" t="str">
            <v>PHX-GMHUB-046</v>
          </cell>
          <cell r="B52" t="str">
            <v>MMHUB:MMUTCL2 - Translation lookup behavior on UCE</v>
          </cell>
          <cell r="C52" t="str">
            <v>N/A</v>
          </cell>
        </row>
        <row r="53">
          <cell r="A53" t="str">
            <v>PHX-GMHUB-047</v>
          </cell>
          <cell r="B53" t="str">
            <v>MMHUB:MMUTCL2 - Flexible Frame Buffer Mapping (FFBM)</v>
          </cell>
          <cell r="C53" t="str">
            <v>N/A</v>
          </cell>
        </row>
        <row r="54">
          <cell r="A54" t="str">
            <v>PHX-GMHUB-048</v>
          </cell>
          <cell r="B54" t="str">
            <v>MMHUB:MMUTCL2 - MARC register removed</v>
          </cell>
          <cell r="C54" t="str">
            <v>N/A</v>
          </cell>
        </row>
        <row r="55">
          <cell r="A55" t="str">
            <v>PHX-GMHUB-049</v>
          </cell>
          <cell r="B55" t="str">
            <v>MMHUB:MMUTCL2 - Programmable credits</v>
          </cell>
          <cell r="C55" t="str">
            <v>N/A</v>
          </cell>
        </row>
        <row r="56">
          <cell r="A56" t="str">
            <v>PHX-GMHUB-050</v>
          </cell>
          <cell r="B56" t="str">
            <v>MMHUB:MMUTCL2 - IO/SPA for APU system</v>
          </cell>
          <cell r="C56" t="str">
            <v>P1</v>
          </cell>
        </row>
        <row r="57">
          <cell r="A57" t="str">
            <v>PHX-GMHUB-051</v>
          </cell>
          <cell r="B57" t="str">
            <v>MMHUB:MMUTCL2:VML2 - Caches</v>
          </cell>
          <cell r="C57" t="str">
            <v>P2</v>
          </cell>
        </row>
        <row r="58">
          <cell r="A58" t="str">
            <v>PHX-GMHUB-052</v>
          </cell>
          <cell r="B58" t="str">
            <v>MMHUB:MMUTCL2:VML2 - GPUVM fault status register</v>
          </cell>
          <cell r="C58" t="str">
            <v>P1</v>
          </cell>
        </row>
        <row r="59">
          <cell r="A59" t="str">
            <v>PHX-GMHUB-053</v>
          </cell>
          <cell r="B59" t="str">
            <v>MMHUB:MMUTCL2:VML2 - Common PSP-only default page</v>
          </cell>
          <cell r="C59" t="str">
            <v>P1</v>
          </cell>
        </row>
        <row r="60">
          <cell r="A60" t="str">
            <v>PHX-GMHUB-054</v>
          </cell>
          <cell r="B60" t="str">
            <v>MMHUB:MMUTCL2:VML2 - DWB Scatter/Gather</v>
          </cell>
          <cell r="C60" t="str">
            <v>P2</v>
          </cell>
        </row>
        <row r="61">
          <cell r="A61" t="str">
            <v>PHX-GMHUB-055</v>
          </cell>
          <cell r="B61" t="str">
            <v>MMHUB:MMUTCL2:VML2 - Reserved Caches</v>
          </cell>
          <cell r="C61" t="str">
            <v>N/A</v>
          </cell>
        </row>
        <row r="62">
          <cell r="A62" t="str">
            <v>PHX-GMHUB-056</v>
          </cell>
          <cell r="B62" t="str">
            <v>MMHUB:MMUTCL2:VML2 - GPUVA,VMID translation assist</v>
          </cell>
          <cell r="C62" t="str">
            <v>P2</v>
          </cell>
        </row>
        <row r="63">
          <cell r="A63" t="str">
            <v>PHX-GMHUB-057</v>
          </cell>
          <cell r="B63" t="str">
            <v>MMHUB:MMUTCL2:VML2 - Translation bypass by VMID</v>
          </cell>
          <cell r="C63" t="str">
            <v>N/A</v>
          </cell>
        </row>
        <row r="64">
          <cell r="A64" t="str">
            <v>PHX-GMHUB-058</v>
          </cell>
          <cell r="B64" t="str">
            <v>MMHUB:MMUTCL2:VML2 - GPUVM Table Walks to Sysmem</v>
          </cell>
          <cell r="C64" t="str">
            <v>P2</v>
          </cell>
        </row>
        <row r="65">
          <cell r="A65" t="str">
            <v>PHX-GMHUB-059</v>
          </cell>
          <cell r="B65" t="str">
            <v>MMHUB:MMUTCL2:VML2 - GPA Mode</v>
          </cell>
          <cell r="C65" t="str">
            <v>P2</v>
          </cell>
        </row>
        <row r="66">
          <cell r="A66" t="str">
            <v>PHX-GMHUB-060</v>
          </cell>
          <cell r="B66" t="str">
            <v>MMHUB:MMUTCL2:VML2 - Page Size Optimization</v>
          </cell>
          <cell r="C66" t="str">
            <v>P2</v>
          </cell>
        </row>
        <row r="67">
          <cell r="A67" t="str">
            <v>PHX-GMHUB-061</v>
          </cell>
          <cell r="B67" t="str">
            <v>MMHUB:MMUTCL2:VML2 - MMHUB Programmable SmallK</v>
          </cell>
          <cell r="C67" t="str">
            <v>P2</v>
          </cell>
        </row>
        <row r="68">
          <cell r="A68" t="str">
            <v>PHX-GMHUB-062</v>
          </cell>
          <cell r="B68" t="str">
            <v>MMHUB:MMUTCL2:VML2 - CAM/filter to avoid duplicate table-walk reads</v>
          </cell>
          <cell r="C68" t="str">
            <v>P2</v>
          </cell>
        </row>
        <row r="69">
          <cell r="A69" t="str">
            <v>PHX-GMHUB-063</v>
          </cell>
          <cell r="B69" t="str">
            <v>MMHUB:MMUTCL2:VML2 - Range-based UTCL1 and VML1 invalidation</v>
          </cell>
          <cell r="C69" t="str">
            <v>P2</v>
          </cell>
        </row>
        <row r="70">
          <cell r="A70" t="str">
            <v>PHX-GMHUB-064</v>
          </cell>
          <cell r="B70" t="str">
            <v>MMHUB:MMUTCL2:VML2 - Per invalidate engine registers</v>
          </cell>
          <cell r="C70" t="str">
            <v>P2</v>
          </cell>
        </row>
        <row r="71">
          <cell r="A71" t="str">
            <v>PHX-GMHUB-065</v>
          </cell>
          <cell r="B71" t="str">
            <v>MMHUB:MMUTCL2:VML2 - Per VMID Context registers</v>
          </cell>
          <cell r="C71" t="str">
            <v>P2</v>
          </cell>
        </row>
        <row r="72">
          <cell r="A72" t="str">
            <v>PHX-GMHUB-066</v>
          </cell>
          <cell r="B72" t="str">
            <v>MMHUB:MMUTCL2:VML2 - Register bits that enable software to control hit/miss behaviour on invalid ptes in cache</v>
          </cell>
          <cell r="C72" t="str">
            <v>P2</v>
          </cell>
        </row>
        <row r="73">
          <cell r="A73" t="str">
            <v>PHX-GMHUB-067</v>
          </cell>
          <cell r="B73" t="str">
            <v>MMHUB:MMUTCL2:VML2 - Register bits that enable software to control hit/miss behaviour on permission mismatch in cache</v>
          </cell>
          <cell r="C73" t="str">
            <v>P2</v>
          </cell>
        </row>
        <row r="74">
          <cell r="A74" t="str">
            <v>PHX-GMHUB-068</v>
          </cell>
          <cell r="B74" t="str">
            <v>MMHUB:MMUTCL2:VML2 - Register bits that enable software to control hit/miss behaviour on page migration(R=W=0) in cache</v>
          </cell>
          <cell r="C74" t="str">
            <v>P2</v>
          </cell>
        </row>
        <row r="75">
          <cell r="A75" t="str">
            <v>PHX-GMHUB-069</v>
          </cell>
          <cell r="B75" t="str">
            <v>MMHUB:MMUTCL2:VML2 - Invalidate by Address Range and VMID aka "Sharpshooting"</v>
          </cell>
          <cell r="C75" t="str">
            <v>P2</v>
          </cell>
        </row>
        <row r="76">
          <cell r="A76" t="str">
            <v>PHX-GMHUB-070</v>
          </cell>
          <cell r="B76" t="str">
            <v>MMHUB:MMUTCL2:VML2 - Lightweight/Heavyweight flush-type invalidation</v>
          </cell>
          <cell r="C76" t="str">
            <v>P2</v>
          </cell>
        </row>
        <row r="77">
          <cell r="A77" t="str">
            <v>PHX-GMHUB-071</v>
          </cell>
          <cell r="B77" t="str">
            <v>MMHUB:MMUTCL2:VML2 - Page Table Levels</v>
          </cell>
          <cell r="C77" t="str">
            <v>P2</v>
          </cell>
        </row>
        <row r="78">
          <cell r="A78" t="str">
            <v>PHX-GMHUB-072</v>
          </cell>
          <cell r="B78" t="str">
            <v>MMHUB:MMUTCL2:VML2 - PDE Attributes</v>
          </cell>
          <cell r="C78" t="str">
            <v>P1</v>
          </cell>
        </row>
        <row r="79">
          <cell r="A79" t="str">
            <v>PHX-GMHUB-073</v>
          </cell>
          <cell r="B79" t="str">
            <v>MMHUB:MMUTCL2:VML2 - PTE Attributes</v>
          </cell>
          <cell r="C79" t="str">
            <v>P2</v>
          </cell>
        </row>
        <row r="80">
          <cell r="A80" t="str">
            <v>PHX-GMHUB-074</v>
          </cell>
          <cell r="B80" t="str">
            <v>MMHUB:MMUTCL2:VML2 - PTE permissions returned</v>
          </cell>
          <cell r="C80" t="str">
            <v>P2</v>
          </cell>
        </row>
        <row r="81">
          <cell r="A81" t="str">
            <v>PHX-GMHUB-075</v>
          </cell>
          <cell r="B81" t="str">
            <v>MMHUB:MMUTCL2:VML2 - Increase MTYPE from 2 to 3 bits</v>
          </cell>
          <cell r="C81" t="str">
            <v>P2</v>
          </cell>
        </row>
        <row r="82">
          <cell r="A82" t="str">
            <v>PHX-GMHUB-076</v>
          </cell>
          <cell r="B82" t="str">
            <v>MMHUB:MMUTCL2:VML2 - Page table block size, PDE and PTE Fragment sizes</v>
          </cell>
          <cell r="C82" t="str">
            <v>P2</v>
          </cell>
        </row>
        <row r="83">
          <cell r="A83" t="str">
            <v>PHX-GMHUB-077</v>
          </cell>
          <cell r="B83" t="str">
            <v>MMHUB:MMUTCL2:VML2 - Translate Further/PTE.F bit</v>
          </cell>
          <cell r="C83" t="str">
            <v>P1</v>
          </cell>
        </row>
        <row r="84">
          <cell r="A84" t="str">
            <v>PHX-GMHUB-078</v>
          </cell>
          <cell r="B84" t="str">
            <v>MMHUB:MMUTCL2:VML2 - Support for 2MB, 1G, 512GB pages aka PDE Block Fragment Size</v>
          </cell>
          <cell r="C84" t="str">
            <v>P2</v>
          </cell>
        </row>
        <row r="85">
          <cell r="A85" t="str">
            <v>PHX-GMHUB-079</v>
          </cell>
          <cell r="B85" t="str">
            <v>MMHUB:MMUTCL2:VML2 - L bit in PTE</v>
          </cell>
          <cell r="C85" t="str">
            <v>P2</v>
          </cell>
        </row>
        <row r="86">
          <cell r="A86" t="str">
            <v>PHX-GMHUB-080</v>
          </cell>
          <cell r="B86" t="str">
            <v>MMHUB:MMUTCL2:VML2 - Page Migration Retry state</v>
          </cell>
          <cell r="C86" t="str">
            <v>P2</v>
          </cell>
        </row>
        <row r="87">
          <cell r="A87" t="str">
            <v>PHX-GMHUB-081</v>
          </cell>
          <cell r="B87" t="str">
            <v>MMHUB:MMUTCL2:VML2 - VA to PA translation log</v>
          </cell>
          <cell r="C87" t="str">
            <v>N/A</v>
          </cell>
        </row>
        <row r="88">
          <cell r="A88" t="str">
            <v>PHX-GMHUB-082</v>
          </cell>
          <cell r="B88" t="str">
            <v>MMHUB:MMUTCL2:VML2 - "is_local" enable / disable register</v>
          </cell>
          <cell r="C88" t="str">
            <v>P1</v>
          </cell>
        </row>
        <row r="89">
          <cell r="A89" t="str">
            <v>PHX-GMHUB-083</v>
          </cell>
          <cell r="B89" t="str">
            <v>MMHUB:MMUTCL2:VML2 - Steering Registers</v>
          </cell>
          <cell r="C89" t="str">
            <v>P2</v>
          </cell>
        </row>
        <row r="90">
          <cell r="A90" t="str">
            <v>PHX-GMHUB-084</v>
          </cell>
          <cell r="B90" t="str">
            <v>MMHUB:MMUTCL2:VML2 - Mtype Attribute</v>
          </cell>
          <cell r="C90" t="str">
            <v>P2</v>
          </cell>
        </row>
        <row r="91">
          <cell r="A91" t="str">
            <v>PHX-GMHUB-085</v>
          </cell>
          <cell r="B91" t="str">
            <v>MMHUB:MMUTCL2:VML2 - VML2 BigK/4K cache swap</v>
          </cell>
          <cell r="C91" t="str">
            <v>P2</v>
          </cell>
        </row>
        <row r="92">
          <cell r="A92" t="str">
            <v>PHX-GMHUB-086</v>
          </cell>
          <cell r="B92" t="str">
            <v>MMHUB:MMUTCL2:VML2 - "noalloc" support (MALL)</v>
          </cell>
          <cell r="C92" t="str">
            <v>N/A</v>
          </cell>
        </row>
        <row r="93">
          <cell r="A93" t="str">
            <v>PHX-GMHUB-087</v>
          </cell>
          <cell r="B93" t="str">
            <v>MMHUB:MMUTCL2:VML2 - SA/SE Harvesting</v>
          </cell>
          <cell r="C93" t="str">
            <v>N/A</v>
          </cell>
        </row>
        <row r="94">
          <cell r="A94" t="str">
            <v>PHX-GMHUB-088</v>
          </cell>
          <cell r="B94" t="str">
            <v>MMHUB:MMUTCL2:VML2 - Programmable bank select in UTCL1/UTCL2</v>
          </cell>
          <cell r="C94" t="str">
            <v>P2</v>
          </cell>
        </row>
        <row r="95">
          <cell r="A95" t="str">
            <v>PHX-GMHUB-089</v>
          </cell>
          <cell r="B95" t="str">
            <v>MMHUB:MMUTCL2:VML2 - Per VF BigK/SmallK/Bank_Select Support</v>
          </cell>
          <cell r="C95" t="str">
            <v>N/A</v>
          </cell>
        </row>
        <row r="96">
          <cell r="A96" t="str">
            <v>PHX-GMHUB-090</v>
          </cell>
          <cell r="B96" t="str">
            <v>MMHUB:MMUTCL2:VML2 - Per VMID BigK/SmallK/Bank_Select Support</v>
          </cell>
          <cell r="C96" t="str">
            <v>P2</v>
          </cell>
        </row>
        <row r="97">
          <cell r="A97" t="str">
            <v>PHX-GMHUB-091</v>
          </cell>
          <cell r="B97" t="str">
            <v>MMHUB:MMUTCL2:VML2 - GPUVM L2 cache read/dump capabilities</v>
          </cell>
          <cell r="C97" t="str">
            <v>P3</v>
          </cell>
        </row>
        <row r="98">
          <cell r="A98" t="str">
            <v>PHX-GMHUB-092</v>
          </cell>
          <cell r="B98" t="str">
            <v>MMHUB:MMUTCL2:VML2 - Walker fetch behavior: REQUEST_PHYSICAL and PDE.S/C</v>
          </cell>
          <cell r="C98" t="str">
            <v>P2</v>
          </cell>
        </row>
        <row r="99">
          <cell r="A99" t="str">
            <v>PHX-GMHUB-093</v>
          </cell>
          <cell r="B99" t="str">
            <v>MMHUB:MMUTCL2:VML2 - A(MD) + A(MD) mode</v>
          </cell>
          <cell r="C99" t="str">
            <v>N/A</v>
          </cell>
        </row>
        <row r="100">
          <cell r="A100" t="str">
            <v>PHX-GMHUB-094</v>
          </cell>
          <cell r="B100" t="str">
            <v>MMHUB:MMUTCL2:VML2 - Virtual FIFOs to maximize</v>
          </cell>
          <cell r="C100" t="str">
            <v>P2</v>
          </cell>
        </row>
        <row r="101">
          <cell r="A101" t="str">
            <v>PHX-GMHUB-095</v>
          </cell>
          <cell r="B101" t="str">
            <v>MMHUB:MMUTCL2:ATCL2 - Caches</v>
          </cell>
          <cell r="C101" t="str">
            <v>P2</v>
          </cell>
        </row>
        <row r="102">
          <cell r="A102" t="str">
            <v>PHX-GMHUB-096</v>
          </cell>
          <cell r="B102" t="str">
            <v>MMHUB:MMUTCL2:ATCL2 - Flexible Frame-Buffer Mapping (FFBM)</v>
          </cell>
          <cell r="C102" t="str">
            <v>N/A</v>
          </cell>
        </row>
        <row r="103">
          <cell r="A103" t="str">
            <v>PHX-GMHUB-097</v>
          </cell>
          <cell r="B103" t="str">
            <v>MMHUB:MMUTCL2:ATCL2 - Instantiate separate ATCL2 cache banks for NonRT vs SoftRT</v>
          </cell>
          <cell r="C103" t="str">
            <v>P2</v>
          </cell>
        </row>
        <row r="104">
          <cell r="A104" t="str">
            <v>PHX-GMHUB-098</v>
          </cell>
          <cell r="B104" t="str">
            <v>MMHUB:MMUTCL2:ATCL2 - QoS Programmable Registers</v>
          </cell>
          <cell r="C104" t="str">
            <v>P2</v>
          </cell>
        </row>
        <row r="105">
          <cell r="A105" t="str">
            <v>PHX-GMHUB-099</v>
          </cell>
          <cell r="B105" t="str">
            <v>MMHUB:MMUTCL2:ATCL2 - Swappable smallK/midK/bigK caches</v>
          </cell>
          <cell r="C105" t="str">
            <v>P2</v>
          </cell>
        </row>
        <row r="106">
          <cell r="A106" t="str">
            <v>PHX-GMHUB-100</v>
          </cell>
          <cell r="B106" t="str">
            <v>MMHUB:MMUTCL2:ATCL2 - Work Queue for translation request</v>
          </cell>
          <cell r="C106" t="str">
            <v>P2</v>
          </cell>
        </row>
        <row r="107">
          <cell r="A107" t="str">
            <v>PHX-GMHUB-101</v>
          </cell>
          <cell r="B107" t="str">
            <v>MMHUB:MMUTCL2:ATCL2 - Work queue QoS</v>
          </cell>
          <cell r="C107" t="str">
            <v>P2</v>
          </cell>
        </row>
        <row r="108">
          <cell r="A108" t="str">
            <v>PHX-GMHUB-102</v>
          </cell>
          <cell r="B108" t="str">
            <v>MMHUB:MMUTCL2:ATCL2 - Console IOV Support (Pseudo-IOV)</v>
          </cell>
          <cell r="C108" t="str">
            <v>P2</v>
          </cell>
        </row>
        <row r="109">
          <cell r="A109" t="str">
            <v>PHX-GMHUB-103</v>
          </cell>
          <cell r="B109" t="str">
            <v>MMHUB:MMUTCL2:ATCL2 - U-bit support</v>
          </cell>
          <cell r="C109" t="str">
            <v>P2</v>
          </cell>
        </row>
        <row r="110">
          <cell r="A110" t="str">
            <v>PHX-GMHUB-104</v>
          </cell>
          <cell r="B110" t="str">
            <v>MMHUB:MMUTCL2:ATCL2 - Snoop Override</v>
          </cell>
          <cell r="C110" t="str">
            <v>P2</v>
          </cell>
        </row>
        <row r="111">
          <cell r="A111" t="str">
            <v>PHX-GMHUB-105</v>
          </cell>
          <cell r="B111" t="str">
            <v>MMHUB:MMUTCL2:ATCL2 - Invalidate by Address Range and VMID aka "Sharpshooting"</v>
          </cell>
          <cell r="C111" t="str">
            <v>P2</v>
          </cell>
        </row>
        <row r="112">
          <cell r="A112" t="str">
            <v>PHX-GMHUB-106</v>
          </cell>
          <cell r="B112" t="str">
            <v>MMHUB:MMUTCL2:ATCL2 - lightweight/heavyweight flush-type invalidation</v>
          </cell>
          <cell r="C112" t="str">
            <v>P2</v>
          </cell>
        </row>
        <row r="113">
          <cell r="A113" t="str">
            <v>PHX-GMHUB-107</v>
          </cell>
          <cell r="B113" t="str">
            <v>MMHUB:MMUTCL2:ATCL2 - Combines both VM and ATC translations into one response</v>
          </cell>
          <cell r="C113" t="str">
            <v>P2</v>
          </cell>
        </row>
        <row r="114">
          <cell r="A114" t="str">
            <v>PHX-GMHUB-108</v>
          </cell>
          <cell r="B114" t="str">
            <v>MMHUB:MMUTCL2:ATCL2 - PTE permissions returned</v>
          </cell>
          <cell r="C114" t="str">
            <v>P2</v>
          </cell>
        </row>
        <row r="115">
          <cell r="A115" t="str">
            <v>PHX-GMHUB-109</v>
          </cell>
          <cell r="B115" t="str">
            <v>MMHUB:MMUTCL2:ATCL2 - Quiesce ATCL2 &lt;-&gt; ATHUB address translation SDP interface (GC and MM)</v>
          </cell>
          <cell r="C115" t="str">
            <v>P1</v>
          </cell>
        </row>
        <row r="116">
          <cell r="A116" t="str">
            <v>PHX-GMHUB-110</v>
          </cell>
          <cell r="B116" t="str">
            <v>MMHUB:MMUTCL2:mGPU - Number of dGPU support</v>
          </cell>
          <cell r="C116" t="str">
            <v>N/A</v>
          </cell>
        </row>
        <row r="117">
          <cell r="A117" t="str">
            <v>PHX-GMHUB-111</v>
          </cell>
          <cell r="B117" t="str">
            <v>MMHUB:Power/PCTL - SOCCLK Deep Sleep</v>
          </cell>
          <cell r="C117" t="str">
            <v>P2</v>
          </cell>
        </row>
        <row r="118">
          <cell r="A118" t="str">
            <v>PHX-GMHUB-112</v>
          </cell>
          <cell r="B118" t="str">
            <v>MMHUB:Power/PCTL - MMHUB Power Gating</v>
          </cell>
          <cell r="C118" t="str">
            <v>P2</v>
          </cell>
        </row>
        <row r="119">
          <cell r="A119" t="str">
            <v>PHX-GMHUB-113</v>
          </cell>
          <cell r="B119" t="str">
            <v>MMHUB:PCTL - Register Save and Restore</v>
          </cell>
          <cell r="C119" t="str">
            <v>P2</v>
          </cell>
        </row>
        <row r="120">
          <cell r="A120" t="str">
            <v>PHX-GMHUB-114</v>
          </cell>
          <cell r="B120" t="str">
            <v>MMHUB:PCTL - RSMU Timer</v>
          </cell>
          <cell r="C120" t="str">
            <v>P2</v>
          </cell>
        </row>
        <row r="121">
          <cell r="A121" t="str">
            <v>PHX-GMHUB-115</v>
          </cell>
          <cell r="B121" t="str">
            <v>MMHUB:PCTL - Modern Standby enter/exit latency reduction</v>
          </cell>
          <cell r="C121" t="str">
            <v>P2</v>
          </cell>
        </row>
        <row r="122">
          <cell r="A122" t="str">
            <v>PHX-GMHUB-116</v>
          </cell>
          <cell r="B122" t="str">
            <v>MMHUB:PCTL - Z-State Support</v>
          </cell>
          <cell r="C122" t="str">
            <v>P2</v>
          </cell>
        </row>
        <row r="123">
          <cell r="A123" t="str">
            <v>PHX-GMHUB-117</v>
          </cell>
          <cell r="B123" t="str">
            <v>MMHUB:PCTL - Light C-State Support</v>
          </cell>
          <cell r="C123" t="str">
            <v>P1</v>
          </cell>
        </row>
        <row r="124">
          <cell r="A124" t="str">
            <v>PHX-GMHUB-118</v>
          </cell>
          <cell r="B124" t="str">
            <v>MMHUB:Security - Trusted Memory Zone (TMZ)</v>
          </cell>
          <cell r="C124" t="str">
            <v>P2</v>
          </cell>
        </row>
        <row r="125">
          <cell r="A125" t="str">
            <v>PHX-GMHUB-119</v>
          </cell>
          <cell r="B125" t="str">
            <v>MMHUB:Security - SOC15 Datapath/Controlpath Security</v>
          </cell>
          <cell r="C125" t="str">
            <v>P2</v>
          </cell>
        </row>
        <row r="126">
          <cell r="A126" t="str">
            <v>PHX-GMHUB-120</v>
          </cell>
          <cell r="B126" t="str">
            <v>MMHUB:RAS - SRAM ECC Protection</v>
          </cell>
          <cell r="C126" t="str">
            <v>N/A</v>
          </cell>
        </row>
        <row r="127">
          <cell r="A127" t="str">
            <v>PHX-GMHUB-121</v>
          </cell>
          <cell r="B127" t="str">
            <v>MMHUB:RAS - Data Poison Propagation</v>
          </cell>
          <cell r="C127" t="str">
            <v>N/A</v>
          </cell>
        </row>
        <row r="128">
          <cell r="A128" t="str">
            <v>PHX-GMHUB-122</v>
          </cell>
          <cell r="B128" t="str">
            <v>MMHUB:RAS - Data-path Parity Protection</v>
          </cell>
          <cell r="C128" t="str">
            <v>N/A</v>
          </cell>
        </row>
        <row r="129">
          <cell r="A129" t="str">
            <v>PHX-GMHUB-123</v>
          </cell>
          <cell r="B129" t="str">
            <v>MMHUB:RAS - Data Poison Consumption</v>
          </cell>
          <cell r="C129" t="str">
            <v>N/A</v>
          </cell>
        </row>
        <row r="130">
          <cell r="A130" t="str">
            <v>PHX-GMHUB-124</v>
          </cell>
          <cell r="B130" t="str">
            <v>MMHUB:RAS - Fatal Error Generation</v>
          </cell>
          <cell r="C130" t="str">
            <v>N/A</v>
          </cell>
        </row>
        <row r="131">
          <cell r="A131" t="str">
            <v>PHX-GMHUB-125</v>
          </cell>
          <cell r="B131" t="str">
            <v>MMHUB:RAS - Warm Reset</v>
          </cell>
          <cell r="C131" t="str">
            <v>N/A</v>
          </cell>
        </row>
        <row r="132">
          <cell r="A132" t="str">
            <v>PHX-GMHUB-126</v>
          </cell>
          <cell r="B132" t="str">
            <v>MMHUB:Debug - Debug Bus</v>
          </cell>
          <cell r="C132" t="str">
            <v>P2</v>
          </cell>
        </row>
        <row r="133">
          <cell r="A133" t="str">
            <v>PHX-GMHUB-127</v>
          </cell>
          <cell r="B133" t="str">
            <v>GFXHUB:GCUTCL2 - SRAM FGCG</v>
          </cell>
          <cell r="C133" t="str">
            <v>P2</v>
          </cell>
        </row>
        <row r="134">
          <cell r="A134" t="str">
            <v>PHX-GMHUB-128</v>
          </cell>
          <cell r="B134" t="str">
            <v>GFXHUB:GCUTCL2 - Repeater FGCG</v>
          </cell>
          <cell r="C134" t="str">
            <v>P1</v>
          </cell>
        </row>
        <row r="135">
          <cell r="A135" t="str">
            <v>PHX-GMHUB-129</v>
          </cell>
          <cell r="B135" t="str">
            <v>GFXHUB:GCUTCL2 - Shader engine clock isolation</v>
          </cell>
          <cell r="C135" t="str">
            <v>P1</v>
          </cell>
        </row>
        <row r="136">
          <cell r="A136" t="str">
            <v>PHX-GMHUB-130</v>
          </cell>
          <cell r="B136" t="str">
            <v>GFXHUB:GCUTCL2 - RDL parameter Enhancement</v>
          </cell>
          <cell r="C136" t="str">
            <v>N/A</v>
          </cell>
        </row>
        <row r="137">
          <cell r="A137" t="str">
            <v>PHX-GMHUB-131</v>
          </cell>
          <cell r="B137" t="str">
            <v>GFXHUB:GCUTCL2 - Expand GRBM address bus range</v>
          </cell>
          <cell r="C137" t="str">
            <v>P2</v>
          </cell>
        </row>
        <row r="138">
          <cell r="A138" t="str">
            <v>PHX-GMHUB-132</v>
          </cell>
          <cell r="B138" t="str">
            <v>GFXHUB:GCUTCL2 - IO/SPA for APU system</v>
          </cell>
          <cell r="C138" t="str">
            <v>P1</v>
          </cell>
        </row>
        <row r="139">
          <cell r="A139" t="str">
            <v>PHX-GMHUB-133</v>
          </cell>
          <cell r="B139" t="str">
            <v>GFXHUB:GCUTCL2 - SRIOV</v>
          </cell>
          <cell r="C139" t="str">
            <v>N/A</v>
          </cell>
        </row>
        <row r="140">
          <cell r="A140" t="str">
            <v>PHX-GMHUB-134</v>
          </cell>
          <cell r="B140" t="str">
            <v>GFXHUB:GCUTCL2 - Flexible Frame-Buffer Mapping (FFBM)</v>
          </cell>
          <cell r="C140" t="str">
            <v>N/A</v>
          </cell>
        </row>
        <row r="141">
          <cell r="A141" t="str">
            <v>PHX-GMHUB-135</v>
          </cell>
          <cell r="B141" t="str">
            <v>GFXHUB:GCUTCL2 - MARC for secured P2P</v>
          </cell>
          <cell r="C141" t="str">
            <v>N/A</v>
          </cell>
        </row>
        <row r="142">
          <cell r="A142" t="str">
            <v>PHX-GMHUB-136</v>
          </cell>
          <cell r="B142" t="str">
            <v>GFXHUB:GCUTCL2 - Remove 2MB max page size limit</v>
          </cell>
          <cell r="C142" t="str">
            <v>P1</v>
          </cell>
        </row>
        <row r="143">
          <cell r="A143" t="str">
            <v>PHX-GMHUB-137</v>
          </cell>
          <cell r="B143" t="str">
            <v>GFXHUB:GCUTCL2 - Programmable credits</v>
          </cell>
          <cell r="C143" t="str">
            <v>N/A</v>
          </cell>
        </row>
        <row r="144">
          <cell r="A144" t="str">
            <v>PHX-GMHUB-138</v>
          </cell>
          <cell r="B144" t="str">
            <v>GFXHUB:GCUTCL2:mGPU - Number of dGPU support XGMI</v>
          </cell>
          <cell r="C144" t="str">
            <v>N/A</v>
          </cell>
        </row>
        <row r="145">
          <cell r="A145" t="str">
            <v>PHX-GMHUB-139</v>
          </cell>
          <cell r="B145" t="str">
            <v xml:space="preserve">GFXHUB:GCUTCL2:RAS - State Reset  </v>
          </cell>
          <cell r="C145" t="str">
            <v>N/A</v>
          </cell>
        </row>
        <row r="146">
          <cell r="A146" t="str">
            <v>PHX-GMHUB-140</v>
          </cell>
          <cell r="B146" t="str">
            <v xml:space="preserve">GFXHUB:GCUTCL2:RAS - Translation hit/miss </v>
          </cell>
          <cell r="C146" t="str">
            <v>N/A</v>
          </cell>
        </row>
        <row r="147">
          <cell r="A147" t="str">
            <v>PHX-GMHUB-141</v>
          </cell>
          <cell r="B147" t="str">
            <v>GFXHUB:GCUTCL2:RAS - Translation response data from DF (HBM/PCIE) (Data Poison Consumption)</v>
          </cell>
          <cell r="C147" t="str">
            <v>N/A</v>
          </cell>
        </row>
        <row r="148">
          <cell r="A148" t="str">
            <v>PHX-GMHUB-142</v>
          </cell>
          <cell r="B148" t="str">
            <v>GFXHUB:GCUTCL2:RAS - Error logging/reporting (Warm Reset)</v>
          </cell>
          <cell r="C148" t="str">
            <v>N/A</v>
          </cell>
        </row>
        <row r="149">
          <cell r="A149" t="str">
            <v>PHX-GMHUB-143</v>
          </cell>
          <cell r="B149" t="str">
            <v>GFXHUB:GCUTCL2:RAS - GPU Warm Reset</v>
          </cell>
          <cell r="C149" t="str">
            <v>N/A</v>
          </cell>
        </row>
        <row r="150">
          <cell r="A150" t="str">
            <v>PHX-GMHUB-144</v>
          </cell>
          <cell r="B150" t="str">
            <v>GFXHUB:GCUTCL2:VML2 - Caches</v>
          </cell>
          <cell r="C150" t="str">
            <v>P2</v>
          </cell>
        </row>
        <row r="151">
          <cell r="A151" t="str">
            <v>PHX-GMHUB-145</v>
          </cell>
          <cell r="B151" t="str">
            <v>GFXHUB:GCUTCL2:VML2 - GPUVM fault status register</v>
          </cell>
          <cell r="C151" t="str">
            <v>P1</v>
          </cell>
        </row>
        <row r="152">
          <cell r="A152" t="str">
            <v>PHX-GMHUB-146</v>
          </cell>
          <cell r="B152" t="str">
            <v>GFXHUB:GCUTCL2:VML2 - Common PSP-only default page</v>
          </cell>
          <cell r="C152" t="str">
            <v>P1</v>
          </cell>
        </row>
        <row r="153">
          <cell r="A153" t="str">
            <v>PHX-GMHUB-147</v>
          </cell>
          <cell r="B153" t="str">
            <v>GFXHUB:GCUTCL2:VML2 - GPUVA,VMID translation assist</v>
          </cell>
          <cell r="C153" t="str">
            <v>P3</v>
          </cell>
        </row>
        <row r="154">
          <cell r="A154" t="str">
            <v>PHX-GMHUB-148</v>
          </cell>
          <cell r="B154" t="str">
            <v>GFXHUB:GCUTCL2:VML2 - GPUVM Table Walks to Sysmem</v>
          </cell>
          <cell r="C154" t="str">
            <v>P2</v>
          </cell>
        </row>
        <row r="155">
          <cell r="A155" t="str">
            <v>PHX-GMHUB-149</v>
          </cell>
          <cell r="B155" t="str">
            <v>GFXHUB:GCUTCL2:VML2 - Translation bypass by VMID</v>
          </cell>
          <cell r="C155" t="str">
            <v>N/A</v>
          </cell>
        </row>
        <row r="156">
          <cell r="A156" t="str">
            <v>PHX-GMHUB-150</v>
          </cell>
          <cell r="B156" t="str">
            <v>GFXHUB:GCUTCL2:VML2 - Page Size Optimization</v>
          </cell>
          <cell r="C156" t="str">
            <v>P2</v>
          </cell>
        </row>
        <row r="157">
          <cell r="A157" t="str">
            <v>PHX-GMHUB-151</v>
          </cell>
          <cell r="B157" t="str">
            <v>GFXHUB:GCUTCL2:VML2 - CAM/filter to avoid duplicate table-walk reads</v>
          </cell>
          <cell r="C157" t="str">
            <v>P2</v>
          </cell>
        </row>
        <row r="158">
          <cell r="A158" t="str">
            <v>PHX-GMHUB-152</v>
          </cell>
          <cell r="B158" t="str">
            <v>GFXHUB:GCUTCL2:VML2 - GPA Mode</v>
          </cell>
          <cell r="C158" t="str">
            <v>P2</v>
          </cell>
        </row>
        <row r="159">
          <cell r="A159" t="str">
            <v>PHX-GMHUB-153</v>
          </cell>
          <cell r="B159" t="str">
            <v>GFXHUB:GCUTCL2:VML2 - Range-based UTCL1 and VML1 invalidation</v>
          </cell>
          <cell r="C159" t="str">
            <v>P2</v>
          </cell>
        </row>
        <row r="160">
          <cell r="A160" t="str">
            <v>PHX-GMHUB-154</v>
          </cell>
          <cell r="B160" t="str">
            <v>GFXHUB:GCUTCL2:VML2 - TLBi Support - Invalidation rates of 1TB VA, 32M invalidates/sec</v>
          </cell>
          <cell r="C160" t="str">
            <v>P2</v>
          </cell>
        </row>
        <row r="161">
          <cell r="A161" t="str">
            <v>PHX-GMHUB-155</v>
          </cell>
          <cell r="B161" t="str">
            <v>GFXHUB:GCUTCL2:VML2 - GPU VM Enable bitmap aka VMID Fence</v>
          </cell>
          <cell r="C161" t="str">
            <v>N/A</v>
          </cell>
        </row>
        <row r="162">
          <cell r="A162" t="str">
            <v>PHX-GMHUB-156</v>
          </cell>
          <cell r="B162" t="str">
            <v>GFXHUB:GCUTCL2:VML2 - Page table walker read throttling</v>
          </cell>
          <cell r="C162" t="str">
            <v>P2</v>
          </cell>
        </row>
        <row r="163">
          <cell r="A163" t="str">
            <v>PHX-GMHUB-157</v>
          </cell>
          <cell r="B163" t="str">
            <v>GFXHUB:GCUTCL2:VML2 - Full GCR Support</v>
          </cell>
          <cell r="C163" t="str">
            <v>P2</v>
          </cell>
        </row>
        <row r="164">
          <cell r="A164" t="str">
            <v>PHX-GMHUB-158</v>
          </cell>
          <cell r="B164" t="str">
            <v>GFXHUB:GCUTCL2:VML2 - Return invalid V=0 PA to GCR w/o generating an intr</v>
          </cell>
          <cell r="C164" t="str">
            <v>P2</v>
          </cell>
        </row>
        <row r="165">
          <cell r="A165" t="str">
            <v>PHX-GMHUB-159</v>
          </cell>
          <cell r="B165" t="str">
            <v>GFXHUB:GCUTCL2:VML2 - Register bits that enable software to control hit/miss behaviour on invalid ptes in cache</v>
          </cell>
          <cell r="C165" t="str">
            <v>P2</v>
          </cell>
        </row>
        <row r="166">
          <cell r="A166" t="str">
            <v>PHX-GMHUB-160</v>
          </cell>
          <cell r="B166" t="str">
            <v>GFXHUB:GCUTCL2:VML2 - Register bits that enable software to control hit/miss behaviour on permission mismatch in cache</v>
          </cell>
          <cell r="C166" t="str">
            <v>P2</v>
          </cell>
        </row>
        <row r="167">
          <cell r="A167" t="str">
            <v>PHX-GMHUB-161</v>
          </cell>
          <cell r="B167" t="str">
            <v>GFXHUB:GCUTCL2:VML2 - Register bits that enable software to control hit/miss behaviour on page migration(R=W=0) in cache</v>
          </cell>
          <cell r="C167" t="str">
            <v>P2</v>
          </cell>
        </row>
        <row r="168">
          <cell r="A168" t="str">
            <v>PHX-GMHUB-162</v>
          </cell>
          <cell r="B168" t="str">
            <v>GFXHUB:GCUTCL2:VML2 - Programmable “smallK” size</v>
          </cell>
          <cell r="C168" t="str">
            <v>P2</v>
          </cell>
        </row>
        <row r="169">
          <cell r="A169" t="str">
            <v>PHX-GMHUB-163</v>
          </cell>
          <cell r="B169" t="str">
            <v>GFXHUB:GCUTCL2:VML2 - Walker prioritization for ACV requests - Give priority to ACV requests during page table walks</v>
          </cell>
          <cell r="C169" t="str">
            <v>N/A</v>
          </cell>
        </row>
        <row r="170">
          <cell r="A170" t="str">
            <v>PHX-GMHUB-164</v>
          </cell>
          <cell r="B170" t="str">
            <v>GFXHUB:GCUTCL2:VML2 - Trusted Memory Zone (TMZ) Secure Filtering</v>
          </cell>
          <cell r="C170" t="str">
            <v>P2</v>
          </cell>
        </row>
        <row r="171">
          <cell r="A171" t="str">
            <v>PHX-GMHUB-165</v>
          </cell>
          <cell r="B171" t="str">
            <v>GFXHUB:GCUTCL2:VML2 - Invalidate by Address Range and VMID aka "Sharpshooting"</v>
          </cell>
          <cell r="C171" t="str">
            <v>P2</v>
          </cell>
        </row>
        <row r="172">
          <cell r="A172" t="str">
            <v>PHX-GMHUB-166</v>
          </cell>
          <cell r="B172" t="str">
            <v>GFXHUB:GCUTCL2:VML2 - Lightweight/Heavyweight flush-type invalidation aka GPUVM –ATC like invalidations</v>
          </cell>
          <cell r="C172" t="str">
            <v>P2</v>
          </cell>
        </row>
        <row r="173">
          <cell r="A173" t="str">
            <v>PHX-GMHUB-167</v>
          </cell>
          <cell r="B173" t="str">
            <v>GFXHUB:GCUTCL2:VML2 - Page Tables Levels</v>
          </cell>
          <cell r="C173" t="str">
            <v>P2</v>
          </cell>
        </row>
        <row r="174">
          <cell r="A174" t="str">
            <v>PHX-GMHUB-168</v>
          </cell>
          <cell r="B174" t="str">
            <v>GFXHUB:GCUTCL2:VML2 - PDE Attributes</v>
          </cell>
          <cell r="C174" t="str">
            <v>P1</v>
          </cell>
        </row>
        <row r="175">
          <cell r="A175" t="str">
            <v>PHX-GMHUB-169</v>
          </cell>
          <cell r="B175" t="str">
            <v>GFXHUB:GCUTCL2:VML2 - PTE Attributes</v>
          </cell>
          <cell r="C175" t="str">
            <v>P2</v>
          </cell>
        </row>
        <row r="176">
          <cell r="A176" t="str">
            <v>PHX-GMHUB-170</v>
          </cell>
          <cell r="B176" t="str">
            <v>GFXHUB:GCUTCL2:VML2 - PTE permissions returned</v>
          </cell>
          <cell r="C176" t="str">
            <v>P2</v>
          </cell>
        </row>
        <row r="177">
          <cell r="A177" t="str">
            <v>PHX-GMHUB-171</v>
          </cell>
          <cell r="B177" t="str">
            <v>GFXHUB:GCUTCL2:VML2 - Increase MTYPE from 2 to 3 bits</v>
          </cell>
          <cell r="C177" t="str">
            <v>P2</v>
          </cell>
        </row>
        <row r="178">
          <cell r="A178" t="str">
            <v>PHX-GMHUB-172</v>
          </cell>
          <cell r="B178" t="str">
            <v>GFXHUB:GCUTCL2:VML2 - Translate Further/PTE.F bit</v>
          </cell>
          <cell r="C178" t="str">
            <v>P1</v>
          </cell>
        </row>
        <row r="179">
          <cell r="A179" t="str">
            <v>PHX-GMHUB-173</v>
          </cell>
          <cell r="B179" t="str">
            <v>GFXHUB:GCUTCL2:VML2 - GPUVM fault with retry/XNACK interface</v>
          </cell>
          <cell r="C179" t="str">
            <v>P2</v>
          </cell>
        </row>
        <row r="180">
          <cell r="A180" t="str">
            <v>PHX-GMHUB-174</v>
          </cell>
          <cell r="B180" t="str">
            <v>GFXHUB:GCUTCL2:VML2 - Support for 2MB, 1G, 512GB pages aka PDE Block Fragment Size</v>
          </cell>
          <cell r="C180" t="str">
            <v>P2</v>
          </cell>
        </row>
        <row r="181">
          <cell r="A181" t="str">
            <v>PHX-GMHUB-175</v>
          </cell>
          <cell r="B181" t="str">
            <v>GFXHUB:GCUTCL2:VML2 - 44b PA</v>
          </cell>
          <cell r="C181" t="str">
            <v>P2</v>
          </cell>
        </row>
        <row r="182">
          <cell r="A182" t="str">
            <v>PHX-GMHUB-176</v>
          </cell>
          <cell r="B182" t="str">
            <v>GFXHUB:GCUTCL2:VML2 - L bit in PTE</v>
          </cell>
          <cell r="C182" t="str">
            <v>P2</v>
          </cell>
        </row>
        <row r="183">
          <cell r="A183" t="str">
            <v>PHX-GMHUB-177</v>
          </cell>
          <cell r="B183" t="str">
            <v>GFXHUB:GCUTCL2:VML2 - Page Migration Retry state</v>
          </cell>
          <cell r="C183" t="str">
            <v>P2</v>
          </cell>
        </row>
        <row r="184">
          <cell r="A184" t="str">
            <v>PHX-GMHUB-178</v>
          </cell>
          <cell r="B184" t="str">
            <v>GFXHUB:GCUTCL2:VML2 - VA to PA translation log</v>
          </cell>
          <cell r="C184" t="str">
            <v>N/A</v>
          </cell>
        </row>
        <row r="185">
          <cell r="A185" t="str">
            <v>PHX-GMHUB-179</v>
          </cell>
          <cell r="B185" t="str">
            <v>GFXHUB:GCUTCL2:VML2 - PTE.M - Mtype - Override “CC” to “UC”</v>
          </cell>
          <cell r="C185" t="str">
            <v>P2</v>
          </cell>
        </row>
        <row r="186">
          <cell r="A186" t="str">
            <v>PHX-GMHUB-180</v>
          </cell>
          <cell r="B186" t="str">
            <v>GFXHUB:GCUTCL2:VML2 - VML2 BigK/4K Cache Swap</v>
          </cell>
          <cell r="C186" t="str">
            <v>P2</v>
          </cell>
        </row>
        <row r="187">
          <cell r="A187" t="str">
            <v>PHX-GMHUB-181</v>
          </cell>
          <cell r="B187" t="str">
            <v>GFXHUB:GCUTCL2:VML2 - Steering Registers</v>
          </cell>
          <cell r="C187" t="str">
            <v>P2</v>
          </cell>
        </row>
        <row r="188">
          <cell r="A188" t="str">
            <v>PHX-GMHUB-182</v>
          </cell>
          <cell r="B188" t="str">
            <v>GFXHUB:GCUTCL2:VML2 - "is_local" enable / disable register</v>
          </cell>
          <cell r="C188" t="str">
            <v>P2</v>
          </cell>
        </row>
        <row r="189">
          <cell r="A189" t="str">
            <v>PHX-GMHUB-183</v>
          </cell>
          <cell r="B189" t="str">
            <v>GFXHUB:GCUTCL2:VML2 - Mtype Attribute</v>
          </cell>
          <cell r="C189" t="str">
            <v>P2</v>
          </cell>
        </row>
        <row r="190">
          <cell r="A190" t="str">
            <v>PHX-GMHUB-184</v>
          </cell>
          <cell r="B190" t="str">
            <v>GFXHUB:GCUTCL2:VML2 - Qualify eXecute bit for gfx clients</v>
          </cell>
          <cell r="C190" t="str">
            <v>P2</v>
          </cell>
        </row>
        <row r="191">
          <cell r="A191" t="str">
            <v>PHX-GMHUB-185</v>
          </cell>
          <cell r="B191" t="str">
            <v>GFXHUB:GCUTCL2:VML2 - "noalloc" support (MALL)</v>
          </cell>
          <cell r="C191" t="str">
            <v>N/A</v>
          </cell>
        </row>
        <row r="192">
          <cell r="A192" t="str">
            <v>PHX-GMHUB-186</v>
          </cell>
          <cell r="B192" t="str">
            <v>GFXHUB:GCUTCL2:VML2 - SA/SE Harvesting</v>
          </cell>
          <cell r="C192" t="str">
            <v>P2</v>
          </cell>
        </row>
        <row r="193">
          <cell r="A193" t="str">
            <v>PHX-GMHUB-187</v>
          </cell>
          <cell r="B193" t="str">
            <v>GFXHUB:GCUTCL2:VML2 - Programmable bank select in UTCL1/UTCL2</v>
          </cell>
          <cell r="C193" t="str">
            <v>P1</v>
          </cell>
        </row>
        <row r="194">
          <cell r="A194" t="str">
            <v>PHX-GMHUB-188</v>
          </cell>
          <cell r="B194" t="str">
            <v>GFXHUB:GCUTCL2:VML2 - Per VF BigK/SmallK/Bank_Select Support</v>
          </cell>
          <cell r="C194" t="str">
            <v>N/A</v>
          </cell>
        </row>
        <row r="195">
          <cell r="A195" t="str">
            <v>PHX-GMHUB-189</v>
          </cell>
          <cell r="B195" t="str">
            <v>GFXHUB:GCUTCL2:VML2 - Per VMID BigK support/SmallK/Bank_Select Support</v>
          </cell>
          <cell r="C195" t="str">
            <v>P2</v>
          </cell>
        </row>
        <row r="196">
          <cell r="A196" t="str">
            <v>PHX-GMHUB-190</v>
          </cell>
          <cell r="B196" t="str">
            <v>GFXHUB:GCUTCL2:VML2 - GPUVM L2 cache read/dump capabilities</v>
          </cell>
          <cell r="C196" t="str">
            <v>P2</v>
          </cell>
        </row>
        <row r="197">
          <cell r="A197" t="str">
            <v>PHX-GMHUB-191</v>
          </cell>
          <cell r="B197" t="str">
            <v>GFXHUB:GCUTCL2:VML2 - A(MD) + A(MD) mode</v>
          </cell>
          <cell r="C197" t="str">
            <v>N/A</v>
          </cell>
        </row>
        <row r="198">
          <cell r="A198" t="str">
            <v>PHX-GMHUB-192</v>
          </cell>
          <cell r="B198" t="str">
            <v>GFXHUB:GCUTCL2:VML2 - Virtual FIFOs to maximize bank probes</v>
          </cell>
          <cell r="C198" t="str">
            <v>P1</v>
          </cell>
        </row>
        <row r="199">
          <cell r="A199" t="str">
            <v>PHX-GMHUB-193</v>
          </cell>
          <cell r="B199" t="str">
            <v>GFXHUB:GCUTCL2:ATCL2 - Caches</v>
          </cell>
          <cell r="C199" t="str">
            <v>P2</v>
          </cell>
        </row>
        <row r="200">
          <cell r="A200" t="str">
            <v>PHX-GMHUB-194</v>
          </cell>
          <cell r="B200" t="str">
            <v>GFXHUB:GCUTCL2:ATCL2 - Flexible Frame-Buffer Mapping (FFBM)</v>
          </cell>
          <cell r="C200" t="str">
            <v>N/A</v>
          </cell>
        </row>
        <row r="201">
          <cell r="A201" t="str">
            <v>PHX-GMHUB-195</v>
          </cell>
          <cell r="B201" t="str">
            <v>GFXHUB:GCUTCL2:ATCL2 - Virtual FIFOs</v>
          </cell>
          <cell r="C201" t="str">
            <v>P1</v>
          </cell>
        </row>
        <row r="202">
          <cell r="A202" t="str">
            <v>PHX-GMHUB-196</v>
          </cell>
          <cell r="B202" t="str">
            <v>GFXHUB:GCUTCL2:ATCL2 - Console IOV (Pseudo-IOV) - Support multiple VMID_VEC for invalidation</v>
          </cell>
          <cell r="C202" t="str">
            <v>P2</v>
          </cell>
        </row>
        <row r="203">
          <cell r="A203" t="str">
            <v>PHX-GMHUB-197</v>
          </cell>
          <cell r="B203" t="str">
            <v>GFXHUB:GCUTCL2:ATCL2 - U-bit support</v>
          </cell>
          <cell r="C203" t="str">
            <v>P2</v>
          </cell>
        </row>
        <row r="204">
          <cell r="A204" t="str">
            <v>PHX-GMHUB-198</v>
          </cell>
          <cell r="B204" t="str">
            <v>GFXHUB:GCUTCL2:ATCL2 - Snoop Override</v>
          </cell>
          <cell r="C204" t="str">
            <v>P2</v>
          </cell>
        </row>
        <row r="205">
          <cell r="A205" t="str">
            <v>PHX-GMHUB-199</v>
          </cell>
          <cell r="B205" t="str">
            <v>GFXHUB:GCUTCL2:ATCL2 - Invalidate by Address Range and VMID aka "Sharpshooting"</v>
          </cell>
          <cell r="C205" t="str">
            <v>P2</v>
          </cell>
        </row>
        <row r="206">
          <cell r="A206" t="str">
            <v>PHX-GMHUB-200</v>
          </cell>
          <cell r="B206" t="str">
            <v>GFXHUB:GCUTCL2:ATCL2 - lightweight/heavyweight flush-type invalidation</v>
          </cell>
          <cell r="C206" t="str">
            <v>P2</v>
          </cell>
        </row>
        <row r="207">
          <cell r="A207" t="str">
            <v>PHX-GMHUB-201</v>
          </cell>
          <cell r="B207" t="str">
            <v>GFXHUB:GCUTCL2:ATCL2 - Swappable smallK/midk/bigK caches</v>
          </cell>
          <cell r="C207" t="str">
            <v>P2</v>
          </cell>
        </row>
        <row r="208">
          <cell r="A208" t="str">
            <v>PHX-GMHUB-202</v>
          </cell>
          <cell r="B208" t="str">
            <v>GFXHUB:GCUTCL2:ATCL2 - Work Queue for translation request</v>
          </cell>
          <cell r="C208" t="str">
            <v>P2</v>
          </cell>
        </row>
        <row r="209">
          <cell r="A209" t="str">
            <v>PHX-GMHUB-203</v>
          </cell>
          <cell r="B209" t="str">
            <v>GFXHUB:GCUTCL2:ATCL2 - Work queue QoS</v>
          </cell>
          <cell r="C209" t="str">
            <v>P2</v>
          </cell>
        </row>
        <row r="210">
          <cell r="A210" t="str">
            <v>PHX-GMHUB-204</v>
          </cell>
          <cell r="B210" t="str">
            <v>GFXHUB:GCUTCL2:ATCL2 - Combines both VM and ATC translations into one response</v>
          </cell>
          <cell r="C210" t="str">
            <v>P2</v>
          </cell>
        </row>
        <row r="211">
          <cell r="A211" t="str">
            <v>PHX-GMHUB-205</v>
          </cell>
          <cell r="B211" t="str">
            <v>GFXHUB:GCUTCL2:ATCL2 - PTE permissions returned</v>
          </cell>
          <cell r="C211" t="str">
            <v>P2</v>
          </cell>
        </row>
        <row r="212">
          <cell r="A212" t="str">
            <v>PHX-GMHUB-206</v>
          </cell>
          <cell r="B212" t="str">
            <v>GFXHUB:GCUTCL2:ATCL2 - Quiesce ATCL2 &lt;-&gt; ATHUB address translation SDP interface (GC and MM</v>
          </cell>
          <cell r="C212" t="str">
            <v>P1</v>
          </cell>
        </row>
        <row r="213">
          <cell r="A213" t="str">
            <v>PHX-GMHUB-207</v>
          </cell>
          <cell r="B213" t="str">
            <v>GFXHUB:MAM - Access Logger</v>
          </cell>
          <cell r="C213" t="str">
            <v>N/A</v>
          </cell>
        </row>
        <row r="214">
          <cell r="A214" t="str">
            <v>PHX-GMHUB-208</v>
          </cell>
          <cell r="B214" t="str">
            <v>GFXHUB:MAM - Access/Dirty-bit ram</v>
          </cell>
          <cell r="C214" t="str">
            <v>N/A</v>
          </cell>
        </row>
        <row r="215">
          <cell r="A215" t="str">
            <v>PHX-GMHUB-209</v>
          </cell>
          <cell r="B215" t="str">
            <v>GFXHUB:MAM - Configuration Registers</v>
          </cell>
          <cell r="C215" t="str">
            <v>N/A</v>
          </cell>
        </row>
        <row r="216">
          <cell r="A216" t="str">
            <v>PHX-GMHUB-210</v>
          </cell>
          <cell r="B216" t="str">
            <v>GFXHUB:MAM- SRAM FGCG</v>
          </cell>
          <cell r="C216" t="str">
            <v>N/A</v>
          </cell>
        </row>
        <row r="217">
          <cell r="A217" t="str">
            <v>PHX-GMHUB-211</v>
          </cell>
          <cell r="B217" t="str">
            <v>GFXHUB:MAM - MGCG</v>
          </cell>
          <cell r="C217" t="str">
            <v>N/A</v>
          </cell>
        </row>
        <row r="218">
          <cell r="A218" t="str">
            <v>PHX-GMHUB-212</v>
          </cell>
          <cell r="B218" t="str">
            <v>GFXHUB:GCEA - Physical Addressing</v>
          </cell>
          <cell r="C218" t="str">
            <v>P2</v>
          </cell>
        </row>
        <row r="219">
          <cell r="A219" t="str">
            <v>PHX-GMHUB-213</v>
          </cell>
          <cell r="B219" t="str">
            <v>GFXHUB:GCEA - Data bus</v>
          </cell>
          <cell r="C219" t="str">
            <v>P2</v>
          </cell>
        </row>
        <row r="220">
          <cell r="A220" t="str">
            <v>PHX-GMHUB-214</v>
          </cell>
          <cell r="B220" t="str">
            <v>GFXHUB:GCEA - Number of GCEAs Supported</v>
          </cell>
          <cell r="C220" t="str">
            <v>P2</v>
          </cell>
        </row>
        <row r="221">
          <cell r="A221" t="str">
            <v>PHX-GMHUB-215</v>
          </cell>
          <cell r="B221" t="str">
            <v>GFXHUB:GCEA - Safe TDR</v>
          </cell>
          <cell r="C221" t="str">
            <v>P2</v>
          </cell>
        </row>
        <row r="222">
          <cell r="A222" t="str">
            <v>PHX-GMHUB-216</v>
          </cell>
          <cell r="B222" t="str">
            <v xml:space="preserve">GFXHUB:GCEA - Removal of DF invalidation probe </v>
          </cell>
          <cell r="C222" t="str">
            <v>N/A</v>
          </cell>
        </row>
        <row r="223">
          <cell r="A223" t="str">
            <v>PHX-GMHUB-217</v>
          </cell>
          <cell r="B223" t="str">
            <v>GFXHUB:GCEA - Support new interleaves between channels</v>
          </cell>
          <cell r="C223" t="str">
            <v>N/A</v>
          </cell>
        </row>
        <row r="224">
          <cell r="A224" t="str">
            <v>PHX-GMHUB-218</v>
          </cell>
          <cell r="B224" t="str">
            <v>GFXHUB:GCEA - GECC</v>
          </cell>
          <cell r="C224" t="str">
            <v>N/A</v>
          </cell>
        </row>
        <row r="225">
          <cell r="A225" t="str">
            <v>PHX-GMHUB-219</v>
          </cell>
          <cell r="B225" t="str">
            <v xml:space="preserve">GFXHUB:GCEA - Programmable priority per client group on SDP </v>
          </cell>
          <cell r="C225" t="str">
            <v>N/A</v>
          </cell>
        </row>
        <row r="226">
          <cell r="A226" t="str">
            <v>PHX-GMHUB-220</v>
          </cell>
          <cell r="B226" t="str">
            <v>GFXHUB:GCEA - Programmable security level on SDP per client</v>
          </cell>
          <cell r="C226" t="str">
            <v>P2</v>
          </cell>
        </row>
        <row r="227">
          <cell r="A227" t="str">
            <v>PHX-GMHUB-221</v>
          </cell>
          <cell r="B227" t="str">
            <v>GFXHUB:GCEA - Non-power-of-2-channel</v>
          </cell>
          <cell r="C227" t="str">
            <v>N/A</v>
          </cell>
        </row>
        <row r="228">
          <cell r="A228" t="str">
            <v>PHX-GMHUB-222</v>
          </cell>
          <cell r="B228" t="str">
            <v>GFXHUB:GCEA - Age-based Arbitration</v>
          </cell>
          <cell r="C228" t="str">
            <v>P2</v>
          </cell>
        </row>
        <row r="229">
          <cell r="A229" t="str">
            <v>PHX-GMHUB-223</v>
          </cell>
          <cell r="B229" t="str">
            <v>GFXHUB:GCEA - Write-Request Accumulation</v>
          </cell>
          <cell r="C229" t="str">
            <v>P2</v>
          </cell>
        </row>
        <row r="230">
          <cell r="A230" t="str">
            <v>PHX-GMHUB-224</v>
          </cell>
          <cell r="B230" t="str">
            <v>GFXHUB:GCEA - Arbiters</v>
          </cell>
          <cell r="C230" t="str">
            <v>P2</v>
          </cell>
        </row>
        <row r="231">
          <cell r="A231" t="str">
            <v>PHX-GMHUB-225</v>
          </cell>
          <cell r="B231" t="str">
            <v>GFXHUB:GCEA - SDP request tags</v>
          </cell>
          <cell r="C231" t="str">
            <v>P2</v>
          </cell>
        </row>
        <row r="232">
          <cell r="A232" t="str">
            <v>PHX-GMHUB-226</v>
          </cell>
          <cell r="B232" t="str">
            <v>GFXHUB:GCEA - "noalloc" support (MALL)</v>
          </cell>
          <cell r="C232" t="str">
            <v>N/A</v>
          </cell>
        </row>
        <row r="233">
          <cell r="A233" t="str">
            <v>PHX-GMHUB-227</v>
          </cell>
          <cell r="B233" t="str">
            <v>GFXHUB:GCEA - 64 byte single-operand</v>
          </cell>
          <cell r="C233" t="str">
            <v>N/A</v>
          </cell>
        </row>
        <row r="234">
          <cell r="A234" t="str">
            <v>PHX-GMHUB-228</v>
          </cell>
          <cell r="B234" t="str">
            <v>GFXHUB:GCEA:RAS - SDP ErrEvent</v>
          </cell>
          <cell r="C234" t="str">
            <v>N/A</v>
          </cell>
        </row>
        <row r="235">
          <cell r="A235" t="str">
            <v>PHX-GMHUB-229</v>
          </cell>
          <cell r="B235" t="str">
            <v>GFXHUB:GCEA:RAS - Data Poison Propagation</v>
          </cell>
          <cell r="C235" t="str">
            <v>N/A</v>
          </cell>
        </row>
        <row r="236">
          <cell r="A236" t="str">
            <v>PHX-GMHUB-230</v>
          </cell>
          <cell r="B236" t="str">
            <v>GFXHUB:GCEA:RAS - RSMU power management interrupt sources</v>
          </cell>
          <cell r="C236" t="str">
            <v>N/A</v>
          </cell>
        </row>
        <row r="237">
          <cell r="A237" t="str">
            <v>PHX-GMHUB-231</v>
          </cell>
          <cell r="B237" t="str">
            <v>GFXHUB:GUS - CH Interface</v>
          </cell>
          <cell r="C237" t="str">
            <v>N/A</v>
          </cell>
        </row>
        <row r="238">
          <cell r="A238" t="str">
            <v>PHX-GMHUB-232</v>
          </cell>
          <cell r="B238" t="str">
            <v>GFXHUB:GUS - SA Interface</v>
          </cell>
          <cell r="C238" t="str">
            <v>N/A</v>
          </cell>
        </row>
        <row r="239">
          <cell r="A239" t="str">
            <v>PHX-GMHUB-233</v>
          </cell>
          <cell r="B239" t="str">
            <v>GFXHUB:GUS - MALL (noalloc) support</v>
          </cell>
          <cell r="C239" t="str">
            <v>N/A</v>
          </cell>
        </row>
        <row r="240">
          <cell r="A240" t="str">
            <v>PHX-GMHUB-234</v>
          </cell>
          <cell r="B240" t="str">
            <v>GFXHUB:GUS - Safe TDR</v>
          </cell>
          <cell r="C240" t="str">
            <v>N/A</v>
          </cell>
        </row>
        <row r="241">
          <cell r="A241" t="str">
            <v>PHX-GMHUB-235</v>
          </cell>
          <cell r="B241" t="str">
            <v>GFXHUB:GUS - Data Poison Propagation</v>
          </cell>
          <cell r="C241" t="str">
            <v>N/A</v>
          </cell>
        </row>
        <row r="242">
          <cell r="A242" t="str">
            <v>PHX-GMHUB-236</v>
          </cell>
          <cell r="B242" t="str">
            <v>GFXHUB:GUS - Sideband GRBM Context ID</v>
          </cell>
          <cell r="C242" t="str">
            <v>N/A</v>
          </cell>
        </row>
        <row r="243">
          <cell r="A243" t="str">
            <v>PHX-GMHUB-237</v>
          </cell>
          <cell r="B243" t="str">
            <v>GFXHUB:GUS - Switch clock gaters to ICG</v>
          </cell>
          <cell r="C243" t="str">
            <v>N/A</v>
          </cell>
        </row>
        <row r="244">
          <cell r="A244" t="str">
            <v>PHX-GMHUB-238</v>
          </cell>
          <cell r="B244" t="str">
            <v>ATHUB:SOC - GPU Virtualization</v>
          </cell>
          <cell r="C244" t="str">
            <v>N/A</v>
          </cell>
        </row>
        <row r="245">
          <cell r="A245" t="str">
            <v>PHX-GMHUB-239</v>
          </cell>
          <cell r="B245" t="str">
            <v>ATHUB:ATS - Page Migration</v>
          </cell>
          <cell r="C245" t="str">
            <v>N/A</v>
          </cell>
        </row>
        <row r="246">
          <cell r="A246" t="str">
            <v>PHX-GMHUB-240</v>
          </cell>
          <cell r="B246" t="str">
            <v>ATHUB:RPB - Support more arbitration method between different streams and channels</v>
          </cell>
          <cell r="C246" t="str">
            <v>P1</v>
          </cell>
        </row>
        <row r="247">
          <cell r="A247" t="str">
            <v>PHX-GMHUB-241</v>
          </cell>
          <cell r="B247" t="str">
            <v>ATHUB:RPB - Add vc0 in IO traffic to support ZFB</v>
          </cell>
          <cell r="C247" t="str">
            <v>N/A</v>
          </cell>
        </row>
        <row r="248">
          <cell r="A248" t="str">
            <v>PHX-GMHUB-242</v>
          </cell>
          <cell r="B248" t="str">
            <v>ATHUB:RAS - SRAM ECC + error injection</v>
          </cell>
          <cell r="C248" t="str">
            <v>N/A</v>
          </cell>
        </row>
        <row r="249">
          <cell r="A249" t="str">
            <v>PHX-GMHUB-243</v>
          </cell>
          <cell r="B249" t="str">
            <v>ATHUB:RAS - Poison Data propagation</v>
          </cell>
          <cell r="C249" t="str">
            <v>N/A</v>
          </cell>
        </row>
        <row r="250">
          <cell r="A250" t="str">
            <v>PHX-GMHUB-244</v>
          </cell>
          <cell r="B250" t="str">
            <v>ATHUB:RAS - Data Poison Consumption</v>
          </cell>
          <cell r="C250" t="str">
            <v>N/A</v>
          </cell>
        </row>
        <row r="251">
          <cell r="A251" t="str">
            <v>PHX-GMHUB-245</v>
          </cell>
          <cell r="B251" t="str">
            <v>ATHUB:RAS - Fatal Error Generation</v>
          </cell>
          <cell r="C251" t="str">
            <v>N/A</v>
          </cell>
        </row>
        <row r="252">
          <cell r="A252" t="str">
            <v>PHX-GMHUB-246</v>
          </cell>
          <cell r="B252" t="str">
            <v>ATHUB:RAS - Warm-reset</v>
          </cell>
          <cell r="C252" t="str">
            <v>N/A</v>
          </cell>
        </row>
        <row r="253">
          <cell r="A253" t="str">
            <v>PHX-GMHUB-247</v>
          </cell>
          <cell r="B253" t="str">
            <v>ATHUB:SOC - SOC-15 SDP interfaces (SOC-15 baseline)</v>
          </cell>
          <cell r="C253" t="str">
            <v>P2</v>
          </cell>
        </row>
        <row r="254">
          <cell r="A254" t="str">
            <v>PHX-GMHUB-248</v>
          </cell>
          <cell r="B254" t="str">
            <v>ATHUB:SOC - SOC-15 SCF interfaces (SOC-15 baseline)</v>
          </cell>
          <cell r="C254" t="str">
            <v>P2</v>
          </cell>
        </row>
        <row r="255">
          <cell r="A255" t="str">
            <v>PHX-GMHUB-249</v>
          </cell>
          <cell r="B255" t="str">
            <v>ATHUB:SOC - VDCI on GFX SDP interfaces</v>
          </cell>
          <cell r="C255" t="str">
            <v>P2</v>
          </cell>
        </row>
        <row r="256">
          <cell r="A256" t="str">
            <v>PHX-GMHUB-250</v>
          </cell>
          <cell r="B256" t="str">
            <v>ATHUB:SOC - VDCI on DF SDP interfaces</v>
          </cell>
          <cell r="C256" t="str">
            <v>P2</v>
          </cell>
        </row>
        <row r="257">
          <cell r="A257" t="str">
            <v>PHX-GMHUB-251</v>
          </cell>
          <cell r="B257" t="str">
            <v>ATHUB:SOC - OpenCL Platform Atomics</v>
          </cell>
          <cell r="C257" t="str">
            <v>P2</v>
          </cell>
        </row>
        <row r="258">
          <cell r="A258" t="str">
            <v>PHX-GMHUB-252</v>
          </cell>
          <cell r="B258" t="str">
            <v>ATHUB:SOC - GPU Virtualization</v>
          </cell>
          <cell r="C258" t="str">
            <v>N/A</v>
          </cell>
        </row>
        <row r="259">
          <cell r="A259" t="str">
            <v>PHX-GMHUB-253</v>
          </cell>
          <cell r="B259" t="str">
            <v>ATHUB:ATS - SOC-15 QoS 1.0 (Qos for mmhub translation)</v>
          </cell>
          <cell r="C259" t="str">
            <v>P2</v>
          </cell>
        </row>
        <row r="260">
          <cell r="A260" t="str">
            <v>PHX-GMHUB-254</v>
          </cell>
          <cell r="B260" t="str">
            <v>ATHUB:ATS - Address Translation Requests and Completions</v>
          </cell>
          <cell r="C260" t="str">
            <v>P2</v>
          </cell>
        </row>
        <row r="261">
          <cell r="A261" t="str">
            <v>PHX-GMHUB-255</v>
          </cell>
          <cell r="B261" t="str">
            <v>ATHUB:ATS - PRI Page Requests and Responses</v>
          </cell>
          <cell r="C261" t="str">
            <v>P2</v>
          </cell>
        </row>
        <row r="262">
          <cell r="A262" t="str">
            <v>PHX-GMHUB-256</v>
          </cell>
          <cell r="B262" t="str">
            <v>ATHUB:ATS - Invalidate Requests and Completions</v>
          </cell>
          <cell r="C262" t="str">
            <v>P2</v>
          </cell>
        </row>
        <row r="263">
          <cell r="A263" t="str">
            <v>PHX-GMHUB-257</v>
          </cell>
          <cell r="B263" t="str">
            <v>ATHUB:ATS - Invalidation Flow Stall</v>
          </cell>
          <cell r="C263" t="str">
            <v>P2</v>
          </cell>
        </row>
        <row r="264">
          <cell r="A264" t="str">
            <v>PHX-GMHUB-258</v>
          </cell>
          <cell r="B264" t="str">
            <v>ATHUB:ATS - ATC Host Trans Enable Mode</v>
          </cell>
          <cell r="C264" t="str">
            <v>P2</v>
          </cell>
        </row>
        <row r="265">
          <cell r="A265" t="str">
            <v>PHX-GMHUB-259</v>
          </cell>
          <cell r="B265" t="str">
            <v>ATHUB:ATS - Support PASID</v>
          </cell>
          <cell r="C265" t="str">
            <v>P2</v>
          </cell>
        </row>
        <row r="266">
          <cell r="A266" t="str">
            <v>PHX-GMHUB-260</v>
          </cell>
          <cell r="B266" t="str">
            <v>ATHUB:ATS - VMID-&gt;PASID table security</v>
          </cell>
          <cell r="C266" t="str">
            <v>P2</v>
          </cell>
        </row>
        <row r="267">
          <cell r="A267" t="str">
            <v>PHX-GMHUB-261</v>
          </cell>
          <cell r="B267" t="str">
            <v>ATHUB:ATS - Page Migration</v>
          </cell>
          <cell r="C267" t="str">
            <v>N/A</v>
          </cell>
        </row>
        <row r="268">
          <cell r="A268" t="str">
            <v>PHX-GMHUB-262</v>
          </cell>
          <cell r="B268" t="str">
            <v>ATHUB:ATS - Fault check and control</v>
          </cell>
          <cell r="C268" t="str">
            <v>P2</v>
          </cell>
        </row>
        <row r="269">
          <cell r="A269" t="str">
            <v>PHX-GMHUB-263</v>
          </cell>
          <cell r="B269" t="str">
            <v>ATHUB:ATS - Console IOV (Pseudo-IOV) - VMID-&gt;VFID mapping for ATS req to RPB</v>
          </cell>
          <cell r="C269" t="str">
            <v>P2</v>
          </cell>
        </row>
        <row r="270">
          <cell r="A270" t="str">
            <v>PHX-GMHUB-264</v>
          </cell>
          <cell r="B270" t="str">
            <v>ATHUB:ATS - Console IOV (Pseudo-IOV) - VFID-&gt;VMID mapping for invalidation requests to UTCL2</v>
          </cell>
          <cell r="C270" t="str">
            <v>P2</v>
          </cell>
        </row>
        <row r="271">
          <cell r="A271" t="str">
            <v>PHX-GMHUB-265</v>
          </cell>
          <cell r="B271" t="str">
            <v>ATHUB:ATS - Console IOV (Pseudo-IOV) - address range based host invalidation</v>
          </cell>
          <cell r="C271" t="str">
            <v>P2</v>
          </cell>
        </row>
        <row r="272">
          <cell r="A272" t="str">
            <v>PHX-GMHUB-266</v>
          </cell>
          <cell r="B272" t="str">
            <v>ATHUB:RPB - Supports multiple VCs (SDP Virtual Channel)</v>
          </cell>
          <cell r="C272" t="str">
            <v>P2</v>
          </cell>
        </row>
        <row r="273">
          <cell r="A273" t="str">
            <v>PHX-GMHUB-267</v>
          </cell>
          <cell r="B273" t="str">
            <v>ATHUB:RPB - Supports write grouping (de-interleave ea write stream)
formerly:RPB to reassemble writes (Total GCEA/MMEA/DCE)</v>
          </cell>
          <cell r="C273" t="str">
            <v>P2</v>
          </cell>
        </row>
        <row r="274">
          <cell r="A274" t="str">
            <v>PHX-GMHUB-268</v>
          </cell>
          <cell r="B274" t="str">
            <v>ATHUB:RPB - Support configurable tag partition for read/write requests</v>
          </cell>
          <cell r="C274" t="str">
            <v>P2</v>
          </cell>
        </row>
        <row r="275">
          <cell r="A275" t="str">
            <v>PHX-GMHUB-269</v>
          </cell>
          <cell r="B275" t="str">
            <v>ATHUB:RPB - Support more arbitration method between different streams and channels</v>
          </cell>
          <cell r="C275" t="str">
            <v>P1</v>
          </cell>
        </row>
        <row r="276">
          <cell r="A276" t="str">
            <v>PHX-GMHUB-270</v>
          </cell>
          <cell r="B276" t="str">
            <v>ATHUB:RPB - P2P Traffic</v>
          </cell>
          <cell r="C276" t="str">
            <v>P2</v>
          </cell>
        </row>
        <row r="277">
          <cell r="A277" t="str">
            <v>PHX-GMHUB-271</v>
          </cell>
          <cell r="B277" t="str">
            <v>ATHUB:RPB - Add vc0 in IO traffic to support ZFB</v>
          </cell>
          <cell r="C277" t="str">
            <v>N/A</v>
          </cell>
        </row>
        <row r="278">
          <cell r="A278" t="str">
            <v>PHX-GMHUB-272</v>
          </cell>
          <cell r="B278" t="str">
            <v>ATHUB:RPB - Datapath Parity</v>
          </cell>
          <cell r="C278" t="str">
            <v>P2</v>
          </cell>
        </row>
        <row r="279">
          <cell r="A279" t="str">
            <v>PHX-GMHUB-273</v>
          </cell>
          <cell r="B279" t="str">
            <v>ATHUB:RAS - SRAM ECC + error injection</v>
          </cell>
          <cell r="C279" t="str">
            <v>N/A</v>
          </cell>
        </row>
        <row r="280">
          <cell r="A280" t="str">
            <v>PHX-GMHUB-274</v>
          </cell>
          <cell r="B280" t="str">
            <v>ATHUB:RAS - Poison Data propagation</v>
          </cell>
          <cell r="C280" t="str">
            <v>N/A</v>
          </cell>
        </row>
        <row r="281">
          <cell r="A281" t="str">
            <v>PHX-GMHUB-275</v>
          </cell>
          <cell r="B281" t="str">
            <v>ATHUB:RAS - Data Poison Consumption</v>
          </cell>
          <cell r="C281" t="str">
            <v>N/A</v>
          </cell>
        </row>
        <row r="282">
          <cell r="A282" t="str">
            <v>PHX-GMHUB-276</v>
          </cell>
          <cell r="B282" t="str">
            <v>ATHUB:RAS - Fatal Error Generation</v>
          </cell>
          <cell r="C282" t="str">
            <v>N/A</v>
          </cell>
        </row>
        <row r="283">
          <cell r="A283" t="str">
            <v>PHX-GMHUB-277</v>
          </cell>
          <cell r="B283" t="str">
            <v>ATHUB:RAS - Warm-reset</v>
          </cell>
          <cell r="C283" t="str">
            <v>N/A</v>
          </cell>
        </row>
        <row r="284">
          <cell r="A284" t="str">
            <v>PHX-GMHUB-278</v>
          </cell>
          <cell r="B284" t="str">
            <v>ATHUB:Power - Dynamic Clock Gating</v>
          </cell>
          <cell r="C284" t="str">
            <v>P2</v>
          </cell>
        </row>
        <row r="285">
          <cell r="A285" t="str">
            <v>PHX-GMHUB-279</v>
          </cell>
          <cell r="B285" t="str">
            <v>ATHUB:Power - Dynamic Power Gating</v>
          </cell>
          <cell r="C285" t="str">
            <v>P2</v>
          </cell>
        </row>
        <row r="286">
          <cell r="A286" t="str">
            <v>PHX-GMHUB-280</v>
          </cell>
          <cell r="B286" t="str">
            <v>ATHUB:Power - Z State Support</v>
          </cell>
          <cell r="C286" t="str">
            <v>P2</v>
          </cell>
        </row>
        <row r="287">
          <cell r="A287" t="str">
            <v>PHX-GMHUB-281</v>
          </cell>
          <cell r="B287" t="str">
            <v>ATHUB:Security - SOC15 Security</v>
          </cell>
          <cell r="C287" t="str">
            <v>P2</v>
          </cell>
        </row>
        <row r="288">
          <cell r="A288" t="str">
            <v>PHX-GMHUB-282</v>
          </cell>
          <cell r="B288" t="str">
            <v>ATHUB:Debug - Debug Bus</v>
          </cell>
          <cell r="C288" t="str">
            <v>P2</v>
          </cell>
        </row>
        <row r="289">
          <cell r="A289"/>
          <cell r="B289"/>
          <cell r="C289"/>
        </row>
        <row r="290">
          <cell r="A290" t="str">
            <v>Total Summary</v>
          </cell>
          <cell r="B290"/>
          <cell r="C290"/>
        </row>
        <row r="291">
          <cell r="A291"/>
          <cell r="B291"/>
          <cell r="C291"/>
        </row>
      </sheetData>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Feature Raw Data"/>
      <sheetName val="Sub-IP Block Summary"/>
      <sheetName val="Progress (WIP)"/>
      <sheetName val="Feature Summary"/>
      <sheetName val="Progress"/>
      <sheetName val="Test Ownership"/>
      <sheetName val="FeatureSHR"/>
      <sheetName val="TestSHR"/>
      <sheetName val="Coverage Plan"/>
    </sheetNames>
    <sheetDataSet>
      <sheetData sheetId="0"/>
      <sheetData sheetId="1"/>
      <sheetData sheetId="2"/>
      <sheetData sheetId="3"/>
      <sheetData sheetId="4"/>
      <sheetData sheetId="5"/>
      <sheetData sheetId="6"/>
      <sheetData sheetId="7"/>
      <sheetData sheetId="8">
        <row r="7">
          <cell r="A7" t="str">
            <v>NV31-HUBS-1000</v>
          </cell>
          <cell r="B7" t="str">
            <v>MMHUB:SOC - SOC-15 SDP Interfaces</v>
          </cell>
          <cell r="C7" t="str">
            <v>P2</v>
          </cell>
          <cell r="D7" t="str">
            <v xml:space="preserve">mhub001.1, mhub001.2, mhub001.3, mhub001.4, mhub001.5, mhub001.6, mhub001.7, mhub001.9, mhub002.1-15, mhub002.16, mhub002.17, mhub002.18, </v>
          </cell>
          <cell r="E7" t="e">
            <v>#N/A</v>
          </cell>
          <cell r="F7" t="str">
            <v>Legacy</v>
          </cell>
          <cell r="G7" t="str">
            <v>Yes</v>
          </cell>
          <cell r="H7" t="str">
            <v>Yes</v>
          </cell>
          <cell r="I7">
            <v>12</v>
          </cell>
          <cell r="J7">
            <v>26</v>
          </cell>
          <cell r="K7">
            <v>1</v>
          </cell>
          <cell r="L7">
            <v>1</v>
          </cell>
          <cell r="M7">
            <v>25</v>
          </cell>
          <cell r="N7">
            <v>10</v>
          </cell>
          <cell r="O7">
            <v>0.4</v>
          </cell>
          <cell r="P7">
            <v>26</v>
          </cell>
          <cell r="Q7">
            <v>26</v>
          </cell>
          <cell r="R7">
            <v>1</v>
          </cell>
          <cell r="S7">
            <v>1</v>
          </cell>
          <cell r="T7">
            <v>1</v>
          </cell>
          <cell r="U7" t="str">
            <v>A/B + 5wks</v>
          </cell>
        </row>
        <row r="8">
          <cell r="A8" t="str">
            <v>NV31-HUBS-1001</v>
          </cell>
          <cell r="B8" t="str">
            <v>MMHUB:SOC - SOC-15 SCF/SMN interfaces</v>
          </cell>
          <cell r="C8" t="str">
            <v>P2</v>
          </cell>
          <cell r="D8" t="str">
            <v xml:space="preserve">mhub001.1, mhub001.2, mhub001.3, mhub001.4, mhub001.5, mhub001.6, mhub001.7, mhub001.9, mhub002.1-15, mhub002.16, mhub002.17, mhub002.18, </v>
          </cell>
          <cell r="E8" t="e">
            <v>#N/A</v>
          </cell>
          <cell r="F8" t="str">
            <v>Legacy</v>
          </cell>
          <cell r="G8" t="str">
            <v>Yes</v>
          </cell>
          <cell r="H8" t="str">
            <v>Yes</v>
          </cell>
          <cell r="I8">
            <v>12</v>
          </cell>
          <cell r="J8">
            <v>26</v>
          </cell>
          <cell r="K8">
            <v>1</v>
          </cell>
          <cell r="L8">
            <v>1</v>
          </cell>
          <cell r="M8">
            <v>25</v>
          </cell>
          <cell r="N8">
            <v>10</v>
          </cell>
          <cell r="O8">
            <v>0.4</v>
          </cell>
          <cell r="P8">
            <v>26</v>
          </cell>
          <cell r="Q8">
            <v>26</v>
          </cell>
          <cell r="R8">
            <v>1</v>
          </cell>
          <cell r="S8">
            <v>1</v>
          </cell>
          <cell r="T8">
            <v>1</v>
          </cell>
          <cell r="U8" t="str">
            <v>A/B + 5wks</v>
          </cell>
        </row>
        <row r="9">
          <cell r="A9" t="str">
            <v>NV31-HUBS-1002</v>
          </cell>
          <cell r="B9" t="str">
            <v>MMHUB:SOC - AXI4 client interface</v>
          </cell>
          <cell r="C9" t="str">
            <v>P1</v>
          </cell>
          <cell r="D9" t="str">
            <v xml:space="preserve">mhub001.1, mhub001.2, mhub001.3, mhub001.4, mhub001.5, mhub001.6, mhub001.7, mhub001.9, mhub002.1-15, mhub002.16, mhub002.17, mhub002.18, mhub164.1, </v>
          </cell>
          <cell r="E9" t="e">
            <v>#N/A</v>
          </cell>
          <cell r="F9" t="str">
            <v>Delta</v>
          </cell>
          <cell r="G9" t="str">
            <v>Yes</v>
          </cell>
          <cell r="H9" t="str">
            <v>Yes</v>
          </cell>
          <cell r="I9">
            <v>24</v>
          </cell>
          <cell r="J9">
            <v>27</v>
          </cell>
          <cell r="K9">
            <v>1</v>
          </cell>
          <cell r="L9">
            <v>1</v>
          </cell>
          <cell r="M9">
            <v>25</v>
          </cell>
          <cell r="N9">
            <v>10</v>
          </cell>
          <cell r="O9">
            <v>0.4</v>
          </cell>
          <cell r="P9">
            <v>27</v>
          </cell>
          <cell r="Q9">
            <v>27</v>
          </cell>
          <cell r="R9">
            <v>1</v>
          </cell>
          <cell r="S9">
            <v>1</v>
          </cell>
          <cell r="T9">
            <v>1</v>
          </cell>
          <cell r="U9" t="str">
            <v>A/B + 10wks</v>
          </cell>
        </row>
        <row r="10">
          <cell r="A10" t="str">
            <v>NV31-HUBS-1003</v>
          </cell>
          <cell r="B10" t="str">
            <v>MMHUB:SOC - OpenCL Platform Atomics</v>
          </cell>
          <cell r="C10" t="str">
            <v>P2</v>
          </cell>
          <cell r="D10" t="str">
            <v xml:space="preserve">vcn005.1-4, </v>
          </cell>
          <cell r="E10" t="e">
            <v>#N/A</v>
          </cell>
          <cell r="F10" t="str">
            <v>Legacy</v>
          </cell>
          <cell r="G10" t="str">
            <v>Yes</v>
          </cell>
          <cell r="H10" t="str">
            <v>Yes</v>
          </cell>
          <cell r="I10">
            <v>0</v>
          </cell>
          <cell r="J10">
            <v>0</v>
          </cell>
          <cell r="K10" t="e">
            <v>#DIV/0!</v>
          </cell>
          <cell r="L10" t="e">
            <v>#DIV/0!</v>
          </cell>
          <cell r="M10">
            <v>0</v>
          </cell>
          <cell r="N10">
            <v>0</v>
          </cell>
          <cell r="O10">
            <v>0</v>
          </cell>
          <cell r="P10">
            <v>0</v>
          </cell>
          <cell r="Q10">
            <v>0</v>
          </cell>
          <cell r="R10">
            <v>0</v>
          </cell>
          <cell r="S10">
            <v>0</v>
          </cell>
          <cell r="T10">
            <v>0</v>
          </cell>
          <cell r="U10" t="str">
            <v>N/A</v>
          </cell>
        </row>
        <row r="11">
          <cell r="A11"/>
          <cell r="B11"/>
          <cell r="C11"/>
          <cell r="D11"/>
          <cell r="E11"/>
          <cell r="F11"/>
          <cell r="G11"/>
          <cell r="H11"/>
          <cell r="I11"/>
          <cell r="J11"/>
          <cell r="K11"/>
          <cell r="L11"/>
          <cell r="M11"/>
          <cell r="N11"/>
          <cell r="O11"/>
          <cell r="P11"/>
          <cell r="Q11"/>
          <cell r="R11"/>
          <cell r="S11"/>
          <cell r="T11"/>
          <cell r="U11"/>
        </row>
        <row r="12">
          <cell r="A12"/>
          <cell r="B12"/>
          <cell r="C12"/>
          <cell r="D12"/>
          <cell r="E12"/>
          <cell r="F12"/>
          <cell r="G12"/>
          <cell r="H12"/>
          <cell r="I12"/>
          <cell r="J12"/>
          <cell r="K12"/>
          <cell r="L12"/>
          <cell r="M12"/>
          <cell r="N12"/>
          <cell r="O12"/>
          <cell r="P12"/>
          <cell r="Q12"/>
          <cell r="R12"/>
          <cell r="S12"/>
          <cell r="T12"/>
          <cell r="U12"/>
        </row>
        <row r="13">
          <cell r="A13" t="str">
            <v>NV31-HUBS-1078</v>
          </cell>
          <cell r="B13" t="str">
            <v>MMHUB:DAGB - Repeater FGCG in tap chain</v>
          </cell>
          <cell r="C13">
            <v>0</v>
          </cell>
          <cell r="D13" t="str">
            <v/>
          </cell>
          <cell r="E13" t="e">
            <v>#N/A</v>
          </cell>
          <cell r="F13" t="str">
            <v>New</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NV31-HUBS-1006</v>
          </cell>
          <cell r="B14" t="str">
            <v>MMHUB:DAGB - “GPU Snoop” aka ‘gcc’ support in DAGB</v>
          </cell>
          <cell r="C14" t="str">
            <v>P2</v>
          </cell>
          <cell r="D14" t="str">
            <v xml:space="preserve">mhub415.1-4,11-14,21-24,31-34, </v>
          </cell>
          <cell r="E14" t="str">
            <v>MMHUB</v>
          </cell>
          <cell r="F14" t="str">
            <v>Legacy</v>
          </cell>
          <cell r="G14" t="str">
            <v>Yes</v>
          </cell>
          <cell r="H14" t="str">
            <v>Yes</v>
          </cell>
          <cell r="I14">
            <v>1</v>
          </cell>
          <cell r="J14">
            <v>16</v>
          </cell>
          <cell r="K14">
            <v>1</v>
          </cell>
          <cell r="L14">
            <v>1</v>
          </cell>
          <cell r="M14">
            <v>16</v>
          </cell>
          <cell r="N14">
            <v>16</v>
          </cell>
          <cell r="O14">
            <v>1</v>
          </cell>
          <cell r="P14">
            <v>16</v>
          </cell>
          <cell r="Q14">
            <v>16</v>
          </cell>
          <cell r="R14">
            <v>1</v>
          </cell>
          <cell r="S14">
            <v>1</v>
          </cell>
          <cell r="T14">
            <v>1</v>
          </cell>
          <cell r="U14" t="str">
            <v>A/B + 10wks</v>
          </cell>
        </row>
        <row r="15">
          <cell r="A15" t="str">
            <v>NV31-HUBS-1007</v>
          </cell>
          <cell r="B15" t="str">
            <v>MMHUB:DAGB - MALL ("noalloc") support</v>
          </cell>
          <cell r="C15" t="str">
            <v>P1</v>
          </cell>
          <cell r="D15" t="str">
            <v xml:space="preserve">mhub153.1-2,7-8, mhub153.201,204, mhub153.301,304, mhub153.5-6,11-12, mhub153.203,206, mhub153.303,306, mhub153.111-112, mhub153.21-28, mhub153.31-38, mhub153.41-48, </v>
          </cell>
          <cell r="E15" t="e">
            <v>#N/A</v>
          </cell>
          <cell r="F15" t="str">
            <v>Delta</v>
          </cell>
          <cell r="G15" t="str">
            <v>Yes</v>
          </cell>
          <cell r="H15" t="str">
            <v>Yes</v>
          </cell>
          <cell r="I15">
            <v>19</v>
          </cell>
          <cell r="J15">
            <v>42</v>
          </cell>
          <cell r="K15">
            <v>1</v>
          </cell>
          <cell r="L15">
            <v>1</v>
          </cell>
          <cell r="M15">
            <v>50</v>
          </cell>
          <cell r="N15">
            <v>20</v>
          </cell>
          <cell r="O15">
            <v>0.4</v>
          </cell>
          <cell r="P15">
            <v>42</v>
          </cell>
          <cell r="Q15">
            <v>42</v>
          </cell>
          <cell r="R15">
            <v>1</v>
          </cell>
          <cell r="S15">
            <v>1</v>
          </cell>
          <cell r="T15">
            <v>1</v>
          </cell>
          <cell r="U15" t="str">
            <v>SHR+4wks</v>
          </cell>
        </row>
        <row r="16">
          <cell r="A16" t="str">
            <v>NV31-HUBS-1008</v>
          </cell>
          <cell r="B16" t="str">
            <v>MMHUB:DAGB - Safe TDR</v>
          </cell>
          <cell r="C16" t="str">
            <v>P1</v>
          </cell>
          <cell r="D16" t="str">
            <v/>
          </cell>
          <cell r="E16" t="e">
            <v>#N/A</v>
          </cell>
          <cell r="F16" t="str">
            <v>New</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N/A</v>
          </cell>
        </row>
        <row r="17">
          <cell r="A17" t="str">
            <v>NV31-HUBS-1009</v>
          </cell>
          <cell r="B17" t="str">
            <v>MMHUB:DAGB - HDP Performance for Mixed RD/WR</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N/A</v>
          </cell>
        </row>
        <row r="18">
          <cell r="A18" t="str">
            <v>NV31-HUBS-1010</v>
          </cell>
          <cell r="B18" t="str">
            <v>MMHUB:DAGB - Support SDP interface</v>
          </cell>
          <cell r="C18" t="str">
            <v>P1</v>
          </cell>
          <cell r="D18" t="str">
            <v xml:space="preserve">mhub111.1-4, </v>
          </cell>
          <cell r="E18" t="e">
            <v>#N/A</v>
          </cell>
          <cell r="F18" t="str">
            <v>New</v>
          </cell>
          <cell r="G18" t="str">
            <v>Yes</v>
          </cell>
          <cell r="H18" t="str">
            <v>Yes</v>
          </cell>
          <cell r="I18">
            <v>2</v>
          </cell>
          <cell r="J18">
            <v>4</v>
          </cell>
          <cell r="K18">
            <v>1</v>
          </cell>
          <cell r="L18">
            <v>1</v>
          </cell>
          <cell r="M18">
            <v>4</v>
          </cell>
          <cell r="N18">
            <v>4</v>
          </cell>
          <cell r="O18">
            <v>1</v>
          </cell>
          <cell r="P18">
            <v>4</v>
          </cell>
          <cell r="Q18">
            <v>4</v>
          </cell>
          <cell r="R18">
            <v>1</v>
          </cell>
          <cell r="S18">
            <v>1</v>
          </cell>
          <cell r="T18">
            <v>1</v>
          </cell>
          <cell r="U18" t="str">
            <v>A/B + 5wks</v>
          </cell>
        </row>
        <row r="19">
          <cell r="A19" t="str">
            <v>NV31-HUBS-1079</v>
          </cell>
          <cell r="B19" t="str">
            <v xml:space="preserve">MMHUB:DAGB - Programmable priority per client on SDP </v>
          </cell>
          <cell r="C19">
            <v>0</v>
          </cell>
          <cell r="D19" t="str">
            <v/>
          </cell>
          <cell r="E19" t="e">
            <v>#N/A</v>
          </cell>
          <cell r="F19" t="str">
            <v>New</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NV31-HUBS-1080</v>
          </cell>
          <cell r="B20" t="str">
            <v xml:space="preserve">MMHUB:DAGB - Programmable override priority per client on SDP </v>
          </cell>
          <cell r="C20">
            <v>0</v>
          </cell>
          <cell r="D20" t="str">
            <v/>
          </cell>
          <cell r="E20" t="e">
            <v>#N/A</v>
          </cell>
          <cell r="F20" t="str">
            <v>New</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NV31-HUBS-1011</v>
          </cell>
          <cell r="B21" t="str">
            <v>MMHUB:Performance - SOC-15 QoS 1.0</v>
          </cell>
          <cell r="C21" t="str">
            <v>P2</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NV31-HUBS-1012</v>
          </cell>
          <cell r="B22" t="str">
            <v>MMHUB:MMEA - Compelte removal of MMEA</v>
          </cell>
          <cell r="C22" t="str">
            <v>N/A</v>
          </cell>
          <cell r="D22" t="str">
            <v xml:space="preserve">mhub111.1-4, </v>
          </cell>
          <cell r="E22" t="e">
            <v>#N/A</v>
          </cell>
          <cell r="F22" t="str">
            <v>New</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A/B + 5wks</v>
          </cell>
        </row>
        <row r="23">
          <cell r="A23" t="str">
            <v>NV31-HUBS-1013</v>
          </cell>
          <cell r="B23" t="str">
            <v>MMHUB:MAM - Dirty RAM</v>
          </cell>
          <cell r="C23" t="str">
            <v>P1</v>
          </cell>
          <cell r="D23" t="str">
            <v xml:space="preserve">mhub121.201-205, mhub121.211-215, mhub121.221-225, mhub121.231-235, mhub121.241-245, mhub121.251-255, </v>
          </cell>
          <cell r="E23" t="str">
            <v>MMHUB</v>
          </cell>
          <cell r="F23" t="str">
            <v>Delta</v>
          </cell>
          <cell r="G23" t="str">
            <v>Yes</v>
          </cell>
          <cell r="H23" t="str">
            <v>Yes</v>
          </cell>
          <cell r="I23">
            <v>13</v>
          </cell>
          <cell r="J23">
            <v>30</v>
          </cell>
          <cell r="K23">
            <v>1</v>
          </cell>
          <cell r="L23">
            <v>1</v>
          </cell>
          <cell r="M23">
            <v>0</v>
          </cell>
          <cell r="N23">
            <v>0</v>
          </cell>
          <cell r="O23">
            <v>0</v>
          </cell>
          <cell r="P23">
            <v>30</v>
          </cell>
          <cell r="Q23">
            <v>30</v>
          </cell>
          <cell r="R23">
            <v>1</v>
          </cell>
          <cell r="S23">
            <v>1</v>
          </cell>
          <cell r="T23">
            <v>1</v>
          </cell>
          <cell r="U23" t="str">
            <v>A/B + 10wks</v>
          </cell>
        </row>
        <row r="24">
          <cell r="A24" t="str">
            <v>NV31-HUBS-1014</v>
          </cell>
          <cell r="B24" t="str">
            <v>MMHUB:UTCL1 - TLBs</v>
          </cell>
          <cell r="C24" t="str">
            <v>P1</v>
          </cell>
          <cell r="D24" t="str">
            <v xml:space="preserve">mhub027.1,2, mhub028.1,2, mhub029.1,2, mhub030.1-3, </v>
          </cell>
          <cell r="E24" t="e">
            <v>#N/A</v>
          </cell>
          <cell r="F24" t="str">
            <v>New</v>
          </cell>
          <cell r="G24" t="str">
            <v>Yes</v>
          </cell>
          <cell r="H24" t="str">
            <v>Yes</v>
          </cell>
          <cell r="I24">
            <v>14</v>
          </cell>
          <cell r="J24">
            <v>9</v>
          </cell>
          <cell r="K24">
            <v>1</v>
          </cell>
          <cell r="L24">
            <v>1</v>
          </cell>
          <cell r="M24">
            <v>9</v>
          </cell>
          <cell r="N24">
            <v>9</v>
          </cell>
          <cell r="O24">
            <v>1</v>
          </cell>
          <cell r="P24">
            <v>9</v>
          </cell>
          <cell r="Q24">
            <v>9</v>
          </cell>
          <cell r="R24">
            <v>1</v>
          </cell>
          <cell r="S24">
            <v>1</v>
          </cell>
          <cell r="T24">
            <v>1</v>
          </cell>
          <cell r="U24" t="str">
            <v>A/B + 10wks</v>
          </cell>
        </row>
        <row r="25">
          <cell r="A25" t="str">
            <v>NV31-HUBS-1015</v>
          </cell>
          <cell r="B25" t="str">
            <v>MMHUB:UTCL1 - CPU Visible Frame-Buffer Surface Remapping</v>
          </cell>
          <cell r="C25" t="str">
            <v>P1</v>
          </cell>
          <cell r="D25" t="str">
            <v xml:space="preserve">mhub165.1-9, mhub999.277, </v>
          </cell>
          <cell r="E25" t="str">
            <v>MMHUB</v>
          </cell>
          <cell r="F25" t="str">
            <v>New</v>
          </cell>
          <cell r="G25" t="str">
            <v>Yes</v>
          </cell>
          <cell r="H25" t="str">
            <v>Yes</v>
          </cell>
          <cell r="I25">
            <v>18</v>
          </cell>
          <cell r="J25">
            <v>10</v>
          </cell>
          <cell r="K25">
            <v>1</v>
          </cell>
          <cell r="L25">
            <v>1</v>
          </cell>
          <cell r="M25">
            <v>0</v>
          </cell>
          <cell r="N25">
            <v>0</v>
          </cell>
          <cell r="O25">
            <v>0</v>
          </cell>
          <cell r="P25">
            <v>10</v>
          </cell>
          <cell r="Q25">
            <v>10</v>
          </cell>
          <cell r="R25">
            <v>1</v>
          </cell>
          <cell r="S25">
            <v>1</v>
          </cell>
          <cell r="T25">
            <v>1</v>
          </cell>
          <cell r="U25" t="str">
            <v>A/B + 10wks</v>
          </cell>
        </row>
        <row r="26">
          <cell r="A26"/>
          <cell r="B26"/>
          <cell r="C26"/>
          <cell r="D26"/>
          <cell r="E26"/>
          <cell r="F26"/>
          <cell r="G26"/>
          <cell r="H26"/>
          <cell r="I26"/>
          <cell r="J26"/>
          <cell r="K26"/>
          <cell r="L26"/>
          <cell r="M26"/>
          <cell r="N26"/>
          <cell r="O26"/>
          <cell r="P26"/>
          <cell r="Q26"/>
          <cell r="R26"/>
          <cell r="S26"/>
          <cell r="T26"/>
          <cell r="U26"/>
        </row>
        <row r="27">
          <cell r="A27" t="str">
            <v>NV31-HUBS-1017</v>
          </cell>
          <cell r="B27" t="str">
            <v>MMHUB:UTCL1 - "noalloc" support (MALL)</v>
          </cell>
          <cell r="C27" t="str">
            <v>P2</v>
          </cell>
          <cell r="D27" t="str">
            <v xml:space="preserve">mhub153.1-2,7-8, mhub153.201,204, mhub153.301,304, mhub153.5-6,11-12, mhub153.203,206, mhub153.303,306, mhub153.111-112, mhub153.21-28, mhub153.31-38, mhub153.41-48, </v>
          </cell>
          <cell r="E27" t="e">
            <v>#N/A</v>
          </cell>
          <cell r="F27" t="str">
            <v>Legacy</v>
          </cell>
          <cell r="G27" t="str">
            <v>Yes</v>
          </cell>
          <cell r="H27" t="str">
            <v>Yes</v>
          </cell>
          <cell r="I27">
            <v>19</v>
          </cell>
          <cell r="J27">
            <v>42</v>
          </cell>
          <cell r="K27">
            <v>1</v>
          </cell>
          <cell r="L27">
            <v>1</v>
          </cell>
          <cell r="M27">
            <v>50</v>
          </cell>
          <cell r="N27">
            <v>20</v>
          </cell>
          <cell r="O27">
            <v>0.4</v>
          </cell>
          <cell r="P27">
            <v>42</v>
          </cell>
          <cell r="Q27">
            <v>42</v>
          </cell>
          <cell r="R27">
            <v>1</v>
          </cell>
          <cell r="S27">
            <v>1</v>
          </cell>
          <cell r="T27">
            <v>1</v>
          </cell>
          <cell r="U27" t="str">
            <v>A/B + 10wks</v>
          </cell>
        </row>
        <row r="28">
          <cell r="A28" t="str">
            <v>NV31-HUBS-1018</v>
          </cell>
          <cell r="B28" t="str">
            <v>MMHUB:UTCL1 - “GPU Snoop” aka ‘gcc’ support in GPUVM L1</v>
          </cell>
          <cell r="C28" t="str">
            <v>P2</v>
          </cell>
          <cell r="D28"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28" t="e">
            <v>#N/A</v>
          </cell>
          <cell r="F28" t="str">
            <v>Legacy</v>
          </cell>
          <cell r="G28" t="str">
            <v>Yes</v>
          </cell>
          <cell r="H28" t="str">
            <v>Yes</v>
          </cell>
          <cell r="I28">
            <v>27</v>
          </cell>
          <cell r="J28">
            <v>24</v>
          </cell>
          <cell r="K28">
            <v>1</v>
          </cell>
          <cell r="L28">
            <v>1</v>
          </cell>
          <cell r="M28">
            <v>24</v>
          </cell>
          <cell r="N28">
            <v>24</v>
          </cell>
          <cell r="O28">
            <v>1</v>
          </cell>
          <cell r="P28">
            <v>24</v>
          </cell>
          <cell r="Q28">
            <v>24</v>
          </cell>
          <cell r="R28">
            <v>1</v>
          </cell>
          <cell r="S28">
            <v>1</v>
          </cell>
          <cell r="T28">
            <v>1</v>
          </cell>
          <cell r="U28" t="str">
            <v>A/B + 10wks</v>
          </cell>
        </row>
        <row r="29">
          <cell r="A29"/>
          <cell r="B29"/>
          <cell r="C29"/>
          <cell r="D29"/>
          <cell r="E29"/>
          <cell r="F29"/>
          <cell r="G29"/>
          <cell r="H29"/>
          <cell r="I29"/>
          <cell r="J29"/>
          <cell r="K29"/>
          <cell r="L29"/>
          <cell r="M29"/>
          <cell r="N29"/>
          <cell r="O29"/>
          <cell r="P29"/>
          <cell r="Q29"/>
          <cell r="R29"/>
          <cell r="S29"/>
          <cell r="T29"/>
          <cell r="U29"/>
        </row>
        <row r="30">
          <cell r="A30" t="str">
            <v>NV31-HUBS-1020</v>
          </cell>
          <cell r="B30" t="str">
            <v>MMHUB:UTCL1 - Support both GPUVM invalidate and ATC invalidate</v>
          </cell>
          <cell r="C30" t="str">
            <v>P1</v>
          </cell>
          <cell r="D30" t="str">
            <v xml:space="preserve">mhub055, </v>
          </cell>
          <cell r="E30" t="e">
            <v>#N/A</v>
          </cell>
          <cell r="F30" t="str">
            <v>New</v>
          </cell>
          <cell r="G30" t="str">
            <v>Yes</v>
          </cell>
          <cell r="H30" t="str">
            <v>Yes</v>
          </cell>
          <cell r="I30">
            <v>4</v>
          </cell>
          <cell r="J30">
            <v>1</v>
          </cell>
          <cell r="K30">
            <v>1</v>
          </cell>
          <cell r="L30">
            <v>1</v>
          </cell>
          <cell r="M30">
            <v>1</v>
          </cell>
          <cell r="N30">
            <v>1</v>
          </cell>
          <cell r="O30">
            <v>1</v>
          </cell>
          <cell r="P30">
            <v>1</v>
          </cell>
          <cell r="Q30">
            <v>1</v>
          </cell>
          <cell r="R30">
            <v>1</v>
          </cell>
          <cell r="S30">
            <v>1</v>
          </cell>
          <cell r="T30">
            <v>1</v>
          </cell>
          <cell r="U30" t="str">
            <v>A/B + 10wks</v>
          </cell>
        </row>
        <row r="31">
          <cell r="A31" t="str">
            <v>NV31-HUBS-1021</v>
          </cell>
          <cell r="B31" t="str">
            <v>MMHUB:UTCL1 - Aperture Checks</v>
          </cell>
          <cell r="C31" t="str">
            <v>P1</v>
          </cell>
          <cell r="D31" t="str">
            <v xml:space="preserve">mhub001.1, mhub001.2, mhub001.3, mhub001.4, mhub001.5, mhub001.6, mhub001.7, mhub001.9, mhub002.1-15, mhub002.16, mhub002.17, mhub002.18, mhub164.1, mhub162.1,2, </v>
          </cell>
          <cell r="E31" t="str">
            <v>MMHUB</v>
          </cell>
          <cell r="F31" t="str">
            <v>New</v>
          </cell>
          <cell r="G31" t="str">
            <v>Yes</v>
          </cell>
          <cell r="H31" t="str">
            <v>Yes</v>
          </cell>
          <cell r="I31">
            <v>33</v>
          </cell>
          <cell r="J31">
            <v>29</v>
          </cell>
          <cell r="K31">
            <v>1</v>
          </cell>
          <cell r="L31">
            <v>1</v>
          </cell>
          <cell r="M31">
            <v>25</v>
          </cell>
          <cell r="N31">
            <v>10</v>
          </cell>
          <cell r="O31">
            <v>0.4</v>
          </cell>
          <cell r="P31">
            <v>29</v>
          </cell>
          <cell r="Q31">
            <v>29</v>
          </cell>
          <cell r="R31">
            <v>1</v>
          </cell>
          <cell r="S31">
            <v>1</v>
          </cell>
          <cell r="T31">
            <v>1</v>
          </cell>
          <cell r="U31" t="str">
            <v>A/B + 10wks</v>
          </cell>
        </row>
        <row r="32">
          <cell r="A32" t="str">
            <v>NV31-HUBS-1022</v>
          </cell>
          <cell r="B32" t="str">
            <v xml:space="preserve">MMHUB:UTCL1 - CAM/TLB stores these translations:
GPUVA-&gt;SYSMEM_GPA
GPUVA-&gt;SYSMEM_SPA
GPUVA-&gt;FB_SPA
SYSMEM _GPA-&gt;SYSMEM_SPA (L2TLB only + ATC enabled)          
FB_GPA-&gt;FB_SPA (L2TLB, VFs only + FFBM) </v>
          </cell>
          <cell r="C32" t="str">
            <v>P1</v>
          </cell>
          <cell r="D32" t="str">
            <v xml:space="preserve">mhub027.1,2, mhub028.1,2, mhub029.1,2, mhub030.1-3, </v>
          </cell>
          <cell r="E32" t="e">
            <v>#N/A</v>
          </cell>
          <cell r="F32" t="str">
            <v>New</v>
          </cell>
          <cell r="G32" t="str">
            <v>Yes</v>
          </cell>
          <cell r="H32" t="str">
            <v>Yes</v>
          </cell>
          <cell r="I32">
            <v>14</v>
          </cell>
          <cell r="J32">
            <v>9</v>
          </cell>
          <cell r="K32">
            <v>1</v>
          </cell>
          <cell r="L32">
            <v>1</v>
          </cell>
          <cell r="M32">
            <v>9</v>
          </cell>
          <cell r="N32">
            <v>9</v>
          </cell>
          <cell r="O32">
            <v>1</v>
          </cell>
          <cell r="P32">
            <v>9</v>
          </cell>
          <cell r="Q32">
            <v>9</v>
          </cell>
          <cell r="R32">
            <v>1</v>
          </cell>
          <cell r="S32">
            <v>1</v>
          </cell>
          <cell r="T32">
            <v>1</v>
          </cell>
          <cell r="U32" t="str">
            <v>A/B + 10wks</v>
          </cell>
        </row>
        <row r="33">
          <cell r="A33" t="str">
            <v>NV31-HUBS-1023</v>
          </cell>
          <cell r="B33" t="str">
            <v>MMHUB:MMUTCL2 - Sideband translation path</v>
          </cell>
          <cell r="C33" t="str">
            <v>P1</v>
          </cell>
          <cell r="D33" t="str">
            <v xml:space="preserve">vcnxxxx, </v>
          </cell>
          <cell r="E33" t="str">
            <v>MMHUB</v>
          </cell>
          <cell r="F33" t="str">
            <v>Delta</v>
          </cell>
          <cell r="G33" t="str">
            <v>Yes</v>
          </cell>
          <cell r="H33" t="str">
            <v>Yes</v>
          </cell>
          <cell r="I33">
            <v>0</v>
          </cell>
          <cell r="J33">
            <v>0</v>
          </cell>
          <cell r="K33" t="e">
            <v>#DIV/0!</v>
          </cell>
          <cell r="L33" t="e">
            <v>#DIV/0!</v>
          </cell>
          <cell r="M33">
            <v>0</v>
          </cell>
          <cell r="N33">
            <v>0</v>
          </cell>
          <cell r="O33">
            <v>0</v>
          </cell>
          <cell r="P33">
            <v>0</v>
          </cell>
          <cell r="Q33">
            <v>0</v>
          </cell>
          <cell r="R33">
            <v>0</v>
          </cell>
          <cell r="S33">
            <v>0</v>
          </cell>
          <cell r="T33">
            <v>0</v>
          </cell>
          <cell r="U33" t="str">
            <v>N/A</v>
          </cell>
        </row>
        <row r="34">
          <cell r="A34" t="str">
            <v>NV31-HUBS-1024</v>
          </cell>
          <cell r="B34" t="str">
            <v>MMHUB:MMUTCL2 - Implement 'router' to aggregate UTCL1 requests for non-OSS requests</v>
          </cell>
          <cell r="C34" t="str">
            <v>P1</v>
          </cell>
          <cell r="D34" t="str">
            <v xml:space="preserve">mhub031.1, mhub031.3-5, mhub031.2, mhub031.6-9, </v>
          </cell>
          <cell r="E34" t="e">
            <v>#N/A</v>
          </cell>
          <cell r="F34" t="str">
            <v>New</v>
          </cell>
          <cell r="G34" t="str">
            <v>Yes</v>
          </cell>
          <cell r="H34" t="str">
            <v>Yes</v>
          </cell>
          <cell r="I34">
            <v>12</v>
          </cell>
          <cell r="J34">
            <v>9</v>
          </cell>
          <cell r="K34">
            <v>1</v>
          </cell>
          <cell r="L34">
            <v>1</v>
          </cell>
          <cell r="M34">
            <v>9</v>
          </cell>
          <cell r="N34">
            <v>8</v>
          </cell>
          <cell r="O34">
            <v>0.88888888888888884</v>
          </cell>
          <cell r="P34">
            <v>9</v>
          </cell>
          <cell r="Q34">
            <v>9</v>
          </cell>
          <cell r="R34">
            <v>1</v>
          </cell>
          <cell r="S34">
            <v>1</v>
          </cell>
          <cell r="T34">
            <v>1</v>
          </cell>
          <cell r="U34" t="str">
            <v>A/B + 10wks</v>
          </cell>
        </row>
        <row r="35">
          <cell r="A35"/>
          <cell r="B35"/>
          <cell r="C35"/>
          <cell r="D35"/>
          <cell r="E35"/>
          <cell r="F35"/>
          <cell r="G35"/>
          <cell r="H35"/>
          <cell r="I35"/>
          <cell r="J35"/>
          <cell r="K35"/>
          <cell r="L35"/>
          <cell r="M35"/>
          <cell r="N35"/>
          <cell r="O35"/>
          <cell r="P35"/>
          <cell r="Q35"/>
          <cell r="R35"/>
          <cell r="S35"/>
          <cell r="T35"/>
          <cell r="U35"/>
        </row>
        <row r="36">
          <cell r="A36" t="str">
            <v>NV31-HUBS-1081</v>
          </cell>
          <cell r="B36" t="str">
            <v>MMHUB:MMUTCL2 - Programmable credits</v>
          </cell>
          <cell r="C36" t="str">
            <v>N/A</v>
          </cell>
          <cell r="D36" t="str">
            <v/>
          </cell>
          <cell r="E36" t="e">
            <v>#N/A</v>
          </cell>
          <cell r="F36" t="str">
            <v>New</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N/A</v>
          </cell>
        </row>
        <row r="37">
          <cell r="A37" t="str">
            <v>NV31-HUBS-1026</v>
          </cell>
          <cell r="B37" t="str">
            <v>MMHUB:MMUTCL2:VML2 - Caches</v>
          </cell>
          <cell r="C37" t="str">
            <v>P1</v>
          </cell>
          <cell r="D37" t="str">
            <v xml:space="preserve">mhub031.1, mhub031.3-5, mhub031.2, mhub031.6-9, mhub033.1,2,3, mhub081.1,2, mhub082, mhub083, mhub084.1,2, mhub085, mhub086.1,2, mhub089, mhub093.1, mhub094, </v>
          </cell>
          <cell r="E37" t="str">
            <v>MMHUB</v>
          </cell>
          <cell r="F37" t="str">
            <v>Delta</v>
          </cell>
          <cell r="G37" t="str">
            <v>Yes</v>
          </cell>
          <cell r="H37" t="str">
            <v>Yes</v>
          </cell>
          <cell r="I37">
            <v>24</v>
          </cell>
          <cell r="J37">
            <v>24</v>
          </cell>
          <cell r="K37">
            <v>1</v>
          </cell>
          <cell r="L37">
            <v>1</v>
          </cell>
          <cell r="M37">
            <v>23</v>
          </cell>
          <cell r="N37">
            <v>19</v>
          </cell>
          <cell r="O37">
            <v>0.82608695652173914</v>
          </cell>
          <cell r="P37">
            <v>24</v>
          </cell>
          <cell r="Q37">
            <v>24</v>
          </cell>
          <cell r="R37">
            <v>1</v>
          </cell>
          <cell r="S37">
            <v>1</v>
          </cell>
          <cell r="T37">
            <v>1</v>
          </cell>
          <cell r="U37" t="str">
            <v>A/B + 10wks</v>
          </cell>
        </row>
        <row r="38">
          <cell r="A38" t="str">
            <v>NV31-HUBS-1077</v>
          </cell>
          <cell r="B38" t="str">
            <v>MMHUB:MMUTCL2:VML2 - GPUVM fault status register</v>
          </cell>
          <cell r="C38" t="str">
            <v>P1</v>
          </cell>
          <cell r="D38" t="str">
            <v xml:space="preserve">mhub087, </v>
          </cell>
          <cell r="E38" t="str">
            <v>MMHUB</v>
          </cell>
          <cell r="F38" t="str">
            <v>Delta</v>
          </cell>
          <cell r="G38" t="str">
            <v>Yes</v>
          </cell>
          <cell r="H38" t="str">
            <v>Yes</v>
          </cell>
          <cell r="I38">
            <v>4</v>
          </cell>
          <cell r="J38">
            <v>1</v>
          </cell>
          <cell r="K38">
            <v>1</v>
          </cell>
          <cell r="L38">
            <v>1</v>
          </cell>
          <cell r="M38">
            <v>0</v>
          </cell>
          <cell r="N38">
            <v>0</v>
          </cell>
          <cell r="O38">
            <v>0</v>
          </cell>
          <cell r="P38">
            <v>1</v>
          </cell>
          <cell r="Q38">
            <v>1</v>
          </cell>
          <cell r="R38">
            <v>1</v>
          </cell>
          <cell r="S38">
            <v>1</v>
          </cell>
          <cell r="T38">
            <v>1</v>
          </cell>
          <cell r="U38" t="str">
            <v>A/B + 5wks</v>
          </cell>
        </row>
        <row r="39">
          <cell r="A39" t="str">
            <v>NV31-HUBS-1027</v>
          </cell>
          <cell r="B39" t="str">
            <v xml:space="preserve">MMHUB:MMUTCL2:VML2 - Common PSP-only default page </v>
          </cell>
          <cell r="C39" t="str">
            <v>P1</v>
          </cell>
          <cell r="D39" t="str">
            <v xml:space="preserve">mhub091.1-4, mhub091.5,6, </v>
          </cell>
          <cell r="E39" t="str">
            <v>MMHUB</v>
          </cell>
          <cell r="F39" t="str">
            <v>New</v>
          </cell>
          <cell r="G39" t="str">
            <v>Yes</v>
          </cell>
          <cell r="H39" t="str">
            <v>Yes</v>
          </cell>
          <cell r="I39">
            <v>12</v>
          </cell>
          <cell r="J39">
            <v>6</v>
          </cell>
          <cell r="K39">
            <v>1</v>
          </cell>
          <cell r="L39">
            <v>1</v>
          </cell>
          <cell r="M39">
            <v>0</v>
          </cell>
          <cell r="N39">
            <v>0</v>
          </cell>
          <cell r="O39">
            <v>0</v>
          </cell>
          <cell r="P39">
            <v>6</v>
          </cell>
          <cell r="Q39">
            <v>6</v>
          </cell>
          <cell r="R39">
            <v>1</v>
          </cell>
          <cell r="S39">
            <v>1</v>
          </cell>
          <cell r="T39">
            <v>1</v>
          </cell>
          <cell r="U39" t="str">
            <v>A/B + 8wks</v>
          </cell>
        </row>
        <row r="40">
          <cell r="A40" t="str">
            <v>NV31-HUBS-1028</v>
          </cell>
          <cell r="B40" t="str">
            <v xml:space="preserve">MMHUB:MMUTCL2:VML2 - DWB Scatter/Gather </v>
          </cell>
          <cell r="C40" t="str">
            <v>P2</v>
          </cell>
          <cell r="D40" t="str">
            <v xml:space="preserve">dwb2,3,15-19, </v>
          </cell>
          <cell r="E40" t="e">
            <v>#N/A</v>
          </cell>
          <cell r="F40" t="str">
            <v>Legacy</v>
          </cell>
          <cell r="G40" t="str">
            <v>Yes</v>
          </cell>
          <cell r="H40" t="str">
            <v>Yes</v>
          </cell>
          <cell r="I40">
            <v>0</v>
          </cell>
          <cell r="J40">
            <v>0</v>
          </cell>
          <cell r="K40" t="e">
            <v>#DIV/0!</v>
          </cell>
          <cell r="L40" t="e">
            <v>#DIV/0!</v>
          </cell>
          <cell r="M40">
            <v>0</v>
          </cell>
          <cell r="N40">
            <v>0</v>
          </cell>
          <cell r="O40">
            <v>0</v>
          </cell>
          <cell r="P40">
            <v>0</v>
          </cell>
          <cell r="Q40">
            <v>0</v>
          </cell>
          <cell r="R40">
            <v>0</v>
          </cell>
          <cell r="S40">
            <v>0</v>
          </cell>
          <cell r="T40">
            <v>0</v>
          </cell>
          <cell r="U40" t="str">
            <v>N/A</v>
          </cell>
        </row>
        <row r="41">
          <cell r="A41" t="str">
            <v>NV31-HUBS-1029</v>
          </cell>
          <cell r="B41" t="str">
            <v>MMHUB:MMUTCL2:VML2 - Reserved Caches</v>
          </cell>
          <cell r="C41" t="str">
            <v>P1</v>
          </cell>
          <cell r="D41" t="str">
            <v xml:space="preserve">mhub165.1-9, dwb2,3,15-19, </v>
          </cell>
          <cell r="E41" t="e">
            <v>#N/A</v>
          </cell>
          <cell r="F41" t="str">
            <v>Delta</v>
          </cell>
          <cell r="G41" t="str">
            <v>Yes</v>
          </cell>
          <cell r="H41" t="str">
            <v>Yes</v>
          </cell>
          <cell r="I41">
            <v>16</v>
          </cell>
          <cell r="J41">
            <v>9</v>
          </cell>
          <cell r="K41">
            <v>1</v>
          </cell>
          <cell r="L41">
            <v>1</v>
          </cell>
          <cell r="M41">
            <v>0</v>
          </cell>
          <cell r="N41">
            <v>0</v>
          </cell>
          <cell r="O41">
            <v>0</v>
          </cell>
          <cell r="P41">
            <v>9</v>
          </cell>
          <cell r="Q41">
            <v>9</v>
          </cell>
          <cell r="R41">
            <v>1</v>
          </cell>
          <cell r="S41">
            <v>1</v>
          </cell>
          <cell r="T41">
            <v>1</v>
          </cell>
          <cell r="U41" t="str">
            <v>A/B + 10wks</v>
          </cell>
        </row>
        <row r="42">
          <cell r="A42" t="str">
            <v>NV31-HUBS-1030</v>
          </cell>
          <cell r="B42" t="str">
            <v>MMHUB:MMUTCL2:VML2 - GPUVA,VMID translation assist</v>
          </cell>
          <cell r="C42" t="str">
            <v>P2</v>
          </cell>
          <cell r="D42" t="str">
            <v xml:space="preserve">mhub060.1-32, mhub060.61-64, mhub060.80, mhub060.81, mhub060.82, mhub060.83, mhub060.86, mhub060.87, </v>
          </cell>
          <cell r="E42" t="str">
            <v>MMHUB</v>
          </cell>
          <cell r="F42" t="str">
            <v>Legacy</v>
          </cell>
          <cell r="G42" t="str">
            <v>Yes</v>
          </cell>
          <cell r="H42" t="str">
            <v>Yes</v>
          </cell>
          <cell r="I42">
            <v>8</v>
          </cell>
          <cell r="J42">
            <v>42</v>
          </cell>
          <cell r="K42">
            <v>1</v>
          </cell>
          <cell r="L42">
            <v>1</v>
          </cell>
          <cell r="M42">
            <v>36</v>
          </cell>
          <cell r="N42">
            <v>29</v>
          </cell>
          <cell r="O42">
            <v>0.80555555555555558</v>
          </cell>
          <cell r="P42">
            <v>42</v>
          </cell>
          <cell r="Q42">
            <v>42</v>
          </cell>
          <cell r="R42">
            <v>1</v>
          </cell>
          <cell r="S42">
            <v>1</v>
          </cell>
          <cell r="T42">
            <v>1</v>
          </cell>
          <cell r="U42" t="str">
            <v>A/B + 9wks</v>
          </cell>
        </row>
        <row r="43">
          <cell r="A43" t="str">
            <v>NV31-HUBS-1031</v>
          </cell>
          <cell r="B43" t="str">
            <v>MMHUB:MMUTCL2:VML2 - Translation bypass by VMID</v>
          </cell>
          <cell r="C43" t="str">
            <v>P2</v>
          </cell>
          <cell r="D43" t="str">
            <v xml:space="preserve">mhub046.1-8, </v>
          </cell>
          <cell r="E43" t="str">
            <v>MMHUB</v>
          </cell>
          <cell r="F43" t="str">
            <v>Legacy</v>
          </cell>
          <cell r="G43" t="str">
            <v>Yes</v>
          </cell>
          <cell r="H43" t="str">
            <v>Yes</v>
          </cell>
          <cell r="I43">
            <v>1</v>
          </cell>
          <cell r="J43">
            <v>8</v>
          </cell>
          <cell r="K43">
            <v>1</v>
          </cell>
          <cell r="L43">
            <v>1</v>
          </cell>
          <cell r="M43">
            <v>8</v>
          </cell>
          <cell r="N43">
            <v>0</v>
          </cell>
          <cell r="O43">
            <v>0</v>
          </cell>
          <cell r="P43">
            <v>8</v>
          </cell>
          <cell r="Q43">
            <v>8</v>
          </cell>
          <cell r="R43">
            <v>1</v>
          </cell>
          <cell r="S43">
            <v>1</v>
          </cell>
          <cell r="T43">
            <v>1</v>
          </cell>
          <cell r="U43" t="str">
            <v>A/B + 10wks</v>
          </cell>
        </row>
        <row r="44">
          <cell r="A44"/>
          <cell r="B44"/>
          <cell r="C44"/>
          <cell r="D44"/>
          <cell r="E44"/>
          <cell r="F44"/>
          <cell r="G44"/>
          <cell r="H44"/>
          <cell r="I44"/>
          <cell r="J44"/>
          <cell r="K44"/>
          <cell r="L44"/>
          <cell r="M44"/>
          <cell r="N44"/>
          <cell r="O44"/>
          <cell r="P44"/>
          <cell r="Q44"/>
          <cell r="R44"/>
          <cell r="S44"/>
          <cell r="T44"/>
          <cell r="U44"/>
        </row>
        <row r="45">
          <cell r="A45" t="str">
            <v>NV31-HUBS-1033</v>
          </cell>
          <cell r="B45" t="str">
            <v>MMHUB:MMUTCL2:VML2 - GPA Mode</v>
          </cell>
          <cell r="C45" t="str">
            <v>P2</v>
          </cell>
          <cell r="D45" t="str">
            <v xml:space="preserve">vcnxxxx, </v>
          </cell>
          <cell r="E45" t="str">
            <v>MMHUB</v>
          </cell>
          <cell r="F45" t="str">
            <v>Legacy</v>
          </cell>
          <cell r="G45" t="str">
            <v>Yes</v>
          </cell>
          <cell r="H45" t="str">
            <v>Yes</v>
          </cell>
          <cell r="I45">
            <v>0</v>
          </cell>
          <cell r="J45">
            <v>0</v>
          </cell>
          <cell r="K45" t="e">
            <v>#DIV/0!</v>
          </cell>
          <cell r="L45" t="e">
            <v>#DIV/0!</v>
          </cell>
          <cell r="M45">
            <v>0</v>
          </cell>
          <cell r="N45">
            <v>0</v>
          </cell>
          <cell r="O45">
            <v>0</v>
          </cell>
          <cell r="P45">
            <v>0</v>
          </cell>
          <cell r="Q45">
            <v>0</v>
          </cell>
          <cell r="R45">
            <v>0</v>
          </cell>
          <cell r="S45">
            <v>0</v>
          </cell>
          <cell r="T45">
            <v>0</v>
          </cell>
          <cell r="U45" t="str">
            <v>N/A</v>
          </cell>
        </row>
        <row r="46">
          <cell r="A46" t="str">
            <v>NV31-HUBS-1034</v>
          </cell>
          <cell r="B46" t="str">
            <v>MMHUB:MMUTCL2:VML2 - MMHUB Programmable SmallK</v>
          </cell>
          <cell r="C46" t="str">
            <v>P2</v>
          </cell>
          <cell r="D46" t="str">
            <v xml:space="preserve">mhub032.10, mhub032.11, mhub032.12, mhub032.1, mhub032.2, mhub032.3, mhub032.4, mhub032.5, mhub032.6, mhub032.7-8, mhub032.9, mhub034.1, mhub034.2, mhub034.3, mhub034.4, mhub059.1-32, </v>
          </cell>
          <cell r="E46" t="str">
            <v>MMHUB</v>
          </cell>
          <cell r="F46" t="str">
            <v>Legacy</v>
          </cell>
          <cell r="G46" t="str">
            <v>Yes</v>
          </cell>
          <cell r="H46" t="str">
            <v>Yes</v>
          </cell>
          <cell r="I46">
            <v>16</v>
          </cell>
          <cell r="J46">
            <v>48</v>
          </cell>
          <cell r="K46">
            <v>1</v>
          </cell>
          <cell r="L46">
            <v>1</v>
          </cell>
          <cell r="M46">
            <v>48</v>
          </cell>
          <cell r="N46">
            <v>16</v>
          </cell>
          <cell r="O46">
            <v>0.33333333333333331</v>
          </cell>
          <cell r="P46">
            <v>48</v>
          </cell>
          <cell r="Q46">
            <v>48</v>
          </cell>
          <cell r="R46">
            <v>1</v>
          </cell>
          <cell r="S46">
            <v>1</v>
          </cell>
          <cell r="T46">
            <v>1</v>
          </cell>
          <cell r="U46" t="str">
            <v>A/B + 10wks</v>
          </cell>
        </row>
        <row r="47">
          <cell r="A47" t="str">
            <v>NV31-HUBS-1035</v>
          </cell>
          <cell r="B47" t="str">
            <v>MMHUB:MMUTCL2:VML2 - CAM/filter to avoid duplicate table-walk reads</v>
          </cell>
          <cell r="C47" t="str">
            <v>P2</v>
          </cell>
          <cell r="D47" t="str">
            <v xml:space="preserve">mhub598.17, mhub598.18, </v>
          </cell>
          <cell r="E47" t="str">
            <v>MMHUB</v>
          </cell>
          <cell r="F47" t="str">
            <v>Legacy</v>
          </cell>
          <cell r="G47" t="str">
            <v>Yes</v>
          </cell>
          <cell r="H47" t="str">
            <v>Yes</v>
          </cell>
          <cell r="I47">
            <v>2</v>
          </cell>
          <cell r="J47">
            <v>2</v>
          </cell>
          <cell r="K47">
            <v>1</v>
          </cell>
          <cell r="L47">
            <v>1</v>
          </cell>
          <cell r="M47">
            <v>2</v>
          </cell>
          <cell r="N47">
            <v>2</v>
          </cell>
          <cell r="O47">
            <v>1</v>
          </cell>
          <cell r="P47">
            <v>2</v>
          </cell>
          <cell r="Q47">
            <v>2</v>
          </cell>
          <cell r="R47">
            <v>1</v>
          </cell>
          <cell r="S47">
            <v>1</v>
          </cell>
          <cell r="T47">
            <v>1</v>
          </cell>
          <cell r="U47" t="str">
            <v>A/B + 10wks</v>
          </cell>
        </row>
        <row r="48">
          <cell r="A48" t="str">
            <v>NV31-HUBS-1036</v>
          </cell>
          <cell r="B48" t="str">
            <v>MMHUB:MMUTCL2:VML2 - Range-based UTCL1 and VML1 invalidation</v>
          </cell>
          <cell r="C48" t="str">
            <v>P2</v>
          </cell>
          <cell r="D48" t="str">
            <v xml:space="preserve">mhub052.1, mhub053.1, mhub055, </v>
          </cell>
          <cell r="E48" t="str">
            <v>MMHUB</v>
          </cell>
          <cell r="F48" t="str">
            <v>Legacy</v>
          </cell>
          <cell r="G48" t="str">
            <v>Yes</v>
          </cell>
          <cell r="H48" t="str">
            <v>Yes</v>
          </cell>
          <cell r="I48">
            <v>6</v>
          </cell>
          <cell r="J48">
            <v>3</v>
          </cell>
          <cell r="K48">
            <v>1</v>
          </cell>
          <cell r="L48">
            <v>1</v>
          </cell>
          <cell r="M48">
            <v>3</v>
          </cell>
          <cell r="N48">
            <v>3</v>
          </cell>
          <cell r="O48">
            <v>1</v>
          </cell>
          <cell r="P48">
            <v>3</v>
          </cell>
          <cell r="Q48">
            <v>3</v>
          </cell>
          <cell r="R48">
            <v>1</v>
          </cell>
          <cell r="S48">
            <v>1</v>
          </cell>
          <cell r="T48">
            <v>1</v>
          </cell>
          <cell r="U48" t="str">
            <v>A/B + 5wks</v>
          </cell>
        </row>
        <row r="49">
          <cell r="A49" t="str">
            <v>NV31-HUBS-1037</v>
          </cell>
          <cell r="B49" t="str">
            <v>MMHUB:MMUTCL2:VML2 - Per invalidate engine registers</v>
          </cell>
          <cell r="C49" t="str">
            <v>P2</v>
          </cell>
          <cell r="D49" t="str">
            <v xml:space="preserve">mhub057.1, mhub057.6, </v>
          </cell>
          <cell r="E49" t="e">
            <v>#N/A</v>
          </cell>
          <cell r="F49" t="str">
            <v>Legacy</v>
          </cell>
          <cell r="G49" t="str">
            <v>Yes</v>
          </cell>
          <cell r="H49" t="str">
            <v>Yes</v>
          </cell>
          <cell r="I49">
            <v>2</v>
          </cell>
          <cell r="J49">
            <v>2</v>
          </cell>
          <cell r="K49">
            <v>1</v>
          </cell>
          <cell r="L49">
            <v>1</v>
          </cell>
          <cell r="M49">
            <v>2</v>
          </cell>
          <cell r="N49">
            <v>2</v>
          </cell>
          <cell r="O49">
            <v>1</v>
          </cell>
          <cell r="P49">
            <v>2</v>
          </cell>
          <cell r="Q49">
            <v>2</v>
          </cell>
          <cell r="R49">
            <v>1</v>
          </cell>
          <cell r="S49">
            <v>1</v>
          </cell>
          <cell r="T49">
            <v>1</v>
          </cell>
          <cell r="U49" t="str">
            <v>A/B + 5wks</v>
          </cell>
        </row>
        <row r="50">
          <cell r="A50" t="str">
            <v>NV31-HUBS-1038</v>
          </cell>
          <cell r="B50" t="str">
            <v>MMHUB:MMUTCL2:VML2 - Per VMID Context registers</v>
          </cell>
          <cell r="C50" t="str">
            <v>P2</v>
          </cell>
          <cell r="D50" t="str">
            <v xml:space="preserve">mhub002.1-15, mhub002.16, mhub095, </v>
          </cell>
          <cell r="E50" t="str">
            <v>MMHUB</v>
          </cell>
          <cell r="F50" t="str">
            <v>Legacy</v>
          </cell>
          <cell r="G50" t="str">
            <v>Yes</v>
          </cell>
          <cell r="H50" t="str">
            <v>Yes</v>
          </cell>
          <cell r="I50">
            <v>3</v>
          </cell>
          <cell r="J50">
            <v>17</v>
          </cell>
          <cell r="K50">
            <v>1</v>
          </cell>
          <cell r="L50">
            <v>1</v>
          </cell>
          <cell r="M50">
            <v>16</v>
          </cell>
          <cell r="N50">
            <v>0</v>
          </cell>
          <cell r="O50">
            <v>0</v>
          </cell>
          <cell r="P50">
            <v>17</v>
          </cell>
          <cell r="Q50">
            <v>17</v>
          </cell>
          <cell r="R50">
            <v>1</v>
          </cell>
          <cell r="S50">
            <v>1</v>
          </cell>
          <cell r="T50">
            <v>1</v>
          </cell>
          <cell r="U50" t="str">
            <v>A/B + 5wks</v>
          </cell>
        </row>
        <row r="51">
          <cell r="A51" t="str">
            <v>NV31-HUBS-1039</v>
          </cell>
          <cell r="B51" t="str">
            <v>MMHUB:MMUTCL2:VML2 - Register bits that enable software to control hit/miss behaviour on invalid ptes in cache</v>
          </cell>
          <cell r="C51" t="str">
            <v>P2</v>
          </cell>
          <cell r="D51" t="str">
            <v xml:space="preserve">mhub145.1-2, </v>
          </cell>
          <cell r="E51" t="str">
            <v>MMHUB</v>
          </cell>
          <cell r="F51" t="str">
            <v>Legacy</v>
          </cell>
          <cell r="G51" t="str">
            <v>Yes</v>
          </cell>
          <cell r="H51" t="str">
            <v>Yes</v>
          </cell>
          <cell r="I51">
            <v>1</v>
          </cell>
          <cell r="J51">
            <v>2</v>
          </cell>
          <cell r="K51">
            <v>1</v>
          </cell>
          <cell r="L51">
            <v>1</v>
          </cell>
          <cell r="M51">
            <v>2</v>
          </cell>
          <cell r="N51">
            <v>0</v>
          </cell>
          <cell r="O51">
            <v>0</v>
          </cell>
          <cell r="P51">
            <v>2</v>
          </cell>
          <cell r="Q51">
            <v>2</v>
          </cell>
          <cell r="R51">
            <v>1</v>
          </cell>
          <cell r="S51">
            <v>1</v>
          </cell>
          <cell r="T51">
            <v>1</v>
          </cell>
          <cell r="U51" t="str">
            <v>A/B + 5wks</v>
          </cell>
        </row>
        <row r="52">
          <cell r="A52" t="str">
            <v>NV31-HUBS-1040</v>
          </cell>
          <cell r="B52" t="str">
            <v>MMHUB:MMUTCL2:VML2 - Register bits that enable software to control hit/miss behaviour on permission mismatch in cache</v>
          </cell>
          <cell r="C52" t="str">
            <v>P2</v>
          </cell>
          <cell r="D52" t="str">
            <v xml:space="preserve">mhub146.1-2, </v>
          </cell>
          <cell r="E52" t="str">
            <v>MMHUB</v>
          </cell>
          <cell r="F52" t="str">
            <v>Legacy</v>
          </cell>
          <cell r="G52" t="str">
            <v>Yes</v>
          </cell>
          <cell r="H52" t="str">
            <v>Yes</v>
          </cell>
          <cell r="I52">
            <v>1</v>
          </cell>
          <cell r="J52">
            <v>2</v>
          </cell>
          <cell r="K52">
            <v>1</v>
          </cell>
          <cell r="L52">
            <v>1</v>
          </cell>
          <cell r="M52">
            <v>2</v>
          </cell>
          <cell r="N52">
            <v>2</v>
          </cell>
          <cell r="O52">
            <v>1</v>
          </cell>
          <cell r="P52">
            <v>2</v>
          </cell>
          <cell r="Q52">
            <v>2</v>
          </cell>
          <cell r="R52">
            <v>1</v>
          </cell>
          <cell r="S52">
            <v>1</v>
          </cell>
          <cell r="T52">
            <v>1</v>
          </cell>
          <cell r="U52" t="str">
            <v>A/B + 5wks</v>
          </cell>
        </row>
        <row r="53">
          <cell r="A53"/>
          <cell r="B53"/>
          <cell r="C53"/>
          <cell r="D53"/>
          <cell r="E53"/>
          <cell r="F53"/>
          <cell r="G53"/>
          <cell r="H53"/>
          <cell r="I53"/>
          <cell r="J53"/>
          <cell r="K53"/>
          <cell r="L53"/>
          <cell r="M53"/>
          <cell r="N53"/>
          <cell r="O53"/>
          <cell r="P53"/>
          <cell r="Q53"/>
          <cell r="R53"/>
          <cell r="S53"/>
          <cell r="T53"/>
          <cell r="U53"/>
        </row>
        <row r="54">
          <cell r="A54" t="str">
            <v>NV31-HUBS-1042</v>
          </cell>
          <cell r="B54" t="str">
            <v>MMHUB:MMUTCL2:VML2 - Invalidate by Address Range and VMID aka "Sharpshooting"</v>
          </cell>
          <cell r="C54" t="str">
            <v>P2</v>
          </cell>
          <cell r="D54" t="str">
            <v xml:space="preserve">mhub054.1, mhub055, mhub057.1, mhub057.6, </v>
          </cell>
          <cell r="E54" t="e">
            <v>#N/A</v>
          </cell>
          <cell r="F54" t="str">
            <v>Legacy</v>
          </cell>
          <cell r="G54" t="str">
            <v>Yes</v>
          </cell>
          <cell r="H54" t="str">
            <v>Yes</v>
          </cell>
          <cell r="I54">
            <v>9</v>
          </cell>
          <cell r="J54">
            <v>4</v>
          </cell>
          <cell r="K54">
            <v>1</v>
          </cell>
          <cell r="L54">
            <v>1</v>
          </cell>
          <cell r="M54">
            <v>4</v>
          </cell>
          <cell r="N54">
            <v>4</v>
          </cell>
          <cell r="O54">
            <v>1</v>
          </cell>
          <cell r="P54">
            <v>4</v>
          </cell>
          <cell r="Q54">
            <v>4</v>
          </cell>
          <cell r="R54">
            <v>1</v>
          </cell>
          <cell r="S54">
            <v>1</v>
          </cell>
          <cell r="T54">
            <v>1</v>
          </cell>
          <cell r="U54" t="str">
            <v>A/B + 5wks</v>
          </cell>
        </row>
        <row r="55">
          <cell r="A55" t="str">
            <v>NV31-HUBS-1043</v>
          </cell>
          <cell r="B55" t="str">
            <v>MMHUB:MMUTCL2:VML2 - Lightweight/Heavyweight flush-type invalidation</v>
          </cell>
          <cell r="C55" t="str">
            <v>P1</v>
          </cell>
          <cell r="D55" t="str">
            <v xml:space="preserve">mhub054.1, mhub054.5-8, mhub057.1, mhub057.6, </v>
          </cell>
          <cell r="E55" t="str">
            <v>MMHUB</v>
          </cell>
          <cell r="F55" t="str">
            <v>Delta</v>
          </cell>
          <cell r="G55" t="str">
            <v>Yes</v>
          </cell>
          <cell r="H55" t="str">
            <v>Yes</v>
          </cell>
          <cell r="I55">
            <v>6</v>
          </cell>
          <cell r="J55">
            <v>7</v>
          </cell>
          <cell r="K55">
            <v>1</v>
          </cell>
          <cell r="L55">
            <v>1</v>
          </cell>
          <cell r="M55">
            <v>7</v>
          </cell>
          <cell r="N55">
            <v>7</v>
          </cell>
          <cell r="O55">
            <v>1</v>
          </cell>
          <cell r="P55">
            <v>7</v>
          </cell>
          <cell r="Q55">
            <v>7</v>
          </cell>
          <cell r="R55">
            <v>1</v>
          </cell>
          <cell r="S55">
            <v>1</v>
          </cell>
          <cell r="T55">
            <v>1</v>
          </cell>
          <cell r="U55" t="str">
            <v>A/B + 10wks</v>
          </cell>
        </row>
        <row r="56">
          <cell r="A56" t="str">
            <v>NV31-HUBS-1044</v>
          </cell>
          <cell r="B56" t="str">
            <v>MMHUB:MMUTCL2:VML2 - Page Table Levels</v>
          </cell>
          <cell r="C56" t="str">
            <v>P2</v>
          </cell>
          <cell r="D56" t="str">
            <v xml:space="preserve">mhub010.1,2, mhub011.1, mhub011.2, mhub011.3, mhub011.4, mhub011.5, mhub031.1, mhub031.3-5, mhub031.2, mhub031.6-9, </v>
          </cell>
          <cell r="E56" t="e">
            <v>#N/A</v>
          </cell>
          <cell r="F56" t="str">
            <v>Legacy</v>
          </cell>
          <cell r="G56" t="str">
            <v>Yes</v>
          </cell>
          <cell r="H56" t="str">
            <v>Yes</v>
          </cell>
          <cell r="I56">
            <v>18</v>
          </cell>
          <cell r="J56">
            <v>16</v>
          </cell>
          <cell r="K56">
            <v>1</v>
          </cell>
          <cell r="L56">
            <v>1</v>
          </cell>
          <cell r="M56">
            <v>16</v>
          </cell>
          <cell r="N56">
            <v>15</v>
          </cell>
          <cell r="O56">
            <v>0.9375</v>
          </cell>
          <cell r="P56">
            <v>16</v>
          </cell>
          <cell r="Q56">
            <v>16</v>
          </cell>
          <cell r="R56">
            <v>1</v>
          </cell>
          <cell r="S56">
            <v>1</v>
          </cell>
          <cell r="T56">
            <v>1</v>
          </cell>
          <cell r="U56" t="str">
            <v>A/B + 10wks</v>
          </cell>
        </row>
        <row r="57">
          <cell r="A57" t="str">
            <v>NV31-HUBS-1045</v>
          </cell>
          <cell r="B57" t="str">
            <v>MMHUB:MMUTCL2:VML2 - PDE Attributes</v>
          </cell>
          <cell r="C57" t="str">
            <v>P1</v>
          </cell>
          <cell r="D57" t="str">
            <v xml:space="preserve">mhub005, mhub010.1,2, mhub082, </v>
          </cell>
          <cell r="E57" t="str">
            <v>MMHUB</v>
          </cell>
          <cell r="F57" t="str">
            <v>Delta</v>
          </cell>
          <cell r="G57" t="str">
            <v>Yes</v>
          </cell>
          <cell r="H57" t="str">
            <v>Yes</v>
          </cell>
          <cell r="I57">
            <v>3</v>
          </cell>
          <cell r="J57">
            <v>4</v>
          </cell>
          <cell r="K57">
            <v>1</v>
          </cell>
          <cell r="L57">
            <v>1</v>
          </cell>
          <cell r="M57">
            <v>4</v>
          </cell>
          <cell r="N57">
            <v>4</v>
          </cell>
          <cell r="O57">
            <v>1</v>
          </cell>
          <cell r="P57">
            <v>4</v>
          </cell>
          <cell r="Q57">
            <v>4</v>
          </cell>
          <cell r="R57">
            <v>1</v>
          </cell>
          <cell r="S57">
            <v>1</v>
          </cell>
          <cell r="T57">
            <v>1</v>
          </cell>
          <cell r="U57" t="str">
            <v>A/B + 10wks</v>
          </cell>
        </row>
        <row r="58">
          <cell r="A58" t="str">
            <v>NV31-HUBS-1046</v>
          </cell>
          <cell r="B58" t="str">
            <v>MMHUB:MMUTCL2:VML2 - PTE Attributes</v>
          </cell>
          <cell r="C58" t="str">
            <v>P2</v>
          </cell>
          <cell r="D58" t="str">
            <v xml:space="preserve">mhub006.1,2,4, mhub007.4, mhub008.1,2, mhub011.1, mhub011.2, mhub011.3, mhub011.4, mhub011.5, mhub012, mhub013.1, mhub013.2, mhub014.1,2, mhub086.1,2, </v>
          </cell>
          <cell r="E58" t="str">
            <v>MMHUB</v>
          </cell>
          <cell r="F58" t="str">
            <v>Legacy</v>
          </cell>
          <cell r="G58" t="str">
            <v>Yes</v>
          </cell>
          <cell r="H58" t="str">
            <v>Yes</v>
          </cell>
          <cell r="I58">
            <v>13</v>
          </cell>
          <cell r="J58">
            <v>18</v>
          </cell>
          <cell r="K58">
            <v>1</v>
          </cell>
          <cell r="L58">
            <v>1</v>
          </cell>
          <cell r="M58">
            <v>18</v>
          </cell>
          <cell r="N58">
            <v>18</v>
          </cell>
          <cell r="O58">
            <v>1</v>
          </cell>
          <cell r="P58">
            <v>18</v>
          </cell>
          <cell r="Q58">
            <v>18</v>
          </cell>
          <cell r="R58">
            <v>1</v>
          </cell>
          <cell r="S58">
            <v>1</v>
          </cell>
          <cell r="T58">
            <v>1</v>
          </cell>
          <cell r="U58" t="str">
            <v>A/B + 10wks</v>
          </cell>
        </row>
        <row r="59">
          <cell r="A59" t="str">
            <v>NV31-HUBS-1047</v>
          </cell>
          <cell r="B59" t="str">
            <v>MMHUB:MMUTCL2:VML2 - PTE permissions returned</v>
          </cell>
          <cell r="C59" t="str">
            <v>P2</v>
          </cell>
          <cell r="D59" t="str">
            <v xml:space="preserve">mhub141.1, mhub141.2, </v>
          </cell>
          <cell r="E59" t="str">
            <v>MMHUB</v>
          </cell>
          <cell r="F59" t="str">
            <v>Legacy</v>
          </cell>
          <cell r="G59" t="str">
            <v>Yes</v>
          </cell>
          <cell r="H59" t="str">
            <v>Yes</v>
          </cell>
          <cell r="I59">
            <v>4</v>
          </cell>
          <cell r="J59">
            <v>2</v>
          </cell>
          <cell r="K59">
            <v>1</v>
          </cell>
          <cell r="L59">
            <v>1</v>
          </cell>
          <cell r="M59">
            <v>2</v>
          </cell>
          <cell r="N59">
            <v>2</v>
          </cell>
          <cell r="O59">
            <v>1</v>
          </cell>
          <cell r="P59">
            <v>2</v>
          </cell>
          <cell r="Q59">
            <v>2</v>
          </cell>
          <cell r="R59">
            <v>1</v>
          </cell>
          <cell r="S59">
            <v>1</v>
          </cell>
          <cell r="T59">
            <v>1</v>
          </cell>
          <cell r="U59" t="str">
            <v>A/B + 10wks</v>
          </cell>
        </row>
        <row r="60">
          <cell r="A60" t="str">
            <v>NV31-HUBS-1048</v>
          </cell>
          <cell r="B60" t="str">
            <v>MMHUB:MMUTCL2:VML2 - Increase MTYPE from 2 to 3 bits</v>
          </cell>
          <cell r="C60" t="str">
            <v>P2</v>
          </cell>
          <cell r="D60"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0" t="e">
            <v>#N/A</v>
          </cell>
          <cell r="F60" t="str">
            <v>Legacy</v>
          </cell>
          <cell r="G60" t="str">
            <v>Yes</v>
          </cell>
          <cell r="H60" t="str">
            <v>Yes</v>
          </cell>
          <cell r="I60">
            <v>27</v>
          </cell>
          <cell r="J60">
            <v>24</v>
          </cell>
          <cell r="K60">
            <v>1</v>
          </cell>
          <cell r="L60">
            <v>1</v>
          </cell>
          <cell r="M60">
            <v>24</v>
          </cell>
          <cell r="N60">
            <v>24</v>
          </cell>
          <cell r="O60">
            <v>1</v>
          </cell>
          <cell r="P60">
            <v>24</v>
          </cell>
          <cell r="Q60">
            <v>24</v>
          </cell>
          <cell r="R60">
            <v>1</v>
          </cell>
          <cell r="S60">
            <v>1</v>
          </cell>
          <cell r="T60">
            <v>1</v>
          </cell>
          <cell r="U60" t="str">
            <v>A/B + 10wks</v>
          </cell>
        </row>
        <row r="61">
          <cell r="A61" t="str">
            <v>NV31-HUBS-1049</v>
          </cell>
          <cell r="B61" t="str">
            <v>MMHUB:MMUTCL2:VML2 - Page table block size, PDE and PTE Fragment sizes</v>
          </cell>
          <cell r="C61" t="str">
            <v>P2</v>
          </cell>
          <cell r="D61" t="str">
            <v xml:space="preserve">mhub012, </v>
          </cell>
          <cell r="E61" t="e">
            <v>#N/A</v>
          </cell>
          <cell r="F61" t="str">
            <v>Legacy</v>
          </cell>
          <cell r="G61" t="str">
            <v>Yes</v>
          </cell>
          <cell r="H61" t="str">
            <v>Yes</v>
          </cell>
          <cell r="I61">
            <v>1</v>
          </cell>
          <cell r="J61">
            <v>1</v>
          </cell>
          <cell r="K61">
            <v>1</v>
          </cell>
          <cell r="L61">
            <v>1</v>
          </cell>
          <cell r="M61">
            <v>1</v>
          </cell>
          <cell r="N61">
            <v>1</v>
          </cell>
          <cell r="O61">
            <v>1</v>
          </cell>
          <cell r="P61">
            <v>1</v>
          </cell>
          <cell r="Q61">
            <v>1</v>
          </cell>
          <cell r="R61">
            <v>1</v>
          </cell>
          <cell r="S61">
            <v>1</v>
          </cell>
          <cell r="T61">
            <v>1</v>
          </cell>
          <cell r="U61" t="str">
            <v>A/B + 5wks</v>
          </cell>
        </row>
        <row r="62">
          <cell r="A62" t="str">
            <v>NV31-HUBS-1050</v>
          </cell>
          <cell r="B62" t="str">
            <v>MMHUB:MMUTCL2:VML2 - Translate Further/PTE.F bit</v>
          </cell>
          <cell r="C62" t="str">
            <v>P2</v>
          </cell>
          <cell r="D62" t="str">
            <v xml:space="preserve">mhub011.1, mhub011.2, mhub011.3, mhub011.4, mhub011.5, mhub127.1, mhub127.2, mhub127.3, mhub127.4, </v>
          </cell>
          <cell r="E62" t="str">
            <v>MMHUB</v>
          </cell>
          <cell r="F62" t="str">
            <v>Legacy</v>
          </cell>
          <cell r="G62" t="str">
            <v>Yes</v>
          </cell>
          <cell r="H62" t="str">
            <v>Yes</v>
          </cell>
          <cell r="I62">
            <v>41</v>
          </cell>
          <cell r="J62">
            <v>21</v>
          </cell>
          <cell r="K62">
            <v>1</v>
          </cell>
          <cell r="L62">
            <v>1</v>
          </cell>
          <cell r="M62">
            <v>5</v>
          </cell>
          <cell r="N62">
            <v>5</v>
          </cell>
          <cell r="O62">
            <v>1</v>
          </cell>
          <cell r="P62">
            <v>21</v>
          </cell>
          <cell r="Q62">
            <v>21</v>
          </cell>
          <cell r="R62">
            <v>1</v>
          </cell>
          <cell r="S62">
            <v>1</v>
          </cell>
          <cell r="T62">
            <v>1</v>
          </cell>
          <cell r="U62" t="str">
            <v>A/B + 10wks</v>
          </cell>
        </row>
        <row r="63">
          <cell r="A63" t="str">
            <v>NV31-HUBS-1051</v>
          </cell>
          <cell r="B63" t="str">
            <v>MMHUB:MMUTCL2:VML2 - Support for 2MB, 1G, 512GB pages aka PDE Block Fragment Size</v>
          </cell>
          <cell r="C63" t="str">
            <v>P2</v>
          </cell>
          <cell r="D63" t="str">
            <v xml:space="preserve">mhub012, </v>
          </cell>
          <cell r="E63" t="e">
            <v>#N/A</v>
          </cell>
          <cell r="F63" t="str">
            <v>Legacy</v>
          </cell>
          <cell r="G63" t="str">
            <v>Yes</v>
          </cell>
          <cell r="H63" t="str">
            <v>Yes</v>
          </cell>
          <cell r="I63">
            <v>1</v>
          </cell>
          <cell r="J63">
            <v>1</v>
          </cell>
          <cell r="K63">
            <v>1</v>
          </cell>
          <cell r="L63">
            <v>1</v>
          </cell>
          <cell r="M63">
            <v>1</v>
          </cell>
          <cell r="N63">
            <v>1</v>
          </cell>
          <cell r="O63">
            <v>1</v>
          </cell>
          <cell r="P63">
            <v>1</v>
          </cell>
          <cell r="Q63">
            <v>1</v>
          </cell>
          <cell r="R63">
            <v>1</v>
          </cell>
          <cell r="S63">
            <v>1</v>
          </cell>
          <cell r="T63">
            <v>1</v>
          </cell>
          <cell r="U63" t="str">
            <v>A/B + 5wks</v>
          </cell>
        </row>
        <row r="64">
          <cell r="A64"/>
          <cell r="B64"/>
          <cell r="C64"/>
          <cell r="D64"/>
          <cell r="E64"/>
          <cell r="F64"/>
          <cell r="G64"/>
          <cell r="H64"/>
          <cell r="I64"/>
          <cell r="J64"/>
          <cell r="K64"/>
          <cell r="L64"/>
          <cell r="M64"/>
          <cell r="N64"/>
          <cell r="O64"/>
          <cell r="P64"/>
          <cell r="Q64"/>
          <cell r="R64"/>
          <cell r="S64"/>
          <cell r="T64"/>
          <cell r="U64"/>
        </row>
        <row r="65">
          <cell r="A65"/>
          <cell r="B65"/>
          <cell r="C65"/>
          <cell r="D65"/>
          <cell r="E65"/>
          <cell r="F65"/>
          <cell r="G65"/>
          <cell r="H65"/>
          <cell r="I65"/>
          <cell r="J65"/>
          <cell r="K65"/>
          <cell r="L65"/>
          <cell r="M65"/>
          <cell r="N65"/>
          <cell r="O65"/>
          <cell r="P65"/>
          <cell r="Q65"/>
          <cell r="R65"/>
          <cell r="S65"/>
          <cell r="T65"/>
          <cell r="U65"/>
        </row>
        <row r="66">
          <cell r="A66"/>
          <cell r="B66"/>
          <cell r="C66"/>
          <cell r="D66"/>
          <cell r="E66"/>
          <cell r="F66"/>
          <cell r="G66"/>
          <cell r="H66"/>
          <cell r="I66"/>
          <cell r="J66"/>
          <cell r="K66"/>
          <cell r="L66"/>
          <cell r="M66"/>
          <cell r="N66"/>
          <cell r="O66"/>
          <cell r="P66"/>
          <cell r="Q66"/>
          <cell r="R66"/>
          <cell r="S66"/>
          <cell r="T66"/>
          <cell r="U66"/>
        </row>
        <row r="67">
          <cell r="A67" t="str">
            <v>NV31-HUBS-1055</v>
          </cell>
          <cell r="B67" t="str">
            <v>MMHUB:MMUTCL2:VML2 - Mtype Attribute</v>
          </cell>
          <cell r="C67" t="str">
            <v>P2</v>
          </cell>
          <cell r="D67"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7" t="e">
            <v>#N/A</v>
          </cell>
          <cell r="F67" t="str">
            <v>Legacy</v>
          </cell>
          <cell r="G67" t="str">
            <v>Yes</v>
          </cell>
          <cell r="H67" t="str">
            <v>Yes</v>
          </cell>
          <cell r="I67">
            <v>27</v>
          </cell>
          <cell r="J67">
            <v>24</v>
          </cell>
          <cell r="K67">
            <v>1</v>
          </cell>
          <cell r="L67">
            <v>1</v>
          </cell>
          <cell r="M67">
            <v>24</v>
          </cell>
          <cell r="N67">
            <v>24</v>
          </cell>
          <cell r="O67">
            <v>1</v>
          </cell>
          <cell r="P67">
            <v>24</v>
          </cell>
          <cell r="Q67">
            <v>24</v>
          </cell>
          <cell r="R67">
            <v>1</v>
          </cell>
          <cell r="S67">
            <v>1</v>
          </cell>
          <cell r="T67">
            <v>1</v>
          </cell>
          <cell r="U67" t="str">
            <v>A/B + 10wks</v>
          </cell>
        </row>
        <row r="68">
          <cell r="A68" t="str">
            <v>NV31-HUBS-1056</v>
          </cell>
          <cell r="B68" t="str">
            <v>MMHUB:MMUTCL2:VML2 - VML2 BigK/4K cache swap</v>
          </cell>
          <cell r="C68" t="str">
            <v>P2</v>
          </cell>
          <cell r="D68" t="str">
            <v xml:space="preserve">mhub034.1, mhub034.2, mhub034.3, mhub034.4, </v>
          </cell>
          <cell r="E68" t="e">
            <v>#N/A</v>
          </cell>
          <cell r="F68" t="str">
            <v>Legacy</v>
          </cell>
          <cell r="G68" t="str">
            <v>Yes</v>
          </cell>
          <cell r="H68" t="str">
            <v>Yes</v>
          </cell>
          <cell r="I68">
            <v>4</v>
          </cell>
          <cell r="J68">
            <v>4</v>
          </cell>
          <cell r="K68">
            <v>1</v>
          </cell>
          <cell r="L68">
            <v>1</v>
          </cell>
          <cell r="M68">
            <v>4</v>
          </cell>
          <cell r="N68">
            <v>4</v>
          </cell>
          <cell r="O68">
            <v>1</v>
          </cell>
          <cell r="P68">
            <v>4</v>
          </cell>
          <cell r="Q68">
            <v>4</v>
          </cell>
          <cell r="R68">
            <v>1</v>
          </cell>
          <cell r="S68">
            <v>1</v>
          </cell>
          <cell r="T68">
            <v>1</v>
          </cell>
          <cell r="U68" t="str">
            <v>A/B + 5wks</v>
          </cell>
        </row>
        <row r="69">
          <cell r="A69" t="str">
            <v>NV31-HUBS-1057</v>
          </cell>
          <cell r="B69" t="str">
            <v>MMHUB:MMUTCL2:VML2 - "noalloc" support (MALL)</v>
          </cell>
          <cell r="C69" t="str">
            <v>P1</v>
          </cell>
          <cell r="D69" t="str">
            <v xml:space="preserve">mhub153.1-2,7-8, mhub153.201,204, mhub153.301,304, mhub153.5-6,11-12, mhub153.203,206, mhub153.303,306, mhub153.111-112, mhub153.21-28, mhub153.31-38, mhub153.41-48, </v>
          </cell>
          <cell r="E69" t="e">
            <v>#N/A</v>
          </cell>
          <cell r="F69" t="str">
            <v>Delta</v>
          </cell>
          <cell r="G69" t="str">
            <v>Yes</v>
          </cell>
          <cell r="H69" t="str">
            <v>Yes</v>
          </cell>
          <cell r="I69">
            <v>19</v>
          </cell>
          <cell r="J69">
            <v>42</v>
          </cell>
          <cell r="K69">
            <v>1</v>
          </cell>
          <cell r="L69">
            <v>1</v>
          </cell>
          <cell r="M69">
            <v>50</v>
          </cell>
          <cell r="N69">
            <v>20</v>
          </cell>
          <cell r="O69">
            <v>0.4</v>
          </cell>
          <cell r="P69">
            <v>42</v>
          </cell>
          <cell r="Q69">
            <v>42</v>
          </cell>
          <cell r="R69">
            <v>1</v>
          </cell>
          <cell r="S69">
            <v>1</v>
          </cell>
          <cell r="T69">
            <v>1</v>
          </cell>
          <cell r="U69" t="str">
            <v>SHR+4wks</v>
          </cell>
        </row>
        <row r="70">
          <cell r="A70"/>
          <cell r="B70"/>
          <cell r="C70"/>
          <cell r="D70"/>
          <cell r="E70"/>
          <cell r="F70"/>
          <cell r="G70"/>
          <cell r="H70"/>
          <cell r="I70"/>
          <cell r="J70"/>
          <cell r="K70"/>
          <cell r="L70"/>
          <cell r="M70"/>
          <cell r="N70"/>
          <cell r="O70"/>
          <cell r="P70"/>
          <cell r="Q70"/>
          <cell r="R70"/>
          <cell r="S70"/>
          <cell r="T70"/>
          <cell r="U70"/>
        </row>
        <row r="71">
          <cell r="A71"/>
          <cell r="B71"/>
          <cell r="C71"/>
          <cell r="D71"/>
          <cell r="E71"/>
          <cell r="F71"/>
          <cell r="G71"/>
          <cell r="H71"/>
          <cell r="I71"/>
          <cell r="J71"/>
          <cell r="K71"/>
          <cell r="L71"/>
          <cell r="M71"/>
          <cell r="N71"/>
          <cell r="O71"/>
          <cell r="P71"/>
          <cell r="Q71"/>
          <cell r="R71"/>
          <cell r="S71"/>
          <cell r="T71"/>
          <cell r="U71"/>
        </row>
        <row r="72">
          <cell r="A72" t="str">
            <v>NV31-HUBS-1060</v>
          </cell>
          <cell r="B72" t="str">
            <v>MMHUB:MMUTCL2:VML2 - Per VF BigK/SmallK/Bank_Select Support</v>
          </cell>
          <cell r="C72" t="str">
            <v>P2</v>
          </cell>
          <cell r="D72" t="str">
            <v xml:space="preserve">mhub059.1-32, </v>
          </cell>
          <cell r="E72" t="e">
            <v>#N/A</v>
          </cell>
          <cell r="F72" t="str">
            <v>Legacy</v>
          </cell>
          <cell r="G72" t="str">
            <v>Yes</v>
          </cell>
          <cell r="H72" t="str">
            <v>Yes</v>
          </cell>
          <cell r="I72">
            <v>1</v>
          </cell>
          <cell r="J72">
            <v>32</v>
          </cell>
          <cell r="K72">
            <v>1</v>
          </cell>
          <cell r="L72">
            <v>1</v>
          </cell>
          <cell r="M72">
            <v>32</v>
          </cell>
          <cell r="N72">
            <v>0</v>
          </cell>
          <cell r="O72">
            <v>0</v>
          </cell>
          <cell r="P72">
            <v>32</v>
          </cell>
          <cell r="Q72">
            <v>32</v>
          </cell>
          <cell r="R72">
            <v>1</v>
          </cell>
          <cell r="S72">
            <v>1</v>
          </cell>
          <cell r="T72">
            <v>1</v>
          </cell>
          <cell r="U72" t="str">
            <v>A/B + 5wks</v>
          </cell>
        </row>
        <row r="73">
          <cell r="A73" t="str">
            <v>NV31-HUBS-1061</v>
          </cell>
          <cell r="B73" t="str">
            <v>MMHUB:MMUTCL2:VML2 - Per VMID BigK/SmallK/Bank_Select Support</v>
          </cell>
          <cell r="C73" t="str">
            <v>P2</v>
          </cell>
          <cell r="D73" t="str">
            <v xml:space="preserve">mhub059.1-32, </v>
          </cell>
          <cell r="E73" t="e">
            <v>#N/A</v>
          </cell>
          <cell r="F73" t="str">
            <v>Legacy</v>
          </cell>
          <cell r="G73" t="str">
            <v>Yes</v>
          </cell>
          <cell r="H73" t="str">
            <v>Yes</v>
          </cell>
          <cell r="I73">
            <v>1</v>
          </cell>
          <cell r="J73">
            <v>32</v>
          </cell>
          <cell r="K73">
            <v>1</v>
          </cell>
          <cell r="L73">
            <v>1</v>
          </cell>
          <cell r="M73">
            <v>32</v>
          </cell>
          <cell r="N73">
            <v>0</v>
          </cell>
          <cell r="O73">
            <v>0</v>
          </cell>
          <cell r="P73">
            <v>32</v>
          </cell>
          <cell r="Q73">
            <v>32</v>
          </cell>
          <cell r="R73">
            <v>1</v>
          </cell>
          <cell r="S73">
            <v>1</v>
          </cell>
          <cell r="T73">
            <v>1</v>
          </cell>
          <cell r="U73" t="str">
            <v>A/B + 5wks</v>
          </cell>
        </row>
        <row r="74">
          <cell r="A74" t="str">
            <v>NV31-HUBS-1062</v>
          </cell>
          <cell r="B74" t="str">
            <v>MMHUB:MMUTCL2:VML2 - GPUVM L2 cache read/dump capabilities</v>
          </cell>
          <cell r="C74" t="str">
            <v>P2</v>
          </cell>
          <cell r="D74" t="str">
            <v xml:space="preserve">mhub033.101,103,106, mhub033.104, mhub031.10,11,12,13, </v>
          </cell>
          <cell r="E74" t="str">
            <v>MMHUB</v>
          </cell>
          <cell r="F74" t="str">
            <v>Legacy</v>
          </cell>
          <cell r="G74" t="str">
            <v>Yes</v>
          </cell>
          <cell r="H74" t="str">
            <v>Yes</v>
          </cell>
          <cell r="I74">
            <v>3</v>
          </cell>
          <cell r="J74">
            <v>8</v>
          </cell>
          <cell r="K74">
            <v>1</v>
          </cell>
          <cell r="L74">
            <v>1</v>
          </cell>
          <cell r="M74">
            <v>8</v>
          </cell>
          <cell r="N74">
            <v>4</v>
          </cell>
          <cell r="O74">
            <v>0.5</v>
          </cell>
          <cell r="P74">
            <v>8</v>
          </cell>
          <cell r="Q74">
            <v>8</v>
          </cell>
          <cell r="R74">
            <v>1</v>
          </cell>
          <cell r="S74">
            <v>1</v>
          </cell>
          <cell r="T74">
            <v>1</v>
          </cell>
          <cell r="U74" t="str">
            <v>A/B + 10wks</v>
          </cell>
        </row>
        <row r="75">
          <cell r="A75" t="str">
            <v>NV31-HUBS-1063</v>
          </cell>
          <cell r="B75" t="str">
            <v>MMHUB:MMUTCL2:VML2 - Walker fetch behavior: REQUEST_PHYSICAL and PDE.S/C</v>
          </cell>
          <cell r="C75" t="str">
            <v>P2</v>
          </cell>
          <cell r="D75" t="str">
            <v xml:space="preserve">mhub013.1, mhub013.2, mhub013.3-6, mhub013.7-10, </v>
          </cell>
          <cell r="E75" t="str">
            <v>MMHUB</v>
          </cell>
          <cell r="F75" t="str">
            <v>Legacy</v>
          </cell>
          <cell r="G75" t="str">
            <v>Yes</v>
          </cell>
          <cell r="H75" t="str">
            <v>Yes</v>
          </cell>
          <cell r="I75">
            <v>4</v>
          </cell>
          <cell r="J75">
            <v>10</v>
          </cell>
          <cell r="K75">
            <v>1</v>
          </cell>
          <cell r="L75">
            <v>1</v>
          </cell>
          <cell r="M75">
            <v>10</v>
          </cell>
          <cell r="N75">
            <v>10</v>
          </cell>
          <cell r="O75">
            <v>1</v>
          </cell>
          <cell r="P75">
            <v>10</v>
          </cell>
          <cell r="Q75">
            <v>10</v>
          </cell>
          <cell r="R75">
            <v>1</v>
          </cell>
          <cell r="S75">
            <v>1</v>
          </cell>
          <cell r="T75">
            <v>1</v>
          </cell>
          <cell r="U75" t="str">
            <v>A/B + 10wks</v>
          </cell>
        </row>
        <row r="76">
          <cell r="A76"/>
          <cell r="B76"/>
          <cell r="C76"/>
          <cell r="D76"/>
          <cell r="E76"/>
          <cell r="F76"/>
          <cell r="G76"/>
          <cell r="H76"/>
          <cell r="I76"/>
          <cell r="J76"/>
          <cell r="K76"/>
          <cell r="L76"/>
          <cell r="M76"/>
          <cell r="N76"/>
          <cell r="O76"/>
          <cell r="P76"/>
          <cell r="Q76"/>
          <cell r="R76"/>
          <cell r="S76"/>
          <cell r="T76"/>
          <cell r="U76"/>
        </row>
        <row r="77">
          <cell r="A77"/>
          <cell r="B77"/>
          <cell r="C77"/>
          <cell r="D77"/>
          <cell r="E77"/>
          <cell r="F77"/>
          <cell r="G77"/>
          <cell r="H77"/>
          <cell r="I77"/>
          <cell r="J77"/>
          <cell r="K77"/>
          <cell r="L77"/>
          <cell r="M77"/>
          <cell r="N77"/>
          <cell r="O77"/>
          <cell r="P77"/>
          <cell r="Q77"/>
          <cell r="R77"/>
          <cell r="S77"/>
          <cell r="T77"/>
          <cell r="U77"/>
        </row>
        <row r="78">
          <cell r="A78" t="str">
            <v>NV31-HUBS-1066</v>
          </cell>
          <cell r="B78" t="str">
            <v>MMHUB:Power/PCTL - SOCCLK Deep Sleep</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N/A</v>
          </cell>
        </row>
        <row r="79">
          <cell r="A79" t="str">
            <v>NV31-HUBS-1067</v>
          </cell>
          <cell r="B79" t="str">
            <v>MMHUB:Power/PCTL - MMHUB Power Gating</v>
          </cell>
          <cell r="C79" t="str">
            <v>P2</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N/A</v>
          </cell>
        </row>
        <row r="80">
          <cell r="A80" t="str">
            <v>NV31-HUBS-1068</v>
          </cell>
          <cell r="B80" t="str">
            <v>MMHUB:PCTL - Register Save and Restore</v>
          </cell>
          <cell r="C80" t="str">
            <v>P2</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NV31-HUBS-1069</v>
          </cell>
          <cell r="B81" t="str">
            <v>MMHUB:PCTL - RSMU Timer</v>
          </cell>
          <cell r="C81" t="str">
            <v>P2</v>
          </cell>
          <cell r="D81" t="str">
            <v/>
          </cell>
          <cell r="E81" t="e">
            <v>#N/A</v>
          </cell>
          <cell r="F81" t="str">
            <v>Legacy</v>
          </cell>
          <cell r="G81" t="str">
            <v>Yes</v>
          </cell>
          <cell r="H81" t="str">
            <v>No</v>
          </cell>
          <cell r="I81">
            <v>0</v>
          </cell>
          <cell r="J81">
            <v>0</v>
          </cell>
          <cell r="K81">
            <v>0</v>
          </cell>
          <cell r="L81">
            <v>0</v>
          </cell>
          <cell r="M81">
            <v>0</v>
          </cell>
          <cell r="N81">
            <v>0</v>
          </cell>
          <cell r="O81">
            <v>0</v>
          </cell>
          <cell r="P81">
            <v>0</v>
          </cell>
          <cell r="Q81">
            <v>0</v>
          </cell>
          <cell r="R81">
            <v>0</v>
          </cell>
          <cell r="S81">
            <v>0</v>
          </cell>
          <cell r="T81">
            <v>0</v>
          </cell>
          <cell r="U81" t="str">
            <v>N/A</v>
          </cell>
        </row>
        <row r="82">
          <cell r="A82" t="str">
            <v>NV31-HUBS-1070</v>
          </cell>
          <cell r="B82" t="str">
            <v>MMHUB:Security - Trusted Memory Zone (TMZ)</v>
          </cell>
          <cell r="C82" t="str">
            <v>P1</v>
          </cell>
          <cell r="D82" t="str">
            <v xml:space="preserve">mhub150.1-4,10,12,20,30-41, </v>
          </cell>
          <cell r="E82" t="str">
            <v>MMHUB</v>
          </cell>
          <cell r="F82" t="str">
            <v>Delta</v>
          </cell>
          <cell r="G82" t="str">
            <v>Yes</v>
          </cell>
          <cell r="H82" t="str">
            <v>Yes</v>
          </cell>
          <cell r="I82">
            <v>3</v>
          </cell>
          <cell r="J82">
            <v>19</v>
          </cell>
          <cell r="K82">
            <v>1</v>
          </cell>
          <cell r="L82">
            <v>1</v>
          </cell>
          <cell r="M82">
            <v>19</v>
          </cell>
          <cell r="N82">
            <v>7</v>
          </cell>
          <cell r="O82">
            <v>0.36842105263157893</v>
          </cell>
          <cell r="P82">
            <v>19</v>
          </cell>
          <cell r="Q82">
            <v>19</v>
          </cell>
          <cell r="R82">
            <v>1</v>
          </cell>
          <cell r="S82">
            <v>1</v>
          </cell>
          <cell r="T82">
            <v>1</v>
          </cell>
          <cell r="U82" t="str">
            <v>A/B + 7wks</v>
          </cell>
        </row>
        <row r="83">
          <cell r="A83" t="str">
            <v>NV31-HUBS-1071</v>
          </cell>
          <cell r="B83" t="str">
            <v>MMHUB:Security - SOC15 Datapath/Controlpath Security</v>
          </cell>
          <cell r="C83" t="str">
            <v>P2</v>
          </cell>
          <cell r="D83" t="str">
            <v xml:space="preserve">DF003.1-4, </v>
          </cell>
          <cell r="E83" t="str">
            <v>MMHUB</v>
          </cell>
          <cell r="F83" t="str">
            <v>Legacy</v>
          </cell>
          <cell r="G83" t="str">
            <v>Yes</v>
          </cell>
          <cell r="H83" t="str">
            <v>Yes</v>
          </cell>
          <cell r="I83">
            <v>0</v>
          </cell>
          <cell r="J83">
            <v>0</v>
          </cell>
          <cell r="K83" t="e">
            <v>#DIV/0!</v>
          </cell>
          <cell r="L83" t="e">
            <v>#DIV/0!</v>
          </cell>
          <cell r="M83">
            <v>0</v>
          </cell>
          <cell r="N83">
            <v>0</v>
          </cell>
          <cell r="O83">
            <v>0</v>
          </cell>
          <cell r="P83">
            <v>0</v>
          </cell>
          <cell r="Q83">
            <v>0</v>
          </cell>
          <cell r="R83">
            <v>0</v>
          </cell>
          <cell r="S83">
            <v>0</v>
          </cell>
          <cell r="T83">
            <v>0</v>
          </cell>
          <cell r="U83" t="str">
            <v>N/A</v>
          </cell>
        </row>
        <row r="84">
          <cell r="A84"/>
          <cell r="B84"/>
          <cell r="C84"/>
          <cell r="D84"/>
          <cell r="E84"/>
          <cell r="F84"/>
          <cell r="G84"/>
          <cell r="H84"/>
          <cell r="I84"/>
          <cell r="J84"/>
          <cell r="K84"/>
          <cell r="L84"/>
          <cell r="M84"/>
          <cell r="N84"/>
          <cell r="O84"/>
          <cell r="P84"/>
          <cell r="Q84"/>
          <cell r="R84"/>
          <cell r="S84"/>
          <cell r="T84"/>
          <cell r="U84"/>
        </row>
        <row r="85">
          <cell r="A85"/>
          <cell r="B85"/>
          <cell r="C85"/>
          <cell r="D85"/>
          <cell r="E85"/>
          <cell r="F85"/>
          <cell r="G85"/>
          <cell r="H85"/>
          <cell r="I85"/>
          <cell r="J85"/>
          <cell r="K85"/>
          <cell r="L85"/>
          <cell r="M85"/>
          <cell r="N85"/>
          <cell r="O85"/>
          <cell r="P85"/>
          <cell r="Q85"/>
          <cell r="R85"/>
          <cell r="S85"/>
          <cell r="T85"/>
          <cell r="U85"/>
        </row>
        <row r="86">
          <cell r="A86"/>
          <cell r="B86"/>
          <cell r="C86"/>
          <cell r="D86"/>
          <cell r="E86"/>
          <cell r="F86"/>
          <cell r="G86"/>
          <cell r="H86"/>
          <cell r="I86"/>
          <cell r="J86"/>
          <cell r="K86"/>
          <cell r="L86"/>
          <cell r="M86"/>
          <cell r="N86"/>
          <cell r="O86"/>
          <cell r="P86"/>
          <cell r="Q86"/>
          <cell r="R86"/>
          <cell r="S86"/>
          <cell r="T86"/>
          <cell r="U86"/>
        </row>
        <row r="87">
          <cell r="A87"/>
          <cell r="B87"/>
          <cell r="C87"/>
          <cell r="D87"/>
          <cell r="E87"/>
          <cell r="F87"/>
          <cell r="G87"/>
          <cell r="H87"/>
          <cell r="I87"/>
          <cell r="J87"/>
          <cell r="K87"/>
          <cell r="L87"/>
          <cell r="M87"/>
          <cell r="N87"/>
          <cell r="O87"/>
          <cell r="P87"/>
          <cell r="Q87"/>
          <cell r="R87"/>
          <cell r="S87"/>
          <cell r="T87"/>
          <cell r="U87"/>
        </row>
        <row r="88">
          <cell r="A88" t="str">
            <v>NV31-HUBS-1076</v>
          </cell>
          <cell r="B88" t="str">
            <v>MMHUB:Debug - Debug Bus</v>
          </cell>
          <cell r="C88" t="str">
            <v>P2</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N/A</v>
          </cell>
        </row>
        <row r="89">
          <cell r="A89" t="str">
            <v>NV31-HUBS-2000</v>
          </cell>
          <cell r="B89" t="str">
            <v>GFXHUB:GCUTCL2 - SRAM FGCG</v>
          </cell>
          <cell r="C89" t="str">
            <v>P2</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N/A</v>
          </cell>
        </row>
        <row r="90">
          <cell r="A90" t="str">
            <v>NV31-HUBS-2001</v>
          </cell>
          <cell r="B90" t="str">
            <v>GFXHUB:GCUTCL2 - Repeater FGCG</v>
          </cell>
          <cell r="C90" t="str">
            <v>P1</v>
          </cell>
          <cell r="D90" t="str">
            <v/>
          </cell>
          <cell r="E90" t="e">
            <v>#N/A</v>
          </cell>
          <cell r="F90" t="str">
            <v>Delta</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N/A</v>
          </cell>
        </row>
        <row r="91">
          <cell r="A91" t="str">
            <v>NV31-HUBS-2003</v>
          </cell>
          <cell r="B91" t="str">
            <v>GFXHUB:GCUTCL2 - Expand GRBM address bus range</v>
          </cell>
          <cell r="C91" t="str">
            <v>P1</v>
          </cell>
          <cell r="D91" t="str">
            <v/>
          </cell>
          <cell r="E91" t="e">
            <v>#N/A</v>
          </cell>
          <cell r="F91" t="str">
            <v>New</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N/A</v>
          </cell>
        </row>
        <row r="92">
          <cell r="A92"/>
          <cell r="B92"/>
          <cell r="C92"/>
          <cell r="D92"/>
          <cell r="E92"/>
          <cell r="F92"/>
          <cell r="G92"/>
          <cell r="H92"/>
          <cell r="I92"/>
          <cell r="J92"/>
          <cell r="K92"/>
          <cell r="L92"/>
          <cell r="M92"/>
          <cell r="N92"/>
          <cell r="O92"/>
          <cell r="P92"/>
          <cell r="Q92"/>
          <cell r="R92"/>
          <cell r="S92"/>
          <cell r="T92"/>
          <cell r="U92"/>
        </row>
        <row r="93">
          <cell r="A93" t="str">
            <v>NV31-HUBS-2005</v>
          </cell>
          <cell r="B93" t="str">
            <v>GFXHUB:GCUTCL2 - MARC for secured P2P</v>
          </cell>
          <cell r="C93" t="str">
            <v>N/A</v>
          </cell>
          <cell r="D93" t="str">
            <v/>
          </cell>
          <cell r="E93" t="e">
            <v>#N/A</v>
          </cell>
          <cell r="F93" t="str">
            <v>Delta</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N/A</v>
          </cell>
        </row>
        <row r="94">
          <cell r="A94" t="str">
            <v>NV31-HUBS-2006</v>
          </cell>
          <cell r="B94" t="str">
            <v>GFXHUB:GCUTCL2 - Remove 2MB max page size limit</v>
          </cell>
          <cell r="C94" t="str">
            <v>P1</v>
          </cell>
          <cell r="D94" t="str">
            <v xml:space="preserve">utci10.1-8, </v>
          </cell>
          <cell r="E94" t="str">
            <v>GFXHUB</v>
          </cell>
          <cell r="F94" t="str">
            <v>New</v>
          </cell>
          <cell r="G94" t="str">
            <v>Yes</v>
          </cell>
          <cell r="H94" t="str">
            <v>Yes</v>
          </cell>
          <cell r="I94">
            <v>0</v>
          </cell>
          <cell r="J94">
            <v>0</v>
          </cell>
          <cell r="K94" t="e">
            <v>#DIV/0!</v>
          </cell>
          <cell r="L94" t="e">
            <v>#DIV/0!</v>
          </cell>
          <cell r="M94">
            <v>0</v>
          </cell>
          <cell r="N94">
            <v>0</v>
          </cell>
          <cell r="O94">
            <v>0</v>
          </cell>
          <cell r="P94">
            <v>0</v>
          </cell>
          <cell r="Q94">
            <v>0</v>
          </cell>
          <cell r="R94">
            <v>0</v>
          </cell>
          <cell r="S94">
            <v>0</v>
          </cell>
          <cell r="T94">
            <v>0</v>
          </cell>
          <cell r="U94" t="str">
            <v>N/A</v>
          </cell>
        </row>
        <row r="95">
          <cell r="A95" t="str">
            <v>NV31-HUBS-2072</v>
          </cell>
          <cell r="B95" t="str">
            <v>GFXHUB:GCUTCL2 - Programmable credits</v>
          </cell>
          <cell r="C95" t="str">
            <v>N/A</v>
          </cell>
          <cell r="D95" t="str">
            <v/>
          </cell>
          <cell r="E95" t="e">
            <v>#N/A</v>
          </cell>
          <cell r="F95" t="str">
            <v>New</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N/A</v>
          </cell>
        </row>
        <row r="96">
          <cell r="A96"/>
          <cell r="B96"/>
          <cell r="C96"/>
          <cell r="D96"/>
          <cell r="E96"/>
          <cell r="F96"/>
          <cell r="G96"/>
          <cell r="H96"/>
          <cell r="I96"/>
          <cell r="J96"/>
          <cell r="K96"/>
          <cell r="L96"/>
          <cell r="M96"/>
          <cell r="N96"/>
          <cell r="O96"/>
          <cell r="P96"/>
          <cell r="Q96"/>
          <cell r="R96"/>
          <cell r="S96"/>
          <cell r="T96"/>
          <cell r="U96"/>
        </row>
        <row r="97">
          <cell r="A97" t="str">
            <v>NV31-HUBS-2008</v>
          </cell>
          <cell r="B97" t="str">
            <v>GFXHUB:GCUTCL2:VML2 - Caches</v>
          </cell>
          <cell r="C97" t="str">
            <v>P1</v>
          </cell>
          <cell r="D97" t="str">
            <v xml:space="preserve">mhub202.1-15, mhub202.16, mhub202.17, mhub215.3-4, mhub231.6-9, mhub232.1, mhub232.10, mhub232.11, mhub232.12, mhub232.2, mhub232.3, mhub232.4, mhub232.5, mhub232.6, mhub232.7, mhub232.8, mhub232.9, mhub407.1,6, </v>
          </cell>
          <cell r="E97" t="str">
            <v>GFXHUB</v>
          </cell>
          <cell r="F97" t="str">
            <v>Legacy</v>
          </cell>
          <cell r="G97" t="str">
            <v>Yes</v>
          </cell>
          <cell r="H97" t="str">
            <v>Yes</v>
          </cell>
          <cell r="I97">
            <v>23</v>
          </cell>
          <cell r="J97">
            <v>37</v>
          </cell>
          <cell r="K97">
            <v>1</v>
          </cell>
          <cell r="L97">
            <v>1</v>
          </cell>
          <cell r="M97">
            <v>36</v>
          </cell>
          <cell r="N97">
            <v>21</v>
          </cell>
          <cell r="O97">
            <v>0.58333333333333337</v>
          </cell>
          <cell r="P97">
            <v>37</v>
          </cell>
          <cell r="Q97">
            <v>37</v>
          </cell>
          <cell r="R97">
            <v>1</v>
          </cell>
          <cell r="S97">
            <v>1</v>
          </cell>
          <cell r="T97">
            <v>1</v>
          </cell>
          <cell r="U97" t="str">
            <v>A/B + 10wks</v>
          </cell>
        </row>
        <row r="98">
          <cell r="A98" t="str">
            <v>NV31-HUBS-2071</v>
          </cell>
          <cell r="B98" t="str">
            <v>GFXHUB:GCUTCL2:VML2 - GPUVM fault status register</v>
          </cell>
          <cell r="C98" t="str">
            <v>P1</v>
          </cell>
          <cell r="D98" t="str">
            <v xml:space="preserve">mhub287, </v>
          </cell>
          <cell r="E98" t="str">
            <v>GFXHUB</v>
          </cell>
          <cell r="F98" t="str">
            <v>Delta</v>
          </cell>
          <cell r="G98" t="str">
            <v>Yes</v>
          </cell>
          <cell r="H98" t="str">
            <v>Yes</v>
          </cell>
          <cell r="I98">
            <v>4</v>
          </cell>
          <cell r="J98">
            <v>1</v>
          </cell>
          <cell r="K98">
            <v>1</v>
          </cell>
          <cell r="L98">
            <v>1</v>
          </cell>
          <cell r="M98">
            <v>0</v>
          </cell>
          <cell r="N98">
            <v>0</v>
          </cell>
          <cell r="O98">
            <v>0</v>
          </cell>
          <cell r="P98">
            <v>1</v>
          </cell>
          <cell r="Q98">
            <v>1</v>
          </cell>
          <cell r="R98">
            <v>1</v>
          </cell>
          <cell r="S98">
            <v>1</v>
          </cell>
          <cell r="T98">
            <v>1</v>
          </cell>
          <cell r="U98" t="str">
            <v>A/B + 5wks</v>
          </cell>
        </row>
        <row r="99">
          <cell r="A99" t="str">
            <v>NV31-HUBS-2009</v>
          </cell>
          <cell r="B99" t="str">
            <v>GFXHUB:GCUTCL2:VML2 - Common PSP-only default page</v>
          </cell>
          <cell r="C99" t="str">
            <v>P1</v>
          </cell>
          <cell r="D99" t="str">
            <v xml:space="preserve">mhub291.1-4, mhub291.5,6, </v>
          </cell>
          <cell r="E99" t="str">
            <v>GFXHUB</v>
          </cell>
          <cell r="F99" t="str">
            <v>New</v>
          </cell>
          <cell r="G99" t="str">
            <v>Yes</v>
          </cell>
          <cell r="H99" t="str">
            <v>Yes</v>
          </cell>
          <cell r="I99">
            <v>10</v>
          </cell>
          <cell r="J99">
            <v>6</v>
          </cell>
          <cell r="K99">
            <v>1</v>
          </cell>
          <cell r="L99">
            <v>1</v>
          </cell>
          <cell r="M99">
            <v>0</v>
          </cell>
          <cell r="N99">
            <v>0</v>
          </cell>
          <cell r="O99">
            <v>0</v>
          </cell>
          <cell r="P99">
            <v>6</v>
          </cell>
          <cell r="Q99">
            <v>6</v>
          </cell>
          <cell r="R99">
            <v>1</v>
          </cell>
          <cell r="S99">
            <v>1</v>
          </cell>
          <cell r="T99">
            <v>1</v>
          </cell>
          <cell r="U99" t="str">
            <v>A/B + 8wks</v>
          </cell>
        </row>
        <row r="100">
          <cell r="A100" t="str">
            <v>NV31-HUBS-2010</v>
          </cell>
          <cell r="B100" t="str">
            <v>GFXHUB:GCUTCL2:VML2 - GPUVA,VMID translation assist</v>
          </cell>
          <cell r="C100" t="str">
            <v>P2</v>
          </cell>
          <cell r="D100" t="str">
            <v xml:space="preserve">mhub260.1-32,61-64, mhub260.80, mhub260.81, mhub260.82, mhub260.83, mhub260.86, mhub260.87, </v>
          </cell>
          <cell r="E100" t="str">
            <v>GFXHUB</v>
          </cell>
          <cell r="F100" t="str">
            <v>Legacy</v>
          </cell>
          <cell r="G100" t="str">
            <v>Yes</v>
          </cell>
          <cell r="H100" t="str">
            <v>Yes</v>
          </cell>
          <cell r="I100">
            <v>7</v>
          </cell>
          <cell r="J100">
            <v>42</v>
          </cell>
          <cell r="K100">
            <v>1</v>
          </cell>
          <cell r="L100">
            <v>1</v>
          </cell>
          <cell r="M100">
            <v>36</v>
          </cell>
          <cell r="N100">
            <v>36</v>
          </cell>
          <cell r="O100">
            <v>1</v>
          </cell>
          <cell r="P100">
            <v>42</v>
          </cell>
          <cell r="Q100">
            <v>42</v>
          </cell>
          <cell r="R100">
            <v>1</v>
          </cell>
          <cell r="S100">
            <v>1</v>
          </cell>
          <cell r="T100">
            <v>1</v>
          </cell>
          <cell r="U100" t="str">
            <v>A/B + 9wks</v>
          </cell>
        </row>
        <row r="101">
          <cell r="A101"/>
          <cell r="B101"/>
          <cell r="C101"/>
          <cell r="D101"/>
          <cell r="E101"/>
          <cell r="F101"/>
          <cell r="G101"/>
          <cell r="H101"/>
          <cell r="I101"/>
          <cell r="J101"/>
          <cell r="K101"/>
          <cell r="L101"/>
          <cell r="M101"/>
          <cell r="N101"/>
          <cell r="O101"/>
          <cell r="P101"/>
          <cell r="Q101"/>
          <cell r="R101"/>
          <cell r="S101"/>
          <cell r="T101"/>
          <cell r="U101"/>
        </row>
        <row r="102">
          <cell r="A102" t="str">
            <v>NV31-HUBS-2012</v>
          </cell>
          <cell r="B102" t="str">
            <v>GFXHUB:GCUTCL2:VML2 - Translation bypass by VMID</v>
          </cell>
          <cell r="C102" t="str">
            <v>P2</v>
          </cell>
          <cell r="D102" t="str">
            <v xml:space="preserve">mhub246.1-8, </v>
          </cell>
          <cell r="E102" t="str">
            <v>GFXHUB</v>
          </cell>
          <cell r="F102" t="str">
            <v>Legacy</v>
          </cell>
          <cell r="G102" t="str">
            <v>Yes</v>
          </cell>
          <cell r="H102" t="str">
            <v>Yes</v>
          </cell>
          <cell r="I102">
            <v>1</v>
          </cell>
          <cell r="J102">
            <v>8</v>
          </cell>
          <cell r="K102">
            <v>1</v>
          </cell>
          <cell r="L102">
            <v>1</v>
          </cell>
          <cell r="M102">
            <v>8</v>
          </cell>
          <cell r="N102">
            <v>0</v>
          </cell>
          <cell r="O102">
            <v>0</v>
          </cell>
          <cell r="P102">
            <v>8</v>
          </cell>
          <cell r="Q102">
            <v>8</v>
          </cell>
          <cell r="R102">
            <v>1</v>
          </cell>
          <cell r="S102">
            <v>1</v>
          </cell>
          <cell r="T102">
            <v>1</v>
          </cell>
          <cell r="U102" t="str">
            <v>A/B + 10wks</v>
          </cell>
        </row>
        <row r="103">
          <cell r="A103" t="str">
            <v>NV31-HUBS-2013</v>
          </cell>
          <cell r="B103" t="str">
            <v>GFXHUB:GCUTCL2:VML2 - CAM/filter to avoid duplicate table-walk reads</v>
          </cell>
          <cell r="C103" t="str">
            <v>P2</v>
          </cell>
          <cell r="D103" t="str">
            <v xml:space="preserve">mhub340.1, mhub340.2, </v>
          </cell>
          <cell r="E103" t="e">
            <v>#N/A</v>
          </cell>
          <cell r="F103" t="str">
            <v>Legacy</v>
          </cell>
          <cell r="G103" t="str">
            <v>Yes</v>
          </cell>
          <cell r="H103" t="str">
            <v>Yes</v>
          </cell>
          <cell r="I103">
            <v>2</v>
          </cell>
          <cell r="J103">
            <v>2</v>
          </cell>
          <cell r="K103">
            <v>1</v>
          </cell>
          <cell r="L103">
            <v>1</v>
          </cell>
          <cell r="M103">
            <v>2</v>
          </cell>
          <cell r="N103">
            <v>2</v>
          </cell>
          <cell r="O103">
            <v>1</v>
          </cell>
          <cell r="P103">
            <v>2</v>
          </cell>
          <cell r="Q103">
            <v>2</v>
          </cell>
          <cell r="R103">
            <v>1</v>
          </cell>
          <cell r="S103">
            <v>1</v>
          </cell>
          <cell r="T103">
            <v>1</v>
          </cell>
          <cell r="U103" t="str">
            <v>A/B + 10wks</v>
          </cell>
        </row>
        <row r="104">
          <cell r="A104" t="str">
            <v>NV31-HUBS-2014</v>
          </cell>
          <cell r="B104" t="str">
            <v>GFXHUB:GCUTCL2:VML2 - GPA Mode</v>
          </cell>
          <cell r="C104" t="str">
            <v>P2</v>
          </cell>
          <cell r="D104" t="str">
            <v xml:space="preserve">mhub344.1,2, mhub344.3, </v>
          </cell>
          <cell r="E104" t="str">
            <v>GFXHUB</v>
          </cell>
          <cell r="F104" t="str">
            <v>Legacy</v>
          </cell>
          <cell r="G104" t="str">
            <v>Yes</v>
          </cell>
          <cell r="H104" t="str">
            <v>Yes</v>
          </cell>
          <cell r="I104">
            <v>2</v>
          </cell>
          <cell r="J104">
            <v>3</v>
          </cell>
          <cell r="K104">
            <v>1</v>
          </cell>
          <cell r="L104">
            <v>1</v>
          </cell>
          <cell r="M104">
            <v>3</v>
          </cell>
          <cell r="N104">
            <v>3</v>
          </cell>
          <cell r="O104">
            <v>1</v>
          </cell>
          <cell r="P104">
            <v>3</v>
          </cell>
          <cell r="Q104">
            <v>3</v>
          </cell>
          <cell r="R104">
            <v>1</v>
          </cell>
          <cell r="S104">
            <v>1</v>
          </cell>
          <cell r="T104">
            <v>1</v>
          </cell>
          <cell r="U104" t="str">
            <v>A/B + 10wks</v>
          </cell>
        </row>
        <row r="105">
          <cell r="A105" t="str">
            <v>NV31-HUBS-2015</v>
          </cell>
          <cell r="B105" t="str">
            <v>GFXHUB:GCUTCL2:VML2 - Range-based UTCL1 and VML1 invalidation</v>
          </cell>
          <cell r="C105" t="str">
            <v>P2</v>
          </cell>
          <cell r="D105" t="str">
            <v xml:space="preserve">mhub254.1,3,5-8, mhub255.1-2, </v>
          </cell>
          <cell r="E105" t="e">
            <v>#N/A</v>
          </cell>
          <cell r="F105" t="str">
            <v>Legacy</v>
          </cell>
          <cell r="G105" t="str">
            <v>Yes</v>
          </cell>
          <cell r="H105" t="str">
            <v>Yes</v>
          </cell>
          <cell r="I105">
            <v>3</v>
          </cell>
          <cell r="J105">
            <v>8</v>
          </cell>
          <cell r="K105">
            <v>1</v>
          </cell>
          <cell r="L105">
            <v>1</v>
          </cell>
          <cell r="M105">
            <v>8</v>
          </cell>
          <cell r="N105">
            <v>6</v>
          </cell>
          <cell r="O105">
            <v>0.75</v>
          </cell>
          <cell r="P105">
            <v>8</v>
          </cell>
          <cell r="Q105">
            <v>8</v>
          </cell>
          <cell r="R105">
            <v>1</v>
          </cell>
          <cell r="S105">
            <v>1</v>
          </cell>
          <cell r="T105">
            <v>1</v>
          </cell>
          <cell r="U105" t="str">
            <v>A/B + 10wks</v>
          </cell>
        </row>
        <row r="106">
          <cell r="A106" t="str">
            <v>NV31-HUBS-2016</v>
          </cell>
          <cell r="B106" t="str">
            <v>GFXHUB:GCUTCL2:VML2 - TLBi Support - Invalidation rates of  1TB VA, 32M invalidates/sec</v>
          </cell>
          <cell r="C106" t="str">
            <v>P2</v>
          </cell>
          <cell r="D106" t="str">
            <v xml:space="preserve">sdma86.1-14,87.1,91.1, utci2.1, </v>
          </cell>
          <cell r="E106" t="str">
            <v>GFXHUB</v>
          </cell>
          <cell r="F106" t="str">
            <v>Legacy</v>
          </cell>
          <cell r="G106" t="str">
            <v>Yes</v>
          </cell>
          <cell r="H106" t="str">
            <v>Yes</v>
          </cell>
          <cell r="I106">
            <v>0</v>
          </cell>
          <cell r="J106">
            <v>0</v>
          </cell>
          <cell r="K106" t="e">
            <v>#DIV/0!</v>
          </cell>
          <cell r="L106" t="e">
            <v>#DIV/0!</v>
          </cell>
          <cell r="M106">
            <v>0</v>
          </cell>
          <cell r="N106">
            <v>0</v>
          </cell>
          <cell r="O106">
            <v>0</v>
          </cell>
          <cell r="P106">
            <v>0</v>
          </cell>
          <cell r="Q106">
            <v>0</v>
          </cell>
          <cell r="R106">
            <v>0</v>
          </cell>
          <cell r="S106">
            <v>0</v>
          </cell>
          <cell r="T106">
            <v>0</v>
          </cell>
          <cell r="U106" t="str">
            <v>N/A</v>
          </cell>
        </row>
        <row r="107">
          <cell r="A107" t="str">
            <v>NV31-HUBS-2017</v>
          </cell>
          <cell r="B107" t="str">
            <v>GFXHUB:GCUTCL2:VML2 - Page table walker read throttling</v>
          </cell>
          <cell r="C107" t="str">
            <v>P2</v>
          </cell>
          <cell r="D107" t="str">
            <v xml:space="preserve">mhub340.1, mhub340.2, utci1.1, </v>
          </cell>
          <cell r="E107" t="str">
            <v>GFXHUB</v>
          </cell>
          <cell r="F107" t="str">
            <v>Legacy</v>
          </cell>
          <cell r="G107" t="str">
            <v>Yes</v>
          </cell>
          <cell r="H107" t="str">
            <v>Yes</v>
          </cell>
          <cell r="I107">
            <v>2</v>
          </cell>
          <cell r="J107">
            <v>2</v>
          </cell>
          <cell r="K107">
            <v>1</v>
          </cell>
          <cell r="L107">
            <v>1</v>
          </cell>
          <cell r="M107">
            <v>2</v>
          </cell>
          <cell r="N107">
            <v>2</v>
          </cell>
          <cell r="O107">
            <v>1</v>
          </cell>
          <cell r="P107">
            <v>2</v>
          </cell>
          <cell r="Q107">
            <v>2</v>
          </cell>
          <cell r="R107">
            <v>1</v>
          </cell>
          <cell r="S107">
            <v>1</v>
          </cell>
          <cell r="T107">
            <v>1</v>
          </cell>
          <cell r="U107" t="str">
            <v>A/B + 10wks</v>
          </cell>
        </row>
        <row r="108">
          <cell r="A108" t="str">
            <v>NV31-HUBS-2018</v>
          </cell>
          <cell r="B108" t="str">
            <v>GFXHUB:GCUTCL2:VML2 - Full GCR Support</v>
          </cell>
          <cell r="C108" t="str">
            <v>P2</v>
          </cell>
          <cell r="D108" t="str">
            <v xml:space="preserve">utci7.1-6, </v>
          </cell>
          <cell r="E108" t="e">
            <v>#N/A</v>
          </cell>
          <cell r="F108" t="str">
            <v>Legacy</v>
          </cell>
          <cell r="G108" t="str">
            <v>Yes</v>
          </cell>
          <cell r="H108" t="str">
            <v>Yes</v>
          </cell>
          <cell r="I108">
            <v>0</v>
          </cell>
          <cell r="J108">
            <v>0</v>
          </cell>
          <cell r="K108" t="e">
            <v>#DIV/0!</v>
          </cell>
          <cell r="L108" t="e">
            <v>#DIV/0!</v>
          </cell>
          <cell r="M108">
            <v>0</v>
          </cell>
          <cell r="N108">
            <v>0</v>
          </cell>
          <cell r="O108">
            <v>0</v>
          </cell>
          <cell r="P108">
            <v>0</v>
          </cell>
          <cell r="Q108">
            <v>0</v>
          </cell>
          <cell r="R108">
            <v>0</v>
          </cell>
          <cell r="S108">
            <v>0</v>
          </cell>
          <cell r="T108">
            <v>0</v>
          </cell>
          <cell r="U108" t="str">
            <v>N/A</v>
          </cell>
        </row>
        <row r="109">
          <cell r="A109" t="str">
            <v>NV31-HUBS-2019</v>
          </cell>
          <cell r="B109" t="str">
            <v>GFXHUB:GCUTCL2:VML2 - Return invalid V=0 PA to GCR w/o generating an intr - UTC L2 typically fires an interrupt on a page fault (V=0) but, for GCR translation requests, that’s not case. V=0 is a legal setting.</v>
          </cell>
          <cell r="C109" t="str">
            <v>P2</v>
          </cell>
          <cell r="D109" t="str">
            <v xml:space="preserve">utci7.1-6, </v>
          </cell>
          <cell r="E109" t="e">
            <v>#N/A</v>
          </cell>
          <cell r="F109" t="str">
            <v>Legacy</v>
          </cell>
          <cell r="G109" t="str">
            <v>Yes</v>
          </cell>
          <cell r="H109" t="str">
            <v>Yes</v>
          </cell>
          <cell r="I109">
            <v>0</v>
          </cell>
          <cell r="J109">
            <v>0</v>
          </cell>
          <cell r="K109" t="e">
            <v>#DIV/0!</v>
          </cell>
          <cell r="L109" t="e">
            <v>#DIV/0!</v>
          </cell>
          <cell r="M109">
            <v>0</v>
          </cell>
          <cell r="N109">
            <v>0</v>
          </cell>
          <cell r="O109">
            <v>0</v>
          </cell>
          <cell r="P109">
            <v>0</v>
          </cell>
          <cell r="Q109">
            <v>0</v>
          </cell>
          <cell r="R109">
            <v>0</v>
          </cell>
          <cell r="S109">
            <v>0</v>
          </cell>
          <cell r="T109">
            <v>0</v>
          </cell>
          <cell r="U109" t="str">
            <v>N/A</v>
          </cell>
        </row>
        <row r="110">
          <cell r="A110" t="str">
            <v>NV31-HUBS-2020</v>
          </cell>
          <cell r="B110" t="str">
            <v>GFXHUB:GCUTCL2:VML2 - Register bits that enable software to control hit/miss behaviour on invalid ptes in cache</v>
          </cell>
          <cell r="C110" t="str">
            <v>P2</v>
          </cell>
          <cell r="D110" t="str">
            <v xml:space="preserve">mhub345.1-2, </v>
          </cell>
          <cell r="E110" t="str">
            <v>GFXHUB</v>
          </cell>
          <cell r="F110" t="str">
            <v>Legacy</v>
          </cell>
          <cell r="G110" t="str">
            <v>Yes</v>
          </cell>
          <cell r="H110" t="str">
            <v>Yes</v>
          </cell>
          <cell r="I110">
            <v>1</v>
          </cell>
          <cell r="J110">
            <v>2</v>
          </cell>
          <cell r="K110">
            <v>1</v>
          </cell>
          <cell r="L110">
            <v>1</v>
          </cell>
          <cell r="M110">
            <v>2</v>
          </cell>
          <cell r="N110">
            <v>2</v>
          </cell>
          <cell r="O110">
            <v>1</v>
          </cell>
          <cell r="P110">
            <v>2</v>
          </cell>
          <cell r="Q110">
            <v>2</v>
          </cell>
          <cell r="R110">
            <v>1</v>
          </cell>
          <cell r="S110">
            <v>1</v>
          </cell>
          <cell r="T110">
            <v>1</v>
          </cell>
          <cell r="U110" t="str">
            <v>A/B + 5wks</v>
          </cell>
        </row>
        <row r="111">
          <cell r="A111" t="str">
            <v>NV31-HUBS-2021</v>
          </cell>
          <cell r="B111" t="str">
            <v>GFXHUB:GCUTCL2:VML2 - Register bits that enable software to control hit/miss behaviour on permission mismatch in cache</v>
          </cell>
          <cell r="C111" t="str">
            <v>P2</v>
          </cell>
          <cell r="D111" t="str">
            <v xml:space="preserve">mhub346.1-2, </v>
          </cell>
          <cell r="E111" t="str">
            <v>GFXHUB</v>
          </cell>
          <cell r="F111" t="str">
            <v>Legacy</v>
          </cell>
          <cell r="G111" t="str">
            <v>Yes</v>
          </cell>
          <cell r="H111" t="str">
            <v>Yes</v>
          </cell>
          <cell r="I111">
            <v>1</v>
          </cell>
          <cell r="J111">
            <v>2</v>
          </cell>
          <cell r="K111">
            <v>1</v>
          </cell>
          <cell r="L111">
            <v>1</v>
          </cell>
          <cell r="M111">
            <v>2</v>
          </cell>
          <cell r="N111">
            <v>2</v>
          </cell>
          <cell r="O111">
            <v>1</v>
          </cell>
          <cell r="P111">
            <v>2</v>
          </cell>
          <cell r="Q111">
            <v>2</v>
          </cell>
          <cell r="R111">
            <v>1</v>
          </cell>
          <cell r="S111">
            <v>1</v>
          </cell>
          <cell r="T111">
            <v>1</v>
          </cell>
          <cell r="U111" t="str">
            <v>A/B + 5wks</v>
          </cell>
        </row>
        <row r="112">
          <cell r="A112" t="str">
            <v>NV31-HUBS-2022</v>
          </cell>
          <cell r="B112" t="str">
            <v>GFXHUB:GCUTCL2:VML2 - Register bits that enable software to control hit/miss behaviour on page migration(R=W=0) in cache</v>
          </cell>
          <cell r="C112" t="str">
            <v>P2</v>
          </cell>
          <cell r="D112" t="str">
            <v xml:space="preserve">mhub209.3, mhub209.4, mhub209.5, mhub209.6, </v>
          </cell>
          <cell r="E112" t="e">
            <v>#N/A</v>
          </cell>
          <cell r="F112" t="str">
            <v>Legacy</v>
          </cell>
          <cell r="G112" t="str">
            <v>Yes</v>
          </cell>
          <cell r="H112" t="str">
            <v>Yes</v>
          </cell>
          <cell r="I112">
            <v>4</v>
          </cell>
          <cell r="J112">
            <v>4</v>
          </cell>
          <cell r="K112">
            <v>1</v>
          </cell>
          <cell r="L112">
            <v>1</v>
          </cell>
          <cell r="M112">
            <v>4</v>
          </cell>
          <cell r="N112">
            <v>4</v>
          </cell>
          <cell r="O112">
            <v>1</v>
          </cell>
          <cell r="P112">
            <v>4</v>
          </cell>
          <cell r="Q112">
            <v>4</v>
          </cell>
          <cell r="R112">
            <v>1</v>
          </cell>
          <cell r="S112">
            <v>1</v>
          </cell>
          <cell r="T112">
            <v>1</v>
          </cell>
          <cell r="U112" t="str">
            <v>A/B + 5wks</v>
          </cell>
        </row>
        <row r="113">
          <cell r="A113" t="str">
            <v>NV31-HUBS-2023</v>
          </cell>
          <cell r="B113" t="str">
            <v>GFXHUB:GCUTCL2:VML2 - Programmable “smallK” size</v>
          </cell>
          <cell r="C113" t="str">
            <v>P2</v>
          </cell>
          <cell r="D113" t="str">
            <v xml:space="preserve">mhub232.1, mhub232.10, mhub232.11, mhub232.12, mhub232.2, mhub232.3, mhub232.4, mhub232.5, mhub232.6, mhub232.7, mhub232.8, mhub232.9, mhub234.1, mhub234.2, mhub234.3, mhub234.4, </v>
          </cell>
          <cell r="E113" t="e">
            <v>#N/A</v>
          </cell>
          <cell r="F113" t="str">
            <v>Legacy</v>
          </cell>
          <cell r="G113" t="str">
            <v>Yes</v>
          </cell>
          <cell r="H113" t="str">
            <v>Yes</v>
          </cell>
          <cell r="I113">
            <v>16</v>
          </cell>
          <cell r="J113">
            <v>16</v>
          </cell>
          <cell r="K113">
            <v>1</v>
          </cell>
          <cell r="L113">
            <v>1</v>
          </cell>
          <cell r="M113">
            <v>16</v>
          </cell>
          <cell r="N113">
            <v>16</v>
          </cell>
          <cell r="O113">
            <v>1</v>
          </cell>
          <cell r="P113">
            <v>16</v>
          </cell>
          <cell r="Q113">
            <v>16</v>
          </cell>
          <cell r="R113">
            <v>1</v>
          </cell>
          <cell r="S113">
            <v>1</v>
          </cell>
          <cell r="T113">
            <v>1</v>
          </cell>
          <cell r="U113" t="str">
            <v>A/B + 10wks</v>
          </cell>
        </row>
        <row r="114">
          <cell r="A114"/>
          <cell r="B114"/>
          <cell r="C114"/>
          <cell r="D114"/>
          <cell r="E114"/>
          <cell r="F114"/>
          <cell r="G114"/>
          <cell r="H114"/>
          <cell r="I114"/>
          <cell r="J114"/>
          <cell r="K114"/>
          <cell r="L114"/>
          <cell r="M114"/>
          <cell r="N114"/>
          <cell r="O114"/>
          <cell r="P114"/>
          <cell r="Q114"/>
          <cell r="R114"/>
          <cell r="S114"/>
          <cell r="T114"/>
          <cell r="U114"/>
        </row>
        <row r="115">
          <cell r="A115" t="str">
            <v>NV31-HUBS-2025</v>
          </cell>
          <cell r="B115" t="str">
            <v>GFXHUB:GCUTCL2:VML2 - Trusted Memory Zone (TMZ) Secure Filtering</v>
          </cell>
          <cell r="C115" t="str">
            <v>P2</v>
          </cell>
          <cell r="D115" t="str">
            <v xml:space="preserve">mhub350.1-4,10,20,30-37, utci6.1-2, </v>
          </cell>
          <cell r="E115" t="str">
            <v>GFXHUB</v>
          </cell>
          <cell r="F115" t="str">
            <v>Legacy</v>
          </cell>
          <cell r="G115" t="str">
            <v>Yes</v>
          </cell>
          <cell r="H115" t="str">
            <v>Yes</v>
          </cell>
          <cell r="I115">
            <v>1</v>
          </cell>
          <cell r="J115">
            <v>14</v>
          </cell>
          <cell r="K115">
            <v>1</v>
          </cell>
          <cell r="L115">
            <v>1</v>
          </cell>
          <cell r="M115">
            <v>14</v>
          </cell>
          <cell r="N115">
            <v>10</v>
          </cell>
          <cell r="O115">
            <v>0.7142857142857143</v>
          </cell>
          <cell r="P115">
            <v>14</v>
          </cell>
          <cell r="Q115">
            <v>14</v>
          </cell>
          <cell r="R115">
            <v>1</v>
          </cell>
          <cell r="S115">
            <v>1</v>
          </cell>
          <cell r="T115">
            <v>1</v>
          </cell>
          <cell r="U115" t="str">
            <v>A/B + 7wks</v>
          </cell>
        </row>
        <row r="116">
          <cell r="A116" t="str">
            <v>NV31-HUBS-2026</v>
          </cell>
          <cell r="B116" t="str">
            <v>GFXHUB:GCUTCL2:VML2 - Invalidate by Address Range and VMID aka "Sharpshooting"</v>
          </cell>
          <cell r="C116" t="str">
            <v>P2</v>
          </cell>
          <cell r="D116" t="str">
            <v xml:space="preserve">mhub252.1, mhub253.1, mhub254.1,3,5-8, mhub257.6, </v>
          </cell>
          <cell r="E116" t="e">
            <v>#N/A</v>
          </cell>
          <cell r="F116" t="str">
            <v>Legacy</v>
          </cell>
          <cell r="G116" t="str">
            <v>Yes</v>
          </cell>
          <cell r="H116" t="str">
            <v>Yes</v>
          </cell>
          <cell r="I116">
            <v>5</v>
          </cell>
          <cell r="J116">
            <v>9</v>
          </cell>
          <cell r="K116">
            <v>1</v>
          </cell>
          <cell r="L116">
            <v>1</v>
          </cell>
          <cell r="M116">
            <v>9</v>
          </cell>
          <cell r="N116">
            <v>9</v>
          </cell>
          <cell r="O116">
            <v>1</v>
          </cell>
          <cell r="P116">
            <v>9</v>
          </cell>
          <cell r="Q116">
            <v>9</v>
          </cell>
          <cell r="R116">
            <v>1</v>
          </cell>
          <cell r="S116">
            <v>1</v>
          </cell>
          <cell r="T116">
            <v>1</v>
          </cell>
          <cell r="U116" t="str">
            <v>A/B + 5wks</v>
          </cell>
        </row>
        <row r="117">
          <cell r="A117" t="str">
            <v>NV31-HUBS-2027</v>
          </cell>
          <cell r="B117" t="str">
            <v>GFXHUB:GCUTCL2:VML2 - Lightweight/Heavyweight flush-type invalidation aka GPUVM –ATC like invalidations</v>
          </cell>
          <cell r="C117" t="str">
            <v>P1</v>
          </cell>
          <cell r="D117" t="str">
            <v xml:space="preserve">mhub252.1, mhub253.1, mhub254.1,3,5-8, mhub255.1-2, mhub257.6, </v>
          </cell>
          <cell r="E117" t="e">
            <v>#N/A</v>
          </cell>
          <cell r="F117" t="str">
            <v>Delta</v>
          </cell>
          <cell r="G117" t="str">
            <v>Yes</v>
          </cell>
          <cell r="H117" t="str">
            <v>Yes</v>
          </cell>
          <cell r="I117">
            <v>6</v>
          </cell>
          <cell r="J117">
            <v>11</v>
          </cell>
          <cell r="K117">
            <v>1</v>
          </cell>
          <cell r="L117">
            <v>1</v>
          </cell>
          <cell r="M117">
            <v>11</v>
          </cell>
          <cell r="N117">
            <v>9</v>
          </cell>
          <cell r="O117">
            <v>0.81818181818181823</v>
          </cell>
          <cell r="P117">
            <v>11</v>
          </cell>
          <cell r="Q117">
            <v>11</v>
          </cell>
          <cell r="R117">
            <v>1</v>
          </cell>
          <cell r="S117">
            <v>1</v>
          </cell>
          <cell r="T117">
            <v>1</v>
          </cell>
          <cell r="U117" t="str">
            <v>A/B + 10wks</v>
          </cell>
        </row>
        <row r="118">
          <cell r="A118" t="str">
            <v>NV31-HUBS-2028</v>
          </cell>
          <cell r="B118" t="str">
            <v>GFXHUB:GCUTCL2:VML2 - Page Tables Levels</v>
          </cell>
          <cell r="C118" t="str">
            <v>P2</v>
          </cell>
          <cell r="D118" t="str">
            <v xml:space="preserve">mhub210.1-2, mhub211.1, mhub211.2, mhub211.4, mhub212, </v>
          </cell>
          <cell r="E118" t="e">
            <v>#N/A</v>
          </cell>
          <cell r="F118" t="str">
            <v>Legacy</v>
          </cell>
          <cell r="G118" t="str">
            <v>Yes</v>
          </cell>
          <cell r="H118" t="str">
            <v>Yes</v>
          </cell>
          <cell r="I118">
            <v>5</v>
          </cell>
          <cell r="J118">
            <v>6</v>
          </cell>
          <cell r="K118">
            <v>1</v>
          </cell>
          <cell r="L118">
            <v>1</v>
          </cell>
          <cell r="M118">
            <v>6</v>
          </cell>
          <cell r="N118">
            <v>6</v>
          </cell>
          <cell r="O118">
            <v>1</v>
          </cell>
          <cell r="P118">
            <v>6</v>
          </cell>
          <cell r="Q118">
            <v>6</v>
          </cell>
          <cell r="R118">
            <v>1</v>
          </cell>
          <cell r="S118">
            <v>1</v>
          </cell>
          <cell r="T118">
            <v>1</v>
          </cell>
          <cell r="U118" t="str">
            <v>A/B + 10wks</v>
          </cell>
        </row>
        <row r="119">
          <cell r="A119" t="str">
            <v>NV31-HUBS-2029</v>
          </cell>
          <cell r="B119" t="str">
            <v>GFXHUB:GCUTCL2:VML2 - PDE Attributes</v>
          </cell>
          <cell r="C119" t="str">
            <v>P1</v>
          </cell>
          <cell r="D119" t="str">
            <v xml:space="preserve">mhub205, mhub210.1-2, mhub211.1, mhub282, mhub353.13,16, 19,22, mhub353.15,18, 21, 24, glxixxxx, </v>
          </cell>
          <cell r="E119" t="str">
            <v>GFXHUB</v>
          </cell>
          <cell r="F119" t="str">
            <v>Delta</v>
          </cell>
          <cell r="G119" t="str">
            <v>Yes</v>
          </cell>
          <cell r="H119" t="str">
            <v>Yes</v>
          </cell>
          <cell r="I119">
            <v>8</v>
          </cell>
          <cell r="J119">
            <v>13</v>
          </cell>
          <cell r="K119">
            <v>1</v>
          </cell>
          <cell r="L119">
            <v>1</v>
          </cell>
          <cell r="M119">
            <v>5</v>
          </cell>
          <cell r="N119">
            <v>5</v>
          </cell>
          <cell r="O119">
            <v>1</v>
          </cell>
          <cell r="P119">
            <v>13</v>
          </cell>
          <cell r="Q119">
            <v>13</v>
          </cell>
          <cell r="R119">
            <v>1</v>
          </cell>
          <cell r="S119">
            <v>1</v>
          </cell>
          <cell r="T119">
            <v>1</v>
          </cell>
          <cell r="U119" t="str">
            <v>SHR+4wks</v>
          </cell>
        </row>
        <row r="120">
          <cell r="A120" t="str">
            <v>NV31-HUBS-2030</v>
          </cell>
          <cell r="B120" t="str">
            <v>GFXHUB:GCUTCL2:VML2 - PTE Attributes</v>
          </cell>
          <cell r="C120" t="str">
            <v>P2</v>
          </cell>
          <cell r="D120" t="str">
            <v xml:space="preserve">mhub206.1,2,4, mhub207.2, mhub208.1,2, mhub208.3, mhub211.1, mhub281.1,2, mhub286.1,2, </v>
          </cell>
          <cell r="E120" t="str">
            <v>GFXHUB</v>
          </cell>
          <cell r="F120" t="str">
            <v>Legacy</v>
          </cell>
          <cell r="G120" t="str">
            <v>Yes</v>
          </cell>
          <cell r="H120" t="str">
            <v>Yes</v>
          </cell>
          <cell r="I120">
            <v>7</v>
          </cell>
          <cell r="J120">
            <v>12</v>
          </cell>
          <cell r="K120">
            <v>1</v>
          </cell>
          <cell r="L120">
            <v>1</v>
          </cell>
          <cell r="M120">
            <v>12</v>
          </cell>
          <cell r="N120">
            <v>12</v>
          </cell>
          <cell r="O120">
            <v>1</v>
          </cell>
          <cell r="P120">
            <v>12</v>
          </cell>
          <cell r="Q120">
            <v>12</v>
          </cell>
          <cell r="R120">
            <v>1</v>
          </cell>
          <cell r="S120">
            <v>1</v>
          </cell>
          <cell r="T120">
            <v>1</v>
          </cell>
          <cell r="U120" t="str">
            <v>A/B + 10wks</v>
          </cell>
        </row>
        <row r="121">
          <cell r="A121" t="str">
            <v>NV31-HUBS-2031</v>
          </cell>
          <cell r="B121" t="str">
            <v>GFXHUB:GCUTCL2:VML2 - PTE permissions returned</v>
          </cell>
          <cell r="C121" t="str">
            <v>P2</v>
          </cell>
          <cell r="D121" t="str">
            <v xml:space="preserve">mhub341.1, mhub341.2, </v>
          </cell>
          <cell r="E121" t="str">
            <v>GFXHUB</v>
          </cell>
          <cell r="F121" t="str">
            <v>Legacy</v>
          </cell>
          <cell r="G121" t="str">
            <v>Yes</v>
          </cell>
          <cell r="H121" t="str">
            <v>Yes</v>
          </cell>
          <cell r="I121">
            <v>2</v>
          </cell>
          <cell r="J121">
            <v>2</v>
          </cell>
          <cell r="K121">
            <v>1</v>
          </cell>
          <cell r="L121">
            <v>1</v>
          </cell>
          <cell r="M121">
            <v>2</v>
          </cell>
          <cell r="N121">
            <v>2</v>
          </cell>
          <cell r="O121">
            <v>1</v>
          </cell>
          <cell r="P121">
            <v>2</v>
          </cell>
          <cell r="Q121">
            <v>2</v>
          </cell>
          <cell r="R121">
            <v>1</v>
          </cell>
          <cell r="S121">
            <v>1</v>
          </cell>
          <cell r="T121">
            <v>1</v>
          </cell>
          <cell r="U121" t="str">
            <v>A/B + 10wks</v>
          </cell>
        </row>
        <row r="122">
          <cell r="A122" t="str">
            <v>NV31-HUBS-2032</v>
          </cell>
          <cell r="B122" t="str">
            <v>GFXHUB:GCUTCL2:VML2 - Increase MTYPE from 2 to 3 bits</v>
          </cell>
          <cell r="C122" t="str">
            <v>P2</v>
          </cell>
          <cell r="D12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22" t="e">
            <v>#N/A</v>
          </cell>
          <cell r="F122" t="str">
            <v>Legacy</v>
          </cell>
          <cell r="G122" t="str">
            <v>Yes</v>
          </cell>
          <cell r="H122" t="str">
            <v>Yes</v>
          </cell>
          <cell r="I122">
            <v>27</v>
          </cell>
          <cell r="J122">
            <v>24</v>
          </cell>
          <cell r="K122">
            <v>1</v>
          </cell>
          <cell r="L122">
            <v>1</v>
          </cell>
          <cell r="M122">
            <v>24</v>
          </cell>
          <cell r="N122">
            <v>24</v>
          </cell>
          <cell r="O122">
            <v>1</v>
          </cell>
          <cell r="P122">
            <v>24</v>
          </cell>
          <cell r="Q122">
            <v>24</v>
          </cell>
          <cell r="R122">
            <v>1</v>
          </cell>
          <cell r="S122">
            <v>1</v>
          </cell>
          <cell r="T122">
            <v>1</v>
          </cell>
          <cell r="U122" t="str">
            <v>A/B + 10wks</v>
          </cell>
        </row>
        <row r="123">
          <cell r="A123" t="str">
            <v>NV31-HUBS-2033</v>
          </cell>
          <cell r="B123" t="str">
            <v>GFXHUB:GCUTCL2:VML2 - Translate Further/PTE.F bit</v>
          </cell>
          <cell r="C123" t="str">
            <v>P1</v>
          </cell>
          <cell r="D123" t="str">
            <v xml:space="preserve">mhub211.1, mhub211.2, mhub211.4, mhub327.1, mhub327.2, mhub327.3, mhub327.4, </v>
          </cell>
          <cell r="E123" t="str">
            <v>GFXHUB</v>
          </cell>
          <cell r="F123" t="str">
            <v>Delta</v>
          </cell>
          <cell r="G123" t="str">
            <v>Yes</v>
          </cell>
          <cell r="H123" t="str">
            <v>Yes</v>
          </cell>
          <cell r="I123">
            <v>31</v>
          </cell>
          <cell r="J123">
            <v>19</v>
          </cell>
          <cell r="K123">
            <v>1</v>
          </cell>
          <cell r="L123">
            <v>1</v>
          </cell>
          <cell r="M123">
            <v>3</v>
          </cell>
          <cell r="N123">
            <v>3</v>
          </cell>
          <cell r="O123">
            <v>1</v>
          </cell>
          <cell r="P123">
            <v>19</v>
          </cell>
          <cell r="Q123">
            <v>19</v>
          </cell>
          <cell r="R123">
            <v>1</v>
          </cell>
          <cell r="S123">
            <v>1</v>
          </cell>
          <cell r="T123">
            <v>1</v>
          </cell>
          <cell r="U123" t="str">
            <v>A/B + 10wks</v>
          </cell>
        </row>
        <row r="124">
          <cell r="A124" t="str">
            <v>NV31-HUBS-2034</v>
          </cell>
          <cell r="B124" t="str">
            <v>GFXHUB:GCUTCL2:VML2 - GPUVM fault with retry/Xnack interface</v>
          </cell>
          <cell r="C124" t="str">
            <v>P2</v>
          </cell>
          <cell r="D124" t="str">
            <v xml:space="preserve">mhub018.3,4, mhub019.3,4, mhub020.3,4, mhub218, mhub219, mhub220, mhub281.1,2, mhub282, mhub283, mhub284.1,2, mhub285, mhub286.1,2, mhub287, mhub289, mhub293.1, mhub294.1, mhub295, </v>
          </cell>
          <cell r="E124" t="str">
            <v>GFXHUB</v>
          </cell>
          <cell r="F124" t="str">
            <v>Legacy</v>
          </cell>
          <cell r="G124" t="str">
            <v>Yes</v>
          </cell>
          <cell r="H124" t="str">
            <v>Yes</v>
          </cell>
          <cell r="I124">
            <v>17</v>
          </cell>
          <cell r="J124">
            <v>23</v>
          </cell>
          <cell r="K124">
            <v>1</v>
          </cell>
          <cell r="L124">
            <v>1</v>
          </cell>
          <cell r="M124">
            <v>23</v>
          </cell>
          <cell r="N124">
            <v>22</v>
          </cell>
          <cell r="O124">
            <v>0.95652173913043481</v>
          </cell>
          <cell r="P124">
            <v>23</v>
          </cell>
          <cell r="Q124">
            <v>23</v>
          </cell>
          <cell r="R124">
            <v>1</v>
          </cell>
          <cell r="S124">
            <v>1</v>
          </cell>
          <cell r="T124">
            <v>1</v>
          </cell>
          <cell r="U124" t="str">
            <v>A/B + 10wks</v>
          </cell>
        </row>
        <row r="125">
          <cell r="A125" t="str">
            <v>NV31-HUBS-2035</v>
          </cell>
          <cell r="B125" t="str">
            <v>GFXHUB:GCUTCL2:VML2 - Support for 2MB, 1G, 512GB pages aka PDE Block Fragment Size</v>
          </cell>
          <cell r="C125" t="str">
            <v>P2</v>
          </cell>
          <cell r="D125" t="str">
            <v xml:space="preserve">mhub212, </v>
          </cell>
          <cell r="E125" t="e">
            <v>#N/A</v>
          </cell>
          <cell r="F125" t="str">
            <v>Legacy</v>
          </cell>
          <cell r="G125" t="str">
            <v>Yes</v>
          </cell>
          <cell r="H125" t="str">
            <v>Yes</v>
          </cell>
          <cell r="I125">
            <v>1</v>
          </cell>
          <cell r="J125">
            <v>1</v>
          </cell>
          <cell r="K125">
            <v>1</v>
          </cell>
          <cell r="L125">
            <v>1</v>
          </cell>
          <cell r="M125">
            <v>1</v>
          </cell>
          <cell r="N125">
            <v>1</v>
          </cell>
          <cell r="O125">
            <v>1</v>
          </cell>
          <cell r="P125">
            <v>1</v>
          </cell>
          <cell r="Q125">
            <v>1</v>
          </cell>
          <cell r="R125">
            <v>1</v>
          </cell>
          <cell r="S125">
            <v>1</v>
          </cell>
          <cell r="T125">
            <v>1</v>
          </cell>
          <cell r="U125" t="str">
            <v>A/B + 10wks</v>
          </cell>
        </row>
        <row r="126">
          <cell r="A126" t="str">
            <v>NV31-HUBS-2036</v>
          </cell>
          <cell r="B126" t="str">
            <v>GFXHUB:GCUTCL2:VML2 - 44b PA</v>
          </cell>
          <cell r="C126" t="str">
            <v>P2</v>
          </cell>
          <cell r="D126" t="str">
            <v/>
          </cell>
          <cell r="E126" t="e">
            <v>#N/A</v>
          </cell>
          <cell r="F126" t="str">
            <v>Legacy</v>
          </cell>
          <cell r="G126" t="str">
            <v>No</v>
          </cell>
          <cell r="H126" t="str">
            <v>No</v>
          </cell>
          <cell r="I126">
            <v>0</v>
          </cell>
          <cell r="J126">
            <v>0</v>
          </cell>
          <cell r="K126">
            <v>0</v>
          </cell>
          <cell r="L126">
            <v>0</v>
          </cell>
          <cell r="M126">
            <v>0</v>
          </cell>
          <cell r="N126">
            <v>0</v>
          </cell>
          <cell r="O126">
            <v>0</v>
          </cell>
          <cell r="P126">
            <v>0</v>
          </cell>
          <cell r="Q126">
            <v>0</v>
          </cell>
          <cell r="R126">
            <v>0</v>
          </cell>
          <cell r="S126">
            <v>0</v>
          </cell>
          <cell r="T126">
            <v>0</v>
          </cell>
          <cell r="U126" t="str">
            <v>N/A</v>
          </cell>
        </row>
        <row r="127">
          <cell r="A127" t="str">
            <v>NV31-HUBS-2037</v>
          </cell>
          <cell r="B127" t="str">
            <v>GFXHUB:GCUTCL2:VML2 - L bit in PTE</v>
          </cell>
          <cell r="C127" t="str">
            <v>P2</v>
          </cell>
          <cell r="D127" t="str">
            <v xml:space="preserve">, </v>
          </cell>
          <cell r="E127" t="str">
            <v>GFXHUB</v>
          </cell>
          <cell r="F127" t="str">
            <v>Legacy</v>
          </cell>
          <cell r="G127" t="str">
            <v>Yes</v>
          </cell>
          <cell r="H127" t="str">
            <v>Yes</v>
          </cell>
          <cell r="I127">
            <v>0</v>
          </cell>
          <cell r="J127">
            <v>0</v>
          </cell>
          <cell r="K127" t="e">
            <v>#DIV/0!</v>
          </cell>
          <cell r="L127" t="e">
            <v>#DIV/0!</v>
          </cell>
          <cell r="M127">
            <v>0</v>
          </cell>
          <cell r="N127">
            <v>0</v>
          </cell>
          <cell r="O127">
            <v>0</v>
          </cell>
          <cell r="P127">
            <v>0</v>
          </cell>
          <cell r="Q127">
            <v>0</v>
          </cell>
          <cell r="R127">
            <v>0</v>
          </cell>
          <cell r="S127">
            <v>0</v>
          </cell>
          <cell r="T127">
            <v>0</v>
          </cell>
          <cell r="U127" t="str">
            <v>N/A</v>
          </cell>
        </row>
        <row r="128">
          <cell r="A128" t="str">
            <v>NV31-HUBS-2038</v>
          </cell>
          <cell r="B128" t="str">
            <v>GFXHUB:GCUTCL2:VML2 - Page Migration Retry state</v>
          </cell>
          <cell r="C128" t="str">
            <v>P2</v>
          </cell>
          <cell r="D128" t="str">
            <v xml:space="preserve">mhub209.3, mhub209.4, mhub209.5, mhub209.6, </v>
          </cell>
          <cell r="E128" t="e">
            <v>#N/A</v>
          </cell>
          <cell r="F128" t="str">
            <v>Legacy</v>
          </cell>
          <cell r="G128" t="str">
            <v>Yes</v>
          </cell>
          <cell r="H128" t="str">
            <v>Yes</v>
          </cell>
          <cell r="I128">
            <v>4</v>
          </cell>
          <cell r="J128">
            <v>4</v>
          </cell>
          <cell r="K128">
            <v>1</v>
          </cell>
          <cell r="L128">
            <v>1</v>
          </cell>
          <cell r="M128">
            <v>4</v>
          </cell>
          <cell r="N128">
            <v>4</v>
          </cell>
          <cell r="O128">
            <v>1</v>
          </cell>
          <cell r="P128">
            <v>4</v>
          </cell>
          <cell r="Q128">
            <v>4</v>
          </cell>
          <cell r="R128">
            <v>1</v>
          </cell>
          <cell r="S128">
            <v>1</v>
          </cell>
          <cell r="T128">
            <v>1</v>
          </cell>
          <cell r="U128" t="str">
            <v>A/B + 10wks</v>
          </cell>
        </row>
        <row r="129">
          <cell r="A129"/>
          <cell r="B129"/>
          <cell r="C129"/>
          <cell r="D129"/>
          <cell r="E129"/>
          <cell r="F129"/>
          <cell r="G129"/>
          <cell r="H129"/>
          <cell r="I129"/>
          <cell r="J129"/>
          <cell r="K129"/>
          <cell r="L129"/>
          <cell r="M129"/>
          <cell r="N129"/>
          <cell r="O129"/>
          <cell r="P129"/>
          <cell r="Q129"/>
          <cell r="R129"/>
          <cell r="S129"/>
          <cell r="T129"/>
          <cell r="U129"/>
        </row>
        <row r="130">
          <cell r="A130" t="str">
            <v>NV31-HUBS-2040</v>
          </cell>
          <cell r="B130" t="str">
            <v>GFXHUB:GCUTCL2:VML2 - VML2 BigK/4K cache swap</v>
          </cell>
          <cell r="C130" t="str">
            <v>P2</v>
          </cell>
          <cell r="D130" t="str">
            <v xml:space="preserve">mhub234.1, mhub234.2, mhub234.3, mhub234.4, </v>
          </cell>
          <cell r="E130" t="e">
            <v>#N/A</v>
          </cell>
          <cell r="F130" t="str">
            <v>Legacy</v>
          </cell>
          <cell r="G130" t="str">
            <v>Yes</v>
          </cell>
          <cell r="H130" t="str">
            <v>Yes</v>
          </cell>
          <cell r="I130">
            <v>4</v>
          </cell>
          <cell r="J130">
            <v>4</v>
          </cell>
          <cell r="K130">
            <v>1</v>
          </cell>
          <cell r="L130">
            <v>1</v>
          </cell>
          <cell r="M130">
            <v>4</v>
          </cell>
          <cell r="N130">
            <v>4</v>
          </cell>
          <cell r="O130">
            <v>1</v>
          </cell>
          <cell r="P130">
            <v>4</v>
          </cell>
          <cell r="Q130">
            <v>4</v>
          </cell>
          <cell r="R130">
            <v>1</v>
          </cell>
          <cell r="S130">
            <v>1</v>
          </cell>
          <cell r="T130">
            <v>1</v>
          </cell>
          <cell r="U130" t="str">
            <v>A/B + 5wks</v>
          </cell>
        </row>
        <row r="131">
          <cell r="A131"/>
          <cell r="B131"/>
          <cell r="C131"/>
          <cell r="D131"/>
          <cell r="E131"/>
          <cell r="F131"/>
          <cell r="G131"/>
          <cell r="H131"/>
          <cell r="I131"/>
          <cell r="J131"/>
          <cell r="K131"/>
          <cell r="L131"/>
          <cell r="M131"/>
          <cell r="N131"/>
          <cell r="O131"/>
          <cell r="P131"/>
          <cell r="Q131"/>
          <cell r="R131"/>
          <cell r="S131"/>
          <cell r="T131"/>
          <cell r="U131"/>
        </row>
        <row r="132">
          <cell r="A132" t="str">
            <v>NV31-HUBS-2042</v>
          </cell>
          <cell r="B132" t="str">
            <v>GFXHUB:GCUTCL2:VML2 - Mtype Attribute</v>
          </cell>
          <cell r="C132" t="str">
            <v>P2</v>
          </cell>
          <cell r="D13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32" t="e">
            <v>#N/A</v>
          </cell>
          <cell r="F132" t="str">
            <v>Legacy</v>
          </cell>
          <cell r="G132" t="str">
            <v>Yes</v>
          </cell>
          <cell r="H132" t="str">
            <v>Yes</v>
          </cell>
          <cell r="I132">
            <v>27</v>
          </cell>
          <cell r="J132">
            <v>24</v>
          </cell>
          <cell r="K132">
            <v>1</v>
          </cell>
          <cell r="L132">
            <v>1</v>
          </cell>
          <cell r="M132">
            <v>24</v>
          </cell>
          <cell r="N132">
            <v>24</v>
          </cell>
          <cell r="O132">
            <v>1</v>
          </cell>
          <cell r="P132">
            <v>24</v>
          </cell>
          <cell r="Q132">
            <v>24</v>
          </cell>
          <cell r="R132">
            <v>1</v>
          </cell>
          <cell r="S132">
            <v>1</v>
          </cell>
          <cell r="T132">
            <v>1</v>
          </cell>
          <cell r="U132" t="str">
            <v>A/B + 10wks</v>
          </cell>
        </row>
        <row r="133">
          <cell r="A133" t="str">
            <v>NV31-HUBS-2043</v>
          </cell>
          <cell r="B133" t="str">
            <v>GFXHUB:GCUTCL2:VML2 - Qualify eXecute bit for gfx clients</v>
          </cell>
          <cell r="C133" t="str">
            <v>P2</v>
          </cell>
          <cell r="D133" t="str">
            <v xml:space="preserve">mhub208.3, </v>
          </cell>
          <cell r="E133" t="e">
            <v>#N/A</v>
          </cell>
          <cell r="F133" t="str">
            <v>Legacy</v>
          </cell>
          <cell r="G133" t="str">
            <v>Yes</v>
          </cell>
          <cell r="H133" t="str">
            <v>Yes</v>
          </cell>
          <cell r="I133">
            <v>1</v>
          </cell>
          <cell r="J133">
            <v>1</v>
          </cell>
          <cell r="K133">
            <v>1</v>
          </cell>
          <cell r="L133">
            <v>1</v>
          </cell>
          <cell r="M133">
            <v>1</v>
          </cell>
          <cell r="N133">
            <v>1</v>
          </cell>
          <cell r="O133">
            <v>1</v>
          </cell>
          <cell r="P133">
            <v>1</v>
          </cell>
          <cell r="Q133">
            <v>1</v>
          </cell>
          <cell r="R133">
            <v>1</v>
          </cell>
          <cell r="S133">
            <v>1</v>
          </cell>
          <cell r="T133">
            <v>1</v>
          </cell>
          <cell r="U133" t="str">
            <v>A/B + 5wks</v>
          </cell>
        </row>
        <row r="134">
          <cell r="A134" t="str">
            <v>NV31-HUBS-2044</v>
          </cell>
          <cell r="B134" t="str">
            <v>GFXHUB:GCUTCL2:VML2 - "noalloc" support (MALL)</v>
          </cell>
          <cell r="C134" t="str">
            <v>P1</v>
          </cell>
          <cell r="D134" t="str">
            <v xml:space="preserve">mhub353.1-2,7-8, mhub353.201,204, mhub353.301,304, mhub353.5-6,11-12, mhub353.203,206, mhub353.303,306, mhub353.111-112, mhub353.102, mhub353.13,16, 19,22, mhub353.207,210, 213, 216, mhub353.307,310, 313, 316, mhub353.15,18, 21, 24, mhub353.209,212, 215, 218, mhub353.309,312, 315, 318, glxixxxx, </v>
          </cell>
          <cell r="E134" t="e">
            <v>#N/A</v>
          </cell>
          <cell r="F134" t="str">
            <v>Delta</v>
          </cell>
          <cell r="G134" t="str">
            <v>Yes</v>
          </cell>
          <cell r="H134" t="str">
            <v>Yes</v>
          </cell>
          <cell r="I134">
            <v>23</v>
          </cell>
          <cell r="J134">
            <v>43</v>
          </cell>
          <cell r="K134">
            <v>1</v>
          </cell>
          <cell r="L134">
            <v>1</v>
          </cell>
          <cell r="M134">
            <v>10</v>
          </cell>
          <cell r="N134">
            <v>10</v>
          </cell>
          <cell r="O134">
            <v>1</v>
          </cell>
          <cell r="P134">
            <v>43</v>
          </cell>
          <cell r="Q134">
            <v>43</v>
          </cell>
          <cell r="R134">
            <v>1</v>
          </cell>
          <cell r="S134">
            <v>1</v>
          </cell>
          <cell r="T134">
            <v>1</v>
          </cell>
          <cell r="U134" t="str">
            <v>SHR+4wks</v>
          </cell>
        </row>
        <row r="135">
          <cell r="A135" t="str">
            <v>NV31-HUBS-2045</v>
          </cell>
          <cell r="B135" t="str">
            <v>GFXHUB:GCUTCL2:VML2 - SA/SE Harvesting</v>
          </cell>
          <cell r="C135" t="str">
            <v>P2</v>
          </cell>
          <cell r="D135" t="str">
            <v xml:space="preserve">shci601.3,4, </v>
          </cell>
          <cell r="E135" t="str">
            <v>GFXHUB</v>
          </cell>
          <cell r="F135" t="str">
            <v>Legacy</v>
          </cell>
          <cell r="G135" t="str">
            <v>Yes</v>
          </cell>
          <cell r="H135" t="str">
            <v>Yes</v>
          </cell>
          <cell r="I135">
            <v>0</v>
          </cell>
          <cell r="J135">
            <v>0</v>
          </cell>
          <cell r="K135" t="e">
            <v>#DIV/0!</v>
          </cell>
          <cell r="L135" t="e">
            <v>#DIV/0!</v>
          </cell>
          <cell r="M135">
            <v>0</v>
          </cell>
          <cell r="N135">
            <v>0</v>
          </cell>
          <cell r="O135">
            <v>0</v>
          </cell>
          <cell r="P135">
            <v>0</v>
          </cell>
          <cell r="Q135">
            <v>0</v>
          </cell>
          <cell r="R135">
            <v>0</v>
          </cell>
          <cell r="S135">
            <v>0</v>
          </cell>
          <cell r="T135">
            <v>0</v>
          </cell>
          <cell r="U135" t="str">
            <v>N/A</v>
          </cell>
        </row>
        <row r="136">
          <cell r="A136" t="str">
            <v>NV31-HUBS-2046</v>
          </cell>
          <cell r="B136" t="str">
            <v>GFXHUB:GCUTCL2:VML2 - Programmable bank select in UTCL1/UTCL2</v>
          </cell>
          <cell r="C136" t="str">
            <v>P1</v>
          </cell>
          <cell r="D136" t="str">
            <v xml:space="preserve">mhub354.1,2, </v>
          </cell>
          <cell r="E136" t="str">
            <v>GFXHUB</v>
          </cell>
          <cell r="F136" t="str">
            <v>New</v>
          </cell>
          <cell r="G136" t="str">
            <v>Yes</v>
          </cell>
          <cell r="H136" t="str">
            <v>Yes</v>
          </cell>
          <cell r="I136">
            <v>6</v>
          </cell>
          <cell r="J136">
            <v>2</v>
          </cell>
          <cell r="K136">
            <v>1</v>
          </cell>
          <cell r="L136">
            <v>1</v>
          </cell>
          <cell r="M136">
            <v>0</v>
          </cell>
          <cell r="N136">
            <v>0</v>
          </cell>
          <cell r="O136">
            <v>0</v>
          </cell>
          <cell r="P136">
            <v>2</v>
          </cell>
          <cell r="Q136">
            <v>2</v>
          </cell>
          <cell r="R136">
            <v>1</v>
          </cell>
          <cell r="S136">
            <v>1</v>
          </cell>
          <cell r="T136">
            <v>1</v>
          </cell>
          <cell r="U136" t="str">
            <v>A/B + 10wks</v>
          </cell>
        </row>
        <row r="137">
          <cell r="A137" t="str">
            <v>NV31-HUBS-2047</v>
          </cell>
          <cell r="B137" t="str">
            <v>GFXHUB:GCUTCL2:VML2 - Per VF BigK/SmallK/Bank_Select Support</v>
          </cell>
          <cell r="C137" t="str">
            <v>P2</v>
          </cell>
          <cell r="D137" t="str">
            <v xml:space="preserve">mhub259.1-32, </v>
          </cell>
          <cell r="E137" t="e">
            <v>#N/A</v>
          </cell>
          <cell r="F137" t="str">
            <v>Legacy</v>
          </cell>
          <cell r="G137" t="str">
            <v>Yes</v>
          </cell>
          <cell r="H137" t="str">
            <v>Yes</v>
          </cell>
          <cell r="I137">
            <v>1</v>
          </cell>
          <cell r="J137">
            <v>32</v>
          </cell>
          <cell r="K137">
            <v>1</v>
          </cell>
          <cell r="L137">
            <v>1</v>
          </cell>
          <cell r="M137">
            <v>32</v>
          </cell>
          <cell r="N137">
            <v>32</v>
          </cell>
          <cell r="O137">
            <v>1</v>
          </cell>
          <cell r="P137">
            <v>32</v>
          </cell>
          <cell r="Q137">
            <v>32</v>
          </cell>
          <cell r="R137">
            <v>1</v>
          </cell>
          <cell r="S137">
            <v>1</v>
          </cell>
          <cell r="T137">
            <v>1</v>
          </cell>
          <cell r="U137" t="str">
            <v>A/B + 5wks</v>
          </cell>
        </row>
        <row r="138">
          <cell r="A138" t="str">
            <v>NV31-HUBS-2048</v>
          </cell>
          <cell r="B138" t="str">
            <v>GFXHUB:GCUTCL2:VML2 - Per VMID BigK support/SmallK/Bank_Select Support</v>
          </cell>
          <cell r="C138" t="str">
            <v>P2</v>
          </cell>
          <cell r="D138" t="str">
            <v xml:space="preserve">mhub259.1-32, </v>
          </cell>
          <cell r="E138" t="e">
            <v>#N/A</v>
          </cell>
          <cell r="F138" t="str">
            <v>Legacy</v>
          </cell>
          <cell r="G138" t="str">
            <v>Yes</v>
          </cell>
          <cell r="H138" t="str">
            <v>Yes</v>
          </cell>
          <cell r="I138">
            <v>1</v>
          </cell>
          <cell r="J138">
            <v>32</v>
          </cell>
          <cell r="K138">
            <v>1</v>
          </cell>
          <cell r="L138">
            <v>1</v>
          </cell>
          <cell r="M138">
            <v>32</v>
          </cell>
          <cell r="N138">
            <v>32</v>
          </cell>
          <cell r="O138">
            <v>1</v>
          </cell>
          <cell r="P138">
            <v>32</v>
          </cell>
          <cell r="Q138">
            <v>32</v>
          </cell>
          <cell r="R138">
            <v>1</v>
          </cell>
          <cell r="S138">
            <v>1</v>
          </cell>
          <cell r="T138">
            <v>1</v>
          </cell>
          <cell r="U138" t="str">
            <v>A/B + 5wks</v>
          </cell>
        </row>
        <row r="139">
          <cell r="A139" t="str">
            <v>NV31-HUBS-2049</v>
          </cell>
          <cell r="B139" t="str">
            <v>GFXHUB:GCUTCL2:VML2 - GPUVM L2 cache read/dump capabilities</v>
          </cell>
          <cell r="C139" t="str">
            <v>P2</v>
          </cell>
          <cell r="D139" t="str">
            <v xml:space="preserve">mhub233.1,3, 101,103, mhub233.2, mhub231.10,11, </v>
          </cell>
          <cell r="E139" t="str">
            <v>GFXHUB</v>
          </cell>
          <cell r="F139" t="str">
            <v>Legacy</v>
          </cell>
          <cell r="G139" t="str">
            <v>Yes</v>
          </cell>
          <cell r="H139" t="str">
            <v>Yes</v>
          </cell>
          <cell r="I139">
            <v>3</v>
          </cell>
          <cell r="J139">
            <v>7</v>
          </cell>
          <cell r="K139">
            <v>1</v>
          </cell>
          <cell r="L139">
            <v>1</v>
          </cell>
          <cell r="M139">
            <v>7</v>
          </cell>
          <cell r="N139">
            <v>7</v>
          </cell>
          <cell r="O139">
            <v>1</v>
          </cell>
          <cell r="P139">
            <v>7</v>
          </cell>
          <cell r="Q139">
            <v>7</v>
          </cell>
          <cell r="R139">
            <v>1</v>
          </cell>
          <cell r="S139">
            <v>1</v>
          </cell>
          <cell r="T139">
            <v>1</v>
          </cell>
          <cell r="U139" t="str">
            <v>A/B + 10wks</v>
          </cell>
        </row>
        <row r="140">
          <cell r="A140" t="str">
            <v>NV31-HUBS-2050</v>
          </cell>
          <cell r="B140" t="str">
            <v>GFXHUB:GCUTCL2:VML2 - Virtual FIFOs to maximize bank probes</v>
          </cell>
          <cell r="C140" t="str">
            <v>P1</v>
          </cell>
          <cell r="D140" t="str">
            <v xml:space="preserve">gci30.xxxx, </v>
          </cell>
          <cell r="E140" t="str">
            <v>GFXHUB</v>
          </cell>
          <cell r="F140" t="str">
            <v>New</v>
          </cell>
          <cell r="G140" t="str">
            <v>Yes</v>
          </cell>
          <cell r="H140" t="str">
            <v>Yes</v>
          </cell>
          <cell r="I140">
            <v>0</v>
          </cell>
          <cell r="J140">
            <v>0</v>
          </cell>
          <cell r="K140" t="e">
            <v>#DIV/0!</v>
          </cell>
          <cell r="L140" t="e">
            <v>#DIV/0!</v>
          </cell>
          <cell r="M140">
            <v>0</v>
          </cell>
          <cell r="N140">
            <v>0</v>
          </cell>
          <cell r="O140">
            <v>0</v>
          </cell>
          <cell r="P140">
            <v>0</v>
          </cell>
          <cell r="Q140">
            <v>0</v>
          </cell>
          <cell r="R140">
            <v>0</v>
          </cell>
          <cell r="S140">
            <v>0</v>
          </cell>
          <cell r="T140">
            <v>0</v>
          </cell>
          <cell r="U140" t="str">
            <v>N/A</v>
          </cell>
        </row>
        <row r="141">
          <cell r="A141" t="str">
            <v>NV31-HUBS-2051</v>
          </cell>
          <cell r="B141" t="str">
            <v>GFXHUB:MAM - Access/Dirty-bit ram</v>
          </cell>
          <cell r="C141" t="str">
            <v>P1</v>
          </cell>
          <cell r="D141"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1" t="e">
            <v>#N/A</v>
          </cell>
          <cell r="F141" t="str">
            <v>Delta</v>
          </cell>
          <cell r="G141" t="str">
            <v>Yes</v>
          </cell>
          <cell r="H141" t="str">
            <v>Yes</v>
          </cell>
          <cell r="I141">
            <v>64</v>
          </cell>
          <cell r="J141">
            <v>195</v>
          </cell>
          <cell r="K141">
            <v>1</v>
          </cell>
          <cell r="L141">
            <v>1</v>
          </cell>
          <cell r="M141">
            <v>58</v>
          </cell>
          <cell r="N141">
            <v>58</v>
          </cell>
          <cell r="O141">
            <v>1</v>
          </cell>
          <cell r="P141">
            <v>195</v>
          </cell>
          <cell r="Q141">
            <v>195</v>
          </cell>
          <cell r="R141">
            <v>1</v>
          </cell>
          <cell r="S141">
            <v>1</v>
          </cell>
          <cell r="T141">
            <v>1</v>
          </cell>
          <cell r="U141" t="str">
            <v>A/B + 10wks</v>
          </cell>
        </row>
        <row r="142">
          <cell r="A142" t="str">
            <v>NV31-HUBS-2052</v>
          </cell>
          <cell r="B142" t="str">
            <v>GFXHUB:MAM - Configuration Registers</v>
          </cell>
          <cell r="C142" t="str">
            <v>P2</v>
          </cell>
          <cell r="D142"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2" t="e">
            <v>#N/A</v>
          </cell>
          <cell r="F142" t="str">
            <v>Legacy</v>
          </cell>
          <cell r="G142" t="str">
            <v>Yes</v>
          </cell>
          <cell r="H142" t="str">
            <v>Yes</v>
          </cell>
          <cell r="I142">
            <v>64</v>
          </cell>
          <cell r="J142">
            <v>195</v>
          </cell>
          <cell r="K142">
            <v>1</v>
          </cell>
          <cell r="L142">
            <v>1</v>
          </cell>
          <cell r="M142">
            <v>58</v>
          </cell>
          <cell r="N142">
            <v>58</v>
          </cell>
          <cell r="O142">
            <v>1</v>
          </cell>
          <cell r="P142">
            <v>195</v>
          </cell>
          <cell r="Q142">
            <v>195</v>
          </cell>
          <cell r="R142">
            <v>1</v>
          </cell>
          <cell r="S142">
            <v>1</v>
          </cell>
          <cell r="T142">
            <v>1</v>
          </cell>
          <cell r="U142" t="str">
            <v>A/B + 10wks</v>
          </cell>
        </row>
        <row r="143">
          <cell r="A143" t="str">
            <v>NV31-HUBS-2053</v>
          </cell>
          <cell r="B143" t="str">
            <v>GFXHUB:MAM - SRAM FGCG</v>
          </cell>
          <cell r="C143" t="str">
            <v>P2</v>
          </cell>
          <cell r="D143" t="str">
            <v/>
          </cell>
          <cell r="E143" t="e">
            <v>#N/A</v>
          </cell>
          <cell r="F143" t="str">
            <v>Legacy</v>
          </cell>
          <cell r="G143" t="str">
            <v>No</v>
          </cell>
          <cell r="H143" t="str">
            <v>No</v>
          </cell>
          <cell r="I143">
            <v>0</v>
          </cell>
          <cell r="J143">
            <v>0</v>
          </cell>
          <cell r="K143">
            <v>0</v>
          </cell>
          <cell r="L143">
            <v>0</v>
          </cell>
          <cell r="M143">
            <v>0</v>
          </cell>
          <cell r="N143">
            <v>0</v>
          </cell>
          <cell r="O143">
            <v>0</v>
          </cell>
          <cell r="P143">
            <v>0</v>
          </cell>
          <cell r="Q143">
            <v>0</v>
          </cell>
          <cell r="R143">
            <v>0</v>
          </cell>
          <cell r="S143">
            <v>0</v>
          </cell>
          <cell r="T143">
            <v>0</v>
          </cell>
          <cell r="U143" t="str">
            <v>N/A</v>
          </cell>
        </row>
        <row r="144">
          <cell r="A144" t="str">
            <v>NV31-HUBS-2054</v>
          </cell>
          <cell r="B144" t="str">
            <v>GFXHUB:MAM - MGCG</v>
          </cell>
          <cell r="C144" t="str">
            <v>P1</v>
          </cell>
          <cell r="D144" t="str">
            <v/>
          </cell>
          <cell r="E144" t="e">
            <v>#N/A</v>
          </cell>
          <cell r="F144" t="str">
            <v>New</v>
          </cell>
          <cell r="G144" t="str">
            <v>No</v>
          </cell>
          <cell r="H144" t="str">
            <v>No</v>
          </cell>
          <cell r="I144">
            <v>0</v>
          </cell>
          <cell r="J144">
            <v>0</v>
          </cell>
          <cell r="K144">
            <v>0</v>
          </cell>
          <cell r="L144">
            <v>0</v>
          </cell>
          <cell r="M144">
            <v>0</v>
          </cell>
          <cell r="N144">
            <v>0</v>
          </cell>
          <cell r="O144">
            <v>0</v>
          </cell>
          <cell r="P144">
            <v>0</v>
          </cell>
          <cell r="Q144">
            <v>0</v>
          </cell>
          <cell r="R144">
            <v>0</v>
          </cell>
          <cell r="S144">
            <v>0</v>
          </cell>
          <cell r="T144">
            <v>0</v>
          </cell>
          <cell r="U144" t="str">
            <v>N/A</v>
          </cell>
        </row>
        <row r="145">
          <cell r="A145" t="str">
            <v>NV31-HUBS-2055</v>
          </cell>
          <cell r="B145" t="str">
            <v>GFXHUB:GCEA - Physical Addressing</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P145">
            <v>0</v>
          </cell>
          <cell r="Q145">
            <v>0</v>
          </cell>
          <cell r="R145">
            <v>0</v>
          </cell>
          <cell r="S145">
            <v>0</v>
          </cell>
          <cell r="T145">
            <v>0</v>
          </cell>
          <cell r="U145" t="str">
            <v>N/A</v>
          </cell>
        </row>
        <row r="146">
          <cell r="A146" t="str">
            <v>NV31-HUBS-2056</v>
          </cell>
          <cell r="B146" t="str">
            <v>GFXHUB:GCEA - Data bus</v>
          </cell>
          <cell r="C146" t="str">
            <v>P2</v>
          </cell>
          <cell r="D146" t="str">
            <v xml:space="preserve">mhub311.1-4, </v>
          </cell>
          <cell r="E146" t="e">
            <v>#N/A</v>
          </cell>
          <cell r="F146" t="str">
            <v>Legacy</v>
          </cell>
          <cell r="G146" t="str">
            <v>Yes</v>
          </cell>
          <cell r="H146" t="str">
            <v>Yes</v>
          </cell>
          <cell r="I146">
            <v>1</v>
          </cell>
          <cell r="J146">
            <v>4</v>
          </cell>
          <cell r="K146">
            <v>1</v>
          </cell>
          <cell r="L146">
            <v>1</v>
          </cell>
          <cell r="M146">
            <v>4</v>
          </cell>
          <cell r="N146">
            <v>4</v>
          </cell>
          <cell r="O146">
            <v>1</v>
          </cell>
          <cell r="P146">
            <v>4</v>
          </cell>
          <cell r="Q146">
            <v>4</v>
          </cell>
          <cell r="R146">
            <v>1</v>
          </cell>
          <cell r="S146">
            <v>1</v>
          </cell>
          <cell r="T146">
            <v>1</v>
          </cell>
          <cell r="U146" t="str">
            <v>A/B + 5wks</v>
          </cell>
        </row>
        <row r="147">
          <cell r="A147" t="str">
            <v>NV31-HUBS-2057</v>
          </cell>
          <cell r="B147" t="str">
            <v>GFXHUB:GCEA - Number of GCEAs Supported</v>
          </cell>
          <cell r="C147" t="str">
            <v>P1</v>
          </cell>
          <cell r="D147" t="str">
            <v xml:space="preserve">mhub311.1-4, </v>
          </cell>
          <cell r="E147" t="e">
            <v>#N/A</v>
          </cell>
          <cell r="F147" t="str">
            <v>Delta</v>
          </cell>
          <cell r="G147" t="str">
            <v>Yes</v>
          </cell>
          <cell r="H147" t="str">
            <v>Yes</v>
          </cell>
          <cell r="I147">
            <v>1</v>
          </cell>
          <cell r="J147">
            <v>4</v>
          </cell>
          <cell r="K147">
            <v>1</v>
          </cell>
          <cell r="L147">
            <v>1</v>
          </cell>
          <cell r="M147">
            <v>4</v>
          </cell>
          <cell r="N147">
            <v>4</v>
          </cell>
          <cell r="O147">
            <v>1</v>
          </cell>
          <cell r="P147">
            <v>4</v>
          </cell>
          <cell r="Q147">
            <v>4</v>
          </cell>
          <cell r="R147">
            <v>1</v>
          </cell>
          <cell r="S147">
            <v>1</v>
          </cell>
          <cell r="T147">
            <v>1</v>
          </cell>
          <cell r="U147" t="str">
            <v>A/B + 5wks</v>
          </cell>
        </row>
        <row r="148">
          <cell r="A148" t="str">
            <v>NV31-HUBS-2058</v>
          </cell>
          <cell r="B148" t="str">
            <v>GFXHUB:GCEA - Safe TDR</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NV31-HUBS-2059</v>
          </cell>
          <cell r="B149" t="str">
            <v xml:space="preserve">GFXHUB:GCEA - Removal of DF invalidation probe </v>
          </cell>
          <cell r="C149" t="str">
            <v>P1</v>
          </cell>
          <cell r="D149"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49" t="e">
            <v>#N/A</v>
          </cell>
          <cell r="F149" t="str">
            <v>New</v>
          </cell>
          <cell r="G149" t="str">
            <v>Yes</v>
          </cell>
          <cell r="H149" t="str">
            <v>Yes</v>
          </cell>
          <cell r="I149">
            <v>27</v>
          </cell>
          <cell r="J149">
            <v>24</v>
          </cell>
          <cell r="K149">
            <v>1</v>
          </cell>
          <cell r="L149">
            <v>1</v>
          </cell>
          <cell r="M149">
            <v>24</v>
          </cell>
          <cell r="N149">
            <v>24</v>
          </cell>
          <cell r="O149">
            <v>1</v>
          </cell>
          <cell r="P149">
            <v>24</v>
          </cell>
          <cell r="Q149">
            <v>24</v>
          </cell>
          <cell r="R149">
            <v>1</v>
          </cell>
          <cell r="S149">
            <v>1</v>
          </cell>
          <cell r="T149">
            <v>1</v>
          </cell>
          <cell r="U149" t="str">
            <v>A/B + 10wks</v>
          </cell>
        </row>
        <row r="150">
          <cell r="A150" t="str">
            <v>NV31-HUBS-2060</v>
          </cell>
          <cell r="B150" t="str">
            <v xml:space="preserve">GFXHUB:GCEA - Programmable priority per client on SDP </v>
          </cell>
          <cell r="C150" t="str">
            <v>P2</v>
          </cell>
          <cell r="D150" t="str">
            <v/>
          </cell>
          <cell r="E150" t="e">
            <v>#N/A</v>
          </cell>
          <cell r="F150" t="str">
            <v>Legacy</v>
          </cell>
          <cell r="G150" t="str">
            <v>No</v>
          </cell>
          <cell r="H150" t="str">
            <v>No</v>
          </cell>
          <cell r="I150">
            <v>0</v>
          </cell>
          <cell r="J150">
            <v>0</v>
          </cell>
          <cell r="K150">
            <v>0</v>
          </cell>
          <cell r="L150">
            <v>0</v>
          </cell>
          <cell r="M150">
            <v>0</v>
          </cell>
          <cell r="N150">
            <v>0</v>
          </cell>
          <cell r="O150">
            <v>0</v>
          </cell>
          <cell r="P150">
            <v>0</v>
          </cell>
          <cell r="Q150">
            <v>0</v>
          </cell>
          <cell r="R150">
            <v>0</v>
          </cell>
          <cell r="S150">
            <v>0</v>
          </cell>
          <cell r="T150">
            <v>0</v>
          </cell>
          <cell r="U150" t="str">
            <v>N/A</v>
          </cell>
        </row>
        <row r="151">
          <cell r="A151" t="str">
            <v>NV31-HUBS-2061</v>
          </cell>
          <cell r="B151" t="str">
            <v>GFXHUB:GCEA - Programmable security level on SDP per client</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P151">
            <v>0</v>
          </cell>
          <cell r="Q151">
            <v>0</v>
          </cell>
          <cell r="R151">
            <v>0</v>
          </cell>
          <cell r="S151">
            <v>0</v>
          </cell>
          <cell r="T151">
            <v>0</v>
          </cell>
          <cell r="U151" t="str">
            <v>N/A</v>
          </cell>
        </row>
        <row r="152">
          <cell r="A152" t="str">
            <v>NV31-HUBS-2062</v>
          </cell>
          <cell r="B152" t="str">
            <v>GFXHUB:GCEA - Arbiters</v>
          </cell>
          <cell r="C152" t="str">
            <v>P2</v>
          </cell>
          <cell r="D152" t="str">
            <v xml:space="preserve">mhub311.1-4, </v>
          </cell>
          <cell r="E152" t="e">
            <v>#N/A</v>
          </cell>
          <cell r="F152" t="str">
            <v>Delta</v>
          </cell>
          <cell r="G152" t="str">
            <v>Yes</v>
          </cell>
          <cell r="H152" t="str">
            <v>Yes</v>
          </cell>
          <cell r="I152">
            <v>1</v>
          </cell>
          <cell r="J152">
            <v>4</v>
          </cell>
          <cell r="K152">
            <v>1</v>
          </cell>
          <cell r="L152">
            <v>1</v>
          </cell>
          <cell r="M152">
            <v>4</v>
          </cell>
          <cell r="N152">
            <v>4</v>
          </cell>
          <cell r="O152">
            <v>1</v>
          </cell>
          <cell r="P152">
            <v>4</v>
          </cell>
          <cell r="Q152">
            <v>4</v>
          </cell>
          <cell r="R152">
            <v>1</v>
          </cell>
          <cell r="S152">
            <v>1</v>
          </cell>
          <cell r="T152">
            <v>1</v>
          </cell>
          <cell r="U152" t="str">
            <v>A/B + 5wks</v>
          </cell>
        </row>
        <row r="153">
          <cell r="A153"/>
          <cell r="B153"/>
          <cell r="C153"/>
          <cell r="D153"/>
          <cell r="E153"/>
          <cell r="F153"/>
          <cell r="G153"/>
          <cell r="H153"/>
          <cell r="I153"/>
          <cell r="J153"/>
          <cell r="K153"/>
          <cell r="L153"/>
          <cell r="M153"/>
          <cell r="N153"/>
          <cell r="O153"/>
          <cell r="P153"/>
          <cell r="Q153"/>
          <cell r="R153"/>
          <cell r="S153"/>
          <cell r="T153"/>
          <cell r="U153"/>
        </row>
        <row r="154">
          <cell r="A154" t="str">
            <v>NV31-HUBS-2064</v>
          </cell>
          <cell r="B154" t="str">
            <v>GFXHUB:GCEA - noalloc' support (MALL)</v>
          </cell>
          <cell r="C154" t="str">
            <v>P2</v>
          </cell>
          <cell r="D154" t="str">
            <v xml:space="preserve">mhub353.1-2,7-8, mhub353.201,204, mhub353.301,304, mhub353.5-6,11-12, mhub353.203,206, mhub353.303,306, mhub353.111-112, mhub353.102, mhub353.13,16, 19,22, mhub353.207,210, 213, 216, mhub353.307,310, 313, 316, mhub353.15,18, 21, 24, mhub353.209,212, 215, 218, mhub353.309,312, 315, 318, </v>
          </cell>
          <cell r="E154" t="e">
            <v>#N/A</v>
          </cell>
          <cell r="F154" t="str">
            <v>Legacy</v>
          </cell>
          <cell r="G154" t="str">
            <v>Yes</v>
          </cell>
          <cell r="H154" t="str">
            <v>Yes</v>
          </cell>
          <cell r="I154">
            <v>23</v>
          </cell>
          <cell r="J154">
            <v>43</v>
          </cell>
          <cell r="K154">
            <v>1</v>
          </cell>
          <cell r="L154">
            <v>1</v>
          </cell>
          <cell r="M154">
            <v>10</v>
          </cell>
          <cell r="N154">
            <v>10</v>
          </cell>
          <cell r="O154">
            <v>1</v>
          </cell>
          <cell r="P154">
            <v>43</v>
          </cell>
          <cell r="Q154">
            <v>43</v>
          </cell>
          <cell r="R154">
            <v>1</v>
          </cell>
          <cell r="S154">
            <v>1</v>
          </cell>
          <cell r="T154">
            <v>1</v>
          </cell>
          <cell r="U154" t="str">
            <v>A/B + 10wks</v>
          </cell>
        </row>
        <row r="155">
          <cell r="A155" t="str">
            <v>NV31-HUBS-2065</v>
          </cell>
          <cell r="B155" t="str">
            <v xml:space="preserve">GFXHUB:GCEA - 64 byte single-operand atomics </v>
          </cell>
          <cell r="C155" t="str">
            <v>P2</v>
          </cell>
          <cell r="D155" t="str">
            <v xml:space="preserve">glxi052, </v>
          </cell>
          <cell r="E155" t="str">
            <v>GFXHUB</v>
          </cell>
          <cell r="F155" t="str">
            <v>Legacy</v>
          </cell>
          <cell r="G155" t="str">
            <v>Yes</v>
          </cell>
          <cell r="H155" t="str">
            <v>Yes</v>
          </cell>
          <cell r="I155">
            <v>0</v>
          </cell>
          <cell r="J155">
            <v>0</v>
          </cell>
          <cell r="K155" t="e">
            <v>#DIV/0!</v>
          </cell>
          <cell r="L155" t="e">
            <v>#DIV/0!</v>
          </cell>
          <cell r="M155">
            <v>0</v>
          </cell>
          <cell r="N155">
            <v>0</v>
          </cell>
          <cell r="O155">
            <v>0</v>
          </cell>
          <cell r="P155">
            <v>0</v>
          </cell>
          <cell r="Q155">
            <v>0</v>
          </cell>
          <cell r="R155">
            <v>0</v>
          </cell>
          <cell r="S155">
            <v>0</v>
          </cell>
          <cell r="T155">
            <v>0</v>
          </cell>
          <cell r="U155" t="str">
            <v>N/A</v>
          </cell>
        </row>
        <row r="156">
          <cell r="A156" t="str">
            <v>NV31-HUBS-2066</v>
          </cell>
          <cell r="B156" t="str">
            <v>GFXHUB:GUS - CH Interface</v>
          </cell>
          <cell r="C156" t="str">
            <v>P2</v>
          </cell>
          <cell r="D156" t="str">
            <v xml:space="preserve">mhub411.1-2, glxi7.1-3, glxi8.2 glxi9.1, </v>
          </cell>
          <cell r="E156" t="str">
            <v>ATHUB</v>
          </cell>
          <cell r="F156" t="str">
            <v>Legacy</v>
          </cell>
          <cell r="G156" t="str">
            <v>Yes</v>
          </cell>
          <cell r="H156" t="str">
            <v>Yes</v>
          </cell>
          <cell r="I156">
            <v>1</v>
          </cell>
          <cell r="J156">
            <v>2</v>
          </cell>
          <cell r="K156">
            <v>1</v>
          </cell>
          <cell r="L156">
            <v>1</v>
          </cell>
          <cell r="M156">
            <v>2</v>
          </cell>
          <cell r="N156">
            <v>2</v>
          </cell>
          <cell r="O156">
            <v>1</v>
          </cell>
          <cell r="P156">
            <v>2</v>
          </cell>
          <cell r="Q156">
            <v>2</v>
          </cell>
          <cell r="R156">
            <v>1</v>
          </cell>
          <cell r="S156">
            <v>1</v>
          </cell>
          <cell r="T156">
            <v>1</v>
          </cell>
          <cell r="U156" t="str">
            <v>A/B + 10wks</v>
          </cell>
        </row>
        <row r="157">
          <cell r="A157"/>
          <cell r="B157"/>
          <cell r="C157"/>
          <cell r="D157"/>
          <cell r="E157"/>
          <cell r="F157"/>
          <cell r="G157"/>
          <cell r="H157"/>
          <cell r="I157"/>
          <cell r="J157"/>
          <cell r="K157"/>
          <cell r="L157"/>
          <cell r="M157"/>
          <cell r="N157"/>
          <cell r="O157"/>
          <cell r="P157"/>
          <cell r="Q157"/>
          <cell r="R157"/>
          <cell r="S157"/>
          <cell r="T157"/>
          <cell r="U157"/>
        </row>
        <row r="158">
          <cell r="A158" t="str">
            <v>NV31-HUBS-2068</v>
          </cell>
          <cell r="B158" t="str">
            <v>GFXHUB:GUS - Safe TDR</v>
          </cell>
          <cell r="C158" t="str">
            <v>P1</v>
          </cell>
          <cell r="D158" t="str">
            <v/>
          </cell>
          <cell r="E158" t="e">
            <v>#N/A</v>
          </cell>
          <cell r="F158" t="str">
            <v>New</v>
          </cell>
          <cell r="G158" t="str">
            <v>No</v>
          </cell>
          <cell r="H158" t="str">
            <v>No</v>
          </cell>
          <cell r="I158">
            <v>0</v>
          </cell>
          <cell r="J158">
            <v>0</v>
          </cell>
          <cell r="K158">
            <v>0</v>
          </cell>
          <cell r="L158">
            <v>0</v>
          </cell>
          <cell r="M158">
            <v>0</v>
          </cell>
          <cell r="N158">
            <v>0</v>
          </cell>
          <cell r="O158">
            <v>0</v>
          </cell>
          <cell r="P158">
            <v>0</v>
          </cell>
          <cell r="Q158">
            <v>0</v>
          </cell>
          <cell r="R158">
            <v>0</v>
          </cell>
          <cell r="S158">
            <v>0</v>
          </cell>
          <cell r="T158">
            <v>0</v>
          </cell>
          <cell r="U158" t="str">
            <v>N/A</v>
          </cell>
        </row>
        <row r="159">
          <cell r="A159" t="str">
            <v>NV31-HUBS-2069</v>
          </cell>
          <cell r="B159" t="str">
            <v>GFXHUB:GUS - Sideband GRBM Context ID</v>
          </cell>
          <cell r="C159" t="str">
            <v>P2</v>
          </cell>
          <cell r="D159" t="str">
            <v/>
          </cell>
          <cell r="E159" t="e">
            <v>#N/A</v>
          </cell>
          <cell r="F159" t="str">
            <v>New</v>
          </cell>
          <cell r="G159" t="str">
            <v>No</v>
          </cell>
          <cell r="H159" t="str">
            <v>No</v>
          </cell>
          <cell r="I159">
            <v>0</v>
          </cell>
          <cell r="J159">
            <v>0</v>
          </cell>
          <cell r="K159">
            <v>0</v>
          </cell>
          <cell r="L159">
            <v>0</v>
          </cell>
          <cell r="M159">
            <v>0</v>
          </cell>
          <cell r="N159">
            <v>0</v>
          </cell>
          <cell r="O159">
            <v>0</v>
          </cell>
          <cell r="P159">
            <v>0</v>
          </cell>
          <cell r="Q159">
            <v>0</v>
          </cell>
          <cell r="R159">
            <v>0</v>
          </cell>
          <cell r="S159">
            <v>0</v>
          </cell>
          <cell r="T159">
            <v>0</v>
          </cell>
          <cell r="U159" t="str">
            <v>N/A</v>
          </cell>
        </row>
        <row r="160">
          <cell r="A160" t="str">
            <v>NV31-HUBS-2070</v>
          </cell>
          <cell r="B160" t="str">
            <v>GFXHUB:GUS - Switch clock gaters to ICG</v>
          </cell>
          <cell r="C160" t="str">
            <v>P2</v>
          </cell>
          <cell r="D160" t="str">
            <v/>
          </cell>
          <cell r="E160" t="e">
            <v>#N/A</v>
          </cell>
          <cell r="F160" t="str">
            <v>Delta</v>
          </cell>
          <cell r="G160" t="str">
            <v>No</v>
          </cell>
          <cell r="H160" t="str">
            <v>No</v>
          </cell>
          <cell r="I160">
            <v>0</v>
          </cell>
          <cell r="J160">
            <v>0</v>
          </cell>
          <cell r="K160">
            <v>0</v>
          </cell>
          <cell r="L160">
            <v>0</v>
          </cell>
          <cell r="M160">
            <v>0</v>
          </cell>
          <cell r="N160">
            <v>0</v>
          </cell>
          <cell r="O160">
            <v>0</v>
          </cell>
          <cell r="P160">
            <v>0</v>
          </cell>
          <cell r="Q160">
            <v>0</v>
          </cell>
          <cell r="R160">
            <v>0</v>
          </cell>
          <cell r="S160">
            <v>0</v>
          </cell>
          <cell r="T160">
            <v>0</v>
          </cell>
          <cell r="U160" t="str">
            <v>N/A</v>
          </cell>
        </row>
        <row r="161">
          <cell r="A161" t="str">
            <v>NV31-HUBS-3000</v>
          </cell>
          <cell r="B161" t="str">
            <v>ATHUB:SOC - SOC-15 SDP interfaces (SOC-15 baseline)</v>
          </cell>
          <cell r="C161" t="str">
            <v>P1</v>
          </cell>
          <cell r="D161" t="str">
            <v xml:space="preserve">mhub001.1, mhub001.2, mhub001.3, mhub001.4, mhub001.5, mhub001.6, mhub001.7, mhub001.9, </v>
          </cell>
          <cell r="E161" t="e">
            <v>#N/A</v>
          </cell>
          <cell r="F161" t="str">
            <v>Delta</v>
          </cell>
          <cell r="G161" t="str">
            <v>Yes</v>
          </cell>
          <cell r="H161" t="str">
            <v>Yes</v>
          </cell>
          <cell r="I161">
            <v>8</v>
          </cell>
          <cell r="J161">
            <v>8</v>
          </cell>
          <cell r="K161">
            <v>1</v>
          </cell>
          <cell r="L161">
            <v>1</v>
          </cell>
          <cell r="M161">
            <v>8</v>
          </cell>
          <cell r="N161">
            <v>8</v>
          </cell>
          <cell r="O161">
            <v>1</v>
          </cell>
          <cell r="P161">
            <v>8</v>
          </cell>
          <cell r="Q161">
            <v>8</v>
          </cell>
          <cell r="R161">
            <v>1</v>
          </cell>
          <cell r="S161">
            <v>1</v>
          </cell>
          <cell r="T161">
            <v>1</v>
          </cell>
          <cell r="U161" t="str">
            <v>A/B + 10wks</v>
          </cell>
        </row>
        <row r="162">
          <cell r="A162" t="str">
            <v>NV31-HUBS-3001</v>
          </cell>
          <cell r="B162" t="str">
            <v>ATHUB:SOC - SOC-15 SCF interfaces (SOC-15 baseline)</v>
          </cell>
          <cell r="C162" t="str">
            <v>P2</v>
          </cell>
          <cell r="D162" t="str">
            <v xml:space="preserve">mhub002.1-15, mhub002.16, </v>
          </cell>
          <cell r="E162" t="e">
            <v>#N/A</v>
          </cell>
          <cell r="F162" t="str">
            <v>Legacy</v>
          </cell>
          <cell r="G162" t="str">
            <v>Yes</v>
          </cell>
          <cell r="H162" t="str">
            <v>Yes</v>
          </cell>
          <cell r="I162">
            <v>2</v>
          </cell>
          <cell r="J162">
            <v>16</v>
          </cell>
          <cell r="K162">
            <v>1</v>
          </cell>
          <cell r="L162">
            <v>1</v>
          </cell>
          <cell r="M162">
            <v>15</v>
          </cell>
          <cell r="N162">
            <v>0</v>
          </cell>
          <cell r="O162">
            <v>0</v>
          </cell>
          <cell r="P162">
            <v>16</v>
          </cell>
          <cell r="Q162">
            <v>16</v>
          </cell>
          <cell r="R162">
            <v>1</v>
          </cell>
          <cell r="S162">
            <v>1</v>
          </cell>
          <cell r="T162">
            <v>1</v>
          </cell>
          <cell r="U162" t="str">
            <v>A/B + 5wks</v>
          </cell>
        </row>
        <row r="163">
          <cell r="A163" t="str">
            <v>NV31-HUBS-3002</v>
          </cell>
          <cell r="B163" t="str">
            <v>ATHUB:SOC - VDCI on DF SDP interfaces</v>
          </cell>
          <cell r="C163" t="str">
            <v>P2</v>
          </cell>
          <cell r="D163" t="str">
            <v/>
          </cell>
          <cell r="E163" t="e">
            <v>#N/A</v>
          </cell>
          <cell r="F163" t="str">
            <v>Legacy</v>
          </cell>
          <cell r="G163" t="str">
            <v>No</v>
          </cell>
          <cell r="H163" t="str">
            <v>No</v>
          </cell>
          <cell r="I163">
            <v>0</v>
          </cell>
          <cell r="J163">
            <v>0</v>
          </cell>
          <cell r="K163">
            <v>0</v>
          </cell>
          <cell r="L163">
            <v>0</v>
          </cell>
          <cell r="M163">
            <v>0</v>
          </cell>
          <cell r="N163">
            <v>0</v>
          </cell>
          <cell r="O163">
            <v>0</v>
          </cell>
          <cell r="P163">
            <v>0</v>
          </cell>
          <cell r="Q163">
            <v>0</v>
          </cell>
          <cell r="R163">
            <v>0</v>
          </cell>
          <cell r="S163">
            <v>0</v>
          </cell>
          <cell r="T163">
            <v>0</v>
          </cell>
          <cell r="U163" t="str">
            <v>N/A</v>
          </cell>
        </row>
        <row r="164">
          <cell r="A164" t="str">
            <v>NV31-HUBS-3003</v>
          </cell>
          <cell r="B164" t="str">
            <v>ATHUB:SOC - OpenCL Platform Atomics</v>
          </cell>
          <cell r="C164" t="str">
            <v>P2</v>
          </cell>
          <cell r="D164" t="str">
            <v xml:space="preserve">vcn005.1-4, </v>
          </cell>
          <cell r="E164" t="e">
            <v>#N/A</v>
          </cell>
          <cell r="F164" t="str">
            <v>Legacy</v>
          </cell>
          <cell r="G164" t="str">
            <v>Yes</v>
          </cell>
          <cell r="H164" t="str">
            <v>Yes</v>
          </cell>
          <cell r="I164">
            <v>0</v>
          </cell>
          <cell r="J164">
            <v>0</v>
          </cell>
          <cell r="K164" t="e">
            <v>#DIV/0!</v>
          </cell>
          <cell r="L164" t="e">
            <v>#DIV/0!</v>
          </cell>
          <cell r="M164">
            <v>0</v>
          </cell>
          <cell r="N164">
            <v>0</v>
          </cell>
          <cell r="O164">
            <v>0</v>
          </cell>
          <cell r="P164">
            <v>0</v>
          </cell>
          <cell r="Q164">
            <v>0</v>
          </cell>
          <cell r="R164">
            <v>0</v>
          </cell>
          <cell r="S164">
            <v>0</v>
          </cell>
          <cell r="T164">
            <v>0</v>
          </cell>
          <cell r="U164" t="str">
            <v>N/A</v>
          </cell>
        </row>
        <row r="165">
          <cell r="A165"/>
          <cell r="B165"/>
          <cell r="C165"/>
          <cell r="D165"/>
          <cell r="E165"/>
          <cell r="F165"/>
          <cell r="G165"/>
          <cell r="H165"/>
          <cell r="I165"/>
          <cell r="J165"/>
          <cell r="K165"/>
          <cell r="L165"/>
          <cell r="M165"/>
          <cell r="N165"/>
          <cell r="O165"/>
          <cell r="P165"/>
          <cell r="Q165"/>
          <cell r="R165"/>
          <cell r="S165"/>
          <cell r="T165"/>
          <cell r="U165"/>
        </row>
        <row r="166">
          <cell r="A166"/>
          <cell r="B166"/>
          <cell r="C166"/>
          <cell r="D166"/>
          <cell r="E166"/>
          <cell r="F166"/>
          <cell r="G166"/>
          <cell r="H166"/>
          <cell r="I166"/>
          <cell r="J166"/>
          <cell r="K166"/>
          <cell r="L166"/>
          <cell r="M166"/>
          <cell r="N166"/>
          <cell r="O166"/>
          <cell r="P166"/>
          <cell r="Q166"/>
          <cell r="R166"/>
          <cell r="S166"/>
          <cell r="T166"/>
          <cell r="U166"/>
        </row>
        <row r="167">
          <cell r="A167" t="str">
            <v>NV31-HUBS-3006</v>
          </cell>
          <cell r="B167" t="str">
            <v>ATHUB:RPB - Supports multiple VCs (SDP Virtual Channel)</v>
          </cell>
          <cell r="C167" t="str">
            <v>P2</v>
          </cell>
          <cell r="D167" t="str">
            <v/>
          </cell>
          <cell r="E167" t="e">
            <v>#N/A</v>
          </cell>
          <cell r="F167" t="str">
            <v>Legacy</v>
          </cell>
          <cell r="G167" t="str">
            <v>No</v>
          </cell>
          <cell r="H167" t="str">
            <v>No</v>
          </cell>
          <cell r="I167">
            <v>0</v>
          </cell>
          <cell r="J167">
            <v>0</v>
          </cell>
          <cell r="K167">
            <v>0</v>
          </cell>
          <cell r="L167">
            <v>0</v>
          </cell>
          <cell r="M167">
            <v>0</v>
          </cell>
          <cell r="N167">
            <v>0</v>
          </cell>
          <cell r="O167">
            <v>0</v>
          </cell>
          <cell r="P167">
            <v>0</v>
          </cell>
          <cell r="Q167">
            <v>0</v>
          </cell>
          <cell r="R167">
            <v>0</v>
          </cell>
          <cell r="S167">
            <v>0</v>
          </cell>
          <cell r="T167">
            <v>0</v>
          </cell>
          <cell r="U167" t="str">
            <v>N/A</v>
          </cell>
        </row>
        <row r="168">
          <cell r="A168" t="str">
            <v>NV31-HUBS-3007</v>
          </cell>
          <cell r="B168" t="str">
            <v>ATHUB:RPB - Supports write grouping (de-interleave ea write stream)
formerly:RPB to reassemble writes (Total GCEA/MMEA/DCE)</v>
          </cell>
          <cell r="C168" t="str">
            <v>P1</v>
          </cell>
          <cell r="D168" t="str">
            <v xml:space="preserve">mhub401.34-35, mhub402.34, </v>
          </cell>
          <cell r="E168" t="str">
            <v>MMHUB</v>
          </cell>
          <cell r="F168" t="str">
            <v>Delta</v>
          </cell>
          <cell r="G168" t="str">
            <v>Yes</v>
          </cell>
          <cell r="H168" t="str">
            <v>Yes</v>
          </cell>
          <cell r="I168">
            <v>5</v>
          </cell>
          <cell r="J168">
            <v>3</v>
          </cell>
          <cell r="K168">
            <v>1</v>
          </cell>
          <cell r="L168">
            <v>1</v>
          </cell>
          <cell r="M168">
            <v>2</v>
          </cell>
          <cell r="N168">
            <v>0</v>
          </cell>
          <cell r="O168">
            <v>0</v>
          </cell>
          <cell r="P168">
            <v>3</v>
          </cell>
          <cell r="Q168">
            <v>3</v>
          </cell>
          <cell r="R168">
            <v>1</v>
          </cell>
          <cell r="S168">
            <v>1</v>
          </cell>
          <cell r="T168">
            <v>1</v>
          </cell>
          <cell r="U168" t="str">
            <v>A/B + 10wks</v>
          </cell>
        </row>
        <row r="169">
          <cell r="A169" t="str">
            <v>NV31-HUBS-3008</v>
          </cell>
          <cell r="B169" t="str">
            <v>ATHUB:RPB - Support configurable tag partition for read/write requests</v>
          </cell>
          <cell r="C169" t="str">
            <v>P2</v>
          </cell>
          <cell r="D169" t="str">
            <v/>
          </cell>
          <cell r="E169" t="e">
            <v>#N/A</v>
          </cell>
          <cell r="F169" t="str">
            <v>Legacy</v>
          </cell>
          <cell r="G169" t="str">
            <v>No</v>
          </cell>
          <cell r="H169" t="str">
            <v>No</v>
          </cell>
          <cell r="I169">
            <v>0</v>
          </cell>
          <cell r="J169">
            <v>0</v>
          </cell>
          <cell r="K169">
            <v>0</v>
          </cell>
          <cell r="L169">
            <v>0</v>
          </cell>
          <cell r="M169">
            <v>0</v>
          </cell>
          <cell r="N169">
            <v>0</v>
          </cell>
          <cell r="O169">
            <v>0</v>
          </cell>
          <cell r="P169">
            <v>0</v>
          </cell>
          <cell r="Q169">
            <v>0</v>
          </cell>
          <cell r="R169">
            <v>0</v>
          </cell>
          <cell r="S169">
            <v>0</v>
          </cell>
          <cell r="T169">
            <v>0</v>
          </cell>
          <cell r="U169" t="str">
            <v>N/A</v>
          </cell>
        </row>
        <row r="170">
          <cell r="A170" t="str">
            <v>NV31-HUBS-3009</v>
          </cell>
          <cell r="B170" t="str">
            <v>ATHUB:RPB - Support more arbitration method between different streams and channels</v>
          </cell>
          <cell r="C170" t="str">
            <v>P2</v>
          </cell>
          <cell r="D170" t="str">
            <v/>
          </cell>
          <cell r="E170" t="e">
            <v>#N/A</v>
          </cell>
          <cell r="F170" t="str">
            <v>Legacy</v>
          </cell>
          <cell r="G170" t="str">
            <v>No</v>
          </cell>
          <cell r="H170" t="str">
            <v>No</v>
          </cell>
          <cell r="I170">
            <v>0</v>
          </cell>
          <cell r="J170">
            <v>0</v>
          </cell>
          <cell r="K170">
            <v>0</v>
          </cell>
          <cell r="L170">
            <v>0</v>
          </cell>
          <cell r="M170">
            <v>0</v>
          </cell>
          <cell r="N170">
            <v>0</v>
          </cell>
          <cell r="O170">
            <v>0</v>
          </cell>
          <cell r="P170">
            <v>0</v>
          </cell>
          <cell r="Q170">
            <v>0</v>
          </cell>
          <cell r="R170">
            <v>0</v>
          </cell>
          <cell r="S170">
            <v>0</v>
          </cell>
          <cell r="T170">
            <v>0</v>
          </cell>
          <cell r="U170" t="str">
            <v>N/A</v>
          </cell>
        </row>
        <row r="171">
          <cell r="A171" t="str">
            <v>NV31-HUBS-3010</v>
          </cell>
          <cell r="B171" t="str">
            <v>ATHUB:RPB - P2P Traffic</v>
          </cell>
          <cell r="C171" t="str">
            <v>P2</v>
          </cell>
          <cell r="D171" t="str">
            <v/>
          </cell>
          <cell r="E171" t="e">
            <v>#N/A</v>
          </cell>
          <cell r="F171" t="str">
            <v>Legacy</v>
          </cell>
          <cell r="G171" t="str">
            <v>No</v>
          </cell>
          <cell r="H171" t="str">
            <v>No</v>
          </cell>
          <cell r="I171">
            <v>0</v>
          </cell>
          <cell r="J171">
            <v>0</v>
          </cell>
          <cell r="K171">
            <v>0</v>
          </cell>
          <cell r="L171">
            <v>0</v>
          </cell>
          <cell r="M171">
            <v>0</v>
          </cell>
          <cell r="N171">
            <v>0</v>
          </cell>
          <cell r="O171">
            <v>0</v>
          </cell>
          <cell r="P171">
            <v>0</v>
          </cell>
          <cell r="Q171">
            <v>0</v>
          </cell>
          <cell r="R171">
            <v>0</v>
          </cell>
          <cell r="S171">
            <v>0</v>
          </cell>
          <cell r="T171">
            <v>0</v>
          </cell>
          <cell r="U171" t="str">
            <v>N/A</v>
          </cell>
        </row>
        <row r="172">
          <cell r="A172"/>
          <cell r="B172"/>
          <cell r="C172"/>
          <cell r="D172"/>
          <cell r="E172"/>
          <cell r="F172"/>
          <cell r="G172"/>
          <cell r="H172"/>
          <cell r="I172"/>
          <cell r="J172"/>
          <cell r="K172"/>
          <cell r="L172"/>
          <cell r="M172"/>
          <cell r="N172"/>
          <cell r="O172"/>
          <cell r="P172"/>
          <cell r="Q172"/>
          <cell r="R172"/>
          <cell r="S172"/>
          <cell r="T172"/>
          <cell r="U172"/>
        </row>
        <row r="173">
          <cell r="A173"/>
          <cell r="B173"/>
          <cell r="C173"/>
          <cell r="D173"/>
          <cell r="E173"/>
          <cell r="F173"/>
          <cell r="G173"/>
          <cell r="H173"/>
          <cell r="I173"/>
          <cell r="J173"/>
          <cell r="K173"/>
          <cell r="L173"/>
          <cell r="M173"/>
          <cell r="N173"/>
          <cell r="O173"/>
          <cell r="P173"/>
          <cell r="Q173"/>
          <cell r="R173"/>
          <cell r="S173"/>
          <cell r="T173"/>
          <cell r="U173"/>
        </row>
        <row r="174">
          <cell r="A174"/>
          <cell r="B174"/>
          <cell r="C174"/>
          <cell r="D174"/>
          <cell r="E174"/>
          <cell r="F174"/>
          <cell r="G174"/>
          <cell r="H174"/>
          <cell r="I174"/>
          <cell r="J174"/>
          <cell r="K174"/>
          <cell r="L174"/>
          <cell r="M174"/>
          <cell r="N174"/>
          <cell r="O174"/>
          <cell r="P174"/>
          <cell r="Q174"/>
          <cell r="R174"/>
          <cell r="S174"/>
          <cell r="T174"/>
          <cell r="U174"/>
        </row>
        <row r="175">
          <cell r="A175"/>
          <cell r="B175"/>
          <cell r="C175"/>
          <cell r="D175"/>
          <cell r="E175"/>
          <cell r="F175"/>
          <cell r="G175"/>
          <cell r="H175"/>
          <cell r="I175"/>
          <cell r="J175"/>
          <cell r="K175"/>
          <cell r="L175"/>
          <cell r="M175"/>
          <cell r="N175"/>
          <cell r="O175"/>
          <cell r="P175"/>
          <cell r="Q175"/>
          <cell r="R175"/>
          <cell r="S175"/>
          <cell r="T175"/>
          <cell r="U175"/>
        </row>
        <row r="176">
          <cell r="A176" t="str">
            <v>NV31-HUBS-3015</v>
          </cell>
          <cell r="B176" t="str">
            <v>ATHUB:Power - Dynamic Clock Gating</v>
          </cell>
          <cell r="C176" t="str">
            <v>P2</v>
          </cell>
          <cell r="D176" t="str">
            <v/>
          </cell>
          <cell r="E176" t="e">
            <v>#N/A</v>
          </cell>
          <cell r="F176" t="str">
            <v>Legacy</v>
          </cell>
          <cell r="G176" t="str">
            <v>No</v>
          </cell>
          <cell r="H176" t="str">
            <v>No</v>
          </cell>
          <cell r="I176">
            <v>0</v>
          </cell>
          <cell r="J176">
            <v>0</v>
          </cell>
          <cell r="K176">
            <v>0</v>
          </cell>
          <cell r="L176">
            <v>0</v>
          </cell>
          <cell r="M176">
            <v>0</v>
          </cell>
          <cell r="N176">
            <v>0</v>
          </cell>
          <cell r="O176">
            <v>0</v>
          </cell>
          <cell r="P176">
            <v>0</v>
          </cell>
          <cell r="Q176">
            <v>0</v>
          </cell>
          <cell r="R176">
            <v>0</v>
          </cell>
          <cell r="S176">
            <v>0</v>
          </cell>
          <cell r="T176">
            <v>0</v>
          </cell>
          <cell r="U176" t="str">
            <v>N/A</v>
          </cell>
        </row>
        <row r="177">
          <cell r="A177" t="str">
            <v>NV31-HUBS-3016</v>
          </cell>
          <cell r="B177" t="str">
            <v>ATHUB:Power - Dynamic Power Gating</v>
          </cell>
          <cell r="C177" t="str">
            <v>P2</v>
          </cell>
          <cell r="D177" t="str">
            <v/>
          </cell>
          <cell r="E177" t="e">
            <v>#N/A</v>
          </cell>
          <cell r="F177" t="str">
            <v>Legacy</v>
          </cell>
          <cell r="G177" t="str">
            <v>No</v>
          </cell>
          <cell r="H177" t="str">
            <v>No</v>
          </cell>
          <cell r="I177">
            <v>0</v>
          </cell>
          <cell r="J177">
            <v>0</v>
          </cell>
          <cell r="K177">
            <v>0</v>
          </cell>
          <cell r="L177">
            <v>0</v>
          </cell>
          <cell r="M177">
            <v>0</v>
          </cell>
          <cell r="N177">
            <v>0</v>
          </cell>
          <cell r="O177">
            <v>0</v>
          </cell>
          <cell r="P177">
            <v>0</v>
          </cell>
          <cell r="Q177">
            <v>0</v>
          </cell>
          <cell r="R177">
            <v>0</v>
          </cell>
          <cell r="S177">
            <v>0</v>
          </cell>
          <cell r="T177">
            <v>0</v>
          </cell>
          <cell r="U177" t="str">
            <v>N/A</v>
          </cell>
        </row>
        <row r="178">
          <cell r="A178" t="str">
            <v>NV31-HUBS-3017</v>
          </cell>
          <cell r="B178" t="str">
            <v>ATHUB:Security - SOC15 Security</v>
          </cell>
          <cell r="C178" t="str">
            <v>P2</v>
          </cell>
          <cell r="D178" t="str">
            <v/>
          </cell>
          <cell r="E178" t="e">
            <v>#N/A</v>
          </cell>
          <cell r="F178" t="str">
            <v>Legacy</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cell r="U178" t="str">
            <v>N/A</v>
          </cell>
        </row>
        <row r="179">
          <cell r="A179" t="str">
            <v>NV31-HUBS-3018</v>
          </cell>
          <cell r="B179" t="str">
            <v>ATHUB:Debug - Debug Bus</v>
          </cell>
          <cell r="C179" t="str">
            <v>P2</v>
          </cell>
          <cell r="D179" t="str">
            <v/>
          </cell>
          <cell r="E179" t="e">
            <v>#N/A</v>
          </cell>
          <cell r="F179" t="str">
            <v>Legacy</v>
          </cell>
          <cell r="G179" t="str">
            <v>No</v>
          </cell>
          <cell r="H179" t="str">
            <v>No</v>
          </cell>
          <cell r="I179">
            <v>0</v>
          </cell>
          <cell r="J179">
            <v>0</v>
          </cell>
          <cell r="K179">
            <v>0</v>
          </cell>
          <cell r="L179">
            <v>0</v>
          </cell>
          <cell r="M179">
            <v>0</v>
          </cell>
          <cell r="N179">
            <v>0</v>
          </cell>
          <cell r="O179">
            <v>0</v>
          </cell>
          <cell r="P179">
            <v>0</v>
          </cell>
          <cell r="Q179">
            <v>0</v>
          </cell>
          <cell r="R179">
            <v>0</v>
          </cell>
          <cell r="S179">
            <v>0</v>
          </cell>
          <cell r="T179">
            <v>0</v>
          </cell>
          <cell r="U179" t="str">
            <v>N/A</v>
          </cell>
        </row>
        <row r="180">
          <cell r="A180"/>
          <cell r="B180"/>
          <cell r="C180"/>
          <cell r="D180"/>
          <cell r="E180"/>
          <cell r="F180"/>
          <cell r="G180"/>
          <cell r="H180"/>
          <cell r="I180"/>
          <cell r="J180"/>
          <cell r="K180"/>
          <cell r="L180"/>
          <cell r="M180"/>
          <cell r="N180"/>
          <cell r="O180"/>
          <cell r="P180"/>
          <cell r="Q180"/>
          <cell r="R180"/>
          <cell r="S180"/>
          <cell r="T180"/>
          <cell r="U180"/>
        </row>
        <row r="181">
          <cell r="A181"/>
          <cell r="B181"/>
          <cell r="C181"/>
          <cell r="D181"/>
          <cell r="E181"/>
          <cell r="F181"/>
          <cell r="G181"/>
          <cell r="H181"/>
          <cell r="I181"/>
          <cell r="J181"/>
          <cell r="K181"/>
          <cell r="L181"/>
          <cell r="M181"/>
          <cell r="N181"/>
          <cell r="O181"/>
          <cell r="P181"/>
          <cell r="Q181"/>
          <cell r="R181"/>
          <cell r="S181"/>
          <cell r="T181"/>
          <cell r="U181"/>
        </row>
        <row r="182">
          <cell r="A182"/>
          <cell r="B182"/>
          <cell r="C182"/>
          <cell r="D182"/>
          <cell r="E182"/>
          <cell r="F182"/>
          <cell r="G182"/>
          <cell r="H182"/>
          <cell r="I182"/>
          <cell r="J182"/>
          <cell r="K182"/>
          <cell r="L182"/>
          <cell r="M182"/>
          <cell r="N182"/>
          <cell r="O182"/>
          <cell r="P182"/>
          <cell r="Q182"/>
          <cell r="R182"/>
          <cell r="S182"/>
          <cell r="T182"/>
          <cell r="U182"/>
        </row>
        <row r="183">
          <cell r="A183"/>
          <cell r="B183"/>
          <cell r="C183"/>
          <cell r="D183"/>
          <cell r="E183"/>
          <cell r="F183"/>
          <cell r="G183"/>
          <cell r="H183"/>
          <cell r="I183"/>
          <cell r="J183"/>
          <cell r="K183"/>
          <cell r="L183"/>
          <cell r="M183"/>
          <cell r="N183"/>
          <cell r="O183"/>
          <cell r="P183"/>
          <cell r="Q183"/>
          <cell r="R183"/>
          <cell r="S183"/>
          <cell r="T183"/>
          <cell r="U183"/>
        </row>
        <row r="184">
          <cell r="A184"/>
          <cell r="B184"/>
          <cell r="C184"/>
          <cell r="D184"/>
          <cell r="E184"/>
          <cell r="F184"/>
          <cell r="G184"/>
          <cell r="H184"/>
          <cell r="I184"/>
          <cell r="J184"/>
          <cell r="K184"/>
          <cell r="L184"/>
          <cell r="M184"/>
          <cell r="N184"/>
          <cell r="O184"/>
          <cell r="P184"/>
          <cell r="Q184"/>
          <cell r="R184"/>
          <cell r="S184"/>
          <cell r="T184"/>
          <cell r="U184"/>
        </row>
        <row r="185">
          <cell r="A185"/>
          <cell r="B185"/>
          <cell r="C185"/>
          <cell r="D185"/>
          <cell r="E185"/>
          <cell r="F185"/>
          <cell r="G185"/>
          <cell r="H185"/>
          <cell r="I185"/>
          <cell r="J185"/>
          <cell r="K185"/>
          <cell r="L185"/>
          <cell r="M185"/>
          <cell r="N185"/>
          <cell r="O185"/>
          <cell r="P185"/>
          <cell r="Q185"/>
          <cell r="R185"/>
          <cell r="S185"/>
          <cell r="T185"/>
          <cell r="U185"/>
        </row>
        <row r="186">
          <cell r="A186" t="str">
            <v>PLEASE DO NOT CROSS THIS LINE.   Insert New Rows OR Copied Cells "Above" The Last Known Good Row Only So Each Copied Cells &amp; Rows Still Contains The Right Formulas (Similar Concept for Removing or Deleting Rows)</v>
          </cell>
          <cell r="B186"/>
          <cell r="C186"/>
          <cell r="D186"/>
          <cell r="E186"/>
          <cell r="F186"/>
          <cell r="G186"/>
          <cell r="H186"/>
          <cell r="I186"/>
          <cell r="J186"/>
          <cell r="K186"/>
          <cell r="L186"/>
          <cell r="M186"/>
          <cell r="N186"/>
          <cell r="O186"/>
          <cell r="P186"/>
          <cell r="Q186"/>
          <cell r="R186"/>
          <cell r="S186"/>
          <cell r="T186"/>
          <cell r="U186"/>
        </row>
        <row r="187">
          <cell r="A187"/>
          <cell r="B187"/>
          <cell r="C187"/>
          <cell r="D187"/>
          <cell r="E187"/>
          <cell r="F187"/>
          <cell r="G187"/>
          <cell r="H187"/>
          <cell r="I187"/>
          <cell r="J187"/>
          <cell r="K187"/>
          <cell r="L187"/>
          <cell r="M187"/>
          <cell r="N187"/>
          <cell r="O187"/>
          <cell r="P187"/>
          <cell r="Q187"/>
          <cell r="R187"/>
          <cell r="S187"/>
          <cell r="T187"/>
          <cell r="U187"/>
        </row>
        <row r="188">
          <cell r="A188" t="str">
            <v>Total Summary</v>
          </cell>
          <cell r="B188"/>
          <cell r="C188"/>
          <cell r="D188"/>
          <cell r="E188"/>
          <cell r="F188"/>
          <cell r="G188">
            <v>106</v>
          </cell>
          <cell r="H188">
            <v>105</v>
          </cell>
          <cell r="I188">
            <v>591</v>
          </cell>
          <cell r="J188">
            <v>958</v>
          </cell>
          <cell r="K188">
            <v>1</v>
          </cell>
          <cell r="L188">
            <v>1</v>
          </cell>
          <cell r="M188">
            <v>624</v>
          </cell>
          <cell r="N188">
            <v>619</v>
          </cell>
          <cell r="O188">
            <v>0.99198717948717952</v>
          </cell>
          <cell r="P188">
            <v>958</v>
          </cell>
          <cell r="Q188">
            <v>958</v>
          </cell>
          <cell r="R188">
            <v>1</v>
          </cell>
          <cell r="S188">
            <v>1</v>
          </cell>
          <cell r="T188">
            <v>1</v>
          </cell>
          <cell r="U188"/>
        </row>
        <row r="189">
          <cell r="A189"/>
          <cell r="B189"/>
          <cell r="C189"/>
          <cell r="D189"/>
          <cell r="E189"/>
          <cell r="F189"/>
          <cell r="G189">
            <v>0.75177304964539005</v>
          </cell>
          <cell r="H189">
            <v>0.99056603773584906</v>
          </cell>
          <cell r="I189"/>
          <cell r="J189"/>
          <cell r="K189"/>
          <cell r="L189"/>
          <cell r="M189"/>
          <cell r="N189"/>
          <cell r="O189"/>
          <cell r="P189"/>
          <cell r="Q189"/>
          <cell r="R189"/>
          <cell r="S189"/>
          <cell r="T189"/>
          <cell r="U189"/>
        </row>
        <row r="190">
          <cell r="A190"/>
          <cell r="B190"/>
          <cell r="C190"/>
          <cell r="D190"/>
          <cell r="E190"/>
          <cell r="F190" t="str">
            <v>Total Feature</v>
          </cell>
          <cell r="G190">
            <v>141</v>
          </cell>
          <cell r="H190"/>
          <cell r="I190"/>
          <cell r="J190"/>
          <cell r="K190"/>
          <cell r="L190"/>
          <cell r="M190"/>
          <cell r="N190"/>
          <cell r="O190"/>
          <cell r="P190"/>
          <cell r="Q190"/>
          <cell r="R190"/>
          <cell r="S190"/>
          <cell r="T190"/>
          <cell r="U190"/>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656" t="s">
        <v>54</v>
      </c>
      <c r="C1" s="657"/>
      <c r="D1" s="657"/>
      <c r="E1" s="156" t="s">
        <v>55</v>
      </c>
      <c r="F1" s="156" t="s">
        <v>56</v>
      </c>
      <c r="G1" s="110" t="s">
        <v>57</v>
      </c>
    </row>
    <row r="2" spans="1:7" x14ac:dyDescent="0.25">
      <c r="A2" s="116" t="s">
        <v>58</v>
      </c>
      <c r="B2" s="658" t="s">
        <v>59</v>
      </c>
      <c r="C2" s="659"/>
      <c r="D2" s="659"/>
      <c r="E2" s="234" t="s">
        <v>60</v>
      </c>
      <c r="F2" s="234" t="s">
        <v>61</v>
      </c>
      <c r="G2" s="265" t="s">
        <v>62</v>
      </c>
    </row>
    <row r="3" spans="1:7" s="81" customFormat="1" x14ac:dyDescent="0.25">
      <c r="A3" s="184" t="s">
        <v>63</v>
      </c>
      <c r="B3" s="665" t="s">
        <v>64</v>
      </c>
      <c r="C3" s="666"/>
      <c r="D3" s="667"/>
      <c r="E3" s="80" t="s">
        <v>60</v>
      </c>
      <c r="F3" s="80" t="s">
        <v>61</v>
      </c>
      <c r="G3" s="266" t="s">
        <v>62</v>
      </c>
    </row>
    <row r="4" spans="1:7" x14ac:dyDescent="0.25">
      <c r="A4" s="184" t="s">
        <v>65</v>
      </c>
      <c r="B4" s="662" t="s">
        <v>66</v>
      </c>
      <c r="C4" s="663"/>
      <c r="D4" s="664"/>
      <c r="E4" s="80" t="s">
        <v>67</v>
      </c>
      <c r="F4" s="80" t="s">
        <v>61</v>
      </c>
      <c r="G4" s="266" t="s">
        <v>62</v>
      </c>
    </row>
    <row r="5" spans="1:7" x14ac:dyDescent="0.25">
      <c r="A5" s="117" t="s">
        <v>68</v>
      </c>
      <c r="B5" s="662" t="s">
        <v>69</v>
      </c>
      <c r="C5" s="663"/>
      <c r="D5" s="664"/>
      <c r="E5" s="80" t="s">
        <v>67</v>
      </c>
      <c r="F5" s="80" t="s">
        <v>61</v>
      </c>
      <c r="G5" s="266" t="s">
        <v>62</v>
      </c>
    </row>
    <row r="6" spans="1:7" x14ac:dyDescent="0.25">
      <c r="A6" s="117" t="s">
        <v>70</v>
      </c>
      <c r="B6" s="662" t="s">
        <v>71</v>
      </c>
      <c r="C6" s="663"/>
      <c r="D6" s="664"/>
      <c r="E6" s="80" t="s">
        <v>72</v>
      </c>
      <c r="F6" s="80" t="s">
        <v>61</v>
      </c>
      <c r="G6" s="85"/>
    </row>
    <row r="7" spans="1:7" ht="15.75" thickBot="1" x14ac:dyDescent="0.3">
      <c r="A7" s="118" t="s">
        <v>73</v>
      </c>
      <c r="B7" s="660" t="s">
        <v>74</v>
      </c>
      <c r="C7" s="661"/>
      <c r="D7" s="661"/>
      <c r="E7" s="86" t="s">
        <v>72</v>
      </c>
      <c r="F7" s="86"/>
      <c r="G7" s="87"/>
    </row>
    <row r="8" spans="1:7" s="84" customFormat="1" ht="15.75" thickBot="1" x14ac:dyDescent="0.3">
      <c r="A8" s="115" t="s">
        <v>53</v>
      </c>
      <c r="B8" s="336" t="s">
        <v>1</v>
      </c>
      <c r="C8" s="156" t="s">
        <v>75</v>
      </c>
      <c r="D8" s="156" t="s">
        <v>54</v>
      </c>
      <c r="E8" s="156" t="s">
        <v>55</v>
      </c>
      <c r="F8" s="156" t="s">
        <v>56</v>
      </c>
      <c r="G8" s="110" t="s">
        <v>57</v>
      </c>
    </row>
    <row r="9" spans="1:7" ht="105" x14ac:dyDescent="0.25">
      <c r="A9" s="633" t="s">
        <v>58</v>
      </c>
      <c r="B9" s="630" t="s">
        <v>76</v>
      </c>
      <c r="C9" s="272" t="s">
        <v>77</v>
      </c>
      <c r="D9" s="94" t="s">
        <v>78</v>
      </c>
      <c r="E9" s="94" t="s">
        <v>60</v>
      </c>
      <c r="F9" s="94" t="s">
        <v>79</v>
      </c>
      <c r="G9" s="337" t="s">
        <v>80</v>
      </c>
    </row>
    <row r="10" spans="1:7" ht="75" x14ac:dyDescent="0.25">
      <c r="A10" s="634"/>
      <c r="B10" s="631"/>
      <c r="C10" s="268" t="s">
        <v>81</v>
      </c>
      <c r="D10" s="82" t="s">
        <v>82</v>
      </c>
      <c r="E10" s="82" t="s">
        <v>60</v>
      </c>
      <c r="F10" s="82" t="s">
        <v>79</v>
      </c>
      <c r="G10" s="261" t="s">
        <v>83</v>
      </c>
    </row>
    <row r="11" spans="1:7" ht="45" x14ac:dyDescent="0.25">
      <c r="A11" s="634"/>
      <c r="B11" s="631"/>
      <c r="C11" s="268" t="s">
        <v>84</v>
      </c>
      <c r="D11" s="82" t="s">
        <v>85</v>
      </c>
      <c r="E11" s="82" t="s">
        <v>86</v>
      </c>
      <c r="F11" s="82" t="s">
        <v>79</v>
      </c>
      <c r="G11" s="95" t="s">
        <v>87</v>
      </c>
    </row>
    <row r="12" spans="1:7" ht="120" x14ac:dyDescent="0.25">
      <c r="A12" s="634"/>
      <c r="B12" s="631"/>
      <c r="C12" s="268" t="s">
        <v>88</v>
      </c>
      <c r="D12" s="279" t="s">
        <v>89</v>
      </c>
      <c r="E12" s="82" t="s">
        <v>86</v>
      </c>
      <c r="F12" s="82" t="s">
        <v>79</v>
      </c>
      <c r="G12" s="261" t="s">
        <v>90</v>
      </c>
    </row>
    <row r="13" spans="1:7" ht="30" x14ac:dyDescent="0.25">
      <c r="A13" s="634"/>
      <c r="B13" s="631"/>
      <c r="C13" s="268" t="s">
        <v>91</v>
      </c>
      <c r="D13" s="82" t="s">
        <v>92</v>
      </c>
      <c r="E13" s="82" t="s">
        <v>86</v>
      </c>
      <c r="F13" s="82" t="s">
        <v>79</v>
      </c>
      <c r="G13" s="95" t="s">
        <v>93</v>
      </c>
    </row>
    <row r="14" spans="1:7" ht="30" x14ac:dyDescent="0.25">
      <c r="A14" s="634"/>
      <c r="B14" s="631"/>
      <c r="C14" s="268" t="s">
        <v>94</v>
      </c>
      <c r="D14" s="82" t="s">
        <v>95</v>
      </c>
      <c r="E14" s="82" t="s">
        <v>86</v>
      </c>
      <c r="F14" s="82" t="s">
        <v>79</v>
      </c>
      <c r="G14" s="95" t="s">
        <v>93</v>
      </c>
    </row>
    <row r="15" spans="1:7" ht="30" x14ac:dyDescent="0.25">
      <c r="A15" s="634"/>
      <c r="B15" s="631"/>
      <c r="C15" s="121" t="s">
        <v>96</v>
      </c>
      <c r="D15" s="82" t="s">
        <v>97</v>
      </c>
      <c r="E15" s="82" t="s">
        <v>60</v>
      </c>
      <c r="F15" s="82" t="s">
        <v>79</v>
      </c>
      <c r="G15" s="95" t="s">
        <v>98</v>
      </c>
    </row>
    <row r="16" spans="1:7" ht="60" x14ac:dyDescent="0.25">
      <c r="A16" s="634"/>
      <c r="B16" s="631"/>
      <c r="C16" s="268" t="s">
        <v>99</v>
      </c>
      <c r="D16" s="279" t="s">
        <v>100</v>
      </c>
      <c r="E16" s="82" t="s">
        <v>86</v>
      </c>
      <c r="F16" s="82" t="s">
        <v>79</v>
      </c>
      <c r="G16" s="261" t="s">
        <v>101</v>
      </c>
    </row>
    <row r="17" spans="1:7" ht="30" x14ac:dyDescent="0.25">
      <c r="A17" s="634"/>
      <c r="B17" s="631"/>
      <c r="C17" s="268" t="s">
        <v>102</v>
      </c>
      <c r="D17" s="82" t="s">
        <v>103</v>
      </c>
      <c r="E17" s="82" t="s">
        <v>86</v>
      </c>
      <c r="F17" s="82" t="s">
        <v>79</v>
      </c>
      <c r="G17" s="95" t="s">
        <v>104</v>
      </c>
    </row>
    <row r="18" spans="1:7" ht="45" x14ac:dyDescent="0.25">
      <c r="A18" s="634"/>
      <c r="B18" s="631"/>
      <c r="C18" s="268" t="s">
        <v>105</v>
      </c>
      <c r="D18" s="82" t="s">
        <v>106</v>
      </c>
      <c r="E18" s="82" t="s">
        <v>86</v>
      </c>
      <c r="F18" s="82" t="s">
        <v>79</v>
      </c>
      <c r="G18" s="95" t="s">
        <v>107</v>
      </c>
    </row>
    <row r="19" spans="1:7" x14ac:dyDescent="0.25">
      <c r="A19" s="634"/>
      <c r="B19" s="631"/>
      <c r="C19" s="268" t="s">
        <v>108</v>
      </c>
      <c r="D19" s="82" t="s">
        <v>109</v>
      </c>
      <c r="E19" s="82" t="s">
        <v>86</v>
      </c>
      <c r="F19" s="82" t="s">
        <v>79</v>
      </c>
      <c r="G19" s="95" t="s">
        <v>110</v>
      </c>
    </row>
    <row r="20" spans="1:7" ht="105.75" thickBot="1" x14ac:dyDescent="0.3">
      <c r="A20" s="634"/>
      <c r="B20" s="632"/>
      <c r="C20" s="338" t="s">
        <v>1</v>
      </c>
      <c r="D20" s="557" t="s">
        <v>111</v>
      </c>
      <c r="E20" s="339" t="s">
        <v>86</v>
      </c>
      <c r="F20" s="339" t="s">
        <v>79</v>
      </c>
      <c r="G20" s="340" t="s">
        <v>112</v>
      </c>
    </row>
    <row r="21" spans="1:7" ht="45" x14ac:dyDescent="0.25">
      <c r="A21" s="634"/>
      <c r="B21" s="647" t="s">
        <v>113</v>
      </c>
      <c r="C21" s="269" t="s">
        <v>114</v>
      </c>
      <c r="D21" s="105" t="s">
        <v>115</v>
      </c>
      <c r="E21" s="105" t="s">
        <v>86</v>
      </c>
      <c r="F21" s="105" t="s">
        <v>116</v>
      </c>
      <c r="G21" s="157" t="s">
        <v>117</v>
      </c>
    </row>
    <row r="22" spans="1:7" ht="30" x14ac:dyDescent="0.25">
      <c r="A22" s="634"/>
      <c r="B22" s="648"/>
      <c r="C22" s="270" t="s">
        <v>118</v>
      </c>
      <c r="D22" s="344" t="s">
        <v>119</v>
      </c>
      <c r="E22" s="344" t="s">
        <v>86</v>
      </c>
      <c r="F22" s="344" t="s">
        <v>116</v>
      </c>
      <c r="G22" s="345" t="s">
        <v>120</v>
      </c>
    </row>
    <row r="23" spans="1:7" ht="15.75" thickBot="1" x14ac:dyDescent="0.3">
      <c r="A23" s="634"/>
      <c r="B23" s="649"/>
      <c r="C23" s="346" t="s">
        <v>121</v>
      </c>
      <c r="D23" s="107" t="s">
        <v>122</v>
      </c>
      <c r="E23" s="107" t="s">
        <v>86</v>
      </c>
      <c r="F23" s="107" t="s">
        <v>116</v>
      </c>
      <c r="G23" s="108" t="s">
        <v>123</v>
      </c>
    </row>
    <row r="24" spans="1:7" ht="30" customHeight="1" x14ac:dyDescent="0.25">
      <c r="A24" s="634"/>
      <c r="B24" s="650" t="s">
        <v>124</v>
      </c>
      <c r="C24" s="341" t="s">
        <v>125</v>
      </c>
      <c r="D24" s="342" t="s">
        <v>126</v>
      </c>
      <c r="E24" s="342" t="s">
        <v>86</v>
      </c>
      <c r="F24" s="342" t="s">
        <v>79</v>
      </c>
      <c r="G24" s="343" t="s">
        <v>127</v>
      </c>
    </row>
    <row r="25" spans="1:7" ht="30" customHeight="1" x14ac:dyDescent="0.25">
      <c r="A25" s="634"/>
      <c r="B25" s="651"/>
      <c r="C25" s="270" t="s">
        <v>128</v>
      </c>
      <c r="D25" s="109" t="s">
        <v>129</v>
      </c>
      <c r="E25" s="109" t="s">
        <v>86</v>
      </c>
      <c r="F25" s="109" t="s">
        <v>130</v>
      </c>
      <c r="G25" s="668" t="s">
        <v>131</v>
      </c>
    </row>
    <row r="26" spans="1:7" ht="30" x14ac:dyDescent="0.25">
      <c r="A26" s="634"/>
      <c r="B26" s="651"/>
      <c r="C26" s="215" t="s">
        <v>132</v>
      </c>
      <c r="D26" s="109" t="s">
        <v>133</v>
      </c>
      <c r="E26" s="109" t="s">
        <v>86</v>
      </c>
      <c r="F26" s="109" t="s">
        <v>130</v>
      </c>
      <c r="G26" s="669"/>
    </row>
    <row r="27" spans="1:7" x14ac:dyDescent="0.25">
      <c r="A27" s="634"/>
      <c r="B27" s="651"/>
      <c r="C27" s="270" t="s">
        <v>30</v>
      </c>
      <c r="D27" s="109" t="s">
        <v>134</v>
      </c>
      <c r="E27" s="109" t="s">
        <v>86</v>
      </c>
      <c r="F27" s="109" t="s">
        <v>130</v>
      </c>
      <c r="G27" s="669"/>
    </row>
    <row r="28" spans="1:7" x14ac:dyDescent="0.25">
      <c r="A28" s="634"/>
      <c r="B28" s="651"/>
      <c r="C28" s="270" t="s">
        <v>135</v>
      </c>
      <c r="D28" s="109" t="s">
        <v>136</v>
      </c>
      <c r="E28" s="109" t="s">
        <v>86</v>
      </c>
      <c r="F28" s="109" t="s">
        <v>130</v>
      </c>
      <c r="G28" s="669"/>
    </row>
    <row r="29" spans="1:7" x14ac:dyDescent="0.25">
      <c r="A29" s="634"/>
      <c r="B29" s="651"/>
      <c r="C29" s="270" t="s">
        <v>35</v>
      </c>
      <c r="D29" s="109" t="s">
        <v>137</v>
      </c>
      <c r="E29" s="109" t="s">
        <v>86</v>
      </c>
      <c r="F29" s="109" t="s">
        <v>130</v>
      </c>
      <c r="G29" s="669"/>
    </row>
    <row r="30" spans="1:7" x14ac:dyDescent="0.25">
      <c r="A30" s="634"/>
      <c r="B30" s="651"/>
      <c r="C30" s="270" t="s">
        <v>138</v>
      </c>
      <c r="D30" s="109" t="s">
        <v>139</v>
      </c>
      <c r="E30" s="109" t="s">
        <v>86</v>
      </c>
      <c r="F30" s="109" t="s">
        <v>130</v>
      </c>
      <c r="G30" s="669"/>
    </row>
    <row r="31" spans="1:7" x14ac:dyDescent="0.25">
      <c r="A31" s="634"/>
      <c r="B31" s="651"/>
      <c r="C31" s="215" t="s">
        <v>140</v>
      </c>
      <c r="D31" s="109" t="s">
        <v>141</v>
      </c>
      <c r="E31" s="109" t="s">
        <v>86</v>
      </c>
      <c r="F31" s="109" t="s">
        <v>130</v>
      </c>
      <c r="G31" s="669"/>
    </row>
    <row r="32" spans="1:7" ht="30.75" thickBot="1" x14ac:dyDescent="0.3">
      <c r="A32" s="634"/>
      <c r="B32" s="652"/>
      <c r="C32" s="271" t="s">
        <v>142</v>
      </c>
      <c r="D32" s="104" t="s">
        <v>143</v>
      </c>
      <c r="E32" s="104" t="s">
        <v>86</v>
      </c>
      <c r="F32" s="104" t="s">
        <v>130</v>
      </c>
      <c r="G32" s="670"/>
    </row>
    <row r="33" spans="1:7" ht="30" x14ac:dyDescent="0.25">
      <c r="A33" s="634"/>
      <c r="B33" s="653" t="s">
        <v>144</v>
      </c>
      <c r="C33" s="250" t="s">
        <v>132</v>
      </c>
      <c r="D33" s="213" t="s">
        <v>145</v>
      </c>
      <c r="E33" s="213" t="s">
        <v>86</v>
      </c>
      <c r="F33" s="213" t="s">
        <v>146</v>
      </c>
      <c r="G33" s="214" t="s">
        <v>147</v>
      </c>
    </row>
    <row r="34" spans="1:7" x14ac:dyDescent="0.25">
      <c r="A34" s="634"/>
      <c r="B34" s="654"/>
      <c r="C34" s="268" t="s">
        <v>30</v>
      </c>
      <c r="D34" s="83" t="s">
        <v>148</v>
      </c>
      <c r="E34" s="83" t="s">
        <v>86</v>
      </c>
      <c r="F34" s="83" t="s">
        <v>146</v>
      </c>
      <c r="G34" s="99"/>
    </row>
    <row r="35" spans="1:7" x14ac:dyDescent="0.25">
      <c r="A35" s="634"/>
      <c r="B35" s="654"/>
      <c r="C35" s="268" t="s">
        <v>135</v>
      </c>
      <c r="D35" s="83" t="s">
        <v>149</v>
      </c>
      <c r="E35" s="83" t="s">
        <v>86</v>
      </c>
      <c r="F35" s="83" t="s">
        <v>146</v>
      </c>
      <c r="G35" s="99" t="s">
        <v>150</v>
      </c>
    </row>
    <row r="36" spans="1:7" x14ac:dyDescent="0.25">
      <c r="A36" s="634"/>
      <c r="B36" s="654"/>
      <c r="C36" s="268" t="s">
        <v>35</v>
      </c>
      <c r="D36" s="83" t="s">
        <v>151</v>
      </c>
      <c r="E36" s="83" t="s">
        <v>86</v>
      </c>
      <c r="F36" s="83" t="s">
        <v>146</v>
      </c>
      <c r="G36" s="113"/>
    </row>
    <row r="37" spans="1:7" x14ac:dyDescent="0.25">
      <c r="A37" s="634"/>
      <c r="B37" s="654"/>
      <c r="C37" s="268" t="s">
        <v>138</v>
      </c>
      <c r="D37" s="83" t="s">
        <v>152</v>
      </c>
      <c r="E37" s="83" t="s">
        <v>86</v>
      </c>
      <c r="F37" s="83" t="s">
        <v>146</v>
      </c>
      <c r="G37" s="99" t="s">
        <v>153</v>
      </c>
    </row>
    <row r="38" spans="1:7" x14ac:dyDescent="0.25">
      <c r="A38" s="634"/>
      <c r="B38" s="654"/>
      <c r="C38" s="216" t="s">
        <v>140</v>
      </c>
      <c r="D38" s="83" t="s">
        <v>154</v>
      </c>
      <c r="E38" s="83" t="s">
        <v>86</v>
      </c>
      <c r="F38" s="83" t="s">
        <v>146</v>
      </c>
      <c r="G38" s="99"/>
    </row>
    <row r="39" spans="1:7" ht="30" x14ac:dyDescent="0.25">
      <c r="A39" s="634"/>
      <c r="B39" s="654"/>
      <c r="C39" s="270" t="s">
        <v>155</v>
      </c>
      <c r="D39" s="83" t="s">
        <v>156</v>
      </c>
      <c r="E39" s="83" t="s">
        <v>86</v>
      </c>
      <c r="F39" s="83" t="s">
        <v>146</v>
      </c>
      <c r="G39" s="99"/>
    </row>
    <row r="40" spans="1:7" ht="30" x14ac:dyDescent="0.25">
      <c r="A40" s="634"/>
      <c r="B40" s="654"/>
      <c r="C40" s="216" t="s">
        <v>157</v>
      </c>
      <c r="D40" s="83" t="s">
        <v>158</v>
      </c>
      <c r="E40" s="83" t="s">
        <v>60</v>
      </c>
      <c r="F40" s="83" t="s">
        <v>146</v>
      </c>
      <c r="G40" s="99" t="s">
        <v>159</v>
      </c>
    </row>
    <row r="41" spans="1:7" ht="45.75" thickBot="1" x14ac:dyDescent="0.3">
      <c r="A41" s="634"/>
      <c r="B41" s="655"/>
      <c r="C41" s="267" t="s">
        <v>160</v>
      </c>
      <c r="D41" s="100" t="s">
        <v>161</v>
      </c>
      <c r="E41" s="100" t="s">
        <v>86</v>
      </c>
      <c r="F41" s="100" t="s">
        <v>146</v>
      </c>
      <c r="G41" s="101" t="s">
        <v>162</v>
      </c>
    </row>
    <row r="42" spans="1:7" ht="135.75" thickBot="1" x14ac:dyDescent="0.3">
      <c r="A42" s="633" t="s">
        <v>63</v>
      </c>
      <c r="B42" s="347" t="s">
        <v>163</v>
      </c>
      <c r="C42" s="272" t="s">
        <v>88</v>
      </c>
      <c r="D42" s="348" t="s">
        <v>164</v>
      </c>
      <c r="E42" s="348" t="s">
        <v>86</v>
      </c>
      <c r="F42" s="348" t="s">
        <v>79</v>
      </c>
      <c r="G42" s="349" t="s">
        <v>165</v>
      </c>
    </row>
    <row r="43" spans="1:7" ht="15" customHeight="1" x14ac:dyDescent="0.25">
      <c r="A43" s="634"/>
      <c r="B43" s="638" t="s">
        <v>166</v>
      </c>
      <c r="C43" s="247" t="s">
        <v>167</v>
      </c>
      <c r="D43" s="235" t="s">
        <v>168</v>
      </c>
      <c r="E43" s="235" t="s">
        <v>67</v>
      </c>
      <c r="F43" s="235" t="s">
        <v>79</v>
      </c>
      <c r="G43" s="218" t="s">
        <v>169</v>
      </c>
    </row>
    <row r="44" spans="1:7" ht="30" x14ac:dyDescent="0.25">
      <c r="A44" s="634"/>
      <c r="B44" s="639"/>
      <c r="C44" s="248" t="s">
        <v>128</v>
      </c>
      <c r="D44" s="236" t="s">
        <v>170</v>
      </c>
      <c r="E44" s="236" t="s">
        <v>67</v>
      </c>
      <c r="F44" s="236" t="s">
        <v>79</v>
      </c>
      <c r="G44" s="219" t="s">
        <v>169</v>
      </c>
    </row>
    <row r="45" spans="1:7" ht="30" x14ac:dyDescent="0.25">
      <c r="A45" s="634"/>
      <c r="B45" s="639"/>
      <c r="C45" s="248" t="s">
        <v>105</v>
      </c>
      <c r="D45" s="236" t="s">
        <v>171</v>
      </c>
      <c r="E45" s="236" t="s">
        <v>67</v>
      </c>
      <c r="F45" s="236" t="s">
        <v>79</v>
      </c>
      <c r="G45" s="219" t="s">
        <v>172</v>
      </c>
    </row>
    <row r="46" spans="1:7" x14ac:dyDescent="0.25">
      <c r="A46" s="634"/>
      <c r="B46" s="639"/>
      <c r="C46" s="248" t="s">
        <v>173</v>
      </c>
      <c r="D46" s="236" t="s">
        <v>174</v>
      </c>
      <c r="E46" s="236" t="s">
        <v>67</v>
      </c>
      <c r="F46" s="236" t="s">
        <v>79</v>
      </c>
      <c r="G46" s="219" t="s">
        <v>169</v>
      </c>
    </row>
    <row r="47" spans="1:7" ht="15.75" thickBot="1" x14ac:dyDescent="0.3">
      <c r="A47" s="634"/>
      <c r="B47" s="640"/>
      <c r="C47" s="249" t="s">
        <v>175</v>
      </c>
      <c r="D47" s="237" t="s">
        <v>176</v>
      </c>
      <c r="E47" s="236" t="s">
        <v>67</v>
      </c>
      <c r="F47" s="237" t="s">
        <v>79</v>
      </c>
      <c r="G47" s="220" t="s">
        <v>169</v>
      </c>
    </row>
    <row r="48" spans="1:7" ht="30" x14ac:dyDescent="0.25">
      <c r="A48" s="634"/>
      <c r="B48" s="641" t="s">
        <v>177</v>
      </c>
      <c r="C48" s="244" t="s">
        <v>132</v>
      </c>
      <c r="D48" s="238" t="s">
        <v>178</v>
      </c>
      <c r="E48" s="238" t="s">
        <v>67</v>
      </c>
      <c r="F48" s="238" t="s">
        <v>130</v>
      </c>
      <c r="G48" s="671" t="s">
        <v>179</v>
      </c>
    </row>
    <row r="49" spans="1:7" ht="30" x14ac:dyDescent="0.25">
      <c r="A49" s="634"/>
      <c r="B49" s="641"/>
      <c r="C49" s="245" t="s">
        <v>30</v>
      </c>
      <c r="D49" s="221" t="s">
        <v>180</v>
      </c>
      <c r="E49" s="221" t="s">
        <v>67</v>
      </c>
      <c r="F49" s="221" t="s">
        <v>130</v>
      </c>
      <c r="G49" s="672"/>
    </row>
    <row r="50" spans="1:7" ht="30" x14ac:dyDescent="0.25">
      <c r="A50" s="634"/>
      <c r="B50" s="641"/>
      <c r="C50" s="245" t="s">
        <v>135</v>
      </c>
      <c r="D50" s="221" t="s">
        <v>181</v>
      </c>
      <c r="E50" s="221" t="s">
        <v>67</v>
      </c>
      <c r="F50" s="221" t="s">
        <v>130</v>
      </c>
      <c r="G50" s="672"/>
    </row>
    <row r="51" spans="1:7" ht="30" x14ac:dyDescent="0.25">
      <c r="A51" s="634"/>
      <c r="B51" s="641"/>
      <c r="C51" s="245" t="s">
        <v>35</v>
      </c>
      <c r="D51" s="221" t="s">
        <v>182</v>
      </c>
      <c r="E51" s="221" t="s">
        <v>67</v>
      </c>
      <c r="F51" s="221" t="s">
        <v>130</v>
      </c>
      <c r="G51" s="672"/>
    </row>
    <row r="52" spans="1:7" ht="30" x14ac:dyDescent="0.25">
      <c r="A52" s="634"/>
      <c r="B52" s="641"/>
      <c r="C52" s="245" t="s">
        <v>138</v>
      </c>
      <c r="D52" s="221" t="s">
        <v>183</v>
      </c>
      <c r="E52" s="221" t="s">
        <v>67</v>
      </c>
      <c r="F52" s="221" t="s">
        <v>130</v>
      </c>
      <c r="G52" s="672"/>
    </row>
    <row r="53" spans="1:7" ht="30" x14ac:dyDescent="0.25">
      <c r="A53" s="634"/>
      <c r="B53" s="641"/>
      <c r="C53" s="245" t="s">
        <v>184</v>
      </c>
      <c r="D53" s="221" t="s">
        <v>185</v>
      </c>
      <c r="E53" s="221" t="s">
        <v>67</v>
      </c>
      <c r="F53" s="221" t="s">
        <v>130</v>
      </c>
      <c r="G53" s="672"/>
    </row>
    <row r="54" spans="1:7" x14ac:dyDescent="0.25">
      <c r="A54" s="634"/>
      <c r="B54" s="641"/>
      <c r="C54" s="245" t="s">
        <v>140</v>
      </c>
      <c r="D54" s="221" t="s">
        <v>186</v>
      </c>
      <c r="E54" s="221" t="s">
        <v>67</v>
      </c>
      <c r="F54" s="221" t="s">
        <v>130</v>
      </c>
      <c r="G54" s="672"/>
    </row>
    <row r="55" spans="1:7" ht="30.75" thickBot="1" x14ac:dyDescent="0.3">
      <c r="A55" s="634"/>
      <c r="B55" s="642"/>
      <c r="C55" s="246" t="s">
        <v>187</v>
      </c>
      <c r="D55" s="239" t="s">
        <v>188</v>
      </c>
      <c r="E55" s="239" t="s">
        <v>67</v>
      </c>
      <c r="F55" s="239" t="s">
        <v>130</v>
      </c>
      <c r="G55" s="673"/>
    </row>
    <row r="56" spans="1:7" ht="30" x14ac:dyDescent="0.25">
      <c r="A56" s="634"/>
      <c r="B56" s="643" t="s">
        <v>144</v>
      </c>
      <c r="C56" s="333" t="s">
        <v>132</v>
      </c>
      <c r="D56" s="334" t="s">
        <v>189</v>
      </c>
      <c r="E56" s="334" t="s">
        <v>67</v>
      </c>
      <c r="F56" s="334" t="s">
        <v>146</v>
      </c>
      <c r="G56" s="335" t="s">
        <v>169</v>
      </c>
    </row>
    <row r="57" spans="1:7" ht="30" x14ac:dyDescent="0.25">
      <c r="A57" s="634"/>
      <c r="B57" s="644"/>
      <c r="C57" s="242" t="s">
        <v>30</v>
      </c>
      <c r="D57" s="240" t="s">
        <v>190</v>
      </c>
      <c r="E57" s="240" t="s">
        <v>67</v>
      </c>
      <c r="F57" s="240" t="s">
        <v>146</v>
      </c>
      <c r="G57" s="217" t="s">
        <v>169</v>
      </c>
    </row>
    <row r="58" spans="1:7" ht="30" x14ac:dyDescent="0.25">
      <c r="A58" s="634"/>
      <c r="B58" s="644"/>
      <c r="C58" s="242" t="s">
        <v>135</v>
      </c>
      <c r="D58" s="240" t="s">
        <v>191</v>
      </c>
      <c r="E58" s="240" t="s">
        <v>67</v>
      </c>
      <c r="F58" s="240" t="s">
        <v>146</v>
      </c>
      <c r="G58" s="217" t="s">
        <v>169</v>
      </c>
    </row>
    <row r="59" spans="1:7" x14ac:dyDescent="0.25">
      <c r="A59" s="634"/>
      <c r="B59" s="644"/>
      <c r="C59" s="242" t="s">
        <v>35</v>
      </c>
      <c r="D59" s="240" t="s">
        <v>192</v>
      </c>
      <c r="E59" s="240" t="s">
        <v>67</v>
      </c>
      <c r="F59" s="240" t="s">
        <v>146</v>
      </c>
      <c r="G59" s="217" t="s">
        <v>169</v>
      </c>
    </row>
    <row r="60" spans="1:7" ht="30" x14ac:dyDescent="0.25">
      <c r="A60" s="634"/>
      <c r="B60" s="644"/>
      <c r="C60" s="242" t="s">
        <v>138</v>
      </c>
      <c r="D60" s="240" t="s">
        <v>193</v>
      </c>
      <c r="E60" s="240" t="s">
        <v>67</v>
      </c>
      <c r="F60" s="240" t="s">
        <v>146</v>
      </c>
      <c r="G60" s="217" t="s">
        <v>169</v>
      </c>
    </row>
    <row r="61" spans="1:7" x14ac:dyDescent="0.25">
      <c r="A61" s="634"/>
      <c r="B61" s="644"/>
      <c r="C61" s="242" t="s">
        <v>184</v>
      </c>
      <c r="D61" s="240" t="s">
        <v>194</v>
      </c>
      <c r="E61" s="240" t="s">
        <v>67</v>
      </c>
      <c r="F61" s="240" t="s">
        <v>146</v>
      </c>
      <c r="G61" s="217" t="s">
        <v>169</v>
      </c>
    </row>
    <row r="62" spans="1:7" x14ac:dyDescent="0.25">
      <c r="A62" s="634"/>
      <c r="B62" s="644"/>
      <c r="C62" s="242" t="s">
        <v>140</v>
      </c>
      <c r="D62" s="240" t="s">
        <v>195</v>
      </c>
      <c r="E62" s="240" t="s">
        <v>67</v>
      </c>
      <c r="F62" s="240" t="s">
        <v>146</v>
      </c>
      <c r="G62" s="217" t="s">
        <v>169</v>
      </c>
    </row>
    <row r="63" spans="1:7" ht="15.75" thickBot="1" x14ac:dyDescent="0.3">
      <c r="A63" s="646"/>
      <c r="B63" s="645"/>
      <c r="C63" s="243" t="s">
        <v>187</v>
      </c>
      <c r="D63" s="241" t="s">
        <v>196</v>
      </c>
      <c r="E63" s="241" t="s">
        <v>67</v>
      </c>
      <c r="F63" s="241" t="s">
        <v>146</v>
      </c>
      <c r="G63" s="222" t="s">
        <v>169</v>
      </c>
    </row>
    <row r="64" spans="1:7" ht="120" x14ac:dyDescent="0.25">
      <c r="A64" s="634" t="s">
        <v>65</v>
      </c>
      <c r="B64" s="635" t="s">
        <v>197</v>
      </c>
      <c r="C64" s="269" t="s">
        <v>77</v>
      </c>
      <c r="D64" s="224" t="s">
        <v>198</v>
      </c>
      <c r="E64" s="224" t="s">
        <v>60</v>
      </c>
      <c r="F64" s="224" t="s">
        <v>79</v>
      </c>
      <c r="G64" s="350" t="s">
        <v>199</v>
      </c>
    </row>
    <row r="65" spans="1:7" ht="60" x14ac:dyDescent="0.25">
      <c r="A65" s="634"/>
      <c r="B65" s="636"/>
      <c r="C65" s="270" t="s">
        <v>81</v>
      </c>
      <c r="D65" s="225" t="s">
        <v>82</v>
      </c>
      <c r="E65" s="225" t="s">
        <v>60</v>
      </c>
      <c r="F65" s="225" t="s">
        <v>79</v>
      </c>
      <c r="G65" s="352" t="s">
        <v>200</v>
      </c>
    </row>
    <row r="66" spans="1:7" ht="30" x14ac:dyDescent="0.25">
      <c r="A66" s="634"/>
      <c r="B66" s="636"/>
      <c r="C66" s="270" t="s">
        <v>96</v>
      </c>
      <c r="D66" s="225" t="s">
        <v>97</v>
      </c>
      <c r="E66" s="225" t="s">
        <v>60</v>
      </c>
      <c r="F66" s="225" t="s">
        <v>79</v>
      </c>
      <c r="G66" s="226" t="s">
        <v>201</v>
      </c>
    </row>
    <row r="67" spans="1:7" ht="30" x14ac:dyDescent="0.25">
      <c r="A67" s="634"/>
      <c r="B67" s="636"/>
      <c r="C67" s="270" t="s">
        <v>202</v>
      </c>
      <c r="D67" s="225" t="s">
        <v>203</v>
      </c>
      <c r="E67" s="225" t="s">
        <v>60</v>
      </c>
      <c r="F67" s="225" t="s">
        <v>79</v>
      </c>
      <c r="G67" s="226" t="s">
        <v>204</v>
      </c>
    </row>
    <row r="68" spans="1:7" x14ac:dyDescent="0.25">
      <c r="A68" s="634"/>
      <c r="B68" s="636"/>
      <c r="C68" s="270" t="s">
        <v>1</v>
      </c>
      <c r="D68" s="225" t="s">
        <v>205</v>
      </c>
      <c r="E68" s="225" t="s">
        <v>60</v>
      </c>
      <c r="F68" s="225" t="s">
        <v>79</v>
      </c>
      <c r="G68" s="226" t="s">
        <v>206</v>
      </c>
    </row>
    <row r="69" spans="1:7" ht="15.75" thickBot="1" x14ac:dyDescent="0.3">
      <c r="A69" s="634"/>
      <c r="B69" s="637"/>
      <c r="C69" s="271" t="s">
        <v>207</v>
      </c>
      <c r="D69" s="227" t="s">
        <v>208</v>
      </c>
      <c r="E69" s="227" t="s">
        <v>60</v>
      </c>
      <c r="F69" s="227" t="s">
        <v>79</v>
      </c>
      <c r="G69" s="228"/>
    </row>
    <row r="70" spans="1:7" ht="150" x14ac:dyDescent="0.25">
      <c r="A70" s="633" t="s">
        <v>68</v>
      </c>
      <c r="B70" s="630" t="s">
        <v>76</v>
      </c>
      <c r="C70" s="275" t="s">
        <v>77</v>
      </c>
      <c r="D70" s="223" t="s">
        <v>209</v>
      </c>
      <c r="E70" s="223" t="s">
        <v>60</v>
      </c>
      <c r="F70" s="223" t="s">
        <v>79</v>
      </c>
      <c r="G70" s="351" t="s">
        <v>210</v>
      </c>
    </row>
    <row r="71" spans="1:7" x14ac:dyDescent="0.25">
      <c r="A71" s="634"/>
      <c r="B71" s="631"/>
      <c r="C71" s="121" t="s">
        <v>81</v>
      </c>
      <c r="D71" s="82" t="s">
        <v>82</v>
      </c>
      <c r="E71" s="82" t="s">
        <v>60</v>
      </c>
      <c r="F71" s="82" t="s">
        <v>79</v>
      </c>
      <c r="G71" s="95" t="s">
        <v>169</v>
      </c>
    </row>
    <row r="72" spans="1:7" ht="30" x14ac:dyDescent="0.25">
      <c r="A72" s="634"/>
      <c r="B72" s="631"/>
      <c r="C72" s="121" t="s">
        <v>96</v>
      </c>
      <c r="D72" s="82" t="s">
        <v>97</v>
      </c>
      <c r="E72" s="82" t="s">
        <v>60</v>
      </c>
      <c r="F72" s="82" t="s">
        <v>79</v>
      </c>
      <c r="G72" s="95" t="s">
        <v>211</v>
      </c>
    </row>
    <row r="73" spans="1:7" x14ac:dyDescent="0.25">
      <c r="A73" s="634"/>
      <c r="B73" s="631"/>
      <c r="C73" s="121" t="s">
        <v>212</v>
      </c>
      <c r="D73" s="82" t="s">
        <v>213</v>
      </c>
      <c r="E73" s="82" t="s">
        <v>86</v>
      </c>
      <c r="F73" s="82" t="s">
        <v>79</v>
      </c>
      <c r="G73" s="95" t="s">
        <v>169</v>
      </c>
    </row>
    <row r="74" spans="1:7" ht="60" customHeight="1" x14ac:dyDescent="0.25">
      <c r="A74" s="634"/>
      <c r="B74" s="631"/>
      <c r="C74" s="121" t="s">
        <v>88</v>
      </c>
      <c r="D74" s="82" t="s">
        <v>214</v>
      </c>
      <c r="E74" s="82" t="s">
        <v>86</v>
      </c>
      <c r="F74" s="82" t="s">
        <v>79</v>
      </c>
      <c r="G74" s="95" t="s">
        <v>169</v>
      </c>
    </row>
    <row r="75" spans="1:7" x14ac:dyDescent="0.25">
      <c r="A75" s="634"/>
      <c r="B75" s="631"/>
      <c r="C75" s="121" t="s">
        <v>1</v>
      </c>
      <c r="D75" s="82" t="s">
        <v>205</v>
      </c>
      <c r="E75" s="82" t="s">
        <v>86</v>
      </c>
      <c r="F75" s="82" t="s">
        <v>79</v>
      </c>
      <c r="G75" s="95" t="s">
        <v>169</v>
      </c>
    </row>
    <row r="76" spans="1:7" ht="90" x14ac:dyDescent="0.25">
      <c r="A76" s="634"/>
      <c r="B76" s="631"/>
      <c r="C76" s="121" t="s">
        <v>215</v>
      </c>
      <c r="D76" s="82" t="s">
        <v>216</v>
      </c>
      <c r="E76" s="82" t="s">
        <v>60</v>
      </c>
      <c r="F76" s="82" t="s">
        <v>79</v>
      </c>
      <c r="G76" s="261" t="s">
        <v>217</v>
      </c>
    </row>
    <row r="77" spans="1:7" ht="90" x14ac:dyDescent="0.25">
      <c r="A77" s="634"/>
      <c r="B77" s="631"/>
      <c r="C77" s="121" t="s">
        <v>218</v>
      </c>
      <c r="D77" s="82" t="s">
        <v>219</v>
      </c>
      <c r="E77" s="82" t="s">
        <v>60</v>
      </c>
      <c r="F77" s="82" t="s">
        <v>79</v>
      </c>
      <c r="G77" s="261" t="s">
        <v>220</v>
      </c>
    </row>
    <row r="78" spans="1:7" ht="30" x14ac:dyDescent="0.25">
      <c r="A78" s="634"/>
      <c r="B78" s="631"/>
      <c r="C78" s="121" t="s">
        <v>105</v>
      </c>
      <c r="D78" s="82" t="s">
        <v>171</v>
      </c>
      <c r="E78" s="82" t="s">
        <v>86</v>
      </c>
      <c r="F78" s="82" t="s">
        <v>79</v>
      </c>
      <c r="G78" s="95" t="s">
        <v>172</v>
      </c>
    </row>
    <row r="79" spans="1:7" ht="30.75" thickBot="1" x14ac:dyDescent="0.3">
      <c r="A79" s="634"/>
      <c r="B79" s="632"/>
      <c r="C79" s="122" t="s">
        <v>221</v>
      </c>
      <c r="D79" s="96" t="s">
        <v>222</v>
      </c>
      <c r="E79" s="96" t="s">
        <v>60</v>
      </c>
      <c r="F79" s="96" t="s">
        <v>79</v>
      </c>
      <c r="G79" s="97" t="s">
        <v>223</v>
      </c>
    </row>
    <row r="80" spans="1:7" ht="30" x14ac:dyDescent="0.25">
      <c r="A80" s="634"/>
      <c r="B80" s="674" t="s">
        <v>113</v>
      </c>
      <c r="C80" s="123" t="s">
        <v>114</v>
      </c>
      <c r="D80" s="105" t="s">
        <v>224</v>
      </c>
      <c r="E80" s="105" t="s">
        <v>60</v>
      </c>
      <c r="F80" s="105" t="s">
        <v>225</v>
      </c>
      <c r="G80" s="106" t="s">
        <v>223</v>
      </c>
    </row>
    <row r="81" spans="1:7" ht="30.75" thickBot="1" x14ac:dyDescent="0.3">
      <c r="A81" s="634"/>
      <c r="B81" s="675"/>
      <c r="C81" s="124" t="s">
        <v>121</v>
      </c>
      <c r="D81" s="107" t="s">
        <v>226</v>
      </c>
      <c r="E81" s="107" t="s">
        <v>60</v>
      </c>
      <c r="F81" s="107" t="s">
        <v>225</v>
      </c>
      <c r="G81" s="108" t="s">
        <v>223</v>
      </c>
    </row>
    <row r="82" spans="1:7" ht="30" x14ac:dyDescent="0.25">
      <c r="A82" s="634"/>
      <c r="B82" s="676" t="s">
        <v>124</v>
      </c>
      <c r="C82" s="125" t="s">
        <v>227</v>
      </c>
      <c r="D82" s="102" t="s">
        <v>228</v>
      </c>
      <c r="E82" s="102" t="s">
        <v>60</v>
      </c>
      <c r="F82" s="102" t="s">
        <v>79</v>
      </c>
      <c r="G82" s="103" t="s">
        <v>223</v>
      </c>
    </row>
    <row r="83" spans="1:7" ht="30" x14ac:dyDescent="0.25">
      <c r="A83" s="634"/>
      <c r="B83" s="677"/>
      <c r="C83" s="127" t="s">
        <v>229</v>
      </c>
      <c r="D83" s="109" t="s">
        <v>230</v>
      </c>
      <c r="E83" s="109" t="s">
        <v>60</v>
      </c>
      <c r="F83" s="109" t="s">
        <v>225</v>
      </c>
      <c r="G83" s="114" t="s">
        <v>223</v>
      </c>
    </row>
    <row r="84" spans="1:7" ht="30.75" thickBot="1" x14ac:dyDescent="0.3">
      <c r="A84" s="634"/>
      <c r="B84" s="678"/>
      <c r="C84" s="128" t="s">
        <v>187</v>
      </c>
      <c r="D84" s="119" t="s">
        <v>231</v>
      </c>
      <c r="E84" s="119" t="s">
        <v>60</v>
      </c>
      <c r="F84" s="119" t="s">
        <v>225</v>
      </c>
      <c r="G84" s="120" t="s">
        <v>223</v>
      </c>
    </row>
    <row r="85" spans="1:7" ht="30" x14ac:dyDescent="0.25">
      <c r="A85" s="634"/>
      <c r="B85" s="679" t="s">
        <v>144</v>
      </c>
      <c r="C85" s="126" t="s">
        <v>232</v>
      </c>
      <c r="D85" s="111" t="s">
        <v>233</v>
      </c>
      <c r="E85" s="111" t="s">
        <v>60</v>
      </c>
      <c r="F85" s="111" t="s">
        <v>225</v>
      </c>
      <c r="G85" s="112" t="s">
        <v>223</v>
      </c>
    </row>
    <row r="86" spans="1:7" ht="30" x14ac:dyDescent="0.25">
      <c r="A86" s="634"/>
      <c r="B86" s="680"/>
      <c r="C86" s="98" t="s">
        <v>229</v>
      </c>
      <c r="D86" s="83" t="s">
        <v>234</v>
      </c>
      <c r="E86" s="83" t="s">
        <v>60</v>
      </c>
      <c r="F86" s="83" t="s">
        <v>225</v>
      </c>
      <c r="G86" s="99" t="s">
        <v>223</v>
      </c>
    </row>
    <row r="87" spans="1:7" ht="30" x14ac:dyDescent="0.25">
      <c r="A87" s="634"/>
      <c r="B87" s="680"/>
      <c r="C87" s="98" t="s">
        <v>184</v>
      </c>
      <c r="D87" s="83" t="s">
        <v>235</v>
      </c>
      <c r="E87" s="83" t="s">
        <v>60</v>
      </c>
      <c r="F87" s="83" t="s">
        <v>225</v>
      </c>
      <c r="G87" s="99" t="s">
        <v>223</v>
      </c>
    </row>
    <row r="88" spans="1:7" ht="30" x14ac:dyDescent="0.25">
      <c r="A88" s="634"/>
      <c r="B88" s="680"/>
      <c r="C88" s="98" t="s">
        <v>140</v>
      </c>
      <c r="D88" s="83" t="s">
        <v>236</v>
      </c>
      <c r="E88" s="83" t="s">
        <v>60</v>
      </c>
      <c r="F88" s="83" t="s">
        <v>225</v>
      </c>
      <c r="G88" s="99" t="s">
        <v>223</v>
      </c>
    </row>
    <row r="89" spans="1:7" ht="45" customHeight="1" x14ac:dyDescent="0.25">
      <c r="A89" s="634"/>
      <c r="B89" s="680"/>
      <c r="C89" s="98" t="s">
        <v>187</v>
      </c>
      <c r="D89" s="83" t="s">
        <v>237</v>
      </c>
      <c r="E89" s="83" t="s">
        <v>60</v>
      </c>
      <c r="F89" s="83" t="s">
        <v>225</v>
      </c>
      <c r="G89" s="99" t="s">
        <v>223</v>
      </c>
    </row>
    <row r="90" spans="1:7" ht="30.75" thickBot="1" x14ac:dyDescent="0.3">
      <c r="A90" s="646"/>
      <c r="B90" s="681"/>
      <c r="C90" s="267"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7" t="s">
        <v>0</v>
      </c>
      <c r="B1" s="322" t="s">
        <v>240</v>
      </c>
      <c r="C1" s="318" t="s">
        <v>241</v>
      </c>
    </row>
    <row r="2" spans="1:3" x14ac:dyDescent="0.25">
      <c r="A2" s="319">
        <v>43807</v>
      </c>
      <c r="B2" s="323" t="s">
        <v>242</v>
      </c>
      <c r="C2" s="327" t="s">
        <v>11</v>
      </c>
    </row>
    <row r="3" spans="1:3" ht="30" x14ac:dyDescent="0.25">
      <c r="A3" s="320">
        <v>43937</v>
      </c>
      <c r="B3" s="324" t="s">
        <v>243</v>
      </c>
      <c r="C3" s="274" t="s">
        <v>11</v>
      </c>
    </row>
    <row r="4" spans="1:3" x14ac:dyDescent="0.25">
      <c r="A4" s="320">
        <v>43941</v>
      </c>
      <c r="B4" s="325" t="s">
        <v>244</v>
      </c>
      <c r="C4" s="274" t="s">
        <v>11</v>
      </c>
    </row>
    <row r="5" spans="1:3" x14ac:dyDescent="0.25">
      <c r="A5" s="320">
        <v>43942</v>
      </c>
      <c r="B5" s="325" t="s">
        <v>245</v>
      </c>
      <c r="C5" s="274" t="s">
        <v>11</v>
      </c>
    </row>
    <row r="6" spans="1:3" x14ac:dyDescent="0.25">
      <c r="A6" s="320">
        <v>43963</v>
      </c>
      <c r="B6" s="325" t="s">
        <v>246</v>
      </c>
      <c r="C6" s="274" t="s">
        <v>11</v>
      </c>
    </row>
    <row r="7" spans="1:3" x14ac:dyDescent="0.25">
      <c r="A7" s="320">
        <v>43990</v>
      </c>
      <c r="B7" s="325" t="s">
        <v>247</v>
      </c>
      <c r="C7" s="274" t="s">
        <v>11</v>
      </c>
    </row>
    <row r="8" spans="1:3" ht="30" x14ac:dyDescent="0.25">
      <c r="A8" s="320">
        <v>44104</v>
      </c>
      <c r="B8" s="324" t="s">
        <v>248</v>
      </c>
      <c r="C8" s="274" t="s">
        <v>249</v>
      </c>
    </row>
    <row r="9" spans="1:3" ht="150.75" thickBot="1" x14ac:dyDescent="0.3">
      <c r="A9" s="321">
        <v>44128</v>
      </c>
      <c r="B9" s="326" t="s">
        <v>250</v>
      </c>
      <c r="C9" s="328"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105"/>
  <sheetViews>
    <sheetView tabSelected="1" zoomScale="99" zoomScaleNormal="70" workbookViewId="0">
      <pane ySplit="5" topLeftCell="A1078" activePane="bottomLeft" state="frozen"/>
      <selection pane="bottomLeft" activeCell="E1095" sqref="E1095"/>
    </sheetView>
  </sheetViews>
  <sheetFormatPr defaultColWidth="9.28515625" defaultRowHeight="15" x14ac:dyDescent="0.25"/>
  <cols>
    <col min="1" max="1" width="25.140625" style="161" customWidth="1"/>
    <col min="2" max="2" width="45.28515625" style="159" customWidth="1"/>
    <col min="3" max="3" width="12.28515625" style="159" customWidth="1"/>
    <col min="4" max="4" width="13.140625" style="162" customWidth="1"/>
    <col min="5" max="5" width="21.140625" style="159" customWidth="1"/>
    <col min="6" max="6" width="56" style="159" customWidth="1"/>
    <col min="7" max="7" width="9.7109375" style="159" bestFit="1" customWidth="1"/>
    <col min="8" max="8" width="81.140625" style="162" customWidth="1"/>
    <col min="9" max="9" width="14.42578125" style="162" customWidth="1"/>
    <col min="10" max="10" width="35.85546875" style="161" customWidth="1"/>
    <col min="11" max="11" width="36.42578125" style="159" customWidth="1"/>
    <col min="12" max="12" width="23.2851562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689" t="s">
        <v>251</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c r="AG1" s="690"/>
      <c r="AH1" s="691"/>
    </row>
    <row r="2" spans="1:34" ht="22.15" customHeight="1" x14ac:dyDescent="0.25">
      <c r="A2" s="692" t="s">
        <v>252</v>
      </c>
      <c r="B2" s="693"/>
      <c r="C2" s="693"/>
      <c r="D2" s="693"/>
      <c r="E2" s="693"/>
      <c r="F2" s="693"/>
      <c r="G2" s="693"/>
      <c r="H2" s="693"/>
      <c r="I2" s="693"/>
      <c r="J2" s="694"/>
      <c r="K2" s="306">
        <f>SUM(K6:K1086)</f>
        <v>637</v>
      </c>
      <c r="L2" s="306">
        <f>SUM(L6:L1086)</f>
        <v>1160</v>
      </c>
      <c r="M2" s="307"/>
      <c r="N2" s="353">
        <f>SUMPRODUCT(K6:K1086,N6:N1086)/K1089</f>
        <v>1</v>
      </c>
      <c r="O2" s="354">
        <f>SUM(O6:O1086)</f>
        <v>663</v>
      </c>
      <c r="P2" s="355">
        <f>SUMPRODUCT(K6:K1086,P6:P1086)/K1089</f>
        <v>0.88147566718995285</v>
      </c>
      <c r="Q2" s="308"/>
      <c r="R2" s="309">
        <f t="shared" ref="R2:W2" si="0">SUM(R6:R1086)</f>
        <v>1157</v>
      </c>
      <c r="S2" s="356">
        <f t="shared" si="0"/>
        <v>1156</v>
      </c>
      <c r="T2" s="356">
        <f t="shared" si="0"/>
        <v>1075</v>
      </c>
      <c r="U2" s="356">
        <f t="shared" si="0"/>
        <v>81</v>
      </c>
      <c r="V2" s="356">
        <f t="shared" si="0"/>
        <v>0</v>
      </c>
      <c r="W2" s="356">
        <f t="shared" si="0"/>
        <v>0</v>
      </c>
      <c r="X2" s="357">
        <f>IF((S1089=0),0,((T1089+U1089)/S1089*100%))</f>
        <v>1</v>
      </c>
      <c r="Y2" s="310"/>
      <c r="Z2" s="358">
        <f>SUM(Z6:Z1086)</f>
        <v>0</v>
      </c>
      <c r="AA2" s="359">
        <f>SUM(AA6:AA1086)</f>
        <v>0</v>
      </c>
      <c r="AB2" s="359">
        <f>SUM(AB6:AB1086)</f>
        <v>0</v>
      </c>
      <c r="AC2" s="359">
        <f>SUM(AC6:AC1086)</f>
        <v>0</v>
      </c>
      <c r="AD2" s="359">
        <f>SUM(AD6:AD1086)</f>
        <v>0</v>
      </c>
      <c r="AE2" s="360">
        <f>IF((Z1089=0),0,((AA1089+AB1089)/Z1089*100%))</f>
        <v>0</v>
      </c>
      <c r="AF2" s="311"/>
      <c r="AG2" s="311"/>
      <c r="AH2" s="312"/>
    </row>
    <row r="3" spans="1:34" ht="33" customHeight="1" thickBot="1" x14ac:dyDescent="0.3">
      <c r="A3" s="689" t="s">
        <v>253</v>
      </c>
      <c r="B3" s="690"/>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0"/>
      <c r="AC3" s="690"/>
      <c r="AD3" s="690"/>
      <c r="AE3" s="690"/>
      <c r="AF3" s="690"/>
      <c r="AG3" s="690"/>
      <c r="AH3" s="691"/>
    </row>
    <row r="4" spans="1:34" ht="31.5" customHeight="1" thickBot="1" x14ac:dyDescent="0.3">
      <c r="A4" s="695" t="s">
        <v>76</v>
      </c>
      <c r="B4" s="696"/>
      <c r="C4" s="696"/>
      <c r="D4" s="696"/>
      <c r="E4" s="696"/>
      <c r="F4" s="696"/>
      <c r="G4" s="696"/>
      <c r="H4" s="696"/>
      <c r="I4" s="696"/>
      <c r="J4" s="696"/>
      <c r="K4" s="696"/>
      <c r="L4" s="696"/>
      <c r="M4" s="697"/>
      <c r="N4" s="698" t="s">
        <v>254</v>
      </c>
      <c r="O4" s="699"/>
      <c r="P4" s="700"/>
      <c r="Q4" s="704" t="s">
        <v>255</v>
      </c>
      <c r="R4" s="705"/>
      <c r="S4" s="705"/>
      <c r="T4" s="705"/>
      <c r="U4" s="705"/>
      <c r="V4" s="705"/>
      <c r="W4" s="705"/>
      <c r="X4" s="705"/>
      <c r="Y4" s="706"/>
      <c r="Z4" s="701" t="s">
        <v>256</v>
      </c>
      <c r="AA4" s="702"/>
      <c r="AB4" s="702"/>
      <c r="AC4" s="702"/>
      <c r="AD4" s="702"/>
      <c r="AE4" s="702"/>
      <c r="AF4" s="702"/>
      <c r="AG4" s="702"/>
      <c r="AH4" s="703"/>
    </row>
    <row r="5" spans="1:34" s="160" customFormat="1" ht="16.5" customHeight="1" thickBot="1" x14ac:dyDescent="0.3">
      <c r="A5" s="491" t="s">
        <v>77</v>
      </c>
      <c r="B5" s="437" t="s">
        <v>81</v>
      </c>
      <c r="C5" s="437" t="s">
        <v>84</v>
      </c>
      <c r="D5" s="492" t="s">
        <v>88</v>
      </c>
      <c r="E5" s="437" t="s">
        <v>91</v>
      </c>
      <c r="F5" s="437" t="s">
        <v>94</v>
      </c>
      <c r="G5" s="437" t="s">
        <v>96</v>
      </c>
      <c r="H5" s="437" t="s">
        <v>99</v>
      </c>
      <c r="I5" s="437" t="s">
        <v>257</v>
      </c>
      <c r="J5" s="493" t="s">
        <v>102</v>
      </c>
      <c r="K5" s="494" t="s">
        <v>105</v>
      </c>
      <c r="L5" s="494" t="s">
        <v>108</v>
      </c>
      <c r="M5" s="556" t="s">
        <v>1</v>
      </c>
      <c r="N5" s="438" t="s">
        <v>114</v>
      </c>
      <c r="O5" s="439" t="s">
        <v>118</v>
      </c>
      <c r="P5" s="440" t="s">
        <v>121</v>
      </c>
      <c r="Q5" s="500" t="s">
        <v>125</v>
      </c>
      <c r="R5" s="441" t="s">
        <v>128</v>
      </c>
      <c r="S5" s="441" t="s">
        <v>132</v>
      </c>
      <c r="T5" s="442" t="s">
        <v>30</v>
      </c>
      <c r="U5" s="442" t="s">
        <v>135</v>
      </c>
      <c r="V5" s="442" t="s">
        <v>35</v>
      </c>
      <c r="W5" s="442" t="s">
        <v>138</v>
      </c>
      <c r="X5" s="442" t="s">
        <v>140</v>
      </c>
      <c r="Y5" s="444" t="s">
        <v>142</v>
      </c>
      <c r="Z5" s="443" t="s">
        <v>132</v>
      </c>
      <c r="AA5" s="442" t="s">
        <v>30</v>
      </c>
      <c r="AB5" s="442" t="s">
        <v>135</v>
      </c>
      <c r="AC5" s="442" t="s">
        <v>35</v>
      </c>
      <c r="AD5" s="442" t="s">
        <v>138</v>
      </c>
      <c r="AE5" s="442" t="s">
        <v>140</v>
      </c>
      <c r="AF5" s="437" t="s">
        <v>155</v>
      </c>
      <c r="AG5" s="437" t="s">
        <v>157</v>
      </c>
      <c r="AH5" s="444" t="s">
        <v>160</v>
      </c>
    </row>
    <row r="6" spans="1:34" ht="60.75" thickBot="1" x14ac:dyDescent="0.3">
      <c r="A6" s="577" t="s">
        <v>258</v>
      </c>
      <c r="B6" s="488" t="s">
        <v>259</v>
      </c>
      <c r="C6" s="580" t="s">
        <v>260</v>
      </c>
      <c r="D6" s="451" t="s">
        <v>261</v>
      </c>
      <c r="E6" s="281"/>
      <c r="F6" s="452" t="s">
        <v>262</v>
      </c>
      <c r="G6" s="386" t="e">
        <f>VLOOKUP(A6,'Feature Summary'!$A$7:$C$3944,3,FALSE)</f>
        <v>#N/A</v>
      </c>
      <c r="H6" s="488" t="s">
        <v>263</v>
      </c>
      <c r="I6" s="488" t="s">
        <v>264</v>
      </c>
      <c r="J6" s="489" t="s">
        <v>265</v>
      </c>
      <c r="K6" s="282">
        <v>1</v>
      </c>
      <c r="L6" s="402">
        <v>1</v>
      </c>
      <c r="M6" s="398" t="s">
        <v>33</v>
      </c>
      <c r="N6" s="501">
        <v>1</v>
      </c>
      <c r="O6" s="402">
        <v>1</v>
      </c>
      <c r="P6" s="495">
        <f>IF((O6=0),0,(O6/L6))</f>
        <v>1</v>
      </c>
      <c r="Q6" s="445" t="s">
        <v>52</v>
      </c>
      <c r="R6" s="402">
        <v>1</v>
      </c>
      <c r="S6" s="362">
        <f>SUM(T6:W6)</f>
        <v>1</v>
      </c>
      <c r="T6" s="363">
        <v>1</v>
      </c>
      <c r="U6" s="363"/>
      <c r="V6" s="363"/>
      <c r="W6" s="363"/>
      <c r="X6" s="364">
        <f>IF((S6=0),0,((T6+U6)/S6*100%))</f>
        <v>1</v>
      </c>
      <c r="Y6" s="392"/>
      <c r="Z6" s="498">
        <f>SUM(AA6:AD6)</f>
        <v>0</v>
      </c>
      <c r="AA6" s="363"/>
      <c r="AB6" s="363"/>
      <c r="AC6" s="363"/>
      <c r="AD6" s="363"/>
      <c r="AE6" s="365">
        <f>IF((Z6=0),0,((AA6+AB6)/Z6*100%))</f>
        <v>0</v>
      </c>
      <c r="AF6" s="262"/>
      <c r="AG6" s="456"/>
      <c r="AH6" s="283"/>
    </row>
    <row r="7" spans="1:34" ht="60.75" thickBot="1" x14ac:dyDescent="0.3">
      <c r="A7" s="474" t="s">
        <v>258</v>
      </c>
      <c r="B7" s="463" t="s">
        <v>259</v>
      </c>
      <c r="C7" s="580" t="s">
        <v>260</v>
      </c>
      <c r="D7" s="449" t="s">
        <v>261</v>
      </c>
      <c r="E7" s="262"/>
      <c r="F7" s="447" t="s">
        <v>266</v>
      </c>
      <c r="G7" s="387" t="e">
        <f>VLOOKUP(A7,'Feature Summary'!$A$7:$C$3944,3,FALSE)</f>
        <v>#N/A</v>
      </c>
      <c r="H7" s="463" t="s">
        <v>267</v>
      </c>
      <c r="I7" s="488" t="s">
        <v>264</v>
      </c>
      <c r="J7" s="476" t="s">
        <v>265</v>
      </c>
      <c r="K7" s="263">
        <v>1</v>
      </c>
      <c r="L7" s="403">
        <v>1</v>
      </c>
      <c r="M7" s="399" t="s">
        <v>33</v>
      </c>
      <c r="N7" s="475">
        <v>1</v>
      </c>
      <c r="O7" s="403">
        <v>1</v>
      </c>
      <c r="P7" s="496">
        <f>IF((O7=0),0,(O7/L7))</f>
        <v>1</v>
      </c>
      <c r="Q7" s="445" t="s">
        <v>52</v>
      </c>
      <c r="R7" s="403">
        <v>1</v>
      </c>
      <c r="S7" s="362">
        <f>SUM(T7:W7)</f>
        <v>1</v>
      </c>
      <c r="T7" s="368">
        <v>1</v>
      </c>
      <c r="U7" s="368"/>
      <c r="V7" s="368"/>
      <c r="W7" s="368"/>
      <c r="X7" s="364">
        <f t="shared" ref="X7:X70" si="1">IF((S7=0),0,((T7+U7)/S7*100%))</f>
        <v>1</v>
      </c>
      <c r="Y7" s="393"/>
      <c r="Z7" s="498">
        <f t="shared" ref="Z7:Z70" si="2">SUM(AA7:AD7)</f>
        <v>0</v>
      </c>
      <c r="AA7" s="368"/>
      <c r="AB7" s="368"/>
      <c r="AC7" s="368"/>
      <c r="AD7" s="368"/>
      <c r="AE7" s="365">
        <f t="shared" ref="AE7:AE70" si="3">IF((Z7=0),0,((AA7+AB7)/Z7*100%))</f>
        <v>0</v>
      </c>
      <c r="AF7" s="262"/>
      <c r="AG7" s="457"/>
      <c r="AH7" s="264"/>
    </row>
    <row r="8" spans="1:34" ht="60.75" thickBot="1" x14ac:dyDescent="0.3">
      <c r="A8" s="474" t="s">
        <v>258</v>
      </c>
      <c r="B8" s="463" t="s">
        <v>259</v>
      </c>
      <c r="C8" s="580" t="s">
        <v>260</v>
      </c>
      <c r="D8" s="449" t="s">
        <v>261</v>
      </c>
      <c r="E8" s="262"/>
      <c r="F8" s="447" t="s">
        <v>268</v>
      </c>
      <c r="G8" s="387" t="e">
        <f>VLOOKUP(A8,'Feature Summary'!$A$7:$C$3944,3,FALSE)</f>
        <v>#N/A</v>
      </c>
      <c r="H8" s="463" t="s">
        <v>269</v>
      </c>
      <c r="I8" s="488" t="s">
        <v>264</v>
      </c>
      <c r="J8" s="476" t="s">
        <v>265</v>
      </c>
      <c r="K8" s="263">
        <v>1</v>
      </c>
      <c r="L8" s="403">
        <v>1</v>
      </c>
      <c r="M8" s="399" t="s">
        <v>33</v>
      </c>
      <c r="N8" s="475">
        <v>1</v>
      </c>
      <c r="O8" s="403">
        <v>1</v>
      </c>
      <c r="P8" s="496">
        <f>IF((O8=0),0,(O8/L8))</f>
        <v>1</v>
      </c>
      <c r="Q8" s="445" t="s">
        <v>52</v>
      </c>
      <c r="R8" s="403">
        <v>1</v>
      </c>
      <c r="S8" s="362">
        <f t="shared" ref="S8:S71" si="4">SUM(T8:W8)</f>
        <v>1</v>
      </c>
      <c r="T8" s="368">
        <v>1</v>
      </c>
      <c r="U8" s="368"/>
      <c r="V8" s="368"/>
      <c r="W8" s="368"/>
      <c r="X8" s="364">
        <f t="shared" si="1"/>
        <v>1</v>
      </c>
      <c r="Y8" s="393"/>
      <c r="Z8" s="498">
        <f t="shared" si="2"/>
        <v>0</v>
      </c>
      <c r="AA8" s="368"/>
      <c r="AB8" s="368"/>
      <c r="AC8" s="368"/>
      <c r="AD8" s="368"/>
      <c r="AE8" s="365">
        <f t="shared" si="3"/>
        <v>0</v>
      </c>
      <c r="AF8" s="262"/>
      <c r="AG8" s="457"/>
      <c r="AH8" s="264"/>
    </row>
    <row r="9" spans="1:34" ht="60.75" thickBot="1" x14ac:dyDescent="0.3">
      <c r="A9" s="474" t="s">
        <v>258</v>
      </c>
      <c r="B9" s="463" t="s">
        <v>259</v>
      </c>
      <c r="C9" s="580" t="s">
        <v>260</v>
      </c>
      <c r="D9" s="449" t="s">
        <v>261</v>
      </c>
      <c r="E9" s="262"/>
      <c r="F9" s="447" t="s">
        <v>270</v>
      </c>
      <c r="G9" s="387" t="e">
        <f>VLOOKUP(A9,'Feature Summary'!$A$7:$C$3944,3,FALSE)</f>
        <v>#N/A</v>
      </c>
      <c r="H9" s="463" t="s">
        <v>271</v>
      </c>
      <c r="I9" s="488" t="s">
        <v>264</v>
      </c>
      <c r="J9" s="476" t="s">
        <v>272</v>
      </c>
      <c r="K9" s="263">
        <v>1</v>
      </c>
      <c r="L9" s="403">
        <v>1</v>
      </c>
      <c r="M9" s="399" t="s">
        <v>33</v>
      </c>
      <c r="N9" s="475">
        <v>1</v>
      </c>
      <c r="O9" s="403">
        <v>1</v>
      </c>
      <c r="P9" s="496">
        <f t="shared" ref="P9:P10" si="5">IF((O9=0),0,(O9/L9))</f>
        <v>1</v>
      </c>
      <c r="Q9" s="445" t="s">
        <v>52</v>
      </c>
      <c r="R9" s="403">
        <v>1</v>
      </c>
      <c r="S9" s="362">
        <f t="shared" si="4"/>
        <v>1</v>
      </c>
      <c r="T9" s="368">
        <v>1</v>
      </c>
      <c r="U9" s="368"/>
      <c r="V9" s="368"/>
      <c r="W9" s="368"/>
      <c r="X9" s="364">
        <f t="shared" si="1"/>
        <v>1</v>
      </c>
      <c r="Y9" s="393"/>
      <c r="Z9" s="498">
        <f t="shared" si="2"/>
        <v>0</v>
      </c>
      <c r="AA9" s="368"/>
      <c r="AB9" s="368"/>
      <c r="AC9" s="368"/>
      <c r="AD9" s="368"/>
      <c r="AE9" s="365">
        <f t="shared" si="3"/>
        <v>0</v>
      </c>
      <c r="AF9" s="262"/>
      <c r="AG9" s="457"/>
      <c r="AH9" s="264"/>
    </row>
    <row r="10" spans="1:34" ht="60.75" thickBot="1" x14ac:dyDescent="0.3">
      <c r="A10" s="474" t="s">
        <v>258</v>
      </c>
      <c r="B10" s="463" t="s">
        <v>259</v>
      </c>
      <c r="C10" s="580" t="s">
        <v>260</v>
      </c>
      <c r="D10" s="449" t="s">
        <v>261</v>
      </c>
      <c r="E10" s="262"/>
      <c r="F10" s="447" t="s">
        <v>273</v>
      </c>
      <c r="G10" s="387" t="e">
        <f>VLOOKUP(A10,'Feature Summary'!$A$7:$C$3944,3,FALSE)</f>
        <v>#N/A</v>
      </c>
      <c r="H10" s="463" t="s">
        <v>274</v>
      </c>
      <c r="I10" s="488" t="s">
        <v>264</v>
      </c>
      <c r="J10" s="476" t="s">
        <v>272</v>
      </c>
      <c r="K10" s="263">
        <v>1</v>
      </c>
      <c r="L10" s="403">
        <v>1</v>
      </c>
      <c r="M10" s="399" t="s">
        <v>33</v>
      </c>
      <c r="N10" s="475">
        <v>1</v>
      </c>
      <c r="O10" s="403">
        <v>1</v>
      </c>
      <c r="P10" s="496">
        <f t="shared" si="5"/>
        <v>1</v>
      </c>
      <c r="Q10" s="445" t="s">
        <v>52</v>
      </c>
      <c r="R10" s="403">
        <v>1</v>
      </c>
      <c r="S10" s="362">
        <f t="shared" si="4"/>
        <v>1</v>
      </c>
      <c r="T10" s="368">
        <v>1</v>
      </c>
      <c r="U10" s="368"/>
      <c r="V10" s="368"/>
      <c r="W10" s="368"/>
      <c r="X10" s="364">
        <f t="shared" si="1"/>
        <v>1</v>
      </c>
      <c r="Y10" s="393"/>
      <c r="Z10" s="498">
        <f t="shared" si="2"/>
        <v>0</v>
      </c>
      <c r="AA10" s="368"/>
      <c r="AB10" s="368"/>
      <c r="AC10" s="368"/>
      <c r="AD10" s="368"/>
      <c r="AE10" s="365">
        <f t="shared" si="3"/>
        <v>0</v>
      </c>
      <c r="AF10" s="262"/>
      <c r="AG10" s="457"/>
      <c r="AH10" s="264"/>
    </row>
    <row r="11" spans="1:34" ht="60.75" thickBot="1" x14ac:dyDescent="0.3">
      <c r="A11" s="474" t="s">
        <v>258</v>
      </c>
      <c r="B11" s="463" t="s">
        <v>259</v>
      </c>
      <c r="C11" s="580" t="s">
        <v>260</v>
      </c>
      <c r="D11" s="449" t="s">
        <v>261</v>
      </c>
      <c r="E11" s="262"/>
      <c r="F11" s="447" t="s">
        <v>275</v>
      </c>
      <c r="G11" s="387" t="e">
        <f>VLOOKUP(A11,'Feature Summary'!$A$7:$C$3944,3,FALSE)</f>
        <v>#N/A</v>
      </c>
      <c r="H11" s="463" t="s">
        <v>276</v>
      </c>
      <c r="I11" s="488" t="s">
        <v>264</v>
      </c>
      <c r="J11" s="476" t="s">
        <v>272</v>
      </c>
      <c r="K11" s="263">
        <v>1</v>
      </c>
      <c r="L11" s="403">
        <v>1</v>
      </c>
      <c r="M11" s="399" t="s">
        <v>33</v>
      </c>
      <c r="N11" s="475">
        <v>1</v>
      </c>
      <c r="O11" s="403">
        <v>1</v>
      </c>
      <c r="P11" s="496">
        <f>IF((O11=0),0,(O11/L11))</f>
        <v>1</v>
      </c>
      <c r="Q11" s="445" t="s">
        <v>52</v>
      </c>
      <c r="R11" s="403">
        <v>1</v>
      </c>
      <c r="S11" s="362">
        <f t="shared" si="4"/>
        <v>1</v>
      </c>
      <c r="T11" s="368">
        <v>1</v>
      </c>
      <c r="U11" s="368"/>
      <c r="V11" s="368"/>
      <c r="W11" s="368"/>
      <c r="X11" s="364">
        <f t="shared" si="1"/>
        <v>1</v>
      </c>
      <c r="Y11" s="393"/>
      <c r="Z11" s="498">
        <f t="shared" si="2"/>
        <v>0</v>
      </c>
      <c r="AA11" s="368"/>
      <c r="AB11" s="368"/>
      <c r="AC11" s="368"/>
      <c r="AD11" s="368"/>
      <c r="AE11" s="365">
        <f t="shared" si="3"/>
        <v>0</v>
      </c>
      <c r="AF11" s="262"/>
      <c r="AG11" s="457"/>
      <c r="AH11" s="264"/>
    </row>
    <row r="12" spans="1:34" ht="60.75" thickBot="1" x14ac:dyDescent="0.3">
      <c r="A12" s="474" t="s">
        <v>258</v>
      </c>
      <c r="B12" s="463" t="s">
        <v>259</v>
      </c>
      <c r="C12" s="580" t="s">
        <v>260</v>
      </c>
      <c r="D12" s="449" t="s">
        <v>261</v>
      </c>
      <c r="E12" s="262"/>
      <c r="F12" s="447" t="s">
        <v>277</v>
      </c>
      <c r="G12" s="387" t="e">
        <f>VLOOKUP(A12,'Feature Summary'!$A$7:$C$3944,3,FALSE)</f>
        <v>#N/A</v>
      </c>
      <c r="H12" s="463" t="s">
        <v>278</v>
      </c>
      <c r="I12" s="488" t="s">
        <v>264</v>
      </c>
      <c r="J12" s="476" t="s">
        <v>272</v>
      </c>
      <c r="K12" s="263">
        <v>1</v>
      </c>
      <c r="L12" s="403">
        <v>1</v>
      </c>
      <c r="M12" s="399" t="s">
        <v>33</v>
      </c>
      <c r="N12" s="475">
        <v>1</v>
      </c>
      <c r="O12" s="403">
        <v>1</v>
      </c>
      <c r="P12" s="496">
        <f>IF((O12=0),0,(O12/L12))</f>
        <v>1</v>
      </c>
      <c r="Q12" s="445" t="s">
        <v>52</v>
      </c>
      <c r="R12" s="403">
        <v>1</v>
      </c>
      <c r="S12" s="362">
        <f t="shared" si="4"/>
        <v>1</v>
      </c>
      <c r="T12" s="368">
        <v>1</v>
      </c>
      <c r="U12" s="368"/>
      <c r="V12" s="368"/>
      <c r="W12" s="368"/>
      <c r="X12" s="364">
        <f t="shared" si="1"/>
        <v>1</v>
      </c>
      <c r="Y12" s="393"/>
      <c r="Z12" s="498">
        <f t="shared" si="2"/>
        <v>0</v>
      </c>
      <c r="AA12" s="368"/>
      <c r="AB12" s="368"/>
      <c r="AC12" s="368"/>
      <c r="AD12" s="368"/>
      <c r="AE12" s="365">
        <f t="shared" si="3"/>
        <v>0</v>
      </c>
      <c r="AF12" s="262"/>
      <c r="AG12" s="457"/>
      <c r="AH12" s="264"/>
    </row>
    <row r="13" spans="1:34" ht="60.75" thickBot="1" x14ac:dyDescent="0.3">
      <c r="A13" s="474" t="s">
        <v>258</v>
      </c>
      <c r="B13" s="463" t="s">
        <v>259</v>
      </c>
      <c r="C13" s="580" t="s">
        <v>260</v>
      </c>
      <c r="D13" s="449" t="s">
        <v>261</v>
      </c>
      <c r="E13" s="262"/>
      <c r="F13" s="447" t="s">
        <v>279</v>
      </c>
      <c r="G13" s="387" t="e">
        <f>VLOOKUP(A13,'Feature Summary'!$A$7:$C$3944,3,FALSE)</f>
        <v>#N/A</v>
      </c>
      <c r="H13" s="463" t="s">
        <v>280</v>
      </c>
      <c r="I13" s="488" t="s">
        <v>264</v>
      </c>
      <c r="J13" s="476" t="s">
        <v>281</v>
      </c>
      <c r="K13" s="263">
        <v>1</v>
      </c>
      <c r="L13" s="403">
        <v>1</v>
      </c>
      <c r="M13" s="399" t="s">
        <v>33</v>
      </c>
      <c r="N13" s="475">
        <v>1</v>
      </c>
      <c r="O13" s="403">
        <v>1</v>
      </c>
      <c r="P13" s="496">
        <f t="shared" ref="P13:P18" si="6">IF((O13=0),0,(O13/L13))</f>
        <v>1</v>
      </c>
      <c r="Q13" s="445" t="s">
        <v>52</v>
      </c>
      <c r="R13" s="403">
        <v>1</v>
      </c>
      <c r="S13" s="362">
        <f t="shared" si="4"/>
        <v>1</v>
      </c>
      <c r="T13" s="368">
        <v>1</v>
      </c>
      <c r="U13" s="368"/>
      <c r="V13" s="368"/>
      <c r="W13" s="368"/>
      <c r="X13" s="364">
        <f t="shared" si="1"/>
        <v>1</v>
      </c>
      <c r="Y13" s="393"/>
      <c r="Z13" s="498">
        <f t="shared" si="2"/>
        <v>0</v>
      </c>
      <c r="AA13" s="368"/>
      <c r="AB13" s="368"/>
      <c r="AC13" s="368"/>
      <c r="AD13" s="368"/>
      <c r="AE13" s="365">
        <f t="shared" si="3"/>
        <v>0</v>
      </c>
      <c r="AF13" s="262"/>
      <c r="AG13" s="457"/>
      <c r="AH13" s="264"/>
    </row>
    <row r="14" spans="1:34" ht="15.75" thickBot="1" x14ac:dyDescent="0.3">
      <c r="A14" s="458"/>
      <c r="B14" s="463" t="s">
        <v>259</v>
      </c>
      <c r="C14" s="580"/>
      <c r="D14" s="449" t="s">
        <v>261</v>
      </c>
      <c r="E14" s="262"/>
      <c r="F14" s="447" t="s">
        <v>279</v>
      </c>
      <c r="G14" s="387" t="e">
        <f>VLOOKUP(A14,'Feature Summary'!$A$7:$C$3944,3,FALSE)</f>
        <v>#N/A</v>
      </c>
      <c r="H14" s="463" t="s">
        <v>282</v>
      </c>
      <c r="I14" s="463"/>
      <c r="J14" s="476" t="s">
        <v>283</v>
      </c>
      <c r="K14" s="263"/>
      <c r="L14" s="403"/>
      <c r="M14" s="399" t="s">
        <v>33</v>
      </c>
      <c r="N14" s="475">
        <v>1</v>
      </c>
      <c r="O14" s="403"/>
      <c r="P14" s="496">
        <f t="shared" si="6"/>
        <v>0</v>
      </c>
      <c r="Q14" s="445" t="s">
        <v>52</v>
      </c>
      <c r="R14" s="403"/>
      <c r="S14" s="362">
        <f t="shared" si="4"/>
        <v>0</v>
      </c>
      <c r="T14" s="368"/>
      <c r="U14" s="368"/>
      <c r="V14" s="368"/>
      <c r="W14" s="368"/>
      <c r="X14" s="364">
        <f t="shared" si="1"/>
        <v>0</v>
      </c>
      <c r="Y14" s="393"/>
      <c r="Z14" s="498">
        <f t="shared" si="2"/>
        <v>0</v>
      </c>
      <c r="AA14" s="368"/>
      <c r="AB14" s="368"/>
      <c r="AC14" s="368"/>
      <c r="AD14" s="368"/>
      <c r="AE14" s="365">
        <f t="shared" si="3"/>
        <v>0</v>
      </c>
      <c r="AF14" s="262"/>
      <c r="AG14" s="457"/>
      <c r="AH14" s="264"/>
    </row>
    <row r="15" spans="1:34" ht="60.75" thickBot="1" x14ac:dyDescent="0.3">
      <c r="A15" s="474" t="s">
        <v>284</v>
      </c>
      <c r="B15" s="463" t="s">
        <v>259</v>
      </c>
      <c r="C15" s="580" t="s">
        <v>260</v>
      </c>
      <c r="D15" s="449" t="s">
        <v>261</v>
      </c>
      <c r="E15" s="262"/>
      <c r="F15" s="447" t="s">
        <v>285</v>
      </c>
      <c r="G15" s="387" t="e">
        <f>VLOOKUP(A15,'Feature Summary'!$A$7:$C$3944,3,FALSE)</f>
        <v>#N/A</v>
      </c>
      <c r="H15" s="463" t="s">
        <v>286</v>
      </c>
      <c r="I15" s="488" t="s">
        <v>264</v>
      </c>
      <c r="J15" s="476" t="s">
        <v>281</v>
      </c>
      <c r="K15" s="263">
        <v>15</v>
      </c>
      <c r="L15" s="403">
        <v>15</v>
      </c>
      <c r="M15" s="399" t="s">
        <v>33</v>
      </c>
      <c r="N15" s="475">
        <v>1</v>
      </c>
      <c r="O15" s="403">
        <v>0</v>
      </c>
      <c r="P15" s="496">
        <f t="shared" si="6"/>
        <v>0</v>
      </c>
      <c r="Q15" s="445" t="s">
        <v>52</v>
      </c>
      <c r="R15" s="403">
        <v>15</v>
      </c>
      <c r="S15" s="362">
        <f t="shared" si="4"/>
        <v>15</v>
      </c>
      <c r="T15" s="368">
        <v>15</v>
      </c>
      <c r="U15" s="368"/>
      <c r="V15" s="368"/>
      <c r="W15" s="368"/>
      <c r="X15" s="364">
        <f t="shared" si="1"/>
        <v>1</v>
      </c>
      <c r="Y15" s="393"/>
      <c r="Z15" s="498">
        <f t="shared" si="2"/>
        <v>0</v>
      </c>
      <c r="AA15" s="368"/>
      <c r="AB15" s="368"/>
      <c r="AC15" s="368"/>
      <c r="AD15" s="368"/>
      <c r="AE15" s="365">
        <f t="shared" si="3"/>
        <v>0</v>
      </c>
      <c r="AF15" s="262"/>
      <c r="AG15" s="457"/>
      <c r="AH15" s="264"/>
    </row>
    <row r="16" spans="1:34" ht="60.75" thickBot="1" x14ac:dyDescent="0.3">
      <c r="A16" s="474" t="s">
        <v>284</v>
      </c>
      <c r="B16" s="463" t="s">
        <v>259</v>
      </c>
      <c r="C16" s="580" t="s">
        <v>260</v>
      </c>
      <c r="D16" s="449" t="s">
        <v>261</v>
      </c>
      <c r="E16" s="262"/>
      <c r="F16" s="447" t="s">
        <v>285</v>
      </c>
      <c r="G16" s="387" t="e">
        <f>VLOOKUP(A16,'Feature Summary'!$A$7:$C$3944,3,FALSE)</f>
        <v>#N/A</v>
      </c>
      <c r="H16" s="463" t="s">
        <v>287</v>
      </c>
      <c r="I16" s="488" t="s">
        <v>264</v>
      </c>
      <c r="J16" s="476" t="s">
        <v>281</v>
      </c>
      <c r="K16" s="263">
        <v>1</v>
      </c>
      <c r="L16" s="403">
        <v>1</v>
      </c>
      <c r="M16" s="399" t="s">
        <v>33</v>
      </c>
      <c r="N16" s="475">
        <v>1</v>
      </c>
      <c r="O16" s="403">
        <v>1</v>
      </c>
      <c r="P16" s="496">
        <f t="shared" si="6"/>
        <v>1</v>
      </c>
      <c r="Q16" s="445" t="s">
        <v>52</v>
      </c>
      <c r="R16" s="403">
        <v>1</v>
      </c>
      <c r="S16" s="362">
        <f t="shared" si="4"/>
        <v>1</v>
      </c>
      <c r="T16" s="368">
        <v>1</v>
      </c>
      <c r="U16" s="368"/>
      <c r="V16" s="368"/>
      <c r="W16" s="368"/>
      <c r="X16" s="364">
        <f t="shared" si="1"/>
        <v>1</v>
      </c>
      <c r="Y16" s="393"/>
      <c r="Z16" s="498">
        <f t="shared" si="2"/>
        <v>0</v>
      </c>
      <c r="AA16" s="368"/>
      <c r="AB16" s="368"/>
      <c r="AC16" s="368"/>
      <c r="AD16" s="368"/>
      <c r="AE16" s="365">
        <f t="shared" si="3"/>
        <v>0</v>
      </c>
      <c r="AF16" s="262"/>
      <c r="AG16" s="457"/>
      <c r="AH16" s="264"/>
    </row>
    <row r="17" spans="1:34" ht="60.75" thickBot="1" x14ac:dyDescent="0.3">
      <c r="A17" s="474" t="s">
        <v>284</v>
      </c>
      <c r="B17" s="463" t="s">
        <v>259</v>
      </c>
      <c r="C17" s="580" t="s">
        <v>260</v>
      </c>
      <c r="D17" s="449" t="s">
        <v>261</v>
      </c>
      <c r="E17" s="262"/>
      <c r="F17" s="447" t="s">
        <v>285</v>
      </c>
      <c r="G17" s="387" t="e">
        <f>VLOOKUP(A17,'Feature Summary'!$A$7:$C$3944,3,FALSE)</f>
        <v>#N/A</v>
      </c>
      <c r="H17" s="463" t="s">
        <v>287</v>
      </c>
      <c r="I17" s="488" t="s">
        <v>288</v>
      </c>
      <c r="J17" s="476" t="s">
        <v>281</v>
      </c>
      <c r="K17" s="263">
        <v>2</v>
      </c>
      <c r="L17" s="403">
        <v>1</v>
      </c>
      <c r="M17" s="399" t="s">
        <v>33</v>
      </c>
      <c r="N17" s="475">
        <v>1</v>
      </c>
      <c r="O17" s="403">
        <v>0.5</v>
      </c>
      <c r="P17" s="496">
        <f t="shared" ref="P17" si="7">IF((O17=0),0,(O17/L17))</f>
        <v>0.5</v>
      </c>
      <c r="Q17" s="445" t="s">
        <v>45</v>
      </c>
      <c r="R17" s="403">
        <v>1</v>
      </c>
      <c r="S17" s="362">
        <f t="shared" ref="S17" si="8">SUM(T17:W17)</f>
        <v>1</v>
      </c>
      <c r="T17" s="368">
        <v>1</v>
      </c>
      <c r="U17" s="368"/>
      <c r="V17" s="368"/>
      <c r="W17" s="368"/>
      <c r="X17" s="364">
        <f t="shared" ref="X17" si="9">IF((S17=0),0,((T17+U17)/S17*100%))</f>
        <v>1</v>
      </c>
      <c r="Y17" s="393"/>
      <c r="Z17" s="498">
        <f t="shared" si="2"/>
        <v>0</v>
      </c>
      <c r="AA17" s="368"/>
      <c r="AB17" s="368"/>
      <c r="AC17" s="368"/>
      <c r="AD17" s="368"/>
      <c r="AE17" s="365">
        <f t="shared" si="3"/>
        <v>0</v>
      </c>
      <c r="AF17" s="262"/>
      <c r="AG17" s="457"/>
      <c r="AH17" s="264"/>
    </row>
    <row r="18" spans="1:34" ht="45.75" thickBot="1" x14ac:dyDescent="0.3">
      <c r="A18" s="474" t="s">
        <v>289</v>
      </c>
      <c r="B18" s="463" t="s">
        <v>259</v>
      </c>
      <c r="C18" s="580" t="s">
        <v>260</v>
      </c>
      <c r="D18" s="449" t="s">
        <v>261</v>
      </c>
      <c r="E18" s="262"/>
      <c r="F18" s="447" t="s">
        <v>290</v>
      </c>
      <c r="G18" s="387" t="e">
        <f>VLOOKUP(A18,'Feature Summary'!$A$7:$C$3944,3,FALSE)</f>
        <v>#N/A</v>
      </c>
      <c r="H18" s="463" t="s">
        <v>291</v>
      </c>
      <c r="I18" s="488" t="s">
        <v>264</v>
      </c>
      <c r="J18" s="476" t="s">
        <v>281</v>
      </c>
      <c r="K18" s="263">
        <v>1</v>
      </c>
      <c r="L18" s="403">
        <v>1</v>
      </c>
      <c r="M18" s="399" t="s">
        <v>33</v>
      </c>
      <c r="N18" s="475">
        <v>1</v>
      </c>
      <c r="O18" s="403">
        <v>1</v>
      </c>
      <c r="P18" s="496">
        <f t="shared" si="6"/>
        <v>1</v>
      </c>
      <c r="Q18" s="445" t="s">
        <v>52</v>
      </c>
      <c r="R18" s="403">
        <v>1</v>
      </c>
      <c r="S18" s="362">
        <f t="shared" si="4"/>
        <v>1</v>
      </c>
      <c r="T18" s="368">
        <v>1</v>
      </c>
      <c r="U18" s="368"/>
      <c r="V18" s="368"/>
      <c r="W18" s="368"/>
      <c r="X18" s="364">
        <f t="shared" si="1"/>
        <v>1</v>
      </c>
      <c r="Y18" s="393"/>
      <c r="Z18" s="498">
        <f t="shared" si="2"/>
        <v>0</v>
      </c>
      <c r="AA18" s="368"/>
      <c r="AB18" s="368"/>
      <c r="AC18" s="368"/>
      <c r="AD18" s="368"/>
      <c r="AE18" s="365">
        <f t="shared" si="3"/>
        <v>0</v>
      </c>
      <c r="AF18" s="262"/>
      <c r="AG18" s="457"/>
      <c r="AH18" s="264"/>
    </row>
    <row r="19" spans="1:34" ht="45.75" thickBot="1" x14ac:dyDescent="0.3">
      <c r="A19" s="474" t="s">
        <v>289</v>
      </c>
      <c r="B19" s="463" t="s">
        <v>259</v>
      </c>
      <c r="C19" s="580" t="s">
        <v>260</v>
      </c>
      <c r="D19" s="449" t="s">
        <v>261</v>
      </c>
      <c r="E19" s="262"/>
      <c r="F19" s="447" t="s">
        <v>292</v>
      </c>
      <c r="G19" s="387" t="e">
        <f>VLOOKUP(A19,'Feature Summary'!$A$7:$C$3944,3,FALSE)</f>
        <v>#N/A</v>
      </c>
      <c r="H19" s="463" t="s">
        <v>293</v>
      </c>
      <c r="I19" s="488" t="s">
        <v>264</v>
      </c>
      <c r="J19" s="476" t="s">
        <v>281</v>
      </c>
      <c r="K19" s="263">
        <v>1</v>
      </c>
      <c r="L19" s="403">
        <v>1</v>
      </c>
      <c r="M19" s="399" t="s">
        <v>33</v>
      </c>
      <c r="N19" s="475">
        <v>1</v>
      </c>
      <c r="O19" s="403">
        <v>1</v>
      </c>
      <c r="P19" s="496">
        <f>IF((O19=0),0,(O19/L19))</f>
        <v>1</v>
      </c>
      <c r="Q19" s="445" t="s">
        <v>52</v>
      </c>
      <c r="R19" s="403">
        <v>1</v>
      </c>
      <c r="S19" s="362">
        <f t="shared" si="4"/>
        <v>1</v>
      </c>
      <c r="T19" s="368">
        <v>1</v>
      </c>
      <c r="U19" s="368"/>
      <c r="V19" s="368"/>
      <c r="W19" s="368"/>
      <c r="X19" s="364">
        <f t="shared" si="1"/>
        <v>1</v>
      </c>
      <c r="Y19" s="393"/>
      <c r="Z19" s="498">
        <f t="shared" si="2"/>
        <v>0</v>
      </c>
      <c r="AA19" s="368"/>
      <c r="AB19" s="368"/>
      <c r="AC19" s="368"/>
      <c r="AD19" s="368"/>
      <c r="AE19" s="365">
        <f t="shared" si="3"/>
        <v>0</v>
      </c>
      <c r="AF19" s="262"/>
      <c r="AG19" s="457"/>
      <c r="AH19" s="264"/>
    </row>
    <row r="20" spans="1:34" ht="24" customHeight="1" thickBot="1" x14ac:dyDescent="0.3">
      <c r="A20" s="458"/>
      <c r="B20" s="463" t="s">
        <v>259</v>
      </c>
      <c r="C20" s="463"/>
      <c r="D20" s="449" t="s">
        <v>261</v>
      </c>
      <c r="E20" s="262"/>
      <c r="F20" s="447" t="s">
        <v>285</v>
      </c>
      <c r="G20" s="387" t="e">
        <f>VLOOKUP(A20,'Feature Summary'!$A$7:$C$3944,3,FALSE)</f>
        <v>#N/A</v>
      </c>
      <c r="H20" s="463" t="s">
        <v>294</v>
      </c>
      <c r="I20" s="463"/>
      <c r="J20" s="476" t="s">
        <v>295</v>
      </c>
      <c r="K20" s="263"/>
      <c r="L20" s="403"/>
      <c r="M20" s="399" t="s">
        <v>33</v>
      </c>
      <c r="N20" s="475">
        <v>1</v>
      </c>
      <c r="O20" s="403"/>
      <c r="P20" s="496">
        <f t="shared" ref="P20:P50" si="10">IF((O20=0),0,(O20/L20))</f>
        <v>0</v>
      </c>
      <c r="Q20" s="445" t="s">
        <v>52</v>
      </c>
      <c r="R20" s="403"/>
      <c r="S20" s="362">
        <f t="shared" si="4"/>
        <v>0</v>
      </c>
      <c r="T20" s="368"/>
      <c r="U20" s="368"/>
      <c r="V20" s="368"/>
      <c r="W20" s="368"/>
      <c r="X20" s="364">
        <f t="shared" si="1"/>
        <v>0</v>
      </c>
      <c r="Y20" s="393"/>
      <c r="Z20" s="498">
        <f t="shared" si="2"/>
        <v>0</v>
      </c>
      <c r="AA20" s="368"/>
      <c r="AB20" s="368"/>
      <c r="AC20" s="368"/>
      <c r="AD20" s="368"/>
      <c r="AE20" s="365">
        <f t="shared" si="3"/>
        <v>0</v>
      </c>
      <c r="AF20" s="558"/>
      <c r="AG20" s="457"/>
      <c r="AH20" s="264"/>
    </row>
    <row r="21" spans="1:34" ht="30.75" thickBot="1" x14ac:dyDescent="0.3">
      <c r="A21" s="458"/>
      <c r="B21" s="463" t="s">
        <v>259</v>
      </c>
      <c r="C21" s="463"/>
      <c r="D21" s="449" t="s">
        <v>261</v>
      </c>
      <c r="E21" s="262"/>
      <c r="F21" s="447" t="s">
        <v>285</v>
      </c>
      <c r="G21" s="387" t="e">
        <f>VLOOKUP(A21,'Feature Summary'!$A$7:$C$3944,3,FALSE)</f>
        <v>#N/A</v>
      </c>
      <c r="H21" s="463" t="s">
        <v>296</v>
      </c>
      <c r="I21" s="463"/>
      <c r="J21" s="476" t="s">
        <v>297</v>
      </c>
      <c r="K21" s="263"/>
      <c r="L21" s="403"/>
      <c r="M21" s="399" t="s">
        <v>33</v>
      </c>
      <c r="N21" s="475">
        <v>1</v>
      </c>
      <c r="O21" s="403"/>
      <c r="P21" s="496">
        <f t="shared" si="10"/>
        <v>0</v>
      </c>
      <c r="Q21" s="445" t="s">
        <v>52</v>
      </c>
      <c r="R21" s="403"/>
      <c r="S21" s="362">
        <f t="shared" si="4"/>
        <v>0</v>
      </c>
      <c r="T21" s="368"/>
      <c r="U21" s="368"/>
      <c r="V21" s="368"/>
      <c r="W21" s="368"/>
      <c r="X21" s="364">
        <f t="shared" si="1"/>
        <v>0</v>
      </c>
      <c r="Y21" s="393"/>
      <c r="Z21" s="498">
        <f t="shared" si="2"/>
        <v>0</v>
      </c>
      <c r="AA21" s="368"/>
      <c r="AB21" s="368"/>
      <c r="AC21" s="368"/>
      <c r="AD21" s="368"/>
      <c r="AE21" s="365">
        <f t="shared" si="3"/>
        <v>0</v>
      </c>
      <c r="AF21" s="558"/>
      <c r="AG21" s="457"/>
      <c r="AH21" s="264"/>
    </row>
    <row r="22" spans="1:34" ht="15.75" thickBot="1" x14ac:dyDescent="0.3">
      <c r="A22" s="458"/>
      <c r="B22" s="463" t="s">
        <v>259</v>
      </c>
      <c r="C22" s="463"/>
      <c r="D22" s="449" t="s">
        <v>261</v>
      </c>
      <c r="E22" s="262"/>
      <c r="F22" s="447" t="s">
        <v>290</v>
      </c>
      <c r="G22" s="387" t="e">
        <f>VLOOKUP(A22,'Feature Summary'!$A$7:$C$3944,3,FALSE)</f>
        <v>#N/A</v>
      </c>
      <c r="H22" s="463" t="s">
        <v>298</v>
      </c>
      <c r="I22" s="463"/>
      <c r="J22" s="476" t="s">
        <v>297</v>
      </c>
      <c r="K22" s="263"/>
      <c r="L22" s="403"/>
      <c r="M22" s="399" t="s">
        <v>33</v>
      </c>
      <c r="N22" s="475">
        <v>1</v>
      </c>
      <c r="O22" s="403"/>
      <c r="P22" s="496">
        <f t="shared" si="10"/>
        <v>0</v>
      </c>
      <c r="Q22" s="445" t="s">
        <v>52</v>
      </c>
      <c r="R22" s="403"/>
      <c r="S22" s="362">
        <f t="shared" si="4"/>
        <v>0</v>
      </c>
      <c r="T22" s="368"/>
      <c r="U22" s="368"/>
      <c r="V22" s="368"/>
      <c r="W22" s="368"/>
      <c r="X22" s="364">
        <f t="shared" si="1"/>
        <v>0</v>
      </c>
      <c r="Y22" s="393"/>
      <c r="Z22" s="498">
        <f t="shared" si="2"/>
        <v>0</v>
      </c>
      <c r="AA22" s="368"/>
      <c r="AB22" s="368"/>
      <c r="AC22" s="368"/>
      <c r="AD22" s="368"/>
      <c r="AE22" s="365">
        <f t="shared" si="3"/>
        <v>0</v>
      </c>
      <c r="AF22" s="262"/>
      <c r="AG22" s="457"/>
      <c r="AH22" s="264"/>
    </row>
    <row r="23" spans="1:34" ht="15.75" thickBot="1" x14ac:dyDescent="0.3">
      <c r="A23" s="458"/>
      <c r="B23" s="463" t="s">
        <v>259</v>
      </c>
      <c r="C23" s="580" t="s">
        <v>260</v>
      </c>
      <c r="D23" s="449" t="s">
        <v>261</v>
      </c>
      <c r="E23" s="262"/>
      <c r="F23" s="463" t="s">
        <v>299</v>
      </c>
      <c r="G23" s="387" t="e">
        <f>VLOOKUP(A23,'Feature Summary'!$A$7:$C$3944,3,FALSE)</f>
        <v>#N/A</v>
      </c>
      <c r="H23" s="463" t="s">
        <v>300</v>
      </c>
      <c r="I23" s="488" t="s">
        <v>264</v>
      </c>
      <c r="J23" s="477" t="s">
        <v>301</v>
      </c>
      <c r="K23" s="263">
        <v>1</v>
      </c>
      <c r="L23" s="390">
        <v>1</v>
      </c>
      <c r="M23" s="399" t="s">
        <v>33</v>
      </c>
      <c r="N23" s="475">
        <v>1</v>
      </c>
      <c r="O23" s="390">
        <v>1</v>
      </c>
      <c r="P23" s="496">
        <f t="shared" si="10"/>
        <v>1</v>
      </c>
      <c r="Q23" s="445" t="s">
        <v>52</v>
      </c>
      <c r="R23" s="390">
        <v>1</v>
      </c>
      <c r="S23" s="362">
        <f t="shared" si="4"/>
        <v>1</v>
      </c>
      <c r="T23" s="368">
        <v>1</v>
      </c>
      <c r="U23" s="368"/>
      <c r="V23" s="368"/>
      <c r="W23" s="368"/>
      <c r="X23" s="364">
        <f t="shared" si="1"/>
        <v>1</v>
      </c>
      <c r="Y23" s="393"/>
      <c r="Z23" s="498">
        <f t="shared" si="2"/>
        <v>0</v>
      </c>
      <c r="AA23" s="368"/>
      <c r="AB23" s="368"/>
      <c r="AC23" s="368"/>
      <c r="AD23" s="368"/>
      <c r="AE23" s="365">
        <f t="shared" si="3"/>
        <v>0</v>
      </c>
      <c r="AF23" s="262"/>
      <c r="AG23" s="457"/>
      <c r="AH23" s="264"/>
    </row>
    <row r="24" spans="1:34" ht="15.75" thickBot="1" x14ac:dyDescent="0.3">
      <c r="A24" s="458"/>
      <c r="B24" s="463" t="s">
        <v>259</v>
      </c>
      <c r="C24" s="580"/>
      <c r="D24" s="449" t="s">
        <v>261</v>
      </c>
      <c r="E24" s="262"/>
      <c r="F24" s="463" t="s">
        <v>299</v>
      </c>
      <c r="G24" s="387" t="e">
        <f>VLOOKUP(A24,'Feature Summary'!$A$7:$C$3944,3,FALSE)</f>
        <v>#N/A</v>
      </c>
      <c r="H24" s="463" t="s">
        <v>302</v>
      </c>
      <c r="I24" s="463"/>
      <c r="J24" s="477" t="s">
        <v>303</v>
      </c>
      <c r="K24" s="263"/>
      <c r="L24" s="390"/>
      <c r="M24" s="399" t="s">
        <v>33</v>
      </c>
      <c r="N24" s="475">
        <v>1</v>
      </c>
      <c r="O24" s="390"/>
      <c r="P24" s="496">
        <f t="shared" si="10"/>
        <v>0</v>
      </c>
      <c r="Q24" s="445" t="s">
        <v>52</v>
      </c>
      <c r="R24" s="390"/>
      <c r="S24" s="362">
        <f t="shared" si="4"/>
        <v>0</v>
      </c>
      <c r="T24" s="368"/>
      <c r="U24" s="368"/>
      <c r="V24" s="368"/>
      <c r="W24" s="368"/>
      <c r="X24" s="364">
        <f t="shared" si="1"/>
        <v>0</v>
      </c>
      <c r="Y24" s="393"/>
      <c r="Z24" s="498">
        <f t="shared" si="2"/>
        <v>0</v>
      </c>
      <c r="AA24" s="368"/>
      <c r="AB24" s="368"/>
      <c r="AC24" s="368"/>
      <c r="AD24" s="368"/>
      <c r="AE24" s="365">
        <f t="shared" si="3"/>
        <v>0</v>
      </c>
      <c r="AF24" s="558"/>
      <c r="AG24" s="457"/>
      <c r="AH24" s="264"/>
    </row>
    <row r="25" spans="1:34" ht="15.75" thickBot="1" x14ac:dyDescent="0.3">
      <c r="A25" s="458"/>
      <c r="B25" s="463" t="s">
        <v>259</v>
      </c>
      <c r="C25" s="580"/>
      <c r="D25" s="449" t="s">
        <v>261</v>
      </c>
      <c r="E25" s="262"/>
      <c r="F25" s="463" t="s">
        <v>299</v>
      </c>
      <c r="G25" s="387" t="e">
        <f>VLOOKUP(A25,'Feature Summary'!$A$7:$C$3944,3,FALSE)</f>
        <v>#N/A</v>
      </c>
      <c r="H25" s="463" t="s">
        <v>304</v>
      </c>
      <c r="I25" s="463"/>
      <c r="J25" s="477" t="s">
        <v>297</v>
      </c>
      <c r="K25" s="263"/>
      <c r="L25" s="390"/>
      <c r="M25" s="399" t="s">
        <v>33</v>
      </c>
      <c r="N25" s="475">
        <v>1</v>
      </c>
      <c r="O25" s="390"/>
      <c r="P25" s="496">
        <f t="shared" si="10"/>
        <v>0</v>
      </c>
      <c r="Q25" s="445" t="s">
        <v>52</v>
      </c>
      <c r="R25" s="390"/>
      <c r="S25" s="362">
        <f t="shared" si="4"/>
        <v>0</v>
      </c>
      <c r="T25" s="368"/>
      <c r="U25" s="368"/>
      <c r="V25" s="368"/>
      <c r="W25" s="368"/>
      <c r="X25" s="364">
        <f t="shared" si="1"/>
        <v>0</v>
      </c>
      <c r="Y25" s="393"/>
      <c r="Z25" s="498">
        <f t="shared" si="2"/>
        <v>0</v>
      </c>
      <c r="AA25" s="368"/>
      <c r="AB25" s="368"/>
      <c r="AC25" s="368"/>
      <c r="AD25" s="368"/>
      <c r="AE25" s="365">
        <f t="shared" si="3"/>
        <v>0</v>
      </c>
      <c r="AF25" s="262"/>
      <c r="AG25" s="457"/>
      <c r="AH25" s="264"/>
    </row>
    <row r="26" spans="1:34" ht="30.75" thickBot="1" x14ac:dyDescent="0.3">
      <c r="A26" s="446" t="s">
        <v>305</v>
      </c>
      <c r="B26" s="447" t="s">
        <v>306</v>
      </c>
      <c r="C26" s="580" t="s">
        <v>260</v>
      </c>
      <c r="D26" s="449" t="s">
        <v>261</v>
      </c>
      <c r="E26" s="262"/>
      <c r="F26" s="463" t="s">
        <v>307</v>
      </c>
      <c r="G26" s="387" t="str">
        <f>VLOOKUP(A26,'Feature Summary'!$A$7:$C$3944,3,FALSE)</f>
        <v>P2</v>
      </c>
      <c r="H26" s="463" t="s">
        <v>308</v>
      </c>
      <c r="I26" s="488" t="s">
        <v>264</v>
      </c>
      <c r="J26" s="477" t="s">
        <v>309</v>
      </c>
      <c r="K26" s="263">
        <v>1</v>
      </c>
      <c r="L26" s="390">
        <v>1</v>
      </c>
      <c r="M26" s="399" t="s">
        <v>33</v>
      </c>
      <c r="N26" s="475">
        <v>1</v>
      </c>
      <c r="O26" s="390">
        <v>1</v>
      </c>
      <c r="P26" s="496">
        <f t="shared" si="10"/>
        <v>1</v>
      </c>
      <c r="Q26" s="445" t="s">
        <v>52</v>
      </c>
      <c r="R26" s="390">
        <v>1</v>
      </c>
      <c r="S26" s="362">
        <f t="shared" si="4"/>
        <v>1</v>
      </c>
      <c r="T26" s="368">
        <v>1</v>
      </c>
      <c r="U26" s="368"/>
      <c r="V26" s="368"/>
      <c r="W26" s="368"/>
      <c r="X26" s="364">
        <f t="shared" si="1"/>
        <v>1</v>
      </c>
      <c r="Y26" s="393"/>
      <c r="Z26" s="498">
        <f t="shared" si="2"/>
        <v>0</v>
      </c>
      <c r="AA26" s="368"/>
      <c r="AB26" s="368"/>
      <c r="AC26" s="368"/>
      <c r="AD26" s="368"/>
      <c r="AE26" s="365">
        <f t="shared" si="3"/>
        <v>0</v>
      </c>
      <c r="AF26" s="262"/>
      <c r="AG26" s="457"/>
      <c r="AH26" s="264"/>
    </row>
    <row r="27" spans="1:34" ht="30.75" thickBot="1" x14ac:dyDescent="0.3">
      <c r="A27" s="474"/>
      <c r="B27" s="447" t="s">
        <v>306</v>
      </c>
      <c r="C27" s="580"/>
      <c r="D27" s="449" t="s">
        <v>261</v>
      </c>
      <c r="E27" s="262"/>
      <c r="F27" s="463" t="s">
        <v>307</v>
      </c>
      <c r="G27" s="387" t="e">
        <f>VLOOKUP(A27,'Feature Summary'!$A$7:$C$3944,3,FALSE)</f>
        <v>#N/A</v>
      </c>
      <c r="H27" s="463" t="s">
        <v>310</v>
      </c>
      <c r="I27" s="463"/>
      <c r="J27" s="477" t="s">
        <v>311</v>
      </c>
      <c r="K27" s="263"/>
      <c r="L27" s="390"/>
      <c r="M27" s="399" t="s">
        <v>33</v>
      </c>
      <c r="N27" s="475">
        <v>1</v>
      </c>
      <c r="O27" s="390"/>
      <c r="P27" s="496">
        <f t="shared" si="10"/>
        <v>0</v>
      </c>
      <c r="Q27" s="445" t="s">
        <v>52</v>
      </c>
      <c r="R27" s="390"/>
      <c r="S27" s="362">
        <f t="shared" si="4"/>
        <v>0</v>
      </c>
      <c r="T27" s="368"/>
      <c r="U27" s="368"/>
      <c r="V27" s="368"/>
      <c r="W27" s="368"/>
      <c r="X27" s="364">
        <f t="shared" si="1"/>
        <v>0</v>
      </c>
      <c r="Y27" s="393"/>
      <c r="Z27" s="498">
        <f t="shared" si="2"/>
        <v>0</v>
      </c>
      <c r="AA27" s="368"/>
      <c r="AB27" s="368"/>
      <c r="AC27" s="368"/>
      <c r="AD27" s="368"/>
      <c r="AE27" s="365">
        <f t="shared" si="3"/>
        <v>0</v>
      </c>
      <c r="AF27" s="262"/>
      <c r="AG27" s="457"/>
      <c r="AH27" s="264"/>
    </row>
    <row r="28" spans="1:34" ht="15.75" thickBot="1" x14ac:dyDescent="0.3">
      <c r="A28" s="474" t="s">
        <v>312</v>
      </c>
      <c r="B28" s="447" t="s">
        <v>313</v>
      </c>
      <c r="C28" s="580" t="s">
        <v>260</v>
      </c>
      <c r="D28" s="449" t="s">
        <v>261</v>
      </c>
      <c r="E28" s="262"/>
      <c r="F28" s="463" t="s">
        <v>314</v>
      </c>
      <c r="G28" s="387" t="str">
        <f>VLOOKUP(A28,'Feature Summary'!$A$7:$C$3944,3,FALSE)</f>
        <v>P2</v>
      </c>
      <c r="H28" s="463" t="s">
        <v>315</v>
      </c>
      <c r="I28" s="488" t="s">
        <v>264</v>
      </c>
      <c r="J28" s="477" t="s">
        <v>281</v>
      </c>
      <c r="K28" s="263">
        <v>1</v>
      </c>
      <c r="L28" s="390">
        <v>1</v>
      </c>
      <c r="M28" s="399" t="s">
        <v>33</v>
      </c>
      <c r="N28" s="475">
        <v>1</v>
      </c>
      <c r="O28" s="390">
        <v>1</v>
      </c>
      <c r="P28" s="496">
        <f t="shared" si="10"/>
        <v>1</v>
      </c>
      <c r="Q28" s="445" t="s">
        <v>52</v>
      </c>
      <c r="R28" s="390">
        <v>1</v>
      </c>
      <c r="S28" s="362">
        <f t="shared" si="4"/>
        <v>1</v>
      </c>
      <c r="T28" s="368">
        <v>1</v>
      </c>
      <c r="U28" s="368"/>
      <c r="V28" s="368"/>
      <c r="W28" s="368"/>
      <c r="X28" s="364">
        <f t="shared" si="1"/>
        <v>1</v>
      </c>
      <c r="Y28" s="393"/>
      <c r="Z28" s="498">
        <f t="shared" si="2"/>
        <v>0</v>
      </c>
      <c r="AA28" s="368"/>
      <c r="AB28" s="368"/>
      <c r="AC28" s="368"/>
      <c r="AD28" s="368"/>
      <c r="AE28" s="365">
        <f t="shared" si="3"/>
        <v>0</v>
      </c>
      <c r="AF28" s="262"/>
      <c r="AG28" s="457"/>
      <c r="AH28" s="264"/>
    </row>
    <row r="29" spans="1:34" ht="15.75" thickBot="1" x14ac:dyDescent="0.3">
      <c r="A29" s="474" t="s">
        <v>312</v>
      </c>
      <c r="B29" s="447" t="s">
        <v>313</v>
      </c>
      <c r="C29" s="580" t="s">
        <v>260</v>
      </c>
      <c r="D29" s="449" t="s">
        <v>261</v>
      </c>
      <c r="E29" s="262"/>
      <c r="F29" s="463" t="s">
        <v>316</v>
      </c>
      <c r="G29" s="387" t="str">
        <f>VLOOKUP(A29,'Feature Summary'!$A$7:$C$3944,3,FALSE)</f>
        <v>P2</v>
      </c>
      <c r="H29" s="463" t="s">
        <v>317</v>
      </c>
      <c r="I29" s="488" t="s">
        <v>264</v>
      </c>
      <c r="J29" s="477" t="s">
        <v>281</v>
      </c>
      <c r="K29" s="263">
        <v>1</v>
      </c>
      <c r="L29" s="390">
        <v>1</v>
      </c>
      <c r="M29" s="399" t="s">
        <v>33</v>
      </c>
      <c r="N29" s="475">
        <v>1</v>
      </c>
      <c r="O29" s="390">
        <v>1</v>
      </c>
      <c r="P29" s="496">
        <f t="shared" si="10"/>
        <v>1</v>
      </c>
      <c r="Q29" s="445" t="s">
        <v>52</v>
      </c>
      <c r="R29" s="390">
        <v>1</v>
      </c>
      <c r="S29" s="362">
        <f t="shared" si="4"/>
        <v>1</v>
      </c>
      <c r="T29" s="368">
        <v>1</v>
      </c>
      <c r="U29" s="368"/>
      <c r="V29" s="368"/>
      <c r="W29" s="368"/>
      <c r="X29" s="364">
        <f t="shared" si="1"/>
        <v>1</v>
      </c>
      <c r="Y29" s="393"/>
      <c r="Z29" s="498">
        <f t="shared" si="2"/>
        <v>0</v>
      </c>
      <c r="AA29" s="368"/>
      <c r="AB29" s="368"/>
      <c r="AC29" s="368"/>
      <c r="AD29" s="368"/>
      <c r="AE29" s="365">
        <f t="shared" si="3"/>
        <v>0</v>
      </c>
      <c r="AF29" s="262"/>
      <c r="AG29" s="457"/>
      <c r="AH29" s="264"/>
    </row>
    <row r="30" spans="1:34" ht="15.75" thickBot="1" x14ac:dyDescent="0.3">
      <c r="A30" s="474" t="s">
        <v>312</v>
      </c>
      <c r="B30" s="447" t="s">
        <v>313</v>
      </c>
      <c r="C30" s="580" t="s">
        <v>260</v>
      </c>
      <c r="D30" s="449" t="s">
        <v>261</v>
      </c>
      <c r="E30" s="262"/>
      <c r="F30" s="463" t="s">
        <v>318</v>
      </c>
      <c r="G30" s="387" t="str">
        <f>VLOOKUP(A30,'Feature Summary'!$A$7:$C$3944,3,FALSE)</f>
        <v>P2</v>
      </c>
      <c r="H30" s="463" t="s">
        <v>319</v>
      </c>
      <c r="I30" s="488" t="s">
        <v>264</v>
      </c>
      <c r="J30" s="477" t="s">
        <v>320</v>
      </c>
      <c r="K30" s="263">
        <v>1</v>
      </c>
      <c r="L30" s="390">
        <v>1</v>
      </c>
      <c r="M30" s="399" t="s">
        <v>33</v>
      </c>
      <c r="N30" s="475">
        <v>1</v>
      </c>
      <c r="O30" s="390">
        <v>1</v>
      </c>
      <c r="P30" s="496">
        <f t="shared" si="10"/>
        <v>1</v>
      </c>
      <c r="Q30" s="445" t="s">
        <v>52</v>
      </c>
      <c r="R30" s="390">
        <v>1</v>
      </c>
      <c r="S30" s="362">
        <f t="shared" si="4"/>
        <v>1</v>
      </c>
      <c r="T30" s="368">
        <v>1</v>
      </c>
      <c r="U30" s="368"/>
      <c r="V30" s="368"/>
      <c r="W30" s="368"/>
      <c r="X30" s="364">
        <f t="shared" si="1"/>
        <v>1</v>
      </c>
      <c r="Y30" s="393"/>
      <c r="Z30" s="498">
        <f t="shared" si="2"/>
        <v>0</v>
      </c>
      <c r="AA30" s="368"/>
      <c r="AB30" s="368"/>
      <c r="AC30" s="368"/>
      <c r="AD30" s="368"/>
      <c r="AE30" s="365">
        <f t="shared" si="3"/>
        <v>0</v>
      </c>
      <c r="AF30" s="262"/>
      <c r="AG30" s="457"/>
      <c r="AH30" s="264"/>
    </row>
    <row r="31" spans="1:34" ht="15.75" thickBot="1" x14ac:dyDescent="0.3">
      <c r="A31" s="474" t="s">
        <v>312</v>
      </c>
      <c r="B31" s="447" t="s">
        <v>313</v>
      </c>
      <c r="C31" s="580" t="s">
        <v>260</v>
      </c>
      <c r="D31" s="449" t="s">
        <v>261</v>
      </c>
      <c r="E31" s="262"/>
      <c r="F31" s="463" t="s">
        <v>321</v>
      </c>
      <c r="G31" s="387" t="str">
        <f>VLOOKUP(A31,'Feature Summary'!$A$7:$C$3944,3,FALSE)</f>
        <v>P2</v>
      </c>
      <c r="H31" s="463" t="s">
        <v>322</v>
      </c>
      <c r="I31" s="488" t="s">
        <v>264</v>
      </c>
      <c r="J31" s="477" t="s">
        <v>281</v>
      </c>
      <c r="K31" s="263">
        <v>1</v>
      </c>
      <c r="L31" s="390">
        <v>1</v>
      </c>
      <c r="M31" s="399" t="s">
        <v>33</v>
      </c>
      <c r="N31" s="475">
        <v>1</v>
      </c>
      <c r="O31" s="390">
        <v>1</v>
      </c>
      <c r="P31" s="496">
        <f t="shared" si="10"/>
        <v>1</v>
      </c>
      <c r="Q31" s="445" t="s">
        <v>52</v>
      </c>
      <c r="R31" s="390">
        <v>1</v>
      </c>
      <c r="S31" s="362">
        <f t="shared" si="4"/>
        <v>1</v>
      </c>
      <c r="T31" s="368">
        <v>1</v>
      </c>
      <c r="U31" s="368"/>
      <c r="V31" s="368"/>
      <c r="W31" s="368"/>
      <c r="X31" s="364">
        <f t="shared" si="1"/>
        <v>1</v>
      </c>
      <c r="Y31" s="393"/>
      <c r="Z31" s="498">
        <f t="shared" si="2"/>
        <v>0</v>
      </c>
      <c r="AA31" s="368"/>
      <c r="AB31" s="368"/>
      <c r="AC31" s="368"/>
      <c r="AD31" s="368"/>
      <c r="AE31" s="365">
        <f t="shared" si="3"/>
        <v>0</v>
      </c>
      <c r="AF31" s="262"/>
      <c r="AG31" s="457"/>
      <c r="AH31" s="264"/>
    </row>
    <row r="32" spans="1:34" ht="15.75" thickBot="1" x14ac:dyDescent="0.3">
      <c r="A32" s="474"/>
      <c r="B32" s="447" t="s">
        <v>313</v>
      </c>
      <c r="C32" s="463"/>
      <c r="D32" s="449" t="s">
        <v>261</v>
      </c>
      <c r="E32" s="262"/>
      <c r="F32" s="463" t="s">
        <v>314</v>
      </c>
      <c r="G32" s="387" t="e">
        <f>VLOOKUP(A32,'Feature Summary'!$A$7:$C$3944,3,FALSE)</f>
        <v>#N/A</v>
      </c>
      <c r="H32" s="463" t="s">
        <v>323</v>
      </c>
      <c r="I32" s="463"/>
      <c r="J32" s="477" t="s">
        <v>297</v>
      </c>
      <c r="K32" s="263"/>
      <c r="L32" s="390"/>
      <c r="M32" s="399" t="s">
        <v>33</v>
      </c>
      <c r="N32" s="475">
        <v>1</v>
      </c>
      <c r="O32" s="390"/>
      <c r="P32" s="496">
        <f t="shared" si="10"/>
        <v>0</v>
      </c>
      <c r="Q32" s="445" t="s">
        <v>52</v>
      </c>
      <c r="R32" s="390"/>
      <c r="S32" s="362">
        <f t="shared" si="4"/>
        <v>0</v>
      </c>
      <c r="T32" s="368"/>
      <c r="U32" s="368"/>
      <c r="V32" s="368"/>
      <c r="W32" s="368"/>
      <c r="X32" s="364">
        <f t="shared" si="1"/>
        <v>0</v>
      </c>
      <c r="Y32" s="393"/>
      <c r="Z32" s="498">
        <f t="shared" si="2"/>
        <v>0</v>
      </c>
      <c r="AA32" s="368"/>
      <c r="AB32" s="368"/>
      <c r="AC32" s="368"/>
      <c r="AD32" s="368"/>
      <c r="AE32" s="365">
        <f t="shared" si="3"/>
        <v>0</v>
      </c>
      <c r="AF32" s="262"/>
      <c r="AG32" s="457"/>
      <c r="AH32" s="264"/>
    </row>
    <row r="33" spans="1:34" ht="15.75" thickBot="1" x14ac:dyDescent="0.3">
      <c r="A33" s="474"/>
      <c r="B33" s="447" t="s">
        <v>313</v>
      </c>
      <c r="C33" s="463"/>
      <c r="D33" s="449" t="s">
        <v>261</v>
      </c>
      <c r="E33" s="262"/>
      <c r="F33" s="463" t="s">
        <v>318</v>
      </c>
      <c r="G33" s="387" t="e">
        <f>VLOOKUP(A33,'Feature Summary'!$A$7:$C$3944,3,FALSE)</f>
        <v>#N/A</v>
      </c>
      <c r="H33" s="463" t="s">
        <v>324</v>
      </c>
      <c r="I33" s="463"/>
      <c r="J33" s="477" t="s">
        <v>297</v>
      </c>
      <c r="K33" s="263"/>
      <c r="L33" s="390"/>
      <c r="M33" s="399" t="s">
        <v>33</v>
      </c>
      <c r="N33" s="475">
        <v>1</v>
      </c>
      <c r="O33" s="390"/>
      <c r="P33" s="496">
        <f t="shared" si="10"/>
        <v>0</v>
      </c>
      <c r="Q33" s="445" t="s">
        <v>52</v>
      </c>
      <c r="R33" s="390"/>
      <c r="S33" s="362">
        <f t="shared" si="4"/>
        <v>0</v>
      </c>
      <c r="T33" s="368"/>
      <c r="U33" s="368"/>
      <c r="V33" s="368"/>
      <c r="W33" s="368"/>
      <c r="X33" s="364">
        <f t="shared" si="1"/>
        <v>0</v>
      </c>
      <c r="Y33" s="393"/>
      <c r="Z33" s="498">
        <f t="shared" si="2"/>
        <v>0</v>
      </c>
      <c r="AA33" s="368"/>
      <c r="AB33" s="368"/>
      <c r="AC33" s="368"/>
      <c r="AD33" s="368"/>
      <c r="AE33" s="365">
        <f t="shared" si="3"/>
        <v>0</v>
      </c>
      <c r="AF33" s="262"/>
      <c r="AG33" s="457"/>
      <c r="AH33" s="264"/>
    </row>
    <row r="34" spans="1:34" ht="15.75" thickBot="1" x14ac:dyDescent="0.3">
      <c r="A34" s="474"/>
      <c r="B34" s="447" t="s">
        <v>313</v>
      </c>
      <c r="C34" s="463"/>
      <c r="D34" s="449" t="s">
        <v>261</v>
      </c>
      <c r="E34" s="262"/>
      <c r="F34" s="463" t="s">
        <v>321</v>
      </c>
      <c r="G34" s="387" t="e">
        <f>VLOOKUP(A34,'Feature Summary'!$A$7:$C$3944,3,FALSE)</f>
        <v>#N/A</v>
      </c>
      <c r="H34" s="463" t="s">
        <v>325</v>
      </c>
      <c r="I34" s="463"/>
      <c r="J34" s="477" t="s">
        <v>297</v>
      </c>
      <c r="K34" s="263"/>
      <c r="L34" s="390"/>
      <c r="M34" s="399" t="s">
        <v>33</v>
      </c>
      <c r="N34" s="475">
        <v>1</v>
      </c>
      <c r="O34" s="390"/>
      <c r="P34" s="496">
        <f t="shared" si="10"/>
        <v>0</v>
      </c>
      <c r="Q34" s="445" t="s">
        <v>52</v>
      </c>
      <c r="R34" s="390"/>
      <c r="S34" s="362">
        <f t="shared" si="4"/>
        <v>0</v>
      </c>
      <c r="T34" s="368"/>
      <c r="U34" s="368"/>
      <c r="V34" s="368"/>
      <c r="W34" s="368"/>
      <c r="X34" s="364">
        <f t="shared" si="1"/>
        <v>0</v>
      </c>
      <c r="Y34" s="393"/>
      <c r="Z34" s="498">
        <f t="shared" si="2"/>
        <v>0</v>
      </c>
      <c r="AA34" s="368"/>
      <c r="AB34" s="368"/>
      <c r="AC34" s="368"/>
      <c r="AD34" s="368"/>
      <c r="AE34" s="365">
        <f t="shared" si="3"/>
        <v>0</v>
      </c>
      <c r="AF34" s="262"/>
      <c r="AG34" s="457"/>
      <c r="AH34" s="264"/>
    </row>
    <row r="35" spans="1:34" ht="15.75" thickBot="1" x14ac:dyDescent="0.3">
      <c r="A35" s="474"/>
      <c r="B35" s="447" t="s">
        <v>313</v>
      </c>
      <c r="C35" s="463"/>
      <c r="D35" s="449" t="s">
        <v>261</v>
      </c>
      <c r="E35" s="262"/>
      <c r="F35" s="463" t="s">
        <v>316</v>
      </c>
      <c r="G35" s="387" t="e">
        <f>VLOOKUP(A35,'Feature Summary'!$A$7:$C$3944,3,FALSE)</f>
        <v>#N/A</v>
      </c>
      <c r="H35" s="463" t="s">
        <v>326</v>
      </c>
      <c r="I35" s="463"/>
      <c r="J35" s="477" t="s">
        <v>303</v>
      </c>
      <c r="K35" s="263"/>
      <c r="L35" s="390"/>
      <c r="M35" s="399" t="s">
        <v>33</v>
      </c>
      <c r="N35" s="475">
        <v>1</v>
      </c>
      <c r="O35" s="390"/>
      <c r="P35" s="496">
        <f t="shared" si="10"/>
        <v>0</v>
      </c>
      <c r="Q35" s="445" t="s">
        <v>52</v>
      </c>
      <c r="R35" s="390"/>
      <c r="S35" s="362">
        <f t="shared" si="4"/>
        <v>0</v>
      </c>
      <c r="T35" s="368"/>
      <c r="U35" s="368"/>
      <c r="V35" s="368"/>
      <c r="W35" s="368"/>
      <c r="X35" s="364">
        <f t="shared" si="1"/>
        <v>0</v>
      </c>
      <c r="Y35" s="393"/>
      <c r="Z35" s="498">
        <f t="shared" si="2"/>
        <v>0</v>
      </c>
      <c r="AA35" s="368"/>
      <c r="AB35" s="368"/>
      <c r="AC35" s="368"/>
      <c r="AD35" s="368"/>
      <c r="AE35" s="365">
        <f t="shared" si="3"/>
        <v>0</v>
      </c>
      <c r="AF35" s="262"/>
      <c r="AG35" s="457"/>
      <c r="AH35" s="264"/>
    </row>
    <row r="36" spans="1:34" ht="15.75" thickBot="1" x14ac:dyDescent="0.3">
      <c r="A36" s="474"/>
      <c r="B36" s="447" t="s">
        <v>313</v>
      </c>
      <c r="C36" s="463"/>
      <c r="D36" s="449" t="s">
        <v>261</v>
      </c>
      <c r="E36" s="262"/>
      <c r="F36" s="463" t="s">
        <v>316</v>
      </c>
      <c r="G36" s="387" t="e">
        <f>VLOOKUP(A36,'Feature Summary'!$A$7:$C$3944,3,FALSE)</f>
        <v>#N/A</v>
      </c>
      <c r="H36" s="463" t="s">
        <v>327</v>
      </c>
      <c r="I36" s="463"/>
      <c r="J36" s="477" t="s">
        <v>328</v>
      </c>
      <c r="K36" s="263"/>
      <c r="L36" s="390"/>
      <c r="M36" s="399" t="s">
        <v>33</v>
      </c>
      <c r="N36" s="475">
        <v>1</v>
      </c>
      <c r="O36" s="390"/>
      <c r="P36" s="496">
        <f t="shared" si="10"/>
        <v>0</v>
      </c>
      <c r="Q36" s="445" t="s">
        <v>52</v>
      </c>
      <c r="R36" s="390"/>
      <c r="S36" s="362">
        <f t="shared" si="4"/>
        <v>0</v>
      </c>
      <c r="T36" s="368"/>
      <c r="U36" s="368"/>
      <c r="V36" s="368"/>
      <c r="W36" s="368"/>
      <c r="X36" s="364">
        <f t="shared" si="1"/>
        <v>0</v>
      </c>
      <c r="Y36" s="393"/>
      <c r="Z36" s="498">
        <f t="shared" si="2"/>
        <v>0</v>
      </c>
      <c r="AA36" s="368"/>
      <c r="AB36" s="368"/>
      <c r="AC36" s="368"/>
      <c r="AD36" s="368"/>
      <c r="AE36" s="365">
        <f t="shared" si="3"/>
        <v>0</v>
      </c>
      <c r="AF36" s="262"/>
      <c r="AG36" s="457"/>
      <c r="AH36" s="264"/>
    </row>
    <row r="37" spans="1:34" ht="15.75" thickBot="1" x14ac:dyDescent="0.3">
      <c r="A37" s="474"/>
      <c r="B37" s="447" t="s">
        <v>313</v>
      </c>
      <c r="C37" s="463"/>
      <c r="D37" s="449" t="s">
        <v>261</v>
      </c>
      <c r="E37" s="262"/>
      <c r="F37" s="463" t="s">
        <v>318</v>
      </c>
      <c r="G37" s="387" t="e">
        <f>VLOOKUP(A37,'Feature Summary'!$A$7:$C$3944,3,FALSE)</f>
        <v>#N/A</v>
      </c>
      <c r="H37" s="463" t="s">
        <v>329</v>
      </c>
      <c r="I37" s="463"/>
      <c r="J37" s="477" t="s">
        <v>330</v>
      </c>
      <c r="K37" s="263"/>
      <c r="L37" s="390"/>
      <c r="M37" s="399" t="s">
        <v>33</v>
      </c>
      <c r="N37" s="475">
        <v>1</v>
      </c>
      <c r="O37" s="390"/>
      <c r="P37" s="496">
        <f t="shared" si="10"/>
        <v>0</v>
      </c>
      <c r="Q37" s="445" t="s">
        <v>52</v>
      </c>
      <c r="R37" s="390"/>
      <c r="S37" s="362">
        <f t="shared" si="4"/>
        <v>0</v>
      </c>
      <c r="T37" s="368"/>
      <c r="U37" s="368"/>
      <c r="V37" s="368"/>
      <c r="W37" s="368"/>
      <c r="X37" s="364">
        <f t="shared" si="1"/>
        <v>0</v>
      </c>
      <c r="Y37" s="393"/>
      <c r="Z37" s="498">
        <f t="shared" si="2"/>
        <v>0</v>
      </c>
      <c r="AA37" s="368"/>
      <c r="AB37" s="368"/>
      <c r="AC37" s="368"/>
      <c r="AD37" s="368"/>
      <c r="AE37" s="365">
        <f t="shared" si="3"/>
        <v>0</v>
      </c>
      <c r="AF37" s="262"/>
      <c r="AG37" s="457"/>
      <c r="AH37" s="264"/>
    </row>
    <row r="38" spans="1:34" ht="15.75" thickBot="1" x14ac:dyDescent="0.3">
      <c r="A38" s="474" t="s">
        <v>312</v>
      </c>
      <c r="B38" s="447" t="s">
        <v>313</v>
      </c>
      <c r="C38" s="580" t="s">
        <v>260</v>
      </c>
      <c r="D38" s="449" t="s">
        <v>261</v>
      </c>
      <c r="E38" s="262"/>
      <c r="F38" s="463" t="s">
        <v>331</v>
      </c>
      <c r="G38" s="387" t="str">
        <f>VLOOKUP(A38,'Feature Summary'!$A$7:$C$3944,3,FALSE)</f>
        <v>P2</v>
      </c>
      <c r="H38" s="463" t="s">
        <v>332</v>
      </c>
      <c r="I38" s="488" t="s">
        <v>264</v>
      </c>
      <c r="J38" s="477" t="s">
        <v>281</v>
      </c>
      <c r="K38" s="263">
        <v>1</v>
      </c>
      <c r="L38" s="390">
        <v>1</v>
      </c>
      <c r="M38" s="399" t="s">
        <v>33</v>
      </c>
      <c r="N38" s="475">
        <v>1</v>
      </c>
      <c r="O38" s="390">
        <v>1</v>
      </c>
      <c r="P38" s="496">
        <f t="shared" si="10"/>
        <v>1</v>
      </c>
      <c r="Q38" s="445" t="s">
        <v>52</v>
      </c>
      <c r="R38" s="390">
        <v>1</v>
      </c>
      <c r="S38" s="362">
        <f t="shared" si="4"/>
        <v>1</v>
      </c>
      <c r="T38" s="368">
        <v>1</v>
      </c>
      <c r="U38" s="368"/>
      <c r="V38" s="368"/>
      <c r="W38" s="368"/>
      <c r="X38" s="364">
        <f t="shared" si="1"/>
        <v>1</v>
      </c>
      <c r="Y38" s="393"/>
      <c r="Z38" s="498">
        <f t="shared" si="2"/>
        <v>0</v>
      </c>
      <c r="AA38" s="368"/>
      <c r="AB38" s="368"/>
      <c r="AC38" s="368"/>
      <c r="AD38" s="368"/>
      <c r="AE38" s="365">
        <f t="shared" si="3"/>
        <v>0</v>
      </c>
      <c r="AF38" s="262"/>
      <c r="AG38" s="457"/>
      <c r="AH38" s="264"/>
    </row>
    <row r="39" spans="1:34" ht="15.75" thickBot="1" x14ac:dyDescent="0.3">
      <c r="A39" s="474"/>
      <c r="B39" s="447" t="s">
        <v>313</v>
      </c>
      <c r="C39" s="463"/>
      <c r="D39" s="449" t="s">
        <v>261</v>
      </c>
      <c r="E39" s="262"/>
      <c r="F39" s="463" t="s">
        <v>331</v>
      </c>
      <c r="G39" s="387" t="e">
        <f>VLOOKUP(A39,'Feature Summary'!$A$7:$C$3944,3,FALSE)</f>
        <v>#N/A</v>
      </c>
      <c r="H39" s="463" t="s">
        <v>333</v>
      </c>
      <c r="I39" s="463"/>
      <c r="J39" s="477" t="s">
        <v>328</v>
      </c>
      <c r="K39" s="263"/>
      <c r="L39" s="390"/>
      <c r="M39" s="399" t="s">
        <v>33</v>
      </c>
      <c r="N39" s="475">
        <v>1</v>
      </c>
      <c r="O39" s="390"/>
      <c r="P39" s="496">
        <f t="shared" si="10"/>
        <v>0</v>
      </c>
      <c r="Q39" s="445" t="s">
        <v>52</v>
      </c>
      <c r="R39" s="390"/>
      <c r="S39" s="362">
        <f t="shared" si="4"/>
        <v>0</v>
      </c>
      <c r="T39" s="368"/>
      <c r="U39" s="368"/>
      <c r="V39" s="368"/>
      <c r="W39" s="368"/>
      <c r="X39" s="364">
        <f t="shared" si="1"/>
        <v>0</v>
      </c>
      <c r="Y39" s="393"/>
      <c r="Z39" s="498">
        <f t="shared" si="2"/>
        <v>0</v>
      </c>
      <c r="AA39" s="368"/>
      <c r="AB39" s="368"/>
      <c r="AC39" s="368"/>
      <c r="AD39" s="368"/>
      <c r="AE39" s="365">
        <f t="shared" si="3"/>
        <v>0</v>
      </c>
      <c r="AF39" s="262"/>
      <c r="AG39" s="457"/>
      <c r="AH39" s="264"/>
    </row>
    <row r="40" spans="1:34" ht="15.75" thickBot="1" x14ac:dyDescent="0.3">
      <c r="A40" s="474"/>
      <c r="B40" s="447" t="s">
        <v>313</v>
      </c>
      <c r="C40" s="463"/>
      <c r="D40" s="449" t="s">
        <v>261</v>
      </c>
      <c r="E40" s="262"/>
      <c r="F40" s="463" t="s">
        <v>331</v>
      </c>
      <c r="G40" s="387" t="e">
        <f>VLOOKUP(A40,'Feature Summary'!$A$7:$C$3944,3,FALSE)</f>
        <v>#N/A</v>
      </c>
      <c r="H40" s="463" t="s">
        <v>334</v>
      </c>
      <c r="I40" s="463"/>
      <c r="J40" s="477" t="s">
        <v>303</v>
      </c>
      <c r="K40" s="263"/>
      <c r="L40" s="390"/>
      <c r="M40" s="399" t="s">
        <v>33</v>
      </c>
      <c r="N40" s="475">
        <v>1</v>
      </c>
      <c r="O40" s="390"/>
      <c r="P40" s="496">
        <f t="shared" si="10"/>
        <v>0</v>
      </c>
      <c r="Q40" s="445" t="s">
        <v>52</v>
      </c>
      <c r="R40" s="390"/>
      <c r="S40" s="362">
        <f t="shared" si="4"/>
        <v>0</v>
      </c>
      <c r="T40" s="368"/>
      <c r="U40" s="368"/>
      <c r="V40" s="368"/>
      <c r="W40" s="368"/>
      <c r="X40" s="364">
        <f t="shared" si="1"/>
        <v>0</v>
      </c>
      <c r="Y40" s="393"/>
      <c r="Z40" s="498">
        <f t="shared" si="2"/>
        <v>0</v>
      </c>
      <c r="AA40" s="368"/>
      <c r="AB40" s="368"/>
      <c r="AC40" s="368"/>
      <c r="AD40" s="368"/>
      <c r="AE40" s="365">
        <f t="shared" si="3"/>
        <v>0</v>
      </c>
      <c r="AF40" s="558"/>
      <c r="AG40" s="457"/>
      <c r="AH40" s="264"/>
    </row>
    <row r="41" spans="1:34" ht="15" customHeight="1" thickBot="1" x14ac:dyDescent="0.3">
      <c r="A41" s="474" t="s">
        <v>312</v>
      </c>
      <c r="B41" s="447" t="s">
        <v>313</v>
      </c>
      <c r="C41" s="463" t="s">
        <v>335</v>
      </c>
      <c r="D41" s="449" t="s">
        <v>261</v>
      </c>
      <c r="E41" s="262"/>
      <c r="F41" s="463" t="s">
        <v>336</v>
      </c>
      <c r="G41" s="387" t="str">
        <f>VLOOKUP(A41,'Feature Summary'!$A$7:$C$3944,3,FALSE)</f>
        <v>P2</v>
      </c>
      <c r="H41" s="463" t="s">
        <v>337</v>
      </c>
      <c r="I41" s="488" t="s">
        <v>264</v>
      </c>
      <c r="J41" s="477" t="s">
        <v>281</v>
      </c>
      <c r="K41" s="263">
        <v>1</v>
      </c>
      <c r="L41" s="390">
        <v>1</v>
      </c>
      <c r="M41" s="399" t="s">
        <v>33</v>
      </c>
      <c r="N41" s="475">
        <v>1</v>
      </c>
      <c r="O41" s="390">
        <v>1</v>
      </c>
      <c r="P41" s="496">
        <f t="shared" si="10"/>
        <v>1</v>
      </c>
      <c r="Q41" s="445" t="s">
        <v>52</v>
      </c>
      <c r="R41" s="390">
        <v>1</v>
      </c>
      <c r="S41" s="362">
        <f t="shared" si="4"/>
        <v>1</v>
      </c>
      <c r="T41" s="368">
        <v>1</v>
      </c>
      <c r="U41" s="368"/>
      <c r="V41" s="368"/>
      <c r="W41" s="368"/>
      <c r="X41" s="364">
        <f t="shared" si="1"/>
        <v>1</v>
      </c>
      <c r="Y41" s="393"/>
      <c r="Z41" s="498">
        <f t="shared" si="2"/>
        <v>0</v>
      </c>
      <c r="AA41" s="368"/>
      <c r="AB41" s="368"/>
      <c r="AC41" s="368"/>
      <c r="AD41" s="368"/>
      <c r="AE41" s="365">
        <f t="shared" si="3"/>
        <v>0</v>
      </c>
      <c r="AF41" s="262"/>
      <c r="AG41" s="457"/>
      <c r="AH41" s="264"/>
    </row>
    <row r="42" spans="1:34" ht="15" customHeight="1" thickBot="1" x14ac:dyDescent="0.3">
      <c r="A42" s="474" t="s">
        <v>312</v>
      </c>
      <c r="B42" s="447" t="s">
        <v>313</v>
      </c>
      <c r="C42" s="463" t="s">
        <v>335</v>
      </c>
      <c r="D42" s="449" t="s">
        <v>261</v>
      </c>
      <c r="E42" s="262"/>
      <c r="F42" s="463" t="s">
        <v>338</v>
      </c>
      <c r="G42" s="387" t="str">
        <f>VLOOKUP(A42,'Feature Summary'!$A$7:$C$3944,3,FALSE)</f>
        <v>P2</v>
      </c>
      <c r="H42" s="463" t="s">
        <v>339</v>
      </c>
      <c r="I42" s="488" t="s">
        <v>264</v>
      </c>
      <c r="J42" s="477" t="s">
        <v>281</v>
      </c>
      <c r="K42" s="263">
        <v>1</v>
      </c>
      <c r="L42" s="390">
        <v>1</v>
      </c>
      <c r="M42" s="399" t="s">
        <v>33</v>
      </c>
      <c r="N42" s="475">
        <v>1</v>
      </c>
      <c r="O42" s="390">
        <v>1</v>
      </c>
      <c r="P42" s="496">
        <f t="shared" si="10"/>
        <v>1</v>
      </c>
      <c r="Q42" s="445" t="s">
        <v>52</v>
      </c>
      <c r="R42" s="390">
        <v>1</v>
      </c>
      <c r="S42" s="362">
        <f t="shared" si="4"/>
        <v>1</v>
      </c>
      <c r="T42" s="368">
        <v>1</v>
      </c>
      <c r="U42" s="368"/>
      <c r="V42" s="368"/>
      <c r="W42" s="368"/>
      <c r="X42" s="364">
        <f t="shared" si="1"/>
        <v>1</v>
      </c>
      <c r="Y42" s="393"/>
      <c r="Z42" s="498">
        <f t="shared" si="2"/>
        <v>0</v>
      </c>
      <c r="AA42" s="368"/>
      <c r="AB42" s="368"/>
      <c r="AC42" s="368"/>
      <c r="AD42" s="368"/>
      <c r="AE42" s="365">
        <f t="shared" si="3"/>
        <v>0</v>
      </c>
      <c r="AF42" s="262"/>
      <c r="AG42" s="457"/>
      <c r="AH42" s="264"/>
    </row>
    <row r="43" spans="1:34" ht="15.75" thickBot="1" x14ac:dyDescent="0.3">
      <c r="A43" s="474"/>
      <c r="B43" s="447" t="s">
        <v>313</v>
      </c>
      <c r="C43" s="463"/>
      <c r="D43" s="449" t="s">
        <v>261</v>
      </c>
      <c r="E43" s="262"/>
      <c r="F43" s="463" t="s">
        <v>336</v>
      </c>
      <c r="G43" s="387" t="e">
        <f>VLOOKUP(A43,'Feature Summary'!$A$7:$C$3944,3,FALSE)</f>
        <v>#N/A</v>
      </c>
      <c r="H43" s="463" t="s">
        <v>340</v>
      </c>
      <c r="I43" s="463"/>
      <c r="J43" s="477" t="s">
        <v>328</v>
      </c>
      <c r="K43" s="263"/>
      <c r="L43" s="390"/>
      <c r="M43" s="399" t="s">
        <v>33</v>
      </c>
      <c r="N43" s="475">
        <v>1</v>
      </c>
      <c r="O43" s="390"/>
      <c r="P43" s="496">
        <f t="shared" si="10"/>
        <v>0</v>
      </c>
      <c r="Q43" s="445" t="s">
        <v>52</v>
      </c>
      <c r="R43" s="390"/>
      <c r="S43" s="362">
        <f t="shared" si="4"/>
        <v>0</v>
      </c>
      <c r="T43" s="368"/>
      <c r="U43" s="368"/>
      <c r="V43" s="368"/>
      <c r="W43" s="368"/>
      <c r="X43" s="364">
        <f t="shared" si="1"/>
        <v>0</v>
      </c>
      <c r="Y43" s="393"/>
      <c r="Z43" s="498">
        <f t="shared" si="2"/>
        <v>0</v>
      </c>
      <c r="AA43" s="368"/>
      <c r="AB43" s="368"/>
      <c r="AC43" s="368"/>
      <c r="AD43" s="368"/>
      <c r="AE43" s="365">
        <f t="shared" si="3"/>
        <v>0</v>
      </c>
      <c r="AF43" s="262"/>
      <c r="AG43" s="457"/>
      <c r="AH43" s="264"/>
    </row>
    <row r="44" spans="1:34" ht="15.75" thickBot="1" x14ac:dyDescent="0.3">
      <c r="A44" s="474"/>
      <c r="B44" s="447" t="s">
        <v>313</v>
      </c>
      <c r="C44" s="463"/>
      <c r="D44" s="449" t="s">
        <v>261</v>
      </c>
      <c r="E44" s="262"/>
      <c r="F44" s="463" t="s">
        <v>338</v>
      </c>
      <c r="G44" s="387" t="e">
        <f>VLOOKUP(A44,'Feature Summary'!$A$7:$C$3944,3,FALSE)</f>
        <v>#N/A</v>
      </c>
      <c r="H44" s="463" t="s">
        <v>341</v>
      </c>
      <c r="I44" s="463"/>
      <c r="J44" s="477" t="s">
        <v>328</v>
      </c>
      <c r="K44" s="263"/>
      <c r="L44" s="390"/>
      <c r="M44" s="399" t="s">
        <v>33</v>
      </c>
      <c r="N44" s="475">
        <v>1</v>
      </c>
      <c r="O44" s="390"/>
      <c r="P44" s="496">
        <f t="shared" si="10"/>
        <v>0</v>
      </c>
      <c r="Q44" s="445" t="s">
        <v>52</v>
      </c>
      <c r="R44" s="390"/>
      <c r="S44" s="362">
        <f t="shared" si="4"/>
        <v>0</v>
      </c>
      <c r="T44" s="368"/>
      <c r="U44" s="368"/>
      <c r="V44" s="368"/>
      <c r="W44" s="368"/>
      <c r="X44" s="364">
        <f t="shared" si="1"/>
        <v>0</v>
      </c>
      <c r="Y44" s="393"/>
      <c r="Z44" s="498">
        <f t="shared" si="2"/>
        <v>0</v>
      </c>
      <c r="AA44" s="368"/>
      <c r="AB44" s="368"/>
      <c r="AC44" s="368"/>
      <c r="AD44" s="368"/>
      <c r="AE44" s="365">
        <f t="shared" si="3"/>
        <v>0</v>
      </c>
      <c r="AF44" s="262"/>
      <c r="AG44" s="457"/>
      <c r="AH44" s="264"/>
    </row>
    <row r="45" spans="1:34" ht="15.75" thickBot="1" x14ac:dyDescent="0.3">
      <c r="A45" s="474"/>
      <c r="B45" s="447" t="s">
        <v>313</v>
      </c>
      <c r="C45" s="463"/>
      <c r="D45" s="449" t="s">
        <v>261</v>
      </c>
      <c r="E45" s="262"/>
      <c r="F45" s="463" t="s">
        <v>336</v>
      </c>
      <c r="G45" s="387" t="e">
        <f>VLOOKUP(A45,'Feature Summary'!$A$7:$C$3944,3,FALSE)</f>
        <v>#N/A</v>
      </c>
      <c r="H45" s="463" t="s">
        <v>342</v>
      </c>
      <c r="I45" s="463"/>
      <c r="J45" s="477" t="s">
        <v>297</v>
      </c>
      <c r="K45" s="263"/>
      <c r="L45" s="390"/>
      <c r="M45" s="399" t="s">
        <v>33</v>
      </c>
      <c r="N45" s="475">
        <v>1</v>
      </c>
      <c r="O45" s="390"/>
      <c r="P45" s="496">
        <f t="shared" si="10"/>
        <v>0</v>
      </c>
      <c r="Q45" s="445" t="s">
        <v>52</v>
      </c>
      <c r="R45" s="390"/>
      <c r="S45" s="362">
        <f t="shared" si="4"/>
        <v>0</v>
      </c>
      <c r="T45" s="368"/>
      <c r="U45" s="368"/>
      <c r="V45" s="368"/>
      <c r="W45" s="368"/>
      <c r="X45" s="364">
        <f t="shared" si="1"/>
        <v>0</v>
      </c>
      <c r="Y45" s="393"/>
      <c r="Z45" s="498">
        <f t="shared" si="2"/>
        <v>0</v>
      </c>
      <c r="AA45" s="368"/>
      <c r="AB45" s="368"/>
      <c r="AC45" s="368"/>
      <c r="AD45" s="368"/>
      <c r="AE45" s="365">
        <f t="shared" si="3"/>
        <v>0</v>
      </c>
      <c r="AF45" s="262"/>
      <c r="AG45" s="457"/>
      <c r="AH45" s="264"/>
    </row>
    <row r="46" spans="1:34" ht="15.75" thickBot="1" x14ac:dyDescent="0.3">
      <c r="A46" s="474"/>
      <c r="B46" s="447" t="s">
        <v>313</v>
      </c>
      <c r="C46" s="463"/>
      <c r="D46" s="449" t="s">
        <v>261</v>
      </c>
      <c r="E46" s="262"/>
      <c r="F46" s="463" t="s">
        <v>338</v>
      </c>
      <c r="G46" s="387" t="e">
        <f>VLOOKUP(A46,'Feature Summary'!$A$7:$C$3944,3,FALSE)</f>
        <v>#N/A</v>
      </c>
      <c r="H46" s="463" t="s">
        <v>343</v>
      </c>
      <c r="I46" s="463"/>
      <c r="J46" s="477" t="s">
        <v>297</v>
      </c>
      <c r="K46" s="263"/>
      <c r="L46" s="390"/>
      <c r="M46" s="399" t="s">
        <v>33</v>
      </c>
      <c r="N46" s="475">
        <v>1</v>
      </c>
      <c r="O46" s="390"/>
      <c r="P46" s="496">
        <f t="shared" si="10"/>
        <v>0</v>
      </c>
      <c r="Q46" s="445" t="s">
        <v>52</v>
      </c>
      <c r="R46" s="390"/>
      <c r="S46" s="362">
        <f t="shared" si="4"/>
        <v>0</v>
      </c>
      <c r="T46" s="368"/>
      <c r="U46" s="368"/>
      <c r="V46" s="368"/>
      <c r="W46" s="368"/>
      <c r="X46" s="364">
        <f t="shared" si="1"/>
        <v>0</v>
      </c>
      <c r="Y46" s="393"/>
      <c r="Z46" s="498">
        <f t="shared" si="2"/>
        <v>0</v>
      </c>
      <c r="AA46" s="368"/>
      <c r="AB46" s="368"/>
      <c r="AC46" s="368"/>
      <c r="AD46" s="368"/>
      <c r="AE46" s="365">
        <f t="shared" si="3"/>
        <v>0</v>
      </c>
      <c r="AF46" s="262"/>
      <c r="AG46" s="457"/>
      <c r="AH46" s="264"/>
    </row>
    <row r="47" spans="1:34" ht="30.75" thickBot="1" x14ac:dyDescent="0.3">
      <c r="A47" s="270" t="s">
        <v>344</v>
      </c>
      <c r="B47" s="447" t="s">
        <v>306</v>
      </c>
      <c r="C47" s="580" t="s">
        <v>260</v>
      </c>
      <c r="D47" s="449" t="s">
        <v>261</v>
      </c>
      <c r="E47" s="262"/>
      <c r="F47" s="463" t="s">
        <v>345</v>
      </c>
      <c r="G47" s="387" t="e">
        <f>VLOOKUP(A47,'Feature Summary'!$A$7:$C$3944,3,FALSE)</f>
        <v>#N/A</v>
      </c>
      <c r="H47" s="463" t="s">
        <v>346</v>
      </c>
      <c r="I47" s="488" t="s">
        <v>264</v>
      </c>
      <c r="J47" s="477" t="s">
        <v>281</v>
      </c>
      <c r="K47" s="263">
        <v>1</v>
      </c>
      <c r="L47" s="390">
        <v>1</v>
      </c>
      <c r="M47" s="399" t="s">
        <v>33</v>
      </c>
      <c r="N47" s="475">
        <v>1</v>
      </c>
      <c r="O47" s="390">
        <v>1</v>
      </c>
      <c r="P47" s="496">
        <f t="shared" si="10"/>
        <v>1</v>
      </c>
      <c r="Q47" s="445" t="s">
        <v>52</v>
      </c>
      <c r="R47" s="390">
        <v>1</v>
      </c>
      <c r="S47" s="362">
        <f t="shared" si="4"/>
        <v>1</v>
      </c>
      <c r="T47" s="368">
        <v>1</v>
      </c>
      <c r="U47" s="368"/>
      <c r="V47" s="368"/>
      <c r="W47" s="368"/>
      <c r="X47" s="364">
        <f t="shared" si="1"/>
        <v>1</v>
      </c>
      <c r="Y47" s="393"/>
      <c r="Z47" s="498">
        <f t="shared" si="2"/>
        <v>0</v>
      </c>
      <c r="AA47" s="368"/>
      <c r="AB47" s="368"/>
      <c r="AC47" s="368"/>
      <c r="AD47" s="368"/>
      <c r="AE47" s="365">
        <f t="shared" si="3"/>
        <v>0</v>
      </c>
      <c r="AF47" s="262"/>
      <c r="AG47" s="457"/>
      <c r="AH47" s="264"/>
    </row>
    <row r="48" spans="1:34" ht="30.75" thickBot="1" x14ac:dyDescent="0.3">
      <c r="A48" s="270" t="s">
        <v>344</v>
      </c>
      <c r="B48" s="447" t="s">
        <v>306</v>
      </c>
      <c r="C48" s="580" t="s">
        <v>260</v>
      </c>
      <c r="D48" s="449" t="s">
        <v>261</v>
      </c>
      <c r="E48" s="262"/>
      <c r="F48" s="463" t="s">
        <v>347</v>
      </c>
      <c r="G48" s="387" t="e">
        <f>VLOOKUP(A48,'Feature Summary'!$A$7:$C$3944,3,FALSE)</f>
        <v>#N/A</v>
      </c>
      <c r="H48" s="463" t="s">
        <v>348</v>
      </c>
      <c r="I48" s="488" t="s">
        <v>264</v>
      </c>
      <c r="J48" s="477" t="s">
        <v>281</v>
      </c>
      <c r="K48" s="263">
        <v>1</v>
      </c>
      <c r="L48" s="390">
        <v>1</v>
      </c>
      <c r="M48" s="399" t="s">
        <v>33</v>
      </c>
      <c r="N48" s="475">
        <v>1</v>
      </c>
      <c r="O48" s="390">
        <v>1</v>
      </c>
      <c r="P48" s="496">
        <f t="shared" si="10"/>
        <v>1</v>
      </c>
      <c r="Q48" s="445" t="s">
        <v>52</v>
      </c>
      <c r="R48" s="390">
        <v>1</v>
      </c>
      <c r="S48" s="362">
        <f>SUM(T48:W48)</f>
        <v>1</v>
      </c>
      <c r="T48" s="368">
        <v>1</v>
      </c>
      <c r="U48" s="368"/>
      <c r="V48" s="368"/>
      <c r="W48" s="368"/>
      <c r="X48" s="364">
        <f t="shared" si="1"/>
        <v>1</v>
      </c>
      <c r="Y48" s="393"/>
      <c r="Z48" s="498">
        <f t="shared" si="2"/>
        <v>0</v>
      </c>
      <c r="AA48" s="368"/>
      <c r="AB48" s="368"/>
      <c r="AC48" s="368"/>
      <c r="AD48" s="368"/>
      <c r="AE48" s="365">
        <f t="shared" si="3"/>
        <v>0</v>
      </c>
      <c r="AF48" s="262"/>
      <c r="AG48" s="457"/>
      <c r="AH48" s="264"/>
    </row>
    <row r="49" spans="1:34" ht="48" customHeight="1" thickBot="1" x14ac:dyDescent="0.3">
      <c r="A49" s="474"/>
      <c r="B49" s="447" t="s">
        <v>306</v>
      </c>
      <c r="C49" s="463"/>
      <c r="D49" s="449" t="s">
        <v>261</v>
      </c>
      <c r="E49" s="262"/>
      <c r="F49" s="463" t="s">
        <v>345</v>
      </c>
      <c r="G49" s="387" t="e">
        <f>VLOOKUP(A49,'Feature Summary'!$A$7:$C$3944,3,FALSE)</f>
        <v>#N/A</v>
      </c>
      <c r="H49" s="463" t="s">
        <v>349</v>
      </c>
      <c r="I49" s="463"/>
      <c r="J49" s="477" t="s">
        <v>328</v>
      </c>
      <c r="K49" s="263"/>
      <c r="L49" s="390"/>
      <c r="M49" s="399" t="s">
        <v>33</v>
      </c>
      <c r="N49" s="475">
        <v>1</v>
      </c>
      <c r="O49" s="390"/>
      <c r="P49" s="496">
        <f t="shared" si="10"/>
        <v>0</v>
      </c>
      <c r="Q49" s="445" t="s">
        <v>52</v>
      </c>
      <c r="R49" s="390"/>
      <c r="S49" s="362">
        <f t="shared" si="4"/>
        <v>0</v>
      </c>
      <c r="T49" s="368"/>
      <c r="U49" s="368"/>
      <c r="V49" s="368"/>
      <c r="W49" s="368"/>
      <c r="X49" s="364">
        <f t="shared" si="1"/>
        <v>0</v>
      </c>
      <c r="Y49" s="393"/>
      <c r="Z49" s="498">
        <f t="shared" si="2"/>
        <v>0</v>
      </c>
      <c r="AA49" s="368"/>
      <c r="AB49" s="368"/>
      <c r="AC49" s="368"/>
      <c r="AD49" s="368"/>
      <c r="AE49" s="365">
        <f t="shared" si="3"/>
        <v>0</v>
      </c>
      <c r="AF49" s="558"/>
      <c r="AG49" s="457"/>
      <c r="AH49" s="264"/>
    </row>
    <row r="50" spans="1:34" ht="30.75" thickBot="1" x14ac:dyDescent="0.3">
      <c r="A50" s="474"/>
      <c r="B50" s="447" t="s">
        <v>306</v>
      </c>
      <c r="C50" s="463"/>
      <c r="D50" s="449" t="s">
        <v>261</v>
      </c>
      <c r="E50" s="262"/>
      <c r="F50" s="463" t="s">
        <v>345</v>
      </c>
      <c r="G50" s="387" t="e">
        <f>VLOOKUP(A50,'Feature Summary'!$A$7:$C$3944,3,FALSE)</f>
        <v>#N/A</v>
      </c>
      <c r="H50" s="463" t="s">
        <v>350</v>
      </c>
      <c r="I50" s="463"/>
      <c r="J50" s="477" t="s">
        <v>297</v>
      </c>
      <c r="K50" s="263"/>
      <c r="L50" s="390"/>
      <c r="M50" s="399" t="s">
        <v>33</v>
      </c>
      <c r="N50" s="475">
        <v>1</v>
      </c>
      <c r="O50" s="390"/>
      <c r="P50" s="496">
        <f t="shared" si="10"/>
        <v>0</v>
      </c>
      <c r="Q50" s="445" t="s">
        <v>52</v>
      </c>
      <c r="R50" s="390"/>
      <c r="S50" s="362">
        <f t="shared" si="4"/>
        <v>0</v>
      </c>
      <c r="T50" s="368"/>
      <c r="U50" s="368"/>
      <c r="V50" s="368"/>
      <c r="W50" s="368"/>
      <c r="X50" s="364">
        <f t="shared" si="1"/>
        <v>0</v>
      </c>
      <c r="Y50" s="393"/>
      <c r="Z50" s="498">
        <f t="shared" si="2"/>
        <v>0</v>
      </c>
      <c r="AA50" s="368"/>
      <c r="AB50" s="368"/>
      <c r="AC50" s="368"/>
      <c r="AD50" s="368"/>
      <c r="AE50" s="365">
        <f t="shared" si="3"/>
        <v>0</v>
      </c>
      <c r="AF50" s="262"/>
      <c r="AG50" s="457"/>
      <c r="AH50" s="264"/>
    </row>
    <row r="51" spans="1:34" ht="30.75" thickBot="1" x14ac:dyDescent="0.3">
      <c r="A51" s="474"/>
      <c r="B51" s="447" t="s">
        <v>306</v>
      </c>
      <c r="C51" s="463"/>
      <c r="D51" s="449" t="s">
        <v>261</v>
      </c>
      <c r="E51" s="262"/>
      <c r="F51" s="463" t="s">
        <v>347</v>
      </c>
      <c r="G51" s="387" t="e">
        <f>VLOOKUP(A51,'Feature Summary'!$A$7:$C$3944,3,FALSE)</f>
        <v>#N/A</v>
      </c>
      <c r="H51" s="463" t="s">
        <v>351</v>
      </c>
      <c r="I51" s="463"/>
      <c r="J51" s="477" t="s">
        <v>328</v>
      </c>
      <c r="K51" s="263"/>
      <c r="L51" s="390"/>
      <c r="M51" s="399" t="s">
        <v>33</v>
      </c>
      <c r="N51" s="475">
        <v>1</v>
      </c>
      <c r="O51" s="390"/>
      <c r="P51" s="496">
        <f>IF((O51=0),0,(O51/L51))</f>
        <v>0</v>
      </c>
      <c r="Q51" s="445" t="s">
        <v>52</v>
      </c>
      <c r="R51" s="390"/>
      <c r="S51" s="362">
        <f t="shared" si="4"/>
        <v>0</v>
      </c>
      <c r="T51" s="368"/>
      <c r="U51" s="368"/>
      <c r="V51" s="368"/>
      <c r="W51" s="368"/>
      <c r="X51" s="364">
        <f t="shared" si="1"/>
        <v>0</v>
      </c>
      <c r="Y51" s="393"/>
      <c r="Z51" s="498">
        <f t="shared" si="2"/>
        <v>0</v>
      </c>
      <c r="AA51" s="368"/>
      <c r="AB51" s="368"/>
      <c r="AC51" s="368"/>
      <c r="AD51" s="368"/>
      <c r="AE51" s="365">
        <f t="shared" si="3"/>
        <v>0</v>
      </c>
      <c r="AF51" s="262"/>
      <c r="AG51" s="457"/>
      <c r="AH51" s="264"/>
    </row>
    <row r="52" spans="1:34" ht="30.75" thickBot="1" x14ac:dyDescent="0.3">
      <c r="A52" s="474"/>
      <c r="B52" s="447" t="s">
        <v>306</v>
      </c>
      <c r="C52" s="463"/>
      <c r="D52" s="449" t="s">
        <v>261</v>
      </c>
      <c r="E52" s="262"/>
      <c r="F52" s="463" t="s">
        <v>347</v>
      </c>
      <c r="G52" s="387" t="e">
        <f>VLOOKUP(A52,'Feature Summary'!$A$7:$C$3944,3,FALSE)</f>
        <v>#N/A</v>
      </c>
      <c r="H52" s="463" t="s">
        <v>352</v>
      </c>
      <c r="I52" s="463"/>
      <c r="J52" s="477" t="s">
        <v>297</v>
      </c>
      <c r="K52" s="263"/>
      <c r="L52" s="390"/>
      <c r="M52" s="399" t="s">
        <v>33</v>
      </c>
      <c r="N52" s="475">
        <v>1</v>
      </c>
      <c r="O52" s="390"/>
      <c r="P52" s="496">
        <f>IF((O52=0),0,(O52/L52))</f>
        <v>0</v>
      </c>
      <c r="Q52" s="445" t="s">
        <v>52</v>
      </c>
      <c r="R52" s="390"/>
      <c r="S52" s="362">
        <f t="shared" si="4"/>
        <v>0</v>
      </c>
      <c r="T52" s="368"/>
      <c r="U52" s="368"/>
      <c r="V52" s="368"/>
      <c r="W52" s="368"/>
      <c r="X52" s="364">
        <f t="shared" si="1"/>
        <v>0</v>
      </c>
      <c r="Y52" s="393"/>
      <c r="Z52" s="498">
        <f t="shared" si="2"/>
        <v>0</v>
      </c>
      <c r="AA52" s="368"/>
      <c r="AB52" s="368"/>
      <c r="AC52" s="368"/>
      <c r="AD52" s="368"/>
      <c r="AE52" s="365">
        <f t="shared" si="3"/>
        <v>0</v>
      </c>
      <c r="AF52" s="262"/>
      <c r="AG52" s="457"/>
      <c r="AH52" s="264"/>
    </row>
    <row r="53" spans="1:34" ht="45.75" thickBot="1" x14ac:dyDescent="0.3">
      <c r="A53" s="474" t="s">
        <v>353</v>
      </c>
      <c r="B53" s="447" t="s">
        <v>313</v>
      </c>
      <c r="C53" s="580" t="s">
        <v>354</v>
      </c>
      <c r="D53" s="449" t="s">
        <v>261</v>
      </c>
      <c r="E53" s="262"/>
      <c r="F53" s="463" t="s">
        <v>355</v>
      </c>
      <c r="G53" s="387" t="e">
        <f>VLOOKUP(A53,'Feature Summary'!$A$7:$C$3944,3,FALSE)</f>
        <v>#N/A</v>
      </c>
      <c r="H53" s="463" t="s">
        <v>356</v>
      </c>
      <c r="I53" s="488" t="s">
        <v>264</v>
      </c>
      <c r="J53" s="477" t="s">
        <v>281</v>
      </c>
      <c r="K53" s="263">
        <v>1</v>
      </c>
      <c r="L53" s="390">
        <v>1</v>
      </c>
      <c r="M53" s="399" t="s">
        <v>33</v>
      </c>
      <c r="N53" s="475">
        <v>1</v>
      </c>
      <c r="O53" s="390">
        <v>1</v>
      </c>
      <c r="P53" s="496">
        <f t="shared" ref="P53:P57" si="11">IF((O53=0),0,(O53/L53))</f>
        <v>1</v>
      </c>
      <c r="Q53" s="445" t="s">
        <v>52</v>
      </c>
      <c r="R53" s="390">
        <v>1</v>
      </c>
      <c r="S53" s="362">
        <f>SUM(T53:W53)</f>
        <v>1</v>
      </c>
      <c r="T53" s="368">
        <v>1</v>
      </c>
      <c r="U53" s="368"/>
      <c r="V53" s="368"/>
      <c r="W53" s="368"/>
      <c r="X53" s="364">
        <f t="shared" si="1"/>
        <v>1</v>
      </c>
      <c r="Y53" s="393"/>
      <c r="Z53" s="498">
        <f t="shared" si="2"/>
        <v>0</v>
      </c>
      <c r="AA53" s="368"/>
      <c r="AB53" s="368"/>
      <c r="AC53" s="368"/>
      <c r="AD53" s="368"/>
      <c r="AE53" s="365">
        <f t="shared" si="3"/>
        <v>0</v>
      </c>
      <c r="AF53" s="262"/>
      <c r="AG53" s="457"/>
      <c r="AH53" s="264"/>
    </row>
    <row r="54" spans="1:34" ht="15.75" thickBot="1" x14ac:dyDescent="0.3">
      <c r="A54" s="474"/>
      <c r="B54" s="447" t="s">
        <v>313</v>
      </c>
      <c r="C54" s="580"/>
      <c r="D54" s="449" t="s">
        <v>261</v>
      </c>
      <c r="E54" s="262"/>
      <c r="F54" s="463" t="s">
        <v>355</v>
      </c>
      <c r="G54" s="387" t="e">
        <f>VLOOKUP(A54,'Feature Summary'!$A$7:$C$3944,3,FALSE)</f>
        <v>#N/A</v>
      </c>
      <c r="H54" s="463" t="s">
        <v>357</v>
      </c>
      <c r="I54" s="463"/>
      <c r="J54" s="477" t="s">
        <v>328</v>
      </c>
      <c r="K54" s="263"/>
      <c r="L54" s="390"/>
      <c r="M54" s="399" t="s">
        <v>33</v>
      </c>
      <c r="N54" s="475">
        <v>1</v>
      </c>
      <c r="O54" s="390"/>
      <c r="P54" s="496">
        <f t="shared" si="11"/>
        <v>0</v>
      </c>
      <c r="Q54" s="445" t="s">
        <v>52</v>
      </c>
      <c r="R54" s="390"/>
      <c r="S54" s="362">
        <f t="shared" si="4"/>
        <v>0</v>
      </c>
      <c r="T54" s="368"/>
      <c r="U54" s="368"/>
      <c r="V54" s="368"/>
      <c r="W54" s="368"/>
      <c r="X54" s="364">
        <f t="shared" si="1"/>
        <v>0</v>
      </c>
      <c r="Y54" s="393"/>
      <c r="Z54" s="498">
        <f t="shared" si="2"/>
        <v>0</v>
      </c>
      <c r="AA54" s="368"/>
      <c r="AB54" s="368"/>
      <c r="AC54" s="368"/>
      <c r="AD54" s="368"/>
      <c r="AE54" s="365">
        <f t="shared" si="3"/>
        <v>0</v>
      </c>
      <c r="AF54" s="262"/>
      <c r="AG54" s="457"/>
      <c r="AH54" s="264"/>
    </row>
    <row r="55" spans="1:34" ht="15.75" thickBot="1" x14ac:dyDescent="0.3">
      <c r="A55" s="474"/>
      <c r="B55" s="447" t="s">
        <v>313</v>
      </c>
      <c r="C55" s="580"/>
      <c r="D55" s="449" t="s">
        <v>261</v>
      </c>
      <c r="E55" s="262"/>
      <c r="F55" s="463" t="s">
        <v>355</v>
      </c>
      <c r="G55" s="387" t="e">
        <f>VLOOKUP(A55,'Feature Summary'!$A$7:$C$3944,3,FALSE)</f>
        <v>#N/A</v>
      </c>
      <c r="H55" s="463" t="s">
        <v>358</v>
      </c>
      <c r="I55" s="463"/>
      <c r="J55" s="477" t="s">
        <v>297</v>
      </c>
      <c r="K55" s="263"/>
      <c r="L55" s="390"/>
      <c r="M55" s="399" t="s">
        <v>33</v>
      </c>
      <c r="N55" s="475">
        <v>1</v>
      </c>
      <c r="O55" s="390"/>
      <c r="P55" s="496">
        <f t="shared" si="11"/>
        <v>0</v>
      </c>
      <c r="Q55" s="445" t="s">
        <v>52</v>
      </c>
      <c r="R55" s="390"/>
      <c r="S55" s="362">
        <f t="shared" si="4"/>
        <v>0</v>
      </c>
      <c r="T55" s="368"/>
      <c r="U55" s="368"/>
      <c r="V55" s="368"/>
      <c r="W55" s="368"/>
      <c r="X55" s="364">
        <f t="shared" si="1"/>
        <v>0</v>
      </c>
      <c r="Y55" s="393"/>
      <c r="Z55" s="498">
        <f t="shared" si="2"/>
        <v>0</v>
      </c>
      <c r="AA55" s="368"/>
      <c r="AB55" s="368"/>
      <c r="AC55" s="368"/>
      <c r="AD55" s="368"/>
      <c r="AE55" s="365">
        <f t="shared" si="3"/>
        <v>0</v>
      </c>
      <c r="AF55" s="262"/>
      <c r="AG55" s="457"/>
      <c r="AH55" s="264"/>
    </row>
    <row r="56" spans="1:34" ht="45.75" thickBot="1" x14ac:dyDescent="0.3">
      <c r="A56" s="474" t="s">
        <v>353</v>
      </c>
      <c r="B56" s="447" t="s">
        <v>313</v>
      </c>
      <c r="C56" s="580" t="s">
        <v>354</v>
      </c>
      <c r="D56" s="449" t="s">
        <v>261</v>
      </c>
      <c r="E56" s="262"/>
      <c r="F56" s="447" t="s">
        <v>359</v>
      </c>
      <c r="G56" s="387" t="e">
        <f>VLOOKUP(A56,'Feature Summary'!$A$7:$C$3944,3,FALSE)</f>
        <v>#N/A</v>
      </c>
      <c r="H56" s="463" t="s">
        <v>360</v>
      </c>
      <c r="I56" s="488" t="s">
        <v>264</v>
      </c>
      <c r="J56" s="448" t="s">
        <v>361</v>
      </c>
      <c r="K56" s="263">
        <v>1</v>
      </c>
      <c r="L56" s="390">
        <v>1</v>
      </c>
      <c r="M56" s="399" t="s">
        <v>33</v>
      </c>
      <c r="N56" s="475">
        <v>1</v>
      </c>
      <c r="O56" s="390">
        <v>1</v>
      </c>
      <c r="P56" s="496">
        <f t="shared" si="11"/>
        <v>1</v>
      </c>
      <c r="Q56" s="445" t="s">
        <v>52</v>
      </c>
      <c r="R56" s="390">
        <v>1</v>
      </c>
      <c r="S56" s="362">
        <f t="shared" si="4"/>
        <v>1</v>
      </c>
      <c r="T56" s="368">
        <v>1</v>
      </c>
      <c r="U56" s="368"/>
      <c r="V56" s="368"/>
      <c r="W56" s="368"/>
      <c r="X56" s="364">
        <f t="shared" si="1"/>
        <v>1</v>
      </c>
      <c r="Y56" s="393"/>
      <c r="Z56" s="498">
        <f t="shared" si="2"/>
        <v>0</v>
      </c>
      <c r="AA56" s="368"/>
      <c r="AB56" s="368"/>
      <c r="AC56" s="368"/>
      <c r="AD56" s="368"/>
      <c r="AE56" s="365">
        <f t="shared" si="3"/>
        <v>0</v>
      </c>
      <c r="AF56" s="262"/>
      <c r="AG56" s="457"/>
      <c r="AH56" s="264"/>
    </row>
    <row r="57" spans="1:34" ht="45.75" thickBot="1" x14ac:dyDescent="0.3">
      <c r="A57" s="474" t="s">
        <v>353</v>
      </c>
      <c r="B57" s="447" t="s">
        <v>313</v>
      </c>
      <c r="C57" s="580" t="s">
        <v>354</v>
      </c>
      <c r="D57" s="449" t="s">
        <v>261</v>
      </c>
      <c r="E57" s="262"/>
      <c r="F57" s="447" t="s">
        <v>362</v>
      </c>
      <c r="G57" s="387" t="e">
        <f>VLOOKUP(A57,'Feature Summary'!$A$7:$C$3944,3,FALSE)</f>
        <v>#N/A</v>
      </c>
      <c r="H57" s="463" t="s">
        <v>363</v>
      </c>
      <c r="I57" s="488" t="s">
        <v>264</v>
      </c>
      <c r="J57" s="448" t="s">
        <v>364</v>
      </c>
      <c r="K57" s="263">
        <v>1</v>
      </c>
      <c r="L57" s="390">
        <v>1</v>
      </c>
      <c r="M57" s="399" t="s">
        <v>33</v>
      </c>
      <c r="N57" s="475">
        <v>1</v>
      </c>
      <c r="O57" s="390">
        <v>1</v>
      </c>
      <c r="P57" s="496">
        <f t="shared" si="11"/>
        <v>1</v>
      </c>
      <c r="Q57" s="445" t="s">
        <v>52</v>
      </c>
      <c r="R57" s="390">
        <v>1</v>
      </c>
      <c r="S57" s="362">
        <f t="shared" si="4"/>
        <v>1</v>
      </c>
      <c r="T57" s="368">
        <v>1</v>
      </c>
      <c r="U57" s="368"/>
      <c r="V57" s="368"/>
      <c r="W57" s="368"/>
      <c r="X57" s="364">
        <f t="shared" si="1"/>
        <v>1</v>
      </c>
      <c r="Y57" s="393"/>
      <c r="Z57" s="498">
        <f t="shared" si="2"/>
        <v>0</v>
      </c>
      <c r="AA57" s="368"/>
      <c r="AB57" s="368"/>
      <c r="AC57" s="368"/>
      <c r="AD57" s="368"/>
      <c r="AE57" s="365">
        <f t="shared" si="3"/>
        <v>0</v>
      </c>
      <c r="AF57" s="262"/>
      <c r="AG57" s="457"/>
      <c r="AH57" s="264"/>
    </row>
    <row r="58" spans="1:34" ht="45.75" thickBot="1" x14ac:dyDescent="0.3">
      <c r="A58" s="474" t="s">
        <v>353</v>
      </c>
      <c r="B58" s="447" t="s">
        <v>313</v>
      </c>
      <c r="C58" s="580" t="s">
        <v>354</v>
      </c>
      <c r="D58" s="449" t="s">
        <v>261</v>
      </c>
      <c r="E58" s="262"/>
      <c r="F58" s="447" t="s">
        <v>365</v>
      </c>
      <c r="G58" s="387" t="e">
        <f>VLOOKUP(A58,'Feature Summary'!$A$7:$C$3944,3,FALSE)</f>
        <v>#N/A</v>
      </c>
      <c r="H58" s="463" t="s">
        <v>366</v>
      </c>
      <c r="I58" s="488" t="s">
        <v>264</v>
      </c>
      <c r="J58" s="448" t="s">
        <v>367</v>
      </c>
      <c r="K58" s="263">
        <v>1</v>
      </c>
      <c r="L58" s="390">
        <v>1</v>
      </c>
      <c r="M58" s="399" t="s">
        <v>33</v>
      </c>
      <c r="N58" s="475">
        <v>1</v>
      </c>
      <c r="O58" s="390">
        <v>1</v>
      </c>
      <c r="P58" s="496">
        <f>IF((O58=0),0,(O58/L58))</f>
        <v>1</v>
      </c>
      <c r="Q58" s="445" t="s">
        <v>52</v>
      </c>
      <c r="R58" s="390">
        <v>1</v>
      </c>
      <c r="S58" s="362">
        <f t="shared" si="4"/>
        <v>1</v>
      </c>
      <c r="T58" s="368">
        <v>1</v>
      </c>
      <c r="U58" s="368"/>
      <c r="V58" s="368"/>
      <c r="W58" s="368"/>
      <c r="X58" s="364">
        <f t="shared" si="1"/>
        <v>1</v>
      </c>
      <c r="Y58" s="393"/>
      <c r="Z58" s="498">
        <f t="shared" si="2"/>
        <v>0</v>
      </c>
      <c r="AA58" s="368"/>
      <c r="AB58" s="368"/>
      <c r="AC58" s="368"/>
      <c r="AD58" s="368"/>
      <c r="AE58" s="365">
        <f t="shared" si="3"/>
        <v>0</v>
      </c>
      <c r="AF58" s="262"/>
      <c r="AG58" s="457"/>
      <c r="AH58" s="264"/>
    </row>
    <row r="59" spans="1:34" ht="45.75" thickBot="1" x14ac:dyDescent="0.3">
      <c r="A59" s="474" t="s">
        <v>353</v>
      </c>
      <c r="B59" s="447" t="s">
        <v>313</v>
      </c>
      <c r="C59" s="580" t="s">
        <v>354</v>
      </c>
      <c r="D59" s="449" t="s">
        <v>261</v>
      </c>
      <c r="E59" s="262"/>
      <c r="F59" s="447" t="s">
        <v>368</v>
      </c>
      <c r="G59" s="387" t="e">
        <f>VLOOKUP(A59,'Feature Summary'!$A$7:$C$3944,3,FALSE)</f>
        <v>#N/A</v>
      </c>
      <c r="H59" s="463" t="s">
        <v>369</v>
      </c>
      <c r="I59" s="488" t="s">
        <v>264</v>
      </c>
      <c r="J59" s="448" t="s">
        <v>370</v>
      </c>
      <c r="K59" s="263">
        <v>1</v>
      </c>
      <c r="L59" s="390">
        <v>1</v>
      </c>
      <c r="M59" s="399" t="s">
        <v>33</v>
      </c>
      <c r="N59" s="475">
        <v>1</v>
      </c>
      <c r="O59" s="390">
        <v>1</v>
      </c>
      <c r="P59" s="496">
        <f t="shared" ref="P59:P89" si="12">IF((O59=0),0,(O59/L59))</f>
        <v>1</v>
      </c>
      <c r="Q59" s="445" t="s">
        <v>52</v>
      </c>
      <c r="R59" s="390">
        <v>1</v>
      </c>
      <c r="S59" s="362">
        <f t="shared" si="4"/>
        <v>1</v>
      </c>
      <c r="T59" s="368">
        <v>1</v>
      </c>
      <c r="U59" s="368"/>
      <c r="V59" s="368"/>
      <c r="W59" s="368"/>
      <c r="X59" s="364">
        <f t="shared" si="1"/>
        <v>1</v>
      </c>
      <c r="Y59" s="393"/>
      <c r="Z59" s="498">
        <f t="shared" si="2"/>
        <v>0</v>
      </c>
      <c r="AA59" s="368"/>
      <c r="AB59" s="368"/>
      <c r="AC59" s="368"/>
      <c r="AD59" s="368"/>
      <c r="AE59" s="365">
        <f t="shared" si="3"/>
        <v>0</v>
      </c>
      <c r="AF59" s="262"/>
      <c r="AG59" s="457"/>
      <c r="AH59" s="264"/>
    </row>
    <row r="60" spans="1:34" ht="45.75" thickBot="1" x14ac:dyDescent="0.3">
      <c r="A60" s="474" t="s">
        <v>371</v>
      </c>
      <c r="B60" s="447" t="s">
        <v>306</v>
      </c>
      <c r="C60" s="580" t="s">
        <v>372</v>
      </c>
      <c r="D60" s="449" t="s">
        <v>261</v>
      </c>
      <c r="E60" s="262"/>
      <c r="F60" s="463" t="s">
        <v>373</v>
      </c>
      <c r="G60" s="387" t="e">
        <f>VLOOKUP(A60,'Feature Summary'!$A$7:$C$3944,3,FALSE)</f>
        <v>#N/A</v>
      </c>
      <c r="H60" s="463" t="s">
        <v>374</v>
      </c>
      <c r="I60" s="488" t="s">
        <v>264</v>
      </c>
      <c r="J60" s="477" t="s">
        <v>281</v>
      </c>
      <c r="K60" s="263">
        <v>1</v>
      </c>
      <c r="L60" s="390">
        <v>1</v>
      </c>
      <c r="M60" s="399" t="s">
        <v>33</v>
      </c>
      <c r="N60" s="475">
        <v>1</v>
      </c>
      <c r="O60" s="390">
        <v>1</v>
      </c>
      <c r="P60" s="496">
        <f t="shared" si="12"/>
        <v>1</v>
      </c>
      <c r="Q60" s="445" t="s">
        <v>52</v>
      </c>
      <c r="R60" s="390">
        <v>1</v>
      </c>
      <c r="S60" s="362">
        <f t="shared" si="4"/>
        <v>1</v>
      </c>
      <c r="T60" s="368">
        <v>1</v>
      </c>
      <c r="U60" s="368"/>
      <c r="V60" s="368"/>
      <c r="W60" s="368"/>
      <c r="X60" s="364">
        <f t="shared" si="1"/>
        <v>1</v>
      </c>
      <c r="Y60" s="393"/>
      <c r="Z60" s="498">
        <f t="shared" si="2"/>
        <v>0</v>
      </c>
      <c r="AA60" s="368"/>
      <c r="AB60" s="368"/>
      <c r="AC60" s="368"/>
      <c r="AD60" s="368"/>
      <c r="AE60" s="365">
        <f t="shared" si="3"/>
        <v>0</v>
      </c>
      <c r="AF60" s="262"/>
      <c r="AG60" s="457"/>
      <c r="AH60" s="264"/>
    </row>
    <row r="61" spans="1:34" ht="14.45" customHeight="1" thickBot="1" x14ac:dyDescent="0.3">
      <c r="A61" s="474"/>
      <c r="B61" s="447" t="s">
        <v>306</v>
      </c>
      <c r="C61" s="580"/>
      <c r="D61" s="449" t="s">
        <v>261</v>
      </c>
      <c r="E61" s="262"/>
      <c r="F61" s="463" t="s">
        <v>373</v>
      </c>
      <c r="G61" s="387" t="e">
        <f>VLOOKUP(A61,'Feature Summary'!$A$7:$C$3944,3,FALSE)</f>
        <v>#N/A</v>
      </c>
      <c r="H61" s="463" t="s">
        <v>375</v>
      </c>
      <c r="I61" s="463"/>
      <c r="J61" s="477" t="s">
        <v>328</v>
      </c>
      <c r="K61" s="263"/>
      <c r="L61" s="390"/>
      <c r="M61" s="399" t="s">
        <v>33</v>
      </c>
      <c r="N61" s="475">
        <v>1</v>
      </c>
      <c r="O61" s="390"/>
      <c r="P61" s="496">
        <f t="shared" si="12"/>
        <v>0</v>
      </c>
      <c r="Q61" s="445" t="s">
        <v>52</v>
      </c>
      <c r="R61" s="390"/>
      <c r="S61" s="362">
        <f t="shared" si="4"/>
        <v>0</v>
      </c>
      <c r="T61" s="368"/>
      <c r="U61" s="368"/>
      <c r="V61" s="368"/>
      <c r="W61" s="368"/>
      <c r="X61" s="364">
        <f t="shared" si="1"/>
        <v>0</v>
      </c>
      <c r="Y61" s="393"/>
      <c r="Z61" s="498">
        <f t="shared" si="2"/>
        <v>0</v>
      </c>
      <c r="AA61" s="368"/>
      <c r="AB61" s="368"/>
      <c r="AC61" s="368"/>
      <c r="AD61" s="368"/>
      <c r="AE61" s="365">
        <f t="shared" si="3"/>
        <v>0</v>
      </c>
      <c r="AF61" s="262"/>
      <c r="AG61" s="457"/>
      <c r="AH61" s="264"/>
    </row>
    <row r="62" spans="1:34" ht="30.75" thickBot="1" x14ac:dyDescent="0.3">
      <c r="A62" s="474"/>
      <c r="B62" s="447" t="s">
        <v>306</v>
      </c>
      <c r="C62" s="580"/>
      <c r="D62" s="449" t="s">
        <v>261</v>
      </c>
      <c r="E62" s="262"/>
      <c r="F62" s="463" t="s">
        <v>373</v>
      </c>
      <c r="G62" s="387" t="e">
        <f>VLOOKUP(A62,'Feature Summary'!$A$7:$C$3944,3,FALSE)</f>
        <v>#N/A</v>
      </c>
      <c r="H62" s="463" t="s">
        <v>376</v>
      </c>
      <c r="I62" s="463"/>
      <c r="J62" s="477" t="s">
        <v>297</v>
      </c>
      <c r="K62" s="263"/>
      <c r="L62" s="390"/>
      <c r="M62" s="399" t="s">
        <v>33</v>
      </c>
      <c r="N62" s="475">
        <v>1</v>
      </c>
      <c r="O62" s="390"/>
      <c r="P62" s="496">
        <f t="shared" si="12"/>
        <v>0</v>
      </c>
      <c r="Q62" s="445" t="s">
        <v>52</v>
      </c>
      <c r="R62" s="390"/>
      <c r="S62" s="362">
        <f t="shared" si="4"/>
        <v>0</v>
      </c>
      <c r="T62" s="368"/>
      <c r="U62" s="368"/>
      <c r="V62" s="368"/>
      <c r="W62" s="368"/>
      <c r="X62" s="364">
        <f t="shared" si="1"/>
        <v>0</v>
      </c>
      <c r="Y62" s="393"/>
      <c r="Z62" s="498">
        <f t="shared" si="2"/>
        <v>0</v>
      </c>
      <c r="AA62" s="368"/>
      <c r="AB62" s="368"/>
      <c r="AC62" s="368"/>
      <c r="AD62" s="368"/>
      <c r="AE62" s="365">
        <f t="shared" si="3"/>
        <v>0</v>
      </c>
      <c r="AF62" s="262"/>
      <c r="AG62" s="457"/>
      <c r="AH62" s="264"/>
    </row>
    <row r="63" spans="1:34" ht="45.75" thickBot="1" x14ac:dyDescent="0.3">
      <c r="A63" s="474" t="s">
        <v>377</v>
      </c>
      <c r="B63" s="447" t="s">
        <v>306</v>
      </c>
      <c r="C63" s="580" t="s">
        <v>260</v>
      </c>
      <c r="D63" s="449" t="s">
        <v>261</v>
      </c>
      <c r="E63" s="262"/>
      <c r="F63" s="447" t="s">
        <v>378</v>
      </c>
      <c r="G63" s="387" t="e">
        <f>VLOOKUP(A63,'Feature Summary'!$A$7:$C$3944,3,FALSE)</f>
        <v>#N/A</v>
      </c>
      <c r="H63" s="447" t="s">
        <v>379</v>
      </c>
      <c r="I63" s="488" t="s">
        <v>264</v>
      </c>
      <c r="J63" s="448" t="s">
        <v>281</v>
      </c>
      <c r="K63" s="263">
        <v>1</v>
      </c>
      <c r="L63" s="391">
        <v>1</v>
      </c>
      <c r="M63" s="399" t="s">
        <v>33</v>
      </c>
      <c r="N63" s="475">
        <v>1</v>
      </c>
      <c r="O63" s="391">
        <v>1</v>
      </c>
      <c r="P63" s="496">
        <f t="shared" si="12"/>
        <v>1</v>
      </c>
      <c r="Q63" s="445" t="s">
        <v>52</v>
      </c>
      <c r="R63" s="391">
        <v>1</v>
      </c>
      <c r="S63" s="362">
        <f t="shared" si="4"/>
        <v>1</v>
      </c>
      <c r="T63" s="368">
        <v>1</v>
      </c>
      <c r="U63" s="368"/>
      <c r="V63" s="368"/>
      <c r="W63" s="368"/>
      <c r="X63" s="364">
        <f t="shared" si="1"/>
        <v>1</v>
      </c>
      <c r="Y63" s="393"/>
      <c r="Z63" s="498">
        <f t="shared" si="2"/>
        <v>0</v>
      </c>
      <c r="AA63" s="368"/>
      <c r="AB63" s="368"/>
      <c r="AC63" s="368"/>
      <c r="AD63" s="368"/>
      <c r="AE63" s="365">
        <f t="shared" si="3"/>
        <v>0</v>
      </c>
      <c r="AF63" s="262"/>
      <c r="AG63" s="457"/>
      <c r="AH63" s="264"/>
    </row>
    <row r="64" spans="1:34" ht="45.75" thickBot="1" x14ac:dyDescent="0.3">
      <c r="A64" s="474" t="s">
        <v>377</v>
      </c>
      <c r="B64" s="447" t="s">
        <v>306</v>
      </c>
      <c r="C64" s="580" t="s">
        <v>260</v>
      </c>
      <c r="D64" s="449" t="s">
        <v>261</v>
      </c>
      <c r="E64" s="262"/>
      <c r="F64" s="447" t="s">
        <v>380</v>
      </c>
      <c r="G64" s="387" t="e">
        <f>VLOOKUP(A64,'Feature Summary'!$A$7:$C$3944,3,FALSE)</f>
        <v>#N/A</v>
      </c>
      <c r="H64" s="447" t="s">
        <v>381</v>
      </c>
      <c r="I64" s="488" t="s">
        <v>264</v>
      </c>
      <c r="J64" s="448" t="s">
        <v>382</v>
      </c>
      <c r="K64" s="263">
        <v>1</v>
      </c>
      <c r="L64" s="391">
        <v>1</v>
      </c>
      <c r="M64" s="399" t="s">
        <v>33</v>
      </c>
      <c r="N64" s="475">
        <v>1</v>
      </c>
      <c r="O64" s="391">
        <v>1</v>
      </c>
      <c r="P64" s="496">
        <f t="shared" si="12"/>
        <v>1</v>
      </c>
      <c r="Q64" s="445" t="s">
        <v>52</v>
      </c>
      <c r="R64" s="391">
        <v>1</v>
      </c>
      <c r="S64" s="362">
        <f t="shared" si="4"/>
        <v>1</v>
      </c>
      <c r="T64" s="368">
        <v>1</v>
      </c>
      <c r="U64" s="368"/>
      <c r="V64" s="368"/>
      <c r="W64" s="368"/>
      <c r="X64" s="364">
        <f t="shared" si="1"/>
        <v>1</v>
      </c>
      <c r="Y64" s="393"/>
      <c r="Z64" s="498">
        <f t="shared" si="2"/>
        <v>0</v>
      </c>
      <c r="AA64" s="368"/>
      <c r="AB64" s="368"/>
      <c r="AC64" s="368"/>
      <c r="AD64" s="368"/>
      <c r="AE64" s="365">
        <f t="shared" si="3"/>
        <v>0</v>
      </c>
      <c r="AF64" s="262"/>
      <c r="AG64" s="457"/>
      <c r="AH64" s="264"/>
    </row>
    <row r="65" spans="1:34" ht="45.75" thickBot="1" x14ac:dyDescent="0.3">
      <c r="A65" s="474" t="s">
        <v>377</v>
      </c>
      <c r="B65" s="447" t="s">
        <v>306</v>
      </c>
      <c r="C65" s="580" t="s">
        <v>260</v>
      </c>
      <c r="D65" s="449" t="s">
        <v>261</v>
      </c>
      <c r="E65" s="262"/>
      <c r="F65" s="447" t="s">
        <v>383</v>
      </c>
      <c r="G65" s="387" t="e">
        <f>VLOOKUP(A65,'Feature Summary'!$A$7:$C$3944,3,FALSE)</f>
        <v>#N/A</v>
      </c>
      <c r="H65" s="447" t="s">
        <v>384</v>
      </c>
      <c r="I65" s="488" t="s">
        <v>264</v>
      </c>
      <c r="J65" s="448" t="s">
        <v>385</v>
      </c>
      <c r="K65" s="263">
        <v>1</v>
      </c>
      <c r="L65" s="391">
        <v>1</v>
      </c>
      <c r="M65" s="399" t="s">
        <v>33</v>
      </c>
      <c r="N65" s="475">
        <v>1</v>
      </c>
      <c r="O65" s="391">
        <v>1</v>
      </c>
      <c r="P65" s="496">
        <f t="shared" si="12"/>
        <v>1</v>
      </c>
      <c r="Q65" s="445" t="s">
        <v>52</v>
      </c>
      <c r="R65" s="391">
        <v>1</v>
      </c>
      <c r="S65" s="362">
        <f t="shared" si="4"/>
        <v>1</v>
      </c>
      <c r="T65" s="368">
        <v>1</v>
      </c>
      <c r="U65" s="368"/>
      <c r="V65" s="368"/>
      <c r="W65" s="368"/>
      <c r="X65" s="364">
        <f t="shared" si="1"/>
        <v>1</v>
      </c>
      <c r="Y65" s="393"/>
      <c r="Z65" s="498">
        <f t="shared" si="2"/>
        <v>0</v>
      </c>
      <c r="AA65" s="368"/>
      <c r="AB65" s="368"/>
      <c r="AC65" s="368"/>
      <c r="AD65" s="368"/>
      <c r="AE65" s="365">
        <f t="shared" si="3"/>
        <v>0</v>
      </c>
      <c r="AF65" s="262"/>
      <c r="AG65" s="457"/>
      <c r="AH65" s="264"/>
    </row>
    <row r="66" spans="1:34" ht="45.75" thickBot="1" x14ac:dyDescent="0.3">
      <c r="A66" s="474" t="s">
        <v>377</v>
      </c>
      <c r="B66" s="447" t="s">
        <v>306</v>
      </c>
      <c r="C66" s="580" t="s">
        <v>260</v>
      </c>
      <c r="D66" s="449" t="s">
        <v>261</v>
      </c>
      <c r="E66" s="262"/>
      <c r="F66" s="447" t="s">
        <v>386</v>
      </c>
      <c r="G66" s="387" t="e">
        <f>VLOOKUP(A66,'Feature Summary'!$A$7:$C$3944,3,FALSE)</f>
        <v>#N/A</v>
      </c>
      <c r="H66" s="447" t="s">
        <v>387</v>
      </c>
      <c r="I66" s="488" t="s">
        <v>264</v>
      </c>
      <c r="J66" s="448" t="s">
        <v>385</v>
      </c>
      <c r="K66" s="263">
        <v>1</v>
      </c>
      <c r="L66" s="391">
        <v>1</v>
      </c>
      <c r="M66" s="399" t="s">
        <v>33</v>
      </c>
      <c r="N66" s="475">
        <v>1</v>
      </c>
      <c r="O66" s="391">
        <v>1</v>
      </c>
      <c r="P66" s="496">
        <f t="shared" si="12"/>
        <v>1</v>
      </c>
      <c r="Q66" s="445" t="s">
        <v>52</v>
      </c>
      <c r="R66" s="391">
        <v>1</v>
      </c>
      <c r="S66" s="362">
        <f t="shared" si="4"/>
        <v>1</v>
      </c>
      <c r="T66" s="368">
        <v>1</v>
      </c>
      <c r="U66" s="368"/>
      <c r="V66" s="368"/>
      <c r="W66" s="368"/>
      <c r="X66" s="364">
        <f t="shared" si="1"/>
        <v>1</v>
      </c>
      <c r="Y66" s="393"/>
      <c r="Z66" s="498">
        <f t="shared" si="2"/>
        <v>0</v>
      </c>
      <c r="AA66" s="368"/>
      <c r="AB66" s="368"/>
      <c r="AC66" s="368"/>
      <c r="AD66" s="368"/>
      <c r="AE66" s="365">
        <f t="shared" si="3"/>
        <v>0</v>
      </c>
      <c r="AF66" s="262"/>
      <c r="AG66" s="457"/>
      <c r="AH66" s="264"/>
    </row>
    <row r="67" spans="1:34" ht="45.75" thickBot="1" x14ac:dyDescent="0.3">
      <c r="A67" s="474" t="s">
        <v>377</v>
      </c>
      <c r="B67" s="447" t="s">
        <v>306</v>
      </c>
      <c r="C67" s="580" t="s">
        <v>260</v>
      </c>
      <c r="D67" s="449" t="s">
        <v>261</v>
      </c>
      <c r="E67" s="262"/>
      <c r="F67" s="447" t="s">
        <v>388</v>
      </c>
      <c r="G67" s="387" t="e">
        <f>VLOOKUP(A67,'Feature Summary'!$A$7:$C$3944,3,FALSE)</f>
        <v>#N/A</v>
      </c>
      <c r="H67" s="447" t="s">
        <v>389</v>
      </c>
      <c r="I67" s="488" t="s">
        <v>264</v>
      </c>
      <c r="J67" s="448" t="s">
        <v>385</v>
      </c>
      <c r="K67" s="263">
        <v>1</v>
      </c>
      <c r="L67" s="391">
        <v>1</v>
      </c>
      <c r="M67" s="399" t="s">
        <v>33</v>
      </c>
      <c r="N67" s="475">
        <v>1</v>
      </c>
      <c r="O67" s="391">
        <v>1</v>
      </c>
      <c r="P67" s="496">
        <f t="shared" si="12"/>
        <v>1</v>
      </c>
      <c r="Q67" s="445" t="s">
        <v>52</v>
      </c>
      <c r="R67" s="391">
        <v>1</v>
      </c>
      <c r="S67" s="362">
        <f t="shared" si="4"/>
        <v>1</v>
      </c>
      <c r="T67" s="368">
        <v>1</v>
      </c>
      <c r="U67" s="368"/>
      <c r="V67" s="368"/>
      <c r="W67" s="368"/>
      <c r="X67" s="364">
        <f t="shared" si="1"/>
        <v>1</v>
      </c>
      <c r="Y67" s="393"/>
      <c r="Z67" s="498">
        <f t="shared" si="2"/>
        <v>0</v>
      </c>
      <c r="AA67" s="368"/>
      <c r="AB67" s="368"/>
      <c r="AC67" s="368"/>
      <c r="AD67" s="368"/>
      <c r="AE67" s="365">
        <f t="shared" si="3"/>
        <v>0</v>
      </c>
      <c r="AF67" s="262"/>
      <c r="AG67" s="457"/>
      <c r="AH67" s="264"/>
    </row>
    <row r="68" spans="1:34" ht="45.75" thickBot="1" x14ac:dyDescent="0.3">
      <c r="A68" s="474" t="s">
        <v>377</v>
      </c>
      <c r="B68" s="447" t="s">
        <v>306</v>
      </c>
      <c r="C68" s="580" t="s">
        <v>260</v>
      </c>
      <c r="D68" s="449" t="s">
        <v>261</v>
      </c>
      <c r="E68" s="262"/>
      <c r="F68" s="447" t="s">
        <v>390</v>
      </c>
      <c r="G68" s="387" t="e">
        <f>VLOOKUP(A68,'Feature Summary'!$A$7:$C$3944,3,FALSE)</f>
        <v>#N/A</v>
      </c>
      <c r="H68" s="447" t="s">
        <v>391</v>
      </c>
      <c r="I68" s="488" t="s">
        <v>264</v>
      </c>
      <c r="J68" s="448" t="s">
        <v>385</v>
      </c>
      <c r="K68" s="263">
        <v>1</v>
      </c>
      <c r="L68" s="391">
        <v>1</v>
      </c>
      <c r="M68" s="399" t="s">
        <v>33</v>
      </c>
      <c r="N68" s="475">
        <v>1</v>
      </c>
      <c r="O68" s="391">
        <v>1</v>
      </c>
      <c r="P68" s="496">
        <f t="shared" si="12"/>
        <v>1</v>
      </c>
      <c r="Q68" s="445" t="s">
        <v>52</v>
      </c>
      <c r="R68" s="391">
        <v>1</v>
      </c>
      <c r="S68" s="362">
        <f t="shared" si="4"/>
        <v>1</v>
      </c>
      <c r="T68" s="368">
        <v>1</v>
      </c>
      <c r="U68" s="368"/>
      <c r="V68" s="368"/>
      <c r="W68" s="368"/>
      <c r="X68" s="364">
        <f t="shared" si="1"/>
        <v>1</v>
      </c>
      <c r="Y68" s="393"/>
      <c r="Z68" s="498">
        <f t="shared" si="2"/>
        <v>0</v>
      </c>
      <c r="AA68" s="368"/>
      <c r="AB68" s="368"/>
      <c r="AC68" s="368"/>
      <c r="AD68" s="368"/>
      <c r="AE68" s="365">
        <f t="shared" si="3"/>
        <v>0</v>
      </c>
      <c r="AF68" s="262"/>
      <c r="AG68" s="457"/>
      <c r="AH68" s="264"/>
    </row>
    <row r="69" spans="1:34" ht="45.75" thickBot="1" x14ac:dyDescent="0.3">
      <c r="A69" s="474" t="s">
        <v>377</v>
      </c>
      <c r="B69" s="447" t="s">
        <v>306</v>
      </c>
      <c r="C69" s="580" t="s">
        <v>260</v>
      </c>
      <c r="D69" s="449" t="s">
        <v>261</v>
      </c>
      <c r="E69" s="262"/>
      <c r="F69" s="447" t="s">
        <v>392</v>
      </c>
      <c r="G69" s="387" t="e">
        <f>VLOOKUP(A69,'Feature Summary'!$A$7:$C$3944,3,FALSE)</f>
        <v>#N/A</v>
      </c>
      <c r="H69" s="447" t="s">
        <v>393</v>
      </c>
      <c r="I69" s="488" t="s">
        <v>264</v>
      </c>
      <c r="J69" s="448" t="s">
        <v>309</v>
      </c>
      <c r="K69" s="263">
        <v>1</v>
      </c>
      <c r="L69" s="391">
        <v>1</v>
      </c>
      <c r="M69" s="399" t="s">
        <v>33</v>
      </c>
      <c r="N69" s="475">
        <v>1</v>
      </c>
      <c r="O69" s="391">
        <v>1</v>
      </c>
      <c r="P69" s="496">
        <f t="shared" si="12"/>
        <v>1</v>
      </c>
      <c r="Q69" s="445" t="s">
        <v>52</v>
      </c>
      <c r="R69" s="391">
        <v>1</v>
      </c>
      <c r="S69" s="362">
        <f t="shared" si="4"/>
        <v>1</v>
      </c>
      <c r="T69" s="368">
        <v>1</v>
      </c>
      <c r="U69" s="368"/>
      <c r="V69" s="368"/>
      <c r="W69" s="368"/>
      <c r="X69" s="364">
        <f t="shared" si="1"/>
        <v>1</v>
      </c>
      <c r="Y69" s="393"/>
      <c r="Z69" s="498">
        <f t="shared" si="2"/>
        <v>0</v>
      </c>
      <c r="AA69" s="368"/>
      <c r="AB69" s="368"/>
      <c r="AC69" s="368"/>
      <c r="AD69" s="368"/>
      <c r="AE69" s="365">
        <f t="shared" si="3"/>
        <v>0</v>
      </c>
      <c r="AF69" s="262"/>
      <c r="AG69" s="457"/>
      <c r="AH69" s="264"/>
    </row>
    <row r="70" spans="1:34" ht="45.75" thickBot="1" x14ac:dyDescent="0.3">
      <c r="A70" s="474" t="s">
        <v>377</v>
      </c>
      <c r="B70" s="447" t="s">
        <v>306</v>
      </c>
      <c r="C70" s="580" t="s">
        <v>260</v>
      </c>
      <c r="D70" s="449" t="s">
        <v>261</v>
      </c>
      <c r="E70" s="262"/>
      <c r="F70" s="447" t="s">
        <v>394</v>
      </c>
      <c r="G70" s="387" t="e">
        <f>VLOOKUP(A70,'Feature Summary'!$A$7:$C$3944,3,FALSE)</f>
        <v>#N/A</v>
      </c>
      <c r="H70" s="447" t="s">
        <v>395</v>
      </c>
      <c r="I70" s="488" t="s">
        <v>264</v>
      </c>
      <c r="J70" s="448" t="s">
        <v>309</v>
      </c>
      <c r="K70" s="263">
        <v>1</v>
      </c>
      <c r="L70" s="391">
        <v>1</v>
      </c>
      <c r="M70" s="399" t="s">
        <v>33</v>
      </c>
      <c r="N70" s="475">
        <v>1</v>
      </c>
      <c r="O70" s="391">
        <v>1</v>
      </c>
      <c r="P70" s="496">
        <f t="shared" si="12"/>
        <v>1</v>
      </c>
      <c r="Q70" s="445" t="s">
        <v>52</v>
      </c>
      <c r="R70" s="391">
        <v>1</v>
      </c>
      <c r="S70" s="362">
        <f t="shared" si="4"/>
        <v>1</v>
      </c>
      <c r="T70" s="368">
        <v>1</v>
      </c>
      <c r="U70" s="368"/>
      <c r="V70" s="368"/>
      <c r="W70" s="368"/>
      <c r="X70" s="364">
        <f t="shared" si="1"/>
        <v>1</v>
      </c>
      <c r="Y70" s="393"/>
      <c r="Z70" s="498">
        <f t="shared" si="2"/>
        <v>0</v>
      </c>
      <c r="AA70" s="368"/>
      <c r="AB70" s="368"/>
      <c r="AC70" s="368"/>
      <c r="AD70" s="368"/>
      <c r="AE70" s="365">
        <f t="shared" si="3"/>
        <v>0</v>
      </c>
      <c r="AF70" s="262"/>
      <c r="AG70" s="457"/>
      <c r="AH70" s="264"/>
    </row>
    <row r="71" spans="1:34" ht="45.75" thickBot="1" x14ac:dyDescent="0.3">
      <c r="A71" s="474" t="s">
        <v>377</v>
      </c>
      <c r="B71" s="447" t="s">
        <v>306</v>
      </c>
      <c r="C71" s="580" t="s">
        <v>260</v>
      </c>
      <c r="D71" s="449" t="s">
        <v>261</v>
      </c>
      <c r="E71" s="262"/>
      <c r="F71" s="447" t="s">
        <v>396</v>
      </c>
      <c r="G71" s="387" t="e">
        <f>VLOOKUP(A71,'Feature Summary'!$A$7:$C$3944,3,FALSE)</f>
        <v>#N/A</v>
      </c>
      <c r="H71" s="447" t="s">
        <v>397</v>
      </c>
      <c r="I71" s="488" t="s">
        <v>264</v>
      </c>
      <c r="J71" s="448" t="s">
        <v>309</v>
      </c>
      <c r="K71" s="263">
        <v>1</v>
      </c>
      <c r="L71" s="391">
        <v>1</v>
      </c>
      <c r="M71" s="399" t="s">
        <v>33</v>
      </c>
      <c r="N71" s="475">
        <v>1</v>
      </c>
      <c r="O71" s="391">
        <v>1</v>
      </c>
      <c r="P71" s="496">
        <f t="shared" si="12"/>
        <v>1</v>
      </c>
      <c r="Q71" s="445" t="s">
        <v>52</v>
      </c>
      <c r="R71" s="391">
        <v>1</v>
      </c>
      <c r="S71" s="362">
        <f t="shared" si="4"/>
        <v>1</v>
      </c>
      <c r="T71" s="368">
        <v>1</v>
      </c>
      <c r="U71" s="368"/>
      <c r="V71" s="368"/>
      <c r="W71" s="368"/>
      <c r="X71" s="364">
        <f t="shared" ref="X71:X134" si="13">IF((S71=0),0,((T71+U71)/S71*100%))</f>
        <v>1</v>
      </c>
      <c r="Y71" s="393"/>
      <c r="Z71" s="498">
        <f t="shared" ref="Z71:Z134" si="14">SUM(AA71:AD71)</f>
        <v>0</v>
      </c>
      <c r="AA71" s="368"/>
      <c r="AB71" s="368"/>
      <c r="AC71" s="368"/>
      <c r="AD71" s="368"/>
      <c r="AE71" s="365">
        <f t="shared" ref="AE71:AE134" si="15">IF((Z71=0),0,((AA71+AB71)/Z71*100%))</f>
        <v>0</v>
      </c>
      <c r="AF71" s="262"/>
      <c r="AG71" s="457"/>
      <c r="AH71" s="264"/>
    </row>
    <row r="72" spans="1:34" ht="45.75" thickBot="1" x14ac:dyDescent="0.3">
      <c r="A72" s="474" t="s">
        <v>377</v>
      </c>
      <c r="B72" s="447" t="s">
        <v>306</v>
      </c>
      <c r="C72" s="580" t="s">
        <v>260</v>
      </c>
      <c r="D72" s="449" t="s">
        <v>261</v>
      </c>
      <c r="E72" s="262"/>
      <c r="F72" s="447" t="s">
        <v>398</v>
      </c>
      <c r="G72" s="387" t="e">
        <f>VLOOKUP(A72,'Feature Summary'!$A$7:$C$3944,3,FALSE)</f>
        <v>#N/A</v>
      </c>
      <c r="H72" s="447" t="s">
        <v>399</v>
      </c>
      <c r="I72" s="488" t="s">
        <v>264</v>
      </c>
      <c r="J72" s="448" t="s">
        <v>309</v>
      </c>
      <c r="K72" s="263">
        <v>1</v>
      </c>
      <c r="L72" s="391">
        <v>1</v>
      </c>
      <c r="M72" s="399" t="s">
        <v>33</v>
      </c>
      <c r="N72" s="475">
        <v>1</v>
      </c>
      <c r="O72" s="391">
        <v>1</v>
      </c>
      <c r="P72" s="496">
        <f t="shared" si="12"/>
        <v>1</v>
      </c>
      <c r="Q72" s="445" t="s">
        <v>52</v>
      </c>
      <c r="R72" s="391">
        <v>1</v>
      </c>
      <c r="S72" s="362">
        <f t="shared" ref="S72:S135" si="16">SUM(T72:W72)</f>
        <v>1</v>
      </c>
      <c r="T72" s="368">
        <v>1</v>
      </c>
      <c r="U72" s="368"/>
      <c r="V72" s="368"/>
      <c r="W72" s="368"/>
      <c r="X72" s="364">
        <f t="shared" si="13"/>
        <v>1</v>
      </c>
      <c r="Y72" s="393"/>
      <c r="Z72" s="498">
        <f t="shared" si="14"/>
        <v>0</v>
      </c>
      <c r="AA72" s="368"/>
      <c r="AB72" s="368"/>
      <c r="AC72" s="368"/>
      <c r="AD72" s="368"/>
      <c r="AE72" s="365">
        <f t="shared" si="15"/>
        <v>0</v>
      </c>
      <c r="AF72" s="262"/>
      <c r="AG72" s="457"/>
      <c r="AH72" s="264"/>
    </row>
    <row r="73" spans="1:34" ht="30.75" thickBot="1" x14ac:dyDescent="0.3">
      <c r="A73" s="474"/>
      <c r="B73" s="447" t="s">
        <v>306</v>
      </c>
      <c r="C73" s="580"/>
      <c r="D73" s="449" t="s">
        <v>261</v>
      </c>
      <c r="E73" s="262"/>
      <c r="F73" s="447" t="s">
        <v>378</v>
      </c>
      <c r="G73" s="387" t="e">
        <f>VLOOKUP(A73,'Feature Summary'!$A$7:$C$3944,3,FALSE)</f>
        <v>#N/A</v>
      </c>
      <c r="H73" s="447" t="s">
        <v>400</v>
      </c>
      <c r="I73" s="447"/>
      <c r="J73" s="448" t="s">
        <v>328</v>
      </c>
      <c r="K73" s="263"/>
      <c r="L73" s="391"/>
      <c r="M73" s="399" t="s">
        <v>33</v>
      </c>
      <c r="N73" s="475">
        <v>1</v>
      </c>
      <c r="O73" s="391"/>
      <c r="P73" s="496">
        <f t="shared" si="12"/>
        <v>0</v>
      </c>
      <c r="Q73" s="445" t="s">
        <v>52</v>
      </c>
      <c r="R73" s="391"/>
      <c r="S73" s="362">
        <f t="shared" si="16"/>
        <v>0</v>
      </c>
      <c r="T73" s="368"/>
      <c r="U73" s="368"/>
      <c r="V73" s="368"/>
      <c r="W73" s="368"/>
      <c r="X73" s="364">
        <f t="shared" si="13"/>
        <v>0</v>
      </c>
      <c r="Y73" s="393"/>
      <c r="Z73" s="498">
        <f t="shared" si="14"/>
        <v>0</v>
      </c>
      <c r="AA73" s="368"/>
      <c r="AB73" s="368"/>
      <c r="AC73" s="368"/>
      <c r="AD73" s="368"/>
      <c r="AE73" s="365">
        <f t="shared" si="15"/>
        <v>0</v>
      </c>
      <c r="AF73" s="262"/>
      <c r="AG73" s="457"/>
      <c r="AH73" s="264"/>
    </row>
    <row r="74" spans="1:34" ht="30.75" thickBot="1" x14ac:dyDescent="0.3">
      <c r="A74" s="474"/>
      <c r="B74" s="447" t="s">
        <v>306</v>
      </c>
      <c r="C74" s="580"/>
      <c r="D74" s="449" t="s">
        <v>261</v>
      </c>
      <c r="E74" s="262"/>
      <c r="F74" s="447" t="s">
        <v>380</v>
      </c>
      <c r="G74" s="387" t="e">
        <f>VLOOKUP(A74,'Feature Summary'!$A$7:$C$3944,3,FALSE)</f>
        <v>#N/A</v>
      </c>
      <c r="H74" s="447" t="s">
        <v>401</v>
      </c>
      <c r="I74" s="447"/>
      <c r="J74" s="448" t="s">
        <v>402</v>
      </c>
      <c r="K74" s="263"/>
      <c r="L74" s="391"/>
      <c r="M74" s="399" t="s">
        <v>33</v>
      </c>
      <c r="N74" s="475">
        <v>1</v>
      </c>
      <c r="O74" s="391"/>
      <c r="P74" s="496">
        <f t="shared" si="12"/>
        <v>0</v>
      </c>
      <c r="Q74" s="445" t="s">
        <v>52</v>
      </c>
      <c r="R74" s="391"/>
      <c r="S74" s="362">
        <f t="shared" si="16"/>
        <v>0</v>
      </c>
      <c r="T74" s="368"/>
      <c r="U74" s="368"/>
      <c r="V74" s="368"/>
      <c r="W74" s="368"/>
      <c r="X74" s="364">
        <f t="shared" si="13"/>
        <v>0</v>
      </c>
      <c r="Y74" s="393"/>
      <c r="Z74" s="498">
        <f t="shared" si="14"/>
        <v>0</v>
      </c>
      <c r="AA74" s="368"/>
      <c r="AB74" s="368"/>
      <c r="AC74" s="368"/>
      <c r="AD74" s="368"/>
      <c r="AE74" s="365">
        <f t="shared" si="15"/>
        <v>0</v>
      </c>
      <c r="AF74" s="262"/>
      <c r="AG74" s="457"/>
      <c r="AH74" s="264"/>
    </row>
    <row r="75" spans="1:34" ht="30.75" thickBot="1" x14ac:dyDescent="0.3">
      <c r="A75" s="474"/>
      <c r="B75" s="447" t="s">
        <v>306</v>
      </c>
      <c r="C75" s="580"/>
      <c r="D75" s="449" t="s">
        <v>261</v>
      </c>
      <c r="E75" s="262"/>
      <c r="F75" s="447" t="s">
        <v>383</v>
      </c>
      <c r="G75" s="387" t="e">
        <f>VLOOKUP(A75,'Feature Summary'!$A$7:$C$3944,3,FALSE)</f>
        <v>#N/A</v>
      </c>
      <c r="H75" s="447" t="s">
        <v>403</v>
      </c>
      <c r="I75" s="447"/>
      <c r="J75" s="448" t="s">
        <v>328</v>
      </c>
      <c r="K75" s="263"/>
      <c r="L75" s="391"/>
      <c r="M75" s="399" t="s">
        <v>33</v>
      </c>
      <c r="N75" s="475">
        <v>1</v>
      </c>
      <c r="O75" s="391"/>
      <c r="P75" s="496">
        <f t="shared" si="12"/>
        <v>0</v>
      </c>
      <c r="Q75" s="445" t="s">
        <v>52</v>
      </c>
      <c r="R75" s="391"/>
      <c r="S75" s="362">
        <f t="shared" si="16"/>
        <v>0</v>
      </c>
      <c r="T75" s="368"/>
      <c r="U75" s="368"/>
      <c r="V75" s="368"/>
      <c r="W75" s="368"/>
      <c r="X75" s="364">
        <f t="shared" si="13"/>
        <v>0</v>
      </c>
      <c r="Y75" s="393"/>
      <c r="Z75" s="498">
        <f t="shared" si="14"/>
        <v>0</v>
      </c>
      <c r="AA75" s="368"/>
      <c r="AB75" s="368"/>
      <c r="AC75" s="368"/>
      <c r="AD75" s="368"/>
      <c r="AE75" s="365">
        <f t="shared" si="15"/>
        <v>0</v>
      </c>
      <c r="AF75" s="262"/>
      <c r="AG75" s="457"/>
      <c r="AH75" s="264"/>
    </row>
    <row r="76" spans="1:34" ht="30.75" thickBot="1" x14ac:dyDescent="0.3">
      <c r="A76" s="474"/>
      <c r="B76" s="447" t="s">
        <v>306</v>
      </c>
      <c r="C76" s="580"/>
      <c r="D76" s="449" t="s">
        <v>261</v>
      </c>
      <c r="E76" s="262"/>
      <c r="F76" s="447" t="s">
        <v>386</v>
      </c>
      <c r="G76" s="387" t="e">
        <f>VLOOKUP(A76,'Feature Summary'!$A$7:$C$3944,3,FALSE)</f>
        <v>#N/A</v>
      </c>
      <c r="H76" s="447" t="s">
        <v>404</v>
      </c>
      <c r="I76" s="447"/>
      <c r="J76" s="448" t="s">
        <v>328</v>
      </c>
      <c r="K76" s="263"/>
      <c r="L76" s="391"/>
      <c r="M76" s="399" t="s">
        <v>33</v>
      </c>
      <c r="N76" s="475">
        <v>1</v>
      </c>
      <c r="O76" s="391"/>
      <c r="P76" s="496">
        <f t="shared" si="12"/>
        <v>0</v>
      </c>
      <c r="Q76" s="445" t="s">
        <v>52</v>
      </c>
      <c r="R76" s="391"/>
      <c r="S76" s="362">
        <f t="shared" si="16"/>
        <v>0</v>
      </c>
      <c r="T76" s="368"/>
      <c r="U76" s="368"/>
      <c r="V76" s="368"/>
      <c r="W76" s="368"/>
      <c r="X76" s="364">
        <f t="shared" si="13"/>
        <v>0</v>
      </c>
      <c r="Y76" s="393"/>
      <c r="Z76" s="498">
        <f t="shared" si="14"/>
        <v>0</v>
      </c>
      <c r="AA76" s="368"/>
      <c r="AB76" s="368"/>
      <c r="AC76" s="368"/>
      <c r="AD76" s="368"/>
      <c r="AE76" s="365">
        <f t="shared" si="15"/>
        <v>0</v>
      </c>
      <c r="AF76" s="262"/>
      <c r="AG76" s="457"/>
      <c r="AH76" s="264"/>
    </row>
    <row r="77" spans="1:34" ht="30.75" thickBot="1" x14ac:dyDescent="0.3">
      <c r="A77" s="474"/>
      <c r="B77" s="447" t="s">
        <v>306</v>
      </c>
      <c r="C77" s="580"/>
      <c r="D77" s="449" t="s">
        <v>261</v>
      </c>
      <c r="E77" s="262"/>
      <c r="F77" s="447" t="s">
        <v>388</v>
      </c>
      <c r="G77" s="387" t="e">
        <f>VLOOKUP(A77,'Feature Summary'!$A$7:$C$3944,3,FALSE)</f>
        <v>#N/A</v>
      </c>
      <c r="H77" s="447" t="s">
        <v>405</v>
      </c>
      <c r="I77" s="447"/>
      <c r="J77" s="448" t="s">
        <v>328</v>
      </c>
      <c r="K77" s="263"/>
      <c r="L77" s="391"/>
      <c r="M77" s="399" t="s">
        <v>33</v>
      </c>
      <c r="N77" s="475">
        <v>1</v>
      </c>
      <c r="O77" s="391"/>
      <c r="P77" s="496">
        <f t="shared" si="12"/>
        <v>0</v>
      </c>
      <c r="Q77" s="445" t="s">
        <v>52</v>
      </c>
      <c r="R77" s="391"/>
      <c r="S77" s="362">
        <f t="shared" si="16"/>
        <v>0</v>
      </c>
      <c r="T77" s="368"/>
      <c r="U77" s="368"/>
      <c r="V77" s="368"/>
      <c r="W77" s="368"/>
      <c r="X77" s="364">
        <f t="shared" si="13"/>
        <v>0</v>
      </c>
      <c r="Y77" s="393"/>
      <c r="Z77" s="498">
        <f t="shared" si="14"/>
        <v>0</v>
      </c>
      <c r="AA77" s="368"/>
      <c r="AB77" s="368"/>
      <c r="AC77" s="368"/>
      <c r="AD77" s="368"/>
      <c r="AE77" s="365">
        <f t="shared" si="15"/>
        <v>0</v>
      </c>
      <c r="AF77" s="262"/>
      <c r="AG77" s="457"/>
      <c r="AH77" s="264"/>
    </row>
    <row r="78" spans="1:34" ht="30.75" thickBot="1" x14ac:dyDescent="0.3">
      <c r="A78" s="474"/>
      <c r="B78" s="447" t="s">
        <v>306</v>
      </c>
      <c r="C78" s="580"/>
      <c r="D78" s="449" t="s">
        <v>261</v>
      </c>
      <c r="E78" s="262"/>
      <c r="F78" s="447" t="s">
        <v>390</v>
      </c>
      <c r="G78" s="387" t="e">
        <f>VLOOKUP(A78,'Feature Summary'!$A$7:$C$3944,3,FALSE)</f>
        <v>#N/A</v>
      </c>
      <c r="H78" s="447" t="s">
        <v>406</v>
      </c>
      <c r="I78" s="447"/>
      <c r="J78" s="448" t="s">
        <v>328</v>
      </c>
      <c r="K78" s="263"/>
      <c r="L78" s="391"/>
      <c r="M78" s="399" t="s">
        <v>33</v>
      </c>
      <c r="N78" s="475">
        <v>1</v>
      </c>
      <c r="O78" s="391"/>
      <c r="P78" s="496">
        <f t="shared" si="12"/>
        <v>0</v>
      </c>
      <c r="Q78" s="445" t="s">
        <v>52</v>
      </c>
      <c r="R78" s="391"/>
      <c r="S78" s="362">
        <f t="shared" si="16"/>
        <v>0</v>
      </c>
      <c r="T78" s="368"/>
      <c r="U78" s="368"/>
      <c r="V78" s="368"/>
      <c r="W78" s="368"/>
      <c r="X78" s="364">
        <f t="shared" si="13"/>
        <v>0</v>
      </c>
      <c r="Y78" s="393"/>
      <c r="Z78" s="498">
        <f t="shared" si="14"/>
        <v>0</v>
      </c>
      <c r="AA78" s="368"/>
      <c r="AB78" s="368"/>
      <c r="AC78" s="368"/>
      <c r="AD78" s="368"/>
      <c r="AE78" s="365">
        <f t="shared" si="15"/>
        <v>0</v>
      </c>
      <c r="AF78" s="262"/>
      <c r="AG78" s="457"/>
      <c r="AH78" s="264"/>
    </row>
    <row r="79" spans="1:34" ht="45.75" thickBot="1" x14ac:dyDescent="0.3">
      <c r="A79" s="474"/>
      <c r="B79" s="447" t="s">
        <v>306</v>
      </c>
      <c r="C79" s="580"/>
      <c r="D79" s="449" t="s">
        <v>261</v>
      </c>
      <c r="E79" s="262"/>
      <c r="F79" s="447" t="s">
        <v>392</v>
      </c>
      <c r="G79" s="387" t="e">
        <f>VLOOKUP(A79,'Feature Summary'!$A$7:$C$3944,3,FALSE)</f>
        <v>#N/A</v>
      </c>
      <c r="H79" s="447" t="s">
        <v>407</v>
      </c>
      <c r="I79" s="447"/>
      <c r="J79" s="448" t="s">
        <v>408</v>
      </c>
      <c r="K79" s="263"/>
      <c r="L79" s="391"/>
      <c r="M79" s="399" t="s">
        <v>33</v>
      </c>
      <c r="N79" s="475">
        <v>1</v>
      </c>
      <c r="O79" s="391"/>
      <c r="P79" s="496">
        <f t="shared" si="12"/>
        <v>0</v>
      </c>
      <c r="Q79" s="445" t="s">
        <v>52</v>
      </c>
      <c r="R79" s="391"/>
      <c r="S79" s="362">
        <f t="shared" si="16"/>
        <v>0</v>
      </c>
      <c r="T79" s="368"/>
      <c r="U79" s="368"/>
      <c r="V79" s="368"/>
      <c r="W79" s="368"/>
      <c r="X79" s="364">
        <f t="shared" si="13"/>
        <v>0</v>
      </c>
      <c r="Y79" s="393"/>
      <c r="Z79" s="498">
        <f t="shared" si="14"/>
        <v>0</v>
      </c>
      <c r="AA79" s="368"/>
      <c r="AB79" s="368"/>
      <c r="AC79" s="368"/>
      <c r="AD79" s="368"/>
      <c r="AE79" s="365">
        <f t="shared" si="15"/>
        <v>0</v>
      </c>
      <c r="AF79" s="262"/>
      <c r="AG79" s="457"/>
      <c r="AH79" s="264"/>
    </row>
    <row r="80" spans="1:34" ht="45.75" thickBot="1" x14ac:dyDescent="0.3">
      <c r="A80" s="474"/>
      <c r="B80" s="447" t="s">
        <v>306</v>
      </c>
      <c r="C80" s="580"/>
      <c r="D80" s="449" t="s">
        <v>261</v>
      </c>
      <c r="E80" s="262"/>
      <c r="F80" s="447" t="s">
        <v>394</v>
      </c>
      <c r="G80" s="387" t="e">
        <f>VLOOKUP(A80,'Feature Summary'!$A$7:$C$3944,3,FALSE)</f>
        <v>#N/A</v>
      </c>
      <c r="H80" s="447" t="s">
        <v>409</v>
      </c>
      <c r="I80" s="447"/>
      <c r="J80" s="448" t="s">
        <v>408</v>
      </c>
      <c r="K80" s="263"/>
      <c r="L80" s="391"/>
      <c r="M80" s="399" t="s">
        <v>33</v>
      </c>
      <c r="N80" s="475">
        <v>1</v>
      </c>
      <c r="O80" s="391"/>
      <c r="P80" s="496">
        <f t="shared" si="12"/>
        <v>0</v>
      </c>
      <c r="Q80" s="445" t="s">
        <v>52</v>
      </c>
      <c r="R80" s="391"/>
      <c r="S80" s="362">
        <f t="shared" si="16"/>
        <v>0</v>
      </c>
      <c r="T80" s="368"/>
      <c r="U80" s="368"/>
      <c r="V80" s="368"/>
      <c r="W80" s="368"/>
      <c r="X80" s="364">
        <f t="shared" si="13"/>
        <v>0</v>
      </c>
      <c r="Y80" s="393"/>
      <c r="Z80" s="498">
        <f t="shared" si="14"/>
        <v>0</v>
      </c>
      <c r="AA80" s="368"/>
      <c r="AB80" s="368"/>
      <c r="AC80" s="368"/>
      <c r="AD80" s="368"/>
      <c r="AE80" s="365">
        <f t="shared" si="15"/>
        <v>0</v>
      </c>
      <c r="AF80" s="262"/>
      <c r="AG80" s="457"/>
      <c r="AH80" s="264"/>
    </row>
    <row r="81" spans="1:34" ht="45.75" thickBot="1" x14ac:dyDescent="0.3">
      <c r="A81" s="474"/>
      <c r="B81" s="447" t="s">
        <v>306</v>
      </c>
      <c r="C81" s="580"/>
      <c r="D81" s="449" t="s">
        <v>261</v>
      </c>
      <c r="E81" s="262"/>
      <c r="F81" s="447" t="s">
        <v>396</v>
      </c>
      <c r="G81" s="387" t="e">
        <f>VLOOKUP(A81,'Feature Summary'!$A$7:$C$3944,3,FALSE)</f>
        <v>#N/A</v>
      </c>
      <c r="H81" s="447" t="s">
        <v>410</v>
      </c>
      <c r="I81" s="447"/>
      <c r="J81" s="448" t="s">
        <v>408</v>
      </c>
      <c r="K81" s="263"/>
      <c r="L81" s="391"/>
      <c r="M81" s="399" t="s">
        <v>33</v>
      </c>
      <c r="N81" s="475">
        <v>1</v>
      </c>
      <c r="O81" s="391"/>
      <c r="P81" s="496">
        <f t="shared" si="12"/>
        <v>0</v>
      </c>
      <c r="Q81" s="445" t="s">
        <v>52</v>
      </c>
      <c r="R81" s="391"/>
      <c r="S81" s="362">
        <f t="shared" si="16"/>
        <v>0</v>
      </c>
      <c r="T81" s="368"/>
      <c r="U81" s="368"/>
      <c r="V81" s="368"/>
      <c r="W81" s="368"/>
      <c r="X81" s="364">
        <f t="shared" si="13"/>
        <v>0</v>
      </c>
      <c r="Y81" s="393"/>
      <c r="Z81" s="498">
        <f t="shared" si="14"/>
        <v>0</v>
      </c>
      <c r="AA81" s="368"/>
      <c r="AB81" s="368"/>
      <c r="AC81" s="368"/>
      <c r="AD81" s="368"/>
      <c r="AE81" s="365">
        <f t="shared" si="15"/>
        <v>0</v>
      </c>
      <c r="AF81" s="262"/>
      <c r="AG81" s="457"/>
      <c r="AH81" s="264"/>
    </row>
    <row r="82" spans="1:34" ht="45.75" thickBot="1" x14ac:dyDescent="0.3">
      <c r="A82" s="474"/>
      <c r="B82" s="447" t="s">
        <v>306</v>
      </c>
      <c r="C82" s="580"/>
      <c r="D82" s="449" t="s">
        <v>261</v>
      </c>
      <c r="E82" s="262"/>
      <c r="F82" s="447" t="s">
        <v>398</v>
      </c>
      <c r="G82" s="387" t="e">
        <f>VLOOKUP(A82,'Feature Summary'!$A$7:$C$3944,3,FALSE)</f>
        <v>#N/A</v>
      </c>
      <c r="H82" s="447" t="s">
        <v>411</v>
      </c>
      <c r="I82" s="447"/>
      <c r="J82" s="448" t="s">
        <v>408</v>
      </c>
      <c r="K82" s="263"/>
      <c r="L82" s="391"/>
      <c r="M82" s="399" t="s">
        <v>33</v>
      </c>
      <c r="N82" s="475">
        <v>1</v>
      </c>
      <c r="O82" s="391"/>
      <c r="P82" s="496">
        <f t="shared" si="12"/>
        <v>0</v>
      </c>
      <c r="Q82" s="445" t="s">
        <v>52</v>
      </c>
      <c r="R82" s="391"/>
      <c r="S82" s="362">
        <f t="shared" si="16"/>
        <v>0</v>
      </c>
      <c r="T82" s="368"/>
      <c r="U82" s="368"/>
      <c r="V82" s="368"/>
      <c r="W82" s="368"/>
      <c r="X82" s="364">
        <f t="shared" si="13"/>
        <v>0</v>
      </c>
      <c r="Y82" s="393"/>
      <c r="Z82" s="498">
        <f t="shared" si="14"/>
        <v>0</v>
      </c>
      <c r="AA82" s="368"/>
      <c r="AB82" s="368"/>
      <c r="AC82" s="368"/>
      <c r="AD82" s="368"/>
      <c r="AE82" s="365">
        <f t="shared" si="15"/>
        <v>0</v>
      </c>
      <c r="AF82" s="262"/>
      <c r="AG82" s="457"/>
      <c r="AH82" s="264"/>
    </row>
    <row r="83" spans="1:34" ht="30.75" thickBot="1" x14ac:dyDescent="0.3">
      <c r="A83" s="474" t="s">
        <v>312</v>
      </c>
      <c r="B83" s="447" t="s">
        <v>306</v>
      </c>
      <c r="C83" s="580" t="s">
        <v>372</v>
      </c>
      <c r="D83" s="449" t="s">
        <v>261</v>
      </c>
      <c r="E83" s="262"/>
      <c r="F83" s="447" t="s">
        <v>412</v>
      </c>
      <c r="G83" s="387" t="str">
        <f>VLOOKUP(A83,'Feature Summary'!$A$7:$C$3944,3,FALSE)</f>
        <v>P2</v>
      </c>
      <c r="H83" s="447" t="s">
        <v>413</v>
      </c>
      <c r="I83" s="488" t="s">
        <v>264</v>
      </c>
      <c r="J83" s="448" t="s">
        <v>281</v>
      </c>
      <c r="K83" s="263">
        <v>2</v>
      </c>
      <c r="L83" s="391">
        <v>2</v>
      </c>
      <c r="M83" s="399" t="s">
        <v>33</v>
      </c>
      <c r="N83" s="475">
        <v>1</v>
      </c>
      <c r="O83" s="391">
        <v>2</v>
      </c>
      <c r="P83" s="496">
        <f t="shared" si="12"/>
        <v>1</v>
      </c>
      <c r="Q83" s="445" t="s">
        <v>52</v>
      </c>
      <c r="R83" s="391">
        <v>2</v>
      </c>
      <c r="S83" s="362">
        <f t="shared" si="16"/>
        <v>2</v>
      </c>
      <c r="T83" s="368">
        <v>2</v>
      </c>
      <c r="U83" s="368"/>
      <c r="V83" s="368"/>
      <c r="W83" s="368"/>
      <c r="X83" s="364">
        <f t="shared" si="13"/>
        <v>1</v>
      </c>
      <c r="Y83" s="393"/>
      <c r="Z83" s="498">
        <f t="shared" si="14"/>
        <v>0</v>
      </c>
      <c r="AA83" s="368"/>
      <c r="AB83" s="368"/>
      <c r="AC83" s="368"/>
      <c r="AD83" s="368"/>
      <c r="AE83" s="365">
        <f t="shared" si="15"/>
        <v>0</v>
      </c>
      <c r="AF83" s="262"/>
      <c r="AG83" s="457"/>
      <c r="AH83" s="264"/>
    </row>
    <row r="84" spans="1:34" ht="14.45" customHeight="1" thickBot="1" x14ac:dyDescent="0.3">
      <c r="A84" s="474"/>
      <c r="B84" s="447" t="s">
        <v>306</v>
      </c>
      <c r="C84" s="580"/>
      <c r="D84" s="449" t="s">
        <v>261</v>
      </c>
      <c r="E84" s="262"/>
      <c r="F84" s="447" t="s">
        <v>412</v>
      </c>
      <c r="G84" s="387" t="e">
        <f>VLOOKUP(A84,'Feature Summary'!$A$7:$C$3944,3,FALSE)</f>
        <v>#N/A</v>
      </c>
      <c r="H84" s="447" t="s">
        <v>414</v>
      </c>
      <c r="I84" s="447"/>
      <c r="J84" s="448" t="s">
        <v>328</v>
      </c>
      <c r="K84" s="263"/>
      <c r="L84" s="391"/>
      <c r="M84" s="399" t="s">
        <v>33</v>
      </c>
      <c r="N84" s="475">
        <v>1</v>
      </c>
      <c r="O84" s="391"/>
      <c r="P84" s="496">
        <f t="shared" si="12"/>
        <v>0</v>
      </c>
      <c r="Q84" s="445" t="s">
        <v>52</v>
      </c>
      <c r="R84" s="391"/>
      <c r="S84" s="362">
        <f t="shared" si="16"/>
        <v>0</v>
      </c>
      <c r="T84" s="368"/>
      <c r="U84" s="368"/>
      <c r="V84" s="368"/>
      <c r="W84" s="368"/>
      <c r="X84" s="364">
        <f t="shared" si="13"/>
        <v>0</v>
      </c>
      <c r="Y84" s="393"/>
      <c r="Z84" s="498">
        <f t="shared" si="14"/>
        <v>0</v>
      </c>
      <c r="AA84" s="368"/>
      <c r="AB84" s="368"/>
      <c r="AC84" s="368"/>
      <c r="AD84" s="368"/>
      <c r="AE84" s="365">
        <f t="shared" si="15"/>
        <v>0</v>
      </c>
      <c r="AF84" s="262"/>
      <c r="AG84" s="457"/>
      <c r="AH84" s="264"/>
    </row>
    <row r="85" spans="1:34" ht="30.75" thickBot="1" x14ac:dyDescent="0.3">
      <c r="A85" s="474"/>
      <c r="B85" s="447" t="s">
        <v>306</v>
      </c>
      <c r="C85" s="580"/>
      <c r="D85" s="449" t="s">
        <v>261</v>
      </c>
      <c r="E85" s="262"/>
      <c r="F85" s="447" t="s">
        <v>412</v>
      </c>
      <c r="G85" s="387" t="e">
        <f>VLOOKUP(A85,'Feature Summary'!$A$7:$C$3944,3,FALSE)</f>
        <v>#N/A</v>
      </c>
      <c r="H85" s="447" t="s">
        <v>415</v>
      </c>
      <c r="I85" s="447"/>
      <c r="J85" s="448" t="s">
        <v>416</v>
      </c>
      <c r="K85" s="263"/>
      <c r="L85" s="391"/>
      <c r="M85" s="399" t="s">
        <v>33</v>
      </c>
      <c r="N85" s="475">
        <v>1</v>
      </c>
      <c r="O85" s="391"/>
      <c r="P85" s="496">
        <f t="shared" si="12"/>
        <v>0</v>
      </c>
      <c r="Q85" s="445" t="s">
        <v>52</v>
      </c>
      <c r="R85" s="391"/>
      <c r="S85" s="362">
        <f t="shared" si="16"/>
        <v>0</v>
      </c>
      <c r="T85" s="368"/>
      <c r="U85" s="368"/>
      <c r="V85" s="368"/>
      <c r="W85" s="368"/>
      <c r="X85" s="364">
        <f t="shared" si="13"/>
        <v>0</v>
      </c>
      <c r="Y85" s="393"/>
      <c r="Z85" s="498">
        <f t="shared" si="14"/>
        <v>0</v>
      </c>
      <c r="AA85" s="368"/>
      <c r="AB85" s="368"/>
      <c r="AC85" s="368"/>
      <c r="AD85" s="368"/>
      <c r="AE85" s="365">
        <f t="shared" si="15"/>
        <v>0</v>
      </c>
      <c r="AF85" s="262"/>
      <c r="AG85" s="457"/>
      <c r="AH85" s="264"/>
    </row>
    <row r="86" spans="1:34" ht="15.75" thickBot="1" x14ac:dyDescent="0.3">
      <c r="A86" s="474" t="s">
        <v>417</v>
      </c>
      <c r="B86" s="447" t="s">
        <v>418</v>
      </c>
      <c r="C86" s="580" t="s">
        <v>372</v>
      </c>
      <c r="D86" s="449" t="s">
        <v>261</v>
      </c>
      <c r="E86" s="262"/>
      <c r="F86" s="447" t="s">
        <v>419</v>
      </c>
      <c r="G86" s="387" t="str">
        <f>VLOOKUP(A86,'Feature Summary'!$A$7:$C$3944,3,FALSE)</f>
        <v>P2</v>
      </c>
      <c r="H86" s="447" t="s">
        <v>420</v>
      </c>
      <c r="I86" s="488" t="s">
        <v>264</v>
      </c>
      <c r="J86" s="448" t="s">
        <v>281</v>
      </c>
      <c r="K86" s="263">
        <v>2</v>
      </c>
      <c r="L86" s="391">
        <v>2</v>
      </c>
      <c r="M86" s="399" t="s">
        <v>33</v>
      </c>
      <c r="N86" s="475">
        <v>1</v>
      </c>
      <c r="O86" s="391">
        <v>2</v>
      </c>
      <c r="P86" s="496">
        <f t="shared" si="12"/>
        <v>1</v>
      </c>
      <c r="Q86" s="445" t="s">
        <v>52</v>
      </c>
      <c r="R86" s="391">
        <v>2</v>
      </c>
      <c r="S86" s="362">
        <f t="shared" si="16"/>
        <v>2</v>
      </c>
      <c r="T86" s="368">
        <v>1</v>
      </c>
      <c r="U86" s="368">
        <v>1</v>
      </c>
      <c r="V86" s="368"/>
      <c r="W86" s="368"/>
      <c r="X86" s="364">
        <f t="shared" si="13"/>
        <v>1</v>
      </c>
      <c r="Y86" s="393"/>
      <c r="Z86" s="498">
        <f t="shared" si="14"/>
        <v>0</v>
      </c>
      <c r="AA86" s="368"/>
      <c r="AB86" s="368"/>
      <c r="AC86" s="368"/>
      <c r="AD86" s="368"/>
      <c r="AE86" s="365">
        <f t="shared" si="15"/>
        <v>0</v>
      </c>
      <c r="AF86" s="262"/>
      <c r="AG86" s="457"/>
      <c r="AH86" s="264"/>
    </row>
    <row r="87" spans="1:34" ht="14.45" customHeight="1" thickBot="1" x14ac:dyDescent="0.3">
      <c r="A87" s="474"/>
      <c r="B87" s="447" t="s">
        <v>418</v>
      </c>
      <c r="C87" s="580"/>
      <c r="D87" s="449" t="s">
        <v>261</v>
      </c>
      <c r="E87" s="262"/>
      <c r="F87" s="447" t="s">
        <v>419</v>
      </c>
      <c r="G87" s="387" t="e">
        <f>VLOOKUP(A87,'Feature Summary'!$A$7:$C$3944,3,FALSE)</f>
        <v>#N/A</v>
      </c>
      <c r="H87" s="447" t="s">
        <v>421</v>
      </c>
      <c r="I87" s="447"/>
      <c r="J87" s="448" t="s">
        <v>328</v>
      </c>
      <c r="K87" s="263"/>
      <c r="L87" s="391"/>
      <c r="M87" s="399" t="s">
        <v>33</v>
      </c>
      <c r="N87" s="475">
        <v>1</v>
      </c>
      <c r="O87" s="391"/>
      <c r="P87" s="496">
        <f t="shared" si="12"/>
        <v>0</v>
      </c>
      <c r="Q87" s="445" t="s">
        <v>52</v>
      </c>
      <c r="R87" s="391"/>
      <c r="S87" s="362">
        <f t="shared" si="16"/>
        <v>0</v>
      </c>
      <c r="T87" s="368"/>
      <c r="U87" s="368"/>
      <c r="V87" s="368"/>
      <c r="W87" s="368"/>
      <c r="X87" s="364">
        <f t="shared" si="13"/>
        <v>0</v>
      </c>
      <c r="Y87" s="393"/>
      <c r="Z87" s="498">
        <f t="shared" si="14"/>
        <v>0</v>
      </c>
      <c r="AA87" s="368"/>
      <c r="AB87" s="368"/>
      <c r="AC87" s="368"/>
      <c r="AD87" s="368"/>
      <c r="AE87" s="365">
        <f t="shared" si="15"/>
        <v>0</v>
      </c>
      <c r="AF87" s="262"/>
      <c r="AG87" s="457"/>
      <c r="AH87" s="264"/>
    </row>
    <row r="88" spans="1:34" ht="15.75" thickBot="1" x14ac:dyDescent="0.3">
      <c r="A88" s="474"/>
      <c r="B88" s="447" t="s">
        <v>418</v>
      </c>
      <c r="C88" s="580"/>
      <c r="D88" s="449" t="s">
        <v>261</v>
      </c>
      <c r="E88" s="262"/>
      <c r="F88" s="447" t="s">
        <v>419</v>
      </c>
      <c r="G88" s="387" t="e">
        <f>VLOOKUP(A88,'Feature Summary'!$A$7:$C$3944,3,FALSE)</f>
        <v>#N/A</v>
      </c>
      <c r="H88" s="447" t="s">
        <v>422</v>
      </c>
      <c r="I88" s="447"/>
      <c r="J88" s="448" t="s">
        <v>416</v>
      </c>
      <c r="K88" s="263"/>
      <c r="L88" s="391"/>
      <c r="M88" s="399" t="s">
        <v>33</v>
      </c>
      <c r="N88" s="475">
        <v>1</v>
      </c>
      <c r="O88" s="391"/>
      <c r="P88" s="496">
        <f t="shared" si="12"/>
        <v>0</v>
      </c>
      <c r="Q88" s="445" t="s">
        <v>52</v>
      </c>
      <c r="R88" s="391"/>
      <c r="S88" s="362">
        <f t="shared" si="16"/>
        <v>0</v>
      </c>
      <c r="T88" s="368"/>
      <c r="U88" s="368"/>
      <c r="V88" s="368"/>
      <c r="W88" s="368"/>
      <c r="X88" s="364">
        <f t="shared" si="13"/>
        <v>0</v>
      </c>
      <c r="Y88" s="393"/>
      <c r="Z88" s="498">
        <f t="shared" si="14"/>
        <v>0</v>
      </c>
      <c r="AA88" s="368"/>
      <c r="AB88" s="368"/>
      <c r="AC88" s="368"/>
      <c r="AD88" s="368"/>
      <c r="AE88" s="365">
        <f t="shared" si="15"/>
        <v>0</v>
      </c>
      <c r="AF88" s="262"/>
      <c r="AG88" s="457"/>
      <c r="AH88" s="264"/>
    </row>
    <row r="89" spans="1:34" ht="15.75" thickBot="1" x14ac:dyDescent="0.3">
      <c r="A89" s="474"/>
      <c r="B89" s="447"/>
      <c r="C89" s="580" t="s">
        <v>372</v>
      </c>
      <c r="D89" s="449" t="s">
        <v>261</v>
      </c>
      <c r="E89" s="262"/>
      <c r="F89" s="447" t="s">
        <v>423</v>
      </c>
      <c r="G89" s="387" t="e">
        <f>VLOOKUP(A89,'Feature Summary'!$A$7:$C$3944,3,FALSE)</f>
        <v>#N/A</v>
      </c>
      <c r="H89" s="447" t="s">
        <v>424</v>
      </c>
      <c r="I89" s="488" t="s">
        <v>264</v>
      </c>
      <c r="J89" s="448" t="s">
        <v>281</v>
      </c>
      <c r="K89" s="263">
        <v>2</v>
      </c>
      <c r="L89" s="391">
        <v>2</v>
      </c>
      <c r="M89" s="399" t="s">
        <v>33</v>
      </c>
      <c r="N89" s="475">
        <v>1</v>
      </c>
      <c r="O89" s="391">
        <v>2</v>
      </c>
      <c r="P89" s="496">
        <f t="shared" si="12"/>
        <v>1</v>
      </c>
      <c r="Q89" s="445" t="s">
        <v>52</v>
      </c>
      <c r="R89" s="391">
        <v>2</v>
      </c>
      <c r="S89" s="362">
        <f t="shared" si="16"/>
        <v>2</v>
      </c>
      <c r="T89" s="368"/>
      <c r="U89" s="368">
        <v>2</v>
      </c>
      <c r="V89" s="368"/>
      <c r="W89" s="368"/>
      <c r="X89" s="364">
        <f t="shared" si="13"/>
        <v>1</v>
      </c>
      <c r="Y89" s="393"/>
      <c r="Z89" s="498">
        <f t="shared" si="14"/>
        <v>0</v>
      </c>
      <c r="AA89" s="368"/>
      <c r="AB89" s="368"/>
      <c r="AC89" s="368"/>
      <c r="AD89" s="368"/>
      <c r="AE89" s="365">
        <f t="shared" si="15"/>
        <v>0</v>
      </c>
      <c r="AF89" s="262"/>
      <c r="AG89" s="457"/>
      <c r="AH89" s="264"/>
    </row>
    <row r="90" spans="1:34" ht="30.75" thickBot="1" x14ac:dyDescent="0.3">
      <c r="A90" s="474"/>
      <c r="B90" s="447"/>
      <c r="C90" s="580"/>
      <c r="D90" s="449" t="s">
        <v>261</v>
      </c>
      <c r="E90" s="262"/>
      <c r="F90" s="447" t="s">
        <v>423</v>
      </c>
      <c r="G90" s="387" t="e">
        <f>VLOOKUP(A90,'Feature Summary'!$A$7:$C$3944,3,FALSE)</f>
        <v>#N/A</v>
      </c>
      <c r="H90" s="447" t="s">
        <v>425</v>
      </c>
      <c r="I90" s="447"/>
      <c r="J90" s="448" t="s">
        <v>328</v>
      </c>
      <c r="K90" s="263"/>
      <c r="L90" s="391"/>
      <c r="M90" s="399" t="s">
        <v>33</v>
      </c>
      <c r="N90" s="475">
        <v>1</v>
      </c>
      <c r="O90" s="391"/>
      <c r="P90" s="496">
        <f>IF((O90=0),0,(O90/L90))</f>
        <v>0</v>
      </c>
      <c r="Q90" s="445" t="s">
        <v>52</v>
      </c>
      <c r="R90" s="391"/>
      <c r="S90" s="362">
        <f t="shared" si="16"/>
        <v>0</v>
      </c>
      <c r="T90" s="368"/>
      <c r="U90" s="368"/>
      <c r="V90" s="368"/>
      <c r="W90" s="368"/>
      <c r="X90" s="364">
        <f t="shared" si="13"/>
        <v>0</v>
      </c>
      <c r="Y90" s="393"/>
      <c r="Z90" s="498">
        <f t="shared" si="14"/>
        <v>0</v>
      </c>
      <c r="AA90" s="368"/>
      <c r="AB90" s="368"/>
      <c r="AC90" s="368"/>
      <c r="AD90" s="368"/>
      <c r="AE90" s="365">
        <f t="shared" si="15"/>
        <v>0</v>
      </c>
      <c r="AF90" s="262"/>
      <c r="AG90" s="457"/>
      <c r="AH90" s="264"/>
    </row>
    <row r="91" spans="1:34" ht="15.75" thickBot="1" x14ac:dyDescent="0.3">
      <c r="A91" s="474"/>
      <c r="B91" s="447"/>
      <c r="C91" s="580"/>
      <c r="D91" s="449" t="s">
        <v>261</v>
      </c>
      <c r="E91" s="262"/>
      <c r="F91" s="447" t="s">
        <v>423</v>
      </c>
      <c r="G91" s="387" t="e">
        <f>VLOOKUP(A91,'Feature Summary'!$A$7:$C$3944,3,FALSE)</f>
        <v>#N/A</v>
      </c>
      <c r="H91" s="447" t="s">
        <v>426</v>
      </c>
      <c r="I91" s="447"/>
      <c r="J91" s="448" t="s">
        <v>416</v>
      </c>
      <c r="K91" s="263"/>
      <c r="L91" s="391"/>
      <c r="M91" s="399" t="s">
        <v>33</v>
      </c>
      <c r="N91" s="475">
        <v>1</v>
      </c>
      <c r="O91" s="391"/>
      <c r="P91" s="496">
        <f>IF((O91=0),0,(O91/L91))</f>
        <v>0</v>
      </c>
      <c r="Q91" s="445" t="s">
        <v>52</v>
      </c>
      <c r="R91" s="391"/>
      <c r="S91" s="362">
        <f t="shared" si="16"/>
        <v>0</v>
      </c>
      <c r="T91" s="368"/>
      <c r="U91" s="368"/>
      <c r="V91" s="368"/>
      <c r="W91" s="368"/>
      <c r="X91" s="364">
        <f t="shared" si="13"/>
        <v>0</v>
      </c>
      <c r="Y91" s="393"/>
      <c r="Z91" s="498">
        <f t="shared" si="14"/>
        <v>0</v>
      </c>
      <c r="AA91" s="368"/>
      <c r="AB91" s="368"/>
      <c r="AC91" s="368"/>
      <c r="AD91" s="368"/>
      <c r="AE91" s="365">
        <f t="shared" si="15"/>
        <v>0</v>
      </c>
      <c r="AF91" s="262"/>
      <c r="AG91" s="457"/>
      <c r="AH91" s="264"/>
    </row>
    <row r="92" spans="1:34" ht="15.75" thickBot="1" x14ac:dyDescent="0.3">
      <c r="A92" s="474"/>
      <c r="B92" s="447"/>
      <c r="C92" s="580" t="s">
        <v>335</v>
      </c>
      <c r="D92" s="449" t="s">
        <v>261</v>
      </c>
      <c r="E92" s="262"/>
      <c r="F92" s="447" t="s">
        <v>427</v>
      </c>
      <c r="G92" s="387" t="e">
        <f>VLOOKUP(A92,'Feature Summary'!$A$7:$C$3944,3,FALSE)</f>
        <v>#N/A</v>
      </c>
      <c r="H92" s="447" t="s">
        <v>428</v>
      </c>
      <c r="I92" s="488" t="s">
        <v>264</v>
      </c>
      <c r="J92" s="448" t="s">
        <v>281</v>
      </c>
      <c r="K92" s="263">
        <v>2</v>
      </c>
      <c r="L92" s="391">
        <v>1</v>
      </c>
      <c r="M92" s="399" t="s">
        <v>33</v>
      </c>
      <c r="N92" s="475">
        <v>1</v>
      </c>
      <c r="O92" s="391">
        <v>1</v>
      </c>
      <c r="P92" s="496">
        <f t="shared" ref="P92:P96" si="17">IF((O92=0),0,(O92/L92))</f>
        <v>1</v>
      </c>
      <c r="Q92" s="445" t="s">
        <v>52</v>
      </c>
      <c r="R92" s="391">
        <v>1</v>
      </c>
      <c r="S92" s="362">
        <f t="shared" si="16"/>
        <v>1</v>
      </c>
      <c r="T92" s="368">
        <v>1</v>
      </c>
      <c r="U92" s="368"/>
      <c r="V92" s="368"/>
      <c r="W92" s="368"/>
      <c r="X92" s="364">
        <f t="shared" si="13"/>
        <v>1</v>
      </c>
      <c r="Y92" s="393"/>
      <c r="Z92" s="498">
        <f t="shared" si="14"/>
        <v>0</v>
      </c>
      <c r="AA92" s="368"/>
      <c r="AB92" s="368"/>
      <c r="AC92" s="368"/>
      <c r="AD92" s="368"/>
      <c r="AE92" s="365">
        <f t="shared" si="15"/>
        <v>0</v>
      </c>
      <c r="AF92" s="262"/>
      <c r="AG92" s="457"/>
      <c r="AH92" s="264"/>
    </row>
    <row r="93" spans="1:34" ht="30.75" thickBot="1" x14ac:dyDescent="0.3">
      <c r="A93" s="474"/>
      <c r="B93" s="447"/>
      <c r="C93" s="580"/>
      <c r="D93" s="449" t="s">
        <v>261</v>
      </c>
      <c r="E93" s="262"/>
      <c r="F93" s="447" t="s">
        <v>427</v>
      </c>
      <c r="G93" s="387" t="e">
        <f>VLOOKUP(A93,'Feature Summary'!$A$7:$C$3944,3,FALSE)</f>
        <v>#N/A</v>
      </c>
      <c r="H93" s="447" t="s">
        <v>429</v>
      </c>
      <c r="I93" s="447"/>
      <c r="J93" s="448" t="s">
        <v>328</v>
      </c>
      <c r="K93" s="263"/>
      <c r="L93" s="391"/>
      <c r="M93" s="399" t="s">
        <v>33</v>
      </c>
      <c r="N93" s="475">
        <v>1</v>
      </c>
      <c r="O93" s="391"/>
      <c r="P93" s="496">
        <f t="shared" si="17"/>
        <v>0</v>
      </c>
      <c r="Q93" s="445" t="s">
        <v>52</v>
      </c>
      <c r="R93" s="391"/>
      <c r="S93" s="362">
        <f t="shared" si="16"/>
        <v>0</v>
      </c>
      <c r="T93" s="368"/>
      <c r="U93" s="368"/>
      <c r="V93" s="368"/>
      <c r="W93" s="368"/>
      <c r="X93" s="364">
        <f t="shared" si="13"/>
        <v>0</v>
      </c>
      <c r="Y93" s="393"/>
      <c r="Z93" s="498">
        <f t="shared" si="14"/>
        <v>0</v>
      </c>
      <c r="AA93" s="368"/>
      <c r="AB93" s="368"/>
      <c r="AC93" s="368"/>
      <c r="AD93" s="368"/>
      <c r="AE93" s="365">
        <f t="shared" si="15"/>
        <v>0</v>
      </c>
      <c r="AF93" s="262"/>
      <c r="AG93" s="457"/>
      <c r="AH93" s="264"/>
    </row>
    <row r="94" spans="1:34" ht="15.75" thickBot="1" x14ac:dyDescent="0.3">
      <c r="A94" s="474"/>
      <c r="B94" s="447"/>
      <c r="C94" s="580"/>
      <c r="D94" s="449" t="s">
        <v>261</v>
      </c>
      <c r="E94" s="262"/>
      <c r="F94" s="447" t="s">
        <v>427</v>
      </c>
      <c r="G94" s="387" t="e">
        <f>VLOOKUP(A94,'Feature Summary'!$A$7:$C$3944,3,FALSE)</f>
        <v>#N/A</v>
      </c>
      <c r="H94" s="447" t="s">
        <v>430</v>
      </c>
      <c r="I94" s="447"/>
      <c r="J94" s="448" t="s">
        <v>416</v>
      </c>
      <c r="K94" s="263"/>
      <c r="L94" s="391"/>
      <c r="M94" s="399" t="s">
        <v>33</v>
      </c>
      <c r="N94" s="475">
        <v>1</v>
      </c>
      <c r="O94" s="391"/>
      <c r="P94" s="496">
        <f t="shared" si="17"/>
        <v>0</v>
      </c>
      <c r="Q94" s="445" t="s">
        <v>52</v>
      </c>
      <c r="R94" s="391"/>
      <c r="S94" s="362">
        <f t="shared" si="16"/>
        <v>0</v>
      </c>
      <c r="T94" s="368"/>
      <c r="U94" s="368"/>
      <c r="V94" s="368"/>
      <c r="W94" s="368"/>
      <c r="X94" s="364">
        <f t="shared" si="13"/>
        <v>0</v>
      </c>
      <c r="Y94" s="393"/>
      <c r="Z94" s="498">
        <f t="shared" si="14"/>
        <v>0</v>
      </c>
      <c r="AA94" s="368"/>
      <c r="AB94" s="368"/>
      <c r="AC94" s="368"/>
      <c r="AD94" s="368"/>
      <c r="AE94" s="365">
        <f t="shared" si="15"/>
        <v>0</v>
      </c>
      <c r="AF94" s="262"/>
      <c r="AG94" s="457"/>
      <c r="AH94" s="264"/>
    </row>
    <row r="95" spans="1:34" ht="15.75" thickBot="1" x14ac:dyDescent="0.3">
      <c r="A95" s="474" t="s">
        <v>417</v>
      </c>
      <c r="B95" s="447" t="s">
        <v>418</v>
      </c>
      <c r="C95" s="580" t="s">
        <v>335</v>
      </c>
      <c r="D95" s="449" t="s">
        <v>431</v>
      </c>
      <c r="E95" s="262"/>
      <c r="F95" s="447" t="s">
        <v>432</v>
      </c>
      <c r="G95" s="387" t="str">
        <f>VLOOKUP(A95,'Feature Summary'!$A$7:$C$3944,3,FALSE)</f>
        <v>P2</v>
      </c>
      <c r="H95" s="447" t="s">
        <v>433</v>
      </c>
      <c r="I95" s="488" t="s">
        <v>264</v>
      </c>
      <c r="J95" s="448" t="s">
        <v>281</v>
      </c>
      <c r="K95" s="263">
        <v>1</v>
      </c>
      <c r="L95" s="391">
        <v>1</v>
      </c>
      <c r="M95" s="399" t="s">
        <v>33</v>
      </c>
      <c r="N95" s="475">
        <v>1</v>
      </c>
      <c r="O95" s="391">
        <v>1</v>
      </c>
      <c r="P95" s="496">
        <f t="shared" si="17"/>
        <v>1</v>
      </c>
      <c r="Q95" s="445" t="s">
        <v>52</v>
      </c>
      <c r="R95" s="391">
        <v>1</v>
      </c>
      <c r="S95" s="362">
        <f t="shared" si="16"/>
        <v>1</v>
      </c>
      <c r="T95" s="368">
        <v>1</v>
      </c>
      <c r="U95" s="368"/>
      <c r="V95" s="368"/>
      <c r="W95" s="368"/>
      <c r="X95" s="364">
        <f t="shared" si="13"/>
        <v>1</v>
      </c>
      <c r="Y95" s="393"/>
      <c r="Z95" s="498">
        <f t="shared" si="14"/>
        <v>0</v>
      </c>
      <c r="AA95" s="368"/>
      <c r="AB95" s="368"/>
      <c r="AC95" s="368"/>
      <c r="AD95" s="368"/>
      <c r="AE95" s="365">
        <f t="shared" si="15"/>
        <v>0</v>
      </c>
      <c r="AF95" s="262"/>
      <c r="AG95" s="457"/>
      <c r="AH95" s="264"/>
    </row>
    <row r="96" spans="1:34" ht="30.75" thickBot="1" x14ac:dyDescent="0.3">
      <c r="A96" s="474"/>
      <c r="B96" s="447" t="s">
        <v>418</v>
      </c>
      <c r="C96" s="580"/>
      <c r="D96" s="449" t="s">
        <v>261</v>
      </c>
      <c r="E96" s="262"/>
      <c r="F96" s="447" t="s">
        <v>432</v>
      </c>
      <c r="G96" s="387" t="e">
        <f>VLOOKUP(A96,'Feature Summary'!$A$7:$C$3944,3,FALSE)</f>
        <v>#N/A</v>
      </c>
      <c r="H96" s="447" t="s">
        <v>434</v>
      </c>
      <c r="I96" s="447"/>
      <c r="J96" s="448" t="s">
        <v>328</v>
      </c>
      <c r="K96" s="263"/>
      <c r="L96" s="391"/>
      <c r="M96" s="399" t="s">
        <v>33</v>
      </c>
      <c r="N96" s="475">
        <v>1</v>
      </c>
      <c r="O96" s="391"/>
      <c r="P96" s="496">
        <f t="shared" si="17"/>
        <v>0</v>
      </c>
      <c r="Q96" s="445" t="s">
        <v>52</v>
      </c>
      <c r="R96" s="391"/>
      <c r="S96" s="362">
        <f t="shared" si="16"/>
        <v>0</v>
      </c>
      <c r="T96" s="368"/>
      <c r="U96" s="368"/>
      <c r="V96" s="368"/>
      <c r="W96" s="368"/>
      <c r="X96" s="364">
        <f t="shared" si="13"/>
        <v>0</v>
      </c>
      <c r="Y96" s="393"/>
      <c r="Z96" s="498">
        <f t="shared" si="14"/>
        <v>0</v>
      </c>
      <c r="AA96" s="368"/>
      <c r="AB96" s="368"/>
      <c r="AC96" s="368"/>
      <c r="AD96" s="368"/>
      <c r="AE96" s="365">
        <f t="shared" si="15"/>
        <v>0</v>
      </c>
      <c r="AF96" s="262"/>
      <c r="AG96" s="457"/>
      <c r="AH96" s="264"/>
    </row>
    <row r="97" spans="1:34" ht="15.75" thickBot="1" x14ac:dyDescent="0.3">
      <c r="A97" s="474"/>
      <c r="B97" s="447" t="s">
        <v>418</v>
      </c>
      <c r="C97" s="580"/>
      <c r="D97" s="449" t="s">
        <v>261</v>
      </c>
      <c r="E97" s="262"/>
      <c r="F97" s="447" t="s">
        <v>432</v>
      </c>
      <c r="G97" s="387" t="e">
        <f>VLOOKUP(A97,'Feature Summary'!$A$7:$C$3944,3,FALSE)</f>
        <v>#N/A</v>
      </c>
      <c r="H97" s="447" t="s">
        <v>435</v>
      </c>
      <c r="I97" s="447"/>
      <c r="J97" s="448" t="s">
        <v>416</v>
      </c>
      <c r="K97" s="263"/>
      <c r="L97" s="391"/>
      <c r="M97" s="399" t="s">
        <v>33</v>
      </c>
      <c r="N97" s="475">
        <v>1</v>
      </c>
      <c r="O97" s="391"/>
      <c r="P97" s="496">
        <f>IF((O97=0),0,(O97/L97))</f>
        <v>0</v>
      </c>
      <c r="Q97" s="445" t="s">
        <v>52</v>
      </c>
      <c r="R97" s="391"/>
      <c r="S97" s="362">
        <f t="shared" si="16"/>
        <v>0</v>
      </c>
      <c r="T97" s="368"/>
      <c r="U97" s="368"/>
      <c r="V97" s="368"/>
      <c r="W97" s="368"/>
      <c r="X97" s="364">
        <f t="shared" si="13"/>
        <v>0</v>
      </c>
      <c r="Y97" s="393"/>
      <c r="Z97" s="498">
        <f t="shared" si="14"/>
        <v>0</v>
      </c>
      <c r="AA97" s="368"/>
      <c r="AB97" s="368"/>
      <c r="AC97" s="368"/>
      <c r="AD97" s="368"/>
      <c r="AE97" s="365">
        <f t="shared" si="15"/>
        <v>0</v>
      </c>
      <c r="AF97" s="262"/>
      <c r="AG97" s="457"/>
      <c r="AH97" s="264"/>
    </row>
    <row r="98" spans="1:34" ht="15.75" thickBot="1" x14ac:dyDescent="0.3">
      <c r="A98" s="474" t="s">
        <v>417</v>
      </c>
      <c r="B98" s="447"/>
      <c r="C98" s="580" t="s">
        <v>335</v>
      </c>
      <c r="D98" s="449" t="s">
        <v>431</v>
      </c>
      <c r="E98" s="262"/>
      <c r="F98" s="447" t="s">
        <v>436</v>
      </c>
      <c r="G98" s="387" t="str">
        <f>VLOOKUP(A98,'Feature Summary'!$A$7:$C$3944,3,FALSE)</f>
        <v>P2</v>
      </c>
      <c r="H98" s="447" t="s">
        <v>437</v>
      </c>
      <c r="I98" s="488" t="s">
        <v>264</v>
      </c>
      <c r="J98" s="448" t="s">
        <v>438</v>
      </c>
      <c r="K98" s="263">
        <v>1</v>
      </c>
      <c r="L98" s="391">
        <v>1</v>
      </c>
      <c r="M98" s="399" t="s">
        <v>33</v>
      </c>
      <c r="N98" s="475">
        <v>1</v>
      </c>
      <c r="O98" s="391">
        <v>1</v>
      </c>
      <c r="P98" s="496">
        <f t="shared" ref="P98:P128" si="18">IF((O98=0),0,(O98/L98))</f>
        <v>1</v>
      </c>
      <c r="Q98" s="445" t="s">
        <v>52</v>
      </c>
      <c r="R98" s="391">
        <v>1</v>
      </c>
      <c r="S98" s="362">
        <f t="shared" si="16"/>
        <v>1</v>
      </c>
      <c r="T98" s="368">
        <v>1</v>
      </c>
      <c r="U98" s="368"/>
      <c r="V98" s="368"/>
      <c r="W98" s="368"/>
      <c r="X98" s="364">
        <f t="shared" si="13"/>
        <v>1</v>
      </c>
      <c r="Y98" s="393"/>
      <c r="Z98" s="498">
        <f t="shared" si="14"/>
        <v>0</v>
      </c>
      <c r="AA98" s="368"/>
      <c r="AB98" s="368"/>
      <c r="AC98" s="368"/>
      <c r="AD98" s="368"/>
      <c r="AE98" s="365">
        <f t="shared" si="15"/>
        <v>0</v>
      </c>
      <c r="AF98" s="262"/>
      <c r="AG98" s="457"/>
      <c r="AH98" s="264"/>
    </row>
    <row r="99" spans="1:34" ht="15.75" thickBot="1" x14ac:dyDescent="0.3">
      <c r="A99" s="490" t="s">
        <v>417</v>
      </c>
      <c r="B99" s="473" t="s">
        <v>418</v>
      </c>
      <c r="C99" s="601" t="s">
        <v>335</v>
      </c>
      <c r="D99" s="559" t="s">
        <v>431</v>
      </c>
      <c r="E99" s="560"/>
      <c r="F99" s="473" t="s">
        <v>439</v>
      </c>
      <c r="G99" s="561" t="str">
        <f>VLOOKUP(A99,'Feature Summary'!$A$7:$C$3944,3,FALSE)</f>
        <v>P2</v>
      </c>
      <c r="H99" s="473" t="s">
        <v>440</v>
      </c>
      <c r="I99" s="488" t="s">
        <v>264</v>
      </c>
      <c r="J99" s="483" t="s">
        <v>320</v>
      </c>
      <c r="K99" s="563"/>
      <c r="L99" s="487"/>
      <c r="M99" s="484" t="s">
        <v>33</v>
      </c>
      <c r="N99" s="565">
        <v>1</v>
      </c>
      <c r="O99" s="487"/>
      <c r="P99" s="566">
        <f t="shared" si="18"/>
        <v>0</v>
      </c>
      <c r="Q99" s="613" t="s">
        <v>52</v>
      </c>
      <c r="R99" s="487"/>
      <c r="S99" s="618">
        <f t="shared" si="16"/>
        <v>0</v>
      </c>
      <c r="T99" s="568"/>
      <c r="U99" s="568"/>
      <c r="V99" s="568"/>
      <c r="W99" s="568"/>
      <c r="X99" s="619">
        <f t="shared" si="13"/>
        <v>0</v>
      </c>
      <c r="Y99" s="569"/>
      <c r="Z99" s="498">
        <f t="shared" si="14"/>
        <v>0</v>
      </c>
      <c r="AA99" s="368"/>
      <c r="AB99" s="368"/>
      <c r="AC99" s="368"/>
      <c r="AD99" s="368"/>
      <c r="AE99" s="365">
        <f t="shared" si="15"/>
        <v>0</v>
      </c>
      <c r="AF99" s="262"/>
      <c r="AG99" s="457"/>
      <c r="AH99" s="264"/>
    </row>
    <row r="100" spans="1:34" ht="30.75" thickBot="1" x14ac:dyDescent="0.3">
      <c r="A100" s="474"/>
      <c r="B100" s="447" t="s">
        <v>418</v>
      </c>
      <c r="C100" s="463"/>
      <c r="D100" s="449" t="s">
        <v>261</v>
      </c>
      <c r="E100" s="262"/>
      <c r="F100" s="447" t="s">
        <v>439</v>
      </c>
      <c r="G100" s="387" t="e">
        <f>VLOOKUP(A100,'Feature Summary'!$A$7:$C$3944,3,FALSE)</f>
        <v>#N/A</v>
      </c>
      <c r="H100" s="447" t="s">
        <v>441</v>
      </c>
      <c r="I100" s="447"/>
      <c r="J100" s="448" t="s">
        <v>442</v>
      </c>
      <c r="K100" s="263"/>
      <c r="L100" s="391"/>
      <c r="M100" s="399" t="s">
        <v>33</v>
      </c>
      <c r="N100" s="475">
        <v>1</v>
      </c>
      <c r="O100" s="391"/>
      <c r="P100" s="496">
        <f t="shared" si="18"/>
        <v>0</v>
      </c>
      <c r="Q100" s="445" t="s">
        <v>52</v>
      </c>
      <c r="R100" s="391"/>
      <c r="S100" s="362">
        <f t="shared" si="16"/>
        <v>0</v>
      </c>
      <c r="T100" s="368"/>
      <c r="U100" s="368"/>
      <c r="V100" s="368"/>
      <c r="W100" s="368"/>
      <c r="X100" s="364">
        <f t="shared" si="13"/>
        <v>0</v>
      </c>
      <c r="Y100" s="393"/>
      <c r="Z100" s="498">
        <f t="shared" si="14"/>
        <v>0</v>
      </c>
      <c r="AA100" s="368"/>
      <c r="AB100" s="368"/>
      <c r="AC100" s="368"/>
      <c r="AD100" s="368"/>
      <c r="AE100" s="365">
        <f t="shared" si="15"/>
        <v>0</v>
      </c>
      <c r="AF100" s="262"/>
      <c r="AG100" s="457"/>
      <c r="AH100" s="264"/>
    </row>
    <row r="101" spans="1:34" ht="30.75" thickBot="1" x14ac:dyDescent="0.3">
      <c r="A101" s="474" t="s">
        <v>443</v>
      </c>
      <c r="B101" s="447" t="s">
        <v>444</v>
      </c>
      <c r="C101" s="463" t="s">
        <v>445</v>
      </c>
      <c r="D101" s="449" t="s">
        <v>261</v>
      </c>
      <c r="E101" s="262"/>
      <c r="F101" s="447" t="s">
        <v>446</v>
      </c>
      <c r="G101" s="387" t="e">
        <f>VLOOKUP(A101,'Feature Summary'!$A$7:$C$3944,3,FALSE)</f>
        <v>#N/A</v>
      </c>
      <c r="H101" s="447" t="s">
        <v>447</v>
      </c>
      <c r="I101" s="488" t="s">
        <v>264</v>
      </c>
      <c r="J101" s="448" t="s">
        <v>320</v>
      </c>
      <c r="K101" s="263">
        <v>1</v>
      </c>
      <c r="L101" s="391">
        <v>1</v>
      </c>
      <c r="M101" s="399" t="s">
        <v>33</v>
      </c>
      <c r="N101" s="475">
        <v>1</v>
      </c>
      <c r="O101" s="391">
        <v>1</v>
      </c>
      <c r="P101" s="496">
        <f t="shared" si="18"/>
        <v>1</v>
      </c>
      <c r="Q101" s="445" t="s">
        <v>52</v>
      </c>
      <c r="R101" s="391">
        <v>1</v>
      </c>
      <c r="S101" s="362">
        <f t="shared" si="16"/>
        <v>1</v>
      </c>
      <c r="T101" s="368">
        <v>1</v>
      </c>
      <c r="U101" s="368"/>
      <c r="V101" s="368"/>
      <c r="W101" s="368"/>
      <c r="X101" s="364">
        <f t="shared" si="13"/>
        <v>1</v>
      </c>
      <c r="Y101" s="393"/>
      <c r="Z101" s="498">
        <f t="shared" si="14"/>
        <v>0</v>
      </c>
      <c r="AA101" s="368"/>
      <c r="AB101" s="368"/>
      <c r="AC101" s="368"/>
      <c r="AD101" s="368"/>
      <c r="AE101" s="365">
        <f t="shared" si="15"/>
        <v>0</v>
      </c>
      <c r="AF101" s="262"/>
      <c r="AG101" s="457"/>
      <c r="AH101" s="264"/>
    </row>
    <row r="102" spans="1:34" ht="30.75" thickBot="1" x14ac:dyDescent="0.3">
      <c r="A102" s="474" t="s">
        <v>443</v>
      </c>
      <c r="B102" s="447" t="s">
        <v>444</v>
      </c>
      <c r="C102" s="463" t="s">
        <v>445</v>
      </c>
      <c r="D102" s="449" t="s">
        <v>261</v>
      </c>
      <c r="E102" s="262"/>
      <c r="F102" s="447" t="s">
        <v>448</v>
      </c>
      <c r="G102" s="387" t="e">
        <f>VLOOKUP(A102,'Feature Summary'!$A$7:$C$3944,3,FALSE)</f>
        <v>#N/A</v>
      </c>
      <c r="H102" s="447" t="s">
        <v>449</v>
      </c>
      <c r="I102" s="488" t="s">
        <v>264</v>
      </c>
      <c r="J102" s="448" t="s">
        <v>450</v>
      </c>
      <c r="K102" s="263">
        <v>2</v>
      </c>
      <c r="L102" s="391">
        <v>2</v>
      </c>
      <c r="M102" s="399" t="s">
        <v>33</v>
      </c>
      <c r="N102" s="475">
        <v>1</v>
      </c>
      <c r="O102" s="391">
        <v>2</v>
      </c>
      <c r="P102" s="496">
        <f t="shared" si="18"/>
        <v>1</v>
      </c>
      <c r="Q102" s="445" t="s">
        <v>52</v>
      </c>
      <c r="R102" s="391">
        <v>2</v>
      </c>
      <c r="S102" s="362">
        <f t="shared" si="16"/>
        <v>2</v>
      </c>
      <c r="T102" s="368">
        <v>2</v>
      </c>
      <c r="U102" s="368"/>
      <c r="V102" s="368"/>
      <c r="W102" s="368"/>
      <c r="X102" s="364">
        <f t="shared" si="13"/>
        <v>1</v>
      </c>
      <c r="Y102" s="393"/>
      <c r="Z102" s="498">
        <f t="shared" si="14"/>
        <v>0</v>
      </c>
      <c r="AA102" s="368"/>
      <c r="AB102" s="368"/>
      <c r="AC102" s="368"/>
      <c r="AD102" s="368"/>
      <c r="AE102" s="365">
        <f t="shared" si="15"/>
        <v>0</v>
      </c>
      <c r="AF102" s="262"/>
      <c r="AG102" s="457"/>
      <c r="AH102" s="264"/>
    </row>
    <row r="103" spans="1:34" ht="30.75" thickBot="1" x14ac:dyDescent="0.3">
      <c r="A103" s="474" t="s">
        <v>443</v>
      </c>
      <c r="B103" s="447" t="s">
        <v>444</v>
      </c>
      <c r="C103" s="463" t="s">
        <v>445</v>
      </c>
      <c r="D103" s="449" t="s">
        <v>261</v>
      </c>
      <c r="E103" s="262"/>
      <c r="F103" s="447" t="s">
        <v>451</v>
      </c>
      <c r="G103" s="387" t="e">
        <f>VLOOKUP(A103,'Feature Summary'!$A$7:$C$3944,3,FALSE)</f>
        <v>#N/A</v>
      </c>
      <c r="H103" s="447" t="s">
        <v>452</v>
      </c>
      <c r="I103" s="488" t="s">
        <v>264</v>
      </c>
      <c r="J103" s="448" t="s">
        <v>320</v>
      </c>
      <c r="K103" s="263">
        <v>2</v>
      </c>
      <c r="L103" s="391">
        <v>2</v>
      </c>
      <c r="M103" s="399" t="s">
        <v>33</v>
      </c>
      <c r="N103" s="475">
        <v>1</v>
      </c>
      <c r="O103" s="391">
        <v>2</v>
      </c>
      <c r="P103" s="496">
        <f t="shared" si="18"/>
        <v>1</v>
      </c>
      <c r="Q103" s="445" t="s">
        <v>52</v>
      </c>
      <c r="R103" s="391">
        <v>2</v>
      </c>
      <c r="S103" s="362">
        <f t="shared" si="16"/>
        <v>2</v>
      </c>
      <c r="T103" s="368"/>
      <c r="U103" s="368">
        <v>2</v>
      </c>
      <c r="V103" s="368"/>
      <c r="W103" s="368"/>
      <c r="X103" s="364">
        <f t="shared" si="13"/>
        <v>1</v>
      </c>
      <c r="Y103" s="393"/>
      <c r="Z103" s="498">
        <f t="shared" si="14"/>
        <v>0</v>
      </c>
      <c r="AA103" s="368"/>
      <c r="AB103" s="368"/>
      <c r="AC103" s="368"/>
      <c r="AD103" s="368"/>
      <c r="AE103" s="365">
        <f t="shared" si="15"/>
        <v>0</v>
      </c>
      <c r="AF103" s="262"/>
      <c r="AG103" s="457"/>
      <c r="AH103" s="264"/>
    </row>
    <row r="104" spans="1:34" ht="30.75" thickBot="1" x14ac:dyDescent="0.3">
      <c r="A104" s="474" t="s">
        <v>443</v>
      </c>
      <c r="B104" s="447" t="s">
        <v>444</v>
      </c>
      <c r="C104" s="463" t="s">
        <v>445</v>
      </c>
      <c r="D104" s="449" t="s">
        <v>261</v>
      </c>
      <c r="E104" s="262"/>
      <c r="F104" s="447" t="s">
        <v>453</v>
      </c>
      <c r="G104" s="387" t="e">
        <f>VLOOKUP(A104,'Feature Summary'!$A$7:$C$3944,3,FALSE)</f>
        <v>#N/A</v>
      </c>
      <c r="H104" s="447" t="s">
        <v>454</v>
      </c>
      <c r="I104" s="488" t="s">
        <v>264</v>
      </c>
      <c r="J104" s="448" t="s">
        <v>320</v>
      </c>
      <c r="K104" s="263">
        <v>2</v>
      </c>
      <c r="L104" s="391">
        <v>2</v>
      </c>
      <c r="M104" s="399" t="s">
        <v>33</v>
      </c>
      <c r="N104" s="475">
        <v>1</v>
      </c>
      <c r="O104" s="391">
        <v>2</v>
      </c>
      <c r="P104" s="496">
        <f t="shared" si="18"/>
        <v>1</v>
      </c>
      <c r="Q104" s="445" t="s">
        <v>52</v>
      </c>
      <c r="R104" s="391">
        <v>2</v>
      </c>
      <c r="S104" s="362">
        <f t="shared" si="16"/>
        <v>2</v>
      </c>
      <c r="T104" s="368"/>
      <c r="U104" s="368">
        <v>2</v>
      </c>
      <c r="V104" s="368"/>
      <c r="W104" s="368"/>
      <c r="X104" s="364">
        <f t="shared" si="13"/>
        <v>1</v>
      </c>
      <c r="Y104" s="393"/>
      <c r="Z104" s="498">
        <f t="shared" si="14"/>
        <v>0</v>
      </c>
      <c r="AA104" s="368"/>
      <c r="AB104" s="368"/>
      <c r="AC104" s="368"/>
      <c r="AD104" s="368"/>
      <c r="AE104" s="365">
        <f t="shared" si="15"/>
        <v>0</v>
      </c>
      <c r="AF104" s="262"/>
      <c r="AG104" s="457"/>
      <c r="AH104" s="264"/>
    </row>
    <row r="105" spans="1:34" ht="30.75" thickBot="1" x14ac:dyDescent="0.3">
      <c r="A105" s="474" t="s">
        <v>443</v>
      </c>
      <c r="B105" s="447" t="s">
        <v>444</v>
      </c>
      <c r="C105" s="463" t="s">
        <v>445</v>
      </c>
      <c r="D105" s="449" t="s">
        <v>261</v>
      </c>
      <c r="E105" s="262"/>
      <c r="F105" s="447" t="s">
        <v>455</v>
      </c>
      <c r="G105" s="387" t="e">
        <f>VLOOKUP(A105,'Feature Summary'!$A$7:$C$3944,3,FALSE)</f>
        <v>#N/A</v>
      </c>
      <c r="H105" s="447" t="s">
        <v>456</v>
      </c>
      <c r="I105" s="488" t="s">
        <v>264</v>
      </c>
      <c r="J105" s="448" t="s">
        <v>457</v>
      </c>
      <c r="K105" s="263">
        <v>1</v>
      </c>
      <c r="L105" s="391">
        <v>1</v>
      </c>
      <c r="M105" s="399" t="s">
        <v>33</v>
      </c>
      <c r="N105" s="475">
        <v>1</v>
      </c>
      <c r="O105" s="391">
        <v>1</v>
      </c>
      <c r="P105" s="496">
        <f t="shared" si="18"/>
        <v>1</v>
      </c>
      <c r="Q105" s="445" t="s">
        <v>52</v>
      </c>
      <c r="R105" s="391">
        <v>1</v>
      </c>
      <c r="S105" s="362">
        <f t="shared" si="16"/>
        <v>1</v>
      </c>
      <c r="T105" s="368"/>
      <c r="U105" s="368">
        <v>1</v>
      </c>
      <c r="V105" s="368"/>
      <c r="W105" s="368"/>
      <c r="X105" s="364">
        <f t="shared" si="13"/>
        <v>1</v>
      </c>
      <c r="Y105" s="393"/>
      <c r="Z105" s="498">
        <f t="shared" si="14"/>
        <v>0</v>
      </c>
      <c r="AA105" s="368"/>
      <c r="AB105" s="368"/>
      <c r="AC105" s="368"/>
      <c r="AD105" s="368"/>
      <c r="AE105" s="365">
        <f t="shared" si="15"/>
        <v>0</v>
      </c>
      <c r="AF105" s="262"/>
      <c r="AG105" s="457"/>
      <c r="AH105" s="264"/>
    </row>
    <row r="106" spans="1:34" ht="30.75" thickBot="1" x14ac:dyDescent="0.3">
      <c r="A106" s="474"/>
      <c r="B106" s="447" t="s">
        <v>444</v>
      </c>
      <c r="C106" s="463"/>
      <c r="D106" s="449" t="s">
        <v>261</v>
      </c>
      <c r="E106" s="262"/>
      <c r="F106" s="447" t="s">
        <v>446</v>
      </c>
      <c r="G106" s="387" t="e">
        <f>VLOOKUP(A106,'Feature Summary'!$A$7:$C$3944,3,FALSE)</f>
        <v>#N/A</v>
      </c>
      <c r="H106" s="447" t="s">
        <v>458</v>
      </c>
      <c r="I106" s="447"/>
      <c r="J106" s="448" t="s">
        <v>328</v>
      </c>
      <c r="K106" s="263"/>
      <c r="L106" s="391"/>
      <c r="M106" s="399" t="s">
        <v>33</v>
      </c>
      <c r="N106" s="475">
        <v>1</v>
      </c>
      <c r="O106" s="391"/>
      <c r="P106" s="496">
        <f t="shared" si="18"/>
        <v>0</v>
      </c>
      <c r="Q106" s="445" t="s">
        <v>52</v>
      </c>
      <c r="R106" s="391"/>
      <c r="S106" s="362">
        <f t="shared" si="16"/>
        <v>0</v>
      </c>
      <c r="T106" s="368"/>
      <c r="U106" s="368"/>
      <c r="V106" s="368"/>
      <c r="W106" s="368"/>
      <c r="X106" s="364">
        <f t="shared" si="13"/>
        <v>0</v>
      </c>
      <c r="Y106" s="393"/>
      <c r="Z106" s="498">
        <f t="shared" si="14"/>
        <v>0</v>
      </c>
      <c r="AA106" s="368"/>
      <c r="AB106" s="368"/>
      <c r="AC106" s="368"/>
      <c r="AD106" s="368"/>
      <c r="AE106" s="365">
        <f t="shared" si="15"/>
        <v>0</v>
      </c>
      <c r="AF106" s="262"/>
      <c r="AG106" s="457"/>
      <c r="AH106" s="264"/>
    </row>
    <row r="107" spans="1:34" ht="30.75" thickBot="1" x14ac:dyDescent="0.3">
      <c r="A107" s="474"/>
      <c r="B107" s="447" t="s">
        <v>444</v>
      </c>
      <c r="C107" s="463"/>
      <c r="D107" s="449" t="s">
        <v>261</v>
      </c>
      <c r="E107" s="262"/>
      <c r="F107" s="447" t="s">
        <v>448</v>
      </c>
      <c r="G107" s="387" t="e">
        <f>VLOOKUP(A107,'Feature Summary'!$A$7:$C$3944,3,FALSE)</f>
        <v>#N/A</v>
      </c>
      <c r="H107" s="447" t="s">
        <v>459</v>
      </c>
      <c r="I107" s="447"/>
      <c r="J107" s="448" t="s">
        <v>460</v>
      </c>
      <c r="K107" s="263"/>
      <c r="L107" s="391"/>
      <c r="M107" s="399" t="s">
        <v>33</v>
      </c>
      <c r="N107" s="475">
        <v>1</v>
      </c>
      <c r="O107" s="391"/>
      <c r="P107" s="496">
        <f t="shared" si="18"/>
        <v>0</v>
      </c>
      <c r="Q107" s="445" t="s">
        <v>52</v>
      </c>
      <c r="R107" s="391"/>
      <c r="S107" s="362">
        <f t="shared" si="16"/>
        <v>0</v>
      </c>
      <c r="T107" s="368"/>
      <c r="U107" s="368"/>
      <c r="V107" s="368"/>
      <c r="W107" s="368"/>
      <c r="X107" s="364">
        <f t="shared" si="13"/>
        <v>0</v>
      </c>
      <c r="Y107" s="393"/>
      <c r="Z107" s="498">
        <f t="shared" si="14"/>
        <v>0</v>
      </c>
      <c r="AA107" s="368"/>
      <c r="AB107" s="368"/>
      <c r="AC107" s="368"/>
      <c r="AD107" s="368"/>
      <c r="AE107" s="365">
        <f t="shared" si="15"/>
        <v>0</v>
      </c>
      <c r="AF107" s="262"/>
      <c r="AG107" s="457"/>
      <c r="AH107" s="264"/>
    </row>
    <row r="108" spans="1:34" ht="30.75" thickBot="1" x14ac:dyDescent="0.3">
      <c r="A108" s="474"/>
      <c r="B108" s="447" t="s">
        <v>444</v>
      </c>
      <c r="C108" s="463"/>
      <c r="D108" s="449" t="s">
        <v>261</v>
      </c>
      <c r="E108" s="262"/>
      <c r="F108" s="447" t="s">
        <v>451</v>
      </c>
      <c r="G108" s="387" t="e">
        <f>VLOOKUP(A108,'Feature Summary'!$A$7:$C$3944,3,FALSE)</f>
        <v>#N/A</v>
      </c>
      <c r="H108" s="447" t="s">
        <v>461</v>
      </c>
      <c r="I108" s="447"/>
      <c r="J108" s="448" t="s">
        <v>328</v>
      </c>
      <c r="K108" s="263"/>
      <c r="L108" s="391"/>
      <c r="M108" s="399" t="s">
        <v>33</v>
      </c>
      <c r="N108" s="475">
        <v>1</v>
      </c>
      <c r="O108" s="391"/>
      <c r="P108" s="496">
        <f t="shared" si="18"/>
        <v>0</v>
      </c>
      <c r="Q108" s="445" t="s">
        <v>52</v>
      </c>
      <c r="R108" s="391"/>
      <c r="S108" s="362">
        <f t="shared" si="16"/>
        <v>0</v>
      </c>
      <c r="T108" s="368"/>
      <c r="U108" s="368"/>
      <c r="V108" s="368"/>
      <c r="W108" s="368"/>
      <c r="X108" s="364">
        <f t="shared" si="13"/>
        <v>0</v>
      </c>
      <c r="Y108" s="393"/>
      <c r="Z108" s="498">
        <f t="shared" si="14"/>
        <v>0</v>
      </c>
      <c r="AA108" s="368"/>
      <c r="AB108" s="368"/>
      <c r="AC108" s="368"/>
      <c r="AD108" s="368"/>
      <c r="AE108" s="365">
        <f t="shared" si="15"/>
        <v>0</v>
      </c>
      <c r="AF108" s="262"/>
      <c r="AG108" s="457"/>
      <c r="AH108" s="264"/>
    </row>
    <row r="109" spans="1:34" ht="30.75" thickBot="1" x14ac:dyDescent="0.3">
      <c r="A109" s="474"/>
      <c r="B109" s="447" t="s">
        <v>444</v>
      </c>
      <c r="C109" s="463"/>
      <c r="D109" s="449" t="s">
        <v>261</v>
      </c>
      <c r="E109" s="262"/>
      <c r="F109" s="447" t="s">
        <v>453</v>
      </c>
      <c r="G109" s="387" t="e">
        <f>VLOOKUP(A109,'Feature Summary'!$A$7:$C$3944,3,FALSE)</f>
        <v>#N/A</v>
      </c>
      <c r="H109" s="447" t="s">
        <v>462</v>
      </c>
      <c r="I109" s="447"/>
      <c r="J109" s="448" t="s">
        <v>328</v>
      </c>
      <c r="K109" s="263"/>
      <c r="L109" s="391"/>
      <c r="M109" s="399" t="s">
        <v>33</v>
      </c>
      <c r="N109" s="475">
        <v>1</v>
      </c>
      <c r="O109" s="391"/>
      <c r="P109" s="496">
        <f t="shared" si="18"/>
        <v>0</v>
      </c>
      <c r="Q109" s="445" t="s">
        <v>52</v>
      </c>
      <c r="R109" s="391"/>
      <c r="S109" s="362">
        <f t="shared" si="16"/>
        <v>0</v>
      </c>
      <c r="T109" s="368"/>
      <c r="U109" s="368"/>
      <c r="V109" s="368"/>
      <c r="W109" s="368"/>
      <c r="X109" s="364">
        <f t="shared" si="13"/>
        <v>0</v>
      </c>
      <c r="Y109" s="393"/>
      <c r="Z109" s="498">
        <f t="shared" si="14"/>
        <v>0</v>
      </c>
      <c r="AA109" s="368"/>
      <c r="AB109" s="368"/>
      <c r="AC109" s="368"/>
      <c r="AD109" s="368"/>
      <c r="AE109" s="365">
        <f t="shared" si="15"/>
        <v>0</v>
      </c>
      <c r="AF109" s="262"/>
      <c r="AG109" s="457"/>
      <c r="AH109" s="264"/>
    </row>
    <row r="110" spans="1:34" ht="30.75" thickBot="1" x14ac:dyDescent="0.3">
      <c r="A110" s="474"/>
      <c r="B110" s="447" t="s">
        <v>444</v>
      </c>
      <c r="C110" s="463"/>
      <c r="D110" s="449" t="s">
        <v>261</v>
      </c>
      <c r="E110" s="262"/>
      <c r="F110" s="447" t="s">
        <v>446</v>
      </c>
      <c r="G110" s="387" t="e">
        <f>VLOOKUP(A110,'Feature Summary'!$A$7:$C$3944,3,FALSE)</f>
        <v>#N/A</v>
      </c>
      <c r="H110" s="447" t="s">
        <v>463</v>
      </c>
      <c r="I110" s="447"/>
      <c r="J110" s="448" t="s">
        <v>416</v>
      </c>
      <c r="K110" s="263"/>
      <c r="L110" s="391"/>
      <c r="M110" s="399" t="s">
        <v>33</v>
      </c>
      <c r="N110" s="475">
        <v>1</v>
      </c>
      <c r="O110" s="391"/>
      <c r="P110" s="496">
        <f t="shared" si="18"/>
        <v>0</v>
      </c>
      <c r="Q110" s="445" t="s">
        <v>52</v>
      </c>
      <c r="R110" s="391"/>
      <c r="S110" s="362">
        <f t="shared" si="16"/>
        <v>0</v>
      </c>
      <c r="T110" s="368"/>
      <c r="U110" s="368"/>
      <c r="V110" s="368"/>
      <c r="W110" s="368"/>
      <c r="X110" s="364">
        <f t="shared" si="13"/>
        <v>0</v>
      </c>
      <c r="Y110" s="393"/>
      <c r="Z110" s="498">
        <f t="shared" si="14"/>
        <v>0</v>
      </c>
      <c r="AA110" s="368"/>
      <c r="AB110" s="368"/>
      <c r="AC110" s="368"/>
      <c r="AD110" s="368"/>
      <c r="AE110" s="365">
        <f t="shared" si="15"/>
        <v>0</v>
      </c>
      <c r="AF110" s="262"/>
      <c r="AG110" s="457"/>
      <c r="AH110" s="264"/>
    </row>
    <row r="111" spans="1:34" ht="30.75" thickBot="1" x14ac:dyDescent="0.3">
      <c r="A111" s="474" t="s">
        <v>464</v>
      </c>
      <c r="B111" s="463"/>
      <c r="C111" s="463" t="s">
        <v>445</v>
      </c>
      <c r="D111" s="449" t="s">
        <v>261</v>
      </c>
      <c r="E111" s="262"/>
      <c r="F111" s="447" t="s">
        <v>465</v>
      </c>
      <c r="G111" s="387" t="e">
        <f>VLOOKUP(A111,'Feature Summary'!$A$7:$C$3944,3,FALSE)</f>
        <v>#N/A</v>
      </c>
      <c r="H111" s="447" t="s">
        <v>466</v>
      </c>
      <c r="I111" s="488" t="s">
        <v>264</v>
      </c>
      <c r="J111" s="448" t="s">
        <v>281</v>
      </c>
      <c r="K111" s="263">
        <v>2</v>
      </c>
      <c r="L111" s="391">
        <v>2</v>
      </c>
      <c r="M111" s="399" t="s">
        <v>33</v>
      </c>
      <c r="N111" s="475">
        <v>1</v>
      </c>
      <c r="O111" s="391">
        <v>2</v>
      </c>
      <c r="P111" s="496">
        <f t="shared" si="18"/>
        <v>1</v>
      </c>
      <c r="Q111" s="445" t="s">
        <v>52</v>
      </c>
      <c r="R111" s="391">
        <v>2</v>
      </c>
      <c r="S111" s="362">
        <f t="shared" si="16"/>
        <v>2</v>
      </c>
      <c r="T111" s="368">
        <v>2</v>
      </c>
      <c r="U111" s="368"/>
      <c r="V111" s="368"/>
      <c r="W111" s="368"/>
      <c r="X111" s="364">
        <f t="shared" si="13"/>
        <v>1</v>
      </c>
      <c r="Y111" s="393"/>
      <c r="Z111" s="498">
        <f t="shared" si="14"/>
        <v>0</v>
      </c>
      <c r="AA111" s="368"/>
      <c r="AB111" s="368"/>
      <c r="AC111" s="368"/>
      <c r="AD111" s="368"/>
      <c r="AE111" s="365">
        <f t="shared" si="15"/>
        <v>0</v>
      </c>
      <c r="AF111" s="558"/>
      <c r="AG111" s="457"/>
      <c r="AH111" s="264"/>
    </row>
    <row r="112" spans="1:34" ht="30.75" thickBot="1" x14ac:dyDescent="0.3">
      <c r="A112" s="458"/>
      <c r="B112" s="463"/>
      <c r="C112" s="463"/>
      <c r="D112" s="449" t="s">
        <v>261</v>
      </c>
      <c r="E112" s="262"/>
      <c r="F112" s="447" t="s">
        <v>465</v>
      </c>
      <c r="G112" s="387" t="e">
        <f>VLOOKUP(A112,'Feature Summary'!$A$7:$C$3944,3,FALSE)</f>
        <v>#N/A</v>
      </c>
      <c r="H112" s="447" t="s">
        <v>467</v>
      </c>
      <c r="I112" s="447"/>
      <c r="J112" s="448" t="s">
        <v>460</v>
      </c>
      <c r="K112" s="263"/>
      <c r="L112" s="391"/>
      <c r="M112" s="399" t="s">
        <v>33</v>
      </c>
      <c r="N112" s="475">
        <v>1</v>
      </c>
      <c r="O112" s="391"/>
      <c r="P112" s="496">
        <f t="shared" si="18"/>
        <v>0</v>
      </c>
      <c r="Q112" s="445" t="s">
        <v>52</v>
      </c>
      <c r="R112" s="391"/>
      <c r="S112" s="362">
        <f t="shared" si="16"/>
        <v>0</v>
      </c>
      <c r="T112" s="368"/>
      <c r="U112" s="368"/>
      <c r="V112" s="368"/>
      <c r="W112" s="368"/>
      <c r="X112" s="364">
        <f t="shared" si="13"/>
        <v>0</v>
      </c>
      <c r="Y112" s="393"/>
      <c r="Z112" s="498">
        <f t="shared" si="14"/>
        <v>0</v>
      </c>
      <c r="AA112" s="368"/>
      <c r="AB112" s="368"/>
      <c r="AC112" s="368"/>
      <c r="AD112" s="368"/>
      <c r="AE112" s="365">
        <f t="shared" si="15"/>
        <v>0</v>
      </c>
      <c r="AF112" s="262"/>
      <c r="AG112" s="457"/>
      <c r="AH112" s="264"/>
    </row>
    <row r="113" spans="1:34" ht="15.75" thickBot="1" x14ac:dyDescent="0.3">
      <c r="A113" s="458"/>
      <c r="B113" s="463"/>
      <c r="C113" s="463"/>
      <c r="D113" s="449" t="s">
        <v>261</v>
      </c>
      <c r="E113" s="262"/>
      <c r="F113" s="447" t="s">
        <v>465</v>
      </c>
      <c r="G113" s="387" t="e">
        <f>VLOOKUP(A113,'Feature Summary'!$A$7:$C$3944,3,FALSE)</f>
        <v>#N/A</v>
      </c>
      <c r="H113" s="447" t="s">
        <v>468</v>
      </c>
      <c r="I113" s="447"/>
      <c r="J113" s="448" t="s">
        <v>469</v>
      </c>
      <c r="K113" s="263"/>
      <c r="L113" s="391"/>
      <c r="M113" s="399" t="s">
        <v>33</v>
      </c>
      <c r="N113" s="475">
        <v>1</v>
      </c>
      <c r="O113" s="391"/>
      <c r="P113" s="496">
        <f t="shared" si="18"/>
        <v>0</v>
      </c>
      <c r="Q113" s="445" t="s">
        <v>52</v>
      </c>
      <c r="R113" s="391"/>
      <c r="S113" s="362">
        <f t="shared" si="16"/>
        <v>0</v>
      </c>
      <c r="T113" s="368"/>
      <c r="U113" s="368"/>
      <c r="V113" s="368"/>
      <c r="W113" s="368"/>
      <c r="X113" s="364">
        <f t="shared" si="13"/>
        <v>0</v>
      </c>
      <c r="Y113" s="393"/>
      <c r="Z113" s="498">
        <f t="shared" si="14"/>
        <v>0</v>
      </c>
      <c r="AA113" s="368"/>
      <c r="AB113" s="368"/>
      <c r="AC113" s="368"/>
      <c r="AD113" s="368"/>
      <c r="AE113" s="365">
        <f t="shared" si="15"/>
        <v>0</v>
      </c>
      <c r="AF113" s="262"/>
      <c r="AG113" s="457"/>
      <c r="AH113" s="264"/>
    </row>
    <row r="114" spans="1:34" ht="30.75" thickBot="1" x14ac:dyDescent="0.3">
      <c r="A114" s="474" t="s">
        <v>464</v>
      </c>
      <c r="B114" s="463"/>
      <c r="C114" s="463" t="s">
        <v>445</v>
      </c>
      <c r="D114" s="449" t="s">
        <v>261</v>
      </c>
      <c r="E114" s="262"/>
      <c r="F114" s="447" t="s">
        <v>470</v>
      </c>
      <c r="G114" s="387" t="e">
        <f>VLOOKUP(A114,'Feature Summary'!$A$7:$C$3944,3,FALSE)</f>
        <v>#N/A</v>
      </c>
      <c r="H114" s="447" t="s">
        <v>471</v>
      </c>
      <c r="I114" s="488" t="s">
        <v>264</v>
      </c>
      <c r="J114" s="448" t="s">
        <v>281</v>
      </c>
      <c r="K114" s="263">
        <v>2</v>
      </c>
      <c r="L114" s="391">
        <v>2</v>
      </c>
      <c r="M114" s="399" t="s">
        <v>33</v>
      </c>
      <c r="N114" s="475">
        <v>1</v>
      </c>
      <c r="O114" s="391">
        <v>2</v>
      </c>
      <c r="P114" s="496">
        <f t="shared" si="18"/>
        <v>1</v>
      </c>
      <c r="Q114" s="445" t="s">
        <v>52</v>
      </c>
      <c r="R114" s="391">
        <v>2</v>
      </c>
      <c r="S114" s="362">
        <f t="shared" si="16"/>
        <v>2</v>
      </c>
      <c r="T114" s="368">
        <v>2</v>
      </c>
      <c r="U114" s="368"/>
      <c r="V114" s="368"/>
      <c r="W114" s="368"/>
      <c r="X114" s="364">
        <f t="shared" si="13"/>
        <v>1</v>
      </c>
      <c r="Y114" s="393"/>
      <c r="Z114" s="498">
        <f t="shared" si="14"/>
        <v>0</v>
      </c>
      <c r="AA114" s="368"/>
      <c r="AB114" s="368"/>
      <c r="AC114" s="368"/>
      <c r="AD114" s="368"/>
      <c r="AE114" s="365">
        <f t="shared" si="15"/>
        <v>0</v>
      </c>
      <c r="AF114" s="262"/>
      <c r="AG114" s="457"/>
      <c r="AH114" s="264"/>
    </row>
    <row r="115" spans="1:34" ht="30.75" thickBot="1" x14ac:dyDescent="0.3">
      <c r="A115" s="474" t="s">
        <v>464</v>
      </c>
      <c r="B115" s="447" t="s">
        <v>418</v>
      </c>
      <c r="C115" s="463" t="s">
        <v>445</v>
      </c>
      <c r="D115" s="449" t="s">
        <v>261</v>
      </c>
      <c r="E115" s="262"/>
      <c r="F115" s="447" t="s">
        <v>472</v>
      </c>
      <c r="G115" s="387" t="e">
        <f>VLOOKUP(A115,'Feature Summary'!$A$7:$C$3944,3,FALSE)</f>
        <v>#N/A</v>
      </c>
      <c r="H115" s="447" t="s">
        <v>473</v>
      </c>
      <c r="I115" s="488" t="s">
        <v>264</v>
      </c>
      <c r="J115" s="448" t="s">
        <v>474</v>
      </c>
      <c r="K115" s="263">
        <v>2</v>
      </c>
      <c r="L115" s="391">
        <v>2</v>
      </c>
      <c r="M115" s="399" t="s">
        <v>33</v>
      </c>
      <c r="N115" s="475">
        <v>1</v>
      </c>
      <c r="O115" s="391">
        <v>2</v>
      </c>
      <c r="P115" s="496">
        <f t="shared" si="18"/>
        <v>1</v>
      </c>
      <c r="Q115" s="445" t="s">
        <v>52</v>
      </c>
      <c r="R115" s="391">
        <v>2</v>
      </c>
      <c r="S115" s="362">
        <f t="shared" si="16"/>
        <v>2</v>
      </c>
      <c r="T115" s="368">
        <v>2</v>
      </c>
      <c r="U115" s="368"/>
      <c r="V115" s="368"/>
      <c r="W115" s="368"/>
      <c r="X115" s="364">
        <f t="shared" si="13"/>
        <v>1</v>
      </c>
      <c r="Y115" s="393"/>
      <c r="Z115" s="498">
        <f t="shared" si="14"/>
        <v>0</v>
      </c>
      <c r="AA115" s="368"/>
      <c r="AB115" s="368"/>
      <c r="AC115" s="368"/>
      <c r="AD115" s="368"/>
      <c r="AE115" s="365">
        <f t="shared" si="15"/>
        <v>0</v>
      </c>
      <c r="AF115" s="262"/>
      <c r="AG115" s="457"/>
      <c r="AH115" s="264"/>
    </row>
    <row r="116" spans="1:34" ht="30.75" thickBot="1" x14ac:dyDescent="0.3">
      <c r="A116" s="474" t="s">
        <v>464</v>
      </c>
      <c r="B116" s="447" t="s">
        <v>306</v>
      </c>
      <c r="C116" s="463" t="s">
        <v>445</v>
      </c>
      <c r="D116" s="449" t="s">
        <v>261</v>
      </c>
      <c r="E116" s="262"/>
      <c r="F116" s="447" t="s">
        <v>475</v>
      </c>
      <c r="G116" s="387" t="e">
        <f>VLOOKUP(A116,'Feature Summary'!$A$7:$C$3944,3,FALSE)</f>
        <v>#N/A</v>
      </c>
      <c r="H116" s="447" t="s">
        <v>2932</v>
      </c>
      <c r="I116" s="488" t="s">
        <v>264</v>
      </c>
      <c r="J116" s="448" t="s">
        <v>301</v>
      </c>
      <c r="K116" s="263">
        <v>3</v>
      </c>
      <c r="L116" s="391">
        <v>3</v>
      </c>
      <c r="M116" s="399" t="s">
        <v>33</v>
      </c>
      <c r="N116" s="475">
        <v>1</v>
      </c>
      <c r="O116" s="391">
        <v>3</v>
      </c>
      <c r="P116" s="496">
        <f t="shared" si="18"/>
        <v>1</v>
      </c>
      <c r="Q116" s="445" t="s">
        <v>52</v>
      </c>
      <c r="R116" s="391">
        <v>3</v>
      </c>
      <c r="S116" s="362">
        <f t="shared" si="16"/>
        <v>3</v>
      </c>
      <c r="T116" s="368">
        <v>3</v>
      </c>
      <c r="U116" s="368"/>
      <c r="V116" s="368"/>
      <c r="W116" s="368"/>
      <c r="X116" s="364">
        <f t="shared" si="13"/>
        <v>1</v>
      </c>
      <c r="Y116" s="393"/>
      <c r="Z116" s="498">
        <f t="shared" si="14"/>
        <v>0</v>
      </c>
      <c r="AA116" s="368"/>
      <c r="AB116" s="368"/>
      <c r="AC116" s="368"/>
      <c r="AD116" s="368"/>
      <c r="AE116" s="365">
        <f t="shared" si="15"/>
        <v>0</v>
      </c>
      <c r="AF116" s="262"/>
      <c r="AG116" s="457"/>
      <c r="AH116" s="264"/>
    </row>
    <row r="117" spans="1:34" ht="45.75" thickBot="1" x14ac:dyDescent="0.3">
      <c r="A117" s="474" t="s">
        <v>476</v>
      </c>
      <c r="B117" s="447" t="s">
        <v>477</v>
      </c>
      <c r="C117" s="463" t="s">
        <v>445</v>
      </c>
      <c r="D117" s="449" t="s">
        <v>261</v>
      </c>
      <c r="E117" s="262"/>
      <c r="F117" s="447" t="s">
        <v>478</v>
      </c>
      <c r="G117" s="387" t="e">
        <f>VLOOKUP(A117,'Feature Summary'!$A$7:$C$3944,3,FALSE)</f>
        <v>#N/A</v>
      </c>
      <c r="H117" s="447" t="s">
        <v>479</v>
      </c>
      <c r="I117" s="488" t="s">
        <v>264</v>
      </c>
      <c r="J117" s="448" t="s">
        <v>281</v>
      </c>
      <c r="K117" s="263">
        <v>1</v>
      </c>
      <c r="L117" s="391">
        <v>1</v>
      </c>
      <c r="M117" s="399" t="s">
        <v>33</v>
      </c>
      <c r="N117" s="475">
        <v>1</v>
      </c>
      <c r="O117" s="391">
        <v>1</v>
      </c>
      <c r="P117" s="496">
        <f t="shared" si="18"/>
        <v>1</v>
      </c>
      <c r="Q117" s="445" t="s">
        <v>52</v>
      </c>
      <c r="R117" s="391">
        <v>1</v>
      </c>
      <c r="S117" s="362">
        <f t="shared" si="16"/>
        <v>1</v>
      </c>
      <c r="T117" s="368">
        <v>1</v>
      </c>
      <c r="U117" s="368"/>
      <c r="V117" s="368"/>
      <c r="W117" s="368"/>
      <c r="X117" s="364">
        <f t="shared" si="13"/>
        <v>1</v>
      </c>
      <c r="Y117" s="393"/>
      <c r="Z117" s="498">
        <f t="shared" si="14"/>
        <v>0</v>
      </c>
      <c r="AA117" s="368"/>
      <c r="AB117" s="368"/>
      <c r="AC117" s="368"/>
      <c r="AD117" s="368"/>
      <c r="AE117" s="365">
        <f t="shared" si="15"/>
        <v>0</v>
      </c>
      <c r="AF117" s="262"/>
      <c r="AG117" s="457"/>
      <c r="AH117" s="264"/>
    </row>
    <row r="118" spans="1:34" ht="45.75" thickBot="1" x14ac:dyDescent="0.3">
      <c r="A118" s="474" t="s">
        <v>476</v>
      </c>
      <c r="B118" s="447" t="s">
        <v>477</v>
      </c>
      <c r="C118" s="463" t="s">
        <v>445</v>
      </c>
      <c r="D118" s="449" t="s">
        <v>261</v>
      </c>
      <c r="E118" s="262"/>
      <c r="F118" s="447" t="s">
        <v>478</v>
      </c>
      <c r="G118" s="387" t="e">
        <f>VLOOKUP(A118,'Feature Summary'!$A$7:$C$3944,3,FALSE)</f>
        <v>#N/A</v>
      </c>
      <c r="H118" s="447" t="s">
        <v>480</v>
      </c>
      <c r="I118" s="488" t="s">
        <v>264</v>
      </c>
      <c r="J118" s="448" t="s">
        <v>481</v>
      </c>
      <c r="K118" s="263">
        <v>1</v>
      </c>
      <c r="L118" s="391">
        <v>1</v>
      </c>
      <c r="M118" s="399" t="s">
        <v>33</v>
      </c>
      <c r="N118" s="475">
        <v>1</v>
      </c>
      <c r="O118" s="391">
        <v>1</v>
      </c>
      <c r="P118" s="496">
        <f t="shared" si="18"/>
        <v>1</v>
      </c>
      <c r="Q118" s="445" t="s">
        <v>52</v>
      </c>
      <c r="R118" s="391">
        <v>1</v>
      </c>
      <c r="S118" s="362">
        <f t="shared" si="16"/>
        <v>1</v>
      </c>
      <c r="T118" s="368">
        <v>1</v>
      </c>
      <c r="U118" s="368"/>
      <c r="V118" s="368"/>
      <c r="W118" s="368"/>
      <c r="X118" s="364">
        <f t="shared" si="13"/>
        <v>1</v>
      </c>
      <c r="Y118" s="393"/>
      <c r="Z118" s="498">
        <f t="shared" si="14"/>
        <v>0</v>
      </c>
      <c r="AA118" s="368"/>
      <c r="AB118" s="368"/>
      <c r="AC118" s="368"/>
      <c r="AD118" s="368"/>
      <c r="AE118" s="365">
        <f t="shared" si="15"/>
        <v>0</v>
      </c>
      <c r="AF118" s="262"/>
      <c r="AG118" s="457"/>
      <c r="AH118" s="264"/>
    </row>
    <row r="119" spans="1:34" ht="45.75" thickBot="1" x14ac:dyDescent="0.3">
      <c r="A119" s="474" t="s">
        <v>476</v>
      </c>
      <c r="B119" s="447" t="s">
        <v>477</v>
      </c>
      <c r="C119" s="463" t="s">
        <v>445</v>
      </c>
      <c r="D119" s="449" t="s">
        <v>261</v>
      </c>
      <c r="E119" s="262"/>
      <c r="F119" s="447" t="s">
        <v>478</v>
      </c>
      <c r="G119" s="387" t="e">
        <f>VLOOKUP(A119,'Feature Summary'!$A$7:$C$3944,3,FALSE)</f>
        <v>#N/A</v>
      </c>
      <c r="H119" s="447" t="s">
        <v>482</v>
      </c>
      <c r="I119" s="488" t="s">
        <v>264</v>
      </c>
      <c r="J119" s="448" t="s">
        <v>281</v>
      </c>
      <c r="K119" s="263">
        <v>3</v>
      </c>
      <c r="L119" s="391">
        <v>3</v>
      </c>
      <c r="M119" s="399" t="s">
        <v>33</v>
      </c>
      <c r="N119" s="475">
        <v>1</v>
      </c>
      <c r="O119" s="391">
        <v>3</v>
      </c>
      <c r="P119" s="496">
        <f t="shared" si="18"/>
        <v>1</v>
      </c>
      <c r="Q119" s="445" t="s">
        <v>52</v>
      </c>
      <c r="R119" s="391">
        <v>3</v>
      </c>
      <c r="S119" s="362">
        <f t="shared" si="16"/>
        <v>3</v>
      </c>
      <c r="T119" s="368">
        <v>3</v>
      </c>
      <c r="U119" s="368"/>
      <c r="V119" s="368"/>
      <c r="W119" s="368"/>
      <c r="X119" s="364">
        <f t="shared" si="13"/>
        <v>1</v>
      </c>
      <c r="Y119" s="393"/>
      <c r="Z119" s="498">
        <f t="shared" si="14"/>
        <v>0</v>
      </c>
      <c r="AA119" s="368"/>
      <c r="AB119" s="368"/>
      <c r="AC119" s="368"/>
      <c r="AD119" s="368"/>
      <c r="AE119" s="365">
        <f t="shared" si="15"/>
        <v>0</v>
      </c>
      <c r="AF119" s="262"/>
      <c r="AG119" s="457"/>
      <c r="AH119" s="264"/>
    </row>
    <row r="120" spans="1:34" ht="45.75" thickBot="1" x14ac:dyDescent="0.3">
      <c r="A120" s="474" t="s">
        <v>476</v>
      </c>
      <c r="B120" s="447" t="s">
        <v>477</v>
      </c>
      <c r="C120" s="463" t="s">
        <v>445</v>
      </c>
      <c r="D120" s="449" t="s">
        <v>261</v>
      </c>
      <c r="E120" s="262"/>
      <c r="F120" s="447" t="s">
        <v>478</v>
      </c>
      <c r="G120" s="387" t="e">
        <f>VLOOKUP(A120,'Feature Summary'!$A$7:$C$3944,3,FALSE)</f>
        <v>#N/A</v>
      </c>
      <c r="H120" s="447" t="s">
        <v>483</v>
      </c>
      <c r="I120" s="488" t="s">
        <v>264</v>
      </c>
      <c r="J120" s="448" t="s">
        <v>281</v>
      </c>
      <c r="K120" s="263">
        <v>4</v>
      </c>
      <c r="L120" s="391">
        <v>4</v>
      </c>
      <c r="M120" s="399" t="s">
        <v>33</v>
      </c>
      <c r="N120" s="475">
        <v>1</v>
      </c>
      <c r="O120" s="391">
        <v>4</v>
      </c>
      <c r="P120" s="496">
        <f t="shared" si="18"/>
        <v>1</v>
      </c>
      <c r="Q120" s="445" t="s">
        <v>52</v>
      </c>
      <c r="R120" s="391">
        <v>4</v>
      </c>
      <c r="S120" s="362">
        <f t="shared" si="16"/>
        <v>4</v>
      </c>
      <c r="T120" s="368">
        <v>4</v>
      </c>
      <c r="U120" s="368"/>
      <c r="V120" s="368"/>
      <c r="W120" s="368"/>
      <c r="X120" s="364">
        <f t="shared" si="13"/>
        <v>1</v>
      </c>
      <c r="Y120" s="393"/>
      <c r="Z120" s="498">
        <f t="shared" si="14"/>
        <v>0</v>
      </c>
      <c r="AA120" s="368"/>
      <c r="AB120" s="368"/>
      <c r="AC120" s="368"/>
      <c r="AD120" s="368"/>
      <c r="AE120" s="365">
        <f t="shared" si="15"/>
        <v>0</v>
      </c>
      <c r="AF120" s="262"/>
      <c r="AG120" s="457"/>
      <c r="AH120" s="264"/>
    </row>
    <row r="121" spans="1:34" ht="45.75" thickBot="1" x14ac:dyDescent="0.3">
      <c r="A121" s="458" t="s">
        <v>484</v>
      </c>
      <c r="B121" s="447"/>
      <c r="C121" s="463" t="s">
        <v>445</v>
      </c>
      <c r="D121" s="449" t="s">
        <v>261</v>
      </c>
      <c r="E121" s="262"/>
      <c r="F121" s="470" t="s">
        <v>485</v>
      </c>
      <c r="G121" s="387" t="str">
        <f>VLOOKUP(A121,'Feature Summary'!$A$7:$C$3944,3,FALSE)</f>
        <v>P3</v>
      </c>
      <c r="H121" s="447" t="s">
        <v>486</v>
      </c>
      <c r="I121" s="488" t="s">
        <v>264</v>
      </c>
      <c r="J121" s="448" t="s">
        <v>487</v>
      </c>
      <c r="K121" s="263">
        <v>4</v>
      </c>
      <c r="L121" s="391">
        <v>4</v>
      </c>
      <c r="M121" s="399" t="s">
        <v>33</v>
      </c>
      <c r="N121" s="475">
        <v>1</v>
      </c>
      <c r="O121" s="391">
        <v>4</v>
      </c>
      <c r="P121" s="496">
        <f t="shared" si="18"/>
        <v>1</v>
      </c>
      <c r="Q121" s="445" t="s">
        <v>52</v>
      </c>
      <c r="R121" s="391">
        <v>4</v>
      </c>
      <c r="S121" s="362">
        <f t="shared" si="16"/>
        <v>4</v>
      </c>
      <c r="T121" s="368">
        <v>4</v>
      </c>
      <c r="U121" s="368"/>
      <c r="V121" s="368"/>
      <c r="W121" s="368"/>
      <c r="X121" s="364">
        <f t="shared" si="13"/>
        <v>1</v>
      </c>
      <c r="Y121" s="393"/>
      <c r="Z121" s="498">
        <f t="shared" si="14"/>
        <v>0</v>
      </c>
      <c r="AA121" s="368"/>
      <c r="AB121" s="368"/>
      <c r="AC121" s="368"/>
      <c r="AD121" s="368"/>
      <c r="AE121" s="365">
        <f t="shared" si="15"/>
        <v>0</v>
      </c>
      <c r="AF121" s="558"/>
      <c r="AG121" s="457"/>
      <c r="AH121" s="264"/>
    </row>
    <row r="122" spans="1:34" ht="15.75" thickBot="1" x14ac:dyDescent="0.3">
      <c r="A122" s="474"/>
      <c r="B122" s="447"/>
      <c r="C122" s="463"/>
      <c r="D122" s="449" t="s">
        <v>261</v>
      </c>
      <c r="E122" s="262"/>
      <c r="F122" s="447" t="s">
        <v>478</v>
      </c>
      <c r="G122" s="387" t="e">
        <f>VLOOKUP(A122,'Feature Summary'!$A$7:$C$3944,3,FALSE)</f>
        <v>#N/A</v>
      </c>
      <c r="H122" s="447" t="s">
        <v>488</v>
      </c>
      <c r="I122" s="447"/>
      <c r="J122" s="448" t="s">
        <v>489</v>
      </c>
      <c r="K122" s="263"/>
      <c r="L122" s="391"/>
      <c r="M122" s="399" t="s">
        <v>33</v>
      </c>
      <c r="N122" s="475">
        <v>1</v>
      </c>
      <c r="O122" s="391"/>
      <c r="P122" s="496">
        <f t="shared" si="18"/>
        <v>0</v>
      </c>
      <c r="Q122" s="445" t="s">
        <v>52</v>
      </c>
      <c r="R122" s="391"/>
      <c r="S122" s="362">
        <f t="shared" si="16"/>
        <v>0</v>
      </c>
      <c r="T122" s="368"/>
      <c r="U122" s="368"/>
      <c r="V122" s="368"/>
      <c r="W122" s="368"/>
      <c r="X122" s="364">
        <f t="shared" si="13"/>
        <v>0</v>
      </c>
      <c r="Y122" s="393"/>
      <c r="Z122" s="498">
        <f t="shared" si="14"/>
        <v>0</v>
      </c>
      <c r="AA122" s="368"/>
      <c r="AB122" s="368"/>
      <c r="AC122" s="368"/>
      <c r="AD122" s="368"/>
      <c r="AE122" s="365">
        <f t="shared" si="15"/>
        <v>0</v>
      </c>
      <c r="AF122" s="262"/>
      <c r="AG122" s="457"/>
      <c r="AH122" s="264"/>
    </row>
    <row r="123" spans="1:34" ht="60.75" thickBot="1" x14ac:dyDescent="0.3">
      <c r="A123" s="474"/>
      <c r="B123" s="447"/>
      <c r="C123" s="463"/>
      <c r="D123" s="449" t="s">
        <v>261</v>
      </c>
      <c r="E123" s="262"/>
      <c r="F123" s="447" t="s">
        <v>478</v>
      </c>
      <c r="G123" s="387" t="e">
        <f>VLOOKUP(A123,'Feature Summary'!$A$7:$C$3944,3,FALSE)</f>
        <v>#N/A</v>
      </c>
      <c r="H123" s="447" t="s">
        <v>490</v>
      </c>
      <c r="I123" s="447"/>
      <c r="J123" s="448" t="s">
        <v>491</v>
      </c>
      <c r="K123" s="263"/>
      <c r="L123" s="391"/>
      <c r="M123" s="399" t="s">
        <v>33</v>
      </c>
      <c r="N123" s="475">
        <v>1</v>
      </c>
      <c r="O123" s="391"/>
      <c r="P123" s="496">
        <f t="shared" si="18"/>
        <v>0</v>
      </c>
      <c r="Q123" s="445" t="s">
        <v>52</v>
      </c>
      <c r="R123" s="391"/>
      <c r="S123" s="362">
        <f t="shared" si="16"/>
        <v>0</v>
      </c>
      <c r="T123" s="368"/>
      <c r="U123" s="368"/>
      <c r="V123" s="368"/>
      <c r="W123" s="368"/>
      <c r="X123" s="364">
        <f t="shared" si="13"/>
        <v>0</v>
      </c>
      <c r="Y123" s="393"/>
      <c r="Z123" s="498">
        <f t="shared" si="14"/>
        <v>0</v>
      </c>
      <c r="AA123" s="368"/>
      <c r="AB123" s="368"/>
      <c r="AC123" s="368"/>
      <c r="AD123" s="368"/>
      <c r="AE123" s="365">
        <f t="shared" si="15"/>
        <v>0</v>
      </c>
      <c r="AF123" s="262"/>
      <c r="AG123" s="457"/>
      <c r="AH123" s="264"/>
    </row>
    <row r="124" spans="1:34" ht="21.75" customHeight="1" thickBot="1" x14ac:dyDescent="0.3">
      <c r="A124" s="474"/>
      <c r="B124" s="447"/>
      <c r="C124" s="463"/>
      <c r="D124" s="449" t="s">
        <v>261</v>
      </c>
      <c r="E124" s="262"/>
      <c r="F124" s="447" t="s">
        <v>478</v>
      </c>
      <c r="G124" s="387" t="e">
        <f>VLOOKUP(A124,'Feature Summary'!$A$7:$C$3944,3,FALSE)</f>
        <v>#N/A</v>
      </c>
      <c r="H124" s="447" t="s">
        <v>492</v>
      </c>
      <c r="I124" s="447"/>
      <c r="J124" s="448" t="s">
        <v>309</v>
      </c>
      <c r="K124" s="263"/>
      <c r="L124" s="391"/>
      <c r="M124" s="399" t="s">
        <v>33</v>
      </c>
      <c r="N124" s="475">
        <v>1</v>
      </c>
      <c r="O124" s="391"/>
      <c r="P124" s="496">
        <f t="shared" si="18"/>
        <v>0</v>
      </c>
      <c r="Q124" s="445" t="s">
        <v>52</v>
      </c>
      <c r="R124" s="391"/>
      <c r="S124" s="362">
        <f t="shared" si="16"/>
        <v>0</v>
      </c>
      <c r="T124" s="368"/>
      <c r="U124" s="368"/>
      <c r="V124" s="368"/>
      <c r="W124" s="368"/>
      <c r="X124" s="364">
        <f t="shared" si="13"/>
        <v>0</v>
      </c>
      <c r="Y124" s="393"/>
      <c r="Z124" s="498">
        <f t="shared" si="14"/>
        <v>0</v>
      </c>
      <c r="AA124" s="368"/>
      <c r="AB124" s="368"/>
      <c r="AC124" s="368"/>
      <c r="AD124" s="368"/>
      <c r="AE124" s="365">
        <f t="shared" si="15"/>
        <v>0</v>
      </c>
      <c r="AF124" s="558"/>
      <c r="AG124" s="457"/>
      <c r="AH124" s="264"/>
    </row>
    <row r="125" spans="1:34" ht="15.75" thickBot="1" x14ac:dyDescent="0.3">
      <c r="A125" s="474"/>
      <c r="B125" s="447"/>
      <c r="C125" s="463"/>
      <c r="D125" s="449" t="s">
        <v>261</v>
      </c>
      <c r="E125" s="262"/>
      <c r="F125" s="447" t="s">
        <v>478</v>
      </c>
      <c r="G125" s="387" t="e">
        <f>VLOOKUP(A125,'Feature Summary'!$A$7:$C$3944,3,FALSE)</f>
        <v>#N/A</v>
      </c>
      <c r="H125" s="447" t="s">
        <v>493</v>
      </c>
      <c r="I125" s="447"/>
      <c r="J125" s="448" t="s">
        <v>494</v>
      </c>
      <c r="K125" s="263"/>
      <c r="L125" s="391"/>
      <c r="M125" s="399" t="s">
        <v>33</v>
      </c>
      <c r="N125" s="475">
        <v>1</v>
      </c>
      <c r="O125" s="391"/>
      <c r="P125" s="496">
        <f t="shared" si="18"/>
        <v>0</v>
      </c>
      <c r="Q125" s="445" t="s">
        <v>52</v>
      </c>
      <c r="R125" s="391"/>
      <c r="S125" s="362">
        <f t="shared" si="16"/>
        <v>0</v>
      </c>
      <c r="T125" s="368"/>
      <c r="U125" s="368"/>
      <c r="V125" s="368"/>
      <c r="W125" s="368"/>
      <c r="X125" s="364">
        <f t="shared" si="13"/>
        <v>0</v>
      </c>
      <c r="Y125" s="393"/>
      <c r="Z125" s="498">
        <f t="shared" si="14"/>
        <v>0</v>
      </c>
      <c r="AA125" s="368"/>
      <c r="AB125" s="368"/>
      <c r="AC125" s="368"/>
      <c r="AD125" s="368"/>
      <c r="AE125" s="365">
        <f t="shared" si="15"/>
        <v>0</v>
      </c>
      <c r="AF125" s="558"/>
      <c r="AG125" s="457"/>
      <c r="AH125" s="264"/>
    </row>
    <row r="126" spans="1:34" ht="30.75" thickBot="1" x14ac:dyDescent="0.3">
      <c r="A126" s="446" t="s">
        <v>495</v>
      </c>
      <c r="B126" s="447" t="s">
        <v>496</v>
      </c>
      <c r="C126" s="463" t="s">
        <v>445</v>
      </c>
      <c r="D126" s="449" t="s">
        <v>261</v>
      </c>
      <c r="E126" s="262"/>
      <c r="F126" s="447" t="s">
        <v>497</v>
      </c>
      <c r="G126" s="387" t="str">
        <f>VLOOKUP(A126,'Feature Summary'!$A$7:$C$3944,3,FALSE)</f>
        <v>P2</v>
      </c>
      <c r="H126" s="447" t="s">
        <v>498</v>
      </c>
      <c r="I126" s="488" t="s">
        <v>264</v>
      </c>
      <c r="J126" s="448" t="s">
        <v>499</v>
      </c>
      <c r="K126" s="263">
        <v>2</v>
      </c>
      <c r="L126" s="391">
        <v>2</v>
      </c>
      <c r="M126" s="399" t="s">
        <v>33</v>
      </c>
      <c r="N126" s="475">
        <v>1</v>
      </c>
      <c r="O126" s="391">
        <v>2</v>
      </c>
      <c r="P126" s="496">
        <f t="shared" si="18"/>
        <v>1</v>
      </c>
      <c r="Q126" s="445" t="s">
        <v>52</v>
      </c>
      <c r="R126" s="391">
        <v>2</v>
      </c>
      <c r="S126" s="362">
        <f t="shared" si="16"/>
        <v>2</v>
      </c>
      <c r="T126" s="368">
        <v>2</v>
      </c>
      <c r="U126" s="368"/>
      <c r="V126" s="368"/>
      <c r="W126" s="368"/>
      <c r="X126" s="364">
        <f t="shared" si="13"/>
        <v>1</v>
      </c>
      <c r="Y126" s="393"/>
      <c r="Z126" s="498">
        <f t="shared" si="14"/>
        <v>0</v>
      </c>
      <c r="AA126" s="368"/>
      <c r="AB126" s="368"/>
      <c r="AC126" s="368"/>
      <c r="AD126" s="368"/>
      <c r="AE126" s="365">
        <f t="shared" si="15"/>
        <v>0</v>
      </c>
      <c r="AF126" s="262"/>
      <c r="AG126" s="457"/>
      <c r="AH126" s="264"/>
    </row>
    <row r="127" spans="1:34" ht="30.75" thickBot="1" x14ac:dyDescent="0.3">
      <c r="A127" s="446" t="s">
        <v>495</v>
      </c>
      <c r="B127" s="447" t="s">
        <v>500</v>
      </c>
      <c r="C127" s="463" t="s">
        <v>445</v>
      </c>
      <c r="D127" s="449" t="s">
        <v>261</v>
      </c>
      <c r="E127" s="262"/>
      <c r="F127" s="447" t="s">
        <v>501</v>
      </c>
      <c r="G127" s="387" t="str">
        <f>VLOOKUP(A127,'Feature Summary'!$A$7:$C$3944,3,FALSE)</f>
        <v>P2</v>
      </c>
      <c r="H127" s="447" t="s">
        <v>502</v>
      </c>
      <c r="I127" s="488" t="s">
        <v>264</v>
      </c>
      <c r="J127" s="448" t="s">
        <v>503</v>
      </c>
      <c r="K127" s="263">
        <v>1</v>
      </c>
      <c r="L127" s="391">
        <v>1</v>
      </c>
      <c r="M127" s="399" t="s">
        <v>33</v>
      </c>
      <c r="N127" s="475">
        <v>1</v>
      </c>
      <c r="O127" s="391">
        <v>1</v>
      </c>
      <c r="P127" s="496">
        <f t="shared" si="18"/>
        <v>1</v>
      </c>
      <c r="Q127" s="445" t="s">
        <v>52</v>
      </c>
      <c r="R127" s="391">
        <v>1</v>
      </c>
      <c r="S127" s="362">
        <f t="shared" si="16"/>
        <v>1</v>
      </c>
      <c r="T127" s="368">
        <v>1</v>
      </c>
      <c r="U127" s="368"/>
      <c r="V127" s="368"/>
      <c r="W127" s="368"/>
      <c r="X127" s="364">
        <f t="shared" si="13"/>
        <v>1</v>
      </c>
      <c r="Y127" s="393"/>
      <c r="Z127" s="498">
        <f t="shared" si="14"/>
        <v>0</v>
      </c>
      <c r="AA127" s="368"/>
      <c r="AB127" s="368"/>
      <c r="AC127" s="368"/>
      <c r="AD127" s="368"/>
      <c r="AE127" s="365">
        <f t="shared" si="15"/>
        <v>0</v>
      </c>
      <c r="AF127" s="262"/>
      <c r="AG127" s="457"/>
      <c r="AH127" s="264"/>
    </row>
    <row r="128" spans="1:34" ht="30.75" thickBot="1" x14ac:dyDescent="0.3">
      <c r="A128" s="446" t="s">
        <v>495</v>
      </c>
      <c r="B128" s="447" t="s">
        <v>500</v>
      </c>
      <c r="C128" s="463" t="s">
        <v>445</v>
      </c>
      <c r="D128" s="449" t="s">
        <v>261</v>
      </c>
      <c r="E128" s="262"/>
      <c r="F128" s="447" t="s">
        <v>504</v>
      </c>
      <c r="G128" s="387" t="str">
        <f>VLOOKUP(A128,'Feature Summary'!$A$7:$C$3944,3,FALSE)</f>
        <v>P2</v>
      </c>
      <c r="H128" s="447" t="s">
        <v>505</v>
      </c>
      <c r="I128" s="488" t="s">
        <v>264</v>
      </c>
      <c r="J128" s="448" t="s">
        <v>503</v>
      </c>
      <c r="K128" s="263">
        <v>1</v>
      </c>
      <c r="L128" s="391">
        <v>1</v>
      </c>
      <c r="M128" s="399" t="s">
        <v>33</v>
      </c>
      <c r="N128" s="475">
        <v>1</v>
      </c>
      <c r="O128" s="391">
        <v>1</v>
      </c>
      <c r="P128" s="496">
        <f t="shared" si="18"/>
        <v>1</v>
      </c>
      <c r="Q128" s="445" t="s">
        <v>52</v>
      </c>
      <c r="R128" s="391">
        <v>1</v>
      </c>
      <c r="S128" s="362">
        <f t="shared" si="16"/>
        <v>1</v>
      </c>
      <c r="T128" s="368">
        <v>1</v>
      </c>
      <c r="U128" s="368"/>
      <c r="V128" s="368"/>
      <c r="W128" s="368"/>
      <c r="X128" s="364">
        <f t="shared" si="13"/>
        <v>1</v>
      </c>
      <c r="Y128" s="393"/>
      <c r="Z128" s="498">
        <f t="shared" si="14"/>
        <v>0</v>
      </c>
      <c r="AA128" s="368"/>
      <c r="AB128" s="368"/>
      <c r="AC128" s="368"/>
      <c r="AD128" s="368"/>
      <c r="AE128" s="365">
        <f t="shared" si="15"/>
        <v>0</v>
      </c>
      <c r="AF128" s="558"/>
      <c r="AG128" s="457"/>
      <c r="AH128" s="264"/>
    </row>
    <row r="129" spans="1:34" ht="45.75" thickBot="1" x14ac:dyDescent="0.3">
      <c r="A129" s="446" t="s">
        <v>495</v>
      </c>
      <c r="B129" s="447" t="s">
        <v>500</v>
      </c>
      <c r="C129" s="463" t="s">
        <v>445</v>
      </c>
      <c r="D129" s="449" t="s">
        <v>261</v>
      </c>
      <c r="E129" s="262"/>
      <c r="F129" s="470" t="s">
        <v>506</v>
      </c>
      <c r="G129" s="387" t="str">
        <f>VLOOKUP(A129,'Feature Summary'!$A$7:$C$3944,3,FALSE)</f>
        <v>P2</v>
      </c>
      <c r="H129" s="447" t="s">
        <v>507</v>
      </c>
      <c r="I129" s="488" t="s">
        <v>264</v>
      </c>
      <c r="J129" s="478" t="s">
        <v>508</v>
      </c>
      <c r="K129" s="263">
        <v>1</v>
      </c>
      <c r="L129" s="391">
        <v>1</v>
      </c>
      <c r="M129" s="399" t="s">
        <v>33</v>
      </c>
      <c r="N129" s="475">
        <v>1</v>
      </c>
      <c r="O129" s="391">
        <v>1</v>
      </c>
      <c r="P129" s="496">
        <f>IF((O129=0),0,(O129/L129))</f>
        <v>1</v>
      </c>
      <c r="Q129" s="445" t="s">
        <v>52</v>
      </c>
      <c r="R129" s="391">
        <v>1</v>
      </c>
      <c r="S129" s="362">
        <f t="shared" si="16"/>
        <v>1</v>
      </c>
      <c r="T129" s="368">
        <v>1</v>
      </c>
      <c r="U129" s="368"/>
      <c r="V129" s="368"/>
      <c r="W129" s="368"/>
      <c r="X129" s="364">
        <f t="shared" si="13"/>
        <v>1</v>
      </c>
      <c r="Y129" s="393"/>
      <c r="Z129" s="498">
        <f t="shared" si="14"/>
        <v>0</v>
      </c>
      <c r="AA129" s="368"/>
      <c r="AB129" s="368"/>
      <c r="AC129" s="368"/>
      <c r="AD129" s="368"/>
      <c r="AE129" s="365">
        <f t="shared" si="15"/>
        <v>0</v>
      </c>
      <c r="AF129" s="262"/>
      <c r="AG129" s="457"/>
      <c r="AH129" s="264"/>
    </row>
    <row r="130" spans="1:34" ht="45.75" thickBot="1" x14ac:dyDescent="0.3">
      <c r="A130" s="446" t="s">
        <v>495</v>
      </c>
      <c r="B130" s="447" t="s">
        <v>500</v>
      </c>
      <c r="C130" s="463" t="s">
        <v>445</v>
      </c>
      <c r="D130" s="449" t="s">
        <v>261</v>
      </c>
      <c r="E130" s="262"/>
      <c r="F130" s="470" t="s">
        <v>509</v>
      </c>
      <c r="G130" s="387" t="str">
        <f>VLOOKUP(A130,'Feature Summary'!$A$7:$C$3944,3,FALSE)</f>
        <v>P2</v>
      </c>
      <c r="H130" s="447" t="s">
        <v>510</v>
      </c>
      <c r="I130" s="488" t="s">
        <v>264</v>
      </c>
      <c r="J130" s="478" t="s">
        <v>511</v>
      </c>
      <c r="K130" s="263">
        <v>1</v>
      </c>
      <c r="L130" s="391">
        <v>1</v>
      </c>
      <c r="M130" s="399" t="s">
        <v>33</v>
      </c>
      <c r="N130" s="475">
        <v>1</v>
      </c>
      <c r="O130" s="391">
        <v>1</v>
      </c>
      <c r="P130" s="496">
        <f>IF((O130=0),0,(O130/L130))</f>
        <v>1</v>
      </c>
      <c r="Q130" s="445" t="s">
        <v>52</v>
      </c>
      <c r="R130" s="391">
        <v>1</v>
      </c>
      <c r="S130" s="362">
        <f t="shared" si="16"/>
        <v>1</v>
      </c>
      <c r="T130" s="368">
        <v>1</v>
      </c>
      <c r="U130" s="368"/>
      <c r="V130" s="368"/>
      <c r="W130" s="368"/>
      <c r="X130" s="364">
        <f t="shared" si="13"/>
        <v>1</v>
      </c>
      <c r="Y130" s="393"/>
      <c r="Z130" s="498">
        <f t="shared" si="14"/>
        <v>0</v>
      </c>
      <c r="AA130" s="368"/>
      <c r="AB130" s="368"/>
      <c r="AC130" s="368"/>
      <c r="AD130" s="368"/>
      <c r="AE130" s="365">
        <f t="shared" si="15"/>
        <v>0</v>
      </c>
      <c r="AF130" s="558"/>
      <c r="AG130" s="457"/>
      <c r="AH130" s="264"/>
    </row>
    <row r="131" spans="1:34" ht="30.75" thickBot="1" x14ac:dyDescent="0.3">
      <c r="A131" s="446" t="s">
        <v>495</v>
      </c>
      <c r="B131" s="463"/>
      <c r="C131" s="463" t="s">
        <v>445</v>
      </c>
      <c r="D131" s="449" t="s">
        <v>261</v>
      </c>
      <c r="E131" s="262"/>
      <c r="F131" s="470" t="s">
        <v>512</v>
      </c>
      <c r="G131" s="387" t="str">
        <f>VLOOKUP(A131,'Feature Summary'!$A$7:$C$3944,3,FALSE)</f>
        <v>P2</v>
      </c>
      <c r="H131" s="447" t="s">
        <v>513</v>
      </c>
      <c r="I131" s="488" t="s">
        <v>264</v>
      </c>
      <c r="J131" s="478" t="s">
        <v>514</v>
      </c>
      <c r="K131" s="263">
        <v>1</v>
      </c>
      <c r="L131" s="391">
        <v>1</v>
      </c>
      <c r="M131" s="399" t="s">
        <v>33</v>
      </c>
      <c r="N131" s="475">
        <v>1</v>
      </c>
      <c r="O131" s="391">
        <v>1</v>
      </c>
      <c r="P131" s="496">
        <f t="shared" ref="P131:P135" si="19">IF((O131=0),0,(O131/L131))</f>
        <v>1</v>
      </c>
      <c r="Q131" s="445" t="s">
        <v>52</v>
      </c>
      <c r="R131" s="391">
        <v>1</v>
      </c>
      <c r="S131" s="362">
        <f t="shared" si="16"/>
        <v>1</v>
      </c>
      <c r="T131" s="368">
        <v>1</v>
      </c>
      <c r="U131" s="368"/>
      <c r="V131" s="368"/>
      <c r="W131" s="368"/>
      <c r="X131" s="364">
        <f t="shared" si="13"/>
        <v>1</v>
      </c>
      <c r="Y131" s="393"/>
      <c r="Z131" s="498">
        <f t="shared" si="14"/>
        <v>0</v>
      </c>
      <c r="AA131" s="368"/>
      <c r="AB131" s="368"/>
      <c r="AC131" s="368"/>
      <c r="AD131" s="368"/>
      <c r="AE131" s="365">
        <f t="shared" si="15"/>
        <v>0</v>
      </c>
      <c r="AF131" s="558"/>
      <c r="AG131" s="457"/>
      <c r="AH131" s="264"/>
    </row>
    <row r="132" spans="1:34" ht="15.75" thickBot="1" x14ac:dyDescent="0.3">
      <c r="A132" s="446" t="s">
        <v>495</v>
      </c>
      <c r="B132" s="463"/>
      <c r="C132" s="463" t="s">
        <v>445</v>
      </c>
      <c r="D132" s="449" t="s">
        <v>261</v>
      </c>
      <c r="E132" s="262"/>
      <c r="F132" s="470" t="s">
        <v>512</v>
      </c>
      <c r="G132" s="387" t="str">
        <f>VLOOKUP(A132,'Feature Summary'!$A$7:$C$3944,3,FALSE)</f>
        <v>P2</v>
      </c>
      <c r="H132" s="447" t="s">
        <v>515</v>
      </c>
      <c r="I132" s="488" t="s">
        <v>264</v>
      </c>
      <c r="J132" s="478" t="s">
        <v>364</v>
      </c>
      <c r="K132" s="263">
        <v>1</v>
      </c>
      <c r="L132" s="391">
        <v>1</v>
      </c>
      <c r="M132" s="399" t="s">
        <v>33</v>
      </c>
      <c r="N132" s="475">
        <v>1</v>
      </c>
      <c r="O132" s="391">
        <v>1</v>
      </c>
      <c r="P132" s="496">
        <f t="shared" si="19"/>
        <v>1</v>
      </c>
      <c r="Q132" s="445" t="s">
        <v>52</v>
      </c>
      <c r="R132" s="391">
        <v>1</v>
      </c>
      <c r="S132" s="362">
        <f t="shared" si="16"/>
        <v>1</v>
      </c>
      <c r="T132" s="368">
        <v>1</v>
      </c>
      <c r="U132" s="368"/>
      <c r="V132" s="368"/>
      <c r="W132" s="368"/>
      <c r="X132" s="364">
        <f t="shared" si="13"/>
        <v>1</v>
      </c>
      <c r="Y132" s="393"/>
      <c r="Z132" s="498">
        <f t="shared" si="14"/>
        <v>0</v>
      </c>
      <c r="AA132" s="368"/>
      <c r="AB132" s="368"/>
      <c r="AC132" s="368"/>
      <c r="AD132" s="368"/>
      <c r="AE132" s="365">
        <f t="shared" si="15"/>
        <v>0</v>
      </c>
      <c r="AF132" s="558"/>
      <c r="AG132" s="457"/>
      <c r="AH132" s="264"/>
    </row>
    <row r="133" spans="1:34" ht="30.75" thickBot="1" x14ac:dyDescent="0.3">
      <c r="A133" s="446" t="s">
        <v>495</v>
      </c>
      <c r="B133" s="447" t="s">
        <v>500</v>
      </c>
      <c r="C133" s="463" t="s">
        <v>445</v>
      </c>
      <c r="D133" s="449" t="s">
        <v>261</v>
      </c>
      <c r="E133" s="262"/>
      <c r="F133" s="470" t="s">
        <v>516</v>
      </c>
      <c r="G133" s="387" t="str">
        <f>VLOOKUP(A133,'Feature Summary'!$A$7:$C$3944,3,FALSE)</f>
        <v>P2</v>
      </c>
      <c r="H133" s="447" t="s">
        <v>517</v>
      </c>
      <c r="I133" s="488" t="s">
        <v>264</v>
      </c>
      <c r="J133" s="478" t="s">
        <v>518</v>
      </c>
      <c r="K133" s="263">
        <v>1</v>
      </c>
      <c r="L133" s="391">
        <v>1</v>
      </c>
      <c r="M133" s="399" t="s">
        <v>33</v>
      </c>
      <c r="N133" s="475">
        <v>1</v>
      </c>
      <c r="O133" s="391">
        <v>1</v>
      </c>
      <c r="P133" s="496">
        <f t="shared" si="19"/>
        <v>1</v>
      </c>
      <c r="Q133" s="445" t="s">
        <v>52</v>
      </c>
      <c r="R133" s="391">
        <v>1</v>
      </c>
      <c r="S133" s="362">
        <f t="shared" si="16"/>
        <v>1</v>
      </c>
      <c r="T133" s="368">
        <v>1</v>
      </c>
      <c r="U133" s="368"/>
      <c r="V133" s="368"/>
      <c r="W133" s="368"/>
      <c r="X133" s="364">
        <f t="shared" si="13"/>
        <v>1</v>
      </c>
      <c r="Y133" s="393"/>
      <c r="Z133" s="498">
        <f t="shared" si="14"/>
        <v>0</v>
      </c>
      <c r="AA133" s="368"/>
      <c r="AB133" s="368"/>
      <c r="AC133" s="368"/>
      <c r="AD133" s="368"/>
      <c r="AE133" s="365">
        <f t="shared" si="15"/>
        <v>0</v>
      </c>
      <c r="AF133" s="558"/>
      <c r="AG133" s="457"/>
      <c r="AH133" s="264"/>
    </row>
    <row r="134" spans="1:34" ht="30.75" thickBot="1" x14ac:dyDescent="0.3">
      <c r="A134" s="446" t="s">
        <v>495</v>
      </c>
      <c r="B134" s="447" t="s">
        <v>500</v>
      </c>
      <c r="C134" s="463" t="s">
        <v>445</v>
      </c>
      <c r="D134" s="449" t="s">
        <v>261</v>
      </c>
      <c r="E134" s="262"/>
      <c r="F134" s="470" t="s">
        <v>504</v>
      </c>
      <c r="G134" s="387" t="str">
        <f>VLOOKUP(A134,'Feature Summary'!$A$7:$C$3944,3,FALSE)</f>
        <v>P2</v>
      </c>
      <c r="H134" s="447" t="s">
        <v>519</v>
      </c>
      <c r="I134" s="488" t="s">
        <v>264</v>
      </c>
      <c r="J134" s="478" t="s">
        <v>520</v>
      </c>
      <c r="K134" s="263">
        <v>1</v>
      </c>
      <c r="L134" s="391">
        <v>1</v>
      </c>
      <c r="M134" s="399" t="s">
        <v>33</v>
      </c>
      <c r="N134" s="475">
        <v>1</v>
      </c>
      <c r="O134" s="391">
        <v>1</v>
      </c>
      <c r="P134" s="496">
        <f t="shared" si="19"/>
        <v>1</v>
      </c>
      <c r="Q134" s="445" t="s">
        <v>52</v>
      </c>
      <c r="R134" s="391">
        <v>1</v>
      </c>
      <c r="S134" s="362">
        <f t="shared" si="16"/>
        <v>1</v>
      </c>
      <c r="T134" s="368">
        <v>1</v>
      </c>
      <c r="U134" s="368"/>
      <c r="V134" s="368"/>
      <c r="W134" s="368"/>
      <c r="X134" s="364">
        <f t="shared" si="13"/>
        <v>1</v>
      </c>
      <c r="Y134" s="393"/>
      <c r="Z134" s="498">
        <f t="shared" si="14"/>
        <v>0</v>
      </c>
      <c r="AA134" s="368"/>
      <c r="AB134" s="368"/>
      <c r="AC134" s="368"/>
      <c r="AD134" s="368"/>
      <c r="AE134" s="365">
        <f t="shared" si="15"/>
        <v>0</v>
      </c>
      <c r="AF134" s="558"/>
      <c r="AG134" s="457"/>
      <c r="AH134" s="264"/>
    </row>
    <row r="135" spans="1:34" ht="45.75" thickBot="1" x14ac:dyDescent="0.3">
      <c r="A135" s="446" t="s">
        <v>495</v>
      </c>
      <c r="B135" s="447" t="s">
        <v>500</v>
      </c>
      <c r="C135" s="463" t="s">
        <v>445</v>
      </c>
      <c r="D135" s="449" t="s">
        <v>261</v>
      </c>
      <c r="E135" s="262"/>
      <c r="F135" s="470" t="s">
        <v>521</v>
      </c>
      <c r="G135" s="387" t="str">
        <f>VLOOKUP(A135,'Feature Summary'!$A$7:$C$3944,3,FALSE)</f>
        <v>P2</v>
      </c>
      <c r="H135" s="447" t="s">
        <v>522</v>
      </c>
      <c r="I135" s="488" t="s">
        <v>264</v>
      </c>
      <c r="J135" s="478" t="s">
        <v>523</v>
      </c>
      <c r="K135" s="263">
        <v>1</v>
      </c>
      <c r="L135" s="391">
        <v>1</v>
      </c>
      <c r="M135" s="399" t="s">
        <v>33</v>
      </c>
      <c r="N135" s="475">
        <v>1</v>
      </c>
      <c r="O135" s="391">
        <v>1</v>
      </c>
      <c r="P135" s="496">
        <f t="shared" si="19"/>
        <v>1</v>
      </c>
      <c r="Q135" s="445" t="s">
        <v>52</v>
      </c>
      <c r="R135" s="391">
        <v>1</v>
      </c>
      <c r="S135" s="362">
        <f t="shared" si="16"/>
        <v>1</v>
      </c>
      <c r="T135" s="368">
        <v>1</v>
      </c>
      <c r="U135" s="368"/>
      <c r="V135" s="368"/>
      <c r="W135" s="368"/>
      <c r="X135" s="364">
        <f t="shared" ref="X135:X200" si="20">IF((S135=0),0,((T135+U135)/S135*100%))</f>
        <v>1</v>
      </c>
      <c r="Y135" s="393"/>
      <c r="Z135" s="498">
        <f t="shared" ref="Z135:Z199" si="21">SUM(AA135:AD135)</f>
        <v>0</v>
      </c>
      <c r="AA135" s="368"/>
      <c r="AB135" s="368"/>
      <c r="AC135" s="368"/>
      <c r="AD135" s="368"/>
      <c r="AE135" s="365">
        <f t="shared" ref="AE135:AE199" si="22">IF((Z135=0),0,((AA135+AB135)/Z135*100%))</f>
        <v>0</v>
      </c>
      <c r="AF135" s="262"/>
      <c r="AG135" s="457"/>
      <c r="AH135" s="264"/>
    </row>
    <row r="136" spans="1:34" ht="45.75" thickBot="1" x14ac:dyDescent="0.3">
      <c r="A136" s="446" t="s">
        <v>495</v>
      </c>
      <c r="B136" s="447" t="s">
        <v>500</v>
      </c>
      <c r="C136" s="463" t="s">
        <v>445</v>
      </c>
      <c r="D136" s="449" t="s">
        <v>261</v>
      </c>
      <c r="E136" s="262"/>
      <c r="F136" s="470" t="s">
        <v>509</v>
      </c>
      <c r="G136" s="387" t="str">
        <f>VLOOKUP(A136,'Feature Summary'!$A$7:$C$3944,3,FALSE)</f>
        <v>P2</v>
      </c>
      <c r="H136" s="447" t="s">
        <v>524</v>
      </c>
      <c r="I136" s="488" t="s">
        <v>264</v>
      </c>
      <c r="J136" s="478" t="s">
        <v>523</v>
      </c>
      <c r="K136" s="263">
        <v>1</v>
      </c>
      <c r="L136" s="391">
        <v>1</v>
      </c>
      <c r="M136" s="399" t="s">
        <v>33</v>
      </c>
      <c r="N136" s="475">
        <v>1</v>
      </c>
      <c r="O136" s="391">
        <v>1</v>
      </c>
      <c r="P136" s="496">
        <f>IF((O136=0),0,(O136/L136))</f>
        <v>1</v>
      </c>
      <c r="Q136" s="445" t="s">
        <v>52</v>
      </c>
      <c r="R136" s="391">
        <v>1</v>
      </c>
      <c r="S136" s="362">
        <f t="shared" ref="S136:S201" si="23">SUM(T136:W136)</f>
        <v>1</v>
      </c>
      <c r="T136" s="368">
        <v>1</v>
      </c>
      <c r="U136" s="368"/>
      <c r="V136" s="368"/>
      <c r="W136" s="368"/>
      <c r="X136" s="364">
        <f t="shared" si="20"/>
        <v>1</v>
      </c>
      <c r="Y136" s="393"/>
      <c r="Z136" s="498">
        <f t="shared" si="21"/>
        <v>0</v>
      </c>
      <c r="AA136" s="368"/>
      <c r="AB136" s="368"/>
      <c r="AC136" s="368"/>
      <c r="AD136" s="368"/>
      <c r="AE136" s="365">
        <f t="shared" si="22"/>
        <v>0</v>
      </c>
      <c r="AF136" s="558"/>
      <c r="AG136" s="457"/>
      <c r="AH136" s="264"/>
    </row>
    <row r="137" spans="1:34" ht="30.75" thickBot="1" x14ac:dyDescent="0.3">
      <c r="A137" s="458"/>
      <c r="B137" s="447" t="s">
        <v>496</v>
      </c>
      <c r="C137" s="463"/>
      <c r="D137" s="449" t="s">
        <v>261</v>
      </c>
      <c r="E137" s="262"/>
      <c r="F137" s="447" t="s">
        <v>497</v>
      </c>
      <c r="G137" s="387" t="e">
        <f>VLOOKUP(A137,'Feature Summary'!$A$7:$C$3944,3,FALSE)</f>
        <v>#N/A</v>
      </c>
      <c r="H137" s="447" t="s">
        <v>525</v>
      </c>
      <c r="I137" s="447"/>
      <c r="J137" s="448" t="s">
        <v>526</v>
      </c>
      <c r="K137" s="263"/>
      <c r="L137" s="391"/>
      <c r="M137" s="399" t="s">
        <v>33</v>
      </c>
      <c r="N137" s="475">
        <v>1</v>
      </c>
      <c r="O137" s="391"/>
      <c r="P137" s="496">
        <f t="shared" ref="P137:P196" si="24">IF((O137=0),0,(O137/L137))</f>
        <v>0</v>
      </c>
      <c r="Q137" s="445" t="s">
        <v>52</v>
      </c>
      <c r="R137" s="391"/>
      <c r="S137" s="362">
        <f t="shared" si="23"/>
        <v>0</v>
      </c>
      <c r="T137" s="368"/>
      <c r="U137" s="368"/>
      <c r="V137" s="368"/>
      <c r="W137" s="368"/>
      <c r="X137" s="364">
        <f t="shared" si="20"/>
        <v>0</v>
      </c>
      <c r="Y137" s="393"/>
      <c r="Z137" s="498">
        <f t="shared" si="21"/>
        <v>0</v>
      </c>
      <c r="AA137" s="368"/>
      <c r="AB137" s="368"/>
      <c r="AC137" s="368"/>
      <c r="AD137" s="368"/>
      <c r="AE137" s="365">
        <f t="shared" si="22"/>
        <v>0</v>
      </c>
      <c r="AF137" s="262"/>
      <c r="AG137" s="457"/>
      <c r="AH137" s="264"/>
    </row>
    <row r="138" spans="1:34" ht="45.75" thickBot="1" x14ac:dyDescent="0.3">
      <c r="A138" s="458"/>
      <c r="B138" s="447" t="s">
        <v>500</v>
      </c>
      <c r="C138" s="463"/>
      <c r="D138" s="449" t="s">
        <v>261</v>
      </c>
      <c r="E138" s="262"/>
      <c r="F138" s="447" t="s">
        <v>501</v>
      </c>
      <c r="G138" s="387" t="e">
        <f>VLOOKUP(A138,'Feature Summary'!$A$7:$C$3944,3,FALSE)</f>
        <v>#N/A</v>
      </c>
      <c r="H138" s="447" t="s">
        <v>527</v>
      </c>
      <c r="I138" s="447"/>
      <c r="J138" s="448" t="s">
        <v>528</v>
      </c>
      <c r="K138" s="263"/>
      <c r="L138" s="391"/>
      <c r="M138" s="399" t="s">
        <v>33</v>
      </c>
      <c r="N138" s="475">
        <v>1</v>
      </c>
      <c r="O138" s="391"/>
      <c r="P138" s="496">
        <f t="shared" si="24"/>
        <v>0</v>
      </c>
      <c r="Q138" s="445" t="s">
        <v>52</v>
      </c>
      <c r="R138" s="391"/>
      <c r="S138" s="362">
        <f t="shared" si="23"/>
        <v>0</v>
      </c>
      <c r="T138" s="368"/>
      <c r="U138" s="368"/>
      <c r="V138" s="368"/>
      <c r="W138" s="368"/>
      <c r="X138" s="364">
        <f t="shared" si="20"/>
        <v>0</v>
      </c>
      <c r="Y138" s="393"/>
      <c r="Z138" s="498">
        <f t="shared" si="21"/>
        <v>0</v>
      </c>
      <c r="AA138" s="368"/>
      <c r="AB138" s="368"/>
      <c r="AC138" s="368"/>
      <c r="AD138" s="368"/>
      <c r="AE138" s="365">
        <f t="shared" si="22"/>
        <v>0</v>
      </c>
      <c r="AF138" s="262"/>
      <c r="AG138" s="457"/>
      <c r="AH138" s="264"/>
    </row>
    <row r="139" spans="1:34" ht="45.75" thickBot="1" x14ac:dyDescent="0.3">
      <c r="A139" s="458"/>
      <c r="B139" s="447" t="s">
        <v>500</v>
      </c>
      <c r="C139" s="463"/>
      <c r="D139" s="449" t="s">
        <v>261</v>
      </c>
      <c r="E139" s="262"/>
      <c r="F139" s="447" t="s">
        <v>504</v>
      </c>
      <c r="G139" s="387" t="e">
        <f>VLOOKUP(A139,'Feature Summary'!$A$7:$C$3944,3,FALSE)</f>
        <v>#N/A</v>
      </c>
      <c r="H139" s="447" t="s">
        <v>529</v>
      </c>
      <c r="I139" s="447"/>
      <c r="J139" s="448" t="s">
        <v>530</v>
      </c>
      <c r="K139" s="263"/>
      <c r="L139" s="391"/>
      <c r="M139" s="399" t="s">
        <v>33</v>
      </c>
      <c r="N139" s="475">
        <v>1</v>
      </c>
      <c r="O139" s="391"/>
      <c r="P139" s="496">
        <f t="shared" si="24"/>
        <v>0</v>
      </c>
      <c r="Q139" s="445" t="s">
        <v>52</v>
      </c>
      <c r="R139" s="391"/>
      <c r="S139" s="362">
        <f t="shared" si="23"/>
        <v>0</v>
      </c>
      <c r="T139" s="368"/>
      <c r="U139" s="368"/>
      <c r="V139" s="368"/>
      <c r="W139" s="368"/>
      <c r="X139" s="364">
        <f t="shared" si="20"/>
        <v>0</v>
      </c>
      <c r="Y139" s="393"/>
      <c r="Z139" s="498">
        <f t="shared" si="21"/>
        <v>0</v>
      </c>
      <c r="AA139" s="368"/>
      <c r="AB139" s="368"/>
      <c r="AC139" s="368"/>
      <c r="AD139" s="368"/>
      <c r="AE139" s="365">
        <f t="shared" si="22"/>
        <v>0</v>
      </c>
      <c r="AF139" s="262"/>
      <c r="AG139" s="457"/>
      <c r="AH139" s="264"/>
    </row>
    <row r="140" spans="1:34" ht="162.75" customHeight="1" thickBot="1" x14ac:dyDescent="0.3">
      <c r="A140" s="458"/>
      <c r="B140" s="447" t="s">
        <v>500</v>
      </c>
      <c r="C140" s="463"/>
      <c r="D140" s="449" t="s">
        <v>261</v>
      </c>
      <c r="E140" s="262"/>
      <c r="F140" s="470" t="s">
        <v>506</v>
      </c>
      <c r="G140" s="387" t="e">
        <f>VLOOKUP(A140,'Feature Summary'!$A$7:$C$3944,3,FALSE)</f>
        <v>#N/A</v>
      </c>
      <c r="H140" s="447" t="s">
        <v>531</v>
      </c>
      <c r="I140" s="447"/>
      <c r="J140" s="478" t="s">
        <v>532</v>
      </c>
      <c r="K140" s="263"/>
      <c r="L140" s="391"/>
      <c r="M140" s="399" t="s">
        <v>33</v>
      </c>
      <c r="N140" s="475">
        <v>1</v>
      </c>
      <c r="O140" s="391"/>
      <c r="P140" s="496">
        <f t="shared" si="24"/>
        <v>0</v>
      </c>
      <c r="Q140" s="445" t="s">
        <v>52</v>
      </c>
      <c r="R140" s="391"/>
      <c r="S140" s="362">
        <f t="shared" si="23"/>
        <v>0</v>
      </c>
      <c r="T140" s="368"/>
      <c r="U140" s="368"/>
      <c r="V140" s="368"/>
      <c r="W140" s="368"/>
      <c r="X140" s="364">
        <f t="shared" si="20"/>
        <v>0</v>
      </c>
      <c r="Y140" s="393"/>
      <c r="Z140" s="498">
        <f t="shared" si="21"/>
        <v>0</v>
      </c>
      <c r="AA140" s="368"/>
      <c r="AB140" s="368"/>
      <c r="AC140" s="368"/>
      <c r="AD140" s="368"/>
      <c r="AE140" s="365">
        <f t="shared" si="22"/>
        <v>0</v>
      </c>
      <c r="AF140" s="558"/>
      <c r="AG140" s="457"/>
      <c r="AH140" s="264"/>
    </row>
    <row r="141" spans="1:34" ht="60.75" thickBot="1" x14ac:dyDescent="0.3">
      <c r="A141" s="458"/>
      <c r="B141" s="447" t="s">
        <v>500</v>
      </c>
      <c r="C141" s="463"/>
      <c r="D141" s="449" t="s">
        <v>261</v>
      </c>
      <c r="E141" s="262"/>
      <c r="F141" s="470" t="s">
        <v>509</v>
      </c>
      <c r="G141" s="387" t="e">
        <f>VLOOKUP(A141,'Feature Summary'!$A$7:$C$3944,3,FALSE)</f>
        <v>#N/A</v>
      </c>
      <c r="H141" s="447" t="s">
        <v>533</v>
      </c>
      <c r="I141" s="447"/>
      <c r="J141" s="478" t="s">
        <v>534</v>
      </c>
      <c r="K141" s="263"/>
      <c r="L141" s="391"/>
      <c r="M141" s="399" t="s">
        <v>33</v>
      </c>
      <c r="N141" s="475">
        <v>1</v>
      </c>
      <c r="O141" s="391"/>
      <c r="P141" s="496">
        <f t="shared" si="24"/>
        <v>0</v>
      </c>
      <c r="Q141" s="445" t="s">
        <v>52</v>
      </c>
      <c r="R141" s="391"/>
      <c r="S141" s="362">
        <f t="shared" si="23"/>
        <v>0</v>
      </c>
      <c r="T141" s="368"/>
      <c r="U141" s="368"/>
      <c r="V141" s="368"/>
      <c r="W141" s="368"/>
      <c r="X141" s="364">
        <f t="shared" si="20"/>
        <v>0</v>
      </c>
      <c r="Y141" s="393"/>
      <c r="Z141" s="498">
        <f t="shared" si="21"/>
        <v>0</v>
      </c>
      <c r="AA141" s="368"/>
      <c r="AB141" s="368"/>
      <c r="AC141" s="368"/>
      <c r="AD141" s="368"/>
      <c r="AE141" s="365">
        <f t="shared" si="22"/>
        <v>0</v>
      </c>
      <c r="AF141" s="558"/>
      <c r="AG141" s="457"/>
      <c r="AH141" s="264"/>
    </row>
    <row r="142" spans="1:34" ht="30.75" thickBot="1" x14ac:dyDescent="0.3">
      <c r="A142" s="458"/>
      <c r="B142" s="463"/>
      <c r="C142" s="463"/>
      <c r="D142" s="449" t="s">
        <v>261</v>
      </c>
      <c r="E142" s="262"/>
      <c r="F142" s="470" t="s">
        <v>512</v>
      </c>
      <c r="G142" s="387" t="e">
        <f>VLOOKUP(A142,'Feature Summary'!$A$7:$C$3944,3,FALSE)</f>
        <v>#N/A</v>
      </c>
      <c r="H142" s="447" t="s">
        <v>535</v>
      </c>
      <c r="I142" s="447"/>
      <c r="J142" s="478" t="s">
        <v>536</v>
      </c>
      <c r="K142" s="263"/>
      <c r="L142" s="391"/>
      <c r="M142" s="399" t="s">
        <v>33</v>
      </c>
      <c r="N142" s="475">
        <v>1</v>
      </c>
      <c r="O142" s="391"/>
      <c r="P142" s="496">
        <f t="shared" si="24"/>
        <v>0</v>
      </c>
      <c r="Q142" s="445" t="s">
        <v>52</v>
      </c>
      <c r="R142" s="391"/>
      <c r="S142" s="362">
        <f t="shared" si="23"/>
        <v>0</v>
      </c>
      <c r="T142" s="368"/>
      <c r="U142" s="368"/>
      <c r="V142" s="368"/>
      <c r="W142" s="368"/>
      <c r="X142" s="364">
        <f t="shared" si="20"/>
        <v>0</v>
      </c>
      <c r="Y142" s="393"/>
      <c r="Z142" s="498">
        <f t="shared" si="21"/>
        <v>0</v>
      </c>
      <c r="AA142" s="368"/>
      <c r="AB142" s="368"/>
      <c r="AC142" s="368"/>
      <c r="AD142" s="368"/>
      <c r="AE142" s="365">
        <f t="shared" si="22"/>
        <v>0</v>
      </c>
      <c r="AF142" s="558"/>
      <c r="AG142" s="457"/>
      <c r="AH142" s="264"/>
    </row>
    <row r="143" spans="1:34" ht="30.75" thickBot="1" x14ac:dyDescent="0.3">
      <c r="A143" s="458"/>
      <c r="B143" s="463"/>
      <c r="C143" s="463"/>
      <c r="D143" s="449" t="s">
        <v>261</v>
      </c>
      <c r="E143" s="262"/>
      <c r="F143" s="470" t="s">
        <v>512</v>
      </c>
      <c r="G143" s="387" t="e">
        <f>VLOOKUP(A143,'Feature Summary'!$A$7:$C$3944,3,FALSE)</f>
        <v>#N/A</v>
      </c>
      <c r="H143" s="447" t="s">
        <v>537</v>
      </c>
      <c r="I143" s="447"/>
      <c r="J143" s="478" t="s">
        <v>536</v>
      </c>
      <c r="K143" s="263"/>
      <c r="L143" s="391"/>
      <c r="M143" s="399" t="s">
        <v>33</v>
      </c>
      <c r="N143" s="475">
        <v>1</v>
      </c>
      <c r="O143" s="391"/>
      <c r="P143" s="496">
        <f t="shared" si="24"/>
        <v>0</v>
      </c>
      <c r="Q143" s="445" t="s">
        <v>52</v>
      </c>
      <c r="R143" s="391"/>
      <c r="S143" s="362">
        <f t="shared" si="23"/>
        <v>0</v>
      </c>
      <c r="T143" s="368"/>
      <c r="U143" s="368"/>
      <c r="V143" s="368"/>
      <c r="W143" s="368"/>
      <c r="X143" s="364">
        <f t="shared" si="20"/>
        <v>0</v>
      </c>
      <c r="Y143" s="393"/>
      <c r="Z143" s="498">
        <f t="shared" si="21"/>
        <v>0</v>
      </c>
      <c r="AA143" s="368"/>
      <c r="AB143" s="368"/>
      <c r="AC143" s="368"/>
      <c r="AD143" s="368"/>
      <c r="AE143" s="365">
        <f t="shared" si="22"/>
        <v>0</v>
      </c>
      <c r="AF143" s="558"/>
      <c r="AG143" s="457"/>
      <c r="AH143" s="264"/>
    </row>
    <row r="144" spans="1:34" ht="45.75" thickBot="1" x14ac:dyDescent="0.3">
      <c r="A144" s="458"/>
      <c r="B144" s="447" t="s">
        <v>500</v>
      </c>
      <c r="C144" s="463"/>
      <c r="D144" s="449" t="s">
        <v>261</v>
      </c>
      <c r="E144" s="262"/>
      <c r="F144" s="470" t="s">
        <v>516</v>
      </c>
      <c r="G144" s="387" t="e">
        <f>VLOOKUP(A144,'Feature Summary'!$A$7:$C$3944,3,FALSE)</f>
        <v>#N/A</v>
      </c>
      <c r="H144" s="447" t="s">
        <v>538</v>
      </c>
      <c r="I144" s="447"/>
      <c r="J144" s="478" t="s">
        <v>539</v>
      </c>
      <c r="K144" s="263"/>
      <c r="L144" s="391"/>
      <c r="M144" s="399" t="s">
        <v>33</v>
      </c>
      <c r="N144" s="475">
        <v>1</v>
      </c>
      <c r="O144" s="391"/>
      <c r="P144" s="496">
        <f t="shared" si="24"/>
        <v>0</v>
      </c>
      <c r="Q144" s="445" t="s">
        <v>52</v>
      </c>
      <c r="R144" s="391"/>
      <c r="S144" s="362">
        <f t="shared" si="23"/>
        <v>0</v>
      </c>
      <c r="T144" s="368"/>
      <c r="U144" s="368"/>
      <c r="V144" s="368"/>
      <c r="W144" s="368"/>
      <c r="X144" s="364">
        <f t="shared" si="20"/>
        <v>0</v>
      </c>
      <c r="Y144" s="393"/>
      <c r="Z144" s="498">
        <f t="shared" si="21"/>
        <v>0</v>
      </c>
      <c r="AA144" s="368"/>
      <c r="AB144" s="368"/>
      <c r="AC144" s="368"/>
      <c r="AD144" s="368"/>
      <c r="AE144" s="365">
        <f t="shared" si="22"/>
        <v>0</v>
      </c>
      <c r="AF144" s="262"/>
      <c r="AG144" s="457"/>
      <c r="AH144" s="264"/>
    </row>
    <row r="145" spans="1:34" ht="60.75" thickBot="1" x14ac:dyDescent="0.3">
      <c r="A145" s="458"/>
      <c r="B145" s="447" t="s">
        <v>500</v>
      </c>
      <c r="C145" s="463"/>
      <c r="D145" s="449" t="s">
        <v>261</v>
      </c>
      <c r="E145" s="262"/>
      <c r="F145" s="470" t="s">
        <v>504</v>
      </c>
      <c r="G145" s="387" t="e">
        <f>VLOOKUP(A145,'Feature Summary'!$A$7:$C$3944,3,FALSE)</f>
        <v>#N/A</v>
      </c>
      <c r="H145" s="447" t="s">
        <v>540</v>
      </c>
      <c r="I145" s="447"/>
      <c r="J145" s="478" t="s">
        <v>541</v>
      </c>
      <c r="K145" s="263"/>
      <c r="L145" s="391"/>
      <c r="M145" s="399" t="s">
        <v>33</v>
      </c>
      <c r="N145" s="475">
        <v>1</v>
      </c>
      <c r="O145" s="391"/>
      <c r="P145" s="496">
        <f t="shared" si="24"/>
        <v>0</v>
      </c>
      <c r="Q145" s="445" t="s">
        <v>52</v>
      </c>
      <c r="R145" s="391"/>
      <c r="S145" s="362">
        <f t="shared" si="23"/>
        <v>0</v>
      </c>
      <c r="T145" s="368"/>
      <c r="U145" s="368"/>
      <c r="V145" s="368"/>
      <c r="W145" s="368"/>
      <c r="X145" s="364">
        <f t="shared" si="20"/>
        <v>0</v>
      </c>
      <c r="Y145" s="393"/>
      <c r="Z145" s="498">
        <f t="shared" si="21"/>
        <v>0</v>
      </c>
      <c r="AA145" s="368"/>
      <c r="AB145" s="368"/>
      <c r="AC145" s="368"/>
      <c r="AD145" s="368"/>
      <c r="AE145" s="365">
        <f t="shared" si="22"/>
        <v>0</v>
      </c>
      <c r="AF145" s="558"/>
      <c r="AG145" s="457"/>
      <c r="AH145" s="264"/>
    </row>
    <row r="146" spans="1:34" ht="60.75" thickBot="1" x14ac:dyDescent="0.3">
      <c r="A146" s="458"/>
      <c r="B146" s="447" t="s">
        <v>500</v>
      </c>
      <c r="C146" s="463"/>
      <c r="D146" s="449" t="s">
        <v>261</v>
      </c>
      <c r="E146" s="262"/>
      <c r="F146" s="470" t="s">
        <v>521</v>
      </c>
      <c r="G146" s="387" t="e">
        <f>VLOOKUP(A146,'Feature Summary'!$A$7:$C$3944,3,FALSE)</f>
        <v>#N/A</v>
      </c>
      <c r="H146" s="447" t="s">
        <v>542</v>
      </c>
      <c r="I146" s="447"/>
      <c r="J146" s="478" t="s">
        <v>541</v>
      </c>
      <c r="K146" s="263"/>
      <c r="L146" s="391"/>
      <c r="M146" s="399" t="s">
        <v>33</v>
      </c>
      <c r="N146" s="475">
        <v>1</v>
      </c>
      <c r="O146" s="391"/>
      <c r="P146" s="496">
        <f t="shared" si="24"/>
        <v>0</v>
      </c>
      <c r="Q146" s="445" t="s">
        <v>52</v>
      </c>
      <c r="R146" s="391"/>
      <c r="S146" s="362">
        <f t="shared" si="23"/>
        <v>0</v>
      </c>
      <c r="T146" s="368"/>
      <c r="U146" s="368"/>
      <c r="V146" s="368"/>
      <c r="W146" s="368"/>
      <c r="X146" s="364">
        <f t="shared" si="20"/>
        <v>0</v>
      </c>
      <c r="Y146" s="393"/>
      <c r="Z146" s="498">
        <f t="shared" si="21"/>
        <v>0</v>
      </c>
      <c r="AA146" s="368"/>
      <c r="AB146" s="368"/>
      <c r="AC146" s="368"/>
      <c r="AD146" s="368"/>
      <c r="AE146" s="365">
        <f t="shared" si="22"/>
        <v>0</v>
      </c>
      <c r="AF146" s="558"/>
      <c r="AG146" s="457"/>
      <c r="AH146" s="264"/>
    </row>
    <row r="147" spans="1:34" ht="60.75" thickBot="1" x14ac:dyDescent="0.3">
      <c r="A147" s="458"/>
      <c r="B147" s="447" t="s">
        <v>500</v>
      </c>
      <c r="C147" s="463"/>
      <c r="D147" s="449" t="s">
        <v>261</v>
      </c>
      <c r="E147" s="262"/>
      <c r="F147" s="470" t="s">
        <v>509</v>
      </c>
      <c r="G147" s="387" t="e">
        <f>VLOOKUP(A147,'Feature Summary'!$A$7:$C$3944,3,FALSE)</f>
        <v>#N/A</v>
      </c>
      <c r="H147" s="447" t="s">
        <v>543</v>
      </c>
      <c r="I147" s="447"/>
      <c r="J147" s="478" t="s">
        <v>541</v>
      </c>
      <c r="K147" s="263"/>
      <c r="L147" s="391"/>
      <c r="M147" s="399" t="s">
        <v>33</v>
      </c>
      <c r="N147" s="475">
        <v>1</v>
      </c>
      <c r="O147" s="391"/>
      <c r="P147" s="496">
        <f t="shared" si="24"/>
        <v>0</v>
      </c>
      <c r="Q147" s="445" t="s">
        <v>52</v>
      </c>
      <c r="R147" s="391"/>
      <c r="S147" s="362">
        <f t="shared" si="23"/>
        <v>0</v>
      </c>
      <c r="T147" s="368"/>
      <c r="U147" s="368"/>
      <c r="V147" s="368"/>
      <c r="W147" s="368"/>
      <c r="X147" s="364">
        <f t="shared" si="20"/>
        <v>0</v>
      </c>
      <c r="Y147" s="393"/>
      <c r="Z147" s="498">
        <f t="shared" si="21"/>
        <v>0</v>
      </c>
      <c r="AA147" s="368"/>
      <c r="AB147" s="368"/>
      <c r="AC147" s="368"/>
      <c r="AD147" s="368"/>
      <c r="AE147" s="365">
        <f t="shared" si="22"/>
        <v>0</v>
      </c>
      <c r="AF147" s="558"/>
      <c r="AG147" s="457"/>
      <c r="AH147" s="264"/>
    </row>
    <row r="148" spans="1:34" ht="30.75" thickBot="1" x14ac:dyDescent="0.3">
      <c r="A148" s="474" t="s">
        <v>544</v>
      </c>
      <c r="B148" s="447" t="s">
        <v>500</v>
      </c>
      <c r="C148" s="463" t="s">
        <v>445</v>
      </c>
      <c r="D148" s="449" t="s">
        <v>261</v>
      </c>
      <c r="E148" s="262"/>
      <c r="F148" s="447" t="s">
        <v>545</v>
      </c>
      <c r="G148" s="387" t="str">
        <f>VLOOKUP(A148,'Feature Summary'!$A$7:$C$3944,3,FALSE)</f>
        <v>P2</v>
      </c>
      <c r="H148" s="447" t="s">
        <v>546</v>
      </c>
      <c r="I148" s="488" t="s">
        <v>264</v>
      </c>
      <c r="J148" s="478" t="s">
        <v>547</v>
      </c>
      <c r="K148" s="263">
        <v>1</v>
      </c>
      <c r="L148" s="391">
        <v>1</v>
      </c>
      <c r="M148" s="399" t="s">
        <v>33</v>
      </c>
      <c r="N148" s="475">
        <v>1</v>
      </c>
      <c r="O148" s="391">
        <v>1</v>
      </c>
      <c r="P148" s="496">
        <f t="shared" si="24"/>
        <v>1</v>
      </c>
      <c r="Q148" s="445" t="s">
        <v>52</v>
      </c>
      <c r="R148" s="391">
        <v>1</v>
      </c>
      <c r="S148" s="362">
        <f t="shared" si="23"/>
        <v>1</v>
      </c>
      <c r="T148" s="368">
        <v>1</v>
      </c>
      <c r="U148" s="368"/>
      <c r="V148" s="368"/>
      <c r="W148" s="368"/>
      <c r="X148" s="364">
        <f t="shared" si="20"/>
        <v>1</v>
      </c>
      <c r="Y148" s="393"/>
      <c r="Z148" s="498">
        <f t="shared" si="21"/>
        <v>0</v>
      </c>
      <c r="AA148" s="368"/>
      <c r="AB148" s="368"/>
      <c r="AC148" s="368"/>
      <c r="AD148" s="368"/>
      <c r="AE148" s="365">
        <f t="shared" si="22"/>
        <v>0</v>
      </c>
      <c r="AF148" s="558"/>
      <c r="AG148" s="457"/>
      <c r="AH148" s="264"/>
    </row>
    <row r="149" spans="1:34" ht="15.75" thickBot="1" x14ac:dyDescent="0.3">
      <c r="A149" s="458" t="s">
        <v>544</v>
      </c>
      <c r="B149" s="447" t="s">
        <v>500</v>
      </c>
      <c r="C149" s="463" t="s">
        <v>445</v>
      </c>
      <c r="D149" s="449" t="s">
        <v>261</v>
      </c>
      <c r="E149" s="262"/>
      <c r="F149" s="470" t="s">
        <v>548</v>
      </c>
      <c r="G149" s="387" t="str">
        <f>VLOOKUP(A149,'Feature Summary'!$A$7:$C$3944,3,FALSE)</f>
        <v>P2</v>
      </c>
      <c r="H149" s="447" t="s">
        <v>549</v>
      </c>
      <c r="I149" s="488" t="s">
        <v>264</v>
      </c>
      <c r="J149" s="478" t="s">
        <v>301</v>
      </c>
      <c r="K149" s="263">
        <v>1</v>
      </c>
      <c r="L149" s="391">
        <v>1</v>
      </c>
      <c r="M149" s="399" t="s">
        <v>33</v>
      </c>
      <c r="N149" s="475">
        <v>1</v>
      </c>
      <c r="O149" s="391">
        <v>1</v>
      </c>
      <c r="P149" s="496">
        <f t="shared" si="24"/>
        <v>1</v>
      </c>
      <c r="Q149" s="445" t="s">
        <v>52</v>
      </c>
      <c r="R149" s="391">
        <v>1</v>
      </c>
      <c r="S149" s="362">
        <f t="shared" si="23"/>
        <v>1</v>
      </c>
      <c r="T149" s="368">
        <v>1</v>
      </c>
      <c r="U149" s="368"/>
      <c r="V149" s="368"/>
      <c r="W149" s="368"/>
      <c r="X149" s="364">
        <f t="shared" si="20"/>
        <v>1</v>
      </c>
      <c r="Y149" s="393"/>
      <c r="Z149" s="498">
        <f t="shared" si="21"/>
        <v>0</v>
      </c>
      <c r="AA149" s="368"/>
      <c r="AB149" s="368"/>
      <c r="AC149" s="368"/>
      <c r="AD149" s="368"/>
      <c r="AE149" s="365">
        <f t="shared" si="22"/>
        <v>0</v>
      </c>
      <c r="AF149" s="558"/>
      <c r="AG149" s="457"/>
      <c r="AH149" s="264"/>
    </row>
    <row r="150" spans="1:34" ht="45.75" thickBot="1" x14ac:dyDescent="0.3">
      <c r="A150" s="458" t="s">
        <v>544</v>
      </c>
      <c r="B150" s="447" t="s">
        <v>500</v>
      </c>
      <c r="C150" s="463" t="s">
        <v>445</v>
      </c>
      <c r="D150" s="449" t="s">
        <v>261</v>
      </c>
      <c r="E150" s="262"/>
      <c r="F150" s="470" t="s">
        <v>550</v>
      </c>
      <c r="G150" s="387" t="str">
        <f>VLOOKUP(A150,'Feature Summary'!$A$7:$C$3944,3,FALSE)</f>
        <v>P2</v>
      </c>
      <c r="H150" s="447" t="s">
        <v>551</v>
      </c>
      <c r="I150" s="488" t="s">
        <v>264</v>
      </c>
      <c r="J150" s="478" t="s">
        <v>552</v>
      </c>
      <c r="K150" s="263">
        <v>1</v>
      </c>
      <c r="L150" s="391">
        <v>1</v>
      </c>
      <c r="M150" s="399" t="s">
        <v>33</v>
      </c>
      <c r="N150" s="475">
        <v>1</v>
      </c>
      <c r="O150" s="391">
        <v>1</v>
      </c>
      <c r="P150" s="496">
        <f t="shared" si="24"/>
        <v>1</v>
      </c>
      <c r="Q150" s="445" t="s">
        <v>52</v>
      </c>
      <c r="R150" s="391">
        <v>1</v>
      </c>
      <c r="S150" s="362">
        <f t="shared" si="23"/>
        <v>1</v>
      </c>
      <c r="T150" s="368">
        <v>1</v>
      </c>
      <c r="U150" s="368"/>
      <c r="V150" s="368"/>
      <c r="W150" s="368"/>
      <c r="X150" s="364">
        <f t="shared" si="20"/>
        <v>1</v>
      </c>
      <c r="Y150" s="393"/>
      <c r="Z150" s="498">
        <f t="shared" si="21"/>
        <v>0</v>
      </c>
      <c r="AA150" s="368"/>
      <c r="AB150" s="368"/>
      <c r="AC150" s="368"/>
      <c r="AD150" s="368"/>
      <c r="AE150" s="365">
        <f t="shared" si="22"/>
        <v>0</v>
      </c>
      <c r="AF150" s="558"/>
      <c r="AG150" s="457"/>
      <c r="AH150" s="264"/>
    </row>
    <row r="151" spans="1:34" ht="45.75" thickBot="1" x14ac:dyDescent="0.3">
      <c r="A151" s="458"/>
      <c r="B151" s="447" t="s">
        <v>500</v>
      </c>
      <c r="C151" s="463" t="s">
        <v>445</v>
      </c>
      <c r="D151" s="449" t="s">
        <v>261</v>
      </c>
      <c r="E151" s="262"/>
      <c r="F151" s="470" t="s">
        <v>553</v>
      </c>
      <c r="G151" s="387" t="e">
        <f>VLOOKUP(A151,'Feature Summary'!$A$7:$C$3944,3,FALSE)</f>
        <v>#N/A</v>
      </c>
      <c r="H151" s="447" t="s">
        <v>554</v>
      </c>
      <c r="I151" s="488" t="s">
        <v>264</v>
      </c>
      <c r="J151" s="478" t="s">
        <v>555</v>
      </c>
      <c r="K151" s="263">
        <v>1</v>
      </c>
      <c r="L151" s="391">
        <v>1</v>
      </c>
      <c r="M151" s="399" t="s">
        <v>33</v>
      </c>
      <c r="N151" s="475">
        <v>1</v>
      </c>
      <c r="O151" s="391">
        <v>1</v>
      </c>
      <c r="P151" s="496">
        <f t="shared" si="24"/>
        <v>1</v>
      </c>
      <c r="Q151" s="445" t="s">
        <v>52</v>
      </c>
      <c r="R151" s="391">
        <v>1</v>
      </c>
      <c r="S151" s="362">
        <f t="shared" si="23"/>
        <v>1</v>
      </c>
      <c r="T151" s="368">
        <v>1</v>
      </c>
      <c r="U151" s="368"/>
      <c r="V151" s="368"/>
      <c r="W151" s="368"/>
      <c r="X151" s="364">
        <f t="shared" si="20"/>
        <v>1</v>
      </c>
      <c r="Y151" s="393"/>
      <c r="Z151" s="498">
        <f t="shared" si="21"/>
        <v>0</v>
      </c>
      <c r="AA151" s="368"/>
      <c r="AB151" s="368"/>
      <c r="AC151" s="368"/>
      <c r="AD151" s="368"/>
      <c r="AE151" s="365">
        <f t="shared" si="22"/>
        <v>0</v>
      </c>
      <c r="AF151" s="558"/>
      <c r="AG151" s="457"/>
      <c r="AH151" s="264"/>
    </row>
    <row r="152" spans="1:34" ht="15.75" thickBot="1" x14ac:dyDescent="0.3">
      <c r="A152" s="458"/>
      <c r="B152" s="447" t="s">
        <v>500</v>
      </c>
      <c r="C152" s="463" t="s">
        <v>445</v>
      </c>
      <c r="D152" s="449" t="s">
        <v>261</v>
      </c>
      <c r="E152" s="262"/>
      <c r="F152" s="470" t="s">
        <v>556</v>
      </c>
      <c r="G152" s="387" t="e">
        <f>VLOOKUP(A152,'Feature Summary'!$A$7:$C$3944,3,FALSE)</f>
        <v>#N/A</v>
      </c>
      <c r="H152" s="447" t="s">
        <v>557</v>
      </c>
      <c r="I152" s="488" t="s">
        <v>264</v>
      </c>
      <c r="J152" s="478" t="s">
        <v>301</v>
      </c>
      <c r="K152" s="263">
        <v>1</v>
      </c>
      <c r="L152" s="391">
        <v>1</v>
      </c>
      <c r="M152" s="399" t="s">
        <v>33</v>
      </c>
      <c r="N152" s="475">
        <v>1</v>
      </c>
      <c r="O152" s="391">
        <v>1</v>
      </c>
      <c r="P152" s="496">
        <f t="shared" si="24"/>
        <v>1</v>
      </c>
      <c r="Q152" s="445" t="s">
        <v>52</v>
      </c>
      <c r="R152" s="391">
        <v>1</v>
      </c>
      <c r="S152" s="362">
        <f t="shared" si="23"/>
        <v>1</v>
      </c>
      <c r="T152" s="368">
        <v>1</v>
      </c>
      <c r="U152" s="368"/>
      <c r="V152" s="368"/>
      <c r="W152" s="368"/>
      <c r="X152" s="364">
        <f t="shared" si="20"/>
        <v>1</v>
      </c>
      <c r="Y152" s="393"/>
      <c r="Z152" s="498">
        <f t="shared" si="21"/>
        <v>0</v>
      </c>
      <c r="AA152" s="368"/>
      <c r="AB152" s="368"/>
      <c r="AC152" s="368"/>
      <c r="AD152" s="368"/>
      <c r="AE152" s="365">
        <f t="shared" si="22"/>
        <v>0</v>
      </c>
      <c r="AF152" s="558"/>
      <c r="AG152" s="457"/>
      <c r="AH152" s="264"/>
    </row>
    <row r="153" spans="1:34" ht="30.75" thickBot="1" x14ac:dyDescent="0.3">
      <c r="A153" s="458"/>
      <c r="B153" s="447" t="s">
        <v>500</v>
      </c>
      <c r="C153" s="463" t="s">
        <v>445</v>
      </c>
      <c r="D153" s="449" t="s">
        <v>261</v>
      </c>
      <c r="E153" s="262"/>
      <c r="F153" s="470" t="s">
        <v>558</v>
      </c>
      <c r="G153" s="387" t="e">
        <f>VLOOKUP(A153,'Feature Summary'!$A$7:$C$3944,3,FALSE)</f>
        <v>#N/A</v>
      </c>
      <c r="H153" s="447" t="s">
        <v>559</v>
      </c>
      <c r="I153" s="488" t="s">
        <v>264</v>
      </c>
      <c r="J153" s="478" t="s">
        <v>560</v>
      </c>
      <c r="K153" s="263">
        <v>1</v>
      </c>
      <c r="L153" s="391">
        <v>1</v>
      </c>
      <c r="M153" s="399" t="s">
        <v>33</v>
      </c>
      <c r="N153" s="475">
        <v>1</v>
      </c>
      <c r="O153" s="391">
        <v>1</v>
      </c>
      <c r="P153" s="496">
        <f t="shared" si="24"/>
        <v>1</v>
      </c>
      <c r="Q153" s="445" t="s">
        <v>52</v>
      </c>
      <c r="R153" s="391">
        <v>1</v>
      </c>
      <c r="S153" s="362">
        <f t="shared" si="23"/>
        <v>1</v>
      </c>
      <c r="T153" s="368">
        <v>1</v>
      </c>
      <c r="U153" s="368"/>
      <c r="V153" s="368"/>
      <c r="W153" s="368"/>
      <c r="X153" s="364">
        <f t="shared" si="20"/>
        <v>1</v>
      </c>
      <c r="Y153" s="393"/>
      <c r="Z153" s="498">
        <f t="shared" si="21"/>
        <v>0</v>
      </c>
      <c r="AA153" s="368"/>
      <c r="AB153" s="368"/>
      <c r="AC153" s="368"/>
      <c r="AD153" s="368"/>
      <c r="AE153" s="365">
        <f t="shared" si="22"/>
        <v>0</v>
      </c>
      <c r="AF153" s="558"/>
      <c r="AG153" s="457"/>
      <c r="AH153" s="264"/>
    </row>
    <row r="154" spans="1:34" ht="30.75" thickBot="1" x14ac:dyDescent="0.3">
      <c r="A154" s="458" t="s">
        <v>484</v>
      </c>
      <c r="B154" s="447" t="s">
        <v>500</v>
      </c>
      <c r="C154" s="463" t="s">
        <v>445</v>
      </c>
      <c r="D154" s="449" t="s">
        <v>261</v>
      </c>
      <c r="E154" s="262"/>
      <c r="F154" s="470" t="s">
        <v>561</v>
      </c>
      <c r="G154" s="387" t="str">
        <f>VLOOKUP(A154,'Feature Summary'!$A$7:$C$3944,3,FALSE)</f>
        <v>P3</v>
      </c>
      <c r="H154" s="447" t="s">
        <v>562</v>
      </c>
      <c r="I154" s="488" t="s">
        <v>264</v>
      </c>
      <c r="J154" s="478" t="s">
        <v>563</v>
      </c>
      <c r="K154" s="263">
        <v>1</v>
      </c>
      <c r="L154" s="391">
        <v>3</v>
      </c>
      <c r="M154" s="399" t="s">
        <v>33</v>
      </c>
      <c r="N154" s="475">
        <v>1</v>
      </c>
      <c r="O154" s="391">
        <v>3</v>
      </c>
      <c r="P154" s="496">
        <f t="shared" si="24"/>
        <v>1</v>
      </c>
      <c r="Q154" s="445" t="s">
        <v>52</v>
      </c>
      <c r="R154" s="391">
        <v>3</v>
      </c>
      <c r="S154" s="362">
        <f t="shared" si="23"/>
        <v>3</v>
      </c>
      <c r="T154" s="368">
        <v>3</v>
      </c>
      <c r="U154" s="368"/>
      <c r="V154" s="368"/>
      <c r="W154" s="368"/>
      <c r="X154" s="364">
        <f t="shared" si="20"/>
        <v>1</v>
      </c>
      <c r="Y154" s="393"/>
      <c r="Z154" s="498">
        <f t="shared" si="21"/>
        <v>0</v>
      </c>
      <c r="AA154" s="368"/>
      <c r="AB154" s="368"/>
      <c r="AC154" s="368"/>
      <c r="AD154" s="368"/>
      <c r="AE154" s="365">
        <f t="shared" si="22"/>
        <v>0</v>
      </c>
      <c r="AF154" s="558"/>
      <c r="AG154" s="457"/>
      <c r="AH154" s="264"/>
    </row>
    <row r="155" spans="1:34" ht="45.75" thickBot="1" x14ac:dyDescent="0.3">
      <c r="A155" s="458" t="s">
        <v>484</v>
      </c>
      <c r="B155" s="447" t="s">
        <v>500</v>
      </c>
      <c r="C155" s="463" t="s">
        <v>445</v>
      </c>
      <c r="D155" s="449" t="s">
        <v>261</v>
      </c>
      <c r="E155" s="262"/>
      <c r="F155" s="470" t="s">
        <v>561</v>
      </c>
      <c r="G155" s="387" t="str">
        <f>VLOOKUP(A155,'Feature Summary'!$A$7:$C$3944,3,FALSE)</f>
        <v>P3</v>
      </c>
      <c r="H155" s="447" t="s">
        <v>564</v>
      </c>
      <c r="I155" s="488" t="s">
        <v>264</v>
      </c>
      <c r="J155" s="478" t="s">
        <v>565</v>
      </c>
      <c r="K155" s="263">
        <v>1</v>
      </c>
      <c r="L155" s="391">
        <v>1</v>
      </c>
      <c r="M155" s="399" t="s">
        <v>33</v>
      </c>
      <c r="N155" s="475">
        <v>1</v>
      </c>
      <c r="O155" s="391">
        <v>1</v>
      </c>
      <c r="P155" s="496">
        <f t="shared" si="24"/>
        <v>1</v>
      </c>
      <c r="Q155" s="445" t="s">
        <v>52</v>
      </c>
      <c r="R155" s="391">
        <v>1</v>
      </c>
      <c r="S155" s="362">
        <f t="shared" si="23"/>
        <v>1</v>
      </c>
      <c r="T155" s="368">
        <v>1</v>
      </c>
      <c r="U155" s="368"/>
      <c r="V155" s="368"/>
      <c r="W155" s="368"/>
      <c r="X155" s="364">
        <f t="shared" si="20"/>
        <v>1</v>
      </c>
      <c r="Y155" s="393"/>
      <c r="Z155" s="498">
        <f t="shared" si="21"/>
        <v>0</v>
      </c>
      <c r="AA155" s="368"/>
      <c r="AB155" s="368"/>
      <c r="AC155" s="368"/>
      <c r="AD155" s="368"/>
      <c r="AE155" s="365">
        <f t="shared" si="22"/>
        <v>0</v>
      </c>
      <c r="AF155" s="262"/>
      <c r="AG155" s="457"/>
      <c r="AH155" s="264"/>
    </row>
    <row r="156" spans="1:34" ht="15.75" thickBot="1" x14ac:dyDescent="0.3">
      <c r="A156" s="458"/>
      <c r="B156" s="447" t="s">
        <v>500</v>
      </c>
      <c r="C156" s="463"/>
      <c r="D156" s="449" t="s">
        <v>261</v>
      </c>
      <c r="E156" s="262"/>
      <c r="F156" s="447" t="s">
        <v>545</v>
      </c>
      <c r="G156" s="387" t="e">
        <f>VLOOKUP(A156,'Feature Summary'!$A$7:$C$3944,3,FALSE)</f>
        <v>#N/A</v>
      </c>
      <c r="H156" s="447" t="s">
        <v>566</v>
      </c>
      <c r="I156" s="447"/>
      <c r="J156" s="478" t="s">
        <v>489</v>
      </c>
      <c r="K156" s="263"/>
      <c r="L156" s="391"/>
      <c r="M156" s="399" t="s">
        <v>33</v>
      </c>
      <c r="N156" s="475">
        <v>1</v>
      </c>
      <c r="O156" s="391"/>
      <c r="P156" s="496">
        <f t="shared" si="24"/>
        <v>0</v>
      </c>
      <c r="Q156" s="445" t="s">
        <v>52</v>
      </c>
      <c r="R156" s="391"/>
      <c r="S156" s="362">
        <f t="shared" si="23"/>
        <v>0</v>
      </c>
      <c r="T156" s="368"/>
      <c r="U156" s="368"/>
      <c r="V156" s="368"/>
      <c r="W156" s="368"/>
      <c r="X156" s="364">
        <f t="shared" si="20"/>
        <v>0</v>
      </c>
      <c r="Y156" s="393"/>
      <c r="Z156" s="498">
        <f t="shared" si="21"/>
        <v>0</v>
      </c>
      <c r="AA156" s="368"/>
      <c r="AB156" s="368"/>
      <c r="AC156" s="368"/>
      <c r="AD156" s="368"/>
      <c r="AE156" s="365">
        <f t="shared" si="22"/>
        <v>0</v>
      </c>
      <c r="AF156" s="558"/>
      <c r="AG156" s="457"/>
      <c r="AH156" s="264"/>
    </row>
    <row r="157" spans="1:34" ht="15.75" thickBot="1" x14ac:dyDescent="0.3">
      <c r="A157" s="458"/>
      <c r="B157" s="447" t="s">
        <v>500</v>
      </c>
      <c r="C157" s="463"/>
      <c r="D157" s="449" t="s">
        <v>261</v>
      </c>
      <c r="E157" s="262"/>
      <c r="F157" s="470" t="s">
        <v>548</v>
      </c>
      <c r="G157" s="387" t="e">
        <f>VLOOKUP(A157,'Feature Summary'!$A$7:$C$3944,3,FALSE)</f>
        <v>#N/A</v>
      </c>
      <c r="H157" s="447" t="s">
        <v>567</v>
      </c>
      <c r="I157" s="447"/>
      <c r="J157" s="478" t="s">
        <v>489</v>
      </c>
      <c r="K157" s="263"/>
      <c r="L157" s="391"/>
      <c r="M157" s="399" t="s">
        <v>33</v>
      </c>
      <c r="N157" s="475">
        <v>1</v>
      </c>
      <c r="O157" s="391"/>
      <c r="P157" s="496">
        <f t="shared" si="24"/>
        <v>0</v>
      </c>
      <c r="Q157" s="445" t="s">
        <v>52</v>
      </c>
      <c r="R157" s="391"/>
      <c r="S157" s="362">
        <f t="shared" si="23"/>
        <v>0</v>
      </c>
      <c r="T157" s="368"/>
      <c r="U157" s="368"/>
      <c r="V157" s="368"/>
      <c r="W157" s="368"/>
      <c r="X157" s="364">
        <f t="shared" si="20"/>
        <v>0</v>
      </c>
      <c r="Y157" s="393"/>
      <c r="Z157" s="498">
        <f t="shared" si="21"/>
        <v>0</v>
      </c>
      <c r="AA157" s="368"/>
      <c r="AB157" s="368"/>
      <c r="AC157" s="368"/>
      <c r="AD157" s="368"/>
      <c r="AE157" s="365">
        <f t="shared" si="22"/>
        <v>0</v>
      </c>
      <c r="AF157" s="262"/>
      <c r="AG157" s="457"/>
      <c r="AH157" s="264"/>
    </row>
    <row r="158" spans="1:34" ht="30.75" thickBot="1" x14ac:dyDescent="0.3">
      <c r="A158" s="458"/>
      <c r="B158" s="447" t="s">
        <v>500</v>
      </c>
      <c r="C158" s="463"/>
      <c r="D158" s="449" t="s">
        <v>261</v>
      </c>
      <c r="E158" s="262"/>
      <c r="F158" s="470" t="s">
        <v>550</v>
      </c>
      <c r="G158" s="387" t="e">
        <f>VLOOKUP(A158,'Feature Summary'!$A$7:$C$3944,3,FALSE)</f>
        <v>#N/A</v>
      </c>
      <c r="H158" s="447" t="s">
        <v>568</v>
      </c>
      <c r="I158" s="447"/>
      <c r="J158" s="478" t="s">
        <v>569</v>
      </c>
      <c r="K158" s="263"/>
      <c r="L158" s="391"/>
      <c r="M158" s="399" t="s">
        <v>33</v>
      </c>
      <c r="N158" s="475">
        <v>1</v>
      </c>
      <c r="O158" s="391"/>
      <c r="P158" s="496">
        <f t="shared" si="24"/>
        <v>0</v>
      </c>
      <c r="Q158" s="445" t="s">
        <v>52</v>
      </c>
      <c r="R158" s="391"/>
      <c r="S158" s="362">
        <f t="shared" si="23"/>
        <v>0</v>
      </c>
      <c r="T158" s="368"/>
      <c r="U158" s="368"/>
      <c r="V158" s="368"/>
      <c r="W158" s="368"/>
      <c r="X158" s="364">
        <f t="shared" si="20"/>
        <v>0</v>
      </c>
      <c r="Y158" s="393"/>
      <c r="Z158" s="498">
        <f t="shared" si="21"/>
        <v>0</v>
      </c>
      <c r="AA158" s="368"/>
      <c r="AB158" s="368"/>
      <c r="AC158" s="368"/>
      <c r="AD158" s="368"/>
      <c r="AE158" s="365">
        <f t="shared" si="22"/>
        <v>0</v>
      </c>
      <c r="AF158" s="262"/>
      <c r="AG158" s="457"/>
      <c r="AH158" s="264"/>
    </row>
    <row r="159" spans="1:34" ht="15.75" thickBot="1" x14ac:dyDescent="0.3">
      <c r="A159" s="458"/>
      <c r="B159" s="447" t="s">
        <v>500</v>
      </c>
      <c r="C159" s="463"/>
      <c r="D159" s="449" t="s">
        <v>261</v>
      </c>
      <c r="E159" s="262"/>
      <c r="F159" s="470" t="s">
        <v>553</v>
      </c>
      <c r="G159" s="387" t="e">
        <f>VLOOKUP(A159,'Feature Summary'!$A$7:$C$3944,3,FALSE)</f>
        <v>#N/A</v>
      </c>
      <c r="H159" s="447" t="s">
        <v>570</v>
      </c>
      <c r="I159" s="447"/>
      <c r="J159" s="478" t="s">
        <v>489</v>
      </c>
      <c r="K159" s="263"/>
      <c r="L159" s="391"/>
      <c r="M159" s="399" t="s">
        <v>33</v>
      </c>
      <c r="N159" s="475">
        <v>1</v>
      </c>
      <c r="O159" s="391"/>
      <c r="P159" s="496">
        <f t="shared" si="24"/>
        <v>0</v>
      </c>
      <c r="Q159" s="445" t="s">
        <v>52</v>
      </c>
      <c r="R159" s="391"/>
      <c r="S159" s="362">
        <f t="shared" si="23"/>
        <v>0</v>
      </c>
      <c r="T159" s="368"/>
      <c r="U159" s="368"/>
      <c r="V159" s="368"/>
      <c r="W159" s="368"/>
      <c r="X159" s="364">
        <f t="shared" si="20"/>
        <v>0</v>
      </c>
      <c r="Y159" s="393"/>
      <c r="Z159" s="498">
        <f t="shared" si="21"/>
        <v>0</v>
      </c>
      <c r="AA159" s="368"/>
      <c r="AB159" s="368"/>
      <c r="AC159" s="368"/>
      <c r="AD159" s="368"/>
      <c r="AE159" s="365">
        <f t="shared" si="22"/>
        <v>0</v>
      </c>
      <c r="AF159" s="558"/>
      <c r="AG159" s="457"/>
      <c r="AH159" s="264"/>
    </row>
    <row r="160" spans="1:34" ht="15.75" thickBot="1" x14ac:dyDescent="0.3">
      <c r="A160" s="458"/>
      <c r="B160" s="447" t="s">
        <v>500</v>
      </c>
      <c r="C160" s="463"/>
      <c r="D160" s="449" t="s">
        <v>261</v>
      </c>
      <c r="E160" s="262"/>
      <c r="F160" s="470" t="s">
        <v>556</v>
      </c>
      <c r="G160" s="387" t="e">
        <f>VLOOKUP(A160,'Feature Summary'!$A$7:$C$3944,3,FALSE)</f>
        <v>#N/A</v>
      </c>
      <c r="H160" s="447" t="s">
        <v>571</v>
      </c>
      <c r="I160" s="447"/>
      <c r="J160" s="478" t="s">
        <v>489</v>
      </c>
      <c r="K160" s="263"/>
      <c r="L160" s="391"/>
      <c r="M160" s="399" t="s">
        <v>33</v>
      </c>
      <c r="N160" s="475">
        <v>1</v>
      </c>
      <c r="O160" s="391"/>
      <c r="P160" s="496">
        <f t="shared" si="24"/>
        <v>0</v>
      </c>
      <c r="Q160" s="445" t="s">
        <v>52</v>
      </c>
      <c r="R160" s="391"/>
      <c r="S160" s="362">
        <f t="shared" si="23"/>
        <v>0</v>
      </c>
      <c r="T160" s="368"/>
      <c r="U160" s="368"/>
      <c r="V160" s="368"/>
      <c r="W160" s="368"/>
      <c r="X160" s="364">
        <f t="shared" si="20"/>
        <v>0</v>
      </c>
      <c r="Y160" s="393"/>
      <c r="Z160" s="498">
        <f t="shared" si="21"/>
        <v>0</v>
      </c>
      <c r="AA160" s="368"/>
      <c r="AB160" s="368"/>
      <c r="AC160" s="368"/>
      <c r="AD160" s="368"/>
      <c r="AE160" s="365">
        <f t="shared" si="22"/>
        <v>0</v>
      </c>
      <c r="AF160" s="262"/>
      <c r="AG160" s="457"/>
      <c r="AH160" s="264"/>
    </row>
    <row r="161" spans="1:34" ht="30.75" thickBot="1" x14ac:dyDescent="0.3">
      <c r="A161" s="458"/>
      <c r="B161" s="447" t="s">
        <v>500</v>
      </c>
      <c r="C161" s="463"/>
      <c r="D161" s="449" t="s">
        <v>261</v>
      </c>
      <c r="E161" s="262"/>
      <c r="F161" s="470" t="s">
        <v>558</v>
      </c>
      <c r="G161" s="387" t="e">
        <f>VLOOKUP(A161,'Feature Summary'!$A$7:$C$3944,3,FALSE)</f>
        <v>#N/A</v>
      </c>
      <c r="H161" s="447" t="s">
        <v>572</v>
      </c>
      <c r="I161" s="447"/>
      <c r="J161" s="478" t="s">
        <v>569</v>
      </c>
      <c r="K161" s="263"/>
      <c r="L161" s="391"/>
      <c r="M161" s="399" t="s">
        <v>33</v>
      </c>
      <c r="N161" s="475">
        <v>1</v>
      </c>
      <c r="O161" s="391"/>
      <c r="P161" s="496">
        <f t="shared" si="24"/>
        <v>0</v>
      </c>
      <c r="Q161" s="445" t="s">
        <v>52</v>
      </c>
      <c r="R161" s="391"/>
      <c r="S161" s="362">
        <f t="shared" si="23"/>
        <v>0</v>
      </c>
      <c r="T161" s="368"/>
      <c r="U161" s="368"/>
      <c r="V161" s="368"/>
      <c r="W161" s="368"/>
      <c r="X161" s="364">
        <f t="shared" si="20"/>
        <v>0</v>
      </c>
      <c r="Y161" s="393"/>
      <c r="Z161" s="498">
        <f t="shared" si="21"/>
        <v>0</v>
      </c>
      <c r="AA161" s="368"/>
      <c r="AB161" s="368"/>
      <c r="AC161" s="368"/>
      <c r="AD161" s="368"/>
      <c r="AE161" s="365">
        <f t="shared" si="22"/>
        <v>0</v>
      </c>
      <c r="AF161" s="262"/>
      <c r="AG161" s="457"/>
      <c r="AH161" s="264"/>
    </row>
    <row r="162" spans="1:34" ht="30.75" thickBot="1" x14ac:dyDescent="0.3">
      <c r="A162" s="270" t="s">
        <v>573</v>
      </c>
      <c r="B162" s="447" t="s">
        <v>574</v>
      </c>
      <c r="C162" s="463" t="s">
        <v>354</v>
      </c>
      <c r="D162" s="449" t="s">
        <v>261</v>
      </c>
      <c r="E162" s="262"/>
      <c r="F162" s="447" t="s">
        <v>575</v>
      </c>
      <c r="G162" s="387" t="e">
        <f>VLOOKUP(A162,'Feature Summary'!$A$7:$C$3944,3,FALSE)</f>
        <v>#N/A</v>
      </c>
      <c r="H162" s="447" t="s">
        <v>576</v>
      </c>
      <c r="I162" s="488" t="s">
        <v>264</v>
      </c>
      <c r="J162" s="479" t="s">
        <v>577</v>
      </c>
      <c r="K162" s="263">
        <v>1</v>
      </c>
      <c r="L162" s="391">
        <v>1</v>
      </c>
      <c r="M162" s="399" t="s">
        <v>33</v>
      </c>
      <c r="N162" s="475">
        <v>1</v>
      </c>
      <c r="O162" s="391">
        <v>1</v>
      </c>
      <c r="P162" s="496">
        <f t="shared" si="24"/>
        <v>1</v>
      </c>
      <c r="Q162" s="445" t="s">
        <v>52</v>
      </c>
      <c r="R162" s="391">
        <v>1</v>
      </c>
      <c r="S162" s="362">
        <f t="shared" si="23"/>
        <v>1</v>
      </c>
      <c r="T162" s="368">
        <v>1</v>
      </c>
      <c r="U162" s="368"/>
      <c r="V162" s="368"/>
      <c r="W162" s="368"/>
      <c r="X162" s="364">
        <f t="shared" si="20"/>
        <v>1</v>
      </c>
      <c r="Y162" s="393"/>
      <c r="Z162" s="498">
        <f t="shared" si="21"/>
        <v>0</v>
      </c>
      <c r="AA162" s="368"/>
      <c r="AB162" s="368"/>
      <c r="AC162" s="368"/>
      <c r="AD162" s="368"/>
      <c r="AE162" s="365">
        <f t="shared" si="22"/>
        <v>0</v>
      </c>
      <c r="AF162" s="262"/>
      <c r="AG162" s="457"/>
      <c r="AH162" s="264"/>
    </row>
    <row r="163" spans="1:34" ht="30.75" thickBot="1" x14ac:dyDescent="0.3">
      <c r="A163" s="270" t="s">
        <v>573</v>
      </c>
      <c r="B163" s="447" t="s">
        <v>574</v>
      </c>
      <c r="C163" s="463" t="s">
        <v>354</v>
      </c>
      <c r="D163" s="449" t="s">
        <v>261</v>
      </c>
      <c r="E163" s="262"/>
      <c r="F163" s="447" t="s">
        <v>578</v>
      </c>
      <c r="G163" s="387" t="e">
        <f>VLOOKUP(A163,'Feature Summary'!$A$7:$C$3944,3,FALSE)</f>
        <v>#N/A</v>
      </c>
      <c r="H163" s="447" t="s">
        <v>579</v>
      </c>
      <c r="I163" s="488" t="s">
        <v>264</v>
      </c>
      <c r="J163" s="479" t="s">
        <v>580</v>
      </c>
      <c r="K163" s="263">
        <v>1</v>
      </c>
      <c r="L163" s="391">
        <v>1</v>
      </c>
      <c r="M163" s="399" t="s">
        <v>33</v>
      </c>
      <c r="N163" s="475">
        <v>1</v>
      </c>
      <c r="O163" s="391">
        <v>1</v>
      </c>
      <c r="P163" s="496">
        <f t="shared" si="24"/>
        <v>1</v>
      </c>
      <c r="Q163" s="445" t="s">
        <v>52</v>
      </c>
      <c r="R163" s="391">
        <v>1</v>
      </c>
      <c r="S163" s="362">
        <f t="shared" si="23"/>
        <v>1</v>
      </c>
      <c r="T163" s="368">
        <v>1</v>
      </c>
      <c r="U163" s="368"/>
      <c r="V163" s="368"/>
      <c r="W163" s="368"/>
      <c r="X163" s="364">
        <f t="shared" si="20"/>
        <v>1</v>
      </c>
      <c r="Y163" s="393"/>
      <c r="Z163" s="498">
        <f t="shared" si="21"/>
        <v>0</v>
      </c>
      <c r="AA163" s="368"/>
      <c r="AB163" s="368"/>
      <c r="AC163" s="368"/>
      <c r="AD163" s="368"/>
      <c r="AE163" s="365">
        <f t="shared" si="22"/>
        <v>0</v>
      </c>
      <c r="AF163" s="262"/>
      <c r="AG163" s="457"/>
      <c r="AH163" s="264"/>
    </row>
    <row r="164" spans="1:34" ht="30.75" thickBot="1" x14ac:dyDescent="0.3">
      <c r="A164" s="270" t="s">
        <v>573</v>
      </c>
      <c r="B164" s="447" t="s">
        <v>574</v>
      </c>
      <c r="C164" s="463" t="s">
        <v>354</v>
      </c>
      <c r="D164" s="449" t="s">
        <v>261</v>
      </c>
      <c r="E164" s="262"/>
      <c r="F164" s="447" t="s">
        <v>581</v>
      </c>
      <c r="G164" s="387" t="e">
        <f>VLOOKUP(A164,'Feature Summary'!$A$7:$C$3944,3,FALSE)</f>
        <v>#N/A</v>
      </c>
      <c r="H164" s="447" t="s">
        <v>582</v>
      </c>
      <c r="I164" s="488" t="s">
        <v>264</v>
      </c>
      <c r="J164" s="478" t="s">
        <v>583</v>
      </c>
      <c r="K164" s="263">
        <v>1</v>
      </c>
      <c r="L164" s="391">
        <v>1</v>
      </c>
      <c r="M164" s="399" t="s">
        <v>33</v>
      </c>
      <c r="N164" s="475">
        <v>1</v>
      </c>
      <c r="O164" s="391">
        <v>1</v>
      </c>
      <c r="P164" s="496">
        <f t="shared" si="24"/>
        <v>1</v>
      </c>
      <c r="Q164" s="445" t="s">
        <v>52</v>
      </c>
      <c r="R164" s="391">
        <v>1</v>
      </c>
      <c r="S164" s="362">
        <f t="shared" si="23"/>
        <v>1</v>
      </c>
      <c r="T164" s="368">
        <v>1</v>
      </c>
      <c r="U164" s="368"/>
      <c r="V164" s="368"/>
      <c r="W164" s="368"/>
      <c r="X164" s="364">
        <f t="shared" si="20"/>
        <v>1</v>
      </c>
      <c r="Y164" s="393"/>
      <c r="Z164" s="498">
        <f t="shared" si="21"/>
        <v>0</v>
      </c>
      <c r="AA164" s="368"/>
      <c r="AB164" s="368"/>
      <c r="AC164" s="368"/>
      <c r="AD164" s="368"/>
      <c r="AE164" s="365">
        <f t="shared" si="22"/>
        <v>0</v>
      </c>
      <c r="AF164" s="262"/>
      <c r="AG164" s="457"/>
      <c r="AH164" s="264"/>
    </row>
    <row r="165" spans="1:34" ht="30.75" thickBot="1" x14ac:dyDescent="0.3">
      <c r="A165" s="270" t="s">
        <v>573</v>
      </c>
      <c r="B165" s="447" t="s">
        <v>574</v>
      </c>
      <c r="C165" s="463" t="s">
        <v>354</v>
      </c>
      <c r="D165" s="449" t="s">
        <v>261</v>
      </c>
      <c r="E165" s="262"/>
      <c r="F165" s="447" t="s">
        <v>584</v>
      </c>
      <c r="G165" s="387" t="e">
        <f>VLOOKUP(A165,'Feature Summary'!$A$7:$C$3944,3,FALSE)</f>
        <v>#N/A</v>
      </c>
      <c r="H165" s="447" t="s">
        <v>585</v>
      </c>
      <c r="I165" s="488" t="s">
        <v>264</v>
      </c>
      <c r="J165" s="478" t="s">
        <v>586</v>
      </c>
      <c r="K165" s="263">
        <v>1</v>
      </c>
      <c r="L165" s="391">
        <v>1</v>
      </c>
      <c r="M165" s="399" t="s">
        <v>33</v>
      </c>
      <c r="N165" s="475">
        <v>1</v>
      </c>
      <c r="O165" s="391">
        <v>1</v>
      </c>
      <c r="P165" s="496">
        <f t="shared" si="24"/>
        <v>1</v>
      </c>
      <c r="Q165" s="445" t="s">
        <v>52</v>
      </c>
      <c r="R165" s="391">
        <v>1</v>
      </c>
      <c r="S165" s="362">
        <f t="shared" si="23"/>
        <v>1</v>
      </c>
      <c r="T165" s="368">
        <v>1</v>
      </c>
      <c r="U165" s="368"/>
      <c r="V165" s="368"/>
      <c r="W165" s="368"/>
      <c r="X165" s="364">
        <f t="shared" si="20"/>
        <v>1</v>
      </c>
      <c r="Y165" s="393"/>
      <c r="Z165" s="498">
        <f t="shared" si="21"/>
        <v>0</v>
      </c>
      <c r="AA165" s="368"/>
      <c r="AB165" s="368"/>
      <c r="AC165" s="368"/>
      <c r="AD165" s="368"/>
      <c r="AE165" s="365">
        <f t="shared" si="22"/>
        <v>0</v>
      </c>
      <c r="AF165" s="262"/>
      <c r="AG165" s="457"/>
      <c r="AH165" s="264"/>
    </row>
    <row r="166" spans="1:34" ht="15.75" thickBot="1" x14ac:dyDescent="0.3">
      <c r="A166" s="446" t="s">
        <v>305</v>
      </c>
      <c r="B166" s="447"/>
      <c r="C166" s="463" t="s">
        <v>445</v>
      </c>
      <c r="D166" s="449" t="s">
        <v>261</v>
      </c>
      <c r="E166" s="262"/>
      <c r="F166" s="447" t="s">
        <v>587</v>
      </c>
      <c r="G166" s="387" t="str">
        <f>VLOOKUP(A166,'Feature Summary'!$A$7:$C$3944,3,FALSE)</f>
        <v>P2</v>
      </c>
      <c r="H166" s="447" t="s">
        <v>588</v>
      </c>
      <c r="I166" s="488" t="s">
        <v>264</v>
      </c>
      <c r="J166" s="478" t="s">
        <v>320</v>
      </c>
      <c r="K166" s="263">
        <v>6</v>
      </c>
      <c r="L166" s="391">
        <v>6</v>
      </c>
      <c r="M166" s="399" t="s">
        <v>33</v>
      </c>
      <c r="N166" s="475">
        <v>1</v>
      </c>
      <c r="O166" s="391">
        <v>5</v>
      </c>
      <c r="P166" s="496">
        <f t="shared" si="24"/>
        <v>0.83333333333333337</v>
      </c>
      <c r="Q166" s="445" t="s">
        <v>52</v>
      </c>
      <c r="R166" s="391">
        <v>6</v>
      </c>
      <c r="S166" s="362">
        <f t="shared" si="23"/>
        <v>6</v>
      </c>
      <c r="T166" s="368">
        <v>6</v>
      </c>
      <c r="U166" s="368"/>
      <c r="V166" s="368"/>
      <c r="W166" s="368"/>
      <c r="X166" s="364">
        <f t="shared" si="20"/>
        <v>1</v>
      </c>
      <c r="Y166" s="393"/>
      <c r="Z166" s="498">
        <f t="shared" si="21"/>
        <v>0</v>
      </c>
      <c r="AA166" s="368"/>
      <c r="AB166" s="368"/>
      <c r="AC166" s="368"/>
      <c r="AD166" s="368"/>
      <c r="AE166" s="365">
        <f t="shared" si="22"/>
        <v>0</v>
      </c>
      <c r="AF166" s="262"/>
      <c r="AG166" s="457"/>
      <c r="AH166" s="264"/>
    </row>
    <row r="167" spans="1:34" ht="15.75" thickBot="1" x14ac:dyDescent="0.3">
      <c r="A167" s="446" t="s">
        <v>305</v>
      </c>
      <c r="B167" s="447"/>
      <c r="C167" s="463" t="s">
        <v>445</v>
      </c>
      <c r="D167" s="449" t="s">
        <v>261</v>
      </c>
      <c r="E167" s="262"/>
      <c r="F167" s="447" t="s">
        <v>589</v>
      </c>
      <c r="G167" s="387" t="str">
        <f>VLOOKUP(A167,'Feature Summary'!$A$7:$C$3944,3,FALSE)</f>
        <v>P2</v>
      </c>
      <c r="H167" s="447" t="s">
        <v>590</v>
      </c>
      <c r="I167" s="488" t="s">
        <v>264</v>
      </c>
      <c r="J167" s="478" t="s">
        <v>320</v>
      </c>
      <c r="K167" s="263">
        <v>6</v>
      </c>
      <c r="L167" s="391">
        <v>6</v>
      </c>
      <c r="M167" s="399" t="s">
        <v>33</v>
      </c>
      <c r="N167" s="475">
        <v>1</v>
      </c>
      <c r="O167" s="391">
        <v>6</v>
      </c>
      <c r="P167" s="496">
        <f t="shared" si="24"/>
        <v>1</v>
      </c>
      <c r="Q167" s="445" t="s">
        <v>52</v>
      </c>
      <c r="R167" s="391">
        <v>6</v>
      </c>
      <c r="S167" s="362">
        <f t="shared" si="23"/>
        <v>6</v>
      </c>
      <c r="T167" s="368">
        <v>6</v>
      </c>
      <c r="U167" s="368"/>
      <c r="V167" s="368"/>
      <c r="W167" s="368"/>
      <c r="X167" s="364">
        <f t="shared" si="20"/>
        <v>1</v>
      </c>
      <c r="Y167" s="393"/>
      <c r="Z167" s="498">
        <f t="shared" si="21"/>
        <v>0</v>
      </c>
      <c r="AA167" s="368"/>
      <c r="AB167" s="368"/>
      <c r="AC167" s="368"/>
      <c r="AD167" s="368"/>
      <c r="AE167" s="365">
        <f t="shared" si="22"/>
        <v>0</v>
      </c>
      <c r="AF167" s="262"/>
      <c r="AG167" s="457"/>
      <c r="AH167" s="264"/>
    </row>
    <row r="168" spans="1:34" ht="15.75" thickBot="1" x14ac:dyDescent="0.3">
      <c r="A168" s="446" t="s">
        <v>305</v>
      </c>
      <c r="B168" s="447"/>
      <c r="C168" s="463" t="s">
        <v>445</v>
      </c>
      <c r="D168" s="449" t="s">
        <v>261</v>
      </c>
      <c r="E168" s="262"/>
      <c r="F168" s="447" t="s">
        <v>591</v>
      </c>
      <c r="G168" s="387" t="str">
        <f>VLOOKUP(A168,'Feature Summary'!$A$7:$C$3944,3,FALSE)</f>
        <v>P2</v>
      </c>
      <c r="H168" s="447" t="s">
        <v>592</v>
      </c>
      <c r="I168" s="488" t="s">
        <v>264</v>
      </c>
      <c r="J168" s="478" t="s">
        <v>281</v>
      </c>
      <c r="K168" s="263">
        <v>6</v>
      </c>
      <c r="L168" s="391">
        <v>6</v>
      </c>
      <c r="M168" s="399" t="s">
        <v>33</v>
      </c>
      <c r="N168" s="475">
        <v>1</v>
      </c>
      <c r="O168" s="391">
        <v>6</v>
      </c>
      <c r="P168" s="496">
        <f t="shared" si="24"/>
        <v>1</v>
      </c>
      <c r="Q168" s="445" t="s">
        <v>52</v>
      </c>
      <c r="R168" s="391">
        <v>6</v>
      </c>
      <c r="S168" s="362">
        <f t="shared" si="23"/>
        <v>6</v>
      </c>
      <c r="T168" s="368">
        <v>6</v>
      </c>
      <c r="U168" s="368"/>
      <c r="V168" s="368"/>
      <c r="W168" s="368"/>
      <c r="X168" s="364">
        <f t="shared" si="20"/>
        <v>1</v>
      </c>
      <c r="Y168" s="393"/>
      <c r="Z168" s="498">
        <f t="shared" si="21"/>
        <v>0</v>
      </c>
      <c r="AA168" s="368"/>
      <c r="AB168" s="368"/>
      <c r="AC168" s="368"/>
      <c r="AD168" s="368"/>
      <c r="AE168" s="365">
        <f t="shared" si="22"/>
        <v>0</v>
      </c>
      <c r="AF168" s="262"/>
      <c r="AG168" s="457"/>
      <c r="AH168" s="264"/>
    </row>
    <row r="169" spans="1:34" ht="15.75" thickBot="1" x14ac:dyDescent="0.3">
      <c r="A169" s="446" t="s">
        <v>305</v>
      </c>
      <c r="B169" s="447"/>
      <c r="C169" s="463" t="s">
        <v>445</v>
      </c>
      <c r="D169" s="449" t="s">
        <v>261</v>
      </c>
      <c r="E169" s="262"/>
      <c r="F169" s="447" t="s">
        <v>593</v>
      </c>
      <c r="G169" s="387" t="str">
        <f>VLOOKUP(A169,'Feature Summary'!$A$7:$C$3944,3,FALSE)</f>
        <v>P2</v>
      </c>
      <c r="H169" s="447" t="s">
        <v>594</v>
      </c>
      <c r="I169" s="488" t="s">
        <v>264</v>
      </c>
      <c r="J169" s="478" t="s">
        <v>281</v>
      </c>
      <c r="K169" s="263">
        <v>6</v>
      </c>
      <c r="L169" s="391">
        <v>6</v>
      </c>
      <c r="M169" s="399" t="s">
        <v>33</v>
      </c>
      <c r="N169" s="475">
        <v>1</v>
      </c>
      <c r="O169" s="391">
        <v>6</v>
      </c>
      <c r="P169" s="496">
        <f t="shared" si="24"/>
        <v>1</v>
      </c>
      <c r="Q169" s="445" t="s">
        <v>52</v>
      </c>
      <c r="R169" s="391">
        <v>6</v>
      </c>
      <c r="S169" s="362">
        <f t="shared" si="23"/>
        <v>6</v>
      </c>
      <c r="T169" s="368">
        <v>6</v>
      </c>
      <c r="U169" s="368"/>
      <c r="V169" s="368"/>
      <c r="W169" s="368"/>
      <c r="X169" s="364">
        <f t="shared" si="20"/>
        <v>1</v>
      </c>
      <c r="Y169" s="393"/>
      <c r="Z169" s="498">
        <f t="shared" si="21"/>
        <v>0</v>
      </c>
      <c r="AA169" s="368"/>
      <c r="AB169" s="368"/>
      <c r="AC169" s="368"/>
      <c r="AD169" s="368"/>
      <c r="AE169" s="365">
        <f t="shared" si="22"/>
        <v>0</v>
      </c>
      <c r="AF169" s="262"/>
      <c r="AG169" s="457"/>
      <c r="AH169" s="264"/>
    </row>
    <row r="170" spans="1:34" ht="30.75" thickBot="1" x14ac:dyDescent="0.3">
      <c r="A170" s="446" t="s">
        <v>595</v>
      </c>
      <c r="B170" s="463" t="s">
        <v>596</v>
      </c>
      <c r="C170" s="463" t="s">
        <v>445</v>
      </c>
      <c r="D170" s="449" t="s">
        <v>261</v>
      </c>
      <c r="E170" s="262"/>
      <c r="F170" s="447" t="s">
        <v>597</v>
      </c>
      <c r="G170" s="387" t="str">
        <f>VLOOKUP(A170,'Feature Summary'!$A$7:$C$3944,3,FALSE)</f>
        <v>P2</v>
      </c>
      <c r="H170" s="447" t="s">
        <v>598</v>
      </c>
      <c r="I170" s="488" t="s">
        <v>264</v>
      </c>
      <c r="J170" s="447" t="s">
        <v>450</v>
      </c>
      <c r="K170" s="263">
        <v>4</v>
      </c>
      <c r="L170" s="391">
        <v>4</v>
      </c>
      <c r="M170" s="399" t="s">
        <v>33</v>
      </c>
      <c r="N170" s="475">
        <v>1</v>
      </c>
      <c r="O170" s="391">
        <v>4</v>
      </c>
      <c r="P170" s="496">
        <f t="shared" si="24"/>
        <v>1</v>
      </c>
      <c r="Q170" s="445" t="s">
        <v>52</v>
      </c>
      <c r="R170" s="391">
        <v>4</v>
      </c>
      <c r="S170" s="362">
        <f t="shared" si="23"/>
        <v>4</v>
      </c>
      <c r="T170" s="368">
        <v>4</v>
      </c>
      <c r="U170" s="368"/>
      <c r="V170" s="368"/>
      <c r="W170" s="368"/>
      <c r="X170" s="364">
        <f t="shared" si="20"/>
        <v>1</v>
      </c>
      <c r="Y170" s="393"/>
      <c r="Z170" s="498">
        <f t="shared" si="21"/>
        <v>0</v>
      </c>
      <c r="AA170" s="368"/>
      <c r="AB170" s="368"/>
      <c r="AC170" s="368"/>
      <c r="AD170" s="368"/>
      <c r="AE170" s="365">
        <f t="shared" si="22"/>
        <v>0</v>
      </c>
      <c r="AF170" s="262"/>
      <c r="AG170" s="457"/>
      <c r="AH170" s="264"/>
    </row>
    <row r="171" spans="1:34" ht="30.75" thickBot="1" x14ac:dyDescent="0.3">
      <c r="A171" s="474"/>
      <c r="B171" s="463" t="s">
        <v>596</v>
      </c>
      <c r="C171" s="463" t="s">
        <v>445</v>
      </c>
      <c r="D171" s="449" t="s">
        <v>261</v>
      </c>
      <c r="E171" s="262"/>
      <c r="F171" s="447" t="s">
        <v>597</v>
      </c>
      <c r="G171" s="387" t="e">
        <f>VLOOKUP(A171,'Feature Summary'!$A$7:$C$3944,3,FALSE)</f>
        <v>#N/A</v>
      </c>
      <c r="H171" s="447" t="s">
        <v>599</v>
      </c>
      <c r="I171" s="488" t="s">
        <v>264</v>
      </c>
      <c r="J171" s="447" t="s">
        <v>450</v>
      </c>
      <c r="K171" s="263">
        <v>4</v>
      </c>
      <c r="L171" s="391">
        <v>4</v>
      </c>
      <c r="M171" s="399" t="s">
        <v>33</v>
      </c>
      <c r="N171" s="475">
        <v>1</v>
      </c>
      <c r="O171" s="391">
        <v>4</v>
      </c>
      <c r="P171" s="496">
        <f t="shared" si="24"/>
        <v>1</v>
      </c>
      <c r="Q171" s="445" t="s">
        <v>52</v>
      </c>
      <c r="R171" s="391">
        <v>4</v>
      </c>
      <c r="S171" s="362">
        <f t="shared" si="23"/>
        <v>4</v>
      </c>
      <c r="T171" s="368">
        <v>4</v>
      </c>
      <c r="U171" s="368"/>
      <c r="V171" s="368"/>
      <c r="W171" s="368"/>
      <c r="X171" s="364">
        <f t="shared" si="20"/>
        <v>1</v>
      </c>
      <c r="Y171" s="393"/>
      <c r="Z171" s="498">
        <f t="shared" si="21"/>
        <v>0</v>
      </c>
      <c r="AA171" s="368"/>
      <c r="AB171" s="368"/>
      <c r="AC171" s="368"/>
      <c r="AD171" s="368"/>
      <c r="AE171" s="365">
        <f t="shared" si="22"/>
        <v>0</v>
      </c>
      <c r="AF171" s="262"/>
      <c r="AG171" s="457"/>
      <c r="AH171" s="264"/>
    </row>
    <row r="172" spans="1:34" ht="30.75" thickBot="1" x14ac:dyDescent="0.3">
      <c r="A172" s="474"/>
      <c r="B172" s="463" t="s">
        <v>596</v>
      </c>
      <c r="C172" s="463" t="s">
        <v>445</v>
      </c>
      <c r="D172" s="449" t="s">
        <v>261</v>
      </c>
      <c r="E172" s="262"/>
      <c r="F172" s="447" t="s">
        <v>597</v>
      </c>
      <c r="G172" s="387" t="e">
        <f>VLOOKUP(A172,'Feature Summary'!$A$7:$C$3944,3,FALSE)</f>
        <v>#N/A</v>
      </c>
      <c r="H172" s="447" t="s">
        <v>600</v>
      </c>
      <c r="I172" s="488" t="s">
        <v>264</v>
      </c>
      <c r="J172" s="447" t="s">
        <v>450</v>
      </c>
      <c r="K172" s="263">
        <v>16</v>
      </c>
      <c r="L172" s="391">
        <v>16</v>
      </c>
      <c r="M172" s="399" t="s">
        <v>33</v>
      </c>
      <c r="N172" s="475">
        <v>1</v>
      </c>
      <c r="O172" s="391">
        <v>0</v>
      </c>
      <c r="P172" s="496">
        <f t="shared" si="24"/>
        <v>0</v>
      </c>
      <c r="Q172" s="445" t="s">
        <v>52</v>
      </c>
      <c r="R172" s="391">
        <v>16</v>
      </c>
      <c r="S172" s="362">
        <f t="shared" si="23"/>
        <v>16</v>
      </c>
      <c r="T172" s="368">
        <v>16</v>
      </c>
      <c r="U172" s="368"/>
      <c r="V172" s="368"/>
      <c r="W172" s="368"/>
      <c r="X172" s="364">
        <f t="shared" si="20"/>
        <v>1</v>
      </c>
      <c r="Y172" s="393"/>
      <c r="Z172" s="498">
        <f t="shared" si="21"/>
        <v>0</v>
      </c>
      <c r="AA172" s="368"/>
      <c r="AB172" s="368"/>
      <c r="AC172" s="368"/>
      <c r="AD172" s="368"/>
      <c r="AE172" s="365">
        <f t="shared" si="22"/>
        <v>0</v>
      </c>
      <c r="AF172" s="558"/>
      <c r="AG172" s="457"/>
      <c r="AH172" s="264"/>
    </row>
    <row r="173" spans="1:34" ht="45.75" thickBot="1" x14ac:dyDescent="0.3">
      <c r="A173" s="474" t="s">
        <v>601</v>
      </c>
      <c r="B173" s="463" t="s">
        <v>596</v>
      </c>
      <c r="C173" s="463" t="s">
        <v>445</v>
      </c>
      <c r="D173" s="449" t="s">
        <v>261</v>
      </c>
      <c r="E173" s="262"/>
      <c r="F173" s="447" t="s">
        <v>602</v>
      </c>
      <c r="G173" s="387" t="e">
        <f>VLOOKUP(A173,'Feature Summary'!$A$7:$C$3944,3,FALSE)</f>
        <v>#N/A</v>
      </c>
      <c r="H173" s="447" t="s">
        <v>603</v>
      </c>
      <c r="I173" s="488" t="s">
        <v>264</v>
      </c>
      <c r="J173" s="448" t="s">
        <v>450</v>
      </c>
      <c r="K173" s="263">
        <v>4</v>
      </c>
      <c r="L173" s="391">
        <v>4</v>
      </c>
      <c r="M173" s="399" t="s">
        <v>33</v>
      </c>
      <c r="N173" s="475">
        <v>1</v>
      </c>
      <c r="O173" s="391">
        <v>4</v>
      </c>
      <c r="P173" s="496">
        <f t="shared" si="24"/>
        <v>1</v>
      </c>
      <c r="Q173" s="445" t="s">
        <v>52</v>
      </c>
      <c r="R173" s="391">
        <v>4</v>
      </c>
      <c r="S173" s="362">
        <f t="shared" si="23"/>
        <v>4</v>
      </c>
      <c r="T173" s="368">
        <v>4</v>
      </c>
      <c r="U173" s="368"/>
      <c r="V173" s="368"/>
      <c r="W173" s="368"/>
      <c r="X173" s="364">
        <f t="shared" si="20"/>
        <v>1</v>
      </c>
      <c r="Y173" s="393"/>
      <c r="Z173" s="498">
        <f t="shared" si="21"/>
        <v>0</v>
      </c>
      <c r="AA173" s="368"/>
      <c r="AB173" s="368"/>
      <c r="AC173" s="368"/>
      <c r="AD173" s="368"/>
      <c r="AE173" s="365">
        <f t="shared" si="22"/>
        <v>0</v>
      </c>
      <c r="AF173" s="558"/>
      <c r="AG173" s="457"/>
      <c r="AH173" s="264"/>
    </row>
    <row r="174" spans="1:34" ht="30.75" thickBot="1" x14ac:dyDescent="0.3">
      <c r="A174" s="474" t="s">
        <v>604</v>
      </c>
      <c r="B174" s="463" t="s">
        <v>596</v>
      </c>
      <c r="C174" s="463" t="s">
        <v>445</v>
      </c>
      <c r="D174" s="449" t="s">
        <v>261</v>
      </c>
      <c r="E174" s="262"/>
      <c r="F174" s="447" t="s">
        <v>602</v>
      </c>
      <c r="G174" s="387" t="e">
        <f>VLOOKUP(A174,'Feature Summary'!$A$7:$C$3944,3,FALSE)</f>
        <v>#N/A</v>
      </c>
      <c r="H174" s="447" t="s">
        <v>605</v>
      </c>
      <c r="I174" s="488" t="s">
        <v>264</v>
      </c>
      <c r="J174" s="448" t="s">
        <v>606</v>
      </c>
      <c r="K174" s="263">
        <v>2</v>
      </c>
      <c r="L174" s="391">
        <v>2</v>
      </c>
      <c r="M174" s="399" t="s">
        <v>33</v>
      </c>
      <c r="N174" s="475">
        <v>1</v>
      </c>
      <c r="O174" s="391">
        <v>2</v>
      </c>
      <c r="P174" s="496">
        <f t="shared" si="24"/>
        <v>1</v>
      </c>
      <c r="Q174" s="445" t="s">
        <v>52</v>
      </c>
      <c r="R174" s="391">
        <v>2</v>
      </c>
      <c r="S174" s="362">
        <f t="shared" si="23"/>
        <v>2</v>
      </c>
      <c r="T174" s="368">
        <v>2</v>
      </c>
      <c r="U174" s="368"/>
      <c r="V174" s="368"/>
      <c r="W174" s="368"/>
      <c r="X174" s="364">
        <f t="shared" si="20"/>
        <v>1</v>
      </c>
      <c r="Y174" s="393"/>
      <c r="Z174" s="498">
        <f t="shared" si="21"/>
        <v>0</v>
      </c>
      <c r="AA174" s="368"/>
      <c r="AB174" s="368"/>
      <c r="AC174" s="368"/>
      <c r="AD174" s="368"/>
      <c r="AE174" s="365">
        <f t="shared" si="22"/>
        <v>0</v>
      </c>
      <c r="AF174" s="558"/>
      <c r="AG174" s="457"/>
      <c r="AH174" s="264"/>
    </row>
    <row r="175" spans="1:34" ht="30.75" thickBot="1" x14ac:dyDescent="0.3">
      <c r="A175" s="474"/>
      <c r="B175" s="463" t="s">
        <v>596</v>
      </c>
      <c r="C175" s="463"/>
      <c r="D175" s="449" t="s">
        <v>261</v>
      </c>
      <c r="E175" s="262"/>
      <c r="F175" s="447" t="s">
        <v>602</v>
      </c>
      <c r="G175" s="387" t="e">
        <f>VLOOKUP(A175,'Feature Summary'!$A$7:$C$3944,3,FALSE)</f>
        <v>#N/A</v>
      </c>
      <c r="H175" s="447" t="s">
        <v>607</v>
      </c>
      <c r="I175" s="447"/>
      <c r="J175" s="448" t="s">
        <v>328</v>
      </c>
      <c r="K175" s="263"/>
      <c r="L175" s="391"/>
      <c r="M175" s="399" t="s">
        <v>33</v>
      </c>
      <c r="N175" s="475">
        <v>1</v>
      </c>
      <c r="O175" s="391"/>
      <c r="P175" s="496">
        <f t="shared" si="24"/>
        <v>0</v>
      </c>
      <c r="Q175" s="445" t="s">
        <v>52</v>
      </c>
      <c r="R175" s="391"/>
      <c r="S175" s="362">
        <f t="shared" si="23"/>
        <v>0</v>
      </c>
      <c r="T175" s="368"/>
      <c r="U175" s="368"/>
      <c r="V175" s="368"/>
      <c r="W175" s="368"/>
      <c r="X175" s="364">
        <f t="shared" si="20"/>
        <v>0</v>
      </c>
      <c r="Y175" s="393"/>
      <c r="Z175" s="498">
        <f t="shared" si="21"/>
        <v>0</v>
      </c>
      <c r="AA175" s="368"/>
      <c r="AB175" s="368"/>
      <c r="AC175" s="368"/>
      <c r="AD175" s="368"/>
      <c r="AE175" s="365">
        <f t="shared" si="22"/>
        <v>0</v>
      </c>
      <c r="AF175" s="558"/>
      <c r="AG175" s="457"/>
      <c r="AH175" s="264"/>
    </row>
    <row r="176" spans="1:34" ht="30.75" thickBot="1" x14ac:dyDescent="0.3">
      <c r="A176" s="474"/>
      <c r="B176" s="463" t="s">
        <v>596</v>
      </c>
      <c r="C176" s="463"/>
      <c r="D176" s="449" t="s">
        <v>261</v>
      </c>
      <c r="E176" s="262"/>
      <c r="F176" s="447" t="s">
        <v>608</v>
      </c>
      <c r="G176" s="387" t="e">
        <f>VLOOKUP(A176,'Feature Summary'!$A$7:$C$3944,3,FALSE)</f>
        <v>#N/A</v>
      </c>
      <c r="H176" s="447" t="s">
        <v>609</v>
      </c>
      <c r="I176" s="447"/>
      <c r="J176" s="448" t="s">
        <v>610</v>
      </c>
      <c r="K176" s="263"/>
      <c r="L176" s="391"/>
      <c r="M176" s="399" t="s">
        <v>33</v>
      </c>
      <c r="N176" s="475">
        <v>1</v>
      </c>
      <c r="O176" s="391"/>
      <c r="P176" s="496">
        <f t="shared" si="24"/>
        <v>0</v>
      </c>
      <c r="Q176" s="445" t="s">
        <v>52</v>
      </c>
      <c r="R176" s="391"/>
      <c r="S176" s="362">
        <f t="shared" si="23"/>
        <v>0</v>
      </c>
      <c r="T176" s="368"/>
      <c r="U176" s="368"/>
      <c r="V176" s="368"/>
      <c r="W176" s="368"/>
      <c r="X176" s="364">
        <f t="shared" si="20"/>
        <v>0</v>
      </c>
      <c r="Y176" s="393"/>
      <c r="Z176" s="498">
        <f t="shared" si="21"/>
        <v>0</v>
      </c>
      <c r="AA176" s="368"/>
      <c r="AB176" s="368"/>
      <c r="AC176" s="368"/>
      <c r="AD176" s="368"/>
      <c r="AE176" s="365">
        <f t="shared" si="22"/>
        <v>0</v>
      </c>
      <c r="AF176" s="558"/>
      <c r="AG176" s="457"/>
      <c r="AH176" s="264"/>
    </row>
    <row r="177" spans="1:34" ht="30.75" thickBot="1" x14ac:dyDescent="0.3">
      <c r="A177" s="474"/>
      <c r="B177" s="463" t="s">
        <v>596</v>
      </c>
      <c r="C177" s="463"/>
      <c r="D177" s="449" t="s">
        <v>261</v>
      </c>
      <c r="E177" s="262"/>
      <c r="F177" s="447" t="s">
        <v>602</v>
      </c>
      <c r="G177" s="387" t="e">
        <f>VLOOKUP(A177,'Feature Summary'!$A$7:$C$3944,3,FALSE)</f>
        <v>#N/A</v>
      </c>
      <c r="H177" s="447" t="s">
        <v>611</v>
      </c>
      <c r="I177" s="447"/>
      <c r="J177" s="448" t="s">
        <v>297</v>
      </c>
      <c r="K177" s="263"/>
      <c r="L177" s="391"/>
      <c r="M177" s="399" t="s">
        <v>33</v>
      </c>
      <c r="N177" s="475">
        <v>1</v>
      </c>
      <c r="O177" s="391"/>
      <c r="P177" s="496">
        <f t="shared" si="24"/>
        <v>0</v>
      </c>
      <c r="Q177" s="445" t="s">
        <v>52</v>
      </c>
      <c r="R177" s="391"/>
      <c r="S177" s="362">
        <f t="shared" si="23"/>
        <v>0</v>
      </c>
      <c r="T177" s="368"/>
      <c r="U177" s="368"/>
      <c r="V177" s="368"/>
      <c r="W177" s="368"/>
      <c r="X177" s="364">
        <f t="shared" si="20"/>
        <v>0</v>
      </c>
      <c r="Y177" s="393"/>
      <c r="Z177" s="498">
        <f t="shared" si="21"/>
        <v>0</v>
      </c>
      <c r="AA177" s="368"/>
      <c r="AB177" s="368"/>
      <c r="AC177" s="368"/>
      <c r="AD177" s="368"/>
      <c r="AE177" s="365">
        <f t="shared" si="22"/>
        <v>0</v>
      </c>
      <c r="AF177" s="558"/>
      <c r="AG177" s="457"/>
      <c r="AH177" s="264"/>
    </row>
    <row r="178" spans="1:34" ht="30.75" thickBot="1" x14ac:dyDescent="0.3">
      <c r="A178" s="474"/>
      <c r="B178" s="463" t="s">
        <v>596</v>
      </c>
      <c r="C178" s="463"/>
      <c r="D178" s="449" t="s">
        <v>261</v>
      </c>
      <c r="E178" s="262"/>
      <c r="F178" s="447" t="s">
        <v>608</v>
      </c>
      <c r="G178" s="387" t="e">
        <f>VLOOKUP(A178,'Feature Summary'!$A$7:$C$3944,3,FALSE)</f>
        <v>#N/A</v>
      </c>
      <c r="H178" s="447" t="s">
        <v>612</v>
      </c>
      <c r="I178" s="447"/>
      <c r="J178" s="448" t="s">
        <v>613</v>
      </c>
      <c r="K178" s="263"/>
      <c r="L178" s="391"/>
      <c r="M178" s="399" t="s">
        <v>33</v>
      </c>
      <c r="N178" s="475">
        <v>1</v>
      </c>
      <c r="O178" s="391"/>
      <c r="P178" s="496">
        <f t="shared" si="24"/>
        <v>0</v>
      </c>
      <c r="Q178" s="445" t="s">
        <v>52</v>
      </c>
      <c r="R178" s="391"/>
      <c r="S178" s="362">
        <f t="shared" si="23"/>
        <v>0</v>
      </c>
      <c r="T178" s="368"/>
      <c r="U178" s="368"/>
      <c r="V178" s="368"/>
      <c r="W178" s="368"/>
      <c r="X178" s="364">
        <f t="shared" si="20"/>
        <v>0</v>
      </c>
      <c r="Y178" s="393"/>
      <c r="Z178" s="498">
        <f t="shared" si="21"/>
        <v>0</v>
      </c>
      <c r="AA178" s="368"/>
      <c r="AB178" s="368"/>
      <c r="AC178" s="368"/>
      <c r="AD178" s="368"/>
      <c r="AE178" s="365">
        <f t="shared" si="22"/>
        <v>0</v>
      </c>
      <c r="AF178" s="558"/>
      <c r="AG178" s="457"/>
      <c r="AH178" s="264"/>
    </row>
    <row r="179" spans="1:34" ht="30.75" thickBot="1" x14ac:dyDescent="0.3">
      <c r="A179" s="474" t="s">
        <v>604</v>
      </c>
      <c r="B179" s="463" t="s">
        <v>596</v>
      </c>
      <c r="C179" s="463" t="s">
        <v>445</v>
      </c>
      <c r="D179" s="449" t="s">
        <v>261</v>
      </c>
      <c r="E179" s="262"/>
      <c r="F179" s="447" t="s">
        <v>608</v>
      </c>
      <c r="G179" s="387" t="e">
        <f>VLOOKUP(A179,'Feature Summary'!$A$7:$C$3944,3,FALSE)</f>
        <v>#N/A</v>
      </c>
      <c r="H179" s="447" t="s">
        <v>614</v>
      </c>
      <c r="I179" s="488" t="s">
        <v>264</v>
      </c>
      <c r="J179" s="448" t="s">
        <v>615</v>
      </c>
      <c r="K179" s="263">
        <v>1</v>
      </c>
      <c r="L179" s="391">
        <v>2</v>
      </c>
      <c r="M179" s="399" t="s">
        <v>33</v>
      </c>
      <c r="N179" s="475">
        <v>1</v>
      </c>
      <c r="O179" s="391">
        <v>2</v>
      </c>
      <c r="P179" s="496">
        <f t="shared" ref="P179" si="25">IF((O179=0),0,(O179/L179))</f>
        <v>1</v>
      </c>
      <c r="Q179" s="445" t="s">
        <v>52</v>
      </c>
      <c r="R179" s="391">
        <v>2</v>
      </c>
      <c r="S179" s="362">
        <f t="shared" ref="S179" si="26">SUM(T179:W179)</f>
        <v>2</v>
      </c>
      <c r="T179" s="368">
        <v>2</v>
      </c>
      <c r="U179" s="368"/>
      <c r="V179" s="368"/>
      <c r="W179" s="368"/>
      <c r="X179" s="364">
        <f t="shared" ref="X179" si="27">IF((S179=0),0,((T179+U179)/S179*100%))</f>
        <v>1</v>
      </c>
      <c r="Y179" s="393"/>
      <c r="Z179" s="498">
        <f t="shared" si="21"/>
        <v>0</v>
      </c>
      <c r="AA179" s="368"/>
      <c r="AB179" s="368"/>
      <c r="AC179" s="368"/>
      <c r="AD179" s="368"/>
      <c r="AE179" s="365">
        <f t="shared" si="22"/>
        <v>0</v>
      </c>
      <c r="AF179" s="558"/>
      <c r="AG179" s="457"/>
      <c r="AH179" s="264"/>
    </row>
    <row r="180" spans="1:34" ht="30.75" thickBot="1" x14ac:dyDescent="0.3">
      <c r="A180" s="474" t="s">
        <v>616</v>
      </c>
      <c r="B180" s="463" t="s">
        <v>596</v>
      </c>
      <c r="C180" s="463" t="s">
        <v>445</v>
      </c>
      <c r="D180" s="449" t="s">
        <v>261</v>
      </c>
      <c r="E180" s="262"/>
      <c r="F180" s="447" t="s">
        <v>617</v>
      </c>
      <c r="G180" s="387" t="str">
        <f>VLOOKUP(A180,'Feature Summary'!$A$7:$C$3944,3,FALSE)</f>
        <v>P2</v>
      </c>
      <c r="H180" s="447" t="s">
        <v>618</v>
      </c>
      <c r="I180" s="488" t="s">
        <v>264</v>
      </c>
      <c r="J180" s="448" t="s">
        <v>320</v>
      </c>
      <c r="K180" s="263">
        <v>1</v>
      </c>
      <c r="L180" s="391">
        <v>1</v>
      </c>
      <c r="M180" s="399" t="s">
        <v>33</v>
      </c>
      <c r="N180" s="475">
        <v>1</v>
      </c>
      <c r="O180" s="391">
        <v>1</v>
      </c>
      <c r="P180" s="496">
        <f t="shared" si="24"/>
        <v>1</v>
      </c>
      <c r="Q180" s="445" t="s">
        <v>52</v>
      </c>
      <c r="R180" s="391">
        <v>1</v>
      </c>
      <c r="S180" s="362">
        <f t="shared" si="23"/>
        <v>1</v>
      </c>
      <c r="T180" s="368">
        <v>1</v>
      </c>
      <c r="U180" s="368"/>
      <c r="V180" s="368"/>
      <c r="W180" s="368"/>
      <c r="X180" s="364">
        <f t="shared" si="20"/>
        <v>1</v>
      </c>
      <c r="Y180" s="393"/>
      <c r="Z180" s="498">
        <f t="shared" si="21"/>
        <v>0</v>
      </c>
      <c r="AA180" s="368"/>
      <c r="AB180" s="368"/>
      <c r="AC180" s="368"/>
      <c r="AD180" s="368"/>
      <c r="AE180" s="365">
        <f t="shared" si="22"/>
        <v>0</v>
      </c>
      <c r="AF180" s="262"/>
      <c r="AG180" s="457"/>
      <c r="AH180" s="264"/>
    </row>
    <row r="181" spans="1:34" ht="30.75" thickBot="1" x14ac:dyDescent="0.3">
      <c r="A181" s="474" t="s">
        <v>616</v>
      </c>
      <c r="B181" s="463" t="s">
        <v>596</v>
      </c>
      <c r="C181" s="463" t="s">
        <v>445</v>
      </c>
      <c r="D181" s="449" t="s">
        <v>261</v>
      </c>
      <c r="E181" s="262"/>
      <c r="F181" s="447" t="s">
        <v>619</v>
      </c>
      <c r="G181" s="387" t="str">
        <f>VLOOKUP(A181,'Feature Summary'!$A$7:$C$3944,3,FALSE)</f>
        <v>P2</v>
      </c>
      <c r="H181" s="447" t="s">
        <v>620</v>
      </c>
      <c r="I181" s="488" t="s">
        <v>264</v>
      </c>
      <c r="J181" s="448" t="s">
        <v>320</v>
      </c>
      <c r="K181" s="263">
        <v>1</v>
      </c>
      <c r="L181" s="391">
        <v>1</v>
      </c>
      <c r="M181" s="399" t="s">
        <v>33</v>
      </c>
      <c r="N181" s="475">
        <v>1</v>
      </c>
      <c r="O181" s="391">
        <v>1</v>
      </c>
      <c r="P181" s="496">
        <f t="shared" si="24"/>
        <v>1</v>
      </c>
      <c r="Q181" s="445" t="s">
        <v>52</v>
      </c>
      <c r="R181" s="391">
        <v>1</v>
      </c>
      <c r="S181" s="362">
        <f t="shared" si="23"/>
        <v>1</v>
      </c>
      <c r="T181" s="368">
        <v>1</v>
      </c>
      <c r="U181" s="368"/>
      <c r="V181" s="368"/>
      <c r="W181" s="368"/>
      <c r="X181" s="364">
        <f t="shared" si="20"/>
        <v>1</v>
      </c>
      <c r="Y181" s="393"/>
      <c r="Z181" s="498">
        <f t="shared" si="21"/>
        <v>0</v>
      </c>
      <c r="AA181" s="368"/>
      <c r="AB181" s="368"/>
      <c r="AC181" s="368"/>
      <c r="AD181" s="368"/>
      <c r="AE181" s="365">
        <f t="shared" si="22"/>
        <v>0</v>
      </c>
      <c r="AF181" s="262"/>
      <c r="AG181" s="457"/>
      <c r="AH181" s="264"/>
    </row>
    <row r="182" spans="1:34" ht="30.75" thickBot="1" x14ac:dyDescent="0.3">
      <c r="A182" s="474"/>
      <c r="B182" s="463" t="s">
        <v>596</v>
      </c>
      <c r="C182" s="463"/>
      <c r="D182" s="449" t="s">
        <v>261</v>
      </c>
      <c r="E182" s="262"/>
      <c r="F182" s="447" t="s">
        <v>617</v>
      </c>
      <c r="G182" s="387" t="e">
        <f>VLOOKUP(A182,'Feature Summary'!$A$7:$C$3944,3,FALSE)</f>
        <v>#N/A</v>
      </c>
      <c r="H182" s="447" t="s">
        <v>621</v>
      </c>
      <c r="I182" s="447"/>
      <c r="J182" s="448" t="s">
        <v>328</v>
      </c>
      <c r="K182" s="263"/>
      <c r="L182" s="391"/>
      <c r="M182" s="399" t="s">
        <v>33</v>
      </c>
      <c r="N182" s="475">
        <v>1</v>
      </c>
      <c r="O182" s="391"/>
      <c r="P182" s="496">
        <f t="shared" si="24"/>
        <v>0</v>
      </c>
      <c r="Q182" s="445" t="s">
        <v>52</v>
      </c>
      <c r="R182" s="391"/>
      <c r="S182" s="362">
        <f t="shared" si="23"/>
        <v>0</v>
      </c>
      <c r="T182" s="368"/>
      <c r="U182" s="368"/>
      <c r="V182" s="368"/>
      <c r="W182" s="368"/>
      <c r="X182" s="364">
        <f t="shared" si="20"/>
        <v>0</v>
      </c>
      <c r="Y182" s="393"/>
      <c r="Z182" s="498">
        <f t="shared" si="21"/>
        <v>0</v>
      </c>
      <c r="AA182" s="368"/>
      <c r="AB182" s="368"/>
      <c r="AC182" s="368"/>
      <c r="AD182" s="368"/>
      <c r="AE182" s="365">
        <f t="shared" si="22"/>
        <v>0</v>
      </c>
      <c r="AF182" s="558"/>
      <c r="AG182" s="457"/>
      <c r="AH182" s="264"/>
    </row>
    <row r="183" spans="1:34" ht="30.75" thickBot="1" x14ac:dyDescent="0.3">
      <c r="A183" s="474"/>
      <c r="B183" s="463" t="s">
        <v>596</v>
      </c>
      <c r="C183" s="463"/>
      <c r="D183" s="449" t="s">
        <v>261</v>
      </c>
      <c r="E183" s="262"/>
      <c r="F183" s="447" t="s">
        <v>617</v>
      </c>
      <c r="G183" s="387" t="e">
        <f>VLOOKUP(A183,'Feature Summary'!$A$7:$C$3944,3,FALSE)</f>
        <v>#N/A</v>
      </c>
      <c r="H183" s="447" t="s">
        <v>622</v>
      </c>
      <c r="I183" s="447"/>
      <c r="J183" s="448" t="s">
        <v>297</v>
      </c>
      <c r="K183" s="263"/>
      <c r="L183" s="391"/>
      <c r="M183" s="399" t="s">
        <v>33</v>
      </c>
      <c r="N183" s="475">
        <v>1</v>
      </c>
      <c r="O183" s="391"/>
      <c r="P183" s="496">
        <f t="shared" si="24"/>
        <v>0</v>
      </c>
      <c r="Q183" s="445" t="s">
        <v>52</v>
      </c>
      <c r="R183" s="391"/>
      <c r="S183" s="362">
        <f t="shared" si="23"/>
        <v>0</v>
      </c>
      <c r="T183" s="368"/>
      <c r="U183" s="368"/>
      <c r="V183" s="368"/>
      <c r="W183" s="368"/>
      <c r="X183" s="364">
        <f t="shared" si="20"/>
        <v>0</v>
      </c>
      <c r="Y183" s="393"/>
      <c r="Z183" s="498">
        <f t="shared" si="21"/>
        <v>0</v>
      </c>
      <c r="AA183" s="368"/>
      <c r="AB183" s="368"/>
      <c r="AC183" s="368"/>
      <c r="AD183" s="368"/>
      <c r="AE183" s="365">
        <f t="shared" si="22"/>
        <v>0</v>
      </c>
      <c r="AF183" s="558"/>
      <c r="AG183" s="457"/>
      <c r="AH183" s="264"/>
    </row>
    <row r="184" spans="1:34" ht="30.75" thickBot="1" x14ac:dyDescent="0.3">
      <c r="A184" s="474"/>
      <c r="B184" s="463" t="s">
        <v>596</v>
      </c>
      <c r="C184" s="463"/>
      <c r="D184" s="449" t="s">
        <v>261</v>
      </c>
      <c r="E184" s="262"/>
      <c r="F184" s="447" t="s">
        <v>619</v>
      </c>
      <c r="G184" s="387" t="e">
        <f>VLOOKUP(A184,'Feature Summary'!$A$7:$C$3944,3,FALSE)</f>
        <v>#N/A</v>
      </c>
      <c r="H184" s="447" t="s">
        <v>623</v>
      </c>
      <c r="I184" s="447"/>
      <c r="J184" s="448" t="s">
        <v>328</v>
      </c>
      <c r="K184" s="263"/>
      <c r="L184" s="391"/>
      <c r="M184" s="399" t="s">
        <v>33</v>
      </c>
      <c r="N184" s="475">
        <v>1</v>
      </c>
      <c r="O184" s="391"/>
      <c r="P184" s="496">
        <f t="shared" si="24"/>
        <v>0</v>
      </c>
      <c r="Q184" s="445" t="s">
        <v>52</v>
      </c>
      <c r="R184" s="391"/>
      <c r="S184" s="362">
        <f t="shared" si="23"/>
        <v>0</v>
      </c>
      <c r="T184" s="368"/>
      <c r="U184" s="368"/>
      <c r="V184" s="368"/>
      <c r="W184" s="368"/>
      <c r="X184" s="364">
        <f t="shared" si="20"/>
        <v>0</v>
      </c>
      <c r="Y184" s="393"/>
      <c r="Z184" s="498">
        <f t="shared" si="21"/>
        <v>0</v>
      </c>
      <c r="AA184" s="368"/>
      <c r="AB184" s="368"/>
      <c r="AC184" s="368"/>
      <c r="AD184" s="368"/>
      <c r="AE184" s="365">
        <f t="shared" si="22"/>
        <v>0</v>
      </c>
      <c r="AF184" s="558"/>
      <c r="AG184" s="457"/>
      <c r="AH184" s="264"/>
    </row>
    <row r="185" spans="1:34" ht="30.75" thickBot="1" x14ac:dyDescent="0.3">
      <c r="A185" s="474"/>
      <c r="B185" s="463" t="s">
        <v>596</v>
      </c>
      <c r="C185" s="463"/>
      <c r="D185" s="449" t="s">
        <v>261</v>
      </c>
      <c r="E185" s="262"/>
      <c r="F185" s="447" t="s">
        <v>619</v>
      </c>
      <c r="G185" s="387" t="e">
        <f>VLOOKUP(A185,'Feature Summary'!$A$7:$C$3944,3,FALSE)</f>
        <v>#N/A</v>
      </c>
      <c r="H185" s="447" t="s">
        <v>624</v>
      </c>
      <c r="I185" s="447"/>
      <c r="J185" s="448" t="s">
        <v>328</v>
      </c>
      <c r="K185" s="263"/>
      <c r="L185" s="391"/>
      <c r="M185" s="399" t="s">
        <v>33</v>
      </c>
      <c r="N185" s="475">
        <v>1</v>
      </c>
      <c r="O185" s="391"/>
      <c r="P185" s="496">
        <f t="shared" si="24"/>
        <v>0</v>
      </c>
      <c r="Q185" s="445" t="s">
        <v>52</v>
      </c>
      <c r="R185" s="391"/>
      <c r="S185" s="362">
        <f t="shared" si="23"/>
        <v>0</v>
      </c>
      <c r="T185" s="368"/>
      <c r="U185" s="368"/>
      <c r="V185" s="368"/>
      <c r="W185" s="368"/>
      <c r="X185" s="364">
        <f t="shared" si="20"/>
        <v>0</v>
      </c>
      <c r="Y185" s="393"/>
      <c r="Z185" s="498">
        <f t="shared" si="21"/>
        <v>0</v>
      </c>
      <c r="AA185" s="368"/>
      <c r="AB185" s="368"/>
      <c r="AC185" s="368"/>
      <c r="AD185" s="368"/>
      <c r="AE185" s="365">
        <f t="shared" si="22"/>
        <v>0</v>
      </c>
      <c r="AF185" s="558"/>
      <c r="AG185" s="457"/>
      <c r="AH185" s="264"/>
    </row>
    <row r="186" spans="1:34" ht="15.75" thickBot="1" x14ac:dyDescent="0.3">
      <c r="A186" s="474"/>
      <c r="B186" s="463"/>
      <c r="C186" s="463" t="s">
        <v>445</v>
      </c>
      <c r="D186" s="449" t="s">
        <v>261</v>
      </c>
      <c r="E186" s="262"/>
      <c r="F186" s="447" t="s">
        <v>625</v>
      </c>
      <c r="G186" s="387" t="e">
        <f>VLOOKUP(A186,'Feature Summary'!$A$7:$C$3944,3,FALSE)</f>
        <v>#N/A</v>
      </c>
      <c r="H186" s="447" t="s">
        <v>626</v>
      </c>
      <c r="I186" s="488" t="s">
        <v>264</v>
      </c>
      <c r="J186" s="448" t="s">
        <v>320</v>
      </c>
      <c r="K186" s="263">
        <v>1</v>
      </c>
      <c r="L186" s="391">
        <v>2</v>
      </c>
      <c r="M186" s="399" t="s">
        <v>33</v>
      </c>
      <c r="N186" s="475">
        <v>1</v>
      </c>
      <c r="O186" s="391">
        <v>2</v>
      </c>
      <c r="P186" s="496">
        <f t="shared" si="24"/>
        <v>1</v>
      </c>
      <c r="Q186" s="445" t="s">
        <v>52</v>
      </c>
      <c r="R186" s="391">
        <v>2</v>
      </c>
      <c r="S186" s="362">
        <f t="shared" si="23"/>
        <v>2</v>
      </c>
      <c r="T186" s="368">
        <v>2</v>
      </c>
      <c r="U186" s="368"/>
      <c r="V186" s="368"/>
      <c r="W186" s="368"/>
      <c r="X186" s="364">
        <f t="shared" si="20"/>
        <v>1</v>
      </c>
      <c r="Y186" s="393"/>
      <c r="Z186" s="498">
        <f t="shared" si="21"/>
        <v>0</v>
      </c>
      <c r="AA186" s="368"/>
      <c r="AB186" s="368"/>
      <c r="AC186" s="368"/>
      <c r="AD186" s="368"/>
      <c r="AE186" s="365">
        <f t="shared" si="22"/>
        <v>0</v>
      </c>
      <c r="AF186" s="262"/>
      <c r="AG186" s="457"/>
      <c r="AH186" s="264"/>
    </row>
    <row r="187" spans="1:34" ht="15.75" thickBot="1" x14ac:dyDescent="0.3">
      <c r="A187" s="474"/>
      <c r="B187" s="463"/>
      <c r="C187" s="463" t="s">
        <v>445</v>
      </c>
      <c r="D187" s="449" t="s">
        <v>261</v>
      </c>
      <c r="E187" s="262"/>
      <c r="F187" s="447" t="s">
        <v>627</v>
      </c>
      <c r="G187" s="387" t="e">
        <f>VLOOKUP(A187,'Feature Summary'!$A$7:$C$3944,3,FALSE)</f>
        <v>#N/A</v>
      </c>
      <c r="H187" s="447" t="s">
        <v>628</v>
      </c>
      <c r="I187" s="488" t="s">
        <v>264</v>
      </c>
      <c r="J187" s="448" t="s">
        <v>320</v>
      </c>
      <c r="K187" s="263">
        <v>1</v>
      </c>
      <c r="L187" s="391">
        <v>2</v>
      </c>
      <c r="M187" s="399" t="s">
        <v>33</v>
      </c>
      <c r="N187" s="475">
        <v>1</v>
      </c>
      <c r="O187" s="391">
        <v>2</v>
      </c>
      <c r="P187" s="496">
        <f t="shared" si="24"/>
        <v>1</v>
      </c>
      <c r="Q187" s="445" t="s">
        <v>52</v>
      </c>
      <c r="R187" s="391">
        <v>2</v>
      </c>
      <c r="S187" s="362">
        <f t="shared" si="23"/>
        <v>2</v>
      </c>
      <c r="T187" s="368">
        <v>2</v>
      </c>
      <c r="U187" s="368"/>
      <c r="V187" s="368"/>
      <c r="W187" s="368"/>
      <c r="X187" s="364">
        <f t="shared" si="20"/>
        <v>1</v>
      </c>
      <c r="Y187" s="393"/>
      <c r="Z187" s="498">
        <f t="shared" si="21"/>
        <v>0</v>
      </c>
      <c r="AA187" s="368"/>
      <c r="AB187" s="368"/>
      <c r="AC187" s="368"/>
      <c r="AD187" s="368"/>
      <c r="AE187" s="365">
        <f t="shared" si="22"/>
        <v>0</v>
      </c>
      <c r="AF187" s="262"/>
      <c r="AG187" s="457"/>
      <c r="AH187" s="264"/>
    </row>
    <row r="188" spans="1:34" ht="15.75" thickBot="1" x14ac:dyDescent="0.3">
      <c r="A188" s="474"/>
      <c r="B188" s="463"/>
      <c r="C188" s="463" t="s">
        <v>445</v>
      </c>
      <c r="D188" s="449" t="s">
        <v>261</v>
      </c>
      <c r="E188" s="262"/>
      <c r="F188" s="447" t="s">
        <v>629</v>
      </c>
      <c r="G188" s="387" t="e">
        <f>VLOOKUP(A188,'Feature Summary'!$A$7:$C$3944,3,FALSE)</f>
        <v>#N/A</v>
      </c>
      <c r="H188" s="447" t="s">
        <v>630</v>
      </c>
      <c r="I188" s="488" t="s">
        <v>264</v>
      </c>
      <c r="J188" s="448" t="s">
        <v>281</v>
      </c>
      <c r="K188" s="263">
        <v>1</v>
      </c>
      <c r="L188" s="391">
        <v>2</v>
      </c>
      <c r="M188" s="399" t="s">
        <v>33</v>
      </c>
      <c r="N188" s="475">
        <v>1</v>
      </c>
      <c r="O188" s="391">
        <v>2</v>
      </c>
      <c r="P188" s="496">
        <f t="shared" si="24"/>
        <v>1</v>
      </c>
      <c r="Q188" s="445" t="s">
        <v>52</v>
      </c>
      <c r="R188" s="391">
        <v>2</v>
      </c>
      <c r="S188" s="362">
        <f t="shared" si="23"/>
        <v>2</v>
      </c>
      <c r="T188" s="368">
        <v>2</v>
      </c>
      <c r="U188" s="368"/>
      <c r="V188" s="368"/>
      <c r="W188" s="368"/>
      <c r="X188" s="364">
        <f t="shared" si="20"/>
        <v>1</v>
      </c>
      <c r="Y188" s="393"/>
      <c r="Z188" s="498">
        <f t="shared" si="21"/>
        <v>0</v>
      </c>
      <c r="AA188" s="368"/>
      <c r="AB188" s="368"/>
      <c r="AC188" s="368"/>
      <c r="AD188" s="368"/>
      <c r="AE188" s="365">
        <f t="shared" si="22"/>
        <v>0</v>
      </c>
      <c r="AF188" s="262"/>
      <c r="AG188" s="457"/>
      <c r="AH188" s="264"/>
    </row>
    <row r="189" spans="1:34" ht="15.75" thickBot="1" x14ac:dyDescent="0.3">
      <c r="A189" s="474"/>
      <c r="B189" s="463"/>
      <c r="C189" s="463" t="s">
        <v>445</v>
      </c>
      <c r="D189" s="449" t="s">
        <v>261</v>
      </c>
      <c r="E189" s="262"/>
      <c r="F189" s="447" t="s">
        <v>631</v>
      </c>
      <c r="G189" s="387" t="e">
        <f>VLOOKUP(A189,'Feature Summary'!$A$7:$C$3944,3,FALSE)</f>
        <v>#N/A</v>
      </c>
      <c r="H189" s="447" t="s">
        <v>632</v>
      </c>
      <c r="I189" s="488" t="s">
        <v>264</v>
      </c>
      <c r="J189" s="448" t="s">
        <v>281</v>
      </c>
      <c r="K189" s="263">
        <v>1</v>
      </c>
      <c r="L189" s="391">
        <v>2</v>
      </c>
      <c r="M189" s="399" t="s">
        <v>33</v>
      </c>
      <c r="N189" s="475">
        <v>1</v>
      </c>
      <c r="O189" s="391">
        <v>2</v>
      </c>
      <c r="P189" s="496">
        <f t="shared" si="24"/>
        <v>1</v>
      </c>
      <c r="Q189" s="445" t="s">
        <v>52</v>
      </c>
      <c r="R189" s="391">
        <v>2</v>
      </c>
      <c r="S189" s="362">
        <f t="shared" si="23"/>
        <v>2</v>
      </c>
      <c r="T189" s="368">
        <v>2</v>
      </c>
      <c r="U189" s="368"/>
      <c r="V189" s="368"/>
      <c r="W189" s="368"/>
      <c r="X189" s="364">
        <f t="shared" si="20"/>
        <v>1</v>
      </c>
      <c r="Y189" s="393"/>
      <c r="Z189" s="498">
        <f t="shared" si="21"/>
        <v>0</v>
      </c>
      <c r="AA189" s="368"/>
      <c r="AB189" s="368"/>
      <c r="AC189" s="368"/>
      <c r="AD189" s="368"/>
      <c r="AE189" s="365">
        <f t="shared" si="22"/>
        <v>0</v>
      </c>
      <c r="AF189" s="262"/>
      <c r="AG189" s="457"/>
      <c r="AH189" s="264"/>
    </row>
    <row r="190" spans="1:34" ht="15.75" thickBot="1" x14ac:dyDescent="0.3">
      <c r="A190" s="474"/>
      <c r="B190" s="463"/>
      <c r="C190" s="463" t="s">
        <v>445</v>
      </c>
      <c r="D190" s="449" t="s">
        <v>261</v>
      </c>
      <c r="E190" s="262"/>
      <c r="F190" s="447" t="s">
        <v>633</v>
      </c>
      <c r="G190" s="387" t="e">
        <f>VLOOKUP(A190,'Feature Summary'!$A$7:$C$3944,3,FALSE)</f>
        <v>#N/A</v>
      </c>
      <c r="H190" s="447" t="s">
        <v>634</v>
      </c>
      <c r="I190" s="488" t="s">
        <v>264</v>
      </c>
      <c r="J190" s="448" t="s">
        <v>320</v>
      </c>
      <c r="K190" s="263">
        <v>1</v>
      </c>
      <c r="L190" s="391">
        <v>2</v>
      </c>
      <c r="M190" s="399" t="s">
        <v>33</v>
      </c>
      <c r="N190" s="475">
        <v>1</v>
      </c>
      <c r="O190" s="391">
        <v>2</v>
      </c>
      <c r="P190" s="496">
        <f t="shared" si="24"/>
        <v>1</v>
      </c>
      <c r="Q190" s="445" t="s">
        <v>52</v>
      </c>
      <c r="R190" s="391">
        <v>2</v>
      </c>
      <c r="S190" s="362">
        <f t="shared" si="23"/>
        <v>2</v>
      </c>
      <c r="T190" s="368"/>
      <c r="U190" s="368">
        <v>2</v>
      </c>
      <c r="V190" s="368"/>
      <c r="W190" s="368"/>
      <c r="X190" s="364">
        <f t="shared" si="20"/>
        <v>1</v>
      </c>
      <c r="Y190" s="393"/>
      <c r="Z190" s="498">
        <f t="shared" si="21"/>
        <v>0</v>
      </c>
      <c r="AA190" s="368"/>
      <c r="AB190" s="368"/>
      <c r="AC190" s="368"/>
      <c r="AD190" s="368"/>
      <c r="AE190" s="365">
        <f t="shared" si="22"/>
        <v>0</v>
      </c>
      <c r="AF190" s="262"/>
      <c r="AG190" s="457"/>
      <c r="AH190" s="264"/>
    </row>
    <row r="191" spans="1:34" ht="15.75" thickBot="1" x14ac:dyDescent="0.3">
      <c r="A191" s="474"/>
      <c r="B191" s="463"/>
      <c r="C191" s="463" t="s">
        <v>445</v>
      </c>
      <c r="D191" s="449" t="s">
        <v>261</v>
      </c>
      <c r="E191" s="262"/>
      <c r="F191" s="447" t="s">
        <v>635</v>
      </c>
      <c r="G191" s="387" t="e">
        <f>VLOOKUP(A191,'Feature Summary'!$A$7:$C$3944,3,FALSE)</f>
        <v>#N/A</v>
      </c>
      <c r="H191" s="447" t="s">
        <v>636</v>
      </c>
      <c r="I191" s="488" t="s">
        <v>264</v>
      </c>
      <c r="J191" s="448" t="s">
        <v>320</v>
      </c>
      <c r="K191" s="263">
        <v>1</v>
      </c>
      <c r="L191" s="391">
        <v>2</v>
      </c>
      <c r="M191" s="399" t="s">
        <v>33</v>
      </c>
      <c r="N191" s="475">
        <v>1</v>
      </c>
      <c r="O191" s="391">
        <v>2</v>
      </c>
      <c r="P191" s="496">
        <f t="shared" si="24"/>
        <v>1</v>
      </c>
      <c r="Q191" s="445" t="s">
        <v>52</v>
      </c>
      <c r="R191" s="391">
        <v>2</v>
      </c>
      <c r="S191" s="362">
        <f t="shared" si="23"/>
        <v>2</v>
      </c>
      <c r="T191" s="368"/>
      <c r="U191" s="368">
        <v>2</v>
      </c>
      <c r="V191" s="368"/>
      <c r="W191" s="368"/>
      <c r="X191" s="364">
        <f t="shared" si="20"/>
        <v>1</v>
      </c>
      <c r="Y191" s="393"/>
      <c r="Z191" s="498">
        <f t="shared" si="21"/>
        <v>0</v>
      </c>
      <c r="AA191" s="368"/>
      <c r="AB191" s="368"/>
      <c r="AC191" s="368"/>
      <c r="AD191" s="368"/>
      <c r="AE191" s="365">
        <f t="shared" si="22"/>
        <v>0</v>
      </c>
      <c r="AF191" s="262"/>
      <c r="AG191" s="457"/>
      <c r="AH191" s="264"/>
    </row>
    <row r="192" spans="1:34" ht="30.75" thickBot="1" x14ac:dyDescent="0.3">
      <c r="A192" s="474"/>
      <c r="B192" s="463"/>
      <c r="C192" s="463" t="s">
        <v>445</v>
      </c>
      <c r="D192" s="449" t="s">
        <v>261</v>
      </c>
      <c r="E192" s="262"/>
      <c r="F192" s="447" t="s">
        <v>637</v>
      </c>
      <c r="G192" s="387" t="e">
        <f>VLOOKUP(A192,'Feature Summary'!$A$7:$C$3944,3,FALSE)</f>
        <v>#N/A</v>
      </c>
      <c r="H192" s="447" t="s">
        <v>638</v>
      </c>
      <c r="I192" s="488" t="s">
        <v>264</v>
      </c>
      <c r="J192" s="448" t="s">
        <v>639</v>
      </c>
      <c r="K192" s="263">
        <v>1</v>
      </c>
      <c r="L192" s="391">
        <v>4</v>
      </c>
      <c r="M192" s="399" t="s">
        <v>33</v>
      </c>
      <c r="N192" s="475">
        <v>1</v>
      </c>
      <c r="O192" s="391">
        <v>4</v>
      </c>
      <c r="P192" s="496">
        <f t="shared" si="24"/>
        <v>1</v>
      </c>
      <c r="Q192" s="445" t="s">
        <v>52</v>
      </c>
      <c r="R192" s="391">
        <v>4</v>
      </c>
      <c r="S192" s="362">
        <f t="shared" si="23"/>
        <v>4</v>
      </c>
      <c r="T192" s="368">
        <v>4</v>
      </c>
      <c r="U192" s="368"/>
      <c r="V192" s="368"/>
      <c r="W192" s="368"/>
      <c r="X192" s="364">
        <f t="shared" si="20"/>
        <v>1</v>
      </c>
      <c r="Y192" s="393"/>
      <c r="Z192" s="498">
        <f t="shared" si="21"/>
        <v>0</v>
      </c>
      <c r="AA192" s="368"/>
      <c r="AB192" s="368"/>
      <c r="AC192" s="368"/>
      <c r="AD192" s="368"/>
      <c r="AE192" s="365">
        <f t="shared" si="22"/>
        <v>0</v>
      </c>
      <c r="AF192" s="262"/>
      <c r="AG192" s="457"/>
      <c r="AH192" s="264"/>
    </row>
    <row r="193" spans="1:34" ht="30.75" thickBot="1" x14ac:dyDescent="0.3">
      <c r="A193" s="474"/>
      <c r="B193" s="463"/>
      <c r="C193" s="463" t="s">
        <v>445</v>
      </c>
      <c r="D193" s="449" t="s">
        <v>261</v>
      </c>
      <c r="E193" s="262"/>
      <c r="F193" s="447" t="s">
        <v>640</v>
      </c>
      <c r="G193" s="387" t="e">
        <f>VLOOKUP(A193,'Feature Summary'!$A$7:$C$3944,3,FALSE)</f>
        <v>#N/A</v>
      </c>
      <c r="H193" s="447" t="s">
        <v>641</v>
      </c>
      <c r="I193" s="488" t="s">
        <v>264</v>
      </c>
      <c r="J193" s="448" t="s">
        <v>639</v>
      </c>
      <c r="K193" s="263">
        <v>1</v>
      </c>
      <c r="L193" s="391">
        <v>4</v>
      </c>
      <c r="M193" s="399" t="s">
        <v>33</v>
      </c>
      <c r="N193" s="475">
        <v>1</v>
      </c>
      <c r="O193" s="391">
        <v>4</v>
      </c>
      <c r="P193" s="496">
        <f t="shared" si="24"/>
        <v>1</v>
      </c>
      <c r="Q193" s="445" t="s">
        <v>52</v>
      </c>
      <c r="R193" s="391">
        <v>4</v>
      </c>
      <c r="S193" s="362">
        <f t="shared" si="23"/>
        <v>4</v>
      </c>
      <c r="T193" s="368">
        <v>4</v>
      </c>
      <c r="U193" s="368"/>
      <c r="V193" s="368"/>
      <c r="W193" s="368"/>
      <c r="X193" s="364">
        <f t="shared" si="20"/>
        <v>1</v>
      </c>
      <c r="Y193" s="393"/>
      <c r="Z193" s="498">
        <f t="shared" si="21"/>
        <v>0</v>
      </c>
      <c r="AA193" s="368"/>
      <c r="AB193" s="368"/>
      <c r="AC193" s="368"/>
      <c r="AD193" s="368"/>
      <c r="AE193" s="365">
        <f t="shared" si="22"/>
        <v>0</v>
      </c>
      <c r="AF193" s="262"/>
      <c r="AG193" s="457"/>
      <c r="AH193" s="264"/>
    </row>
    <row r="194" spans="1:34" ht="30.75" thickBot="1" x14ac:dyDescent="0.3">
      <c r="A194" s="474"/>
      <c r="B194" s="463"/>
      <c r="C194" s="463" t="s">
        <v>445</v>
      </c>
      <c r="D194" s="449" t="s">
        <v>261</v>
      </c>
      <c r="E194" s="262"/>
      <c r="F194" s="447" t="s">
        <v>642</v>
      </c>
      <c r="G194" s="387" t="e">
        <f>VLOOKUP(A194,'Feature Summary'!$A$7:$C$3944,3,FALSE)</f>
        <v>#N/A</v>
      </c>
      <c r="H194" s="447" t="s">
        <v>643</v>
      </c>
      <c r="I194" s="488" t="s">
        <v>264</v>
      </c>
      <c r="J194" s="448" t="s">
        <v>639</v>
      </c>
      <c r="K194" s="263">
        <v>1</v>
      </c>
      <c r="L194" s="391">
        <v>4</v>
      </c>
      <c r="M194" s="399" t="s">
        <v>33</v>
      </c>
      <c r="N194" s="475">
        <v>1</v>
      </c>
      <c r="O194" s="391">
        <v>4</v>
      </c>
      <c r="P194" s="496">
        <f t="shared" si="24"/>
        <v>1</v>
      </c>
      <c r="Q194" s="445" t="s">
        <v>52</v>
      </c>
      <c r="R194" s="391">
        <v>4</v>
      </c>
      <c r="S194" s="362">
        <f t="shared" si="23"/>
        <v>4</v>
      </c>
      <c r="T194" s="368"/>
      <c r="U194" s="368">
        <v>4</v>
      </c>
      <c r="V194" s="368"/>
      <c r="W194" s="368"/>
      <c r="X194" s="364">
        <f t="shared" si="20"/>
        <v>1</v>
      </c>
      <c r="Y194" s="393"/>
      <c r="Z194" s="498">
        <f t="shared" si="21"/>
        <v>0</v>
      </c>
      <c r="AA194" s="368"/>
      <c r="AB194" s="368"/>
      <c r="AC194" s="368"/>
      <c r="AD194" s="368"/>
      <c r="AE194" s="365">
        <f t="shared" si="22"/>
        <v>0</v>
      </c>
      <c r="AF194" s="558"/>
      <c r="AG194" s="457"/>
      <c r="AH194" s="264"/>
    </row>
    <row r="195" spans="1:34" ht="15.75" thickBot="1" x14ac:dyDescent="0.3">
      <c r="A195" s="474"/>
      <c r="B195" s="463"/>
      <c r="C195" s="463" t="s">
        <v>445</v>
      </c>
      <c r="D195" s="449" t="s">
        <v>261</v>
      </c>
      <c r="E195" s="262"/>
      <c r="F195" s="447" t="s">
        <v>644</v>
      </c>
      <c r="G195" s="387" t="e">
        <f>VLOOKUP(A195,'Feature Summary'!$A$7:$C$3944,3,FALSE)</f>
        <v>#N/A</v>
      </c>
      <c r="H195" s="447" t="s">
        <v>645</v>
      </c>
      <c r="I195" s="488" t="s">
        <v>264</v>
      </c>
      <c r="J195" s="448" t="s">
        <v>646</v>
      </c>
      <c r="K195" s="263">
        <v>1</v>
      </c>
      <c r="L195" s="391">
        <v>24</v>
      </c>
      <c r="M195" s="399" t="s">
        <v>33</v>
      </c>
      <c r="N195" s="475">
        <v>1</v>
      </c>
      <c r="O195" s="391">
        <v>0</v>
      </c>
      <c r="P195" s="496">
        <f t="shared" ref="P195" si="28">IF((O195=0),0,(O195/L195))</f>
        <v>0</v>
      </c>
      <c r="Q195" s="445" t="s">
        <v>52</v>
      </c>
      <c r="R195" s="391">
        <v>23</v>
      </c>
      <c r="S195" s="362">
        <f t="shared" ref="S195" si="29">SUM(T195:W195)</f>
        <v>23</v>
      </c>
      <c r="T195" s="368">
        <v>12</v>
      </c>
      <c r="U195" s="368">
        <v>11</v>
      </c>
      <c r="V195" s="368"/>
      <c r="W195" s="368"/>
      <c r="X195" s="364">
        <f t="shared" ref="X195" si="30">IF((S195=0),0,((T195+U195)/S195*100%))</f>
        <v>1</v>
      </c>
      <c r="Y195" s="393"/>
      <c r="Z195" s="498">
        <f t="shared" ref="Z195" si="31">SUM(AA195:AD195)</f>
        <v>0</v>
      </c>
      <c r="AA195" s="368"/>
      <c r="AB195" s="368"/>
      <c r="AC195" s="368"/>
      <c r="AD195" s="368"/>
      <c r="AE195" s="365">
        <f t="shared" ref="AE195" si="32">IF((Z195=0),0,((AA195+AB195)/Z195*100%))</f>
        <v>0</v>
      </c>
      <c r="AF195" s="262"/>
      <c r="AG195" s="457"/>
      <c r="AH195" s="264"/>
    </row>
    <row r="196" spans="1:34" ht="15.75" thickBot="1" x14ac:dyDescent="0.3">
      <c r="A196" s="474"/>
      <c r="B196" s="463"/>
      <c r="C196" s="463" t="s">
        <v>445</v>
      </c>
      <c r="D196" s="449" t="s">
        <v>261</v>
      </c>
      <c r="E196" s="262"/>
      <c r="F196" s="447" t="s">
        <v>644</v>
      </c>
      <c r="G196" s="387" t="e">
        <f>VLOOKUP(A196,'Feature Summary'!$A$7:$C$3944,3,FALSE)</f>
        <v>#N/A</v>
      </c>
      <c r="H196" s="447" t="s">
        <v>647</v>
      </c>
      <c r="I196" s="488" t="s">
        <v>264</v>
      </c>
      <c r="J196" s="448" t="s">
        <v>648</v>
      </c>
      <c r="K196" s="263">
        <v>1</v>
      </c>
      <c r="L196" s="391">
        <v>2</v>
      </c>
      <c r="M196" s="399" t="s">
        <v>33</v>
      </c>
      <c r="N196" s="475">
        <v>1</v>
      </c>
      <c r="O196" s="391">
        <v>2</v>
      </c>
      <c r="P196" s="496">
        <f t="shared" si="24"/>
        <v>1</v>
      </c>
      <c r="Q196" s="445" t="s">
        <v>52</v>
      </c>
      <c r="R196" s="391">
        <v>2</v>
      </c>
      <c r="S196" s="362">
        <f t="shared" si="23"/>
        <v>2</v>
      </c>
      <c r="T196" s="368">
        <v>2</v>
      </c>
      <c r="U196" s="368"/>
      <c r="V196" s="368"/>
      <c r="W196" s="368"/>
      <c r="X196" s="364">
        <f t="shared" si="20"/>
        <v>1</v>
      </c>
      <c r="Y196" s="393"/>
      <c r="Z196" s="498">
        <f t="shared" si="21"/>
        <v>0</v>
      </c>
      <c r="AA196" s="368"/>
      <c r="AB196" s="368"/>
      <c r="AC196" s="368"/>
      <c r="AD196" s="368"/>
      <c r="AE196" s="365">
        <f t="shared" si="22"/>
        <v>0</v>
      </c>
      <c r="AF196" s="262"/>
      <c r="AG196" s="457"/>
      <c r="AH196" s="264"/>
    </row>
    <row r="197" spans="1:34" ht="15.75" thickBot="1" x14ac:dyDescent="0.3">
      <c r="A197" s="474" t="s">
        <v>649</v>
      </c>
      <c r="B197" s="447" t="s">
        <v>650</v>
      </c>
      <c r="C197" s="463" t="s">
        <v>651</v>
      </c>
      <c r="D197" s="449" t="s">
        <v>261</v>
      </c>
      <c r="E197" s="262"/>
      <c r="F197" s="447" t="s">
        <v>652</v>
      </c>
      <c r="G197" s="387" t="str">
        <f>VLOOKUP(A197,'Feature Summary'!$A$7:$C$3944,3,FALSE)</f>
        <v>P2</v>
      </c>
      <c r="H197" s="447" t="s">
        <v>653</v>
      </c>
      <c r="I197" s="488" t="s">
        <v>264</v>
      </c>
      <c r="J197" s="448" t="s">
        <v>301</v>
      </c>
      <c r="K197" s="263">
        <v>1</v>
      </c>
      <c r="L197" s="391">
        <v>8</v>
      </c>
      <c r="M197" s="399" t="s">
        <v>33</v>
      </c>
      <c r="N197" s="475">
        <v>1</v>
      </c>
      <c r="O197" s="391">
        <v>0</v>
      </c>
      <c r="P197" s="496">
        <f>IF((O197=0),0,(O197/L197))</f>
        <v>0</v>
      </c>
      <c r="Q197" s="445" t="s">
        <v>52</v>
      </c>
      <c r="R197" s="391">
        <v>8</v>
      </c>
      <c r="S197" s="362">
        <f t="shared" si="23"/>
        <v>8</v>
      </c>
      <c r="T197" s="368">
        <v>8</v>
      </c>
      <c r="U197" s="368"/>
      <c r="V197" s="368"/>
      <c r="W197" s="368"/>
      <c r="X197" s="364">
        <f t="shared" si="20"/>
        <v>1</v>
      </c>
      <c r="Y197" s="393"/>
      <c r="Z197" s="498">
        <f t="shared" si="21"/>
        <v>0</v>
      </c>
      <c r="AA197" s="368"/>
      <c r="AB197" s="368"/>
      <c r="AC197" s="368"/>
      <c r="AD197" s="368"/>
      <c r="AE197" s="365">
        <f t="shared" si="22"/>
        <v>0</v>
      </c>
      <c r="AF197" s="262"/>
      <c r="AG197" s="457"/>
      <c r="AH197" s="264"/>
    </row>
    <row r="198" spans="1:34" ht="30.75" thickBot="1" x14ac:dyDescent="0.3">
      <c r="A198" s="474"/>
      <c r="B198" s="447" t="s">
        <v>650</v>
      </c>
      <c r="C198" s="463"/>
      <c r="D198" s="449" t="s">
        <v>261</v>
      </c>
      <c r="E198" s="262"/>
      <c r="F198" s="447" t="s">
        <v>652</v>
      </c>
      <c r="G198" s="387" t="e">
        <f>VLOOKUP(A198,'Feature Summary'!$A$7:$C$3944,3,FALSE)</f>
        <v>#N/A</v>
      </c>
      <c r="H198" s="447" t="s">
        <v>654</v>
      </c>
      <c r="I198" s="447"/>
      <c r="J198" s="448" t="s">
        <v>295</v>
      </c>
      <c r="K198" s="263"/>
      <c r="L198" s="391"/>
      <c r="M198" s="399" t="s">
        <v>33</v>
      </c>
      <c r="N198" s="475">
        <v>1</v>
      </c>
      <c r="O198" s="391"/>
      <c r="P198" s="496">
        <f t="shared" ref="P198:P237" si="33">IF((O198=0),0,(O198/L198))</f>
        <v>0</v>
      </c>
      <c r="Q198" s="445" t="s">
        <v>52</v>
      </c>
      <c r="R198" s="391"/>
      <c r="S198" s="362">
        <f t="shared" si="23"/>
        <v>0</v>
      </c>
      <c r="T198" s="368"/>
      <c r="U198" s="368"/>
      <c r="V198" s="368"/>
      <c r="W198" s="368"/>
      <c r="X198" s="364">
        <f t="shared" si="20"/>
        <v>0</v>
      </c>
      <c r="Y198" s="393"/>
      <c r="Z198" s="498">
        <f t="shared" si="21"/>
        <v>0</v>
      </c>
      <c r="AA198" s="368"/>
      <c r="AB198" s="368"/>
      <c r="AC198" s="368"/>
      <c r="AD198" s="368"/>
      <c r="AE198" s="365">
        <f t="shared" si="22"/>
        <v>0</v>
      </c>
      <c r="AF198" s="558"/>
      <c r="AG198" s="457"/>
      <c r="AH198" s="264"/>
    </row>
    <row r="199" spans="1:34" ht="30.75" thickBot="1" x14ac:dyDescent="0.3">
      <c r="A199" s="458"/>
      <c r="B199" s="463"/>
      <c r="C199" s="463" t="s">
        <v>655</v>
      </c>
      <c r="D199" s="449" t="s">
        <v>261</v>
      </c>
      <c r="E199" s="262"/>
      <c r="F199" s="447" t="s">
        <v>656</v>
      </c>
      <c r="G199" s="387" t="e">
        <f>VLOOKUP(A199,'Feature Summary'!$A$7:$C$3944,3,FALSE)</f>
        <v>#N/A</v>
      </c>
      <c r="H199" s="447" t="s">
        <v>657</v>
      </c>
      <c r="I199" s="488" t="s">
        <v>264</v>
      </c>
      <c r="J199" s="448" t="s">
        <v>450</v>
      </c>
      <c r="K199" s="263">
        <v>1</v>
      </c>
      <c r="L199" s="391">
        <v>1</v>
      </c>
      <c r="M199" s="399" t="s">
        <v>33</v>
      </c>
      <c r="N199" s="475">
        <v>1</v>
      </c>
      <c r="O199" s="391">
        <v>1</v>
      </c>
      <c r="P199" s="496">
        <f t="shared" si="33"/>
        <v>1</v>
      </c>
      <c r="Q199" s="445" t="s">
        <v>52</v>
      </c>
      <c r="R199" s="391">
        <v>1</v>
      </c>
      <c r="S199" s="362">
        <f t="shared" si="23"/>
        <v>1</v>
      </c>
      <c r="T199" s="368">
        <v>1</v>
      </c>
      <c r="U199" s="368"/>
      <c r="V199" s="368"/>
      <c r="W199" s="368"/>
      <c r="X199" s="364">
        <f t="shared" si="20"/>
        <v>1</v>
      </c>
      <c r="Y199" s="393"/>
      <c r="Z199" s="498">
        <f t="shared" si="21"/>
        <v>0</v>
      </c>
      <c r="AA199" s="368"/>
      <c r="AB199" s="368"/>
      <c r="AC199" s="368"/>
      <c r="AD199" s="368"/>
      <c r="AE199" s="365">
        <f t="shared" si="22"/>
        <v>0</v>
      </c>
      <c r="AF199" s="262"/>
      <c r="AG199" s="457"/>
      <c r="AH199" s="264"/>
    </row>
    <row r="200" spans="1:34" ht="30.75" thickBot="1" x14ac:dyDescent="0.3">
      <c r="A200" s="458"/>
      <c r="B200" s="463"/>
      <c r="C200" s="463"/>
      <c r="D200" s="449" t="s">
        <v>261</v>
      </c>
      <c r="E200" s="262"/>
      <c r="F200" s="447" t="s">
        <v>656</v>
      </c>
      <c r="G200" s="387" t="e">
        <f>VLOOKUP(A200,'Feature Summary'!$A$7:$C$3944,3,FALSE)</f>
        <v>#N/A</v>
      </c>
      <c r="H200" s="447" t="s">
        <v>658</v>
      </c>
      <c r="I200" s="447"/>
      <c r="J200" s="448" t="s">
        <v>659</v>
      </c>
      <c r="K200" s="263"/>
      <c r="L200" s="391"/>
      <c r="M200" s="399" t="s">
        <v>33</v>
      </c>
      <c r="N200" s="475">
        <v>1</v>
      </c>
      <c r="O200" s="391"/>
      <c r="P200" s="496">
        <f t="shared" si="33"/>
        <v>0</v>
      </c>
      <c r="Q200" s="445" t="s">
        <v>52</v>
      </c>
      <c r="R200" s="391"/>
      <c r="S200" s="362">
        <f t="shared" si="23"/>
        <v>0</v>
      </c>
      <c r="T200" s="368"/>
      <c r="U200" s="368"/>
      <c r="V200" s="368"/>
      <c r="W200" s="368"/>
      <c r="X200" s="364">
        <f t="shared" si="20"/>
        <v>0</v>
      </c>
      <c r="Y200" s="393"/>
      <c r="Z200" s="498">
        <f t="shared" ref="Z200:Z263" si="34">SUM(AA200:AD200)</f>
        <v>0</v>
      </c>
      <c r="AA200" s="368"/>
      <c r="AB200" s="368"/>
      <c r="AC200" s="368"/>
      <c r="AD200" s="368"/>
      <c r="AE200" s="365">
        <f t="shared" ref="AE200:AE263" si="35">IF((Z200=0),0,((AA200+AB200)/Z200*100%))</f>
        <v>0</v>
      </c>
      <c r="AF200" s="262"/>
      <c r="AG200" s="457"/>
      <c r="AH200" s="264"/>
    </row>
    <row r="201" spans="1:34" ht="30.75" thickBot="1" x14ac:dyDescent="0.3">
      <c r="A201" s="458"/>
      <c r="B201" s="463"/>
      <c r="C201" s="463"/>
      <c r="D201" s="449" t="s">
        <v>261</v>
      </c>
      <c r="E201" s="262"/>
      <c r="F201" s="447" t="s">
        <v>656</v>
      </c>
      <c r="G201" s="387" t="e">
        <f>VLOOKUP(A201,'Feature Summary'!$A$7:$C$3944,3,FALSE)</f>
        <v>#N/A</v>
      </c>
      <c r="H201" s="447" t="s">
        <v>660</v>
      </c>
      <c r="I201" s="447"/>
      <c r="J201" s="448" t="s">
        <v>661</v>
      </c>
      <c r="K201" s="263"/>
      <c r="L201" s="391"/>
      <c r="M201" s="399" t="s">
        <v>33</v>
      </c>
      <c r="N201" s="475">
        <v>1</v>
      </c>
      <c r="O201" s="391"/>
      <c r="P201" s="496">
        <f t="shared" si="33"/>
        <v>0</v>
      </c>
      <c r="Q201" s="445" t="s">
        <v>52</v>
      </c>
      <c r="R201" s="391"/>
      <c r="S201" s="362">
        <f t="shared" si="23"/>
        <v>0</v>
      </c>
      <c r="T201" s="368"/>
      <c r="U201" s="368"/>
      <c r="V201" s="368"/>
      <c r="W201" s="368"/>
      <c r="X201" s="364">
        <f t="shared" ref="X201:X264" si="36">IF((S201=0),0,((T201+U201)/S201*100%))</f>
        <v>0</v>
      </c>
      <c r="Y201" s="393"/>
      <c r="Z201" s="498">
        <f t="shared" si="34"/>
        <v>0</v>
      </c>
      <c r="AA201" s="368"/>
      <c r="AB201" s="368"/>
      <c r="AC201" s="368"/>
      <c r="AD201" s="368"/>
      <c r="AE201" s="365">
        <f t="shared" si="35"/>
        <v>0</v>
      </c>
      <c r="AF201" s="262"/>
      <c r="AG201" s="457"/>
      <c r="AH201" s="264"/>
    </row>
    <row r="202" spans="1:34" ht="30.75" thickBot="1" x14ac:dyDescent="0.3">
      <c r="A202" s="458"/>
      <c r="B202" s="463"/>
      <c r="C202" s="463" t="s">
        <v>655</v>
      </c>
      <c r="D202" s="449" t="s">
        <v>261</v>
      </c>
      <c r="E202" s="262"/>
      <c r="F202" s="447" t="s">
        <v>656</v>
      </c>
      <c r="G202" s="387" t="e">
        <f>VLOOKUP(A202,'Feature Summary'!$A$7:$C$3944,3,FALSE)</f>
        <v>#N/A</v>
      </c>
      <c r="H202" s="447" t="s">
        <v>662</v>
      </c>
      <c r="I202" s="488" t="s">
        <v>264</v>
      </c>
      <c r="J202" s="448" t="s">
        <v>450</v>
      </c>
      <c r="K202" s="263">
        <v>1</v>
      </c>
      <c r="L202" s="391">
        <v>1</v>
      </c>
      <c r="M202" s="399" t="s">
        <v>33</v>
      </c>
      <c r="N202" s="475">
        <v>1</v>
      </c>
      <c r="O202" s="391">
        <v>1</v>
      </c>
      <c r="P202" s="496">
        <f t="shared" si="33"/>
        <v>1</v>
      </c>
      <c r="Q202" s="445" t="s">
        <v>52</v>
      </c>
      <c r="R202" s="391">
        <v>1</v>
      </c>
      <c r="S202" s="362">
        <f t="shared" ref="S202:S265" si="37">SUM(T202:W202)</f>
        <v>1</v>
      </c>
      <c r="T202" s="368">
        <v>1</v>
      </c>
      <c r="U202" s="368"/>
      <c r="V202" s="368"/>
      <c r="W202" s="368"/>
      <c r="X202" s="364">
        <f t="shared" si="36"/>
        <v>1</v>
      </c>
      <c r="Y202" s="393"/>
      <c r="Z202" s="498">
        <f t="shared" si="34"/>
        <v>0</v>
      </c>
      <c r="AA202" s="368"/>
      <c r="AB202" s="368"/>
      <c r="AC202" s="368"/>
      <c r="AD202" s="368"/>
      <c r="AE202" s="365">
        <f t="shared" si="35"/>
        <v>0</v>
      </c>
      <c r="AF202" s="262"/>
      <c r="AG202" s="457"/>
      <c r="AH202" s="264"/>
    </row>
    <row r="203" spans="1:34" ht="45.75" thickBot="1" x14ac:dyDescent="0.3">
      <c r="A203" s="458"/>
      <c r="B203" s="463"/>
      <c r="C203" s="463"/>
      <c r="D203" s="449" t="s">
        <v>261</v>
      </c>
      <c r="E203" s="262"/>
      <c r="F203" s="447" t="s">
        <v>656</v>
      </c>
      <c r="G203" s="387" t="e">
        <f>VLOOKUP(A203,'Feature Summary'!$A$7:$C$3944,3,FALSE)</f>
        <v>#N/A</v>
      </c>
      <c r="H203" s="447" t="s">
        <v>663</v>
      </c>
      <c r="I203" s="447"/>
      <c r="J203" s="448" t="s">
        <v>664</v>
      </c>
      <c r="K203" s="263"/>
      <c r="L203" s="391"/>
      <c r="M203" s="399" t="s">
        <v>33</v>
      </c>
      <c r="N203" s="475">
        <v>1</v>
      </c>
      <c r="O203" s="391"/>
      <c r="P203" s="496">
        <f t="shared" si="33"/>
        <v>0</v>
      </c>
      <c r="Q203" s="445" t="s">
        <v>52</v>
      </c>
      <c r="R203" s="391"/>
      <c r="S203" s="362">
        <f t="shared" si="37"/>
        <v>0</v>
      </c>
      <c r="T203" s="368"/>
      <c r="U203" s="368"/>
      <c r="V203" s="368"/>
      <c r="W203" s="368"/>
      <c r="X203" s="364">
        <f t="shared" si="36"/>
        <v>0</v>
      </c>
      <c r="Y203" s="393"/>
      <c r="Z203" s="498">
        <f t="shared" si="34"/>
        <v>0</v>
      </c>
      <c r="AA203" s="368"/>
      <c r="AB203" s="368"/>
      <c r="AC203" s="368"/>
      <c r="AD203" s="368"/>
      <c r="AE203" s="365">
        <f t="shared" si="35"/>
        <v>0</v>
      </c>
      <c r="AF203" s="262"/>
      <c r="AG203" s="457"/>
      <c r="AH203" s="264"/>
    </row>
    <row r="204" spans="1:34" ht="30.75" thickBot="1" x14ac:dyDescent="0.3">
      <c r="A204" s="458"/>
      <c r="B204" s="463"/>
      <c r="C204" s="463"/>
      <c r="D204" s="449" t="s">
        <v>261</v>
      </c>
      <c r="E204" s="262"/>
      <c r="F204" s="447" t="s">
        <v>656</v>
      </c>
      <c r="G204" s="387" t="e">
        <f>VLOOKUP(A204,'Feature Summary'!$A$7:$C$3944,3,FALSE)</f>
        <v>#N/A</v>
      </c>
      <c r="H204" s="447" t="s">
        <v>665</v>
      </c>
      <c r="I204" s="447"/>
      <c r="J204" s="448" t="s">
        <v>661</v>
      </c>
      <c r="K204" s="263"/>
      <c r="L204" s="391"/>
      <c r="M204" s="399" t="s">
        <v>33</v>
      </c>
      <c r="N204" s="475">
        <v>1</v>
      </c>
      <c r="O204" s="391"/>
      <c r="P204" s="496">
        <f t="shared" si="33"/>
        <v>0</v>
      </c>
      <c r="Q204" s="445" t="s">
        <v>52</v>
      </c>
      <c r="R204" s="391"/>
      <c r="S204" s="362">
        <f t="shared" si="37"/>
        <v>0</v>
      </c>
      <c r="T204" s="368"/>
      <c r="U204" s="368"/>
      <c r="V204" s="368"/>
      <c r="W204" s="368"/>
      <c r="X204" s="364">
        <f t="shared" si="36"/>
        <v>0</v>
      </c>
      <c r="Y204" s="393"/>
      <c r="Z204" s="498">
        <f t="shared" si="34"/>
        <v>0</v>
      </c>
      <c r="AA204" s="368"/>
      <c r="AB204" s="368"/>
      <c r="AC204" s="368"/>
      <c r="AD204" s="368"/>
      <c r="AE204" s="365">
        <f t="shared" si="35"/>
        <v>0</v>
      </c>
      <c r="AF204" s="262"/>
      <c r="AG204" s="457"/>
      <c r="AH204" s="264"/>
    </row>
    <row r="205" spans="1:34" ht="60.75" thickBot="1" x14ac:dyDescent="0.3">
      <c r="A205" s="458" t="s">
        <v>666</v>
      </c>
      <c r="B205" s="447" t="s">
        <v>667</v>
      </c>
      <c r="C205" s="463" t="s">
        <v>335</v>
      </c>
      <c r="D205" s="449" t="s">
        <v>261</v>
      </c>
      <c r="E205" s="262"/>
      <c r="F205" s="447" t="s">
        <v>668</v>
      </c>
      <c r="G205" s="387" t="str">
        <f>VLOOKUP(A205,'Feature Summary'!$A$7:$C$3944,3,FALSE)</f>
        <v>P2</v>
      </c>
      <c r="H205" s="447" t="s">
        <v>669</v>
      </c>
      <c r="I205" s="488" t="s">
        <v>264</v>
      </c>
      <c r="J205" s="447" t="s">
        <v>670</v>
      </c>
      <c r="K205" s="263">
        <v>1</v>
      </c>
      <c r="L205" s="391">
        <v>1</v>
      </c>
      <c r="M205" s="399" t="s">
        <v>33</v>
      </c>
      <c r="N205" s="475">
        <v>1</v>
      </c>
      <c r="O205" s="391">
        <v>1</v>
      </c>
      <c r="P205" s="496">
        <f t="shared" si="33"/>
        <v>1</v>
      </c>
      <c r="Q205" s="445" t="s">
        <v>52</v>
      </c>
      <c r="R205" s="391">
        <v>1</v>
      </c>
      <c r="S205" s="362">
        <f t="shared" si="37"/>
        <v>1</v>
      </c>
      <c r="T205" s="368">
        <v>1</v>
      </c>
      <c r="U205" s="368"/>
      <c r="V205" s="368"/>
      <c r="W205" s="368"/>
      <c r="X205" s="364">
        <f t="shared" si="36"/>
        <v>1</v>
      </c>
      <c r="Y205" s="393"/>
      <c r="Z205" s="498">
        <f t="shared" si="34"/>
        <v>0</v>
      </c>
      <c r="AA205" s="368"/>
      <c r="AB205" s="368"/>
      <c r="AC205" s="368"/>
      <c r="AD205" s="368"/>
      <c r="AE205" s="365">
        <f t="shared" si="35"/>
        <v>0</v>
      </c>
      <c r="AF205" s="558"/>
      <c r="AG205" s="457"/>
      <c r="AH205" s="264"/>
    </row>
    <row r="206" spans="1:34" ht="60.75" thickBot="1" x14ac:dyDescent="0.3">
      <c r="A206" s="458" t="s">
        <v>666</v>
      </c>
      <c r="B206" s="447" t="s">
        <v>667</v>
      </c>
      <c r="C206" s="463" t="s">
        <v>335</v>
      </c>
      <c r="D206" s="449" t="s">
        <v>261</v>
      </c>
      <c r="E206" s="262"/>
      <c r="F206" s="447" t="s">
        <v>671</v>
      </c>
      <c r="G206" s="387" t="str">
        <f>VLOOKUP(A206,'Feature Summary'!$A$7:$C$3944,3,FALSE)</f>
        <v>P2</v>
      </c>
      <c r="H206" s="447" t="s">
        <v>672</v>
      </c>
      <c r="I206" s="488" t="s">
        <v>264</v>
      </c>
      <c r="J206" s="447" t="s">
        <v>673</v>
      </c>
      <c r="K206" s="263">
        <v>1</v>
      </c>
      <c r="L206" s="391">
        <v>1</v>
      </c>
      <c r="M206" s="399" t="s">
        <v>33</v>
      </c>
      <c r="N206" s="475">
        <v>1</v>
      </c>
      <c r="O206" s="391">
        <v>1</v>
      </c>
      <c r="P206" s="496">
        <f t="shared" si="33"/>
        <v>1</v>
      </c>
      <c r="Q206" s="445" t="s">
        <v>52</v>
      </c>
      <c r="R206" s="391">
        <v>1</v>
      </c>
      <c r="S206" s="362">
        <f t="shared" si="37"/>
        <v>1</v>
      </c>
      <c r="T206" s="368">
        <v>1</v>
      </c>
      <c r="U206" s="368"/>
      <c r="V206" s="368"/>
      <c r="W206" s="368"/>
      <c r="X206" s="364">
        <f t="shared" si="36"/>
        <v>1</v>
      </c>
      <c r="Y206" s="393"/>
      <c r="Z206" s="498">
        <f t="shared" si="34"/>
        <v>0</v>
      </c>
      <c r="AA206" s="368"/>
      <c r="AB206" s="368"/>
      <c r="AC206" s="368"/>
      <c r="AD206" s="368"/>
      <c r="AE206" s="365">
        <f t="shared" si="35"/>
        <v>0</v>
      </c>
      <c r="AF206" s="558"/>
      <c r="AG206" s="457"/>
      <c r="AH206" s="264"/>
    </row>
    <row r="207" spans="1:34" ht="60.75" thickBot="1" x14ac:dyDescent="0.3">
      <c r="A207" s="458" t="s">
        <v>666</v>
      </c>
      <c r="B207" s="447" t="s">
        <v>667</v>
      </c>
      <c r="C207" s="463" t="s">
        <v>335</v>
      </c>
      <c r="D207" s="449" t="s">
        <v>261</v>
      </c>
      <c r="E207" s="262"/>
      <c r="F207" s="447" t="s">
        <v>674</v>
      </c>
      <c r="G207" s="387" t="str">
        <f>VLOOKUP(A207,'Feature Summary'!$A$7:$C$3944,3,FALSE)</f>
        <v>P2</v>
      </c>
      <c r="H207" s="447" t="s">
        <v>675</v>
      </c>
      <c r="I207" s="488" t="s">
        <v>264</v>
      </c>
      <c r="J207" s="447" t="s">
        <v>676</v>
      </c>
      <c r="K207" s="263">
        <v>1</v>
      </c>
      <c r="L207" s="391">
        <v>1</v>
      </c>
      <c r="M207" s="399" t="s">
        <v>33</v>
      </c>
      <c r="N207" s="475">
        <v>1</v>
      </c>
      <c r="O207" s="391">
        <v>1</v>
      </c>
      <c r="P207" s="496">
        <f t="shared" si="33"/>
        <v>1</v>
      </c>
      <c r="Q207" s="445" t="s">
        <v>52</v>
      </c>
      <c r="R207" s="391">
        <v>1</v>
      </c>
      <c r="S207" s="362">
        <f t="shared" si="37"/>
        <v>1</v>
      </c>
      <c r="T207" s="368">
        <v>1</v>
      </c>
      <c r="U207" s="368"/>
      <c r="V207" s="368"/>
      <c r="W207" s="368"/>
      <c r="X207" s="364">
        <f t="shared" si="36"/>
        <v>1</v>
      </c>
      <c r="Y207" s="393"/>
      <c r="Z207" s="498">
        <f t="shared" si="34"/>
        <v>0</v>
      </c>
      <c r="AA207" s="368"/>
      <c r="AB207" s="368"/>
      <c r="AC207" s="368"/>
      <c r="AD207" s="368"/>
      <c r="AE207" s="365">
        <f t="shared" si="35"/>
        <v>0</v>
      </c>
      <c r="AF207" s="558"/>
      <c r="AG207" s="457"/>
      <c r="AH207" s="264"/>
    </row>
    <row r="208" spans="1:34" ht="60.75" thickBot="1" x14ac:dyDescent="0.3">
      <c r="A208" s="458" t="s">
        <v>666</v>
      </c>
      <c r="B208" s="447" t="s">
        <v>667</v>
      </c>
      <c r="C208" s="463" t="s">
        <v>335</v>
      </c>
      <c r="D208" s="449" t="s">
        <v>261</v>
      </c>
      <c r="E208" s="262"/>
      <c r="F208" s="447" t="s">
        <v>677</v>
      </c>
      <c r="G208" s="387" t="str">
        <f>VLOOKUP(A208,'Feature Summary'!$A$7:$C$3944,3,FALSE)</f>
        <v>P2</v>
      </c>
      <c r="H208" s="447" t="s">
        <v>678</v>
      </c>
      <c r="I208" s="488" t="s">
        <v>264</v>
      </c>
      <c r="J208" s="447" t="s">
        <v>679</v>
      </c>
      <c r="K208" s="263">
        <v>1</v>
      </c>
      <c r="L208" s="391">
        <v>1</v>
      </c>
      <c r="M208" s="399" t="s">
        <v>33</v>
      </c>
      <c r="N208" s="475">
        <v>1</v>
      </c>
      <c r="O208" s="391">
        <v>1</v>
      </c>
      <c r="P208" s="496">
        <f t="shared" si="33"/>
        <v>1</v>
      </c>
      <c r="Q208" s="445" t="s">
        <v>52</v>
      </c>
      <c r="R208" s="391">
        <v>1</v>
      </c>
      <c r="S208" s="362">
        <f t="shared" si="37"/>
        <v>1</v>
      </c>
      <c r="T208" s="368">
        <v>1</v>
      </c>
      <c r="U208" s="368"/>
      <c r="V208" s="368"/>
      <c r="W208" s="368"/>
      <c r="X208" s="364">
        <f t="shared" si="36"/>
        <v>1</v>
      </c>
      <c r="Y208" s="393"/>
      <c r="Z208" s="498">
        <f>SUM(AA208:AD208)</f>
        <v>0</v>
      </c>
      <c r="AA208" s="368"/>
      <c r="AB208" s="368"/>
      <c r="AC208" s="368"/>
      <c r="AD208" s="368"/>
      <c r="AE208" s="365">
        <f t="shared" si="35"/>
        <v>0</v>
      </c>
      <c r="AF208" s="558"/>
      <c r="AG208" s="457"/>
      <c r="AH208" s="264"/>
    </row>
    <row r="209" spans="1:34" ht="60.75" thickBot="1" x14ac:dyDescent="0.3">
      <c r="A209" s="458" t="s">
        <v>666</v>
      </c>
      <c r="B209" s="447" t="s">
        <v>667</v>
      </c>
      <c r="C209" s="463" t="s">
        <v>335</v>
      </c>
      <c r="D209" s="449" t="s">
        <v>261</v>
      </c>
      <c r="E209" s="262"/>
      <c r="F209" s="470" t="s">
        <v>680</v>
      </c>
      <c r="G209" s="387" t="str">
        <f>VLOOKUP(A209,'Feature Summary'!$A$7:$C$3944,3,FALSE)</f>
        <v>P2</v>
      </c>
      <c r="H209" s="447" t="s">
        <v>681</v>
      </c>
      <c r="I209" s="488" t="s">
        <v>264</v>
      </c>
      <c r="J209" s="447" t="s">
        <v>679</v>
      </c>
      <c r="K209" s="263">
        <v>1</v>
      </c>
      <c r="L209" s="391">
        <v>1</v>
      </c>
      <c r="M209" s="399" t="s">
        <v>33</v>
      </c>
      <c r="N209" s="475">
        <v>1</v>
      </c>
      <c r="O209" s="391">
        <v>1</v>
      </c>
      <c r="P209" s="496">
        <f t="shared" si="33"/>
        <v>1</v>
      </c>
      <c r="Q209" s="445" t="s">
        <v>52</v>
      </c>
      <c r="R209" s="391">
        <v>1</v>
      </c>
      <c r="S209" s="362">
        <f t="shared" si="37"/>
        <v>1</v>
      </c>
      <c r="T209" s="368">
        <v>1</v>
      </c>
      <c r="U209" s="368"/>
      <c r="V209" s="368"/>
      <c r="W209" s="368"/>
      <c r="X209" s="364">
        <f t="shared" si="36"/>
        <v>1</v>
      </c>
      <c r="Y209" s="393"/>
      <c r="Z209" s="498">
        <f t="shared" si="34"/>
        <v>0</v>
      </c>
      <c r="AA209" s="368"/>
      <c r="AB209" s="368"/>
      <c r="AC209" s="368"/>
      <c r="AD209" s="368"/>
      <c r="AE209" s="365">
        <f t="shared" si="35"/>
        <v>0</v>
      </c>
      <c r="AF209" s="558"/>
      <c r="AG209" s="457"/>
      <c r="AH209" s="264"/>
    </row>
    <row r="210" spans="1:34" ht="60.75" thickBot="1" x14ac:dyDescent="0.3">
      <c r="A210" s="458" t="s">
        <v>666</v>
      </c>
      <c r="B210" s="447" t="s">
        <v>667</v>
      </c>
      <c r="C210" s="463" t="s">
        <v>335</v>
      </c>
      <c r="D210" s="449" t="s">
        <v>261</v>
      </c>
      <c r="E210" s="262"/>
      <c r="F210" s="470" t="s">
        <v>682</v>
      </c>
      <c r="G210" s="387" t="str">
        <f>VLOOKUP(A210,'Feature Summary'!$A$7:$C$3944,3,FALSE)</f>
        <v>P2</v>
      </c>
      <c r="H210" s="447" t="s">
        <v>683</v>
      </c>
      <c r="I210" s="488" t="s">
        <v>264</v>
      </c>
      <c r="J210" s="447" t="s">
        <v>684</v>
      </c>
      <c r="K210" s="263">
        <v>1</v>
      </c>
      <c r="L210" s="391">
        <v>1</v>
      </c>
      <c r="M210" s="399" t="s">
        <v>33</v>
      </c>
      <c r="N210" s="475">
        <v>1</v>
      </c>
      <c r="O210" s="391">
        <v>1</v>
      </c>
      <c r="P210" s="496">
        <f t="shared" si="33"/>
        <v>1</v>
      </c>
      <c r="Q210" s="445" t="s">
        <v>52</v>
      </c>
      <c r="R210" s="391">
        <v>1</v>
      </c>
      <c r="S210" s="362">
        <f t="shared" si="37"/>
        <v>1</v>
      </c>
      <c r="T210" s="368">
        <v>1</v>
      </c>
      <c r="U210" s="368"/>
      <c r="V210" s="368"/>
      <c r="W210" s="368"/>
      <c r="X210" s="364">
        <f t="shared" si="36"/>
        <v>1</v>
      </c>
      <c r="Y210" s="393"/>
      <c r="Z210" s="498">
        <f t="shared" si="34"/>
        <v>0</v>
      </c>
      <c r="AA210" s="368"/>
      <c r="AB210" s="368"/>
      <c r="AC210" s="368"/>
      <c r="AD210" s="368"/>
      <c r="AE210" s="365">
        <f t="shared" si="35"/>
        <v>0</v>
      </c>
      <c r="AF210" s="262"/>
      <c r="AG210" s="457"/>
      <c r="AH210" s="264"/>
    </row>
    <row r="211" spans="1:34" ht="60.75" thickBot="1" x14ac:dyDescent="0.3">
      <c r="A211" s="458" t="s">
        <v>666</v>
      </c>
      <c r="B211" s="447" t="s">
        <v>667</v>
      </c>
      <c r="C211" s="463" t="s">
        <v>335</v>
      </c>
      <c r="D211" s="449" t="s">
        <v>261</v>
      </c>
      <c r="E211" s="262"/>
      <c r="F211" s="470" t="s">
        <v>685</v>
      </c>
      <c r="G211" s="387" t="str">
        <f>VLOOKUP(A211,'Feature Summary'!$A$7:$C$3944,3,FALSE)</f>
        <v>P2</v>
      </c>
      <c r="H211" s="447" t="s">
        <v>686</v>
      </c>
      <c r="I211" s="488" t="s">
        <v>264</v>
      </c>
      <c r="J211" s="447" t="s">
        <v>679</v>
      </c>
      <c r="K211" s="263">
        <v>1</v>
      </c>
      <c r="L211" s="391">
        <v>1</v>
      </c>
      <c r="M211" s="399" t="s">
        <v>33</v>
      </c>
      <c r="N211" s="475">
        <v>1</v>
      </c>
      <c r="O211" s="391">
        <v>1</v>
      </c>
      <c r="P211" s="496">
        <f t="shared" si="33"/>
        <v>1</v>
      </c>
      <c r="Q211" s="445" t="s">
        <v>52</v>
      </c>
      <c r="R211" s="391">
        <v>1</v>
      </c>
      <c r="S211" s="362">
        <f t="shared" si="37"/>
        <v>1</v>
      </c>
      <c r="T211" s="368">
        <v>1</v>
      </c>
      <c r="U211" s="368"/>
      <c r="V211" s="368"/>
      <c r="W211" s="368"/>
      <c r="X211" s="364">
        <f t="shared" si="36"/>
        <v>1</v>
      </c>
      <c r="Y211" s="393"/>
      <c r="Z211" s="498">
        <f t="shared" si="34"/>
        <v>0</v>
      </c>
      <c r="AA211" s="368"/>
      <c r="AB211" s="368"/>
      <c r="AC211" s="368"/>
      <c r="AD211" s="368"/>
      <c r="AE211" s="365">
        <f t="shared" si="35"/>
        <v>0</v>
      </c>
      <c r="AF211" s="558"/>
      <c r="AG211" s="457"/>
      <c r="AH211" s="264"/>
    </row>
    <row r="212" spans="1:34" ht="29.1" customHeight="1" thickBot="1" x14ac:dyDescent="0.3">
      <c r="A212" s="458"/>
      <c r="B212" s="447" t="s">
        <v>667</v>
      </c>
      <c r="C212" s="463"/>
      <c r="D212" s="449" t="s">
        <v>261</v>
      </c>
      <c r="E212" s="262"/>
      <c r="F212" s="447" t="s">
        <v>668</v>
      </c>
      <c r="G212" s="387" t="e">
        <f>VLOOKUP(A212,'Feature Summary'!$A$7:$C$3944,3,FALSE)</f>
        <v>#N/A</v>
      </c>
      <c r="H212" s="447" t="s">
        <v>687</v>
      </c>
      <c r="I212" s="447"/>
      <c r="J212" s="481" t="s">
        <v>688</v>
      </c>
      <c r="K212" s="263"/>
      <c r="L212" s="391"/>
      <c r="M212" s="399" t="s">
        <v>33</v>
      </c>
      <c r="N212" s="475">
        <v>1</v>
      </c>
      <c r="O212" s="391"/>
      <c r="P212" s="496">
        <f t="shared" si="33"/>
        <v>0</v>
      </c>
      <c r="Q212" s="445" t="s">
        <v>52</v>
      </c>
      <c r="R212" s="391"/>
      <c r="S212" s="362">
        <f t="shared" si="37"/>
        <v>0</v>
      </c>
      <c r="T212" s="368"/>
      <c r="U212" s="368"/>
      <c r="V212" s="368"/>
      <c r="W212" s="368"/>
      <c r="X212" s="364">
        <f t="shared" si="36"/>
        <v>0</v>
      </c>
      <c r="Y212" s="393"/>
      <c r="Z212" s="498">
        <f t="shared" si="34"/>
        <v>0</v>
      </c>
      <c r="AA212" s="368"/>
      <c r="AB212" s="368"/>
      <c r="AC212" s="368"/>
      <c r="AD212" s="368"/>
      <c r="AE212" s="365">
        <f t="shared" si="35"/>
        <v>0</v>
      </c>
      <c r="AF212" s="558"/>
      <c r="AG212" s="457"/>
      <c r="AH212" s="264"/>
    </row>
    <row r="213" spans="1:34" ht="29.1" customHeight="1" thickBot="1" x14ac:dyDescent="0.3">
      <c r="A213" s="458"/>
      <c r="B213" s="447" t="s">
        <v>667</v>
      </c>
      <c r="C213" s="463"/>
      <c r="D213" s="449" t="s">
        <v>261</v>
      </c>
      <c r="E213" s="262"/>
      <c r="F213" s="447" t="s">
        <v>671</v>
      </c>
      <c r="G213" s="387" t="e">
        <f>VLOOKUP(A213,'Feature Summary'!$A$7:$C$3944,3,FALSE)</f>
        <v>#N/A</v>
      </c>
      <c r="H213" s="447" t="s">
        <v>689</v>
      </c>
      <c r="I213" s="447"/>
      <c r="J213" s="481" t="s">
        <v>688</v>
      </c>
      <c r="K213" s="263"/>
      <c r="L213" s="391"/>
      <c r="M213" s="399" t="s">
        <v>33</v>
      </c>
      <c r="N213" s="475">
        <v>1</v>
      </c>
      <c r="O213" s="391"/>
      <c r="P213" s="496">
        <f t="shared" si="33"/>
        <v>0</v>
      </c>
      <c r="Q213" s="445" t="s">
        <v>52</v>
      </c>
      <c r="R213" s="391"/>
      <c r="S213" s="362">
        <f t="shared" si="37"/>
        <v>0</v>
      </c>
      <c r="T213" s="368"/>
      <c r="U213" s="368"/>
      <c r="V213" s="368"/>
      <c r="W213" s="368"/>
      <c r="X213" s="364">
        <f t="shared" si="36"/>
        <v>0</v>
      </c>
      <c r="Y213" s="393"/>
      <c r="Z213" s="498">
        <f t="shared" si="34"/>
        <v>0</v>
      </c>
      <c r="AA213" s="368"/>
      <c r="AB213" s="368"/>
      <c r="AC213" s="368"/>
      <c r="AD213" s="368"/>
      <c r="AE213" s="365">
        <f t="shared" si="35"/>
        <v>0</v>
      </c>
      <c r="AF213" s="558"/>
      <c r="AG213" s="457"/>
      <c r="AH213" s="264"/>
    </row>
    <row r="214" spans="1:34" ht="45.75" thickBot="1" x14ac:dyDescent="0.3">
      <c r="A214" s="458"/>
      <c r="B214" s="447" t="s">
        <v>667</v>
      </c>
      <c r="C214" s="463"/>
      <c r="D214" s="449" t="s">
        <v>261</v>
      </c>
      <c r="E214" s="262"/>
      <c r="F214" s="447" t="s">
        <v>674</v>
      </c>
      <c r="G214" s="387" t="e">
        <f>VLOOKUP(A214,'Feature Summary'!$A$7:$C$3944,3,FALSE)</f>
        <v>#N/A</v>
      </c>
      <c r="H214" s="447" t="s">
        <v>690</v>
      </c>
      <c r="I214" s="447"/>
      <c r="J214" s="481" t="s">
        <v>691</v>
      </c>
      <c r="K214" s="263"/>
      <c r="L214" s="391"/>
      <c r="M214" s="399" t="s">
        <v>33</v>
      </c>
      <c r="N214" s="475">
        <v>1</v>
      </c>
      <c r="O214" s="391"/>
      <c r="P214" s="496">
        <f t="shared" si="33"/>
        <v>0</v>
      </c>
      <c r="Q214" s="445" t="s">
        <v>52</v>
      </c>
      <c r="R214" s="391"/>
      <c r="S214" s="362">
        <f t="shared" si="37"/>
        <v>0</v>
      </c>
      <c r="T214" s="368"/>
      <c r="U214" s="368"/>
      <c r="V214" s="368"/>
      <c r="W214" s="368"/>
      <c r="X214" s="364">
        <f t="shared" si="36"/>
        <v>0</v>
      </c>
      <c r="Y214" s="393"/>
      <c r="Z214" s="498">
        <f t="shared" si="34"/>
        <v>0</v>
      </c>
      <c r="AA214" s="368"/>
      <c r="AB214" s="368"/>
      <c r="AC214" s="368"/>
      <c r="AD214" s="368"/>
      <c r="AE214" s="365">
        <f t="shared" si="35"/>
        <v>0</v>
      </c>
      <c r="AF214" s="558"/>
      <c r="AG214" s="457"/>
      <c r="AH214" s="264"/>
    </row>
    <row r="215" spans="1:34" ht="45.75" thickBot="1" x14ac:dyDescent="0.3">
      <c r="A215" s="458"/>
      <c r="B215" s="447" t="s">
        <v>667</v>
      </c>
      <c r="C215" s="463"/>
      <c r="D215" s="449" t="s">
        <v>261</v>
      </c>
      <c r="E215" s="262"/>
      <c r="F215" s="447" t="s">
        <v>677</v>
      </c>
      <c r="G215" s="387" t="e">
        <f>VLOOKUP(A215,'Feature Summary'!$A$7:$C$3944,3,FALSE)</f>
        <v>#N/A</v>
      </c>
      <c r="H215" s="447" t="s">
        <v>692</v>
      </c>
      <c r="I215" s="447"/>
      <c r="J215" s="481" t="s">
        <v>688</v>
      </c>
      <c r="K215" s="263"/>
      <c r="L215" s="391"/>
      <c r="M215" s="399" t="s">
        <v>33</v>
      </c>
      <c r="N215" s="475">
        <v>1</v>
      </c>
      <c r="O215" s="391"/>
      <c r="P215" s="496">
        <f t="shared" si="33"/>
        <v>0</v>
      </c>
      <c r="Q215" s="445" t="s">
        <v>52</v>
      </c>
      <c r="R215" s="391"/>
      <c r="S215" s="362">
        <f t="shared" si="37"/>
        <v>0</v>
      </c>
      <c r="T215" s="368"/>
      <c r="U215" s="368"/>
      <c r="V215" s="368"/>
      <c r="W215" s="368"/>
      <c r="X215" s="364">
        <f t="shared" si="36"/>
        <v>0</v>
      </c>
      <c r="Y215" s="393"/>
      <c r="Z215" s="498">
        <f t="shared" si="34"/>
        <v>0</v>
      </c>
      <c r="AA215" s="368"/>
      <c r="AB215" s="368"/>
      <c r="AC215" s="368"/>
      <c r="AD215" s="368"/>
      <c r="AE215" s="365">
        <f t="shared" si="35"/>
        <v>0</v>
      </c>
      <c r="AF215" s="558"/>
      <c r="AG215" s="457"/>
      <c r="AH215" s="264"/>
    </row>
    <row r="216" spans="1:34" ht="45.75" thickBot="1" x14ac:dyDescent="0.3">
      <c r="A216" s="458"/>
      <c r="B216" s="447" t="s">
        <v>667</v>
      </c>
      <c r="C216" s="463"/>
      <c r="D216" s="449" t="s">
        <v>261</v>
      </c>
      <c r="E216" s="262"/>
      <c r="F216" s="470" t="s">
        <v>680</v>
      </c>
      <c r="G216" s="387" t="e">
        <f>VLOOKUP(A216,'Feature Summary'!$A$7:$C$3944,3,FALSE)</f>
        <v>#N/A</v>
      </c>
      <c r="H216" s="447" t="s">
        <v>693</v>
      </c>
      <c r="I216" s="447"/>
      <c r="J216" s="481" t="s">
        <v>688</v>
      </c>
      <c r="K216" s="263"/>
      <c r="L216" s="391"/>
      <c r="M216" s="399" t="s">
        <v>33</v>
      </c>
      <c r="N216" s="475">
        <v>1</v>
      </c>
      <c r="O216" s="391"/>
      <c r="P216" s="496">
        <f t="shared" si="33"/>
        <v>0</v>
      </c>
      <c r="Q216" s="445" t="s">
        <v>52</v>
      </c>
      <c r="R216" s="391"/>
      <c r="S216" s="362">
        <f t="shared" si="37"/>
        <v>0</v>
      </c>
      <c r="T216" s="368"/>
      <c r="U216" s="368"/>
      <c r="V216" s="368"/>
      <c r="W216" s="368"/>
      <c r="X216" s="364">
        <f t="shared" si="36"/>
        <v>0</v>
      </c>
      <c r="Y216" s="393"/>
      <c r="Z216" s="498">
        <f t="shared" si="34"/>
        <v>0</v>
      </c>
      <c r="AA216" s="368"/>
      <c r="AB216" s="368"/>
      <c r="AC216" s="368"/>
      <c r="AD216" s="368"/>
      <c r="AE216" s="365">
        <f t="shared" si="35"/>
        <v>0</v>
      </c>
      <c r="AF216" s="558"/>
      <c r="AG216" s="457"/>
      <c r="AH216" s="264"/>
    </row>
    <row r="217" spans="1:34" ht="45.75" thickBot="1" x14ac:dyDescent="0.3">
      <c r="A217" s="458"/>
      <c r="B217" s="447" t="s">
        <v>667</v>
      </c>
      <c r="C217" s="463"/>
      <c r="D217" s="449" t="s">
        <v>261</v>
      </c>
      <c r="E217" s="262"/>
      <c r="F217" s="470" t="s">
        <v>682</v>
      </c>
      <c r="G217" s="387" t="e">
        <f>VLOOKUP(A217,'Feature Summary'!$A$7:$C$3944,3,FALSE)</f>
        <v>#N/A</v>
      </c>
      <c r="H217" s="447" t="s">
        <v>694</v>
      </c>
      <c r="I217" s="447"/>
      <c r="J217" s="481" t="s">
        <v>691</v>
      </c>
      <c r="K217" s="263"/>
      <c r="L217" s="391"/>
      <c r="M217" s="399" t="s">
        <v>33</v>
      </c>
      <c r="N217" s="475">
        <v>1</v>
      </c>
      <c r="O217" s="391"/>
      <c r="P217" s="496">
        <f t="shared" si="33"/>
        <v>0</v>
      </c>
      <c r="Q217" s="445" t="s">
        <v>52</v>
      </c>
      <c r="R217" s="391"/>
      <c r="S217" s="362">
        <f t="shared" si="37"/>
        <v>0</v>
      </c>
      <c r="T217" s="368"/>
      <c r="U217" s="368"/>
      <c r="V217" s="368"/>
      <c r="W217" s="368"/>
      <c r="X217" s="364">
        <f t="shared" si="36"/>
        <v>0</v>
      </c>
      <c r="Y217" s="393"/>
      <c r="Z217" s="498">
        <f t="shared" si="34"/>
        <v>0</v>
      </c>
      <c r="AA217" s="368"/>
      <c r="AB217" s="368"/>
      <c r="AC217" s="368"/>
      <c r="AD217" s="368"/>
      <c r="AE217" s="365">
        <f t="shared" si="35"/>
        <v>0</v>
      </c>
      <c r="AF217" s="558"/>
      <c r="AG217" s="457"/>
      <c r="AH217" s="264"/>
    </row>
    <row r="218" spans="1:34" ht="45.75" thickBot="1" x14ac:dyDescent="0.3">
      <c r="A218" s="458"/>
      <c r="B218" s="447" t="s">
        <v>667</v>
      </c>
      <c r="C218" s="463"/>
      <c r="D218" s="449" t="s">
        <v>261</v>
      </c>
      <c r="E218" s="262"/>
      <c r="F218" s="470" t="s">
        <v>685</v>
      </c>
      <c r="G218" s="387" t="e">
        <f>VLOOKUP(A218,'Feature Summary'!$A$7:$C$3944,3,FALSE)</f>
        <v>#N/A</v>
      </c>
      <c r="H218" s="447" t="s">
        <v>695</v>
      </c>
      <c r="I218" s="447"/>
      <c r="J218" s="481" t="s">
        <v>688</v>
      </c>
      <c r="K218" s="263"/>
      <c r="L218" s="391"/>
      <c r="M218" s="399" t="s">
        <v>33</v>
      </c>
      <c r="N218" s="475">
        <v>1</v>
      </c>
      <c r="O218" s="391"/>
      <c r="P218" s="496">
        <f t="shared" si="33"/>
        <v>0</v>
      </c>
      <c r="Q218" s="445" t="s">
        <v>52</v>
      </c>
      <c r="R218" s="391"/>
      <c r="S218" s="362">
        <f t="shared" si="37"/>
        <v>0</v>
      </c>
      <c r="T218" s="368"/>
      <c r="U218" s="368"/>
      <c r="V218" s="368"/>
      <c r="W218" s="368"/>
      <c r="X218" s="364">
        <f t="shared" si="36"/>
        <v>0</v>
      </c>
      <c r="Y218" s="393"/>
      <c r="Z218" s="498">
        <f t="shared" si="34"/>
        <v>0</v>
      </c>
      <c r="AA218" s="368"/>
      <c r="AB218" s="368"/>
      <c r="AC218" s="368"/>
      <c r="AD218" s="368"/>
      <c r="AE218" s="365">
        <f t="shared" si="35"/>
        <v>0</v>
      </c>
      <c r="AF218" s="558"/>
      <c r="AG218" s="457"/>
      <c r="AH218" s="264"/>
    </row>
    <row r="219" spans="1:34" ht="45.75" thickBot="1" x14ac:dyDescent="0.3">
      <c r="A219" s="458"/>
      <c r="B219" s="447" t="s">
        <v>667</v>
      </c>
      <c r="C219" s="463"/>
      <c r="D219" s="449" t="s">
        <v>261</v>
      </c>
      <c r="E219" s="262"/>
      <c r="F219" s="447" t="s">
        <v>668</v>
      </c>
      <c r="G219" s="387" t="e">
        <f>VLOOKUP(A219,'Feature Summary'!$A$7:$C$3944,3,FALSE)</f>
        <v>#N/A</v>
      </c>
      <c r="H219" s="447" t="s">
        <v>696</v>
      </c>
      <c r="I219" s="447"/>
      <c r="J219" s="481" t="s">
        <v>697</v>
      </c>
      <c r="K219" s="263"/>
      <c r="L219" s="391"/>
      <c r="M219" s="399" t="s">
        <v>33</v>
      </c>
      <c r="N219" s="475">
        <v>1</v>
      </c>
      <c r="O219" s="391"/>
      <c r="P219" s="496">
        <f t="shared" si="33"/>
        <v>0</v>
      </c>
      <c r="Q219" s="445" t="s">
        <v>52</v>
      </c>
      <c r="R219" s="391"/>
      <c r="S219" s="362">
        <f t="shared" si="37"/>
        <v>0</v>
      </c>
      <c r="T219" s="368"/>
      <c r="U219" s="368"/>
      <c r="V219" s="368"/>
      <c r="W219" s="368"/>
      <c r="X219" s="364">
        <f t="shared" si="36"/>
        <v>0</v>
      </c>
      <c r="Y219" s="393"/>
      <c r="Z219" s="498">
        <f t="shared" si="34"/>
        <v>0</v>
      </c>
      <c r="AA219" s="368"/>
      <c r="AB219" s="368"/>
      <c r="AC219" s="368"/>
      <c r="AD219" s="368"/>
      <c r="AE219" s="365">
        <f t="shared" si="35"/>
        <v>0</v>
      </c>
      <c r="AF219" s="558"/>
      <c r="AG219" s="457"/>
      <c r="AH219" s="264"/>
    </row>
    <row r="220" spans="1:34" ht="45.75" thickBot="1" x14ac:dyDescent="0.3">
      <c r="A220" s="458"/>
      <c r="B220" s="447" t="s">
        <v>667</v>
      </c>
      <c r="C220" s="463"/>
      <c r="D220" s="449" t="s">
        <v>261</v>
      </c>
      <c r="E220" s="262"/>
      <c r="F220" s="447" t="s">
        <v>671</v>
      </c>
      <c r="G220" s="387" t="e">
        <f>VLOOKUP(A220,'Feature Summary'!$A$7:$C$3944,3,FALSE)</f>
        <v>#N/A</v>
      </c>
      <c r="H220" s="447" t="s">
        <v>698</v>
      </c>
      <c r="I220" s="447"/>
      <c r="J220" s="481" t="s">
        <v>697</v>
      </c>
      <c r="K220" s="263"/>
      <c r="L220" s="391"/>
      <c r="M220" s="399" t="s">
        <v>33</v>
      </c>
      <c r="N220" s="475">
        <v>1</v>
      </c>
      <c r="O220" s="391"/>
      <c r="P220" s="496">
        <f t="shared" si="33"/>
        <v>0</v>
      </c>
      <c r="Q220" s="445" t="s">
        <v>52</v>
      </c>
      <c r="R220" s="391"/>
      <c r="S220" s="362">
        <f t="shared" si="37"/>
        <v>0</v>
      </c>
      <c r="T220" s="368"/>
      <c r="U220" s="368"/>
      <c r="V220" s="368"/>
      <c r="W220" s="368"/>
      <c r="X220" s="364">
        <f t="shared" si="36"/>
        <v>0</v>
      </c>
      <c r="Y220" s="393"/>
      <c r="Z220" s="498">
        <f t="shared" si="34"/>
        <v>0</v>
      </c>
      <c r="AA220" s="368"/>
      <c r="AB220" s="368"/>
      <c r="AC220" s="368"/>
      <c r="AD220" s="368"/>
      <c r="AE220" s="365">
        <f t="shared" si="35"/>
        <v>0</v>
      </c>
      <c r="AF220" s="558"/>
      <c r="AG220" s="457"/>
      <c r="AH220" s="264"/>
    </row>
    <row r="221" spans="1:34" ht="45.75" thickBot="1" x14ac:dyDescent="0.3">
      <c r="A221" s="458"/>
      <c r="B221" s="447" t="s">
        <v>667</v>
      </c>
      <c r="C221" s="463"/>
      <c r="D221" s="449" t="s">
        <v>261</v>
      </c>
      <c r="E221" s="262"/>
      <c r="F221" s="447" t="s">
        <v>674</v>
      </c>
      <c r="G221" s="387" t="e">
        <f>VLOOKUP(A221,'Feature Summary'!$A$7:$C$3944,3,FALSE)</f>
        <v>#N/A</v>
      </c>
      <c r="H221" s="447" t="s">
        <v>699</v>
      </c>
      <c r="I221" s="447"/>
      <c r="J221" s="481" t="s">
        <v>700</v>
      </c>
      <c r="K221" s="263"/>
      <c r="L221" s="391"/>
      <c r="M221" s="399" t="s">
        <v>33</v>
      </c>
      <c r="N221" s="475">
        <v>1</v>
      </c>
      <c r="O221" s="391"/>
      <c r="P221" s="496">
        <f t="shared" si="33"/>
        <v>0</v>
      </c>
      <c r="Q221" s="445" t="s">
        <v>52</v>
      </c>
      <c r="R221" s="391"/>
      <c r="S221" s="362">
        <f t="shared" si="37"/>
        <v>0</v>
      </c>
      <c r="T221" s="368"/>
      <c r="U221" s="368"/>
      <c r="V221" s="368"/>
      <c r="W221" s="368"/>
      <c r="X221" s="364">
        <f t="shared" si="36"/>
        <v>0</v>
      </c>
      <c r="Y221" s="393"/>
      <c r="Z221" s="498">
        <f t="shared" si="34"/>
        <v>0</v>
      </c>
      <c r="AA221" s="368"/>
      <c r="AB221" s="368"/>
      <c r="AC221" s="368"/>
      <c r="AD221" s="368"/>
      <c r="AE221" s="365">
        <f t="shared" si="35"/>
        <v>0</v>
      </c>
      <c r="AF221" s="558"/>
      <c r="AG221" s="457"/>
      <c r="AH221" s="264"/>
    </row>
    <row r="222" spans="1:34" ht="45.75" thickBot="1" x14ac:dyDescent="0.3">
      <c r="A222" s="458"/>
      <c r="B222" s="447" t="s">
        <v>667</v>
      </c>
      <c r="C222" s="463"/>
      <c r="D222" s="449" t="s">
        <v>261</v>
      </c>
      <c r="E222" s="262"/>
      <c r="F222" s="447" t="s">
        <v>677</v>
      </c>
      <c r="G222" s="387" t="e">
        <f>VLOOKUP(A222,'Feature Summary'!$A$7:$C$3944,3,FALSE)</f>
        <v>#N/A</v>
      </c>
      <c r="H222" s="447" t="s">
        <v>701</v>
      </c>
      <c r="I222" s="447"/>
      <c r="J222" s="481" t="s">
        <v>697</v>
      </c>
      <c r="K222" s="263"/>
      <c r="L222" s="391"/>
      <c r="M222" s="399" t="s">
        <v>33</v>
      </c>
      <c r="N222" s="475">
        <v>1</v>
      </c>
      <c r="O222" s="391"/>
      <c r="P222" s="496">
        <f t="shared" si="33"/>
        <v>0</v>
      </c>
      <c r="Q222" s="445" t="s">
        <v>52</v>
      </c>
      <c r="R222" s="391"/>
      <c r="S222" s="362">
        <f t="shared" si="37"/>
        <v>0</v>
      </c>
      <c r="T222" s="368"/>
      <c r="U222" s="368"/>
      <c r="V222" s="368"/>
      <c r="W222" s="368"/>
      <c r="X222" s="364">
        <f t="shared" si="36"/>
        <v>0</v>
      </c>
      <c r="Y222" s="393"/>
      <c r="Z222" s="498">
        <f t="shared" si="34"/>
        <v>0</v>
      </c>
      <c r="AA222" s="368"/>
      <c r="AB222" s="368"/>
      <c r="AC222" s="368"/>
      <c r="AD222" s="368"/>
      <c r="AE222" s="365">
        <f t="shared" si="35"/>
        <v>0</v>
      </c>
      <c r="AF222" s="558"/>
      <c r="AG222" s="457"/>
      <c r="AH222" s="264"/>
    </row>
    <row r="223" spans="1:34" ht="45.75" thickBot="1" x14ac:dyDescent="0.3">
      <c r="A223" s="458"/>
      <c r="B223" s="447" t="s">
        <v>667</v>
      </c>
      <c r="C223" s="463"/>
      <c r="D223" s="449" t="s">
        <v>261</v>
      </c>
      <c r="E223" s="262"/>
      <c r="F223" s="470" t="s">
        <v>680</v>
      </c>
      <c r="G223" s="387" t="e">
        <f>VLOOKUP(A223,'Feature Summary'!$A$7:$C$3944,3,FALSE)</f>
        <v>#N/A</v>
      </c>
      <c r="H223" s="447" t="s">
        <v>702</v>
      </c>
      <c r="I223" s="447"/>
      <c r="J223" s="481" t="s">
        <v>697</v>
      </c>
      <c r="K223" s="263"/>
      <c r="L223" s="391"/>
      <c r="M223" s="399" t="s">
        <v>33</v>
      </c>
      <c r="N223" s="475">
        <v>1</v>
      </c>
      <c r="O223" s="391"/>
      <c r="P223" s="496">
        <f t="shared" si="33"/>
        <v>0</v>
      </c>
      <c r="Q223" s="445" t="s">
        <v>52</v>
      </c>
      <c r="R223" s="391"/>
      <c r="S223" s="362">
        <f t="shared" si="37"/>
        <v>0</v>
      </c>
      <c r="T223" s="368"/>
      <c r="U223" s="368"/>
      <c r="V223" s="368"/>
      <c r="W223" s="368"/>
      <c r="X223" s="364">
        <f t="shared" si="36"/>
        <v>0</v>
      </c>
      <c r="Y223" s="393"/>
      <c r="Z223" s="498">
        <f t="shared" si="34"/>
        <v>0</v>
      </c>
      <c r="AA223" s="368"/>
      <c r="AB223" s="368"/>
      <c r="AC223" s="368"/>
      <c r="AD223" s="368"/>
      <c r="AE223" s="365">
        <f t="shared" si="35"/>
        <v>0</v>
      </c>
      <c r="AF223" s="558"/>
      <c r="AG223" s="457"/>
      <c r="AH223" s="264"/>
    </row>
    <row r="224" spans="1:34" ht="45.75" thickBot="1" x14ac:dyDescent="0.3">
      <c r="A224" s="458"/>
      <c r="B224" s="447" t="s">
        <v>667</v>
      </c>
      <c r="C224" s="463"/>
      <c r="D224" s="449" t="s">
        <v>261</v>
      </c>
      <c r="E224" s="262"/>
      <c r="F224" s="470" t="s">
        <v>682</v>
      </c>
      <c r="G224" s="387" t="e">
        <f>VLOOKUP(A224,'Feature Summary'!$A$7:$C$3944,3,FALSE)</f>
        <v>#N/A</v>
      </c>
      <c r="H224" s="447" t="s">
        <v>703</v>
      </c>
      <c r="I224" s="447"/>
      <c r="J224" s="481" t="s">
        <v>700</v>
      </c>
      <c r="K224" s="263"/>
      <c r="L224" s="391"/>
      <c r="M224" s="399" t="s">
        <v>33</v>
      </c>
      <c r="N224" s="475">
        <v>1</v>
      </c>
      <c r="O224" s="391"/>
      <c r="P224" s="496">
        <f t="shared" si="33"/>
        <v>0</v>
      </c>
      <c r="Q224" s="445" t="s">
        <v>52</v>
      </c>
      <c r="R224" s="391"/>
      <c r="S224" s="362">
        <f t="shared" si="37"/>
        <v>0</v>
      </c>
      <c r="T224" s="368"/>
      <c r="U224" s="368"/>
      <c r="V224" s="368"/>
      <c r="W224" s="368"/>
      <c r="X224" s="364">
        <f t="shared" si="36"/>
        <v>0</v>
      </c>
      <c r="Y224" s="393"/>
      <c r="Z224" s="498">
        <f t="shared" si="34"/>
        <v>0</v>
      </c>
      <c r="AA224" s="368"/>
      <c r="AB224" s="368"/>
      <c r="AC224" s="368"/>
      <c r="AD224" s="368"/>
      <c r="AE224" s="365">
        <f t="shared" si="35"/>
        <v>0</v>
      </c>
      <c r="AF224" s="558"/>
      <c r="AG224" s="457"/>
      <c r="AH224" s="264"/>
    </row>
    <row r="225" spans="1:34" ht="45.75" thickBot="1" x14ac:dyDescent="0.3">
      <c r="A225" s="458"/>
      <c r="B225" s="447" t="s">
        <v>667</v>
      </c>
      <c r="C225" s="463"/>
      <c r="D225" s="449" t="s">
        <v>261</v>
      </c>
      <c r="E225" s="262"/>
      <c r="F225" s="470" t="s">
        <v>685</v>
      </c>
      <c r="G225" s="387" t="e">
        <f>VLOOKUP(A225,'Feature Summary'!$A$7:$C$3944,3,FALSE)</f>
        <v>#N/A</v>
      </c>
      <c r="H225" s="447" t="s">
        <v>704</v>
      </c>
      <c r="I225" s="447"/>
      <c r="J225" s="481" t="s">
        <v>697</v>
      </c>
      <c r="K225" s="263"/>
      <c r="L225" s="391"/>
      <c r="M225" s="399" t="s">
        <v>33</v>
      </c>
      <c r="N225" s="475">
        <v>1</v>
      </c>
      <c r="O225" s="391"/>
      <c r="P225" s="496">
        <f t="shared" si="33"/>
        <v>0</v>
      </c>
      <c r="Q225" s="445" t="s">
        <v>52</v>
      </c>
      <c r="R225" s="391"/>
      <c r="S225" s="362">
        <f t="shared" si="37"/>
        <v>0</v>
      </c>
      <c r="T225" s="368"/>
      <c r="U225" s="368"/>
      <c r="V225" s="368"/>
      <c r="W225" s="368"/>
      <c r="X225" s="364">
        <f t="shared" si="36"/>
        <v>0</v>
      </c>
      <c r="Y225" s="393"/>
      <c r="Z225" s="498">
        <f t="shared" si="34"/>
        <v>0</v>
      </c>
      <c r="AA225" s="368"/>
      <c r="AB225" s="368"/>
      <c r="AC225" s="368"/>
      <c r="AD225" s="368"/>
      <c r="AE225" s="365">
        <f t="shared" si="35"/>
        <v>0</v>
      </c>
      <c r="AF225" s="558"/>
      <c r="AG225" s="457"/>
      <c r="AH225" s="264"/>
    </row>
    <row r="226" spans="1:34" ht="45.75" thickBot="1" x14ac:dyDescent="0.3">
      <c r="A226" s="458"/>
      <c r="B226" s="447" t="s">
        <v>667</v>
      </c>
      <c r="C226" s="463"/>
      <c r="D226" s="449" t="s">
        <v>261</v>
      </c>
      <c r="E226" s="262"/>
      <c r="F226" s="447" t="s">
        <v>668</v>
      </c>
      <c r="G226" s="387" t="e">
        <f>VLOOKUP(A226,'Feature Summary'!$A$7:$C$3944,3,FALSE)</f>
        <v>#N/A</v>
      </c>
      <c r="H226" s="447" t="s">
        <v>705</v>
      </c>
      <c r="I226" s="447"/>
      <c r="J226" s="481" t="s">
        <v>706</v>
      </c>
      <c r="K226" s="263"/>
      <c r="L226" s="391"/>
      <c r="M226" s="399" t="s">
        <v>33</v>
      </c>
      <c r="N226" s="475">
        <v>1</v>
      </c>
      <c r="O226" s="391"/>
      <c r="P226" s="496">
        <f t="shared" si="33"/>
        <v>0</v>
      </c>
      <c r="Q226" s="445" t="s">
        <v>52</v>
      </c>
      <c r="R226" s="391"/>
      <c r="S226" s="362">
        <f t="shared" si="37"/>
        <v>0</v>
      </c>
      <c r="T226" s="368"/>
      <c r="U226" s="368"/>
      <c r="V226" s="368"/>
      <c r="W226" s="368"/>
      <c r="X226" s="364">
        <f t="shared" si="36"/>
        <v>0</v>
      </c>
      <c r="Y226" s="393"/>
      <c r="Z226" s="498">
        <f t="shared" si="34"/>
        <v>0</v>
      </c>
      <c r="AA226" s="368"/>
      <c r="AB226" s="368"/>
      <c r="AC226" s="368"/>
      <c r="AD226" s="368"/>
      <c r="AE226" s="365">
        <f t="shared" si="35"/>
        <v>0</v>
      </c>
      <c r="AF226" s="558"/>
      <c r="AG226" s="457"/>
      <c r="AH226" s="264"/>
    </row>
    <row r="227" spans="1:34" ht="45.75" thickBot="1" x14ac:dyDescent="0.3">
      <c r="A227" s="458"/>
      <c r="B227" s="447" t="s">
        <v>667</v>
      </c>
      <c r="C227" s="463"/>
      <c r="D227" s="449" t="s">
        <v>261</v>
      </c>
      <c r="E227" s="262"/>
      <c r="F227" s="447" t="s">
        <v>671</v>
      </c>
      <c r="G227" s="387" t="e">
        <f>VLOOKUP(A227,'Feature Summary'!$A$7:$C$3944,3,FALSE)</f>
        <v>#N/A</v>
      </c>
      <c r="H227" s="447" t="s">
        <v>707</v>
      </c>
      <c r="I227" s="447"/>
      <c r="J227" s="481" t="s">
        <v>706</v>
      </c>
      <c r="K227" s="263"/>
      <c r="L227" s="391"/>
      <c r="M227" s="399" t="s">
        <v>33</v>
      </c>
      <c r="N227" s="475">
        <v>1</v>
      </c>
      <c r="O227" s="391"/>
      <c r="P227" s="496">
        <f t="shared" si="33"/>
        <v>0</v>
      </c>
      <c r="Q227" s="445" t="s">
        <v>52</v>
      </c>
      <c r="R227" s="391"/>
      <c r="S227" s="362">
        <f t="shared" si="37"/>
        <v>0</v>
      </c>
      <c r="T227" s="368"/>
      <c r="U227" s="368"/>
      <c r="V227" s="368"/>
      <c r="W227" s="368"/>
      <c r="X227" s="364">
        <f t="shared" si="36"/>
        <v>0</v>
      </c>
      <c r="Y227" s="393"/>
      <c r="Z227" s="498">
        <f t="shared" si="34"/>
        <v>0</v>
      </c>
      <c r="AA227" s="368"/>
      <c r="AB227" s="368"/>
      <c r="AC227" s="368"/>
      <c r="AD227" s="368"/>
      <c r="AE227" s="365">
        <f t="shared" si="35"/>
        <v>0</v>
      </c>
      <c r="AF227" s="558"/>
      <c r="AG227" s="457"/>
      <c r="AH227" s="264"/>
    </row>
    <row r="228" spans="1:34" ht="45.75" thickBot="1" x14ac:dyDescent="0.3">
      <c r="A228" s="458"/>
      <c r="B228" s="447" t="s">
        <v>667</v>
      </c>
      <c r="C228" s="463"/>
      <c r="D228" s="449" t="s">
        <v>261</v>
      </c>
      <c r="E228" s="262"/>
      <c r="F228" s="447" t="s">
        <v>674</v>
      </c>
      <c r="G228" s="387" t="e">
        <f>VLOOKUP(A228,'Feature Summary'!$A$7:$C$3944,3,FALSE)</f>
        <v>#N/A</v>
      </c>
      <c r="H228" s="447" t="s">
        <v>708</v>
      </c>
      <c r="I228" s="447"/>
      <c r="J228" s="481" t="s">
        <v>709</v>
      </c>
      <c r="K228" s="263"/>
      <c r="L228" s="391"/>
      <c r="M228" s="399" t="s">
        <v>33</v>
      </c>
      <c r="N228" s="475">
        <v>1</v>
      </c>
      <c r="O228" s="391"/>
      <c r="P228" s="496">
        <f t="shared" si="33"/>
        <v>0</v>
      </c>
      <c r="Q228" s="445" t="s">
        <v>52</v>
      </c>
      <c r="R228" s="391"/>
      <c r="S228" s="362">
        <f t="shared" si="37"/>
        <v>0</v>
      </c>
      <c r="T228" s="368"/>
      <c r="U228" s="368"/>
      <c r="V228" s="368"/>
      <c r="W228" s="368"/>
      <c r="X228" s="364">
        <f t="shared" si="36"/>
        <v>0</v>
      </c>
      <c r="Y228" s="393"/>
      <c r="Z228" s="498">
        <f t="shared" si="34"/>
        <v>0</v>
      </c>
      <c r="AA228" s="368"/>
      <c r="AB228" s="368"/>
      <c r="AC228" s="368"/>
      <c r="AD228" s="368"/>
      <c r="AE228" s="365">
        <f t="shared" si="35"/>
        <v>0</v>
      </c>
      <c r="AF228" s="558"/>
      <c r="AG228" s="457"/>
      <c r="AH228" s="264"/>
    </row>
    <row r="229" spans="1:34" ht="45.75" thickBot="1" x14ac:dyDescent="0.3">
      <c r="A229" s="458"/>
      <c r="B229" s="447" t="s">
        <v>667</v>
      </c>
      <c r="C229" s="463"/>
      <c r="D229" s="449" t="s">
        <v>261</v>
      </c>
      <c r="E229" s="262"/>
      <c r="F229" s="447" t="s">
        <v>677</v>
      </c>
      <c r="G229" s="387" t="e">
        <f>VLOOKUP(A229,'Feature Summary'!$A$7:$C$3944,3,FALSE)</f>
        <v>#N/A</v>
      </c>
      <c r="H229" s="447" t="s">
        <v>710</v>
      </c>
      <c r="I229" s="447"/>
      <c r="J229" s="481" t="s">
        <v>706</v>
      </c>
      <c r="K229" s="263"/>
      <c r="L229" s="391"/>
      <c r="M229" s="399" t="s">
        <v>33</v>
      </c>
      <c r="N229" s="475">
        <v>1</v>
      </c>
      <c r="O229" s="391"/>
      <c r="P229" s="496">
        <f t="shared" si="33"/>
        <v>0</v>
      </c>
      <c r="Q229" s="445" t="s">
        <v>52</v>
      </c>
      <c r="R229" s="391"/>
      <c r="S229" s="362">
        <f t="shared" si="37"/>
        <v>0</v>
      </c>
      <c r="T229" s="368"/>
      <c r="U229" s="368"/>
      <c r="V229" s="368"/>
      <c r="W229" s="368"/>
      <c r="X229" s="364">
        <f t="shared" si="36"/>
        <v>0</v>
      </c>
      <c r="Y229" s="393"/>
      <c r="Z229" s="498">
        <f t="shared" si="34"/>
        <v>0</v>
      </c>
      <c r="AA229" s="368"/>
      <c r="AB229" s="368"/>
      <c r="AC229" s="368"/>
      <c r="AD229" s="368"/>
      <c r="AE229" s="365">
        <f t="shared" si="35"/>
        <v>0</v>
      </c>
      <c r="AF229" s="558"/>
      <c r="AG229" s="457"/>
      <c r="AH229" s="264"/>
    </row>
    <row r="230" spans="1:34" ht="45.75" thickBot="1" x14ac:dyDescent="0.3">
      <c r="A230" s="458"/>
      <c r="B230" s="447" t="s">
        <v>667</v>
      </c>
      <c r="C230" s="463"/>
      <c r="D230" s="449" t="s">
        <v>261</v>
      </c>
      <c r="E230" s="262"/>
      <c r="F230" s="470" t="s">
        <v>680</v>
      </c>
      <c r="G230" s="387" t="e">
        <f>VLOOKUP(A230,'Feature Summary'!$A$7:$C$3944,3,FALSE)</f>
        <v>#N/A</v>
      </c>
      <c r="H230" s="447" t="s">
        <v>711</v>
      </c>
      <c r="I230" s="447"/>
      <c r="J230" s="481" t="s">
        <v>706</v>
      </c>
      <c r="K230" s="263"/>
      <c r="L230" s="391"/>
      <c r="M230" s="399" t="s">
        <v>33</v>
      </c>
      <c r="N230" s="475">
        <v>1</v>
      </c>
      <c r="O230" s="391"/>
      <c r="P230" s="496">
        <f t="shared" si="33"/>
        <v>0</v>
      </c>
      <c r="Q230" s="445" t="s">
        <v>52</v>
      </c>
      <c r="R230" s="391"/>
      <c r="S230" s="362">
        <f t="shared" si="37"/>
        <v>0</v>
      </c>
      <c r="T230" s="368"/>
      <c r="U230" s="368"/>
      <c r="V230" s="368"/>
      <c r="W230" s="368"/>
      <c r="X230" s="364">
        <f t="shared" si="36"/>
        <v>0</v>
      </c>
      <c r="Y230" s="393"/>
      <c r="Z230" s="498">
        <f t="shared" si="34"/>
        <v>0</v>
      </c>
      <c r="AA230" s="368"/>
      <c r="AB230" s="368"/>
      <c r="AC230" s="368"/>
      <c r="AD230" s="368"/>
      <c r="AE230" s="365">
        <f t="shared" si="35"/>
        <v>0</v>
      </c>
      <c r="AF230" s="558"/>
      <c r="AG230" s="457"/>
      <c r="AH230" s="264"/>
    </row>
    <row r="231" spans="1:34" ht="45.75" thickBot="1" x14ac:dyDescent="0.3">
      <c r="A231" s="458"/>
      <c r="B231" s="447" t="s">
        <v>667</v>
      </c>
      <c r="C231" s="463"/>
      <c r="D231" s="449" t="s">
        <v>261</v>
      </c>
      <c r="E231" s="262"/>
      <c r="F231" s="470" t="s">
        <v>682</v>
      </c>
      <c r="G231" s="387" t="e">
        <f>VLOOKUP(A231,'Feature Summary'!$A$7:$C$3944,3,FALSE)</f>
        <v>#N/A</v>
      </c>
      <c r="H231" s="447" t="s">
        <v>712</v>
      </c>
      <c r="I231" s="447"/>
      <c r="J231" s="481" t="s">
        <v>709</v>
      </c>
      <c r="K231" s="263"/>
      <c r="L231" s="391"/>
      <c r="M231" s="399" t="s">
        <v>33</v>
      </c>
      <c r="N231" s="475">
        <v>1</v>
      </c>
      <c r="O231" s="391"/>
      <c r="P231" s="496">
        <f t="shared" si="33"/>
        <v>0</v>
      </c>
      <c r="Q231" s="445" t="s">
        <v>52</v>
      </c>
      <c r="R231" s="391"/>
      <c r="S231" s="362">
        <f t="shared" si="37"/>
        <v>0</v>
      </c>
      <c r="T231" s="368"/>
      <c r="U231" s="368"/>
      <c r="V231" s="368"/>
      <c r="W231" s="368"/>
      <c r="X231" s="364">
        <f t="shared" si="36"/>
        <v>0</v>
      </c>
      <c r="Y231" s="393"/>
      <c r="Z231" s="498">
        <f t="shared" si="34"/>
        <v>0</v>
      </c>
      <c r="AA231" s="368"/>
      <c r="AB231" s="368"/>
      <c r="AC231" s="368"/>
      <c r="AD231" s="368"/>
      <c r="AE231" s="365">
        <f t="shared" si="35"/>
        <v>0</v>
      </c>
      <c r="AF231" s="558"/>
      <c r="AG231" s="457"/>
      <c r="AH231" s="264"/>
    </row>
    <row r="232" spans="1:34" ht="45.75" thickBot="1" x14ac:dyDescent="0.3">
      <c r="A232" s="458"/>
      <c r="B232" s="447" t="s">
        <v>667</v>
      </c>
      <c r="C232" s="463"/>
      <c r="D232" s="449" t="s">
        <v>261</v>
      </c>
      <c r="E232" s="262"/>
      <c r="F232" s="470" t="s">
        <v>685</v>
      </c>
      <c r="G232" s="387" t="e">
        <f>VLOOKUP(A232,'Feature Summary'!$A$7:$C$3944,3,FALSE)</f>
        <v>#N/A</v>
      </c>
      <c r="H232" s="447" t="s">
        <v>713</v>
      </c>
      <c r="I232" s="447"/>
      <c r="J232" s="481" t="s">
        <v>706</v>
      </c>
      <c r="K232" s="263"/>
      <c r="L232" s="391"/>
      <c r="M232" s="399" t="s">
        <v>33</v>
      </c>
      <c r="N232" s="475">
        <v>1</v>
      </c>
      <c r="O232" s="391"/>
      <c r="P232" s="496">
        <f t="shared" si="33"/>
        <v>0</v>
      </c>
      <c r="Q232" s="445" t="s">
        <v>52</v>
      </c>
      <c r="R232" s="391"/>
      <c r="S232" s="362">
        <f t="shared" si="37"/>
        <v>0</v>
      </c>
      <c r="T232" s="368"/>
      <c r="U232" s="368"/>
      <c r="V232" s="368"/>
      <c r="W232" s="368"/>
      <c r="X232" s="364">
        <f t="shared" si="36"/>
        <v>0</v>
      </c>
      <c r="Y232" s="393"/>
      <c r="Z232" s="498">
        <f t="shared" si="34"/>
        <v>0</v>
      </c>
      <c r="AA232" s="368"/>
      <c r="AB232" s="368"/>
      <c r="AC232" s="368"/>
      <c r="AD232" s="368"/>
      <c r="AE232" s="365">
        <f t="shared" si="35"/>
        <v>0</v>
      </c>
      <c r="AF232" s="558"/>
      <c r="AG232" s="457"/>
      <c r="AH232" s="264"/>
    </row>
    <row r="233" spans="1:34" ht="30.75" thickBot="1" x14ac:dyDescent="0.3">
      <c r="A233" s="474" t="s">
        <v>714</v>
      </c>
      <c r="B233" s="463"/>
      <c r="C233" s="463" t="s">
        <v>335</v>
      </c>
      <c r="D233" s="449" t="s">
        <v>261</v>
      </c>
      <c r="E233" s="262"/>
      <c r="F233" s="447" t="s">
        <v>715</v>
      </c>
      <c r="G233" s="387" t="e">
        <f>VLOOKUP(A233,'Feature Summary'!$A$7:$C$3944,3,FALSE)</f>
        <v>#N/A</v>
      </c>
      <c r="H233" s="447" t="s">
        <v>716</v>
      </c>
      <c r="I233" s="488" t="s">
        <v>264</v>
      </c>
      <c r="J233" s="448" t="s">
        <v>281</v>
      </c>
      <c r="K233" s="263">
        <v>1</v>
      </c>
      <c r="L233" s="391">
        <v>1</v>
      </c>
      <c r="M233" s="399" t="s">
        <v>33</v>
      </c>
      <c r="N233" s="475">
        <v>1</v>
      </c>
      <c r="O233" s="391">
        <v>1</v>
      </c>
      <c r="P233" s="496">
        <f t="shared" si="33"/>
        <v>1</v>
      </c>
      <c r="Q233" s="445" t="s">
        <v>52</v>
      </c>
      <c r="R233" s="391">
        <v>1</v>
      </c>
      <c r="S233" s="362">
        <f t="shared" si="37"/>
        <v>1</v>
      </c>
      <c r="T233" s="368">
        <v>1</v>
      </c>
      <c r="U233" s="368"/>
      <c r="V233" s="368"/>
      <c r="W233" s="368"/>
      <c r="X233" s="364">
        <f t="shared" si="36"/>
        <v>1</v>
      </c>
      <c r="Y233" s="393"/>
      <c r="Z233" s="498">
        <f t="shared" si="34"/>
        <v>0</v>
      </c>
      <c r="AA233" s="368"/>
      <c r="AB233" s="368"/>
      <c r="AC233" s="368"/>
      <c r="AD233" s="368"/>
      <c r="AE233" s="365">
        <f t="shared" si="35"/>
        <v>0</v>
      </c>
      <c r="AF233" s="262"/>
      <c r="AG233" s="457"/>
      <c r="AH233" s="264"/>
    </row>
    <row r="234" spans="1:34" ht="30.75" thickBot="1" x14ac:dyDescent="0.3">
      <c r="A234" s="458"/>
      <c r="B234" s="463"/>
      <c r="C234" s="463"/>
      <c r="D234" s="449" t="s">
        <v>261</v>
      </c>
      <c r="E234" s="262"/>
      <c r="F234" s="447" t="s">
        <v>715</v>
      </c>
      <c r="G234" s="387" t="e">
        <f>VLOOKUP(A234,'Feature Summary'!$A$7:$C$3944,3,FALSE)</f>
        <v>#N/A</v>
      </c>
      <c r="H234" s="447" t="s">
        <v>717</v>
      </c>
      <c r="I234" s="447"/>
      <c r="J234" s="448" t="s">
        <v>328</v>
      </c>
      <c r="K234" s="263"/>
      <c r="L234" s="391"/>
      <c r="M234" s="399" t="s">
        <v>33</v>
      </c>
      <c r="N234" s="475">
        <v>1</v>
      </c>
      <c r="O234" s="391"/>
      <c r="P234" s="496">
        <f t="shared" si="33"/>
        <v>0</v>
      </c>
      <c r="Q234" s="445" t="s">
        <v>52</v>
      </c>
      <c r="R234" s="391"/>
      <c r="S234" s="362">
        <f t="shared" si="37"/>
        <v>0</v>
      </c>
      <c r="T234" s="368"/>
      <c r="U234" s="368"/>
      <c r="V234" s="368"/>
      <c r="W234" s="368"/>
      <c r="X234" s="364">
        <f t="shared" si="36"/>
        <v>0</v>
      </c>
      <c r="Y234" s="393"/>
      <c r="Z234" s="498">
        <f t="shared" si="34"/>
        <v>0</v>
      </c>
      <c r="AA234" s="368"/>
      <c r="AB234" s="368"/>
      <c r="AC234" s="368"/>
      <c r="AD234" s="368"/>
      <c r="AE234" s="365">
        <f t="shared" si="35"/>
        <v>0</v>
      </c>
      <c r="AF234" s="262"/>
      <c r="AG234" s="457"/>
      <c r="AH234" s="264"/>
    </row>
    <row r="235" spans="1:34" ht="15.75" thickBot="1" x14ac:dyDescent="0.3">
      <c r="A235" s="458"/>
      <c r="B235" s="463"/>
      <c r="C235" s="463"/>
      <c r="D235" s="449" t="s">
        <v>261</v>
      </c>
      <c r="E235" s="262"/>
      <c r="F235" s="447" t="s">
        <v>715</v>
      </c>
      <c r="G235" s="387" t="e">
        <f>VLOOKUP(A235,'Feature Summary'!$A$7:$C$3944,3,FALSE)</f>
        <v>#N/A</v>
      </c>
      <c r="H235" s="447" t="s">
        <v>718</v>
      </c>
      <c r="I235" s="447"/>
      <c r="J235" s="448" t="s">
        <v>297</v>
      </c>
      <c r="K235" s="263"/>
      <c r="L235" s="391"/>
      <c r="M235" s="399" t="s">
        <v>33</v>
      </c>
      <c r="N235" s="475">
        <v>1</v>
      </c>
      <c r="O235" s="391"/>
      <c r="P235" s="496">
        <f t="shared" si="33"/>
        <v>0</v>
      </c>
      <c r="Q235" s="445" t="s">
        <v>52</v>
      </c>
      <c r="R235" s="391"/>
      <c r="S235" s="362">
        <f t="shared" si="37"/>
        <v>0</v>
      </c>
      <c r="T235" s="368"/>
      <c r="U235" s="368"/>
      <c r="V235" s="368"/>
      <c r="W235" s="368"/>
      <c r="X235" s="364">
        <f t="shared" si="36"/>
        <v>0</v>
      </c>
      <c r="Y235" s="393"/>
      <c r="Z235" s="498">
        <f t="shared" si="34"/>
        <v>0</v>
      </c>
      <c r="AA235" s="368"/>
      <c r="AB235" s="368"/>
      <c r="AC235" s="368"/>
      <c r="AD235" s="368"/>
      <c r="AE235" s="365">
        <f t="shared" si="35"/>
        <v>0</v>
      </c>
      <c r="AF235" s="262"/>
      <c r="AG235" s="457"/>
      <c r="AH235" s="264"/>
    </row>
    <row r="236" spans="1:34" ht="30.75" thickBot="1" x14ac:dyDescent="0.3">
      <c r="A236" s="474" t="s">
        <v>714</v>
      </c>
      <c r="B236" s="463"/>
      <c r="C236" s="463" t="s">
        <v>335</v>
      </c>
      <c r="D236" s="449" t="s">
        <v>261</v>
      </c>
      <c r="E236" s="262"/>
      <c r="F236" s="447" t="s">
        <v>719</v>
      </c>
      <c r="G236" s="387" t="e">
        <f>VLOOKUP(A236,'Feature Summary'!$A$7:$C$3944,3,FALSE)</f>
        <v>#N/A</v>
      </c>
      <c r="H236" s="447" t="s">
        <v>720</v>
      </c>
      <c r="I236" s="488" t="s">
        <v>264</v>
      </c>
      <c r="J236" s="448" t="s">
        <v>320</v>
      </c>
      <c r="K236" s="263">
        <v>1</v>
      </c>
      <c r="L236" s="391">
        <v>1</v>
      </c>
      <c r="M236" s="399" t="s">
        <v>33</v>
      </c>
      <c r="N236" s="475">
        <v>1</v>
      </c>
      <c r="O236" s="391">
        <v>1</v>
      </c>
      <c r="P236" s="496">
        <f t="shared" si="33"/>
        <v>1</v>
      </c>
      <c r="Q236" s="445" t="s">
        <v>52</v>
      </c>
      <c r="R236" s="391">
        <v>1</v>
      </c>
      <c r="S236" s="362">
        <f t="shared" si="37"/>
        <v>1</v>
      </c>
      <c r="T236" s="368">
        <v>1</v>
      </c>
      <c r="U236" s="368"/>
      <c r="V236" s="368"/>
      <c r="W236" s="368"/>
      <c r="X236" s="364">
        <f t="shared" si="36"/>
        <v>1</v>
      </c>
      <c r="Y236" s="393"/>
      <c r="Z236" s="498">
        <f t="shared" si="34"/>
        <v>0</v>
      </c>
      <c r="AA236" s="368"/>
      <c r="AB236" s="368"/>
      <c r="AC236" s="368"/>
      <c r="AD236" s="368"/>
      <c r="AE236" s="365">
        <f t="shared" si="35"/>
        <v>0</v>
      </c>
      <c r="AF236" s="262"/>
      <c r="AG236" s="457"/>
      <c r="AH236" s="264"/>
    </row>
    <row r="237" spans="1:34" ht="30.75" thickBot="1" x14ac:dyDescent="0.3">
      <c r="A237" s="458"/>
      <c r="B237" s="463"/>
      <c r="C237" s="463"/>
      <c r="D237" s="449" t="s">
        <v>261</v>
      </c>
      <c r="E237" s="262"/>
      <c r="F237" s="447" t="s">
        <v>719</v>
      </c>
      <c r="G237" s="387" t="e">
        <f>VLOOKUP(A237,'Feature Summary'!$A$7:$C$3944,3,FALSE)</f>
        <v>#N/A</v>
      </c>
      <c r="H237" s="447" t="s">
        <v>721</v>
      </c>
      <c r="I237" s="447"/>
      <c r="J237" s="448" t="s">
        <v>328</v>
      </c>
      <c r="K237" s="263"/>
      <c r="L237" s="391"/>
      <c r="M237" s="399" t="s">
        <v>33</v>
      </c>
      <c r="N237" s="475">
        <v>1</v>
      </c>
      <c r="O237" s="391"/>
      <c r="P237" s="496">
        <f t="shared" si="33"/>
        <v>0</v>
      </c>
      <c r="Q237" s="445" t="s">
        <v>52</v>
      </c>
      <c r="R237" s="391"/>
      <c r="S237" s="362">
        <f t="shared" si="37"/>
        <v>0</v>
      </c>
      <c r="T237" s="368"/>
      <c r="U237" s="368"/>
      <c r="V237" s="368"/>
      <c r="W237" s="368"/>
      <c r="X237" s="364">
        <f t="shared" si="36"/>
        <v>0</v>
      </c>
      <c r="Y237" s="393"/>
      <c r="Z237" s="498">
        <f t="shared" si="34"/>
        <v>0</v>
      </c>
      <c r="AA237" s="368"/>
      <c r="AB237" s="368"/>
      <c r="AC237" s="368"/>
      <c r="AD237" s="368"/>
      <c r="AE237" s="365">
        <f t="shared" si="35"/>
        <v>0</v>
      </c>
      <c r="AF237" s="262"/>
      <c r="AG237" s="457"/>
      <c r="AH237" s="264"/>
    </row>
    <row r="238" spans="1:34" ht="15.75" thickBot="1" x14ac:dyDescent="0.3">
      <c r="A238" s="458"/>
      <c r="B238" s="463"/>
      <c r="C238" s="463"/>
      <c r="D238" s="449" t="s">
        <v>261</v>
      </c>
      <c r="E238" s="262"/>
      <c r="F238" s="447" t="s">
        <v>719</v>
      </c>
      <c r="G238" s="387" t="e">
        <f>VLOOKUP(A238,'Feature Summary'!$A$7:$C$3944,3,FALSE)</f>
        <v>#N/A</v>
      </c>
      <c r="H238" s="447" t="s">
        <v>722</v>
      </c>
      <c r="I238" s="447"/>
      <c r="J238" s="448" t="s">
        <v>297</v>
      </c>
      <c r="K238" s="263"/>
      <c r="L238" s="391"/>
      <c r="M238" s="399" t="s">
        <v>33</v>
      </c>
      <c r="N238" s="475">
        <v>1</v>
      </c>
      <c r="O238" s="391"/>
      <c r="P238" s="496">
        <f>IF((O238=0),0,(O238/L238))</f>
        <v>0</v>
      </c>
      <c r="Q238" s="445" t="s">
        <v>52</v>
      </c>
      <c r="R238" s="391"/>
      <c r="S238" s="362">
        <f t="shared" si="37"/>
        <v>0</v>
      </c>
      <c r="T238" s="368"/>
      <c r="U238" s="368"/>
      <c r="V238" s="368"/>
      <c r="W238" s="368"/>
      <c r="X238" s="364">
        <f t="shared" si="36"/>
        <v>0</v>
      </c>
      <c r="Y238" s="393"/>
      <c r="Z238" s="498">
        <f t="shared" si="34"/>
        <v>0</v>
      </c>
      <c r="AA238" s="368"/>
      <c r="AB238" s="368"/>
      <c r="AC238" s="368"/>
      <c r="AD238" s="368"/>
      <c r="AE238" s="365">
        <f t="shared" si="35"/>
        <v>0</v>
      </c>
      <c r="AF238" s="262"/>
      <c r="AG238" s="457"/>
      <c r="AH238" s="264"/>
    </row>
    <row r="239" spans="1:34" ht="45.75" thickBot="1" x14ac:dyDescent="0.3">
      <c r="A239" s="474" t="s">
        <v>723</v>
      </c>
      <c r="B239" s="593" t="s">
        <v>724</v>
      </c>
      <c r="C239" s="580" t="s">
        <v>260</v>
      </c>
      <c r="D239" s="449" t="s">
        <v>261</v>
      </c>
      <c r="E239" s="580"/>
      <c r="F239" s="593" t="s">
        <v>725</v>
      </c>
      <c r="G239" s="201" t="e">
        <f>VLOOKUP(A239,'Feature Summary'!$A$7:$C$3993,3,FALSE)</f>
        <v>#N/A</v>
      </c>
      <c r="H239" s="447" t="s">
        <v>726</v>
      </c>
      <c r="I239" s="488" t="s">
        <v>264</v>
      </c>
      <c r="J239" s="594" t="s">
        <v>281</v>
      </c>
      <c r="K239" s="263">
        <v>3</v>
      </c>
      <c r="L239" s="390">
        <v>1</v>
      </c>
      <c r="M239" s="399" t="s">
        <v>33</v>
      </c>
      <c r="N239" s="585">
        <v>1</v>
      </c>
      <c r="O239" s="586">
        <v>1</v>
      </c>
      <c r="P239" s="587">
        <f t="shared" ref="P239:P243" si="38">IF((O239=0),0,(O239/L239))</f>
        <v>1</v>
      </c>
      <c r="Q239" s="445" t="s">
        <v>52</v>
      </c>
      <c r="R239" s="390">
        <v>1</v>
      </c>
      <c r="S239" s="362">
        <f t="shared" si="37"/>
        <v>1</v>
      </c>
      <c r="T239" s="368">
        <v>1</v>
      </c>
      <c r="U239" s="368"/>
      <c r="V239" s="368"/>
      <c r="W239" s="368"/>
      <c r="X239" s="364">
        <f t="shared" si="36"/>
        <v>1</v>
      </c>
      <c r="Y239" s="589"/>
      <c r="Z239" s="498">
        <f t="shared" si="34"/>
        <v>0</v>
      </c>
      <c r="AA239" s="588"/>
      <c r="AB239" s="588"/>
      <c r="AC239" s="588"/>
      <c r="AD239" s="588"/>
      <c r="AE239" s="365">
        <f t="shared" si="35"/>
        <v>0</v>
      </c>
      <c r="AF239" s="584"/>
      <c r="AG239" s="591"/>
      <c r="AH239" s="592"/>
    </row>
    <row r="240" spans="1:34" ht="45.75" thickBot="1" x14ac:dyDescent="0.3">
      <c r="A240" s="270" t="s">
        <v>727</v>
      </c>
      <c r="B240" s="593" t="s">
        <v>728</v>
      </c>
      <c r="C240" s="580" t="s">
        <v>260</v>
      </c>
      <c r="D240" s="449" t="s">
        <v>261</v>
      </c>
      <c r="E240" s="580"/>
      <c r="F240" s="593" t="s">
        <v>729</v>
      </c>
      <c r="G240" s="201" t="str">
        <f>VLOOKUP(A240,'Feature Summary'!$A$7:$C$3993,3,FALSE)</f>
        <v>P2</v>
      </c>
      <c r="H240" s="447" t="s">
        <v>730</v>
      </c>
      <c r="I240" s="488" t="s">
        <v>264</v>
      </c>
      <c r="J240" s="594" t="s">
        <v>281</v>
      </c>
      <c r="K240" s="263">
        <v>1</v>
      </c>
      <c r="L240" s="390">
        <v>5</v>
      </c>
      <c r="M240" s="399" t="s">
        <v>33</v>
      </c>
      <c r="N240" s="585">
        <v>1</v>
      </c>
      <c r="O240" s="586">
        <v>5</v>
      </c>
      <c r="P240" s="587">
        <f t="shared" si="38"/>
        <v>1</v>
      </c>
      <c r="Q240" s="445" t="s">
        <v>52</v>
      </c>
      <c r="R240" s="390">
        <v>5</v>
      </c>
      <c r="S240" s="362">
        <f t="shared" si="37"/>
        <v>5</v>
      </c>
      <c r="T240" s="588">
        <v>5</v>
      </c>
      <c r="U240" s="588"/>
      <c r="V240" s="588"/>
      <c r="W240" s="588"/>
      <c r="X240" s="364">
        <f t="shared" si="36"/>
        <v>1</v>
      </c>
      <c r="Y240" s="589"/>
      <c r="Z240" s="498">
        <f t="shared" si="34"/>
        <v>0</v>
      </c>
      <c r="AA240" s="588"/>
      <c r="AB240" s="588"/>
      <c r="AC240" s="588"/>
      <c r="AD240" s="588"/>
      <c r="AE240" s="365">
        <f t="shared" si="35"/>
        <v>0</v>
      </c>
      <c r="AF240" s="558"/>
      <c r="AG240" s="591"/>
      <c r="AH240" s="592"/>
    </row>
    <row r="241" spans="1:34" ht="15.75" thickBot="1" x14ac:dyDescent="0.3">
      <c r="A241" s="474"/>
      <c r="B241" s="470"/>
      <c r="C241" s="580"/>
      <c r="D241" s="449" t="s">
        <v>261</v>
      </c>
      <c r="E241" s="262"/>
      <c r="F241" s="447" t="s">
        <v>731</v>
      </c>
      <c r="G241" s="387" t="e">
        <f>VLOOKUP(A241,'Feature Summary'!$A$7:$C$3944,3,FALSE)</f>
        <v>#N/A</v>
      </c>
      <c r="H241" s="447" t="s">
        <v>732</v>
      </c>
      <c r="I241" s="447"/>
      <c r="J241" s="448" t="s">
        <v>297</v>
      </c>
      <c r="K241" s="263"/>
      <c r="L241" s="391"/>
      <c r="M241" s="399" t="s">
        <v>33</v>
      </c>
      <c r="N241" s="475">
        <v>1</v>
      </c>
      <c r="O241" s="391"/>
      <c r="P241" s="496">
        <f t="shared" si="38"/>
        <v>0</v>
      </c>
      <c r="Q241" s="445" t="s">
        <v>52</v>
      </c>
      <c r="R241" s="391"/>
      <c r="S241" s="362">
        <f t="shared" si="37"/>
        <v>0</v>
      </c>
      <c r="T241" s="588"/>
      <c r="U241" s="588"/>
      <c r="V241" s="588"/>
      <c r="W241" s="588"/>
      <c r="X241" s="364">
        <f t="shared" si="36"/>
        <v>0</v>
      </c>
      <c r="Y241" s="393"/>
      <c r="Z241" s="498">
        <f t="shared" si="34"/>
        <v>0</v>
      </c>
      <c r="AA241" s="368"/>
      <c r="AB241" s="368"/>
      <c r="AC241" s="368"/>
      <c r="AD241" s="368"/>
      <c r="AE241" s="365">
        <f t="shared" si="35"/>
        <v>0</v>
      </c>
      <c r="AF241" s="262"/>
      <c r="AG241" s="457"/>
      <c r="AH241" s="264"/>
    </row>
    <row r="242" spans="1:34" ht="45.75" thickBot="1" x14ac:dyDescent="0.3">
      <c r="A242" s="474" t="s">
        <v>723</v>
      </c>
      <c r="B242" s="593" t="s">
        <v>733</v>
      </c>
      <c r="C242" s="580" t="s">
        <v>260</v>
      </c>
      <c r="D242" s="449" t="s">
        <v>261</v>
      </c>
      <c r="E242" s="580"/>
      <c r="F242" s="593" t="s">
        <v>734</v>
      </c>
      <c r="G242" s="201" t="e">
        <f>VLOOKUP(A242,'Feature Summary'!$A$7:$C$3993,3,FALSE)</f>
        <v>#N/A</v>
      </c>
      <c r="H242" s="447" t="s">
        <v>735</v>
      </c>
      <c r="I242" s="488" t="s">
        <v>264</v>
      </c>
      <c r="J242" s="594" t="s">
        <v>281</v>
      </c>
      <c r="K242" s="263">
        <v>4</v>
      </c>
      <c r="L242" s="390">
        <v>1</v>
      </c>
      <c r="M242" s="399" t="s">
        <v>33</v>
      </c>
      <c r="N242" s="585">
        <v>1</v>
      </c>
      <c r="O242" s="586">
        <v>1</v>
      </c>
      <c r="P242" s="587">
        <f t="shared" si="38"/>
        <v>1</v>
      </c>
      <c r="Q242" s="445" t="s">
        <v>52</v>
      </c>
      <c r="R242" s="390">
        <v>1</v>
      </c>
      <c r="S242" s="362">
        <f t="shared" si="37"/>
        <v>1</v>
      </c>
      <c r="T242" s="368">
        <v>1</v>
      </c>
      <c r="U242" s="368"/>
      <c r="V242" s="368"/>
      <c r="W242" s="368"/>
      <c r="X242" s="364">
        <f t="shared" si="36"/>
        <v>1</v>
      </c>
      <c r="Y242" s="589"/>
      <c r="Z242" s="498">
        <f t="shared" si="34"/>
        <v>0</v>
      </c>
      <c r="AA242" s="588"/>
      <c r="AB242" s="588"/>
      <c r="AC242" s="588"/>
      <c r="AD242" s="588"/>
      <c r="AE242" s="365">
        <f t="shared" si="35"/>
        <v>0</v>
      </c>
      <c r="AF242" s="580"/>
      <c r="AG242" s="591"/>
      <c r="AH242" s="592"/>
    </row>
    <row r="243" spans="1:34" ht="45.75" thickBot="1" x14ac:dyDescent="0.3">
      <c r="A243" s="270" t="s">
        <v>736</v>
      </c>
      <c r="B243" s="593" t="s">
        <v>737</v>
      </c>
      <c r="C243" s="580" t="s">
        <v>335</v>
      </c>
      <c r="D243" s="449" t="s">
        <v>261</v>
      </c>
      <c r="E243" s="580"/>
      <c r="F243" s="593" t="s">
        <v>738</v>
      </c>
      <c r="G243" s="201" t="e">
        <f>VLOOKUP(A243,'Feature Summary'!$A$7:$C$3993,3,FALSE)</f>
        <v>#N/A</v>
      </c>
      <c r="H243" s="447" t="s">
        <v>739</v>
      </c>
      <c r="I243" s="488" t="s">
        <v>264</v>
      </c>
      <c r="J243" s="594" t="s">
        <v>281</v>
      </c>
      <c r="K243" s="263">
        <v>1</v>
      </c>
      <c r="L243" s="390">
        <v>1</v>
      </c>
      <c r="M243" s="399" t="s">
        <v>33</v>
      </c>
      <c r="N243" s="585">
        <v>1</v>
      </c>
      <c r="O243" s="586">
        <v>1</v>
      </c>
      <c r="P243" s="587">
        <f t="shared" si="38"/>
        <v>1</v>
      </c>
      <c r="Q243" s="445" t="s">
        <v>52</v>
      </c>
      <c r="R243" s="390">
        <v>1</v>
      </c>
      <c r="S243" s="362">
        <f t="shared" si="37"/>
        <v>1</v>
      </c>
      <c r="T243" s="588">
        <v>1</v>
      </c>
      <c r="U243" s="588"/>
      <c r="V243" s="588"/>
      <c r="W243" s="588"/>
      <c r="X243" s="364">
        <f t="shared" si="36"/>
        <v>1</v>
      </c>
      <c r="Y243" s="589"/>
      <c r="Z243" s="498">
        <f t="shared" si="34"/>
        <v>0</v>
      </c>
      <c r="AA243" s="588"/>
      <c r="AB243" s="588"/>
      <c r="AC243" s="588"/>
      <c r="AD243" s="588"/>
      <c r="AE243" s="365">
        <f t="shared" si="35"/>
        <v>0</v>
      </c>
      <c r="AF243" s="580"/>
      <c r="AG243" s="591"/>
      <c r="AH243" s="592"/>
    </row>
    <row r="244" spans="1:34" ht="45.75" thickBot="1" x14ac:dyDescent="0.3">
      <c r="A244" s="270" t="s">
        <v>740</v>
      </c>
      <c r="B244" s="463"/>
      <c r="C244" s="463" t="s">
        <v>335</v>
      </c>
      <c r="D244" s="449" t="s">
        <v>261</v>
      </c>
      <c r="E244" s="262"/>
      <c r="F244" s="447" t="s">
        <v>738</v>
      </c>
      <c r="G244" s="387" t="e">
        <f>VLOOKUP(A244,'Feature Summary'!$A$7:$C$3944,3,FALSE)</f>
        <v>#N/A</v>
      </c>
      <c r="H244" s="447" t="s">
        <v>741</v>
      </c>
      <c r="I244" s="488" t="s">
        <v>264</v>
      </c>
      <c r="J244" s="448" t="s">
        <v>450</v>
      </c>
      <c r="K244" s="263">
        <v>1</v>
      </c>
      <c r="L244" s="391">
        <v>1</v>
      </c>
      <c r="M244" s="399" t="s">
        <v>33</v>
      </c>
      <c r="N244" s="475">
        <v>1</v>
      </c>
      <c r="O244" s="391">
        <v>1</v>
      </c>
      <c r="P244" s="496">
        <f>IF((O244=0),0,(O244/L244))</f>
        <v>1</v>
      </c>
      <c r="Q244" s="445" t="s">
        <v>52</v>
      </c>
      <c r="R244" s="391">
        <v>1</v>
      </c>
      <c r="S244" s="362">
        <f t="shared" si="37"/>
        <v>1</v>
      </c>
      <c r="T244" s="588">
        <v>1</v>
      </c>
      <c r="U244" s="588"/>
      <c r="V244" s="588"/>
      <c r="W244" s="588"/>
      <c r="X244" s="364">
        <f t="shared" si="36"/>
        <v>1</v>
      </c>
      <c r="Y244" s="393"/>
      <c r="Z244" s="498">
        <f t="shared" si="34"/>
        <v>0</v>
      </c>
      <c r="AA244" s="368"/>
      <c r="AB244" s="368"/>
      <c r="AC244" s="368"/>
      <c r="AD244" s="368"/>
      <c r="AE244" s="365">
        <f t="shared" si="35"/>
        <v>0</v>
      </c>
      <c r="AF244" s="580"/>
      <c r="AG244" s="457"/>
      <c r="AH244" s="264"/>
    </row>
    <row r="245" spans="1:34" ht="15.75" thickBot="1" x14ac:dyDescent="0.3">
      <c r="A245" s="458"/>
      <c r="B245" s="463"/>
      <c r="C245" s="463"/>
      <c r="D245" s="449" t="s">
        <v>261</v>
      </c>
      <c r="E245" s="262"/>
      <c r="F245" s="447" t="s">
        <v>738</v>
      </c>
      <c r="G245" s="387" t="e">
        <f>VLOOKUP(A245,'Feature Summary'!$A$7:$C$3944,3,FALSE)</f>
        <v>#N/A</v>
      </c>
      <c r="H245" s="447" t="s">
        <v>742</v>
      </c>
      <c r="I245" s="447"/>
      <c r="J245" s="448" t="s">
        <v>489</v>
      </c>
      <c r="K245" s="263"/>
      <c r="L245" s="391"/>
      <c r="M245" s="399" t="s">
        <v>33</v>
      </c>
      <c r="N245" s="475">
        <v>1</v>
      </c>
      <c r="O245" s="391"/>
      <c r="P245" s="496">
        <f>IF((O245=0),0,(O245/L245))</f>
        <v>0</v>
      </c>
      <c r="Q245" s="445" t="s">
        <v>52</v>
      </c>
      <c r="R245" s="391"/>
      <c r="S245" s="362">
        <f t="shared" si="37"/>
        <v>0</v>
      </c>
      <c r="T245" s="368"/>
      <c r="U245" s="368"/>
      <c r="V245" s="368"/>
      <c r="W245" s="368"/>
      <c r="X245" s="364">
        <f t="shared" si="36"/>
        <v>0</v>
      </c>
      <c r="Y245" s="393"/>
      <c r="Z245" s="498">
        <f t="shared" si="34"/>
        <v>0</v>
      </c>
      <c r="AA245" s="368"/>
      <c r="AB245" s="368"/>
      <c r="AC245" s="368"/>
      <c r="AD245" s="368"/>
      <c r="AE245" s="365">
        <f t="shared" si="35"/>
        <v>0</v>
      </c>
      <c r="AF245" s="262"/>
      <c r="AG245" s="457"/>
      <c r="AH245" s="264"/>
    </row>
    <row r="246" spans="1:34" ht="30.75" thickBot="1" x14ac:dyDescent="0.3">
      <c r="A246" s="458"/>
      <c r="B246" s="463"/>
      <c r="C246" s="463"/>
      <c r="D246" s="449" t="s">
        <v>261</v>
      </c>
      <c r="E246" s="262"/>
      <c r="F246" s="447" t="s">
        <v>738</v>
      </c>
      <c r="G246" s="387" t="e">
        <f>VLOOKUP(A246,'Feature Summary'!$A$7:$C$3944,3,FALSE)</f>
        <v>#N/A</v>
      </c>
      <c r="H246" s="447" t="s">
        <v>743</v>
      </c>
      <c r="I246" s="447"/>
      <c r="J246" s="448" t="s">
        <v>744</v>
      </c>
      <c r="K246" s="263"/>
      <c r="L246" s="391"/>
      <c r="M246" s="399" t="s">
        <v>33</v>
      </c>
      <c r="N246" s="475">
        <v>1</v>
      </c>
      <c r="O246" s="391"/>
      <c r="P246" s="496">
        <f t="shared" ref="P246:P250" si="39">IF((O246=0),0,(O246/L246))</f>
        <v>0</v>
      </c>
      <c r="Q246" s="445" t="s">
        <v>52</v>
      </c>
      <c r="R246" s="391"/>
      <c r="S246" s="362">
        <f t="shared" si="37"/>
        <v>0</v>
      </c>
      <c r="T246" s="368"/>
      <c r="U246" s="368"/>
      <c r="V246" s="368"/>
      <c r="W246" s="368"/>
      <c r="X246" s="364">
        <f t="shared" si="36"/>
        <v>0</v>
      </c>
      <c r="Y246" s="393"/>
      <c r="Z246" s="498">
        <f t="shared" si="34"/>
        <v>0</v>
      </c>
      <c r="AA246" s="368"/>
      <c r="AB246" s="368"/>
      <c r="AC246" s="368"/>
      <c r="AD246" s="368"/>
      <c r="AE246" s="365">
        <f t="shared" si="35"/>
        <v>0</v>
      </c>
      <c r="AF246" s="262"/>
      <c r="AG246" s="457"/>
      <c r="AH246" s="264"/>
    </row>
    <row r="247" spans="1:34" ht="30.75" thickBot="1" x14ac:dyDescent="0.3">
      <c r="A247" s="458" t="s">
        <v>745</v>
      </c>
      <c r="B247" s="447" t="s">
        <v>746</v>
      </c>
      <c r="C247" s="463" t="s">
        <v>354</v>
      </c>
      <c r="D247" s="449" t="s">
        <v>261</v>
      </c>
      <c r="E247" s="262"/>
      <c r="F247" s="447" t="s">
        <v>747</v>
      </c>
      <c r="G247" s="387" t="str">
        <f>VLOOKUP(A247,'Feature Summary'!$A$7:$C$3944,3,FALSE)</f>
        <v>P2</v>
      </c>
      <c r="H247" s="447" t="s">
        <v>748</v>
      </c>
      <c r="I247" s="488" t="s">
        <v>264</v>
      </c>
      <c r="J247" s="481" t="s">
        <v>749</v>
      </c>
      <c r="K247" s="263">
        <v>1</v>
      </c>
      <c r="L247" s="391">
        <v>1</v>
      </c>
      <c r="M247" s="399" t="s">
        <v>33</v>
      </c>
      <c r="N247" s="475">
        <v>1</v>
      </c>
      <c r="O247" s="391">
        <v>1</v>
      </c>
      <c r="P247" s="496">
        <f t="shared" si="39"/>
        <v>1</v>
      </c>
      <c r="Q247" s="445" t="s">
        <v>52</v>
      </c>
      <c r="R247" s="391">
        <v>1</v>
      </c>
      <c r="S247" s="362">
        <f t="shared" si="37"/>
        <v>1</v>
      </c>
      <c r="T247" s="368">
        <v>1</v>
      </c>
      <c r="U247" s="368"/>
      <c r="V247" s="368"/>
      <c r="W247" s="368"/>
      <c r="X247" s="364">
        <f t="shared" si="36"/>
        <v>1</v>
      </c>
      <c r="Y247" s="393"/>
      <c r="Z247" s="498">
        <f t="shared" si="34"/>
        <v>0</v>
      </c>
      <c r="AA247" s="368"/>
      <c r="AB247" s="368"/>
      <c r="AC247" s="368"/>
      <c r="AD247" s="368"/>
      <c r="AE247" s="365">
        <f t="shared" si="35"/>
        <v>0</v>
      </c>
      <c r="AF247" s="580"/>
      <c r="AG247" s="457"/>
      <c r="AH247" s="264"/>
    </row>
    <row r="248" spans="1:34" ht="30.75" thickBot="1" x14ac:dyDescent="0.3">
      <c r="A248" s="458" t="s">
        <v>745</v>
      </c>
      <c r="B248" s="447" t="s">
        <v>746</v>
      </c>
      <c r="C248" s="463" t="s">
        <v>354</v>
      </c>
      <c r="D248" s="449" t="s">
        <v>261</v>
      </c>
      <c r="E248" s="262"/>
      <c r="F248" s="447" t="s">
        <v>750</v>
      </c>
      <c r="G248" s="387" t="str">
        <f>VLOOKUP(A248,'Feature Summary'!$A$7:$C$3944,3,FALSE)</f>
        <v>P2</v>
      </c>
      <c r="H248" s="447" t="s">
        <v>751</v>
      </c>
      <c r="I248" s="488" t="s">
        <v>264</v>
      </c>
      <c r="J248" s="481" t="s">
        <v>752</v>
      </c>
      <c r="K248" s="263">
        <v>1</v>
      </c>
      <c r="L248" s="391">
        <v>1</v>
      </c>
      <c r="M248" s="399" t="s">
        <v>33</v>
      </c>
      <c r="N248" s="475">
        <v>1</v>
      </c>
      <c r="O248" s="391">
        <v>1</v>
      </c>
      <c r="P248" s="496">
        <f t="shared" si="39"/>
        <v>1</v>
      </c>
      <c r="Q248" s="445" t="s">
        <v>52</v>
      </c>
      <c r="R248" s="391">
        <v>1</v>
      </c>
      <c r="S248" s="362">
        <f t="shared" si="37"/>
        <v>1</v>
      </c>
      <c r="T248" s="368">
        <v>1</v>
      </c>
      <c r="U248" s="368"/>
      <c r="V248" s="368"/>
      <c r="W248" s="368"/>
      <c r="X248" s="364">
        <f t="shared" si="36"/>
        <v>1</v>
      </c>
      <c r="Y248" s="393"/>
      <c r="Z248" s="498">
        <f t="shared" si="34"/>
        <v>0</v>
      </c>
      <c r="AA248" s="368"/>
      <c r="AB248" s="368"/>
      <c r="AC248" s="368"/>
      <c r="AD248" s="368"/>
      <c r="AE248" s="365">
        <f t="shared" si="35"/>
        <v>0</v>
      </c>
      <c r="AF248" s="580"/>
      <c r="AG248" s="457"/>
      <c r="AH248" s="264"/>
    </row>
    <row r="249" spans="1:34" ht="30.75" thickBot="1" x14ac:dyDescent="0.3">
      <c r="A249" s="458" t="s">
        <v>745</v>
      </c>
      <c r="B249" s="447" t="s">
        <v>746</v>
      </c>
      <c r="C249" s="463" t="s">
        <v>354</v>
      </c>
      <c r="D249" s="449" t="s">
        <v>261</v>
      </c>
      <c r="E249" s="262"/>
      <c r="F249" s="447" t="s">
        <v>753</v>
      </c>
      <c r="G249" s="387" t="str">
        <f>VLOOKUP(A249,'Feature Summary'!$A$7:$C$3944,3,FALSE)</f>
        <v>P2</v>
      </c>
      <c r="H249" s="447" t="s">
        <v>754</v>
      </c>
      <c r="I249" s="488" t="s">
        <v>264</v>
      </c>
      <c r="J249" s="481" t="s">
        <v>755</v>
      </c>
      <c r="K249" s="263">
        <v>1</v>
      </c>
      <c r="L249" s="391">
        <v>1</v>
      </c>
      <c r="M249" s="399" t="s">
        <v>33</v>
      </c>
      <c r="N249" s="475">
        <v>1</v>
      </c>
      <c r="O249" s="391">
        <v>1</v>
      </c>
      <c r="P249" s="496">
        <f t="shared" si="39"/>
        <v>1</v>
      </c>
      <c r="Q249" s="445" t="s">
        <v>52</v>
      </c>
      <c r="R249" s="391">
        <v>1</v>
      </c>
      <c r="S249" s="362">
        <f t="shared" si="37"/>
        <v>1</v>
      </c>
      <c r="T249" s="368">
        <v>1</v>
      </c>
      <c r="U249" s="368"/>
      <c r="V249" s="368"/>
      <c r="W249" s="368" t="s">
        <v>756</v>
      </c>
      <c r="X249" s="364">
        <f t="shared" si="36"/>
        <v>1</v>
      </c>
      <c r="Y249" s="599"/>
      <c r="Z249" s="498">
        <f t="shared" si="34"/>
        <v>0</v>
      </c>
      <c r="AA249" s="368"/>
      <c r="AB249" s="368"/>
      <c r="AC249" s="368"/>
      <c r="AD249" s="368"/>
      <c r="AE249" s="365">
        <f t="shared" si="35"/>
        <v>0</v>
      </c>
      <c r="AF249" s="580"/>
      <c r="AG249" s="457"/>
      <c r="AH249" s="264"/>
    </row>
    <row r="250" spans="1:34" ht="30.75" thickBot="1" x14ac:dyDescent="0.3">
      <c r="A250" s="458" t="s">
        <v>745</v>
      </c>
      <c r="B250" s="447" t="s">
        <v>746</v>
      </c>
      <c r="C250" s="463" t="s">
        <v>354</v>
      </c>
      <c r="D250" s="449" t="s">
        <v>261</v>
      </c>
      <c r="E250" s="262"/>
      <c r="F250" s="447" t="s">
        <v>757</v>
      </c>
      <c r="G250" s="387" t="str">
        <f>VLOOKUP(A250,'Feature Summary'!$A$7:$C$3944,3,FALSE)</f>
        <v>P2</v>
      </c>
      <c r="H250" s="447" t="s">
        <v>758</v>
      </c>
      <c r="I250" s="488" t="s">
        <v>264</v>
      </c>
      <c r="J250" s="481" t="s">
        <v>752</v>
      </c>
      <c r="K250" s="263">
        <v>1</v>
      </c>
      <c r="L250" s="391">
        <v>1</v>
      </c>
      <c r="M250" s="399" t="s">
        <v>33</v>
      </c>
      <c r="N250" s="475">
        <v>1</v>
      </c>
      <c r="O250" s="391">
        <v>1</v>
      </c>
      <c r="P250" s="496">
        <f t="shared" si="39"/>
        <v>1</v>
      </c>
      <c r="Q250" s="445" t="s">
        <v>52</v>
      </c>
      <c r="R250" s="391">
        <v>1</v>
      </c>
      <c r="S250" s="362">
        <f t="shared" si="37"/>
        <v>1</v>
      </c>
      <c r="T250" s="368">
        <v>1</v>
      </c>
      <c r="U250" s="368"/>
      <c r="V250" s="368"/>
      <c r="W250" s="368"/>
      <c r="X250" s="364">
        <f t="shared" si="36"/>
        <v>1</v>
      </c>
      <c r="Y250" s="599"/>
      <c r="Z250" s="498">
        <f t="shared" si="34"/>
        <v>0</v>
      </c>
      <c r="AA250" s="368"/>
      <c r="AB250" s="368"/>
      <c r="AC250" s="368"/>
      <c r="AD250" s="368"/>
      <c r="AE250" s="365">
        <f t="shared" si="35"/>
        <v>0</v>
      </c>
      <c r="AF250" s="580"/>
      <c r="AG250" s="457"/>
      <c r="AH250" s="264"/>
    </row>
    <row r="251" spans="1:34" ht="30.75" thickBot="1" x14ac:dyDescent="0.3">
      <c r="A251" s="458" t="s">
        <v>745</v>
      </c>
      <c r="B251" s="447" t="s">
        <v>746</v>
      </c>
      <c r="C251" s="463" t="s">
        <v>354</v>
      </c>
      <c r="D251" s="449" t="s">
        <v>261</v>
      </c>
      <c r="E251" s="262"/>
      <c r="F251" s="447" t="s">
        <v>759</v>
      </c>
      <c r="G251" s="387" t="str">
        <f>VLOOKUP(A251,'Feature Summary'!$A$7:$C$3944,3,FALSE)</f>
        <v>P2</v>
      </c>
      <c r="H251" s="447" t="s">
        <v>760</v>
      </c>
      <c r="I251" s="488" t="s">
        <v>264</v>
      </c>
      <c r="J251" s="481" t="s">
        <v>755</v>
      </c>
      <c r="K251" s="263">
        <v>1</v>
      </c>
      <c r="L251" s="391">
        <v>1</v>
      </c>
      <c r="M251" s="399" t="s">
        <v>33</v>
      </c>
      <c r="N251" s="475">
        <v>1</v>
      </c>
      <c r="O251" s="391">
        <v>1</v>
      </c>
      <c r="P251" s="496">
        <f>IF((O251=0),0,(O251/L251))</f>
        <v>1</v>
      </c>
      <c r="Q251" s="445" t="s">
        <v>52</v>
      </c>
      <c r="R251" s="391">
        <v>1</v>
      </c>
      <c r="S251" s="362">
        <f t="shared" si="37"/>
        <v>1</v>
      </c>
      <c r="T251" s="368">
        <v>1</v>
      </c>
      <c r="U251" s="368"/>
      <c r="V251" s="368"/>
      <c r="W251" s="368" t="s">
        <v>756</v>
      </c>
      <c r="X251" s="364">
        <f t="shared" si="36"/>
        <v>1</v>
      </c>
      <c r="Y251" s="393"/>
      <c r="Z251" s="498">
        <f t="shared" si="34"/>
        <v>0</v>
      </c>
      <c r="AA251" s="368"/>
      <c r="AB251" s="368"/>
      <c r="AC251" s="368"/>
      <c r="AD251" s="368"/>
      <c r="AE251" s="365">
        <f t="shared" si="35"/>
        <v>0</v>
      </c>
      <c r="AF251" s="580"/>
      <c r="AG251" s="457"/>
      <c r="AH251" s="264"/>
    </row>
    <row r="252" spans="1:34" ht="30.75" thickBot="1" x14ac:dyDescent="0.3">
      <c r="A252" s="458" t="s">
        <v>745</v>
      </c>
      <c r="B252" s="447" t="s">
        <v>746</v>
      </c>
      <c r="C252" s="463" t="s">
        <v>354</v>
      </c>
      <c r="D252" s="449" t="s">
        <v>261</v>
      </c>
      <c r="E252" s="262"/>
      <c r="F252" s="447" t="s">
        <v>761</v>
      </c>
      <c r="G252" s="387" t="str">
        <f>VLOOKUP(A252,'Feature Summary'!$A$7:$C$3944,3,FALSE)</f>
        <v>P2</v>
      </c>
      <c r="H252" s="447" t="s">
        <v>762</v>
      </c>
      <c r="I252" s="488" t="s">
        <v>264</v>
      </c>
      <c r="J252" s="481" t="s">
        <v>763</v>
      </c>
      <c r="K252" s="263">
        <v>1</v>
      </c>
      <c r="L252" s="391">
        <v>1</v>
      </c>
      <c r="M252" s="399" t="s">
        <v>33</v>
      </c>
      <c r="N252" s="475">
        <v>1</v>
      </c>
      <c r="O252" s="391">
        <v>1</v>
      </c>
      <c r="P252" s="496">
        <f t="shared" ref="P252:P282" si="40">IF((O252=0),0,(O252/L252))</f>
        <v>1</v>
      </c>
      <c r="Q252" s="445" t="s">
        <v>52</v>
      </c>
      <c r="R252" s="391">
        <v>1</v>
      </c>
      <c r="S252" s="362">
        <f t="shared" si="37"/>
        <v>1</v>
      </c>
      <c r="T252" s="368">
        <v>1</v>
      </c>
      <c r="U252" s="368"/>
      <c r="V252" s="368"/>
      <c r="W252" s="368"/>
      <c r="X252" s="364">
        <f t="shared" si="36"/>
        <v>1</v>
      </c>
      <c r="Y252" s="599"/>
      <c r="Z252" s="498">
        <f t="shared" si="34"/>
        <v>0</v>
      </c>
      <c r="AA252" s="368"/>
      <c r="AB252" s="368"/>
      <c r="AC252" s="368"/>
      <c r="AD252" s="368"/>
      <c r="AE252" s="365">
        <f t="shared" si="35"/>
        <v>0</v>
      </c>
      <c r="AF252" s="558"/>
      <c r="AG252" s="457"/>
      <c r="AH252" s="264"/>
    </row>
    <row r="253" spans="1:34" ht="30.75" thickBot="1" x14ac:dyDescent="0.3">
      <c r="A253" s="458" t="s">
        <v>745</v>
      </c>
      <c r="B253" s="447" t="s">
        <v>746</v>
      </c>
      <c r="C253" s="463" t="s">
        <v>354</v>
      </c>
      <c r="D253" s="449" t="s">
        <v>261</v>
      </c>
      <c r="E253" s="262"/>
      <c r="F253" s="447" t="s">
        <v>764</v>
      </c>
      <c r="G253" s="387" t="str">
        <f>VLOOKUP(A253,'Feature Summary'!$A$7:$C$3944,3,FALSE)</f>
        <v>P2</v>
      </c>
      <c r="H253" s="447" t="s">
        <v>765</v>
      </c>
      <c r="I253" s="488" t="s">
        <v>264</v>
      </c>
      <c r="J253" s="481" t="s">
        <v>755</v>
      </c>
      <c r="K253" s="263">
        <v>1</v>
      </c>
      <c r="L253" s="391">
        <v>1</v>
      </c>
      <c r="M253" s="399" t="s">
        <v>33</v>
      </c>
      <c r="N253" s="475">
        <v>1</v>
      </c>
      <c r="O253" s="391">
        <v>1</v>
      </c>
      <c r="P253" s="496">
        <f t="shared" si="40"/>
        <v>1</v>
      </c>
      <c r="Q253" s="445" t="s">
        <v>52</v>
      </c>
      <c r="R253" s="391">
        <v>1</v>
      </c>
      <c r="S253" s="362">
        <f t="shared" si="37"/>
        <v>1</v>
      </c>
      <c r="T253" s="368">
        <v>1</v>
      </c>
      <c r="U253" s="368"/>
      <c r="V253" s="368"/>
      <c r="W253" s="368" t="s">
        <v>756</v>
      </c>
      <c r="X253" s="364">
        <f t="shared" si="36"/>
        <v>1</v>
      </c>
      <c r="Y253" s="599"/>
      <c r="Z253" s="498">
        <f t="shared" si="34"/>
        <v>0</v>
      </c>
      <c r="AA253" s="368"/>
      <c r="AB253" s="368"/>
      <c r="AC253" s="368"/>
      <c r="AD253" s="368"/>
      <c r="AE253" s="365">
        <f t="shared" si="35"/>
        <v>0</v>
      </c>
      <c r="AF253" s="262"/>
      <c r="AG253" s="457"/>
      <c r="AH253" s="264"/>
    </row>
    <row r="254" spans="1:34" ht="30.75" thickBot="1" x14ac:dyDescent="0.3">
      <c r="A254" s="458" t="s">
        <v>745</v>
      </c>
      <c r="B254" s="447" t="s">
        <v>746</v>
      </c>
      <c r="C254" s="463" t="s">
        <v>354</v>
      </c>
      <c r="D254" s="449" t="s">
        <v>261</v>
      </c>
      <c r="E254" s="262"/>
      <c r="F254" s="447" t="s">
        <v>766</v>
      </c>
      <c r="G254" s="387" t="str">
        <f>VLOOKUP(A254,'Feature Summary'!$A$7:$C$3944,3,FALSE)</f>
        <v>P2</v>
      </c>
      <c r="H254" s="447" t="s">
        <v>767</v>
      </c>
      <c r="I254" s="488" t="s">
        <v>264</v>
      </c>
      <c r="J254" s="481" t="s">
        <v>752</v>
      </c>
      <c r="K254" s="263">
        <v>1</v>
      </c>
      <c r="L254" s="391">
        <v>1</v>
      </c>
      <c r="M254" s="399" t="s">
        <v>33</v>
      </c>
      <c r="N254" s="475">
        <v>1</v>
      </c>
      <c r="O254" s="391">
        <v>1</v>
      </c>
      <c r="P254" s="496">
        <f t="shared" si="40"/>
        <v>1</v>
      </c>
      <c r="Q254" s="445" t="s">
        <v>52</v>
      </c>
      <c r="R254" s="391">
        <v>1</v>
      </c>
      <c r="S254" s="362">
        <f t="shared" si="37"/>
        <v>1</v>
      </c>
      <c r="T254" s="368">
        <v>1</v>
      </c>
      <c r="U254" s="368"/>
      <c r="V254" s="368"/>
      <c r="W254" s="368"/>
      <c r="X254" s="364">
        <f t="shared" si="36"/>
        <v>1</v>
      </c>
      <c r="Y254" s="599"/>
      <c r="Z254" s="498">
        <f t="shared" si="34"/>
        <v>0</v>
      </c>
      <c r="AA254" s="368"/>
      <c r="AB254" s="368"/>
      <c r="AC254" s="368"/>
      <c r="AD254" s="368"/>
      <c r="AE254" s="365">
        <f t="shared" si="35"/>
        <v>0</v>
      </c>
      <c r="AF254" s="262"/>
      <c r="AG254" s="457"/>
      <c r="AH254" s="264"/>
    </row>
    <row r="255" spans="1:34" ht="30.75" thickBot="1" x14ac:dyDescent="0.3">
      <c r="A255" s="458" t="s">
        <v>745</v>
      </c>
      <c r="B255" s="447" t="s">
        <v>746</v>
      </c>
      <c r="C255" s="463" t="s">
        <v>354</v>
      </c>
      <c r="D255" s="449" t="s">
        <v>261</v>
      </c>
      <c r="E255" s="262"/>
      <c r="F255" s="447" t="s">
        <v>768</v>
      </c>
      <c r="G255" s="387" t="str">
        <f>VLOOKUP(A255,'Feature Summary'!$A$7:$C$3944,3,FALSE)</f>
        <v>P2</v>
      </c>
      <c r="H255" s="447" t="s">
        <v>769</v>
      </c>
      <c r="I255" s="488" t="s">
        <v>264</v>
      </c>
      <c r="J255" s="481" t="s">
        <v>755</v>
      </c>
      <c r="K255" s="263">
        <v>1</v>
      </c>
      <c r="L255" s="391">
        <v>1</v>
      </c>
      <c r="M255" s="399" t="s">
        <v>33</v>
      </c>
      <c r="N255" s="475">
        <v>1</v>
      </c>
      <c r="O255" s="391">
        <v>1</v>
      </c>
      <c r="P255" s="496">
        <f t="shared" si="40"/>
        <v>1</v>
      </c>
      <c r="Q255" s="445" t="s">
        <v>52</v>
      </c>
      <c r="R255" s="391">
        <v>1</v>
      </c>
      <c r="S255" s="362">
        <f t="shared" si="37"/>
        <v>1</v>
      </c>
      <c r="T255" s="368">
        <v>1</v>
      </c>
      <c r="U255" s="368"/>
      <c r="V255" s="368"/>
      <c r="W255" s="368" t="s">
        <v>756</v>
      </c>
      <c r="X255" s="364">
        <f t="shared" si="36"/>
        <v>1</v>
      </c>
      <c r="Y255" s="393"/>
      <c r="Z255" s="498">
        <f t="shared" si="34"/>
        <v>0</v>
      </c>
      <c r="AA255" s="368"/>
      <c r="AB255" s="368"/>
      <c r="AC255" s="368"/>
      <c r="AD255" s="368"/>
      <c r="AE255" s="365">
        <f t="shared" si="35"/>
        <v>0</v>
      </c>
      <c r="AF255" s="262"/>
      <c r="AG255" s="457"/>
      <c r="AH255" s="264"/>
    </row>
    <row r="256" spans="1:34" ht="30.75" thickBot="1" x14ac:dyDescent="0.3">
      <c r="A256" s="458" t="s">
        <v>745</v>
      </c>
      <c r="B256" s="447" t="s">
        <v>746</v>
      </c>
      <c r="C256" s="463" t="s">
        <v>354</v>
      </c>
      <c r="D256" s="449" t="s">
        <v>261</v>
      </c>
      <c r="E256" s="262"/>
      <c r="F256" s="447" t="s">
        <v>770</v>
      </c>
      <c r="G256" s="387" t="str">
        <f>VLOOKUP(A256,'Feature Summary'!$A$7:$C$3944,3,FALSE)</f>
        <v>P2</v>
      </c>
      <c r="H256" s="447" t="s">
        <v>771</v>
      </c>
      <c r="I256" s="488" t="s">
        <v>264</v>
      </c>
      <c r="J256" s="481" t="s">
        <v>763</v>
      </c>
      <c r="K256" s="263">
        <v>1</v>
      </c>
      <c r="L256" s="391">
        <v>1</v>
      </c>
      <c r="M256" s="399" t="s">
        <v>33</v>
      </c>
      <c r="N256" s="475">
        <v>1</v>
      </c>
      <c r="O256" s="391">
        <v>1</v>
      </c>
      <c r="P256" s="496">
        <f t="shared" si="40"/>
        <v>1</v>
      </c>
      <c r="Q256" s="445" t="s">
        <v>52</v>
      </c>
      <c r="R256" s="391">
        <v>1</v>
      </c>
      <c r="S256" s="362">
        <f t="shared" si="37"/>
        <v>1</v>
      </c>
      <c r="T256" s="368">
        <v>1</v>
      </c>
      <c r="U256" s="368"/>
      <c r="V256" s="368"/>
      <c r="W256" s="368"/>
      <c r="X256" s="364">
        <f t="shared" si="36"/>
        <v>1</v>
      </c>
      <c r="Y256" s="393"/>
      <c r="Z256" s="498">
        <f t="shared" si="34"/>
        <v>0</v>
      </c>
      <c r="AA256" s="368"/>
      <c r="AB256" s="368"/>
      <c r="AC256" s="368"/>
      <c r="AD256" s="368"/>
      <c r="AE256" s="365">
        <f t="shared" si="35"/>
        <v>0</v>
      </c>
      <c r="AF256" s="558"/>
      <c r="AG256" s="457"/>
      <c r="AH256" s="264"/>
    </row>
    <row r="257" spans="1:34" ht="30.75" thickBot="1" x14ac:dyDescent="0.3">
      <c r="A257" s="458" t="s">
        <v>745</v>
      </c>
      <c r="B257" s="447" t="s">
        <v>746</v>
      </c>
      <c r="C257" s="463" t="s">
        <v>354</v>
      </c>
      <c r="D257" s="449" t="s">
        <v>261</v>
      </c>
      <c r="E257" s="262"/>
      <c r="F257" s="447" t="s">
        <v>772</v>
      </c>
      <c r="G257" s="387" t="str">
        <f>VLOOKUP(A257,'Feature Summary'!$A$7:$C$3944,3,FALSE)</f>
        <v>P2</v>
      </c>
      <c r="H257" s="447" t="s">
        <v>773</v>
      </c>
      <c r="I257" s="488" t="s">
        <v>264</v>
      </c>
      <c r="J257" s="481" t="s">
        <v>749</v>
      </c>
      <c r="K257" s="263">
        <v>1</v>
      </c>
      <c r="L257" s="391">
        <v>1</v>
      </c>
      <c r="M257" s="399" t="s">
        <v>33</v>
      </c>
      <c r="N257" s="475">
        <v>1</v>
      </c>
      <c r="O257" s="391">
        <v>1</v>
      </c>
      <c r="P257" s="496">
        <f t="shared" si="40"/>
        <v>1</v>
      </c>
      <c r="Q257" s="445" t="s">
        <v>52</v>
      </c>
      <c r="R257" s="391">
        <v>1</v>
      </c>
      <c r="S257" s="362">
        <f t="shared" si="37"/>
        <v>1</v>
      </c>
      <c r="T257" s="368">
        <v>1</v>
      </c>
      <c r="U257" s="368"/>
      <c r="V257" s="368"/>
      <c r="W257" s="368" t="s">
        <v>756</v>
      </c>
      <c r="X257" s="364">
        <f t="shared" si="36"/>
        <v>1</v>
      </c>
      <c r="Y257" s="393"/>
      <c r="Z257" s="498">
        <f t="shared" si="34"/>
        <v>0</v>
      </c>
      <c r="AA257" s="368"/>
      <c r="AB257" s="368"/>
      <c r="AC257" s="368"/>
      <c r="AD257" s="368"/>
      <c r="AE257" s="365">
        <f t="shared" si="35"/>
        <v>0</v>
      </c>
      <c r="AF257" s="262"/>
      <c r="AG257" s="457"/>
      <c r="AH257" s="264"/>
    </row>
    <row r="258" spans="1:34" ht="30.75" thickBot="1" x14ac:dyDescent="0.3">
      <c r="A258" s="458" t="s">
        <v>745</v>
      </c>
      <c r="B258" s="447" t="s">
        <v>746</v>
      </c>
      <c r="C258" s="463" t="s">
        <v>354</v>
      </c>
      <c r="D258" s="449" t="s">
        <v>261</v>
      </c>
      <c r="E258" s="262"/>
      <c r="F258" s="447" t="s">
        <v>774</v>
      </c>
      <c r="G258" s="387" t="str">
        <f>VLOOKUP(A258,'Feature Summary'!$A$7:$C$3944,3,FALSE)</f>
        <v>P2</v>
      </c>
      <c r="H258" s="447" t="s">
        <v>775</v>
      </c>
      <c r="I258" s="488" t="s">
        <v>264</v>
      </c>
      <c r="J258" s="481" t="s">
        <v>752</v>
      </c>
      <c r="K258" s="263">
        <v>1</v>
      </c>
      <c r="L258" s="391">
        <v>1</v>
      </c>
      <c r="M258" s="399" t="s">
        <v>33</v>
      </c>
      <c r="N258" s="475">
        <v>1</v>
      </c>
      <c r="O258" s="391">
        <v>1</v>
      </c>
      <c r="P258" s="496">
        <f t="shared" si="40"/>
        <v>1</v>
      </c>
      <c r="Q258" s="445" t="s">
        <v>52</v>
      </c>
      <c r="R258" s="391">
        <v>1</v>
      </c>
      <c r="S258" s="362">
        <f t="shared" si="37"/>
        <v>1</v>
      </c>
      <c r="T258" s="368">
        <v>1</v>
      </c>
      <c r="U258" s="368"/>
      <c r="V258" s="368"/>
      <c r="W258" s="368"/>
      <c r="X258" s="364">
        <f t="shared" si="36"/>
        <v>1</v>
      </c>
      <c r="Y258" s="393"/>
      <c r="Z258" s="498">
        <f t="shared" si="34"/>
        <v>0</v>
      </c>
      <c r="AA258" s="368"/>
      <c r="AB258" s="368"/>
      <c r="AC258" s="368"/>
      <c r="AD258" s="368"/>
      <c r="AE258" s="365">
        <f t="shared" si="35"/>
        <v>0</v>
      </c>
      <c r="AF258" s="262"/>
      <c r="AG258" s="457"/>
      <c r="AH258" s="264"/>
    </row>
    <row r="259" spans="1:34" ht="30.75" thickBot="1" x14ac:dyDescent="0.3">
      <c r="A259" s="458" t="s">
        <v>745</v>
      </c>
      <c r="B259" s="447" t="s">
        <v>746</v>
      </c>
      <c r="C259" s="463" t="s">
        <v>354</v>
      </c>
      <c r="D259" s="449" t="s">
        <v>261</v>
      </c>
      <c r="E259" s="262"/>
      <c r="F259" s="447" t="s">
        <v>776</v>
      </c>
      <c r="G259" s="387" t="str">
        <f>VLOOKUP(A259,'Feature Summary'!$A$7:$C$3944,3,FALSE)</f>
        <v>P2</v>
      </c>
      <c r="H259" s="447" t="s">
        <v>777</v>
      </c>
      <c r="I259" s="488" t="s">
        <v>264</v>
      </c>
      <c r="J259" s="481" t="s">
        <v>778</v>
      </c>
      <c r="K259" s="263">
        <v>1</v>
      </c>
      <c r="L259" s="391">
        <v>1</v>
      </c>
      <c r="M259" s="399" t="s">
        <v>33</v>
      </c>
      <c r="N259" s="475">
        <v>1</v>
      </c>
      <c r="O259" s="391">
        <v>1</v>
      </c>
      <c r="P259" s="496">
        <f t="shared" si="40"/>
        <v>1</v>
      </c>
      <c r="Q259" s="445" t="s">
        <v>52</v>
      </c>
      <c r="R259" s="391">
        <v>1</v>
      </c>
      <c r="S259" s="362">
        <f t="shared" si="37"/>
        <v>1</v>
      </c>
      <c r="T259" s="368">
        <v>1</v>
      </c>
      <c r="U259" s="368"/>
      <c r="V259" s="368"/>
      <c r="W259" s="368" t="s">
        <v>756</v>
      </c>
      <c r="X259" s="364">
        <f t="shared" si="36"/>
        <v>1</v>
      </c>
      <c r="Y259" s="599"/>
      <c r="Z259" s="498">
        <f t="shared" si="34"/>
        <v>0</v>
      </c>
      <c r="AA259" s="368"/>
      <c r="AB259" s="368"/>
      <c r="AC259" s="368"/>
      <c r="AD259" s="368"/>
      <c r="AE259" s="365">
        <f t="shared" si="35"/>
        <v>0</v>
      </c>
      <c r="AF259" s="558"/>
      <c r="AG259" s="457"/>
      <c r="AH259" s="264"/>
    </row>
    <row r="260" spans="1:34" ht="30.75" thickBot="1" x14ac:dyDescent="0.3">
      <c r="A260" s="458" t="s">
        <v>745</v>
      </c>
      <c r="B260" s="447" t="s">
        <v>746</v>
      </c>
      <c r="C260" s="463" t="s">
        <v>354</v>
      </c>
      <c r="D260" s="449" t="s">
        <v>261</v>
      </c>
      <c r="E260" s="262"/>
      <c r="F260" s="447" t="s">
        <v>779</v>
      </c>
      <c r="G260" s="387" t="str">
        <f>VLOOKUP(A260,'Feature Summary'!$A$7:$C$3944,3,FALSE)</f>
        <v>P2</v>
      </c>
      <c r="H260" s="447" t="s">
        <v>780</v>
      </c>
      <c r="I260" s="488" t="s">
        <v>264</v>
      </c>
      <c r="J260" s="481" t="s">
        <v>781</v>
      </c>
      <c r="K260" s="263">
        <v>1</v>
      </c>
      <c r="L260" s="391">
        <v>1</v>
      </c>
      <c r="M260" s="399" t="s">
        <v>33</v>
      </c>
      <c r="N260" s="475">
        <v>1</v>
      </c>
      <c r="O260" s="391">
        <v>1</v>
      </c>
      <c r="P260" s="496">
        <f t="shared" si="40"/>
        <v>1</v>
      </c>
      <c r="Q260" s="445" t="s">
        <v>52</v>
      </c>
      <c r="R260" s="391">
        <v>1</v>
      </c>
      <c r="S260" s="362">
        <f t="shared" si="37"/>
        <v>1</v>
      </c>
      <c r="T260" s="368">
        <v>1</v>
      </c>
      <c r="U260" s="368"/>
      <c r="V260" s="368"/>
      <c r="W260" s="368"/>
      <c r="X260" s="364">
        <f t="shared" si="36"/>
        <v>1</v>
      </c>
      <c r="Y260" s="599"/>
      <c r="Z260" s="498">
        <f t="shared" si="34"/>
        <v>0</v>
      </c>
      <c r="AA260" s="368"/>
      <c r="AB260" s="368"/>
      <c r="AC260" s="368"/>
      <c r="AD260" s="368"/>
      <c r="AE260" s="365">
        <f t="shared" si="35"/>
        <v>0</v>
      </c>
      <c r="AF260" s="558"/>
      <c r="AG260" s="457"/>
      <c r="AH260" s="264"/>
    </row>
    <row r="261" spans="1:34" ht="30.75" thickBot="1" x14ac:dyDescent="0.3">
      <c r="A261" s="458" t="s">
        <v>745</v>
      </c>
      <c r="B261" s="447" t="s">
        <v>746</v>
      </c>
      <c r="C261" s="463" t="s">
        <v>354</v>
      </c>
      <c r="D261" s="449" t="s">
        <v>261</v>
      </c>
      <c r="E261" s="262"/>
      <c r="F261" s="447" t="s">
        <v>782</v>
      </c>
      <c r="G261" s="387" t="str">
        <f>VLOOKUP(A261,'Feature Summary'!$A$7:$C$3944,3,FALSE)</f>
        <v>P2</v>
      </c>
      <c r="H261" s="447" t="s">
        <v>783</v>
      </c>
      <c r="I261" s="488" t="s">
        <v>264</v>
      </c>
      <c r="J261" s="481" t="s">
        <v>778</v>
      </c>
      <c r="K261" s="263">
        <v>1</v>
      </c>
      <c r="L261" s="391">
        <v>1</v>
      </c>
      <c r="M261" s="399" t="s">
        <v>33</v>
      </c>
      <c r="N261" s="475">
        <v>1</v>
      </c>
      <c r="O261" s="391">
        <v>1</v>
      </c>
      <c r="P261" s="496">
        <f t="shared" si="40"/>
        <v>1</v>
      </c>
      <c r="Q261" s="445" t="s">
        <v>52</v>
      </c>
      <c r="R261" s="391">
        <v>1</v>
      </c>
      <c r="S261" s="362">
        <f t="shared" si="37"/>
        <v>1</v>
      </c>
      <c r="T261" s="368">
        <v>1</v>
      </c>
      <c r="U261" s="368"/>
      <c r="V261" s="368"/>
      <c r="W261" s="368" t="s">
        <v>756</v>
      </c>
      <c r="X261" s="364">
        <f t="shared" si="36"/>
        <v>1</v>
      </c>
      <c r="Y261" s="393"/>
      <c r="Z261" s="498">
        <f t="shared" si="34"/>
        <v>0</v>
      </c>
      <c r="AA261" s="368"/>
      <c r="AB261" s="368"/>
      <c r="AC261" s="368"/>
      <c r="AD261" s="368"/>
      <c r="AE261" s="365">
        <f t="shared" si="35"/>
        <v>0</v>
      </c>
      <c r="AF261" s="558"/>
      <c r="AG261" s="457"/>
      <c r="AH261" s="264"/>
    </row>
    <row r="262" spans="1:34" ht="30.75" thickBot="1" x14ac:dyDescent="0.3">
      <c r="A262" s="458" t="s">
        <v>745</v>
      </c>
      <c r="B262" s="447" t="s">
        <v>746</v>
      </c>
      <c r="C262" s="463" t="s">
        <v>354</v>
      </c>
      <c r="D262" s="449" t="s">
        <v>261</v>
      </c>
      <c r="E262" s="262"/>
      <c r="F262" s="447" t="s">
        <v>784</v>
      </c>
      <c r="G262" s="387" t="str">
        <f>VLOOKUP(A262,'Feature Summary'!$A$7:$C$3944,3,FALSE)</f>
        <v>P2</v>
      </c>
      <c r="H262" s="447" t="s">
        <v>785</v>
      </c>
      <c r="I262" s="488" t="s">
        <v>264</v>
      </c>
      <c r="J262" s="481" t="s">
        <v>781</v>
      </c>
      <c r="K262" s="263">
        <v>1</v>
      </c>
      <c r="L262" s="391">
        <v>1</v>
      </c>
      <c r="M262" s="399" t="s">
        <v>33</v>
      </c>
      <c r="N262" s="475">
        <v>1</v>
      </c>
      <c r="O262" s="391">
        <v>1</v>
      </c>
      <c r="P262" s="496">
        <f t="shared" si="40"/>
        <v>1</v>
      </c>
      <c r="Q262" s="445" t="s">
        <v>52</v>
      </c>
      <c r="R262" s="391">
        <v>1</v>
      </c>
      <c r="S262" s="362">
        <f t="shared" si="37"/>
        <v>1</v>
      </c>
      <c r="T262" s="368">
        <v>1</v>
      </c>
      <c r="U262" s="368"/>
      <c r="V262" s="368"/>
      <c r="W262" s="368"/>
      <c r="X262" s="364">
        <f t="shared" si="36"/>
        <v>1</v>
      </c>
      <c r="Y262" s="599"/>
      <c r="Z262" s="498">
        <f t="shared" si="34"/>
        <v>0</v>
      </c>
      <c r="AA262" s="368"/>
      <c r="AB262" s="368"/>
      <c r="AC262" s="368"/>
      <c r="AD262" s="368"/>
      <c r="AE262" s="365">
        <f t="shared" si="35"/>
        <v>0</v>
      </c>
      <c r="AF262" s="558"/>
      <c r="AG262" s="457"/>
      <c r="AH262" s="264"/>
    </row>
    <row r="263" spans="1:34" ht="30.75" thickBot="1" x14ac:dyDescent="0.3">
      <c r="A263" s="458" t="s">
        <v>745</v>
      </c>
      <c r="B263" s="447" t="s">
        <v>746</v>
      </c>
      <c r="C263" s="463" t="s">
        <v>354</v>
      </c>
      <c r="D263" s="449" t="s">
        <v>261</v>
      </c>
      <c r="E263" s="262"/>
      <c r="F263" s="447" t="s">
        <v>786</v>
      </c>
      <c r="G263" s="387" t="str">
        <f>VLOOKUP(A263,'Feature Summary'!$A$7:$C$3944,3,FALSE)</f>
        <v>P2</v>
      </c>
      <c r="H263" s="447" t="s">
        <v>787</v>
      </c>
      <c r="I263" s="488" t="s">
        <v>264</v>
      </c>
      <c r="J263" s="481" t="s">
        <v>778</v>
      </c>
      <c r="K263" s="263">
        <v>1</v>
      </c>
      <c r="L263" s="391">
        <v>1</v>
      </c>
      <c r="M263" s="399" t="s">
        <v>33</v>
      </c>
      <c r="N263" s="475">
        <v>1</v>
      </c>
      <c r="O263" s="391">
        <v>1</v>
      </c>
      <c r="P263" s="496">
        <f t="shared" si="40"/>
        <v>1</v>
      </c>
      <c r="Q263" s="445" t="s">
        <v>52</v>
      </c>
      <c r="R263" s="391">
        <v>1</v>
      </c>
      <c r="S263" s="362">
        <f t="shared" si="37"/>
        <v>1</v>
      </c>
      <c r="T263" s="368">
        <v>1</v>
      </c>
      <c r="U263" s="368"/>
      <c r="V263" s="368"/>
      <c r="W263" s="368" t="s">
        <v>756</v>
      </c>
      <c r="X263" s="364">
        <f t="shared" si="36"/>
        <v>1</v>
      </c>
      <c r="Y263" s="599"/>
      <c r="Z263" s="498">
        <f t="shared" si="34"/>
        <v>0</v>
      </c>
      <c r="AA263" s="368"/>
      <c r="AB263" s="368"/>
      <c r="AC263" s="368"/>
      <c r="AD263" s="368"/>
      <c r="AE263" s="365">
        <f t="shared" si="35"/>
        <v>0</v>
      </c>
      <c r="AF263" s="558"/>
      <c r="AG263" s="457"/>
      <c r="AH263" s="264"/>
    </row>
    <row r="264" spans="1:34" ht="30.75" thickBot="1" x14ac:dyDescent="0.3">
      <c r="A264" s="458" t="s">
        <v>745</v>
      </c>
      <c r="B264" s="447" t="s">
        <v>746</v>
      </c>
      <c r="C264" s="463" t="s">
        <v>354</v>
      </c>
      <c r="D264" s="449" t="s">
        <v>261</v>
      </c>
      <c r="E264" s="262"/>
      <c r="F264" s="447" t="s">
        <v>788</v>
      </c>
      <c r="G264" s="387" t="str">
        <f>VLOOKUP(A264,'Feature Summary'!$A$7:$C$3944,3,FALSE)</f>
        <v>P2</v>
      </c>
      <c r="H264" s="447" t="s">
        <v>789</v>
      </c>
      <c r="I264" s="488" t="s">
        <v>264</v>
      </c>
      <c r="J264" s="481" t="s">
        <v>781</v>
      </c>
      <c r="K264" s="263">
        <v>1</v>
      </c>
      <c r="L264" s="391">
        <v>1</v>
      </c>
      <c r="M264" s="399" t="s">
        <v>33</v>
      </c>
      <c r="N264" s="475">
        <v>1</v>
      </c>
      <c r="O264" s="391">
        <v>1</v>
      </c>
      <c r="P264" s="496">
        <f t="shared" si="40"/>
        <v>1</v>
      </c>
      <c r="Q264" s="445" t="s">
        <v>52</v>
      </c>
      <c r="R264" s="391">
        <v>1</v>
      </c>
      <c r="S264" s="362">
        <f t="shared" si="37"/>
        <v>1</v>
      </c>
      <c r="T264" s="368">
        <v>1</v>
      </c>
      <c r="U264" s="368"/>
      <c r="V264" s="368"/>
      <c r="W264" s="368"/>
      <c r="X264" s="364">
        <f t="shared" si="36"/>
        <v>1</v>
      </c>
      <c r="Y264" s="599"/>
      <c r="Z264" s="498">
        <f t="shared" ref="Z264:Z327" si="41">SUM(AA264:AD264)</f>
        <v>0</v>
      </c>
      <c r="AA264" s="368"/>
      <c r="AB264" s="368"/>
      <c r="AC264" s="368"/>
      <c r="AD264" s="368"/>
      <c r="AE264" s="365">
        <f t="shared" ref="AE264:AE327" si="42">IF((Z264=0),0,((AA264+AB264)/Z264*100%))</f>
        <v>0</v>
      </c>
      <c r="AF264" s="558"/>
      <c r="AG264" s="457"/>
      <c r="AH264" s="264"/>
    </row>
    <row r="265" spans="1:34" ht="30.75" thickBot="1" x14ac:dyDescent="0.3">
      <c r="A265" s="458" t="s">
        <v>745</v>
      </c>
      <c r="B265" s="447" t="s">
        <v>746</v>
      </c>
      <c r="C265" s="463" t="s">
        <v>354</v>
      </c>
      <c r="D265" s="449" t="s">
        <v>261</v>
      </c>
      <c r="E265" s="262"/>
      <c r="F265" s="447" t="s">
        <v>790</v>
      </c>
      <c r="G265" s="387" t="str">
        <f>VLOOKUP(A265,'Feature Summary'!$A$7:$C$3944,3,FALSE)</f>
        <v>P2</v>
      </c>
      <c r="H265" s="447" t="s">
        <v>791</v>
      </c>
      <c r="I265" s="488" t="s">
        <v>264</v>
      </c>
      <c r="J265" s="481" t="s">
        <v>755</v>
      </c>
      <c r="K265" s="263">
        <v>1</v>
      </c>
      <c r="L265" s="391">
        <v>1</v>
      </c>
      <c r="M265" s="399" t="s">
        <v>33</v>
      </c>
      <c r="N265" s="475">
        <v>1</v>
      </c>
      <c r="O265" s="391">
        <v>1</v>
      </c>
      <c r="P265" s="496">
        <f t="shared" si="40"/>
        <v>1</v>
      </c>
      <c r="Q265" s="445" t="s">
        <v>52</v>
      </c>
      <c r="R265" s="391">
        <v>1</v>
      </c>
      <c r="S265" s="362">
        <f t="shared" si="37"/>
        <v>1</v>
      </c>
      <c r="T265" s="368">
        <v>1</v>
      </c>
      <c r="U265" s="368"/>
      <c r="V265" s="368"/>
      <c r="W265" s="368" t="s">
        <v>756</v>
      </c>
      <c r="X265" s="364">
        <f t="shared" ref="X265:X328" si="43">IF((S265=0),0,((T265+U265)/S265*100%))</f>
        <v>1</v>
      </c>
      <c r="Y265" s="393"/>
      <c r="Z265" s="498">
        <f t="shared" si="41"/>
        <v>0</v>
      </c>
      <c r="AA265" s="368"/>
      <c r="AB265" s="368"/>
      <c r="AC265" s="368"/>
      <c r="AD265" s="368"/>
      <c r="AE265" s="365">
        <f t="shared" si="42"/>
        <v>0</v>
      </c>
      <c r="AF265" s="262"/>
      <c r="AG265" s="457"/>
      <c r="AH265" s="264"/>
    </row>
    <row r="266" spans="1:34" ht="30.75" thickBot="1" x14ac:dyDescent="0.3">
      <c r="A266" s="458" t="s">
        <v>745</v>
      </c>
      <c r="B266" s="447" t="s">
        <v>746</v>
      </c>
      <c r="C266" s="463" t="s">
        <v>354</v>
      </c>
      <c r="D266" s="449" t="s">
        <v>261</v>
      </c>
      <c r="E266" s="262"/>
      <c r="F266" s="447" t="s">
        <v>792</v>
      </c>
      <c r="G266" s="387" t="str">
        <f>VLOOKUP(A266,'Feature Summary'!$A$7:$C$3944,3,FALSE)</f>
        <v>P2</v>
      </c>
      <c r="H266" s="447" t="s">
        <v>793</v>
      </c>
      <c r="I266" s="488" t="s">
        <v>264</v>
      </c>
      <c r="J266" s="481" t="s">
        <v>781</v>
      </c>
      <c r="K266" s="263">
        <v>1</v>
      </c>
      <c r="L266" s="391">
        <v>1</v>
      </c>
      <c r="M266" s="399" t="s">
        <v>33</v>
      </c>
      <c r="N266" s="475">
        <v>1</v>
      </c>
      <c r="O266" s="391">
        <v>1</v>
      </c>
      <c r="P266" s="496">
        <f t="shared" si="40"/>
        <v>1</v>
      </c>
      <c r="Q266" s="445" t="s">
        <v>52</v>
      </c>
      <c r="R266" s="391">
        <v>1</v>
      </c>
      <c r="S266" s="362">
        <f t="shared" ref="S266:S329" si="44">SUM(T266:W266)</f>
        <v>1</v>
      </c>
      <c r="T266" s="368">
        <v>1</v>
      </c>
      <c r="U266" s="368"/>
      <c r="V266" s="368"/>
      <c r="W266" s="368"/>
      <c r="X266" s="364">
        <f t="shared" si="43"/>
        <v>1</v>
      </c>
      <c r="Y266" s="393"/>
      <c r="Z266" s="498">
        <f t="shared" si="41"/>
        <v>0</v>
      </c>
      <c r="AA266" s="368"/>
      <c r="AB266" s="368"/>
      <c r="AC266" s="368"/>
      <c r="AD266" s="368"/>
      <c r="AE266" s="365">
        <f t="shared" si="42"/>
        <v>0</v>
      </c>
      <c r="AF266" s="558"/>
      <c r="AG266" s="457"/>
      <c r="AH266" s="264"/>
    </row>
    <row r="267" spans="1:34" ht="30.75" thickBot="1" x14ac:dyDescent="0.3">
      <c r="A267" s="458"/>
      <c r="B267" s="447" t="s">
        <v>746</v>
      </c>
      <c r="C267" s="463"/>
      <c r="D267" s="449" t="s">
        <v>261</v>
      </c>
      <c r="E267" s="262"/>
      <c r="F267" s="447" t="s">
        <v>747</v>
      </c>
      <c r="G267" s="387" t="e">
        <f>VLOOKUP(A267,'Feature Summary'!$A$7:$C$3944,3,FALSE)</f>
        <v>#N/A</v>
      </c>
      <c r="H267" s="447" t="s">
        <v>794</v>
      </c>
      <c r="I267" s="447"/>
      <c r="J267" s="481" t="s">
        <v>795</v>
      </c>
      <c r="K267" s="263"/>
      <c r="L267" s="391"/>
      <c r="M267" s="399" t="s">
        <v>33</v>
      </c>
      <c r="N267" s="475">
        <v>1</v>
      </c>
      <c r="O267" s="391"/>
      <c r="P267" s="496">
        <f t="shared" si="40"/>
        <v>0</v>
      </c>
      <c r="Q267" s="445" t="s">
        <v>52</v>
      </c>
      <c r="R267" s="391"/>
      <c r="S267" s="362">
        <f t="shared" si="44"/>
        <v>0</v>
      </c>
      <c r="T267" s="368"/>
      <c r="U267" s="368"/>
      <c r="V267" s="368"/>
      <c r="W267" s="368" t="s">
        <v>756</v>
      </c>
      <c r="X267" s="364">
        <f t="shared" si="43"/>
        <v>0</v>
      </c>
      <c r="Y267" s="393"/>
      <c r="Z267" s="498">
        <f t="shared" si="41"/>
        <v>0</v>
      </c>
      <c r="AA267" s="368"/>
      <c r="AB267" s="368"/>
      <c r="AC267" s="368"/>
      <c r="AD267" s="368"/>
      <c r="AE267" s="365">
        <f t="shared" si="42"/>
        <v>0</v>
      </c>
      <c r="AF267" s="558"/>
      <c r="AG267" s="457"/>
      <c r="AH267" s="264"/>
    </row>
    <row r="268" spans="1:34" ht="30.75" thickBot="1" x14ac:dyDescent="0.3">
      <c r="A268" s="458"/>
      <c r="B268" s="447" t="s">
        <v>746</v>
      </c>
      <c r="C268" s="463"/>
      <c r="D268" s="449" t="s">
        <v>261</v>
      </c>
      <c r="E268" s="262"/>
      <c r="F268" s="447" t="s">
        <v>750</v>
      </c>
      <c r="G268" s="387" t="e">
        <f>VLOOKUP(A268,'Feature Summary'!$A$7:$C$3944,3,FALSE)</f>
        <v>#N/A</v>
      </c>
      <c r="H268" s="447" t="s">
        <v>796</v>
      </c>
      <c r="I268" s="447"/>
      <c r="J268" s="481" t="s">
        <v>797</v>
      </c>
      <c r="K268" s="263"/>
      <c r="L268" s="391"/>
      <c r="M268" s="399" t="s">
        <v>33</v>
      </c>
      <c r="N268" s="475">
        <v>1</v>
      </c>
      <c r="O268" s="391"/>
      <c r="P268" s="496">
        <f t="shared" si="40"/>
        <v>0</v>
      </c>
      <c r="Q268" s="445" t="s">
        <v>52</v>
      </c>
      <c r="R268" s="391"/>
      <c r="S268" s="362">
        <f t="shared" si="44"/>
        <v>0</v>
      </c>
      <c r="T268" s="368"/>
      <c r="U268" s="368"/>
      <c r="V268" s="368"/>
      <c r="W268" s="368"/>
      <c r="X268" s="364">
        <f t="shared" si="43"/>
        <v>0</v>
      </c>
      <c r="Y268" s="393"/>
      <c r="Z268" s="498">
        <f t="shared" si="41"/>
        <v>0</v>
      </c>
      <c r="AA268" s="368"/>
      <c r="AB268" s="368"/>
      <c r="AC268" s="368"/>
      <c r="AD268" s="368"/>
      <c r="AE268" s="365">
        <f t="shared" si="42"/>
        <v>0</v>
      </c>
      <c r="AF268" s="558"/>
      <c r="AG268" s="457"/>
      <c r="AH268" s="264"/>
    </row>
    <row r="269" spans="1:34" ht="30.75" thickBot="1" x14ac:dyDescent="0.3">
      <c r="A269" s="458"/>
      <c r="B269" s="447" t="s">
        <v>746</v>
      </c>
      <c r="C269" s="463"/>
      <c r="D269" s="449" t="s">
        <v>261</v>
      </c>
      <c r="E269" s="262"/>
      <c r="F269" s="447" t="s">
        <v>753</v>
      </c>
      <c r="G269" s="387" t="e">
        <f>VLOOKUP(A269,'Feature Summary'!$A$7:$C$3944,3,FALSE)</f>
        <v>#N/A</v>
      </c>
      <c r="H269" s="447" t="s">
        <v>798</v>
      </c>
      <c r="I269" s="447"/>
      <c r="J269" s="481" t="s">
        <v>795</v>
      </c>
      <c r="K269" s="263"/>
      <c r="L269" s="391"/>
      <c r="M269" s="399" t="s">
        <v>33</v>
      </c>
      <c r="N269" s="475">
        <v>1</v>
      </c>
      <c r="O269" s="391"/>
      <c r="P269" s="496">
        <f t="shared" si="40"/>
        <v>0</v>
      </c>
      <c r="Q269" s="445" t="s">
        <v>52</v>
      </c>
      <c r="R269" s="391"/>
      <c r="S269" s="362">
        <f t="shared" si="44"/>
        <v>0</v>
      </c>
      <c r="T269" s="368"/>
      <c r="U269" s="368"/>
      <c r="V269" s="368"/>
      <c r="W269" s="368"/>
      <c r="X269" s="364">
        <f t="shared" si="43"/>
        <v>0</v>
      </c>
      <c r="Y269" s="393"/>
      <c r="Z269" s="498">
        <f t="shared" si="41"/>
        <v>0</v>
      </c>
      <c r="AA269" s="368"/>
      <c r="AB269" s="368"/>
      <c r="AC269" s="368"/>
      <c r="AD269" s="368"/>
      <c r="AE269" s="365">
        <f t="shared" si="42"/>
        <v>0</v>
      </c>
      <c r="AF269" s="558"/>
      <c r="AG269" s="457"/>
      <c r="AH269" s="264"/>
    </row>
    <row r="270" spans="1:34" ht="30.75" thickBot="1" x14ac:dyDescent="0.3">
      <c r="A270" s="458"/>
      <c r="B270" s="447" t="s">
        <v>746</v>
      </c>
      <c r="C270" s="463"/>
      <c r="D270" s="449" t="s">
        <v>261</v>
      </c>
      <c r="E270" s="262"/>
      <c r="F270" s="447" t="s">
        <v>757</v>
      </c>
      <c r="G270" s="387" t="e">
        <f>VLOOKUP(A270,'Feature Summary'!$A$7:$C$3944,3,FALSE)</f>
        <v>#N/A</v>
      </c>
      <c r="H270" s="447" t="s">
        <v>799</v>
      </c>
      <c r="I270" s="447"/>
      <c r="J270" s="481" t="s">
        <v>797</v>
      </c>
      <c r="K270" s="263"/>
      <c r="L270" s="391"/>
      <c r="M270" s="399" t="s">
        <v>33</v>
      </c>
      <c r="N270" s="475">
        <v>1</v>
      </c>
      <c r="O270" s="391"/>
      <c r="P270" s="496">
        <f t="shared" si="40"/>
        <v>0</v>
      </c>
      <c r="Q270" s="445" t="s">
        <v>52</v>
      </c>
      <c r="R270" s="391"/>
      <c r="S270" s="362">
        <f t="shared" si="44"/>
        <v>0</v>
      </c>
      <c r="T270" s="368"/>
      <c r="U270" s="368"/>
      <c r="V270" s="368"/>
      <c r="W270" s="368"/>
      <c r="X270" s="364">
        <f t="shared" si="43"/>
        <v>0</v>
      </c>
      <c r="Y270" s="393"/>
      <c r="Z270" s="498">
        <f t="shared" si="41"/>
        <v>0</v>
      </c>
      <c r="AA270" s="368"/>
      <c r="AB270" s="368"/>
      <c r="AC270" s="368"/>
      <c r="AD270" s="368"/>
      <c r="AE270" s="365">
        <f t="shared" si="42"/>
        <v>0</v>
      </c>
      <c r="AF270" s="558"/>
      <c r="AG270" s="457"/>
      <c r="AH270" s="264"/>
    </row>
    <row r="271" spans="1:34" ht="30.75" thickBot="1" x14ac:dyDescent="0.3">
      <c r="A271" s="458"/>
      <c r="B271" s="447" t="s">
        <v>746</v>
      </c>
      <c r="C271" s="463"/>
      <c r="D271" s="449" t="s">
        <v>261</v>
      </c>
      <c r="E271" s="262"/>
      <c r="F271" s="447" t="s">
        <v>759</v>
      </c>
      <c r="G271" s="387" t="e">
        <f>VLOOKUP(A271,'Feature Summary'!$A$7:$C$3944,3,FALSE)</f>
        <v>#N/A</v>
      </c>
      <c r="H271" s="447" t="s">
        <v>800</v>
      </c>
      <c r="I271" s="447"/>
      <c r="J271" s="481" t="s">
        <v>795</v>
      </c>
      <c r="K271" s="263"/>
      <c r="L271" s="391"/>
      <c r="M271" s="399" t="s">
        <v>33</v>
      </c>
      <c r="N271" s="475">
        <v>1</v>
      </c>
      <c r="O271" s="391"/>
      <c r="P271" s="496">
        <f t="shared" si="40"/>
        <v>0</v>
      </c>
      <c r="Q271" s="445" t="s">
        <v>52</v>
      </c>
      <c r="R271" s="391"/>
      <c r="S271" s="362">
        <f t="shared" si="44"/>
        <v>0</v>
      </c>
      <c r="T271" s="368"/>
      <c r="U271" s="368"/>
      <c r="V271" s="368"/>
      <c r="W271" s="368"/>
      <c r="X271" s="364">
        <f t="shared" si="43"/>
        <v>0</v>
      </c>
      <c r="Y271" s="393"/>
      <c r="Z271" s="498">
        <f t="shared" si="41"/>
        <v>0</v>
      </c>
      <c r="AA271" s="368"/>
      <c r="AB271" s="368"/>
      <c r="AC271" s="368"/>
      <c r="AD271" s="368"/>
      <c r="AE271" s="365">
        <f t="shared" si="42"/>
        <v>0</v>
      </c>
      <c r="AF271" s="558"/>
      <c r="AG271" s="457"/>
      <c r="AH271" s="264"/>
    </row>
    <row r="272" spans="1:34" ht="30.75" thickBot="1" x14ac:dyDescent="0.3">
      <c r="A272" s="458"/>
      <c r="B272" s="447" t="s">
        <v>746</v>
      </c>
      <c r="C272" s="463"/>
      <c r="D272" s="449" t="s">
        <v>261</v>
      </c>
      <c r="E272" s="262"/>
      <c r="F272" s="447" t="s">
        <v>761</v>
      </c>
      <c r="G272" s="387" t="e">
        <f>VLOOKUP(A272,'Feature Summary'!$A$7:$C$3944,3,FALSE)</f>
        <v>#N/A</v>
      </c>
      <c r="H272" s="447" t="s">
        <v>801</v>
      </c>
      <c r="I272" s="447"/>
      <c r="J272" s="481" t="s">
        <v>797</v>
      </c>
      <c r="K272" s="263"/>
      <c r="L272" s="391"/>
      <c r="M272" s="399" t="s">
        <v>33</v>
      </c>
      <c r="N272" s="475">
        <v>1</v>
      </c>
      <c r="O272" s="391"/>
      <c r="P272" s="496">
        <f t="shared" si="40"/>
        <v>0</v>
      </c>
      <c r="Q272" s="445" t="s">
        <v>52</v>
      </c>
      <c r="R272" s="391"/>
      <c r="S272" s="362">
        <f t="shared" si="44"/>
        <v>0</v>
      </c>
      <c r="T272" s="368"/>
      <c r="U272" s="368"/>
      <c r="V272" s="368"/>
      <c r="W272" s="368"/>
      <c r="X272" s="364">
        <f t="shared" si="43"/>
        <v>0</v>
      </c>
      <c r="Y272" s="393"/>
      <c r="Z272" s="498">
        <f t="shared" si="41"/>
        <v>0</v>
      </c>
      <c r="AA272" s="368"/>
      <c r="AB272" s="368"/>
      <c r="AC272" s="368"/>
      <c r="AD272" s="368"/>
      <c r="AE272" s="365">
        <f t="shared" si="42"/>
        <v>0</v>
      </c>
      <c r="AF272" s="558"/>
      <c r="AG272" s="457"/>
      <c r="AH272" s="264"/>
    </row>
    <row r="273" spans="1:34" ht="30.75" thickBot="1" x14ac:dyDescent="0.3">
      <c r="A273" s="458"/>
      <c r="B273" s="447" t="s">
        <v>746</v>
      </c>
      <c r="C273" s="463"/>
      <c r="D273" s="449" t="s">
        <v>261</v>
      </c>
      <c r="E273" s="262"/>
      <c r="F273" s="447" t="s">
        <v>764</v>
      </c>
      <c r="G273" s="387" t="e">
        <f>VLOOKUP(A273,'Feature Summary'!$A$7:$C$3944,3,FALSE)</f>
        <v>#N/A</v>
      </c>
      <c r="H273" s="447" t="s">
        <v>802</v>
      </c>
      <c r="I273" s="447"/>
      <c r="J273" s="481" t="s">
        <v>795</v>
      </c>
      <c r="K273" s="263"/>
      <c r="L273" s="391"/>
      <c r="M273" s="399" t="s">
        <v>33</v>
      </c>
      <c r="N273" s="475">
        <v>1</v>
      </c>
      <c r="O273" s="391"/>
      <c r="P273" s="496">
        <f t="shared" si="40"/>
        <v>0</v>
      </c>
      <c r="Q273" s="445" t="s">
        <v>52</v>
      </c>
      <c r="R273" s="391"/>
      <c r="S273" s="362">
        <f t="shared" si="44"/>
        <v>0</v>
      </c>
      <c r="T273" s="368"/>
      <c r="U273" s="368"/>
      <c r="V273" s="368"/>
      <c r="W273" s="368"/>
      <c r="X273" s="364">
        <f t="shared" si="43"/>
        <v>0</v>
      </c>
      <c r="Y273" s="393"/>
      <c r="Z273" s="498">
        <f t="shared" si="41"/>
        <v>0</v>
      </c>
      <c r="AA273" s="368"/>
      <c r="AB273" s="368"/>
      <c r="AC273" s="368"/>
      <c r="AD273" s="368"/>
      <c r="AE273" s="365">
        <f t="shared" si="42"/>
        <v>0</v>
      </c>
      <c r="AF273" s="558"/>
      <c r="AG273" s="457"/>
      <c r="AH273" s="264"/>
    </row>
    <row r="274" spans="1:34" ht="30.75" thickBot="1" x14ac:dyDescent="0.3">
      <c r="A274" s="458"/>
      <c r="B274" s="447" t="s">
        <v>746</v>
      </c>
      <c r="C274" s="463"/>
      <c r="D274" s="449" t="s">
        <v>261</v>
      </c>
      <c r="E274" s="262"/>
      <c r="F274" s="447" t="s">
        <v>766</v>
      </c>
      <c r="G274" s="387" t="e">
        <f>VLOOKUP(A274,'Feature Summary'!$A$7:$C$3944,3,FALSE)</f>
        <v>#N/A</v>
      </c>
      <c r="H274" s="447" t="s">
        <v>803</v>
      </c>
      <c r="I274" s="447"/>
      <c r="J274" s="481" t="s">
        <v>797</v>
      </c>
      <c r="K274" s="263"/>
      <c r="L274" s="391"/>
      <c r="M274" s="399" t="s">
        <v>33</v>
      </c>
      <c r="N274" s="475">
        <v>1</v>
      </c>
      <c r="O274" s="391"/>
      <c r="P274" s="496">
        <f t="shared" si="40"/>
        <v>0</v>
      </c>
      <c r="Q274" s="445" t="s">
        <v>52</v>
      </c>
      <c r="R274" s="391"/>
      <c r="S274" s="362">
        <f t="shared" si="44"/>
        <v>0</v>
      </c>
      <c r="T274" s="368"/>
      <c r="U274" s="368"/>
      <c r="V274" s="368"/>
      <c r="W274" s="368"/>
      <c r="X274" s="364">
        <f t="shared" si="43"/>
        <v>0</v>
      </c>
      <c r="Y274" s="393"/>
      <c r="Z274" s="498">
        <f t="shared" si="41"/>
        <v>0</v>
      </c>
      <c r="AA274" s="368"/>
      <c r="AB274" s="368"/>
      <c r="AC274" s="368"/>
      <c r="AD274" s="368"/>
      <c r="AE274" s="365">
        <f t="shared" si="42"/>
        <v>0</v>
      </c>
      <c r="AF274" s="558"/>
      <c r="AG274" s="457"/>
      <c r="AH274" s="264"/>
    </row>
    <row r="275" spans="1:34" ht="30.75" thickBot="1" x14ac:dyDescent="0.3">
      <c r="A275" s="458"/>
      <c r="B275" s="447" t="s">
        <v>746</v>
      </c>
      <c r="C275" s="463"/>
      <c r="D275" s="449" t="s">
        <v>261</v>
      </c>
      <c r="E275" s="262"/>
      <c r="F275" s="447" t="s">
        <v>768</v>
      </c>
      <c r="G275" s="387" t="e">
        <f>VLOOKUP(A275,'Feature Summary'!$A$7:$C$3944,3,FALSE)</f>
        <v>#N/A</v>
      </c>
      <c r="H275" s="447" t="s">
        <v>804</v>
      </c>
      <c r="I275" s="447"/>
      <c r="J275" s="481" t="s">
        <v>795</v>
      </c>
      <c r="K275" s="263"/>
      <c r="L275" s="391"/>
      <c r="M275" s="399" t="s">
        <v>33</v>
      </c>
      <c r="N275" s="475">
        <v>1</v>
      </c>
      <c r="O275" s="391"/>
      <c r="P275" s="496">
        <f t="shared" si="40"/>
        <v>0</v>
      </c>
      <c r="Q275" s="445" t="s">
        <v>52</v>
      </c>
      <c r="R275" s="391"/>
      <c r="S275" s="362">
        <f t="shared" si="44"/>
        <v>0</v>
      </c>
      <c r="T275" s="368"/>
      <c r="U275" s="368"/>
      <c r="V275" s="368"/>
      <c r="W275" s="368"/>
      <c r="X275" s="364">
        <f t="shared" si="43"/>
        <v>0</v>
      </c>
      <c r="Y275" s="393"/>
      <c r="Z275" s="498">
        <f t="shared" si="41"/>
        <v>0</v>
      </c>
      <c r="AA275" s="368"/>
      <c r="AB275" s="368"/>
      <c r="AC275" s="368"/>
      <c r="AD275" s="368"/>
      <c r="AE275" s="365">
        <f t="shared" si="42"/>
        <v>0</v>
      </c>
      <c r="AF275" s="558"/>
      <c r="AG275" s="457"/>
      <c r="AH275" s="264"/>
    </row>
    <row r="276" spans="1:34" ht="30.75" thickBot="1" x14ac:dyDescent="0.3">
      <c r="A276" s="458"/>
      <c r="B276" s="447" t="s">
        <v>746</v>
      </c>
      <c r="C276" s="463"/>
      <c r="D276" s="449" t="s">
        <v>261</v>
      </c>
      <c r="E276" s="262"/>
      <c r="F276" s="447" t="s">
        <v>770</v>
      </c>
      <c r="G276" s="387" t="e">
        <f>VLOOKUP(A276,'Feature Summary'!$A$7:$C$3944,3,FALSE)</f>
        <v>#N/A</v>
      </c>
      <c r="H276" s="447" t="s">
        <v>805</v>
      </c>
      <c r="I276" s="447"/>
      <c r="J276" s="481" t="s">
        <v>797</v>
      </c>
      <c r="K276" s="263"/>
      <c r="L276" s="391"/>
      <c r="M276" s="399" t="s">
        <v>33</v>
      </c>
      <c r="N276" s="475">
        <v>1</v>
      </c>
      <c r="O276" s="391"/>
      <c r="P276" s="496">
        <f t="shared" si="40"/>
        <v>0</v>
      </c>
      <c r="Q276" s="445" t="s">
        <v>52</v>
      </c>
      <c r="R276" s="391"/>
      <c r="S276" s="362">
        <f t="shared" si="44"/>
        <v>0</v>
      </c>
      <c r="T276" s="368"/>
      <c r="U276" s="368"/>
      <c r="V276" s="368"/>
      <c r="W276" s="368"/>
      <c r="X276" s="364">
        <f t="shared" si="43"/>
        <v>0</v>
      </c>
      <c r="Y276" s="393"/>
      <c r="Z276" s="498">
        <f t="shared" si="41"/>
        <v>0</v>
      </c>
      <c r="AA276" s="368"/>
      <c r="AB276" s="368"/>
      <c r="AC276" s="368"/>
      <c r="AD276" s="368"/>
      <c r="AE276" s="365">
        <f t="shared" si="42"/>
        <v>0</v>
      </c>
      <c r="AF276" s="558"/>
      <c r="AG276" s="457"/>
      <c r="AH276" s="264"/>
    </row>
    <row r="277" spans="1:34" ht="30.75" thickBot="1" x14ac:dyDescent="0.3">
      <c r="A277" s="458"/>
      <c r="B277" s="447" t="s">
        <v>746</v>
      </c>
      <c r="C277" s="463"/>
      <c r="D277" s="449" t="s">
        <v>261</v>
      </c>
      <c r="E277" s="262"/>
      <c r="F277" s="447" t="s">
        <v>772</v>
      </c>
      <c r="G277" s="387" t="e">
        <f>VLOOKUP(A277,'Feature Summary'!$A$7:$C$3944,3,FALSE)</f>
        <v>#N/A</v>
      </c>
      <c r="H277" s="447" t="s">
        <v>806</v>
      </c>
      <c r="I277" s="447"/>
      <c r="J277" s="481" t="s">
        <v>795</v>
      </c>
      <c r="K277" s="263"/>
      <c r="L277" s="391"/>
      <c r="M277" s="399" t="s">
        <v>33</v>
      </c>
      <c r="N277" s="475">
        <v>1</v>
      </c>
      <c r="O277" s="391"/>
      <c r="P277" s="496">
        <f t="shared" si="40"/>
        <v>0</v>
      </c>
      <c r="Q277" s="445" t="s">
        <v>52</v>
      </c>
      <c r="R277" s="391"/>
      <c r="S277" s="362">
        <f t="shared" si="44"/>
        <v>0</v>
      </c>
      <c r="T277" s="368"/>
      <c r="U277" s="368"/>
      <c r="V277" s="368"/>
      <c r="W277" s="368"/>
      <c r="X277" s="364">
        <f t="shared" si="43"/>
        <v>0</v>
      </c>
      <c r="Y277" s="393"/>
      <c r="Z277" s="498">
        <f t="shared" si="41"/>
        <v>0</v>
      </c>
      <c r="AA277" s="368"/>
      <c r="AB277" s="368"/>
      <c r="AC277" s="368"/>
      <c r="AD277" s="368"/>
      <c r="AE277" s="365">
        <f t="shared" si="42"/>
        <v>0</v>
      </c>
      <c r="AF277" s="558"/>
      <c r="AG277" s="457"/>
      <c r="AH277" s="264"/>
    </row>
    <row r="278" spans="1:34" ht="30.75" thickBot="1" x14ac:dyDescent="0.3">
      <c r="A278" s="458"/>
      <c r="B278" s="447" t="s">
        <v>746</v>
      </c>
      <c r="C278" s="463"/>
      <c r="D278" s="449" t="s">
        <v>261</v>
      </c>
      <c r="E278" s="262"/>
      <c r="F278" s="447" t="s">
        <v>774</v>
      </c>
      <c r="G278" s="387" t="e">
        <f>VLOOKUP(A278,'Feature Summary'!$A$7:$C$3944,3,FALSE)</f>
        <v>#N/A</v>
      </c>
      <c r="H278" s="447" t="s">
        <v>807</v>
      </c>
      <c r="I278" s="447"/>
      <c r="J278" s="481" t="s">
        <v>797</v>
      </c>
      <c r="K278" s="263"/>
      <c r="L278" s="391"/>
      <c r="M278" s="399" t="s">
        <v>33</v>
      </c>
      <c r="N278" s="475">
        <v>1</v>
      </c>
      <c r="O278" s="391"/>
      <c r="P278" s="496">
        <f t="shared" si="40"/>
        <v>0</v>
      </c>
      <c r="Q278" s="445" t="s">
        <v>52</v>
      </c>
      <c r="R278" s="391"/>
      <c r="S278" s="362">
        <f t="shared" si="44"/>
        <v>0</v>
      </c>
      <c r="T278" s="368"/>
      <c r="U278" s="368"/>
      <c r="V278" s="368"/>
      <c r="W278" s="368"/>
      <c r="X278" s="364">
        <f t="shared" si="43"/>
        <v>0</v>
      </c>
      <c r="Y278" s="393"/>
      <c r="Z278" s="498">
        <f t="shared" si="41"/>
        <v>0</v>
      </c>
      <c r="AA278" s="368"/>
      <c r="AB278" s="368"/>
      <c r="AC278" s="368"/>
      <c r="AD278" s="368"/>
      <c r="AE278" s="365">
        <f t="shared" si="42"/>
        <v>0</v>
      </c>
      <c r="AF278" s="558"/>
      <c r="AG278" s="457"/>
      <c r="AH278" s="264"/>
    </row>
    <row r="279" spans="1:34" ht="30.75" thickBot="1" x14ac:dyDescent="0.3">
      <c r="A279" s="458"/>
      <c r="B279" s="447" t="s">
        <v>746</v>
      </c>
      <c r="C279" s="463"/>
      <c r="D279" s="449" t="s">
        <v>261</v>
      </c>
      <c r="E279" s="262"/>
      <c r="F279" s="447" t="s">
        <v>776</v>
      </c>
      <c r="G279" s="387" t="e">
        <f>VLOOKUP(A279,'Feature Summary'!$A$7:$C$3944,3,FALSE)</f>
        <v>#N/A</v>
      </c>
      <c r="H279" s="447" t="s">
        <v>808</v>
      </c>
      <c r="I279" s="447"/>
      <c r="J279" s="481" t="s">
        <v>795</v>
      </c>
      <c r="K279" s="263"/>
      <c r="L279" s="391"/>
      <c r="M279" s="399" t="s">
        <v>33</v>
      </c>
      <c r="N279" s="475">
        <v>1</v>
      </c>
      <c r="O279" s="391"/>
      <c r="P279" s="496">
        <f t="shared" si="40"/>
        <v>0</v>
      </c>
      <c r="Q279" s="445" t="s">
        <v>52</v>
      </c>
      <c r="R279" s="391"/>
      <c r="S279" s="362">
        <f t="shared" si="44"/>
        <v>0</v>
      </c>
      <c r="T279" s="368"/>
      <c r="U279" s="368"/>
      <c r="V279" s="368"/>
      <c r="W279" s="368"/>
      <c r="X279" s="364">
        <f t="shared" si="43"/>
        <v>0</v>
      </c>
      <c r="Y279" s="393"/>
      <c r="Z279" s="498">
        <f t="shared" si="41"/>
        <v>0</v>
      </c>
      <c r="AA279" s="368"/>
      <c r="AB279" s="368"/>
      <c r="AC279" s="368"/>
      <c r="AD279" s="368"/>
      <c r="AE279" s="365">
        <f t="shared" si="42"/>
        <v>0</v>
      </c>
      <c r="AF279" s="558"/>
      <c r="AG279" s="457"/>
      <c r="AH279" s="264"/>
    </row>
    <row r="280" spans="1:34" ht="30.75" thickBot="1" x14ac:dyDescent="0.3">
      <c r="A280" s="458"/>
      <c r="B280" s="447" t="s">
        <v>746</v>
      </c>
      <c r="C280" s="463"/>
      <c r="D280" s="449" t="s">
        <v>261</v>
      </c>
      <c r="E280" s="262"/>
      <c r="F280" s="447" t="s">
        <v>779</v>
      </c>
      <c r="G280" s="387" t="e">
        <f>VLOOKUP(A280,'Feature Summary'!$A$7:$C$3944,3,FALSE)</f>
        <v>#N/A</v>
      </c>
      <c r="H280" s="447" t="s">
        <v>809</v>
      </c>
      <c r="I280" s="447"/>
      <c r="J280" s="481" t="s">
        <v>797</v>
      </c>
      <c r="K280" s="263"/>
      <c r="L280" s="391"/>
      <c r="M280" s="399" t="s">
        <v>33</v>
      </c>
      <c r="N280" s="475">
        <v>1</v>
      </c>
      <c r="O280" s="391"/>
      <c r="P280" s="496">
        <f t="shared" si="40"/>
        <v>0</v>
      </c>
      <c r="Q280" s="445" t="s">
        <v>52</v>
      </c>
      <c r="R280" s="391"/>
      <c r="S280" s="362">
        <f t="shared" si="44"/>
        <v>0</v>
      </c>
      <c r="T280" s="368"/>
      <c r="U280" s="368"/>
      <c r="V280" s="368"/>
      <c r="W280" s="368"/>
      <c r="X280" s="364">
        <f t="shared" si="43"/>
        <v>0</v>
      </c>
      <c r="Y280" s="393"/>
      <c r="Z280" s="498">
        <f t="shared" si="41"/>
        <v>0</v>
      </c>
      <c r="AA280" s="368"/>
      <c r="AB280" s="368"/>
      <c r="AC280" s="368"/>
      <c r="AD280" s="368"/>
      <c r="AE280" s="365">
        <f t="shared" si="42"/>
        <v>0</v>
      </c>
      <c r="AF280" s="558"/>
      <c r="AG280" s="457"/>
      <c r="AH280" s="264"/>
    </row>
    <row r="281" spans="1:34" ht="30.75" thickBot="1" x14ac:dyDescent="0.3">
      <c r="A281" s="458"/>
      <c r="B281" s="447" t="s">
        <v>746</v>
      </c>
      <c r="C281" s="463"/>
      <c r="D281" s="449" t="s">
        <v>261</v>
      </c>
      <c r="E281" s="262"/>
      <c r="F281" s="447" t="s">
        <v>782</v>
      </c>
      <c r="G281" s="387" t="e">
        <f>VLOOKUP(A281,'Feature Summary'!$A$7:$C$3944,3,FALSE)</f>
        <v>#N/A</v>
      </c>
      <c r="H281" s="447" t="s">
        <v>810</v>
      </c>
      <c r="I281" s="447"/>
      <c r="J281" s="481" t="s">
        <v>795</v>
      </c>
      <c r="K281" s="263"/>
      <c r="L281" s="391"/>
      <c r="M281" s="399" t="s">
        <v>33</v>
      </c>
      <c r="N281" s="475">
        <v>1</v>
      </c>
      <c r="O281" s="391"/>
      <c r="P281" s="496">
        <f t="shared" si="40"/>
        <v>0</v>
      </c>
      <c r="Q281" s="445" t="s">
        <v>52</v>
      </c>
      <c r="R281" s="391"/>
      <c r="S281" s="362">
        <f t="shared" si="44"/>
        <v>0</v>
      </c>
      <c r="T281" s="368"/>
      <c r="U281" s="368"/>
      <c r="V281" s="368"/>
      <c r="W281" s="368"/>
      <c r="X281" s="364">
        <f t="shared" si="43"/>
        <v>0</v>
      </c>
      <c r="Y281" s="393"/>
      <c r="Z281" s="498">
        <f t="shared" si="41"/>
        <v>0</v>
      </c>
      <c r="AA281" s="368"/>
      <c r="AB281" s="368"/>
      <c r="AC281" s="368"/>
      <c r="AD281" s="368"/>
      <c r="AE281" s="365">
        <f t="shared" si="42"/>
        <v>0</v>
      </c>
      <c r="AF281" s="558"/>
      <c r="AG281" s="457"/>
      <c r="AH281" s="264"/>
    </row>
    <row r="282" spans="1:34" ht="30.75" thickBot="1" x14ac:dyDescent="0.3">
      <c r="A282" s="458"/>
      <c r="B282" s="447" t="s">
        <v>746</v>
      </c>
      <c r="C282" s="463"/>
      <c r="D282" s="449" t="s">
        <v>261</v>
      </c>
      <c r="E282" s="262"/>
      <c r="F282" s="447" t="s">
        <v>784</v>
      </c>
      <c r="G282" s="387" t="e">
        <f>VLOOKUP(A282,'Feature Summary'!$A$7:$C$3944,3,FALSE)</f>
        <v>#N/A</v>
      </c>
      <c r="H282" s="447" t="s">
        <v>811</v>
      </c>
      <c r="I282" s="447"/>
      <c r="J282" s="481" t="s">
        <v>797</v>
      </c>
      <c r="K282" s="263"/>
      <c r="L282" s="391"/>
      <c r="M282" s="399" t="s">
        <v>33</v>
      </c>
      <c r="N282" s="475">
        <v>1</v>
      </c>
      <c r="O282" s="391"/>
      <c r="P282" s="496">
        <f t="shared" si="40"/>
        <v>0</v>
      </c>
      <c r="Q282" s="445" t="s">
        <v>52</v>
      </c>
      <c r="R282" s="391"/>
      <c r="S282" s="362">
        <f t="shared" si="44"/>
        <v>0</v>
      </c>
      <c r="T282" s="368"/>
      <c r="U282" s="368"/>
      <c r="V282" s="368"/>
      <c r="W282" s="368"/>
      <c r="X282" s="364">
        <f t="shared" si="43"/>
        <v>0</v>
      </c>
      <c r="Y282" s="393"/>
      <c r="Z282" s="498">
        <f t="shared" si="41"/>
        <v>0</v>
      </c>
      <c r="AA282" s="368"/>
      <c r="AB282" s="368"/>
      <c r="AC282" s="368"/>
      <c r="AD282" s="368"/>
      <c r="AE282" s="365">
        <f t="shared" si="42"/>
        <v>0</v>
      </c>
      <c r="AF282" s="558"/>
      <c r="AG282" s="457"/>
      <c r="AH282" s="264"/>
    </row>
    <row r="283" spans="1:34" ht="30.75" thickBot="1" x14ac:dyDescent="0.3">
      <c r="A283" s="458"/>
      <c r="B283" s="447" t="s">
        <v>746</v>
      </c>
      <c r="C283" s="463"/>
      <c r="D283" s="449" t="s">
        <v>261</v>
      </c>
      <c r="E283" s="262"/>
      <c r="F283" s="447" t="s">
        <v>786</v>
      </c>
      <c r="G283" s="387" t="e">
        <f>VLOOKUP(A283,'Feature Summary'!$A$7:$C$3944,3,FALSE)</f>
        <v>#N/A</v>
      </c>
      <c r="H283" s="447" t="s">
        <v>812</v>
      </c>
      <c r="I283" s="447"/>
      <c r="J283" s="481" t="s">
        <v>795</v>
      </c>
      <c r="K283" s="263"/>
      <c r="L283" s="391"/>
      <c r="M283" s="399" t="s">
        <v>33</v>
      </c>
      <c r="N283" s="475">
        <v>1</v>
      </c>
      <c r="O283" s="391"/>
      <c r="P283" s="496">
        <f>IF((O283=0),0,(O283/L283))</f>
        <v>0</v>
      </c>
      <c r="Q283" s="445" t="s">
        <v>52</v>
      </c>
      <c r="R283" s="391"/>
      <c r="S283" s="362">
        <f t="shared" si="44"/>
        <v>0</v>
      </c>
      <c r="T283" s="368"/>
      <c r="U283" s="368"/>
      <c r="V283" s="368"/>
      <c r="W283" s="368"/>
      <c r="X283" s="364">
        <f t="shared" si="43"/>
        <v>0</v>
      </c>
      <c r="Y283" s="393"/>
      <c r="Z283" s="498">
        <f t="shared" si="41"/>
        <v>0</v>
      </c>
      <c r="AA283" s="368"/>
      <c r="AB283" s="368"/>
      <c r="AC283" s="368"/>
      <c r="AD283" s="368"/>
      <c r="AE283" s="365">
        <f t="shared" si="42"/>
        <v>0</v>
      </c>
      <c r="AF283" s="558"/>
      <c r="AG283" s="457"/>
      <c r="AH283" s="264"/>
    </row>
    <row r="284" spans="1:34" ht="30.75" thickBot="1" x14ac:dyDescent="0.3">
      <c r="A284" s="458"/>
      <c r="B284" s="447" t="s">
        <v>746</v>
      </c>
      <c r="C284" s="463"/>
      <c r="D284" s="449" t="s">
        <v>261</v>
      </c>
      <c r="E284" s="262"/>
      <c r="F284" s="447" t="s">
        <v>788</v>
      </c>
      <c r="G284" s="387" t="e">
        <f>VLOOKUP(A284,'Feature Summary'!$A$7:$C$3944,3,FALSE)</f>
        <v>#N/A</v>
      </c>
      <c r="H284" s="447" t="s">
        <v>813</v>
      </c>
      <c r="I284" s="447"/>
      <c r="J284" s="481" t="s">
        <v>797</v>
      </c>
      <c r="K284" s="263"/>
      <c r="L284" s="391"/>
      <c r="M284" s="399" t="s">
        <v>33</v>
      </c>
      <c r="N284" s="475">
        <v>1</v>
      </c>
      <c r="O284" s="391"/>
      <c r="P284" s="496">
        <f>IF((O284=0),0,(O284/L284))</f>
        <v>0</v>
      </c>
      <c r="Q284" s="445" t="s">
        <v>52</v>
      </c>
      <c r="R284" s="391"/>
      <c r="S284" s="362">
        <f t="shared" si="44"/>
        <v>0</v>
      </c>
      <c r="T284" s="368"/>
      <c r="U284" s="368"/>
      <c r="V284" s="368"/>
      <c r="W284" s="368"/>
      <c r="X284" s="364">
        <f t="shared" si="43"/>
        <v>0</v>
      </c>
      <c r="Y284" s="393"/>
      <c r="Z284" s="498">
        <f t="shared" si="41"/>
        <v>0</v>
      </c>
      <c r="AA284" s="368"/>
      <c r="AB284" s="368"/>
      <c r="AC284" s="368"/>
      <c r="AD284" s="368"/>
      <c r="AE284" s="365">
        <f t="shared" si="42"/>
        <v>0</v>
      </c>
      <c r="AF284" s="558"/>
      <c r="AG284" s="457"/>
      <c r="AH284" s="264"/>
    </row>
    <row r="285" spans="1:34" ht="30.75" thickBot="1" x14ac:dyDescent="0.3">
      <c r="A285" s="458"/>
      <c r="B285" s="447" t="s">
        <v>746</v>
      </c>
      <c r="C285" s="463"/>
      <c r="D285" s="449" t="s">
        <v>261</v>
      </c>
      <c r="E285" s="262"/>
      <c r="F285" s="447" t="s">
        <v>814</v>
      </c>
      <c r="G285" s="387" t="e">
        <f>VLOOKUP(A285,'Feature Summary'!$A$7:$C$3944,3,FALSE)</f>
        <v>#N/A</v>
      </c>
      <c r="H285" s="447" t="s">
        <v>815</v>
      </c>
      <c r="I285" s="447"/>
      <c r="J285" s="481" t="s">
        <v>795</v>
      </c>
      <c r="K285" s="263"/>
      <c r="L285" s="391"/>
      <c r="M285" s="399" t="s">
        <v>33</v>
      </c>
      <c r="N285" s="475">
        <v>1</v>
      </c>
      <c r="O285" s="391"/>
      <c r="P285" s="496">
        <f t="shared" ref="P285:P289" si="45">IF((O285=0),0,(O285/L285))</f>
        <v>0</v>
      </c>
      <c r="Q285" s="445" t="s">
        <v>52</v>
      </c>
      <c r="R285" s="391"/>
      <c r="S285" s="362">
        <f t="shared" si="44"/>
        <v>0</v>
      </c>
      <c r="T285" s="368"/>
      <c r="U285" s="368"/>
      <c r="V285" s="368"/>
      <c r="W285" s="368"/>
      <c r="X285" s="364">
        <f t="shared" si="43"/>
        <v>0</v>
      </c>
      <c r="Y285" s="393"/>
      <c r="Z285" s="498">
        <f t="shared" si="41"/>
        <v>0</v>
      </c>
      <c r="AA285" s="368"/>
      <c r="AB285" s="368"/>
      <c r="AC285" s="368"/>
      <c r="AD285" s="368"/>
      <c r="AE285" s="365">
        <f t="shared" si="42"/>
        <v>0</v>
      </c>
      <c r="AF285" s="558"/>
      <c r="AG285" s="457"/>
      <c r="AH285" s="264"/>
    </row>
    <row r="286" spans="1:34" ht="30.75" thickBot="1" x14ac:dyDescent="0.3">
      <c r="A286" s="458"/>
      <c r="B286" s="447" t="s">
        <v>746</v>
      </c>
      <c r="C286" s="463"/>
      <c r="D286" s="449" t="s">
        <v>261</v>
      </c>
      <c r="E286" s="262"/>
      <c r="F286" s="447" t="s">
        <v>792</v>
      </c>
      <c r="G286" s="387" t="e">
        <f>VLOOKUP(A286,'Feature Summary'!$A$7:$C$3944,3,FALSE)</f>
        <v>#N/A</v>
      </c>
      <c r="H286" s="447" t="s">
        <v>816</v>
      </c>
      <c r="I286" s="447"/>
      <c r="J286" s="481" t="s">
        <v>797</v>
      </c>
      <c r="K286" s="263"/>
      <c r="L286" s="391"/>
      <c r="M286" s="399" t="s">
        <v>33</v>
      </c>
      <c r="N286" s="475">
        <v>1</v>
      </c>
      <c r="O286" s="391"/>
      <c r="P286" s="496">
        <f t="shared" si="45"/>
        <v>0</v>
      </c>
      <c r="Q286" s="445" t="s">
        <v>52</v>
      </c>
      <c r="R286" s="391"/>
      <c r="S286" s="362">
        <f t="shared" si="44"/>
        <v>0</v>
      </c>
      <c r="T286" s="368"/>
      <c r="U286" s="368"/>
      <c r="V286" s="368"/>
      <c r="W286" s="368"/>
      <c r="X286" s="364">
        <f t="shared" si="43"/>
        <v>0</v>
      </c>
      <c r="Y286" s="393"/>
      <c r="Z286" s="498">
        <f t="shared" si="41"/>
        <v>0</v>
      </c>
      <c r="AA286" s="368"/>
      <c r="AB286" s="368"/>
      <c r="AC286" s="368"/>
      <c r="AD286" s="368"/>
      <c r="AE286" s="365">
        <f t="shared" si="42"/>
        <v>0</v>
      </c>
      <c r="AF286" s="558"/>
      <c r="AG286" s="457"/>
      <c r="AH286" s="264"/>
    </row>
    <row r="287" spans="1:34" ht="45.75" thickBot="1" x14ac:dyDescent="0.3">
      <c r="A287" s="474" t="s">
        <v>817</v>
      </c>
      <c r="B287" s="447" t="s">
        <v>818</v>
      </c>
      <c r="C287" s="463" t="s">
        <v>260</v>
      </c>
      <c r="D287" s="449" t="s">
        <v>261</v>
      </c>
      <c r="E287" s="262"/>
      <c r="F287" s="470" t="s">
        <v>819</v>
      </c>
      <c r="G287" s="387" t="e">
        <f>VLOOKUP(A287,'Feature Summary'!$A$7:$C$3944,3,FALSE)</f>
        <v>#N/A</v>
      </c>
      <c r="H287" s="447" t="s">
        <v>820</v>
      </c>
      <c r="I287" s="488" t="s">
        <v>264</v>
      </c>
      <c r="J287" s="448" t="s">
        <v>821</v>
      </c>
      <c r="K287" s="263">
        <v>1</v>
      </c>
      <c r="L287" s="391">
        <v>32</v>
      </c>
      <c r="M287" s="399" t="s">
        <v>33</v>
      </c>
      <c r="N287" s="475">
        <v>1</v>
      </c>
      <c r="O287" s="391">
        <v>0</v>
      </c>
      <c r="P287" s="496">
        <f t="shared" si="45"/>
        <v>0</v>
      </c>
      <c r="Q287" s="445" t="s">
        <v>52</v>
      </c>
      <c r="R287" s="391">
        <v>32</v>
      </c>
      <c r="S287" s="362">
        <f t="shared" si="44"/>
        <v>32</v>
      </c>
      <c r="T287" s="368">
        <v>32</v>
      </c>
      <c r="U287" s="368"/>
      <c r="V287" s="368"/>
      <c r="W287" s="368"/>
      <c r="X287" s="364">
        <f t="shared" si="43"/>
        <v>1</v>
      </c>
      <c r="Y287" s="393"/>
      <c r="Z287" s="498">
        <f t="shared" si="41"/>
        <v>0</v>
      </c>
      <c r="AA287" s="368"/>
      <c r="AB287" s="368"/>
      <c r="AC287" s="368"/>
      <c r="AD287" s="368"/>
      <c r="AE287" s="365">
        <f t="shared" si="42"/>
        <v>0</v>
      </c>
      <c r="AF287" s="262"/>
      <c r="AG287" s="457"/>
      <c r="AH287" s="264"/>
    </row>
    <row r="288" spans="1:34" ht="30.75" thickBot="1" x14ac:dyDescent="0.3">
      <c r="A288" s="458"/>
      <c r="B288" s="447" t="s">
        <v>818</v>
      </c>
      <c r="C288" s="463"/>
      <c r="D288" s="449" t="s">
        <v>261</v>
      </c>
      <c r="E288" s="262"/>
      <c r="F288" s="470" t="s">
        <v>819</v>
      </c>
      <c r="G288" s="387" t="e">
        <f>VLOOKUP(A288,'Feature Summary'!$A$7:$C$3944,3,FALSE)</f>
        <v>#N/A</v>
      </c>
      <c r="H288" s="447" t="s">
        <v>822</v>
      </c>
      <c r="I288" s="447"/>
      <c r="J288" s="448" t="s">
        <v>823</v>
      </c>
      <c r="K288" s="263"/>
      <c r="L288" s="391"/>
      <c r="M288" s="399" t="s">
        <v>33</v>
      </c>
      <c r="N288" s="475">
        <v>1</v>
      </c>
      <c r="O288" s="391"/>
      <c r="P288" s="496">
        <f t="shared" si="45"/>
        <v>0</v>
      </c>
      <c r="Q288" s="445" t="s">
        <v>52</v>
      </c>
      <c r="R288" s="391"/>
      <c r="S288" s="362">
        <f t="shared" si="44"/>
        <v>0</v>
      </c>
      <c r="T288" s="368"/>
      <c r="U288" s="368"/>
      <c r="V288" s="368"/>
      <c r="W288" s="368"/>
      <c r="X288" s="364">
        <f t="shared" si="43"/>
        <v>0</v>
      </c>
      <c r="Y288" s="393"/>
      <c r="Z288" s="498">
        <f t="shared" si="41"/>
        <v>0</v>
      </c>
      <c r="AA288" s="368"/>
      <c r="AB288" s="368"/>
      <c r="AC288" s="368"/>
      <c r="AD288" s="368"/>
      <c r="AE288" s="365">
        <f t="shared" si="42"/>
        <v>0</v>
      </c>
      <c r="AF288" s="558"/>
      <c r="AG288" s="457"/>
      <c r="AH288" s="264"/>
    </row>
    <row r="289" spans="1:34" ht="30.75" thickBot="1" x14ac:dyDescent="0.3">
      <c r="A289" s="458"/>
      <c r="B289" s="447" t="s">
        <v>818</v>
      </c>
      <c r="C289" s="463"/>
      <c r="D289" s="449" t="s">
        <v>261</v>
      </c>
      <c r="E289" s="262"/>
      <c r="F289" s="470" t="s">
        <v>819</v>
      </c>
      <c r="G289" s="387" t="e">
        <f>VLOOKUP(A289,'Feature Summary'!$A$7:$C$3944,3,FALSE)</f>
        <v>#N/A</v>
      </c>
      <c r="H289" s="447" t="s">
        <v>824</v>
      </c>
      <c r="I289" s="447"/>
      <c r="J289" s="448" t="s">
        <v>825</v>
      </c>
      <c r="K289" s="263"/>
      <c r="L289" s="391"/>
      <c r="M289" s="399" t="s">
        <v>33</v>
      </c>
      <c r="N289" s="475">
        <v>1</v>
      </c>
      <c r="O289" s="391"/>
      <c r="P289" s="496">
        <f t="shared" si="45"/>
        <v>0</v>
      </c>
      <c r="Q289" s="445" t="s">
        <v>52</v>
      </c>
      <c r="R289" s="391"/>
      <c r="S289" s="362">
        <f t="shared" si="44"/>
        <v>0</v>
      </c>
      <c r="T289" s="368"/>
      <c r="U289" s="368"/>
      <c r="V289" s="368"/>
      <c r="W289" s="368"/>
      <c r="X289" s="364">
        <f t="shared" si="43"/>
        <v>0</v>
      </c>
      <c r="Y289" s="393"/>
      <c r="Z289" s="498">
        <f t="shared" si="41"/>
        <v>0</v>
      </c>
      <c r="AA289" s="368"/>
      <c r="AB289" s="368"/>
      <c r="AC289" s="368"/>
      <c r="AD289" s="368"/>
      <c r="AE289" s="365">
        <f t="shared" si="42"/>
        <v>0</v>
      </c>
      <c r="AF289" s="262"/>
      <c r="AG289" s="457"/>
      <c r="AH289" s="264"/>
    </row>
    <row r="290" spans="1:34" ht="30.75" thickBot="1" x14ac:dyDescent="0.3">
      <c r="A290" s="458"/>
      <c r="B290" s="447" t="s">
        <v>818</v>
      </c>
      <c r="C290" s="463"/>
      <c r="D290" s="449" t="s">
        <v>261</v>
      </c>
      <c r="E290" s="262"/>
      <c r="F290" s="470" t="s">
        <v>819</v>
      </c>
      <c r="G290" s="387" t="e">
        <f>VLOOKUP(A290,'Feature Summary'!$A$7:$C$3944,3,FALSE)</f>
        <v>#N/A</v>
      </c>
      <c r="H290" s="447" t="s">
        <v>826</v>
      </c>
      <c r="I290" s="447"/>
      <c r="J290" s="448" t="s">
        <v>827</v>
      </c>
      <c r="K290" s="263"/>
      <c r="L290" s="391"/>
      <c r="M290" s="399" t="s">
        <v>33</v>
      </c>
      <c r="N290" s="475">
        <v>1</v>
      </c>
      <c r="O290" s="391"/>
      <c r="P290" s="496">
        <f>IF((O290=0),0,(O290/L290))</f>
        <v>0</v>
      </c>
      <c r="Q290" s="445" t="s">
        <v>52</v>
      </c>
      <c r="R290" s="391"/>
      <c r="S290" s="362">
        <f t="shared" si="44"/>
        <v>0</v>
      </c>
      <c r="T290" s="368"/>
      <c r="U290" s="368"/>
      <c r="V290" s="368"/>
      <c r="W290" s="368"/>
      <c r="X290" s="364">
        <f t="shared" si="43"/>
        <v>0</v>
      </c>
      <c r="Y290" s="393"/>
      <c r="Z290" s="498">
        <f t="shared" si="41"/>
        <v>0</v>
      </c>
      <c r="AA290" s="368"/>
      <c r="AB290" s="368"/>
      <c r="AC290" s="368"/>
      <c r="AD290" s="368"/>
      <c r="AE290" s="365">
        <f t="shared" si="42"/>
        <v>0</v>
      </c>
      <c r="AF290" s="262"/>
      <c r="AG290" s="457"/>
      <c r="AH290" s="264"/>
    </row>
    <row r="291" spans="1:34" ht="30.75" thickBot="1" x14ac:dyDescent="0.3">
      <c r="A291" s="458" t="s">
        <v>828</v>
      </c>
      <c r="B291" s="463" t="s">
        <v>829</v>
      </c>
      <c r="C291" s="463" t="s">
        <v>651</v>
      </c>
      <c r="D291" s="449" t="s">
        <v>261</v>
      </c>
      <c r="E291" s="262"/>
      <c r="F291" s="447" t="s">
        <v>830</v>
      </c>
      <c r="G291" s="387" t="e">
        <f>VLOOKUP(A291,'Feature Summary'!$A$7:$C$3944,3,FALSE)</f>
        <v>#N/A</v>
      </c>
      <c r="H291" s="447" t="s">
        <v>831</v>
      </c>
      <c r="I291" s="488" t="s">
        <v>264</v>
      </c>
      <c r="J291" s="448" t="s">
        <v>281</v>
      </c>
      <c r="K291" s="263">
        <v>1</v>
      </c>
      <c r="L291" s="391">
        <v>16</v>
      </c>
      <c r="M291" s="399" t="s">
        <v>33</v>
      </c>
      <c r="N291" s="475">
        <v>1</v>
      </c>
      <c r="O291" s="391">
        <v>0</v>
      </c>
      <c r="P291" s="496">
        <f t="shared" ref="P291:P321" si="46">IF((O291=0),0,(O291/L291))</f>
        <v>0</v>
      </c>
      <c r="Q291" s="445" t="s">
        <v>52</v>
      </c>
      <c r="R291" s="391">
        <v>16</v>
      </c>
      <c r="S291" s="362">
        <f t="shared" si="44"/>
        <v>16</v>
      </c>
      <c r="T291" s="368">
        <v>16</v>
      </c>
      <c r="U291" s="368"/>
      <c r="V291" s="368"/>
      <c r="W291" s="368"/>
      <c r="X291" s="364">
        <f t="shared" si="43"/>
        <v>1</v>
      </c>
      <c r="Y291" s="393"/>
      <c r="Z291" s="498">
        <f t="shared" si="41"/>
        <v>0</v>
      </c>
      <c r="AA291" s="368"/>
      <c r="AB291" s="368"/>
      <c r="AC291" s="368"/>
      <c r="AD291" s="368"/>
      <c r="AE291" s="365">
        <f t="shared" si="42"/>
        <v>0</v>
      </c>
      <c r="AF291" s="262"/>
      <c r="AG291" s="457"/>
      <c r="AH291" s="264"/>
    </row>
    <row r="292" spans="1:34" ht="30.75" thickBot="1" x14ac:dyDescent="0.3">
      <c r="A292" s="458" t="s">
        <v>828</v>
      </c>
      <c r="B292" s="463" t="s">
        <v>829</v>
      </c>
      <c r="C292" s="463" t="s">
        <v>651</v>
      </c>
      <c r="D292" s="449" t="s">
        <v>261</v>
      </c>
      <c r="E292" s="262"/>
      <c r="F292" s="470" t="s">
        <v>832</v>
      </c>
      <c r="G292" s="387" t="e">
        <f>VLOOKUP(A292,'Feature Summary'!$A$7:$C$3944,3,FALSE)</f>
        <v>#N/A</v>
      </c>
      <c r="H292" s="447" t="s">
        <v>833</v>
      </c>
      <c r="I292" s="488" t="s">
        <v>264</v>
      </c>
      <c r="J292" s="448" t="s">
        <v>281</v>
      </c>
      <c r="K292" s="263">
        <v>1</v>
      </c>
      <c r="L292" s="391">
        <v>16</v>
      </c>
      <c r="M292" s="399" t="s">
        <v>33</v>
      </c>
      <c r="N292" s="475">
        <v>1</v>
      </c>
      <c r="O292" s="391">
        <v>0</v>
      </c>
      <c r="P292" s="496">
        <f t="shared" si="46"/>
        <v>0</v>
      </c>
      <c r="Q292" s="445" t="s">
        <v>52</v>
      </c>
      <c r="R292" s="391">
        <v>16</v>
      </c>
      <c r="S292" s="362">
        <f t="shared" si="44"/>
        <v>16</v>
      </c>
      <c r="T292" s="368">
        <v>16</v>
      </c>
      <c r="U292" s="368"/>
      <c r="V292" s="368"/>
      <c r="W292" s="368"/>
      <c r="X292" s="364">
        <f t="shared" si="43"/>
        <v>1</v>
      </c>
      <c r="Y292" s="393"/>
      <c r="Z292" s="498">
        <f t="shared" si="41"/>
        <v>0</v>
      </c>
      <c r="AA292" s="368"/>
      <c r="AB292" s="368"/>
      <c r="AC292" s="368"/>
      <c r="AD292" s="368"/>
      <c r="AE292" s="365">
        <f t="shared" si="42"/>
        <v>0</v>
      </c>
      <c r="AF292" s="262"/>
      <c r="AG292" s="457"/>
      <c r="AH292" s="264"/>
    </row>
    <row r="293" spans="1:34" ht="15.75" thickBot="1" x14ac:dyDescent="0.3">
      <c r="A293" s="458" t="s">
        <v>828</v>
      </c>
      <c r="B293" s="463" t="s">
        <v>829</v>
      </c>
      <c r="C293" s="463" t="s">
        <v>651</v>
      </c>
      <c r="D293" s="449" t="s">
        <v>261</v>
      </c>
      <c r="E293" s="262"/>
      <c r="F293" s="470" t="s">
        <v>834</v>
      </c>
      <c r="G293" s="387" t="e">
        <f>VLOOKUP(A293,'Feature Summary'!$A$7:$C$3944,3,FALSE)</f>
        <v>#N/A</v>
      </c>
      <c r="H293" s="447" t="s">
        <v>835</v>
      </c>
      <c r="I293" s="488" t="s">
        <v>264</v>
      </c>
      <c r="J293" s="448" t="s">
        <v>320</v>
      </c>
      <c r="K293" s="263">
        <v>1</v>
      </c>
      <c r="L293" s="391">
        <v>14</v>
      </c>
      <c r="M293" s="399" t="s">
        <v>33</v>
      </c>
      <c r="N293" s="475">
        <v>1</v>
      </c>
      <c r="O293" s="391">
        <v>0</v>
      </c>
      <c r="P293" s="496">
        <f t="shared" si="46"/>
        <v>0</v>
      </c>
      <c r="Q293" s="445" t="s">
        <v>52</v>
      </c>
      <c r="R293" s="391">
        <v>14</v>
      </c>
      <c r="S293" s="362">
        <f t="shared" si="44"/>
        <v>14</v>
      </c>
      <c r="T293" s="368">
        <v>14</v>
      </c>
      <c r="U293" s="368"/>
      <c r="V293" s="368"/>
      <c r="W293" s="368"/>
      <c r="X293" s="364">
        <f t="shared" si="43"/>
        <v>1</v>
      </c>
      <c r="Y293" s="393"/>
      <c r="Z293" s="498">
        <f t="shared" si="41"/>
        <v>0</v>
      </c>
      <c r="AA293" s="368"/>
      <c r="AB293" s="368"/>
      <c r="AC293" s="368"/>
      <c r="AD293" s="368"/>
      <c r="AE293" s="365">
        <f t="shared" si="42"/>
        <v>0</v>
      </c>
      <c r="AF293" s="262"/>
      <c r="AG293" s="457"/>
      <c r="AH293" s="264"/>
    </row>
    <row r="294" spans="1:34" ht="15.75" thickBot="1" x14ac:dyDescent="0.3">
      <c r="A294" s="458" t="s">
        <v>828</v>
      </c>
      <c r="B294" s="463" t="s">
        <v>829</v>
      </c>
      <c r="C294" s="463" t="s">
        <v>651</v>
      </c>
      <c r="D294" s="449" t="s">
        <v>261</v>
      </c>
      <c r="E294" s="262"/>
      <c r="F294" s="470" t="s">
        <v>836</v>
      </c>
      <c r="G294" s="387" t="e">
        <f>VLOOKUP(A294,'Feature Summary'!$A$7:$C$3944,3,FALSE)</f>
        <v>#N/A</v>
      </c>
      <c r="H294" s="447" t="s">
        <v>837</v>
      </c>
      <c r="I294" s="488" t="s">
        <v>264</v>
      </c>
      <c r="J294" s="448" t="s">
        <v>320</v>
      </c>
      <c r="K294" s="263">
        <v>1</v>
      </c>
      <c r="L294" s="391">
        <v>14</v>
      </c>
      <c r="M294" s="399" t="s">
        <v>33</v>
      </c>
      <c r="N294" s="475">
        <v>1</v>
      </c>
      <c r="O294" s="391">
        <v>0</v>
      </c>
      <c r="P294" s="496">
        <f t="shared" si="46"/>
        <v>0</v>
      </c>
      <c r="Q294" s="445" t="s">
        <v>52</v>
      </c>
      <c r="R294" s="391">
        <v>14</v>
      </c>
      <c r="S294" s="362">
        <f t="shared" si="44"/>
        <v>14</v>
      </c>
      <c r="T294" s="368">
        <v>14</v>
      </c>
      <c r="U294" s="368"/>
      <c r="V294" s="368"/>
      <c r="W294" s="368"/>
      <c r="X294" s="364">
        <f t="shared" si="43"/>
        <v>1</v>
      </c>
      <c r="Y294" s="393"/>
      <c r="Z294" s="498">
        <f t="shared" si="41"/>
        <v>0</v>
      </c>
      <c r="AA294" s="368"/>
      <c r="AB294" s="368"/>
      <c r="AC294" s="368"/>
      <c r="AD294" s="368"/>
      <c r="AE294" s="365">
        <f t="shared" si="42"/>
        <v>0</v>
      </c>
      <c r="AF294" s="262"/>
      <c r="AG294" s="457"/>
      <c r="AH294" s="264"/>
    </row>
    <row r="295" spans="1:34" ht="30.75" thickBot="1" x14ac:dyDescent="0.3">
      <c r="A295" s="458" t="s">
        <v>828</v>
      </c>
      <c r="B295" s="463" t="s">
        <v>829</v>
      </c>
      <c r="C295" s="463" t="s">
        <v>651</v>
      </c>
      <c r="D295" s="449" t="s">
        <v>261</v>
      </c>
      <c r="E295" s="262"/>
      <c r="F295" s="470" t="s">
        <v>838</v>
      </c>
      <c r="G295" s="387" t="e">
        <f>VLOOKUP(A295,'Feature Summary'!$A$7:$C$3944,3,FALSE)</f>
        <v>#N/A</v>
      </c>
      <c r="H295" s="447" t="s">
        <v>839</v>
      </c>
      <c r="I295" s="488" t="s">
        <v>264</v>
      </c>
      <c r="J295" s="476" t="s">
        <v>840</v>
      </c>
      <c r="K295" s="263">
        <v>1</v>
      </c>
      <c r="L295" s="391">
        <v>1</v>
      </c>
      <c r="M295" s="399" t="s">
        <v>33</v>
      </c>
      <c r="N295" s="475">
        <v>1</v>
      </c>
      <c r="O295" s="391">
        <v>1</v>
      </c>
      <c r="P295" s="496">
        <f t="shared" si="46"/>
        <v>1</v>
      </c>
      <c r="Q295" s="445" t="s">
        <v>52</v>
      </c>
      <c r="R295" s="391">
        <v>1</v>
      </c>
      <c r="S295" s="362">
        <f t="shared" si="44"/>
        <v>1</v>
      </c>
      <c r="T295" s="368">
        <v>1</v>
      </c>
      <c r="U295" s="368"/>
      <c r="V295" s="368"/>
      <c r="W295" s="368"/>
      <c r="X295" s="364">
        <f t="shared" si="43"/>
        <v>1</v>
      </c>
      <c r="Y295" s="393"/>
      <c r="Z295" s="498">
        <f t="shared" si="41"/>
        <v>0</v>
      </c>
      <c r="AA295" s="368"/>
      <c r="AB295" s="368"/>
      <c r="AC295" s="368"/>
      <c r="AD295" s="368"/>
      <c r="AE295" s="365">
        <f t="shared" si="42"/>
        <v>0</v>
      </c>
      <c r="AF295" s="262"/>
      <c r="AG295" s="457"/>
      <c r="AH295" s="264"/>
    </row>
    <row r="296" spans="1:34" ht="15.75" thickBot="1" x14ac:dyDescent="0.3">
      <c r="A296" s="458" t="s">
        <v>828</v>
      </c>
      <c r="B296" s="463" t="s">
        <v>829</v>
      </c>
      <c r="C296" s="463" t="s">
        <v>651</v>
      </c>
      <c r="D296" s="449" t="s">
        <v>261</v>
      </c>
      <c r="E296" s="262"/>
      <c r="F296" s="470" t="s">
        <v>841</v>
      </c>
      <c r="G296" s="387" t="e">
        <f>VLOOKUP(A296,'Feature Summary'!$A$7:$C$3944,3,FALSE)</f>
        <v>#N/A</v>
      </c>
      <c r="H296" s="447" t="s">
        <v>842</v>
      </c>
      <c r="I296" s="488" t="s">
        <v>264</v>
      </c>
      <c r="J296" s="476" t="s">
        <v>840</v>
      </c>
      <c r="K296" s="263">
        <v>1</v>
      </c>
      <c r="L296" s="391">
        <v>1</v>
      </c>
      <c r="M296" s="399" t="s">
        <v>33</v>
      </c>
      <c r="N296" s="475">
        <v>1</v>
      </c>
      <c r="O296" s="391">
        <v>1</v>
      </c>
      <c r="P296" s="496">
        <f t="shared" si="46"/>
        <v>1</v>
      </c>
      <c r="Q296" s="445" t="s">
        <v>52</v>
      </c>
      <c r="R296" s="391">
        <v>1</v>
      </c>
      <c r="S296" s="362">
        <f t="shared" si="44"/>
        <v>1</v>
      </c>
      <c r="T296" s="368">
        <v>1</v>
      </c>
      <c r="U296" s="368"/>
      <c r="V296" s="368"/>
      <c r="W296" s="368"/>
      <c r="X296" s="364">
        <f t="shared" si="43"/>
        <v>1</v>
      </c>
      <c r="Y296" s="393"/>
      <c r="Z296" s="498">
        <f t="shared" si="41"/>
        <v>0</v>
      </c>
      <c r="AA296" s="368"/>
      <c r="AB296" s="368"/>
      <c r="AC296" s="368"/>
      <c r="AD296" s="368"/>
      <c r="AE296" s="365">
        <f t="shared" si="42"/>
        <v>0</v>
      </c>
      <c r="AF296" s="262"/>
      <c r="AG296" s="457"/>
      <c r="AH296" s="264"/>
    </row>
    <row r="297" spans="1:34" ht="15.75" thickBot="1" x14ac:dyDescent="0.3">
      <c r="A297" s="458" t="s">
        <v>828</v>
      </c>
      <c r="B297" s="463" t="s">
        <v>829</v>
      </c>
      <c r="C297" s="463" t="s">
        <v>651</v>
      </c>
      <c r="D297" s="449" t="s">
        <v>261</v>
      </c>
      <c r="E297" s="262"/>
      <c r="F297" s="470" t="s">
        <v>843</v>
      </c>
      <c r="G297" s="387" t="e">
        <f>VLOOKUP(A297,'Feature Summary'!$A$7:$C$3944,3,FALSE)</f>
        <v>#N/A</v>
      </c>
      <c r="H297" s="447" t="s">
        <v>844</v>
      </c>
      <c r="I297" s="488" t="s">
        <v>264</v>
      </c>
      <c r="J297" s="448" t="s">
        <v>845</v>
      </c>
      <c r="K297" s="263">
        <v>1</v>
      </c>
      <c r="L297" s="391">
        <v>1</v>
      </c>
      <c r="M297" s="399" t="s">
        <v>33</v>
      </c>
      <c r="N297" s="475">
        <v>1</v>
      </c>
      <c r="O297" s="391">
        <v>1</v>
      </c>
      <c r="P297" s="496">
        <f t="shared" si="46"/>
        <v>1</v>
      </c>
      <c r="Q297" s="445" t="s">
        <v>52</v>
      </c>
      <c r="R297" s="391">
        <v>1</v>
      </c>
      <c r="S297" s="362">
        <f t="shared" si="44"/>
        <v>1</v>
      </c>
      <c r="T297" s="368">
        <v>1</v>
      </c>
      <c r="U297" s="368"/>
      <c r="V297" s="368"/>
      <c r="W297" s="368"/>
      <c r="X297" s="364">
        <f t="shared" si="43"/>
        <v>1</v>
      </c>
      <c r="Y297" s="393"/>
      <c r="Z297" s="498">
        <f t="shared" si="41"/>
        <v>0</v>
      </c>
      <c r="AA297" s="368"/>
      <c r="AB297" s="368"/>
      <c r="AC297" s="368"/>
      <c r="AD297" s="368"/>
      <c r="AE297" s="365">
        <f t="shared" si="42"/>
        <v>0</v>
      </c>
      <c r="AF297" s="262"/>
      <c r="AG297" s="457"/>
      <c r="AH297" s="264"/>
    </row>
    <row r="298" spans="1:34" ht="15.75" thickBot="1" x14ac:dyDescent="0.3">
      <c r="A298" s="458" t="s">
        <v>828</v>
      </c>
      <c r="B298" s="463" t="s">
        <v>829</v>
      </c>
      <c r="C298" s="463" t="s">
        <v>651</v>
      </c>
      <c r="D298" s="449" t="s">
        <v>261</v>
      </c>
      <c r="E298" s="262"/>
      <c r="F298" s="470" t="s">
        <v>846</v>
      </c>
      <c r="G298" s="387" t="e">
        <f>VLOOKUP(A298,'Feature Summary'!$A$7:$C$3944,3,FALSE)</f>
        <v>#N/A</v>
      </c>
      <c r="H298" s="447" t="s">
        <v>847</v>
      </c>
      <c r="I298" s="488" t="s">
        <v>264</v>
      </c>
      <c r="J298" s="448" t="s">
        <v>845</v>
      </c>
      <c r="K298" s="263">
        <v>1</v>
      </c>
      <c r="L298" s="391">
        <v>1</v>
      </c>
      <c r="M298" s="399" t="s">
        <v>33</v>
      </c>
      <c r="N298" s="475">
        <v>1</v>
      </c>
      <c r="O298" s="391">
        <v>1</v>
      </c>
      <c r="P298" s="496">
        <f t="shared" si="46"/>
        <v>1</v>
      </c>
      <c r="Q298" s="445" t="s">
        <v>52</v>
      </c>
      <c r="R298" s="391">
        <v>1</v>
      </c>
      <c r="S298" s="362">
        <f t="shared" si="44"/>
        <v>1</v>
      </c>
      <c r="T298" s="368">
        <v>1</v>
      </c>
      <c r="U298" s="368"/>
      <c r="V298" s="368"/>
      <c r="W298" s="368"/>
      <c r="X298" s="364">
        <f t="shared" si="43"/>
        <v>1</v>
      </c>
      <c r="Y298" s="393"/>
      <c r="Z298" s="498">
        <f t="shared" si="41"/>
        <v>0</v>
      </c>
      <c r="AA298" s="368"/>
      <c r="AB298" s="368"/>
      <c r="AC298" s="368"/>
      <c r="AD298" s="368"/>
      <c r="AE298" s="365">
        <f t="shared" si="42"/>
        <v>0</v>
      </c>
      <c r="AF298" s="262"/>
      <c r="AG298" s="457"/>
      <c r="AH298" s="264"/>
    </row>
    <row r="299" spans="1:34" ht="30.75" thickBot="1" x14ac:dyDescent="0.3">
      <c r="A299" s="458" t="s">
        <v>828</v>
      </c>
      <c r="B299" s="463" t="s">
        <v>829</v>
      </c>
      <c r="C299" s="463" t="s">
        <v>651</v>
      </c>
      <c r="D299" s="449" t="s">
        <v>261</v>
      </c>
      <c r="E299" s="262"/>
      <c r="F299" s="447" t="s">
        <v>848</v>
      </c>
      <c r="G299" s="387" t="e">
        <f>VLOOKUP(A299,'Feature Summary'!$A$7:$C$3944,3,FALSE)</f>
        <v>#N/A</v>
      </c>
      <c r="H299" s="447" t="s">
        <v>849</v>
      </c>
      <c r="I299" s="488" t="s">
        <v>264</v>
      </c>
      <c r="J299" s="448" t="s">
        <v>281</v>
      </c>
      <c r="K299" s="263">
        <v>1</v>
      </c>
      <c r="L299" s="391">
        <v>1</v>
      </c>
      <c r="M299" s="399" t="s">
        <v>33</v>
      </c>
      <c r="N299" s="475">
        <v>1</v>
      </c>
      <c r="O299" s="391">
        <v>1</v>
      </c>
      <c r="P299" s="496">
        <f t="shared" si="46"/>
        <v>1</v>
      </c>
      <c r="Q299" s="445" t="s">
        <v>52</v>
      </c>
      <c r="R299" s="391">
        <v>1</v>
      </c>
      <c r="S299" s="362">
        <f t="shared" si="44"/>
        <v>1</v>
      </c>
      <c r="T299" s="368">
        <v>1</v>
      </c>
      <c r="U299" s="368"/>
      <c r="V299" s="368"/>
      <c r="W299" s="368"/>
      <c r="X299" s="364">
        <f t="shared" si="43"/>
        <v>1</v>
      </c>
      <c r="Y299" s="393"/>
      <c r="Z299" s="498">
        <f t="shared" si="41"/>
        <v>0</v>
      </c>
      <c r="AA299" s="368"/>
      <c r="AB299" s="368"/>
      <c r="AC299" s="368"/>
      <c r="AD299" s="368"/>
      <c r="AE299" s="365">
        <f t="shared" si="42"/>
        <v>0</v>
      </c>
      <c r="AF299" s="262"/>
      <c r="AG299" s="457"/>
      <c r="AH299" s="264"/>
    </row>
    <row r="300" spans="1:34" ht="30.75" thickBot="1" x14ac:dyDescent="0.3">
      <c r="A300" s="458" t="s">
        <v>828</v>
      </c>
      <c r="B300" s="463" t="s">
        <v>829</v>
      </c>
      <c r="C300" s="463" t="s">
        <v>651</v>
      </c>
      <c r="D300" s="449" t="s">
        <v>261</v>
      </c>
      <c r="E300" s="262"/>
      <c r="F300" s="447" t="s">
        <v>850</v>
      </c>
      <c r="G300" s="387" t="e">
        <f>VLOOKUP(A300,'Feature Summary'!$A$7:$C$3944,3,FALSE)</f>
        <v>#N/A</v>
      </c>
      <c r="H300" s="447" t="s">
        <v>851</v>
      </c>
      <c r="I300" s="488" t="s">
        <v>264</v>
      </c>
      <c r="J300" s="448" t="s">
        <v>281</v>
      </c>
      <c r="K300" s="263">
        <v>1</v>
      </c>
      <c r="L300" s="391">
        <v>1</v>
      </c>
      <c r="M300" s="399" t="s">
        <v>33</v>
      </c>
      <c r="N300" s="475">
        <v>1</v>
      </c>
      <c r="O300" s="391">
        <v>1</v>
      </c>
      <c r="P300" s="496">
        <f t="shared" si="46"/>
        <v>1</v>
      </c>
      <c r="Q300" s="445" t="s">
        <v>52</v>
      </c>
      <c r="R300" s="391">
        <v>1</v>
      </c>
      <c r="S300" s="362">
        <f t="shared" si="44"/>
        <v>1</v>
      </c>
      <c r="T300" s="368">
        <v>1</v>
      </c>
      <c r="U300" s="368"/>
      <c r="V300" s="368"/>
      <c r="W300" s="368"/>
      <c r="X300" s="364">
        <f t="shared" si="43"/>
        <v>1</v>
      </c>
      <c r="Y300" s="393"/>
      <c r="Z300" s="498">
        <f t="shared" si="41"/>
        <v>0</v>
      </c>
      <c r="AA300" s="368"/>
      <c r="AB300" s="368"/>
      <c r="AC300" s="368"/>
      <c r="AD300" s="368"/>
      <c r="AE300" s="365">
        <f t="shared" si="42"/>
        <v>0</v>
      </c>
      <c r="AF300" s="262"/>
      <c r="AG300" s="457"/>
      <c r="AH300" s="264"/>
    </row>
    <row r="301" spans="1:34" ht="30.75" thickBot="1" x14ac:dyDescent="0.3">
      <c r="A301" s="458" t="s">
        <v>828</v>
      </c>
      <c r="B301" s="463" t="s">
        <v>829</v>
      </c>
      <c r="C301" s="463" t="s">
        <v>651</v>
      </c>
      <c r="D301" s="449" t="s">
        <v>261</v>
      </c>
      <c r="E301" s="262"/>
      <c r="F301" s="470" t="s">
        <v>852</v>
      </c>
      <c r="G301" s="387" t="e">
        <f>VLOOKUP(A301,'Feature Summary'!$A$7:$C$3944,3,FALSE)</f>
        <v>#N/A</v>
      </c>
      <c r="H301" s="447" t="s">
        <v>853</v>
      </c>
      <c r="I301" s="488" t="s">
        <v>264</v>
      </c>
      <c r="J301" s="448" t="s">
        <v>281</v>
      </c>
      <c r="K301" s="263">
        <v>1</v>
      </c>
      <c r="L301" s="391">
        <v>1</v>
      </c>
      <c r="M301" s="399" t="s">
        <v>33</v>
      </c>
      <c r="N301" s="475">
        <v>1</v>
      </c>
      <c r="O301" s="391">
        <v>1</v>
      </c>
      <c r="P301" s="496">
        <f t="shared" si="46"/>
        <v>1</v>
      </c>
      <c r="Q301" s="445" t="s">
        <v>52</v>
      </c>
      <c r="R301" s="391">
        <v>1</v>
      </c>
      <c r="S301" s="362">
        <f t="shared" si="44"/>
        <v>1</v>
      </c>
      <c r="T301" s="368">
        <v>1</v>
      </c>
      <c r="U301" s="368"/>
      <c r="V301" s="368"/>
      <c r="W301" s="368"/>
      <c r="X301" s="364">
        <f t="shared" si="43"/>
        <v>1</v>
      </c>
      <c r="Y301" s="393"/>
      <c r="Z301" s="498">
        <f t="shared" si="41"/>
        <v>0</v>
      </c>
      <c r="AA301" s="368"/>
      <c r="AB301" s="368"/>
      <c r="AC301" s="368"/>
      <c r="AD301" s="368"/>
      <c r="AE301" s="365">
        <f t="shared" si="42"/>
        <v>0</v>
      </c>
      <c r="AF301" s="262"/>
      <c r="AG301" s="457"/>
      <c r="AH301" s="264"/>
    </row>
    <row r="302" spans="1:34" ht="30.75" thickBot="1" x14ac:dyDescent="0.3">
      <c r="A302" s="458" t="s">
        <v>828</v>
      </c>
      <c r="B302" s="463" t="s">
        <v>829</v>
      </c>
      <c r="C302" s="463" t="s">
        <v>651</v>
      </c>
      <c r="D302" s="449" t="s">
        <v>261</v>
      </c>
      <c r="E302" s="262"/>
      <c r="F302" s="470" t="s">
        <v>854</v>
      </c>
      <c r="G302" s="387" t="e">
        <f>VLOOKUP(A302,'Feature Summary'!$A$7:$C$3944,3,FALSE)</f>
        <v>#N/A</v>
      </c>
      <c r="H302" s="447" t="s">
        <v>855</v>
      </c>
      <c r="I302" s="488" t="s">
        <v>264</v>
      </c>
      <c r="J302" s="448" t="s">
        <v>474</v>
      </c>
      <c r="K302" s="263">
        <v>1</v>
      </c>
      <c r="L302" s="391">
        <v>1</v>
      </c>
      <c r="M302" s="399" t="s">
        <v>33</v>
      </c>
      <c r="N302" s="475">
        <v>1</v>
      </c>
      <c r="O302" s="391">
        <v>1</v>
      </c>
      <c r="P302" s="496">
        <f t="shared" si="46"/>
        <v>1</v>
      </c>
      <c r="Q302" s="445" t="s">
        <v>52</v>
      </c>
      <c r="R302" s="391">
        <v>1</v>
      </c>
      <c r="S302" s="362">
        <f t="shared" si="44"/>
        <v>1</v>
      </c>
      <c r="T302" s="368">
        <v>1</v>
      </c>
      <c r="U302" s="368"/>
      <c r="V302" s="368"/>
      <c r="W302" s="368"/>
      <c r="X302" s="364">
        <f t="shared" si="43"/>
        <v>1</v>
      </c>
      <c r="Y302" s="393"/>
      <c r="Z302" s="498">
        <f t="shared" si="41"/>
        <v>0</v>
      </c>
      <c r="AA302" s="368"/>
      <c r="AB302" s="368"/>
      <c r="AC302" s="368"/>
      <c r="AD302" s="368"/>
      <c r="AE302" s="365">
        <f t="shared" si="42"/>
        <v>0</v>
      </c>
      <c r="AF302" s="262"/>
      <c r="AG302" s="457"/>
      <c r="AH302" s="264"/>
    </row>
    <row r="303" spans="1:34" ht="30.75" thickBot="1" x14ac:dyDescent="0.3">
      <c r="A303" s="458" t="s">
        <v>828</v>
      </c>
      <c r="B303" s="463" t="s">
        <v>829</v>
      </c>
      <c r="C303" s="463" t="s">
        <v>651</v>
      </c>
      <c r="D303" s="449" t="s">
        <v>261</v>
      </c>
      <c r="E303" s="262"/>
      <c r="F303" s="470" t="s">
        <v>856</v>
      </c>
      <c r="G303" s="387" t="e">
        <f>VLOOKUP(A303,'Feature Summary'!$A$7:$C$3944,3,FALSE)</f>
        <v>#N/A</v>
      </c>
      <c r="H303" s="447" t="s">
        <v>857</v>
      </c>
      <c r="I303" s="488" t="s">
        <v>264</v>
      </c>
      <c r="J303" s="448" t="s">
        <v>320</v>
      </c>
      <c r="K303" s="263">
        <v>1</v>
      </c>
      <c r="L303" s="391">
        <v>1</v>
      </c>
      <c r="M303" s="399" t="s">
        <v>33</v>
      </c>
      <c r="N303" s="475">
        <v>1</v>
      </c>
      <c r="O303" s="391">
        <v>1</v>
      </c>
      <c r="P303" s="496">
        <f t="shared" si="46"/>
        <v>1</v>
      </c>
      <c r="Q303" s="445" t="s">
        <v>52</v>
      </c>
      <c r="R303" s="391">
        <v>1</v>
      </c>
      <c r="S303" s="362">
        <f t="shared" si="44"/>
        <v>1</v>
      </c>
      <c r="T303" s="368">
        <v>1</v>
      </c>
      <c r="U303" s="368"/>
      <c r="V303" s="368"/>
      <c r="W303" s="368"/>
      <c r="X303" s="364">
        <f t="shared" si="43"/>
        <v>1</v>
      </c>
      <c r="Y303" s="393"/>
      <c r="Z303" s="498">
        <f t="shared" si="41"/>
        <v>0</v>
      </c>
      <c r="AA303" s="368"/>
      <c r="AB303" s="368"/>
      <c r="AC303" s="368"/>
      <c r="AD303" s="368"/>
      <c r="AE303" s="365">
        <f t="shared" si="42"/>
        <v>0</v>
      </c>
      <c r="AF303" s="262"/>
      <c r="AG303" s="457"/>
      <c r="AH303" s="264"/>
    </row>
    <row r="304" spans="1:34" ht="30.75" thickBot="1" x14ac:dyDescent="0.3">
      <c r="A304" s="458" t="s">
        <v>828</v>
      </c>
      <c r="B304" s="463" t="s">
        <v>829</v>
      </c>
      <c r="C304" s="463" t="s">
        <v>651</v>
      </c>
      <c r="D304" s="449" t="s">
        <v>261</v>
      </c>
      <c r="E304" s="262"/>
      <c r="F304" s="470" t="s">
        <v>858</v>
      </c>
      <c r="G304" s="387" t="e">
        <f>VLOOKUP(A304,'Feature Summary'!$A$7:$C$3944,3,FALSE)</f>
        <v>#N/A</v>
      </c>
      <c r="H304" s="447" t="s">
        <v>859</v>
      </c>
      <c r="I304" s="488" t="s">
        <v>264</v>
      </c>
      <c r="J304" s="448" t="s">
        <v>320</v>
      </c>
      <c r="K304" s="263">
        <v>1</v>
      </c>
      <c r="L304" s="391">
        <v>1</v>
      </c>
      <c r="M304" s="399" t="s">
        <v>33</v>
      </c>
      <c r="N304" s="475">
        <v>1</v>
      </c>
      <c r="O304" s="391">
        <v>1</v>
      </c>
      <c r="P304" s="496">
        <f t="shared" si="46"/>
        <v>1</v>
      </c>
      <c r="Q304" s="445" t="s">
        <v>52</v>
      </c>
      <c r="R304" s="391">
        <v>1</v>
      </c>
      <c r="S304" s="362">
        <f t="shared" si="44"/>
        <v>1</v>
      </c>
      <c r="T304" s="368">
        <v>1</v>
      </c>
      <c r="U304" s="368"/>
      <c r="V304" s="368"/>
      <c r="W304" s="368"/>
      <c r="X304" s="364">
        <f t="shared" si="43"/>
        <v>1</v>
      </c>
      <c r="Y304" s="393"/>
      <c r="Z304" s="498">
        <f t="shared" si="41"/>
        <v>0</v>
      </c>
      <c r="AA304" s="368"/>
      <c r="AB304" s="368"/>
      <c r="AC304" s="368"/>
      <c r="AD304" s="368"/>
      <c r="AE304" s="365">
        <f t="shared" si="42"/>
        <v>0</v>
      </c>
      <c r="AF304" s="262"/>
      <c r="AG304" s="457"/>
      <c r="AH304" s="264"/>
    </row>
    <row r="305" spans="1:34" ht="30.75" thickBot="1" x14ac:dyDescent="0.3">
      <c r="A305" s="458" t="s">
        <v>828</v>
      </c>
      <c r="B305" s="463" t="s">
        <v>829</v>
      </c>
      <c r="C305" s="463" t="s">
        <v>651</v>
      </c>
      <c r="D305" s="449" t="s">
        <v>261</v>
      </c>
      <c r="E305" s="262"/>
      <c r="F305" s="470" t="s">
        <v>860</v>
      </c>
      <c r="G305" s="387" t="e">
        <f>VLOOKUP(A305,'Feature Summary'!$A$7:$C$3944,3,FALSE)</f>
        <v>#N/A</v>
      </c>
      <c r="H305" s="447" t="s">
        <v>861</v>
      </c>
      <c r="I305" s="488" t="s">
        <v>264</v>
      </c>
      <c r="J305" s="476" t="s">
        <v>840</v>
      </c>
      <c r="K305" s="263">
        <v>1</v>
      </c>
      <c r="L305" s="391">
        <v>1</v>
      </c>
      <c r="M305" s="399" t="s">
        <v>33</v>
      </c>
      <c r="N305" s="475">
        <v>1</v>
      </c>
      <c r="O305" s="391">
        <v>1</v>
      </c>
      <c r="P305" s="496">
        <f t="shared" si="46"/>
        <v>1</v>
      </c>
      <c r="Q305" s="445" t="s">
        <v>52</v>
      </c>
      <c r="R305" s="391">
        <v>1</v>
      </c>
      <c r="S305" s="362">
        <f t="shared" si="44"/>
        <v>1</v>
      </c>
      <c r="T305" s="368">
        <v>1</v>
      </c>
      <c r="U305" s="368"/>
      <c r="V305" s="368"/>
      <c r="W305" s="368"/>
      <c r="X305" s="364">
        <f t="shared" si="43"/>
        <v>1</v>
      </c>
      <c r="Y305" s="393"/>
      <c r="Z305" s="498">
        <f t="shared" si="41"/>
        <v>0</v>
      </c>
      <c r="AA305" s="368"/>
      <c r="AB305" s="368"/>
      <c r="AC305" s="368"/>
      <c r="AD305" s="368"/>
      <c r="AE305" s="365">
        <f t="shared" si="42"/>
        <v>0</v>
      </c>
      <c r="AF305" s="262"/>
      <c r="AG305" s="457"/>
      <c r="AH305" s="264"/>
    </row>
    <row r="306" spans="1:34" ht="30.75" thickBot="1" x14ac:dyDescent="0.3">
      <c r="A306" s="458" t="s">
        <v>828</v>
      </c>
      <c r="B306" s="463" t="s">
        <v>829</v>
      </c>
      <c r="C306" s="463" t="s">
        <v>651</v>
      </c>
      <c r="D306" s="449" t="s">
        <v>261</v>
      </c>
      <c r="E306" s="262"/>
      <c r="F306" s="470" t="s">
        <v>862</v>
      </c>
      <c r="G306" s="387" t="e">
        <f>VLOOKUP(A306,'Feature Summary'!$A$7:$C$3944,3,FALSE)</f>
        <v>#N/A</v>
      </c>
      <c r="H306" s="447" t="s">
        <v>863</v>
      </c>
      <c r="I306" s="488" t="s">
        <v>264</v>
      </c>
      <c r="J306" s="476" t="s">
        <v>840</v>
      </c>
      <c r="K306" s="263">
        <v>1</v>
      </c>
      <c r="L306" s="391">
        <v>1</v>
      </c>
      <c r="M306" s="399" t="s">
        <v>33</v>
      </c>
      <c r="N306" s="475">
        <v>1</v>
      </c>
      <c r="O306" s="391">
        <v>1</v>
      </c>
      <c r="P306" s="496">
        <f t="shared" si="46"/>
        <v>1</v>
      </c>
      <c r="Q306" s="445" t="s">
        <v>52</v>
      </c>
      <c r="R306" s="391">
        <v>1</v>
      </c>
      <c r="S306" s="362">
        <f t="shared" si="44"/>
        <v>1</v>
      </c>
      <c r="T306" s="368">
        <v>1</v>
      </c>
      <c r="U306" s="368"/>
      <c r="V306" s="368"/>
      <c r="W306" s="368"/>
      <c r="X306" s="364">
        <f t="shared" si="43"/>
        <v>1</v>
      </c>
      <c r="Y306" s="393"/>
      <c r="Z306" s="498">
        <f t="shared" si="41"/>
        <v>0</v>
      </c>
      <c r="AA306" s="368"/>
      <c r="AB306" s="368"/>
      <c r="AC306" s="368"/>
      <c r="AD306" s="368"/>
      <c r="AE306" s="365">
        <f t="shared" si="42"/>
        <v>0</v>
      </c>
      <c r="AF306" s="262"/>
      <c r="AG306" s="457"/>
      <c r="AH306" s="264"/>
    </row>
    <row r="307" spans="1:34" ht="30.75" thickBot="1" x14ac:dyDescent="0.3">
      <c r="A307" s="458"/>
      <c r="B307" s="463" t="s">
        <v>829</v>
      </c>
      <c r="C307" s="463"/>
      <c r="D307" s="449" t="s">
        <v>261</v>
      </c>
      <c r="E307" s="262"/>
      <c r="F307" s="447" t="s">
        <v>830</v>
      </c>
      <c r="G307" s="387" t="e">
        <f>VLOOKUP(A307,'Feature Summary'!$A$7:$C$3944,3,FALSE)</f>
        <v>#N/A</v>
      </c>
      <c r="H307" s="447" t="s">
        <v>864</v>
      </c>
      <c r="I307" s="447"/>
      <c r="J307" s="448" t="s">
        <v>328</v>
      </c>
      <c r="K307" s="263"/>
      <c r="L307" s="391"/>
      <c r="M307" s="399" t="s">
        <v>33</v>
      </c>
      <c r="N307" s="475">
        <v>1</v>
      </c>
      <c r="O307" s="391"/>
      <c r="P307" s="496">
        <f t="shared" si="46"/>
        <v>0</v>
      </c>
      <c r="Q307" s="445" t="s">
        <v>52</v>
      </c>
      <c r="R307" s="391"/>
      <c r="S307" s="362">
        <f t="shared" si="44"/>
        <v>0</v>
      </c>
      <c r="T307" s="368"/>
      <c r="U307" s="368"/>
      <c r="V307" s="368"/>
      <c r="W307" s="368"/>
      <c r="X307" s="364">
        <f t="shared" si="43"/>
        <v>0</v>
      </c>
      <c r="Y307" s="393"/>
      <c r="Z307" s="498">
        <f t="shared" si="41"/>
        <v>0</v>
      </c>
      <c r="AA307" s="368"/>
      <c r="AB307" s="368"/>
      <c r="AC307" s="368"/>
      <c r="AD307" s="368"/>
      <c r="AE307" s="365">
        <f t="shared" si="42"/>
        <v>0</v>
      </c>
      <c r="AF307" s="262"/>
      <c r="AG307" s="457"/>
      <c r="AH307" s="264"/>
    </row>
    <row r="308" spans="1:34" ht="30.75" thickBot="1" x14ac:dyDescent="0.3">
      <c r="A308" s="458"/>
      <c r="B308" s="463" t="s">
        <v>829</v>
      </c>
      <c r="C308" s="463"/>
      <c r="D308" s="449" t="s">
        <v>261</v>
      </c>
      <c r="E308" s="262"/>
      <c r="F308" s="447" t="s">
        <v>830</v>
      </c>
      <c r="G308" s="387" t="e">
        <f>VLOOKUP(A308,'Feature Summary'!$A$7:$C$3944,3,FALSE)</f>
        <v>#N/A</v>
      </c>
      <c r="H308" s="447" t="s">
        <v>865</v>
      </c>
      <c r="I308" s="447"/>
      <c r="J308" s="448" t="s">
        <v>297</v>
      </c>
      <c r="K308" s="263"/>
      <c r="L308" s="391"/>
      <c r="M308" s="399" t="s">
        <v>33</v>
      </c>
      <c r="N308" s="475">
        <v>1</v>
      </c>
      <c r="O308" s="391"/>
      <c r="P308" s="496">
        <f t="shared" si="46"/>
        <v>0</v>
      </c>
      <c r="Q308" s="445" t="s">
        <v>52</v>
      </c>
      <c r="R308" s="391"/>
      <c r="S308" s="362">
        <f t="shared" si="44"/>
        <v>0</v>
      </c>
      <c r="T308" s="368"/>
      <c r="U308" s="368"/>
      <c r="V308" s="368"/>
      <c r="W308" s="368"/>
      <c r="X308" s="364">
        <f t="shared" si="43"/>
        <v>0</v>
      </c>
      <c r="Y308" s="393"/>
      <c r="Z308" s="498">
        <f t="shared" si="41"/>
        <v>0</v>
      </c>
      <c r="AA308" s="368"/>
      <c r="AB308" s="368"/>
      <c r="AC308" s="368"/>
      <c r="AD308" s="368"/>
      <c r="AE308" s="365">
        <f t="shared" si="42"/>
        <v>0</v>
      </c>
      <c r="AF308" s="558"/>
      <c r="AG308" s="457"/>
      <c r="AH308" s="264"/>
    </row>
    <row r="309" spans="1:34" ht="30.75" thickBot="1" x14ac:dyDescent="0.3">
      <c r="A309" s="458"/>
      <c r="B309" s="463" t="s">
        <v>829</v>
      </c>
      <c r="C309" s="463"/>
      <c r="D309" s="449" t="s">
        <v>261</v>
      </c>
      <c r="E309" s="262"/>
      <c r="F309" s="470" t="s">
        <v>832</v>
      </c>
      <c r="G309" s="387" t="e">
        <f>VLOOKUP(A309,'Feature Summary'!$A$7:$C$3944,3,FALSE)</f>
        <v>#N/A</v>
      </c>
      <c r="H309" s="447" t="s">
        <v>866</v>
      </c>
      <c r="I309" s="447"/>
      <c r="J309" s="448" t="s">
        <v>328</v>
      </c>
      <c r="K309" s="263"/>
      <c r="L309" s="391"/>
      <c r="M309" s="399" t="s">
        <v>33</v>
      </c>
      <c r="N309" s="475">
        <v>1</v>
      </c>
      <c r="O309" s="391"/>
      <c r="P309" s="496">
        <f t="shared" si="46"/>
        <v>0</v>
      </c>
      <c r="Q309" s="445" t="s">
        <v>52</v>
      </c>
      <c r="R309" s="391"/>
      <c r="S309" s="362">
        <f t="shared" si="44"/>
        <v>0</v>
      </c>
      <c r="T309" s="368"/>
      <c r="U309" s="368"/>
      <c r="V309" s="368"/>
      <c r="W309" s="368"/>
      <c r="X309" s="364">
        <f t="shared" si="43"/>
        <v>0</v>
      </c>
      <c r="Y309" s="393"/>
      <c r="Z309" s="498">
        <f t="shared" si="41"/>
        <v>0</v>
      </c>
      <c r="AA309" s="368"/>
      <c r="AB309" s="368"/>
      <c r="AC309" s="368"/>
      <c r="AD309" s="368"/>
      <c r="AE309" s="365">
        <f t="shared" si="42"/>
        <v>0</v>
      </c>
      <c r="AF309" s="262"/>
      <c r="AG309" s="457"/>
      <c r="AH309" s="264"/>
    </row>
    <row r="310" spans="1:34" ht="30.75" thickBot="1" x14ac:dyDescent="0.3">
      <c r="A310" s="458"/>
      <c r="B310" s="463" t="s">
        <v>829</v>
      </c>
      <c r="C310" s="463"/>
      <c r="D310" s="449" t="s">
        <v>261</v>
      </c>
      <c r="E310" s="262"/>
      <c r="F310" s="470" t="s">
        <v>832</v>
      </c>
      <c r="G310" s="387" t="e">
        <f>VLOOKUP(A310,'Feature Summary'!$A$7:$C$3944,3,FALSE)</f>
        <v>#N/A</v>
      </c>
      <c r="H310" s="447" t="s">
        <v>867</v>
      </c>
      <c r="I310" s="447"/>
      <c r="J310" s="448" t="s">
        <v>297</v>
      </c>
      <c r="K310" s="263"/>
      <c r="L310" s="391"/>
      <c r="M310" s="399" t="s">
        <v>33</v>
      </c>
      <c r="N310" s="475">
        <v>1</v>
      </c>
      <c r="O310" s="391"/>
      <c r="P310" s="496">
        <f t="shared" si="46"/>
        <v>0</v>
      </c>
      <c r="Q310" s="445" t="s">
        <v>52</v>
      </c>
      <c r="R310" s="391"/>
      <c r="S310" s="362">
        <f t="shared" si="44"/>
        <v>0</v>
      </c>
      <c r="T310" s="368"/>
      <c r="U310" s="368"/>
      <c r="V310" s="368"/>
      <c r="W310" s="368"/>
      <c r="X310" s="364">
        <f t="shared" si="43"/>
        <v>0</v>
      </c>
      <c r="Y310" s="393"/>
      <c r="Z310" s="498">
        <f t="shared" si="41"/>
        <v>0</v>
      </c>
      <c r="AA310" s="368"/>
      <c r="AB310" s="368"/>
      <c r="AC310" s="368"/>
      <c r="AD310" s="368"/>
      <c r="AE310" s="365">
        <f t="shared" si="42"/>
        <v>0</v>
      </c>
      <c r="AF310" s="558"/>
      <c r="AG310" s="457"/>
      <c r="AH310" s="264"/>
    </row>
    <row r="311" spans="1:34" ht="30.75" thickBot="1" x14ac:dyDescent="0.3">
      <c r="A311" s="458"/>
      <c r="B311" s="463" t="s">
        <v>829</v>
      </c>
      <c r="C311" s="463"/>
      <c r="D311" s="449" t="s">
        <v>261</v>
      </c>
      <c r="E311" s="262"/>
      <c r="F311" s="470" t="s">
        <v>832</v>
      </c>
      <c r="G311" s="387" t="e">
        <f>VLOOKUP(A311,'Feature Summary'!$A$7:$C$3944,3,FALSE)</f>
        <v>#N/A</v>
      </c>
      <c r="H311" s="447" t="s">
        <v>868</v>
      </c>
      <c r="I311" s="447"/>
      <c r="J311" s="448" t="s">
        <v>303</v>
      </c>
      <c r="K311" s="263"/>
      <c r="L311" s="391"/>
      <c r="M311" s="399" t="s">
        <v>33</v>
      </c>
      <c r="N311" s="475">
        <v>1</v>
      </c>
      <c r="O311" s="391"/>
      <c r="P311" s="496">
        <f t="shared" si="46"/>
        <v>0</v>
      </c>
      <c r="Q311" s="445" t="s">
        <v>52</v>
      </c>
      <c r="R311" s="391"/>
      <c r="S311" s="362">
        <f t="shared" si="44"/>
        <v>0</v>
      </c>
      <c r="T311" s="368"/>
      <c r="U311" s="368"/>
      <c r="V311" s="368"/>
      <c r="W311" s="368"/>
      <c r="X311" s="364">
        <f t="shared" si="43"/>
        <v>0</v>
      </c>
      <c r="Y311" s="393"/>
      <c r="Z311" s="498">
        <f t="shared" si="41"/>
        <v>0</v>
      </c>
      <c r="AA311" s="368"/>
      <c r="AB311" s="368"/>
      <c r="AC311" s="368"/>
      <c r="AD311" s="368"/>
      <c r="AE311" s="365">
        <f t="shared" si="42"/>
        <v>0</v>
      </c>
      <c r="AF311" s="262"/>
      <c r="AG311" s="457"/>
      <c r="AH311" s="264"/>
    </row>
    <row r="312" spans="1:34" ht="30.75" thickBot="1" x14ac:dyDescent="0.3">
      <c r="A312" s="458"/>
      <c r="B312" s="463" t="s">
        <v>829</v>
      </c>
      <c r="C312" s="463"/>
      <c r="D312" s="449" t="s">
        <v>261</v>
      </c>
      <c r="E312" s="262"/>
      <c r="F312" s="470" t="s">
        <v>834</v>
      </c>
      <c r="G312" s="387" t="e">
        <f>VLOOKUP(A312,'Feature Summary'!$A$7:$C$3944,3,FALSE)</f>
        <v>#N/A</v>
      </c>
      <c r="H312" s="447" t="s">
        <v>869</v>
      </c>
      <c r="I312" s="447"/>
      <c r="J312" s="448" t="s">
        <v>328</v>
      </c>
      <c r="K312" s="263"/>
      <c r="L312" s="391"/>
      <c r="M312" s="399" t="s">
        <v>33</v>
      </c>
      <c r="N312" s="475">
        <v>1</v>
      </c>
      <c r="O312" s="391"/>
      <c r="P312" s="496">
        <f t="shared" si="46"/>
        <v>0</v>
      </c>
      <c r="Q312" s="445" t="s">
        <v>52</v>
      </c>
      <c r="R312" s="391"/>
      <c r="S312" s="362">
        <f t="shared" si="44"/>
        <v>0</v>
      </c>
      <c r="T312" s="368"/>
      <c r="U312" s="368"/>
      <c r="V312" s="368"/>
      <c r="W312" s="368"/>
      <c r="X312" s="364">
        <f t="shared" si="43"/>
        <v>0</v>
      </c>
      <c r="Y312" s="393"/>
      <c r="Z312" s="498">
        <f t="shared" si="41"/>
        <v>0</v>
      </c>
      <c r="AA312" s="368"/>
      <c r="AB312" s="368"/>
      <c r="AC312" s="368"/>
      <c r="AD312" s="368"/>
      <c r="AE312" s="365">
        <f t="shared" si="42"/>
        <v>0</v>
      </c>
      <c r="AF312" s="262"/>
      <c r="AG312" s="457"/>
      <c r="AH312" s="264"/>
    </row>
    <row r="313" spans="1:34" ht="15.75" thickBot="1" x14ac:dyDescent="0.3">
      <c r="A313" s="458"/>
      <c r="B313" s="463" t="s">
        <v>829</v>
      </c>
      <c r="C313" s="463"/>
      <c r="D313" s="449" t="s">
        <v>261</v>
      </c>
      <c r="E313" s="262"/>
      <c r="F313" s="470" t="s">
        <v>834</v>
      </c>
      <c r="G313" s="387" t="e">
        <f>VLOOKUP(A313,'Feature Summary'!$A$7:$C$3944,3,FALSE)</f>
        <v>#N/A</v>
      </c>
      <c r="H313" s="447" t="s">
        <v>870</v>
      </c>
      <c r="I313" s="447"/>
      <c r="J313" s="448" t="s">
        <v>297</v>
      </c>
      <c r="K313" s="263"/>
      <c r="L313" s="391"/>
      <c r="M313" s="399" t="s">
        <v>33</v>
      </c>
      <c r="N313" s="475">
        <v>1</v>
      </c>
      <c r="O313" s="391"/>
      <c r="P313" s="496">
        <f t="shared" si="46"/>
        <v>0</v>
      </c>
      <c r="Q313" s="445" t="s">
        <v>52</v>
      </c>
      <c r="R313" s="391"/>
      <c r="S313" s="362">
        <f t="shared" si="44"/>
        <v>0</v>
      </c>
      <c r="T313" s="368"/>
      <c r="U313" s="368"/>
      <c r="V313" s="368" t="s">
        <v>756</v>
      </c>
      <c r="W313" s="368"/>
      <c r="X313" s="364">
        <f t="shared" si="43"/>
        <v>0</v>
      </c>
      <c r="Y313" s="393"/>
      <c r="Z313" s="498">
        <f t="shared" si="41"/>
        <v>0</v>
      </c>
      <c r="AA313" s="368"/>
      <c r="AB313" s="368"/>
      <c r="AC313" s="368"/>
      <c r="AD313" s="368"/>
      <c r="AE313" s="365">
        <f t="shared" si="42"/>
        <v>0</v>
      </c>
      <c r="AF313" s="262"/>
      <c r="AG313" s="457"/>
      <c r="AH313" s="264"/>
    </row>
    <row r="314" spans="1:34" ht="30.75" thickBot="1" x14ac:dyDescent="0.3">
      <c r="A314" s="458"/>
      <c r="B314" s="463" t="s">
        <v>829</v>
      </c>
      <c r="C314" s="463"/>
      <c r="D314" s="449" t="s">
        <v>261</v>
      </c>
      <c r="E314" s="262"/>
      <c r="F314" s="470" t="s">
        <v>834</v>
      </c>
      <c r="G314" s="387" t="e">
        <f>VLOOKUP(A314,'Feature Summary'!$A$7:$C$3944,3,FALSE)</f>
        <v>#N/A</v>
      </c>
      <c r="H314" s="447" t="s">
        <v>871</v>
      </c>
      <c r="I314" s="447"/>
      <c r="J314" s="448" t="s">
        <v>303</v>
      </c>
      <c r="K314" s="263"/>
      <c r="L314" s="391"/>
      <c r="M314" s="399" t="s">
        <v>33</v>
      </c>
      <c r="N314" s="475">
        <v>1</v>
      </c>
      <c r="O314" s="391"/>
      <c r="P314" s="496">
        <f t="shared" si="46"/>
        <v>0</v>
      </c>
      <c r="Q314" s="445" t="s">
        <v>52</v>
      </c>
      <c r="R314" s="391"/>
      <c r="S314" s="362">
        <f t="shared" si="44"/>
        <v>0</v>
      </c>
      <c r="T314" s="368"/>
      <c r="U314" s="368"/>
      <c r="V314" s="368"/>
      <c r="W314" s="368"/>
      <c r="X314" s="364">
        <f t="shared" si="43"/>
        <v>0</v>
      </c>
      <c r="Y314" s="393"/>
      <c r="Z314" s="498">
        <f t="shared" si="41"/>
        <v>0</v>
      </c>
      <c r="AA314" s="368"/>
      <c r="AB314" s="368"/>
      <c r="AC314" s="368"/>
      <c r="AD314" s="368"/>
      <c r="AE314" s="365">
        <f t="shared" si="42"/>
        <v>0</v>
      </c>
      <c r="AF314" s="262"/>
      <c r="AG314" s="457"/>
      <c r="AH314" s="264"/>
    </row>
    <row r="315" spans="1:34" ht="30.75" thickBot="1" x14ac:dyDescent="0.3">
      <c r="A315" s="458"/>
      <c r="B315" s="463" t="s">
        <v>829</v>
      </c>
      <c r="C315" s="463"/>
      <c r="D315" s="449" t="s">
        <v>261</v>
      </c>
      <c r="E315" s="262"/>
      <c r="F315" s="470" t="s">
        <v>836</v>
      </c>
      <c r="G315" s="387" t="e">
        <f>VLOOKUP(A315,'Feature Summary'!$A$7:$C$3944,3,FALSE)</f>
        <v>#N/A</v>
      </c>
      <c r="H315" s="447" t="s">
        <v>872</v>
      </c>
      <c r="I315" s="447"/>
      <c r="J315" s="448" t="s">
        <v>328</v>
      </c>
      <c r="K315" s="263"/>
      <c r="L315" s="391"/>
      <c r="M315" s="399" t="s">
        <v>33</v>
      </c>
      <c r="N315" s="475">
        <v>1</v>
      </c>
      <c r="O315" s="391"/>
      <c r="P315" s="496">
        <f t="shared" si="46"/>
        <v>0</v>
      </c>
      <c r="Q315" s="445" t="s">
        <v>52</v>
      </c>
      <c r="R315" s="391"/>
      <c r="S315" s="362">
        <f t="shared" si="44"/>
        <v>0</v>
      </c>
      <c r="T315" s="368"/>
      <c r="U315" s="368"/>
      <c r="V315" s="368"/>
      <c r="W315" s="368"/>
      <c r="X315" s="364">
        <f t="shared" si="43"/>
        <v>0</v>
      </c>
      <c r="Y315" s="393"/>
      <c r="Z315" s="498">
        <f t="shared" si="41"/>
        <v>0</v>
      </c>
      <c r="AA315" s="368"/>
      <c r="AB315" s="368"/>
      <c r="AC315" s="368"/>
      <c r="AD315" s="368"/>
      <c r="AE315" s="365">
        <f t="shared" si="42"/>
        <v>0</v>
      </c>
      <c r="AF315" s="262"/>
      <c r="AG315" s="457"/>
      <c r="AH315" s="264"/>
    </row>
    <row r="316" spans="1:34" ht="15.75" thickBot="1" x14ac:dyDescent="0.3">
      <c r="A316" s="458"/>
      <c r="B316" s="463" t="s">
        <v>829</v>
      </c>
      <c r="C316" s="463"/>
      <c r="D316" s="449" t="s">
        <v>261</v>
      </c>
      <c r="E316" s="262"/>
      <c r="F316" s="470" t="s">
        <v>836</v>
      </c>
      <c r="G316" s="387" t="e">
        <f>VLOOKUP(A316,'Feature Summary'!$A$7:$C$3944,3,FALSE)</f>
        <v>#N/A</v>
      </c>
      <c r="H316" s="447" t="s">
        <v>873</v>
      </c>
      <c r="I316" s="447"/>
      <c r="J316" s="448" t="s">
        <v>297</v>
      </c>
      <c r="K316" s="263"/>
      <c r="L316" s="391"/>
      <c r="M316" s="399" t="s">
        <v>33</v>
      </c>
      <c r="N316" s="475">
        <v>1</v>
      </c>
      <c r="O316" s="391"/>
      <c r="P316" s="496">
        <f t="shared" si="46"/>
        <v>0</v>
      </c>
      <c r="Q316" s="445" t="s">
        <v>52</v>
      </c>
      <c r="R316" s="391"/>
      <c r="S316" s="362">
        <f t="shared" si="44"/>
        <v>0</v>
      </c>
      <c r="T316" s="368"/>
      <c r="U316" s="368"/>
      <c r="V316" s="368"/>
      <c r="W316" s="368"/>
      <c r="X316" s="364">
        <f t="shared" si="43"/>
        <v>0</v>
      </c>
      <c r="Y316" s="393"/>
      <c r="Z316" s="498">
        <f t="shared" si="41"/>
        <v>0</v>
      </c>
      <c r="AA316" s="368"/>
      <c r="AB316" s="368"/>
      <c r="AC316" s="368"/>
      <c r="AD316" s="368"/>
      <c r="AE316" s="365">
        <f t="shared" si="42"/>
        <v>0</v>
      </c>
      <c r="AF316" s="262"/>
      <c r="AG316" s="457"/>
      <c r="AH316" s="264"/>
    </row>
    <row r="317" spans="1:34" ht="30.75" thickBot="1" x14ac:dyDescent="0.3">
      <c r="A317" s="458"/>
      <c r="B317" s="463" t="s">
        <v>829</v>
      </c>
      <c r="C317" s="463"/>
      <c r="D317" s="449" t="s">
        <v>261</v>
      </c>
      <c r="E317" s="262"/>
      <c r="F317" s="470" t="s">
        <v>838</v>
      </c>
      <c r="G317" s="387" t="e">
        <f>VLOOKUP(A317,'Feature Summary'!$A$7:$C$3944,3,FALSE)</f>
        <v>#N/A</v>
      </c>
      <c r="H317" s="447" t="s">
        <v>874</v>
      </c>
      <c r="I317" s="447"/>
      <c r="J317" s="476" t="s">
        <v>875</v>
      </c>
      <c r="K317" s="263"/>
      <c r="L317" s="391"/>
      <c r="M317" s="399" t="s">
        <v>33</v>
      </c>
      <c r="N317" s="475">
        <v>1</v>
      </c>
      <c r="O317" s="391"/>
      <c r="P317" s="496">
        <f t="shared" si="46"/>
        <v>0</v>
      </c>
      <c r="Q317" s="445" t="s">
        <v>52</v>
      </c>
      <c r="R317" s="391"/>
      <c r="S317" s="362">
        <f t="shared" si="44"/>
        <v>0</v>
      </c>
      <c r="T317" s="368"/>
      <c r="U317" s="368"/>
      <c r="V317" s="368"/>
      <c r="W317" s="368"/>
      <c r="X317" s="364">
        <f t="shared" si="43"/>
        <v>0</v>
      </c>
      <c r="Y317" s="393"/>
      <c r="Z317" s="498">
        <f t="shared" si="41"/>
        <v>0</v>
      </c>
      <c r="AA317" s="368"/>
      <c r="AB317" s="368"/>
      <c r="AC317" s="368"/>
      <c r="AD317" s="368"/>
      <c r="AE317" s="365">
        <f t="shared" si="42"/>
        <v>0</v>
      </c>
      <c r="AF317" s="262"/>
      <c r="AG317" s="457"/>
      <c r="AH317" s="264"/>
    </row>
    <row r="318" spans="1:34" ht="15.75" thickBot="1" x14ac:dyDescent="0.3">
      <c r="A318" s="458"/>
      <c r="B318" s="463" t="s">
        <v>829</v>
      </c>
      <c r="C318" s="463"/>
      <c r="D318" s="449" t="s">
        <v>261</v>
      </c>
      <c r="E318" s="262"/>
      <c r="F318" s="470" t="s">
        <v>876</v>
      </c>
      <c r="G318" s="387" t="e">
        <f>VLOOKUP(A318,'Feature Summary'!$A$7:$C$3944,3,FALSE)</f>
        <v>#N/A</v>
      </c>
      <c r="H318" s="447" t="s">
        <v>877</v>
      </c>
      <c r="I318" s="447"/>
      <c r="J318" s="476" t="s">
        <v>875</v>
      </c>
      <c r="K318" s="263"/>
      <c r="L318" s="391"/>
      <c r="M318" s="399" t="s">
        <v>33</v>
      </c>
      <c r="N318" s="475">
        <v>1</v>
      </c>
      <c r="O318" s="391"/>
      <c r="P318" s="496">
        <f t="shared" si="46"/>
        <v>0</v>
      </c>
      <c r="Q318" s="445" t="s">
        <v>52</v>
      </c>
      <c r="R318" s="391"/>
      <c r="S318" s="362">
        <f t="shared" si="44"/>
        <v>0</v>
      </c>
      <c r="T318" s="368"/>
      <c r="U318" s="368"/>
      <c r="V318" s="368"/>
      <c r="W318" s="368"/>
      <c r="X318" s="364">
        <f t="shared" si="43"/>
        <v>0</v>
      </c>
      <c r="Y318" s="393"/>
      <c r="Z318" s="498">
        <f t="shared" si="41"/>
        <v>0</v>
      </c>
      <c r="AA318" s="368"/>
      <c r="AB318" s="368"/>
      <c r="AC318" s="368"/>
      <c r="AD318" s="368"/>
      <c r="AE318" s="365">
        <f t="shared" si="42"/>
        <v>0</v>
      </c>
      <c r="AF318" s="262"/>
      <c r="AG318" s="457"/>
      <c r="AH318" s="264"/>
    </row>
    <row r="319" spans="1:34" ht="30.75" thickBot="1" x14ac:dyDescent="0.3">
      <c r="A319" s="458"/>
      <c r="B319" s="463" t="s">
        <v>829</v>
      </c>
      <c r="C319" s="463"/>
      <c r="D319" s="449" t="s">
        <v>261</v>
      </c>
      <c r="E319" s="262"/>
      <c r="F319" s="470" t="s">
        <v>843</v>
      </c>
      <c r="G319" s="387" t="e">
        <f>VLOOKUP(A319,'Feature Summary'!$A$7:$C$3944,3,FALSE)</f>
        <v>#N/A</v>
      </c>
      <c r="H319" s="447" t="s">
        <v>878</v>
      </c>
      <c r="I319" s="447"/>
      <c r="J319" s="448" t="s">
        <v>328</v>
      </c>
      <c r="K319" s="263"/>
      <c r="L319" s="391"/>
      <c r="M319" s="399" t="s">
        <v>33</v>
      </c>
      <c r="N319" s="475">
        <v>1</v>
      </c>
      <c r="O319" s="391"/>
      <c r="P319" s="496">
        <f t="shared" si="46"/>
        <v>0</v>
      </c>
      <c r="Q319" s="445" t="s">
        <v>52</v>
      </c>
      <c r="R319" s="391"/>
      <c r="S319" s="362">
        <f t="shared" si="44"/>
        <v>0</v>
      </c>
      <c r="T319" s="368"/>
      <c r="U319" s="368"/>
      <c r="V319" s="368"/>
      <c r="W319" s="368"/>
      <c r="X319" s="364">
        <f t="shared" si="43"/>
        <v>0</v>
      </c>
      <c r="Y319" s="393"/>
      <c r="Z319" s="498">
        <f t="shared" si="41"/>
        <v>0</v>
      </c>
      <c r="AA319" s="368"/>
      <c r="AB319" s="368"/>
      <c r="AC319" s="368"/>
      <c r="AD319" s="368"/>
      <c r="AE319" s="365">
        <f t="shared" si="42"/>
        <v>0</v>
      </c>
      <c r="AF319" s="262"/>
      <c r="AG319" s="457"/>
      <c r="AH319" s="264"/>
    </row>
    <row r="320" spans="1:34" ht="30.75" thickBot="1" x14ac:dyDescent="0.3">
      <c r="A320" s="458"/>
      <c r="B320" s="463" t="s">
        <v>829</v>
      </c>
      <c r="C320" s="463"/>
      <c r="D320" s="449" t="s">
        <v>261</v>
      </c>
      <c r="E320" s="262"/>
      <c r="F320" s="470" t="s">
        <v>846</v>
      </c>
      <c r="G320" s="387" t="e">
        <f>VLOOKUP(A320,'Feature Summary'!$A$7:$C$3944,3,FALSE)</f>
        <v>#N/A</v>
      </c>
      <c r="H320" s="447" t="s">
        <v>879</v>
      </c>
      <c r="I320" s="447"/>
      <c r="J320" s="448" t="s">
        <v>328</v>
      </c>
      <c r="K320" s="263"/>
      <c r="L320" s="391"/>
      <c r="M320" s="399" t="s">
        <v>33</v>
      </c>
      <c r="N320" s="475">
        <v>1</v>
      </c>
      <c r="O320" s="391"/>
      <c r="P320" s="496">
        <f t="shared" si="46"/>
        <v>0</v>
      </c>
      <c r="Q320" s="445" t="s">
        <v>52</v>
      </c>
      <c r="R320" s="391"/>
      <c r="S320" s="362">
        <f t="shared" si="44"/>
        <v>0</v>
      </c>
      <c r="T320" s="368"/>
      <c r="U320" s="368"/>
      <c r="V320" s="368"/>
      <c r="W320" s="368"/>
      <c r="X320" s="364">
        <f t="shared" si="43"/>
        <v>0</v>
      </c>
      <c r="Y320" s="393"/>
      <c r="Z320" s="498">
        <f t="shared" si="41"/>
        <v>0</v>
      </c>
      <c r="AA320" s="368"/>
      <c r="AB320" s="368"/>
      <c r="AC320" s="368"/>
      <c r="AD320" s="368"/>
      <c r="AE320" s="365">
        <f t="shared" si="42"/>
        <v>0</v>
      </c>
      <c r="AF320" s="262"/>
      <c r="AG320" s="457"/>
      <c r="AH320" s="264"/>
    </row>
    <row r="321" spans="1:34" ht="15.75" thickBot="1" x14ac:dyDescent="0.3">
      <c r="A321" s="458"/>
      <c r="B321" s="463" t="s">
        <v>829</v>
      </c>
      <c r="C321" s="463"/>
      <c r="D321" s="449" t="s">
        <v>261</v>
      </c>
      <c r="E321" s="262"/>
      <c r="F321" s="470" t="s">
        <v>843</v>
      </c>
      <c r="G321" s="387" t="e">
        <f>VLOOKUP(A321,'Feature Summary'!$A$7:$C$3944,3,FALSE)</f>
        <v>#N/A</v>
      </c>
      <c r="H321" s="447" t="s">
        <v>880</v>
      </c>
      <c r="I321" s="447"/>
      <c r="J321" s="448" t="s">
        <v>297</v>
      </c>
      <c r="K321" s="263"/>
      <c r="L321" s="391"/>
      <c r="M321" s="399" t="s">
        <v>33</v>
      </c>
      <c r="N321" s="475">
        <v>1</v>
      </c>
      <c r="O321" s="391"/>
      <c r="P321" s="496">
        <f t="shared" si="46"/>
        <v>0</v>
      </c>
      <c r="Q321" s="445" t="s">
        <v>52</v>
      </c>
      <c r="R321" s="391"/>
      <c r="S321" s="362">
        <f t="shared" si="44"/>
        <v>0</v>
      </c>
      <c r="T321" s="368"/>
      <c r="U321" s="368"/>
      <c r="V321" s="368"/>
      <c r="W321" s="368"/>
      <c r="X321" s="364">
        <f t="shared" si="43"/>
        <v>0</v>
      </c>
      <c r="Y321" s="393"/>
      <c r="Z321" s="498">
        <f t="shared" si="41"/>
        <v>0</v>
      </c>
      <c r="AA321" s="368"/>
      <c r="AB321" s="368"/>
      <c r="AC321" s="368"/>
      <c r="AD321" s="368"/>
      <c r="AE321" s="365">
        <f t="shared" si="42"/>
        <v>0</v>
      </c>
      <c r="AF321" s="262"/>
      <c r="AG321" s="457"/>
      <c r="AH321" s="264"/>
    </row>
    <row r="322" spans="1:34" ht="15.75" thickBot="1" x14ac:dyDescent="0.3">
      <c r="A322" s="458"/>
      <c r="B322" s="463" t="s">
        <v>829</v>
      </c>
      <c r="C322" s="463"/>
      <c r="D322" s="449" t="s">
        <v>261</v>
      </c>
      <c r="E322" s="262"/>
      <c r="F322" s="470" t="s">
        <v>846</v>
      </c>
      <c r="G322" s="387" t="e">
        <f>VLOOKUP(A322,'Feature Summary'!$A$7:$C$3944,3,FALSE)</f>
        <v>#N/A</v>
      </c>
      <c r="H322" s="447" t="s">
        <v>881</v>
      </c>
      <c r="I322" s="447"/>
      <c r="J322" s="448" t="s">
        <v>297</v>
      </c>
      <c r="K322" s="263"/>
      <c r="L322" s="391"/>
      <c r="M322" s="399" t="s">
        <v>33</v>
      </c>
      <c r="N322" s="475">
        <v>1</v>
      </c>
      <c r="O322" s="391"/>
      <c r="P322" s="496">
        <f>IF((O322=0),0,(O322/L322))</f>
        <v>0</v>
      </c>
      <c r="Q322" s="445" t="s">
        <v>52</v>
      </c>
      <c r="R322" s="391"/>
      <c r="S322" s="362">
        <f t="shared" si="44"/>
        <v>0</v>
      </c>
      <c r="T322" s="368"/>
      <c r="U322" s="368"/>
      <c r="V322" s="368"/>
      <c r="W322" s="368"/>
      <c r="X322" s="364">
        <f t="shared" si="43"/>
        <v>0</v>
      </c>
      <c r="Y322" s="393"/>
      <c r="Z322" s="498">
        <f t="shared" si="41"/>
        <v>0</v>
      </c>
      <c r="AA322" s="368"/>
      <c r="AB322" s="368"/>
      <c r="AC322" s="368"/>
      <c r="AD322" s="368"/>
      <c r="AE322" s="365">
        <f t="shared" si="42"/>
        <v>0</v>
      </c>
      <c r="AF322" s="262"/>
      <c r="AG322" s="457"/>
      <c r="AH322" s="264"/>
    </row>
    <row r="323" spans="1:34" ht="30.75" thickBot="1" x14ac:dyDescent="0.3">
      <c r="A323" s="458"/>
      <c r="B323" s="463" t="s">
        <v>829</v>
      </c>
      <c r="C323" s="463"/>
      <c r="D323" s="449" t="s">
        <v>261</v>
      </c>
      <c r="E323" s="262"/>
      <c r="F323" s="470" t="s">
        <v>846</v>
      </c>
      <c r="G323" s="387" t="e">
        <f>VLOOKUP(A323,'Feature Summary'!$A$7:$C$3944,3,FALSE)</f>
        <v>#N/A</v>
      </c>
      <c r="H323" s="447" t="s">
        <v>882</v>
      </c>
      <c r="I323" s="447"/>
      <c r="J323" s="448" t="s">
        <v>303</v>
      </c>
      <c r="K323" s="263"/>
      <c r="L323" s="391"/>
      <c r="M323" s="399" t="s">
        <v>33</v>
      </c>
      <c r="N323" s="475">
        <v>1</v>
      </c>
      <c r="O323" s="391"/>
      <c r="P323" s="496">
        <f>IF((O323=0),0,(O323/L323))</f>
        <v>0</v>
      </c>
      <c r="Q323" s="445" t="s">
        <v>52</v>
      </c>
      <c r="R323" s="391"/>
      <c r="S323" s="362">
        <f t="shared" si="44"/>
        <v>0</v>
      </c>
      <c r="T323" s="368"/>
      <c r="U323" s="368"/>
      <c r="V323" s="368"/>
      <c r="W323" s="368"/>
      <c r="X323" s="364">
        <f t="shared" si="43"/>
        <v>0</v>
      </c>
      <c r="Y323" s="393"/>
      <c r="Z323" s="498">
        <f t="shared" si="41"/>
        <v>0</v>
      </c>
      <c r="AA323" s="368"/>
      <c r="AB323" s="368"/>
      <c r="AC323" s="368"/>
      <c r="AD323" s="368"/>
      <c r="AE323" s="365">
        <f t="shared" si="42"/>
        <v>0</v>
      </c>
      <c r="AF323" s="262"/>
      <c r="AG323" s="457"/>
      <c r="AH323" s="264"/>
    </row>
    <row r="324" spans="1:34" ht="15.75" thickBot="1" x14ac:dyDescent="0.3">
      <c r="A324" s="458"/>
      <c r="B324" s="463"/>
      <c r="C324" s="463" t="s">
        <v>260</v>
      </c>
      <c r="D324" s="449" t="s">
        <v>261</v>
      </c>
      <c r="E324" s="262"/>
      <c r="F324" s="447" t="s">
        <v>883</v>
      </c>
      <c r="G324" s="387" t="e">
        <f>VLOOKUP(A324,'Feature Summary'!$A$7:$C$3944,3,FALSE)</f>
        <v>#N/A</v>
      </c>
      <c r="H324" s="447" t="s">
        <v>884</v>
      </c>
      <c r="I324" s="488" t="s">
        <v>264</v>
      </c>
      <c r="J324" s="448" t="s">
        <v>450</v>
      </c>
      <c r="K324" s="263">
        <v>1</v>
      </c>
      <c r="L324" s="391">
        <v>1</v>
      </c>
      <c r="M324" s="399" t="s">
        <v>33</v>
      </c>
      <c r="N324" s="475">
        <v>1</v>
      </c>
      <c r="O324" s="391">
        <v>1</v>
      </c>
      <c r="P324" s="496">
        <f t="shared" ref="P324:P328" si="47">IF((O324=0),0,(O324/L324))</f>
        <v>1</v>
      </c>
      <c r="Q324" s="445" t="s">
        <v>52</v>
      </c>
      <c r="R324" s="391">
        <v>1</v>
      </c>
      <c r="S324" s="362">
        <f t="shared" si="44"/>
        <v>1</v>
      </c>
      <c r="T324" s="368">
        <v>1</v>
      </c>
      <c r="U324" s="368"/>
      <c r="V324" s="368"/>
      <c r="W324" s="368"/>
      <c r="X324" s="364">
        <f t="shared" si="43"/>
        <v>1</v>
      </c>
      <c r="Y324" s="393"/>
      <c r="Z324" s="498">
        <f t="shared" si="41"/>
        <v>0</v>
      </c>
      <c r="AA324" s="368"/>
      <c r="AB324" s="368"/>
      <c r="AC324" s="368"/>
      <c r="AD324" s="368"/>
      <c r="AE324" s="365">
        <f t="shared" si="42"/>
        <v>0</v>
      </c>
      <c r="AF324" s="262"/>
      <c r="AG324" s="457"/>
      <c r="AH324" s="264"/>
    </row>
    <row r="325" spans="1:34" ht="45.75" thickBot="1" x14ac:dyDescent="0.3">
      <c r="A325" s="458"/>
      <c r="B325" s="463"/>
      <c r="C325" s="463"/>
      <c r="D325" s="449" t="s">
        <v>261</v>
      </c>
      <c r="E325" s="262"/>
      <c r="F325" s="447" t="s">
        <v>883</v>
      </c>
      <c r="G325" s="387" t="e">
        <f>VLOOKUP(A325,'Feature Summary'!$A$7:$C$3944,3,FALSE)</f>
        <v>#N/A</v>
      </c>
      <c r="H325" s="447" t="s">
        <v>885</v>
      </c>
      <c r="I325" s="447"/>
      <c r="J325" s="448" t="s">
        <v>886</v>
      </c>
      <c r="K325" s="263"/>
      <c r="L325" s="391"/>
      <c r="M325" s="399" t="s">
        <v>33</v>
      </c>
      <c r="N325" s="475">
        <v>1</v>
      </c>
      <c r="O325" s="391"/>
      <c r="P325" s="496">
        <f t="shared" si="47"/>
        <v>0</v>
      </c>
      <c r="Q325" s="445" t="s">
        <v>52</v>
      </c>
      <c r="R325" s="391"/>
      <c r="S325" s="362">
        <f t="shared" si="44"/>
        <v>0</v>
      </c>
      <c r="T325" s="368"/>
      <c r="U325" s="368"/>
      <c r="V325" s="368"/>
      <c r="W325" s="368"/>
      <c r="X325" s="364">
        <f t="shared" si="43"/>
        <v>0</v>
      </c>
      <c r="Y325" s="393"/>
      <c r="Z325" s="498">
        <f t="shared" si="41"/>
        <v>0</v>
      </c>
      <c r="AA325" s="368"/>
      <c r="AB325" s="368"/>
      <c r="AC325" s="368"/>
      <c r="AD325" s="368"/>
      <c r="AE325" s="365">
        <f t="shared" si="42"/>
        <v>0</v>
      </c>
      <c r="AF325" s="262"/>
      <c r="AG325" s="457"/>
      <c r="AH325" s="264"/>
    </row>
    <row r="326" spans="1:34" ht="30.75" thickBot="1" x14ac:dyDescent="0.3">
      <c r="A326" s="458"/>
      <c r="B326" s="463"/>
      <c r="C326" s="463"/>
      <c r="D326" s="449" t="s">
        <v>261</v>
      </c>
      <c r="E326" s="262"/>
      <c r="F326" s="447" t="s">
        <v>883</v>
      </c>
      <c r="G326" s="387" t="e">
        <f>VLOOKUP(A326,'Feature Summary'!$A$7:$C$3944,3,FALSE)</f>
        <v>#N/A</v>
      </c>
      <c r="H326" s="447" t="s">
        <v>887</v>
      </c>
      <c r="I326" s="447"/>
      <c r="J326" s="448" t="s">
        <v>888</v>
      </c>
      <c r="K326" s="263"/>
      <c r="L326" s="391"/>
      <c r="M326" s="399" t="s">
        <v>33</v>
      </c>
      <c r="N326" s="475">
        <v>1</v>
      </c>
      <c r="O326" s="391"/>
      <c r="P326" s="496">
        <f t="shared" si="47"/>
        <v>0</v>
      </c>
      <c r="Q326" s="445" t="s">
        <v>52</v>
      </c>
      <c r="R326" s="391"/>
      <c r="S326" s="362">
        <f t="shared" si="44"/>
        <v>0</v>
      </c>
      <c r="T326" s="368"/>
      <c r="U326" s="368"/>
      <c r="V326" s="368"/>
      <c r="W326" s="368"/>
      <c r="X326" s="364">
        <f t="shared" si="43"/>
        <v>0</v>
      </c>
      <c r="Y326" s="393"/>
      <c r="Z326" s="498">
        <f t="shared" si="41"/>
        <v>0</v>
      </c>
      <c r="AA326" s="368"/>
      <c r="AB326" s="368"/>
      <c r="AC326" s="368"/>
      <c r="AD326" s="368"/>
      <c r="AE326" s="365">
        <f t="shared" si="42"/>
        <v>0</v>
      </c>
      <c r="AF326" s="262"/>
      <c r="AG326" s="457"/>
      <c r="AH326" s="264"/>
    </row>
    <row r="327" spans="1:34" ht="45.75" thickBot="1" x14ac:dyDescent="0.3">
      <c r="A327" s="458"/>
      <c r="B327" s="463"/>
      <c r="C327" s="463"/>
      <c r="D327" s="449" t="s">
        <v>261</v>
      </c>
      <c r="E327" s="262"/>
      <c r="F327" s="447" t="s">
        <v>883</v>
      </c>
      <c r="G327" s="387" t="e">
        <f>VLOOKUP(A327,'Feature Summary'!$A$7:$C$3944,3,FALSE)</f>
        <v>#N/A</v>
      </c>
      <c r="H327" s="447" t="s">
        <v>889</v>
      </c>
      <c r="I327" s="447"/>
      <c r="J327" s="448" t="s">
        <v>890</v>
      </c>
      <c r="K327" s="263"/>
      <c r="L327" s="391"/>
      <c r="M327" s="399" t="s">
        <v>33</v>
      </c>
      <c r="N327" s="475">
        <v>1</v>
      </c>
      <c r="O327" s="391"/>
      <c r="P327" s="496">
        <f t="shared" si="47"/>
        <v>0</v>
      </c>
      <c r="Q327" s="445" t="s">
        <v>52</v>
      </c>
      <c r="R327" s="391"/>
      <c r="S327" s="362">
        <f t="shared" si="44"/>
        <v>0</v>
      </c>
      <c r="T327" s="368"/>
      <c r="U327" s="368"/>
      <c r="V327" s="368"/>
      <c r="W327" s="368"/>
      <c r="X327" s="364">
        <f t="shared" si="43"/>
        <v>0</v>
      </c>
      <c r="Y327" s="393"/>
      <c r="Z327" s="498">
        <f t="shared" si="41"/>
        <v>0</v>
      </c>
      <c r="AA327" s="368"/>
      <c r="AB327" s="368"/>
      <c r="AC327" s="368"/>
      <c r="AD327" s="368"/>
      <c r="AE327" s="365">
        <f t="shared" si="42"/>
        <v>0</v>
      </c>
      <c r="AF327" s="558"/>
      <c r="AG327" s="457"/>
      <c r="AH327" s="264"/>
    </row>
    <row r="328" spans="1:34" ht="15" customHeight="1" thickBot="1" x14ac:dyDescent="0.3">
      <c r="A328" s="458"/>
      <c r="B328" s="463"/>
      <c r="C328" s="463" t="s">
        <v>260</v>
      </c>
      <c r="D328" s="449" t="s">
        <v>261</v>
      </c>
      <c r="E328" s="262"/>
      <c r="F328" s="447" t="s">
        <v>891</v>
      </c>
      <c r="G328" s="387" t="e">
        <f>VLOOKUP(A328,'Feature Summary'!$A$7:$C$3944,3,FALSE)</f>
        <v>#N/A</v>
      </c>
      <c r="H328" s="447" t="s">
        <v>892</v>
      </c>
      <c r="I328" s="488" t="s">
        <v>264</v>
      </c>
      <c r="J328" s="448" t="s">
        <v>893</v>
      </c>
      <c r="K328" s="263">
        <v>1</v>
      </c>
      <c r="L328" s="391">
        <v>1</v>
      </c>
      <c r="M328" s="399" t="s">
        <v>33</v>
      </c>
      <c r="N328" s="475">
        <v>1</v>
      </c>
      <c r="O328" s="391">
        <v>1</v>
      </c>
      <c r="P328" s="496">
        <f t="shared" si="47"/>
        <v>1</v>
      </c>
      <c r="Q328" s="445" t="s">
        <v>52</v>
      </c>
      <c r="R328" s="391">
        <v>1</v>
      </c>
      <c r="S328" s="362">
        <f t="shared" si="44"/>
        <v>1</v>
      </c>
      <c r="T328" s="368">
        <v>1</v>
      </c>
      <c r="U328" s="368"/>
      <c r="V328" s="368"/>
      <c r="W328" s="368"/>
      <c r="X328" s="364">
        <f t="shared" si="43"/>
        <v>1</v>
      </c>
      <c r="Y328" s="393"/>
      <c r="Z328" s="498">
        <f t="shared" ref="Z328:Z392" si="48">SUM(AA328:AD328)</f>
        <v>0</v>
      </c>
      <c r="AA328" s="368"/>
      <c r="AB328" s="368"/>
      <c r="AC328" s="368"/>
      <c r="AD328" s="368"/>
      <c r="AE328" s="365">
        <f t="shared" ref="AE328:AE392" si="49">IF((Z328=0),0,((AA328+AB328)/Z328*100%))</f>
        <v>0</v>
      </c>
      <c r="AF328" s="262"/>
      <c r="AG328" s="457"/>
      <c r="AH328" s="264"/>
    </row>
    <row r="329" spans="1:34" ht="15.75" thickBot="1" x14ac:dyDescent="0.3">
      <c r="A329" s="458"/>
      <c r="B329" s="463"/>
      <c r="C329" s="463"/>
      <c r="D329" s="449" t="s">
        <v>261</v>
      </c>
      <c r="E329" s="262"/>
      <c r="F329" s="447" t="s">
        <v>891</v>
      </c>
      <c r="G329" s="387" t="e">
        <f>VLOOKUP(A329,'Feature Summary'!$A$7:$C$3944,3,FALSE)</f>
        <v>#N/A</v>
      </c>
      <c r="H329" s="447" t="s">
        <v>894</v>
      </c>
      <c r="I329" s="447"/>
      <c r="J329" s="448" t="s">
        <v>895</v>
      </c>
      <c r="K329" s="263"/>
      <c r="L329" s="391"/>
      <c r="M329" s="399" t="s">
        <v>33</v>
      </c>
      <c r="N329" s="475">
        <v>1</v>
      </c>
      <c r="O329" s="391"/>
      <c r="P329" s="496">
        <f>IF((O329=0),0,(O329/L329))</f>
        <v>0</v>
      </c>
      <c r="Q329" s="445" t="s">
        <v>52</v>
      </c>
      <c r="R329" s="391"/>
      <c r="S329" s="362">
        <f t="shared" si="44"/>
        <v>0</v>
      </c>
      <c r="T329" s="368"/>
      <c r="U329" s="368"/>
      <c r="V329" s="368"/>
      <c r="W329" s="368"/>
      <c r="X329" s="364">
        <f t="shared" ref="X329:X394" si="50">IF((S329=0),0,((T329+U329)/S329*100%))</f>
        <v>0</v>
      </c>
      <c r="Y329" s="393"/>
      <c r="Z329" s="498">
        <f t="shared" si="48"/>
        <v>0</v>
      </c>
      <c r="AA329" s="368"/>
      <c r="AB329" s="368"/>
      <c r="AC329" s="368"/>
      <c r="AD329" s="368"/>
      <c r="AE329" s="365">
        <f t="shared" si="49"/>
        <v>0</v>
      </c>
      <c r="AF329" s="262"/>
      <c r="AG329" s="457"/>
      <c r="AH329" s="264"/>
    </row>
    <row r="330" spans="1:34" ht="30.75" thickBot="1" x14ac:dyDescent="0.3">
      <c r="A330" s="458"/>
      <c r="B330" s="463"/>
      <c r="C330" s="463"/>
      <c r="D330" s="449" t="s">
        <v>261</v>
      </c>
      <c r="E330" s="262"/>
      <c r="F330" s="447" t="s">
        <v>891</v>
      </c>
      <c r="G330" s="387" t="e">
        <f>VLOOKUP(A330,'Feature Summary'!$A$7:$C$3944,3,FALSE)</f>
        <v>#N/A</v>
      </c>
      <c r="H330" s="447" t="s">
        <v>896</v>
      </c>
      <c r="I330" s="447"/>
      <c r="J330" s="448" t="s">
        <v>897</v>
      </c>
      <c r="K330" s="263"/>
      <c r="L330" s="391"/>
      <c r="M330" s="399" t="s">
        <v>33</v>
      </c>
      <c r="N330" s="475">
        <v>1</v>
      </c>
      <c r="O330" s="391"/>
      <c r="P330" s="496">
        <f t="shared" ref="P330:P362" si="51">IF((O330=0),0,(O330/L330))</f>
        <v>0</v>
      </c>
      <c r="Q330" s="445" t="s">
        <v>52</v>
      </c>
      <c r="R330" s="391"/>
      <c r="S330" s="362">
        <f t="shared" ref="S330:S395" si="52">SUM(T330:W330)</f>
        <v>0</v>
      </c>
      <c r="T330" s="368"/>
      <c r="U330" s="368"/>
      <c r="V330" s="368" t="s">
        <v>756</v>
      </c>
      <c r="W330" s="368"/>
      <c r="X330" s="364">
        <f t="shared" si="50"/>
        <v>0</v>
      </c>
      <c r="Y330" s="393"/>
      <c r="Z330" s="498">
        <f t="shared" si="48"/>
        <v>0</v>
      </c>
      <c r="AA330" s="368"/>
      <c r="AB330" s="368"/>
      <c r="AC330" s="368"/>
      <c r="AD330" s="368"/>
      <c r="AE330" s="365">
        <f t="shared" si="49"/>
        <v>0</v>
      </c>
      <c r="AF330" s="558"/>
      <c r="AG330" s="457"/>
      <c r="AH330" s="264"/>
    </row>
    <row r="331" spans="1:34" ht="45.75" thickBot="1" x14ac:dyDescent="0.3">
      <c r="A331" s="458" t="s">
        <v>898</v>
      </c>
      <c r="B331" s="470"/>
      <c r="C331" s="463" t="s">
        <v>354</v>
      </c>
      <c r="D331" s="449" t="s">
        <v>261</v>
      </c>
      <c r="E331" s="262"/>
      <c r="F331" s="447" t="s">
        <v>899</v>
      </c>
      <c r="G331" s="387" t="str">
        <f>VLOOKUP(A331,'Feature Summary'!$A$7:$C$3944,3,FALSE)</f>
        <v>P2</v>
      </c>
      <c r="H331" s="447" t="s">
        <v>900</v>
      </c>
      <c r="I331" s="488" t="s">
        <v>264</v>
      </c>
      <c r="J331" s="448" t="s">
        <v>901</v>
      </c>
      <c r="K331" s="263">
        <v>1</v>
      </c>
      <c r="L331" s="391">
        <v>2</v>
      </c>
      <c r="M331" s="399" t="s">
        <v>33</v>
      </c>
      <c r="N331" s="475">
        <v>1</v>
      </c>
      <c r="O331" s="391">
        <v>2</v>
      </c>
      <c r="P331" s="496">
        <f t="shared" si="51"/>
        <v>1</v>
      </c>
      <c r="Q331" s="445" t="s">
        <v>52</v>
      </c>
      <c r="R331" s="391">
        <v>2</v>
      </c>
      <c r="S331" s="362">
        <f t="shared" si="52"/>
        <v>2</v>
      </c>
      <c r="T331" s="368">
        <v>2</v>
      </c>
      <c r="U331" s="368"/>
      <c r="V331" s="368"/>
      <c r="W331" s="368"/>
      <c r="X331" s="364">
        <f t="shared" si="50"/>
        <v>1</v>
      </c>
      <c r="Y331" s="393"/>
      <c r="Z331" s="498">
        <f t="shared" si="48"/>
        <v>0</v>
      </c>
      <c r="AA331" s="368"/>
      <c r="AB331" s="368"/>
      <c r="AC331" s="368"/>
      <c r="AD331" s="368"/>
      <c r="AE331" s="365">
        <f t="shared" si="49"/>
        <v>0</v>
      </c>
      <c r="AF331" s="262"/>
      <c r="AG331" s="457"/>
      <c r="AH331" s="264"/>
    </row>
    <row r="332" spans="1:34" ht="15.75" thickBot="1" x14ac:dyDescent="0.3">
      <c r="A332" s="458" t="s">
        <v>898</v>
      </c>
      <c r="B332" s="470"/>
      <c r="C332" s="463" t="s">
        <v>354</v>
      </c>
      <c r="D332" s="449" t="s">
        <v>261</v>
      </c>
      <c r="E332" s="262"/>
      <c r="F332" s="447" t="s">
        <v>902</v>
      </c>
      <c r="G332" s="387" t="str">
        <f>VLOOKUP(A332,'Feature Summary'!$A$7:$C$3944,3,FALSE)</f>
        <v>P2</v>
      </c>
      <c r="H332" s="447" t="s">
        <v>903</v>
      </c>
      <c r="I332" s="488" t="s">
        <v>264</v>
      </c>
      <c r="J332" s="448" t="s">
        <v>893</v>
      </c>
      <c r="K332" s="263">
        <v>1</v>
      </c>
      <c r="L332" s="391">
        <v>2</v>
      </c>
      <c r="M332" s="399" t="s">
        <v>33</v>
      </c>
      <c r="N332" s="475">
        <v>1</v>
      </c>
      <c r="O332" s="391">
        <v>2</v>
      </c>
      <c r="P332" s="496">
        <f t="shared" si="51"/>
        <v>1</v>
      </c>
      <c r="Q332" s="445" t="s">
        <v>52</v>
      </c>
      <c r="R332" s="391">
        <v>2</v>
      </c>
      <c r="S332" s="362">
        <f t="shared" si="52"/>
        <v>2</v>
      </c>
      <c r="T332" s="368">
        <v>2</v>
      </c>
      <c r="U332" s="368"/>
      <c r="V332" s="368"/>
      <c r="W332" s="368"/>
      <c r="X332" s="364">
        <f t="shared" si="50"/>
        <v>1</v>
      </c>
      <c r="Y332" s="393"/>
      <c r="Z332" s="498">
        <f t="shared" si="48"/>
        <v>0</v>
      </c>
      <c r="AA332" s="368"/>
      <c r="AB332" s="368"/>
      <c r="AC332" s="368"/>
      <c r="AD332" s="368"/>
      <c r="AE332" s="365">
        <f t="shared" si="49"/>
        <v>0</v>
      </c>
      <c r="AF332" s="262"/>
      <c r="AG332" s="457"/>
      <c r="AH332" s="264"/>
    </row>
    <row r="333" spans="1:34" ht="45.75" thickBot="1" x14ac:dyDescent="0.3">
      <c r="A333" s="458"/>
      <c r="B333" s="470"/>
      <c r="C333" s="463"/>
      <c r="D333" s="449" t="s">
        <v>261</v>
      </c>
      <c r="E333" s="262"/>
      <c r="F333" s="447" t="s">
        <v>899</v>
      </c>
      <c r="G333" s="387" t="e">
        <f>VLOOKUP(A333,'Feature Summary'!$A$7:$C$3944,3,FALSE)</f>
        <v>#N/A</v>
      </c>
      <c r="H333" s="447" t="s">
        <v>904</v>
      </c>
      <c r="I333" s="447"/>
      <c r="J333" s="448" t="s">
        <v>905</v>
      </c>
      <c r="K333" s="263"/>
      <c r="L333" s="391"/>
      <c r="M333" s="399" t="s">
        <v>33</v>
      </c>
      <c r="N333" s="475">
        <v>1</v>
      </c>
      <c r="O333" s="391"/>
      <c r="P333" s="496">
        <f t="shared" si="51"/>
        <v>0</v>
      </c>
      <c r="Q333" s="445" t="s">
        <v>52</v>
      </c>
      <c r="R333" s="391"/>
      <c r="S333" s="362">
        <f t="shared" si="52"/>
        <v>0</v>
      </c>
      <c r="T333" s="368"/>
      <c r="U333" s="368"/>
      <c r="V333" s="368"/>
      <c r="W333" s="368"/>
      <c r="X333" s="364">
        <f t="shared" si="50"/>
        <v>0</v>
      </c>
      <c r="Y333" s="393"/>
      <c r="Z333" s="498">
        <f t="shared" si="48"/>
        <v>0</v>
      </c>
      <c r="AA333" s="368"/>
      <c r="AB333" s="368"/>
      <c r="AC333" s="368"/>
      <c r="AD333" s="368"/>
      <c r="AE333" s="365">
        <f t="shared" si="49"/>
        <v>0</v>
      </c>
      <c r="AF333" s="262"/>
      <c r="AG333" s="457"/>
      <c r="AH333" s="264"/>
    </row>
    <row r="334" spans="1:34" ht="30.75" thickBot="1" x14ac:dyDescent="0.3">
      <c r="A334" s="458"/>
      <c r="B334" s="470"/>
      <c r="C334" s="463"/>
      <c r="D334" s="449" t="s">
        <v>261</v>
      </c>
      <c r="E334" s="262"/>
      <c r="F334" s="447" t="s">
        <v>899</v>
      </c>
      <c r="G334" s="387" t="e">
        <f>VLOOKUP(A334,'Feature Summary'!$A$7:$C$3944,3,FALSE)</f>
        <v>#N/A</v>
      </c>
      <c r="H334" s="447" t="s">
        <v>906</v>
      </c>
      <c r="I334" s="447"/>
      <c r="J334" s="448" t="s">
        <v>907</v>
      </c>
      <c r="K334" s="263"/>
      <c r="L334" s="391"/>
      <c r="M334" s="399" t="s">
        <v>33</v>
      </c>
      <c r="N334" s="475">
        <v>1</v>
      </c>
      <c r="O334" s="391"/>
      <c r="P334" s="496">
        <f t="shared" si="51"/>
        <v>0</v>
      </c>
      <c r="Q334" s="445" t="s">
        <v>52</v>
      </c>
      <c r="R334" s="391"/>
      <c r="S334" s="362">
        <f t="shared" si="52"/>
        <v>0</v>
      </c>
      <c r="T334" s="368"/>
      <c r="U334" s="368"/>
      <c r="V334" s="368"/>
      <c r="W334" s="368"/>
      <c r="X334" s="364">
        <f t="shared" si="50"/>
        <v>0</v>
      </c>
      <c r="Y334" s="393"/>
      <c r="Z334" s="498">
        <f t="shared" si="48"/>
        <v>0</v>
      </c>
      <c r="AA334" s="368"/>
      <c r="AB334" s="368"/>
      <c r="AC334" s="368"/>
      <c r="AD334" s="368"/>
      <c r="AE334" s="365">
        <f t="shared" si="49"/>
        <v>0</v>
      </c>
      <c r="AF334" s="558"/>
      <c r="AG334" s="457"/>
      <c r="AH334" s="264"/>
    </row>
    <row r="335" spans="1:34" ht="30.75" thickBot="1" x14ac:dyDescent="0.3">
      <c r="A335" s="458"/>
      <c r="B335" s="470"/>
      <c r="C335" s="463"/>
      <c r="D335" s="449" t="s">
        <v>261</v>
      </c>
      <c r="E335" s="262"/>
      <c r="F335" s="447" t="s">
        <v>899</v>
      </c>
      <c r="G335" s="387" t="e">
        <f>VLOOKUP(A335,'Feature Summary'!$A$7:$C$3944,3,FALSE)</f>
        <v>#N/A</v>
      </c>
      <c r="H335" s="447" t="s">
        <v>908</v>
      </c>
      <c r="I335" s="447"/>
      <c r="J335" s="448" t="s">
        <v>909</v>
      </c>
      <c r="K335" s="263"/>
      <c r="L335" s="391"/>
      <c r="M335" s="399" t="s">
        <v>33</v>
      </c>
      <c r="N335" s="475">
        <v>1</v>
      </c>
      <c r="O335" s="391"/>
      <c r="P335" s="496">
        <f t="shared" si="51"/>
        <v>0</v>
      </c>
      <c r="Q335" s="445" t="s">
        <v>52</v>
      </c>
      <c r="R335" s="391"/>
      <c r="S335" s="362">
        <f t="shared" si="52"/>
        <v>0</v>
      </c>
      <c r="T335" s="368"/>
      <c r="U335" s="368"/>
      <c r="V335" s="368"/>
      <c r="W335" s="368"/>
      <c r="X335" s="364">
        <f t="shared" si="50"/>
        <v>0</v>
      </c>
      <c r="Y335" s="393"/>
      <c r="Z335" s="498">
        <f t="shared" si="48"/>
        <v>0</v>
      </c>
      <c r="AA335" s="368"/>
      <c r="AB335" s="368"/>
      <c r="AC335" s="368"/>
      <c r="AD335" s="368"/>
      <c r="AE335" s="365">
        <f t="shared" si="49"/>
        <v>0</v>
      </c>
      <c r="AF335" s="262"/>
      <c r="AG335" s="457"/>
      <c r="AH335" s="264"/>
    </row>
    <row r="336" spans="1:34" ht="45.75" thickBot="1" x14ac:dyDescent="0.3">
      <c r="A336" s="458"/>
      <c r="B336" s="470"/>
      <c r="C336" s="463"/>
      <c r="D336" s="449" t="s">
        <v>261</v>
      </c>
      <c r="E336" s="262"/>
      <c r="F336" s="447" t="s">
        <v>899</v>
      </c>
      <c r="G336" s="387" t="e">
        <f>VLOOKUP(A336,'Feature Summary'!$A$7:$C$3944,3,FALSE)</f>
        <v>#N/A</v>
      </c>
      <c r="H336" s="447" t="s">
        <v>910</v>
      </c>
      <c r="I336" s="447"/>
      <c r="J336" s="448" t="s">
        <v>911</v>
      </c>
      <c r="K336" s="263"/>
      <c r="L336" s="391"/>
      <c r="M336" s="399" t="s">
        <v>33</v>
      </c>
      <c r="N336" s="475">
        <v>1</v>
      </c>
      <c r="O336" s="391"/>
      <c r="P336" s="496">
        <f t="shared" si="51"/>
        <v>0</v>
      </c>
      <c r="Q336" s="445" t="s">
        <v>52</v>
      </c>
      <c r="R336" s="391"/>
      <c r="S336" s="362">
        <f t="shared" si="52"/>
        <v>0</v>
      </c>
      <c r="T336" s="368"/>
      <c r="U336" s="368"/>
      <c r="V336" s="368"/>
      <c r="W336" s="368"/>
      <c r="X336" s="364">
        <f t="shared" si="50"/>
        <v>0</v>
      </c>
      <c r="Y336" s="393"/>
      <c r="Z336" s="498">
        <f t="shared" si="48"/>
        <v>0</v>
      </c>
      <c r="AA336" s="368"/>
      <c r="AB336" s="368"/>
      <c r="AC336" s="368"/>
      <c r="AD336" s="368"/>
      <c r="AE336" s="365">
        <f t="shared" si="49"/>
        <v>0</v>
      </c>
      <c r="AF336" s="262"/>
      <c r="AG336" s="457"/>
      <c r="AH336" s="264"/>
    </row>
    <row r="337" spans="1:34" ht="45.75" thickBot="1" x14ac:dyDescent="0.3">
      <c r="A337" s="458"/>
      <c r="B337" s="470"/>
      <c r="C337" s="463"/>
      <c r="D337" s="449" t="s">
        <v>261</v>
      </c>
      <c r="E337" s="262"/>
      <c r="F337" s="447" t="s">
        <v>902</v>
      </c>
      <c r="G337" s="387" t="e">
        <f>VLOOKUP(A337,'Feature Summary'!$A$7:$C$3944,3,FALSE)</f>
        <v>#N/A</v>
      </c>
      <c r="H337" s="447" t="s">
        <v>912</v>
      </c>
      <c r="I337" s="447"/>
      <c r="J337" s="448" t="s">
        <v>905</v>
      </c>
      <c r="K337" s="263"/>
      <c r="L337" s="391"/>
      <c r="M337" s="399" t="s">
        <v>33</v>
      </c>
      <c r="N337" s="475">
        <v>1</v>
      </c>
      <c r="O337" s="391"/>
      <c r="P337" s="496">
        <f t="shared" si="51"/>
        <v>0</v>
      </c>
      <c r="Q337" s="445" t="s">
        <v>52</v>
      </c>
      <c r="R337" s="391"/>
      <c r="S337" s="362">
        <f t="shared" si="52"/>
        <v>0</v>
      </c>
      <c r="T337" s="368"/>
      <c r="U337" s="368"/>
      <c r="V337" s="368"/>
      <c r="W337" s="368"/>
      <c r="X337" s="364">
        <f t="shared" si="50"/>
        <v>0</v>
      </c>
      <c r="Y337" s="393"/>
      <c r="Z337" s="498">
        <f t="shared" si="48"/>
        <v>0</v>
      </c>
      <c r="AA337" s="368"/>
      <c r="AB337" s="368"/>
      <c r="AC337" s="368"/>
      <c r="AD337" s="368"/>
      <c r="AE337" s="365">
        <f t="shared" si="49"/>
        <v>0</v>
      </c>
      <c r="AF337" s="262"/>
      <c r="AG337" s="457"/>
      <c r="AH337" s="264"/>
    </row>
    <row r="338" spans="1:34" ht="30.75" thickBot="1" x14ac:dyDescent="0.3">
      <c r="A338" s="458"/>
      <c r="B338" s="470"/>
      <c r="C338" s="463"/>
      <c r="D338" s="449" t="s">
        <v>261</v>
      </c>
      <c r="E338" s="262"/>
      <c r="F338" s="447" t="s">
        <v>902</v>
      </c>
      <c r="G338" s="387" t="e">
        <f>VLOOKUP(A338,'Feature Summary'!$A$7:$C$3944,3,FALSE)</f>
        <v>#N/A</v>
      </c>
      <c r="H338" s="447" t="s">
        <v>913</v>
      </c>
      <c r="I338" s="447"/>
      <c r="J338" s="448" t="s">
        <v>907</v>
      </c>
      <c r="K338" s="263"/>
      <c r="L338" s="391"/>
      <c r="M338" s="399" t="s">
        <v>33</v>
      </c>
      <c r="N338" s="475">
        <v>1</v>
      </c>
      <c r="O338" s="391"/>
      <c r="P338" s="496">
        <f t="shared" si="51"/>
        <v>0</v>
      </c>
      <c r="Q338" s="445" t="s">
        <v>52</v>
      </c>
      <c r="R338" s="391"/>
      <c r="S338" s="362">
        <f t="shared" si="52"/>
        <v>0</v>
      </c>
      <c r="T338" s="368"/>
      <c r="U338" s="368"/>
      <c r="V338" s="368" t="s">
        <v>756</v>
      </c>
      <c r="W338" s="368"/>
      <c r="X338" s="364">
        <f t="shared" si="50"/>
        <v>0</v>
      </c>
      <c r="Y338" s="393"/>
      <c r="Z338" s="498">
        <f t="shared" si="48"/>
        <v>0</v>
      </c>
      <c r="AA338" s="368"/>
      <c r="AB338" s="368"/>
      <c r="AC338" s="368"/>
      <c r="AD338" s="368"/>
      <c r="AE338" s="365">
        <f t="shared" si="49"/>
        <v>0</v>
      </c>
      <c r="AF338" s="558"/>
      <c r="AG338" s="457"/>
      <c r="AH338" s="264"/>
    </row>
    <row r="339" spans="1:34" ht="15.75" thickBot="1" x14ac:dyDescent="0.3">
      <c r="A339" s="458"/>
      <c r="B339" s="470"/>
      <c r="C339" s="463"/>
      <c r="D339" s="449" t="s">
        <v>261</v>
      </c>
      <c r="E339" s="262"/>
      <c r="F339" s="447" t="s">
        <v>902</v>
      </c>
      <c r="G339" s="387" t="e">
        <f>VLOOKUP(A339,'Feature Summary'!$A$7:$C$3944,3,FALSE)</f>
        <v>#N/A</v>
      </c>
      <c r="H339" s="447" t="s">
        <v>914</v>
      </c>
      <c r="I339" s="447"/>
      <c r="J339" s="448" t="s">
        <v>909</v>
      </c>
      <c r="K339" s="263"/>
      <c r="L339" s="391"/>
      <c r="M339" s="399" t="s">
        <v>33</v>
      </c>
      <c r="N339" s="475">
        <v>1</v>
      </c>
      <c r="O339" s="391"/>
      <c r="P339" s="496">
        <f t="shared" si="51"/>
        <v>0</v>
      </c>
      <c r="Q339" s="445" t="s">
        <v>52</v>
      </c>
      <c r="R339" s="391"/>
      <c r="S339" s="362">
        <f t="shared" si="52"/>
        <v>0</v>
      </c>
      <c r="T339" s="368"/>
      <c r="U339" s="368"/>
      <c r="V339" s="368"/>
      <c r="W339" s="368"/>
      <c r="X339" s="364">
        <f t="shared" si="50"/>
        <v>0</v>
      </c>
      <c r="Y339" s="393"/>
      <c r="Z339" s="498">
        <f t="shared" si="48"/>
        <v>0</v>
      </c>
      <c r="AA339" s="368"/>
      <c r="AB339" s="368"/>
      <c r="AC339" s="368"/>
      <c r="AD339" s="368"/>
      <c r="AE339" s="365">
        <f t="shared" si="49"/>
        <v>0</v>
      </c>
      <c r="AF339" s="262"/>
      <c r="AG339" s="457"/>
      <c r="AH339" s="264"/>
    </row>
    <row r="340" spans="1:34" ht="285.75" thickBot="1" x14ac:dyDescent="0.3">
      <c r="A340" s="458"/>
      <c r="B340" s="470"/>
      <c r="C340" s="463" t="s">
        <v>354</v>
      </c>
      <c r="D340" s="449" t="s">
        <v>261</v>
      </c>
      <c r="E340" s="262"/>
      <c r="F340" s="447" t="s">
        <v>899</v>
      </c>
      <c r="G340" s="387" t="e">
        <f>VLOOKUP(A340,'Feature Summary'!$A$7:$C$3944,3,FALSE)</f>
        <v>#N/A</v>
      </c>
      <c r="H340" s="447" t="s">
        <v>915</v>
      </c>
      <c r="I340" s="488" t="s">
        <v>288</v>
      </c>
      <c r="J340" s="448" t="s">
        <v>916</v>
      </c>
      <c r="K340" s="263"/>
      <c r="L340" s="391">
        <v>1</v>
      </c>
      <c r="M340" s="399" t="s">
        <v>33</v>
      </c>
      <c r="N340" s="475">
        <v>1</v>
      </c>
      <c r="O340" s="391">
        <v>0.5</v>
      </c>
      <c r="P340" s="496">
        <f>IF((O340=0),0,(O340/L340))</f>
        <v>0.5</v>
      </c>
      <c r="Q340" s="445" t="s">
        <v>52</v>
      </c>
      <c r="R340" s="391">
        <v>1</v>
      </c>
      <c r="S340" s="362">
        <f t="shared" si="52"/>
        <v>1</v>
      </c>
      <c r="T340" s="368">
        <v>1</v>
      </c>
      <c r="U340" s="368"/>
      <c r="V340" s="368"/>
      <c r="W340" s="368"/>
      <c r="X340" s="364">
        <f t="shared" si="50"/>
        <v>1</v>
      </c>
      <c r="Y340" s="393"/>
      <c r="Z340" s="498">
        <f>SUM(AA340:AD340)</f>
        <v>0</v>
      </c>
      <c r="AA340" s="368"/>
      <c r="AB340" s="368"/>
      <c r="AC340" s="368"/>
      <c r="AD340" s="368"/>
      <c r="AE340" s="365">
        <f t="shared" ref="AE340" si="53">IF((Z340=0),0,((AA340+AB340)/Z340*100%))</f>
        <v>0</v>
      </c>
      <c r="AF340" s="262"/>
      <c r="AG340" s="457"/>
      <c r="AH340" s="264"/>
    </row>
    <row r="341" spans="1:34" ht="285.75" thickBot="1" x14ac:dyDescent="0.3">
      <c r="A341" s="458"/>
      <c r="B341" s="470"/>
      <c r="C341" s="463" t="s">
        <v>354</v>
      </c>
      <c r="D341" s="449" t="s">
        <v>261</v>
      </c>
      <c r="E341" s="262"/>
      <c r="F341" s="447" t="s">
        <v>899</v>
      </c>
      <c r="G341" s="387" t="e">
        <f>VLOOKUP(A341,'Feature Summary'!$A$7:$C$3944,3,FALSE)</f>
        <v>#N/A</v>
      </c>
      <c r="H341" s="447" t="s">
        <v>917</v>
      </c>
      <c r="I341" s="488" t="s">
        <v>288</v>
      </c>
      <c r="J341" s="448" t="s">
        <v>916</v>
      </c>
      <c r="K341" s="263"/>
      <c r="L341" s="391">
        <v>1</v>
      </c>
      <c r="M341" s="399" t="s">
        <v>33</v>
      </c>
      <c r="N341" s="475">
        <v>1</v>
      </c>
      <c r="O341" s="391">
        <v>0.5</v>
      </c>
      <c r="P341" s="496">
        <f t="shared" ref="P341" si="54">IF((O341=0),0,(O341/L341))</f>
        <v>0.5</v>
      </c>
      <c r="Q341" s="445" t="s">
        <v>52</v>
      </c>
      <c r="R341" s="391">
        <v>1</v>
      </c>
      <c r="S341" s="362">
        <f t="shared" ref="S341" si="55">SUM(T341:W341)</f>
        <v>1</v>
      </c>
      <c r="T341" s="368">
        <v>1</v>
      </c>
      <c r="U341" s="368"/>
      <c r="V341" s="368"/>
      <c r="W341" s="368"/>
      <c r="X341" s="364">
        <f t="shared" ref="X341" si="56">IF((S341=0),0,((T341+U341)/S341*100%))</f>
        <v>1</v>
      </c>
      <c r="Y341" s="393"/>
      <c r="Z341" s="498">
        <f t="shared" si="48"/>
        <v>0</v>
      </c>
      <c r="AA341" s="368"/>
      <c r="AB341" s="368"/>
      <c r="AC341" s="368"/>
      <c r="AD341" s="368"/>
      <c r="AE341" s="365">
        <f t="shared" si="49"/>
        <v>0</v>
      </c>
      <c r="AF341" s="262"/>
      <c r="AG341" s="457"/>
      <c r="AH341" s="264"/>
    </row>
    <row r="342" spans="1:34" ht="15.75" thickBot="1" x14ac:dyDescent="0.3">
      <c r="A342" s="458"/>
      <c r="B342" s="463"/>
      <c r="C342" s="463" t="s">
        <v>260</v>
      </c>
      <c r="D342" s="449" t="s">
        <v>261</v>
      </c>
      <c r="E342" s="262"/>
      <c r="F342" s="447" t="s">
        <v>918</v>
      </c>
      <c r="G342" s="387" t="e">
        <f>VLOOKUP(A342,'Feature Summary'!$A$7:$C$3944,3,FALSE)</f>
        <v>#N/A</v>
      </c>
      <c r="H342" s="447" t="s">
        <v>919</v>
      </c>
      <c r="I342" s="488" t="s">
        <v>264</v>
      </c>
      <c r="J342" s="448" t="s">
        <v>450</v>
      </c>
      <c r="K342" s="263">
        <v>1</v>
      </c>
      <c r="L342" s="391">
        <v>2</v>
      </c>
      <c r="M342" s="399" t="s">
        <v>33</v>
      </c>
      <c r="N342" s="475">
        <v>1</v>
      </c>
      <c r="O342" s="391">
        <v>2</v>
      </c>
      <c r="P342" s="496">
        <f t="shared" si="51"/>
        <v>1</v>
      </c>
      <c r="Q342" s="445" t="s">
        <v>52</v>
      </c>
      <c r="R342" s="391">
        <v>2</v>
      </c>
      <c r="S342" s="362">
        <f t="shared" si="52"/>
        <v>2</v>
      </c>
      <c r="T342" s="368">
        <v>2</v>
      </c>
      <c r="U342" s="368"/>
      <c r="V342" s="368"/>
      <c r="W342" s="368"/>
      <c r="X342" s="364">
        <f t="shared" si="50"/>
        <v>1</v>
      </c>
      <c r="Y342" s="393"/>
      <c r="Z342" s="498">
        <f t="shared" si="48"/>
        <v>0</v>
      </c>
      <c r="AA342" s="368"/>
      <c r="AB342" s="368"/>
      <c r="AC342" s="368"/>
      <c r="AD342" s="368"/>
      <c r="AE342" s="365">
        <f t="shared" si="49"/>
        <v>0</v>
      </c>
      <c r="AF342" s="262"/>
      <c r="AG342" s="457"/>
      <c r="AH342" s="264"/>
    </row>
    <row r="343" spans="1:34" ht="14.25" customHeight="1" thickBot="1" x14ac:dyDescent="0.3">
      <c r="A343" s="458"/>
      <c r="B343" s="463"/>
      <c r="C343" s="463" t="s">
        <v>260</v>
      </c>
      <c r="D343" s="449" t="s">
        <v>261</v>
      </c>
      <c r="E343" s="262"/>
      <c r="F343" s="447" t="s">
        <v>920</v>
      </c>
      <c r="G343" s="387" t="e">
        <f>VLOOKUP(A343,'Feature Summary'!$A$7:$C$3944,3,FALSE)</f>
        <v>#N/A</v>
      </c>
      <c r="H343" s="447" t="s">
        <v>921</v>
      </c>
      <c r="I343" s="488" t="s">
        <v>264</v>
      </c>
      <c r="J343" s="448" t="s">
        <v>450</v>
      </c>
      <c r="K343" s="263">
        <v>1</v>
      </c>
      <c r="L343" s="391">
        <v>2</v>
      </c>
      <c r="M343" s="399" t="s">
        <v>33</v>
      </c>
      <c r="N343" s="475">
        <v>1</v>
      </c>
      <c r="O343" s="391">
        <v>2</v>
      </c>
      <c r="P343" s="496">
        <f t="shared" si="51"/>
        <v>1</v>
      </c>
      <c r="Q343" s="445" t="s">
        <v>52</v>
      </c>
      <c r="R343" s="391">
        <v>2</v>
      </c>
      <c r="S343" s="362">
        <f t="shared" si="52"/>
        <v>2</v>
      </c>
      <c r="T343" s="368">
        <v>2</v>
      </c>
      <c r="U343" s="368"/>
      <c r="V343" s="368"/>
      <c r="W343" s="368"/>
      <c r="X343" s="364">
        <f t="shared" si="50"/>
        <v>1</v>
      </c>
      <c r="Y343" s="393"/>
      <c r="Z343" s="498">
        <f t="shared" si="48"/>
        <v>0</v>
      </c>
      <c r="AA343" s="368"/>
      <c r="AB343" s="368"/>
      <c r="AC343" s="368"/>
      <c r="AD343" s="368"/>
      <c r="AE343" s="365">
        <f t="shared" si="49"/>
        <v>0</v>
      </c>
      <c r="AF343" s="262"/>
      <c r="AG343" s="457"/>
      <c r="AH343" s="264"/>
    </row>
    <row r="344" spans="1:34" ht="45.75" thickBot="1" x14ac:dyDescent="0.3">
      <c r="A344" s="458"/>
      <c r="B344" s="463"/>
      <c r="C344" s="463"/>
      <c r="D344" s="449" t="s">
        <v>261</v>
      </c>
      <c r="E344" s="262"/>
      <c r="F344" s="447" t="s">
        <v>918</v>
      </c>
      <c r="G344" s="387" t="e">
        <f>VLOOKUP(A344,'Feature Summary'!$A$7:$C$3944,3,FALSE)</f>
        <v>#N/A</v>
      </c>
      <c r="H344" s="447" t="s">
        <v>922</v>
      </c>
      <c r="I344" s="447"/>
      <c r="J344" s="448" t="s">
        <v>923</v>
      </c>
      <c r="K344" s="263"/>
      <c r="L344" s="391"/>
      <c r="M344" s="399" t="s">
        <v>33</v>
      </c>
      <c r="N344" s="475">
        <v>1</v>
      </c>
      <c r="O344" s="391"/>
      <c r="P344" s="496">
        <f t="shared" si="51"/>
        <v>0</v>
      </c>
      <c r="Q344" s="445" t="s">
        <v>52</v>
      </c>
      <c r="R344" s="391"/>
      <c r="S344" s="362">
        <f t="shared" si="52"/>
        <v>0</v>
      </c>
      <c r="T344" s="368"/>
      <c r="U344" s="368"/>
      <c r="V344" s="368" t="s">
        <v>756</v>
      </c>
      <c r="W344" s="368"/>
      <c r="X344" s="364">
        <f t="shared" si="50"/>
        <v>0</v>
      </c>
      <c r="Y344" s="393"/>
      <c r="Z344" s="498">
        <f t="shared" si="48"/>
        <v>0</v>
      </c>
      <c r="AA344" s="368"/>
      <c r="AB344" s="368"/>
      <c r="AC344" s="368"/>
      <c r="AD344" s="368"/>
      <c r="AE344" s="365">
        <f t="shared" si="49"/>
        <v>0</v>
      </c>
      <c r="AF344" s="262"/>
      <c r="AG344" s="457"/>
      <c r="AH344" s="264"/>
    </row>
    <row r="345" spans="1:34" ht="31.5" customHeight="1" thickBot="1" x14ac:dyDescent="0.3">
      <c r="A345" s="458"/>
      <c r="B345" s="463"/>
      <c r="C345" s="463"/>
      <c r="D345" s="449" t="s">
        <v>261</v>
      </c>
      <c r="E345" s="262"/>
      <c r="F345" s="447" t="s">
        <v>918</v>
      </c>
      <c r="G345" s="387" t="e">
        <f>VLOOKUP(A345,'Feature Summary'!$A$7:$C$3944,3,FALSE)</f>
        <v>#N/A</v>
      </c>
      <c r="H345" s="447" t="s">
        <v>924</v>
      </c>
      <c r="I345" s="447"/>
      <c r="J345" s="448" t="s">
        <v>925</v>
      </c>
      <c r="K345" s="263"/>
      <c r="L345" s="391"/>
      <c r="M345" s="399" t="s">
        <v>33</v>
      </c>
      <c r="N345" s="475">
        <v>1</v>
      </c>
      <c r="O345" s="391"/>
      <c r="P345" s="496">
        <f t="shared" si="51"/>
        <v>0</v>
      </c>
      <c r="Q345" s="445" t="s">
        <v>52</v>
      </c>
      <c r="R345" s="391"/>
      <c r="S345" s="362">
        <f t="shared" si="52"/>
        <v>0</v>
      </c>
      <c r="T345" s="368"/>
      <c r="U345" s="368"/>
      <c r="V345" s="368"/>
      <c r="W345" s="368"/>
      <c r="X345" s="364">
        <f t="shared" si="50"/>
        <v>0</v>
      </c>
      <c r="Y345" s="393"/>
      <c r="Z345" s="498">
        <f t="shared" si="48"/>
        <v>0</v>
      </c>
      <c r="AA345" s="368"/>
      <c r="AB345" s="368"/>
      <c r="AC345" s="368"/>
      <c r="AD345" s="368"/>
      <c r="AE345" s="365">
        <f t="shared" si="49"/>
        <v>0</v>
      </c>
      <c r="AF345" s="558"/>
      <c r="AG345" s="457"/>
      <c r="AH345" s="264"/>
    </row>
    <row r="346" spans="1:34" ht="15.75" thickBot="1" x14ac:dyDescent="0.3">
      <c r="A346" s="458"/>
      <c r="B346" s="463"/>
      <c r="C346" s="463"/>
      <c r="D346" s="449" t="s">
        <v>261</v>
      </c>
      <c r="E346" s="262"/>
      <c r="F346" s="447" t="s">
        <v>918</v>
      </c>
      <c r="G346" s="387" t="e">
        <f>VLOOKUP(A346,'Feature Summary'!$A$7:$C$3944,3,FALSE)</f>
        <v>#N/A</v>
      </c>
      <c r="H346" s="447" t="s">
        <v>926</v>
      </c>
      <c r="I346" s="447"/>
      <c r="J346" s="448" t="s">
        <v>661</v>
      </c>
      <c r="K346" s="263"/>
      <c r="L346" s="391"/>
      <c r="M346" s="399" t="s">
        <v>33</v>
      </c>
      <c r="N346" s="475">
        <v>1</v>
      </c>
      <c r="O346" s="391"/>
      <c r="P346" s="496">
        <f t="shared" si="51"/>
        <v>0</v>
      </c>
      <c r="Q346" s="445" t="s">
        <v>52</v>
      </c>
      <c r="R346" s="391"/>
      <c r="S346" s="362">
        <f t="shared" si="52"/>
        <v>0</v>
      </c>
      <c r="T346" s="368"/>
      <c r="U346" s="368"/>
      <c r="V346" s="368"/>
      <c r="W346" s="368"/>
      <c r="X346" s="364">
        <f t="shared" si="50"/>
        <v>0</v>
      </c>
      <c r="Y346" s="393"/>
      <c r="Z346" s="498">
        <f t="shared" si="48"/>
        <v>0</v>
      </c>
      <c r="AA346" s="368"/>
      <c r="AB346" s="368"/>
      <c r="AC346" s="368"/>
      <c r="AD346" s="368"/>
      <c r="AE346" s="365">
        <f t="shared" si="49"/>
        <v>0</v>
      </c>
      <c r="AF346" s="262"/>
      <c r="AG346" s="457"/>
      <c r="AH346" s="264"/>
    </row>
    <row r="347" spans="1:34" ht="45.75" thickBot="1" x14ac:dyDescent="0.3">
      <c r="A347" s="458"/>
      <c r="B347" s="463"/>
      <c r="C347" s="463"/>
      <c r="D347" s="449" t="s">
        <v>261</v>
      </c>
      <c r="E347" s="262"/>
      <c r="F347" s="447" t="s">
        <v>918</v>
      </c>
      <c r="G347" s="387" t="e">
        <f>VLOOKUP(A347,'Feature Summary'!$A$7:$C$3944,3,FALSE)</f>
        <v>#N/A</v>
      </c>
      <c r="H347" s="447" t="s">
        <v>927</v>
      </c>
      <c r="I347" s="447"/>
      <c r="J347" s="448" t="s">
        <v>664</v>
      </c>
      <c r="K347" s="263"/>
      <c r="L347" s="391"/>
      <c r="M347" s="399" t="s">
        <v>33</v>
      </c>
      <c r="N347" s="475">
        <v>1</v>
      </c>
      <c r="O347" s="391"/>
      <c r="P347" s="496">
        <f t="shared" si="51"/>
        <v>0</v>
      </c>
      <c r="Q347" s="445" t="s">
        <v>52</v>
      </c>
      <c r="R347" s="391"/>
      <c r="S347" s="362">
        <f t="shared" si="52"/>
        <v>0</v>
      </c>
      <c r="T347" s="368"/>
      <c r="U347" s="368"/>
      <c r="V347" s="368"/>
      <c r="W347" s="368"/>
      <c r="X347" s="364">
        <f t="shared" si="50"/>
        <v>0</v>
      </c>
      <c r="Y347" s="393"/>
      <c r="Z347" s="498">
        <f t="shared" si="48"/>
        <v>0</v>
      </c>
      <c r="AA347" s="368"/>
      <c r="AB347" s="368"/>
      <c r="AC347" s="368"/>
      <c r="AD347" s="368"/>
      <c r="AE347" s="365">
        <f t="shared" si="49"/>
        <v>0</v>
      </c>
      <c r="AF347" s="262"/>
      <c r="AG347" s="457"/>
      <c r="AH347" s="264"/>
    </row>
    <row r="348" spans="1:34" ht="45.75" thickBot="1" x14ac:dyDescent="0.3">
      <c r="A348" s="458"/>
      <c r="B348" s="463"/>
      <c r="C348" s="463"/>
      <c r="D348" s="449" t="s">
        <v>261</v>
      </c>
      <c r="E348" s="262"/>
      <c r="F348" s="447" t="s">
        <v>920</v>
      </c>
      <c r="G348" s="387" t="e">
        <f>VLOOKUP(A348,'Feature Summary'!$A$7:$C$3944,3,FALSE)</f>
        <v>#N/A</v>
      </c>
      <c r="H348" s="447" t="s">
        <v>928</v>
      </c>
      <c r="I348" s="447"/>
      <c r="J348" s="448" t="s">
        <v>923</v>
      </c>
      <c r="K348" s="263"/>
      <c r="L348" s="391"/>
      <c r="M348" s="399" t="s">
        <v>33</v>
      </c>
      <c r="N348" s="475">
        <v>1</v>
      </c>
      <c r="O348" s="391"/>
      <c r="P348" s="496">
        <f t="shared" si="51"/>
        <v>0</v>
      </c>
      <c r="Q348" s="445" t="s">
        <v>52</v>
      </c>
      <c r="R348" s="391"/>
      <c r="S348" s="362">
        <f t="shared" si="52"/>
        <v>0</v>
      </c>
      <c r="T348" s="368"/>
      <c r="U348" s="368"/>
      <c r="V348" s="368"/>
      <c r="W348" s="368"/>
      <c r="X348" s="364">
        <f t="shared" si="50"/>
        <v>0</v>
      </c>
      <c r="Y348" s="393"/>
      <c r="Z348" s="498">
        <f t="shared" si="48"/>
        <v>0</v>
      </c>
      <c r="AA348" s="368"/>
      <c r="AB348" s="368"/>
      <c r="AC348" s="368"/>
      <c r="AD348" s="368"/>
      <c r="AE348" s="365">
        <f t="shared" si="49"/>
        <v>0</v>
      </c>
      <c r="AF348" s="262"/>
      <c r="AG348" s="457"/>
      <c r="AH348" s="264"/>
    </row>
    <row r="349" spans="1:34" ht="13.5" customHeight="1" thickBot="1" x14ac:dyDescent="0.3">
      <c r="A349" s="458"/>
      <c r="B349" s="463"/>
      <c r="C349" s="463"/>
      <c r="D349" s="449" t="s">
        <v>261</v>
      </c>
      <c r="E349" s="262"/>
      <c r="F349" s="447" t="s">
        <v>920</v>
      </c>
      <c r="G349" s="387" t="e">
        <f>VLOOKUP(A349,'Feature Summary'!$A$7:$C$3944,3,FALSE)</f>
        <v>#N/A</v>
      </c>
      <c r="H349" s="447" t="s">
        <v>929</v>
      </c>
      <c r="I349" s="447"/>
      <c r="J349" s="448" t="s">
        <v>925</v>
      </c>
      <c r="K349" s="263"/>
      <c r="L349" s="391"/>
      <c r="M349" s="399" t="s">
        <v>33</v>
      </c>
      <c r="N349" s="475">
        <v>1</v>
      </c>
      <c r="O349" s="391"/>
      <c r="P349" s="496">
        <f t="shared" si="51"/>
        <v>0</v>
      </c>
      <c r="Q349" s="445" t="s">
        <v>52</v>
      </c>
      <c r="R349" s="391"/>
      <c r="S349" s="362">
        <f t="shared" si="52"/>
        <v>0</v>
      </c>
      <c r="T349" s="368"/>
      <c r="U349" s="368"/>
      <c r="V349" s="368"/>
      <c r="W349" s="368"/>
      <c r="X349" s="364">
        <f t="shared" si="50"/>
        <v>0</v>
      </c>
      <c r="Y349" s="393"/>
      <c r="Z349" s="498">
        <f t="shared" si="48"/>
        <v>0</v>
      </c>
      <c r="AA349" s="368"/>
      <c r="AB349" s="368"/>
      <c r="AC349" s="368"/>
      <c r="AD349" s="368"/>
      <c r="AE349" s="365">
        <f t="shared" si="49"/>
        <v>0</v>
      </c>
      <c r="AF349" s="558"/>
      <c r="AG349" s="457"/>
      <c r="AH349" s="264"/>
    </row>
    <row r="350" spans="1:34" ht="15.75" thickBot="1" x14ac:dyDescent="0.3">
      <c r="A350" s="458"/>
      <c r="B350" s="463"/>
      <c r="C350" s="463"/>
      <c r="D350" s="449" t="s">
        <v>261</v>
      </c>
      <c r="E350" s="262"/>
      <c r="F350" s="447" t="s">
        <v>920</v>
      </c>
      <c r="G350" s="387" t="e">
        <f>VLOOKUP(A350,'Feature Summary'!$A$7:$C$3944,3,FALSE)</f>
        <v>#N/A</v>
      </c>
      <c r="H350" s="447" t="s">
        <v>930</v>
      </c>
      <c r="I350" s="447"/>
      <c r="J350" s="448" t="s">
        <v>661</v>
      </c>
      <c r="K350" s="263"/>
      <c r="L350" s="391"/>
      <c r="M350" s="399" t="s">
        <v>33</v>
      </c>
      <c r="N350" s="475">
        <v>1</v>
      </c>
      <c r="O350" s="391"/>
      <c r="P350" s="496">
        <f t="shared" si="51"/>
        <v>0</v>
      </c>
      <c r="Q350" s="445" t="s">
        <v>52</v>
      </c>
      <c r="R350" s="391"/>
      <c r="S350" s="362">
        <f t="shared" si="52"/>
        <v>0</v>
      </c>
      <c r="T350" s="368"/>
      <c r="U350" s="368"/>
      <c r="V350" s="368"/>
      <c r="W350" s="368"/>
      <c r="X350" s="364">
        <f t="shared" si="50"/>
        <v>0</v>
      </c>
      <c r="Y350" s="393"/>
      <c r="Z350" s="498">
        <f t="shared" si="48"/>
        <v>0</v>
      </c>
      <c r="AA350" s="368"/>
      <c r="AB350" s="368"/>
      <c r="AC350" s="368"/>
      <c r="AD350" s="368"/>
      <c r="AE350" s="365">
        <f t="shared" si="49"/>
        <v>0</v>
      </c>
      <c r="AF350" s="262"/>
      <c r="AG350" s="457"/>
      <c r="AH350" s="264"/>
    </row>
    <row r="351" spans="1:34" ht="30.75" thickBot="1" x14ac:dyDescent="0.3">
      <c r="A351" s="474" t="s">
        <v>931</v>
      </c>
      <c r="B351" s="470"/>
      <c r="C351" s="463" t="s">
        <v>354</v>
      </c>
      <c r="D351" s="449" t="s">
        <v>261</v>
      </c>
      <c r="E351" s="262"/>
      <c r="F351" s="447" t="s">
        <v>932</v>
      </c>
      <c r="G351" s="387" t="e">
        <f>VLOOKUP(A351,'Feature Summary'!$A$7:$C$3944,3,FALSE)</f>
        <v>#N/A</v>
      </c>
      <c r="H351" s="447" t="s">
        <v>933</v>
      </c>
      <c r="I351" s="488" t="s">
        <v>264</v>
      </c>
      <c r="J351" s="448" t="s">
        <v>450</v>
      </c>
      <c r="K351" s="263">
        <v>1</v>
      </c>
      <c r="L351" s="391">
        <v>4</v>
      </c>
      <c r="M351" s="399" t="s">
        <v>33</v>
      </c>
      <c r="N351" s="475">
        <v>1</v>
      </c>
      <c r="O351" s="391">
        <v>4</v>
      </c>
      <c r="P351" s="496">
        <f t="shared" si="51"/>
        <v>1</v>
      </c>
      <c r="Q351" s="445" t="s">
        <v>52</v>
      </c>
      <c r="R351" s="391">
        <v>4</v>
      </c>
      <c r="S351" s="362">
        <f t="shared" si="52"/>
        <v>4</v>
      </c>
      <c r="T351" s="368">
        <v>4</v>
      </c>
      <c r="U351" s="368"/>
      <c r="V351" s="368"/>
      <c r="W351" s="368"/>
      <c r="X351" s="364">
        <f t="shared" si="50"/>
        <v>1</v>
      </c>
      <c r="Y351" s="393"/>
      <c r="Z351" s="498">
        <f t="shared" si="48"/>
        <v>0</v>
      </c>
      <c r="AA351" s="368"/>
      <c r="AB351" s="368"/>
      <c r="AC351" s="368"/>
      <c r="AD351" s="368"/>
      <c r="AE351" s="365">
        <f t="shared" si="49"/>
        <v>0</v>
      </c>
      <c r="AF351" s="262"/>
      <c r="AG351" s="457"/>
      <c r="AH351" s="264"/>
    </row>
    <row r="352" spans="1:34" ht="45.75" thickBot="1" x14ac:dyDescent="0.3">
      <c r="A352" s="458"/>
      <c r="B352" s="470"/>
      <c r="C352" s="463"/>
      <c r="D352" s="449" t="s">
        <v>261</v>
      </c>
      <c r="E352" s="262"/>
      <c r="F352" s="447" t="s">
        <v>932</v>
      </c>
      <c r="G352" s="387" t="e">
        <f>VLOOKUP(A352,'Feature Summary'!$A$7:$C$3944,3,FALSE)</f>
        <v>#N/A</v>
      </c>
      <c r="H352" s="447" t="s">
        <v>934</v>
      </c>
      <c r="I352" s="447"/>
      <c r="J352" s="448" t="s">
        <v>923</v>
      </c>
      <c r="K352" s="263"/>
      <c r="L352" s="391"/>
      <c r="M352" s="399" t="s">
        <v>33</v>
      </c>
      <c r="N352" s="475">
        <v>1</v>
      </c>
      <c r="O352" s="391"/>
      <c r="P352" s="496">
        <f t="shared" si="51"/>
        <v>0</v>
      </c>
      <c r="Q352" s="445" t="s">
        <v>52</v>
      </c>
      <c r="R352" s="391"/>
      <c r="S352" s="362">
        <f t="shared" si="52"/>
        <v>0</v>
      </c>
      <c r="T352" s="368"/>
      <c r="U352" s="368"/>
      <c r="V352" s="368"/>
      <c r="W352" s="368"/>
      <c r="X352" s="364">
        <f t="shared" si="50"/>
        <v>0</v>
      </c>
      <c r="Y352" s="393"/>
      <c r="Z352" s="498">
        <f t="shared" si="48"/>
        <v>0</v>
      </c>
      <c r="AA352" s="368"/>
      <c r="AB352" s="368"/>
      <c r="AC352" s="368"/>
      <c r="AD352" s="368"/>
      <c r="AE352" s="365">
        <f t="shared" si="49"/>
        <v>0</v>
      </c>
      <c r="AF352" s="262"/>
      <c r="AG352" s="457"/>
      <c r="AH352" s="264"/>
    </row>
    <row r="353" spans="1:34" ht="35.25" customHeight="1" thickBot="1" x14ac:dyDescent="0.3">
      <c r="A353" s="458"/>
      <c r="B353" s="470"/>
      <c r="C353" s="463"/>
      <c r="D353" s="449" t="s">
        <v>261</v>
      </c>
      <c r="E353" s="262"/>
      <c r="F353" s="447" t="s">
        <v>932</v>
      </c>
      <c r="G353" s="387" t="e">
        <f>VLOOKUP(A353,'Feature Summary'!$A$7:$C$3944,3,FALSE)</f>
        <v>#N/A</v>
      </c>
      <c r="H353" s="447" t="s">
        <v>935</v>
      </c>
      <c r="I353" s="447"/>
      <c r="J353" s="448" t="s">
        <v>925</v>
      </c>
      <c r="K353" s="263"/>
      <c r="L353" s="391"/>
      <c r="M353" s="399" t="s">
        <v>33</v>
      </c>
      <c r="N353" s="475">
        <v>1</v>
      </c>
      <c r="O353" s="391"/>
      <c r="P353" s="496">
        <f t="shared" si="51"/>
        <v>0</v>
      </c>
      <c r="Q353" s="445" t="s">
        <v>52</v>
      </c>
      <c r="R353" s="391"/>
      <c r="S353" s="362">
        <f t="shared" si="52"/>
        <v>0</v>
      </c>
      <c r="T353" s="368"/>
      <c r="U353" s="368"/>
      <c r="V353" s="368"/>
      <c r="W353" s="368"/>
      <c r="X353" s="364">
        <f t="shared" si="50"/>
        <v>0</v>
      </c>
      <c r="Y353" s="393"/>
      <c r="Z353" s="498">
        <f t="shared" si="48"/>
        <v>0</v>
      </c>
      <c r="AA353" s="368"/>
      <c r="AB353" s="368"/>
      <c r="AC353" s="368"/>
      <c r="AD353" s="368"/>
      <c r="AE353" s="365">
        <f t="shared" si="49"/>
        <v>0</v>
      </c>
      <c r="AF353" s="558"/>
      <c r="AG353" s="457"/>
      <c r="AH353" s="264"/>
    </row>
    <row r="354" spans="1:34" ht="30.75" thickBot="1" x14ac:dyDescent="0.3">
      <c r="A354" s="458"/>
      <c r="B354" s="470"/>
      <c r="C354" s="463"/>
      <c r="D354" s="449" t="s">
        <v>261</v>
      </c>
      <c r="E354" s="262"/>
      <c r="F354" s="447" t="s">
        <v>932</v>
      </c>
      <c r="G354" s="387" t="e">
        <f>VLOOKUP(A354,'Feature Summary'!$A$7:$C$3944,3,FALSE)</f>
        <v>#N/A</v>
      </c>
      <c r="H354" s="447" t="s">
        <v>936</v>
      </c>
      <c r="I354" s="447"/>
      <c r="J354" s="448" t="s">
        <v>661</v>
      </c>
      <c r="K354" s="263"/>
      <c r="L354" s="391"/>
      <c r="M354" s="399" t="s">
        <v>33</v>
      </c>
      <c r="N354" s="475">
        <v>1</v>
      </c>
      <c r="O354" s="391"/>
      <c r="P354" s="496">
        <f t="shared" si="51"/>
        <v>0</v>
      </c>
      <c r="Q354" s="445" t="s">
        <v>52</v>
      </c>
      <c r="R354" s="391"/>
      <c r="S354" s="362">
        <f t="shared" si="52"/>
        <v>0</v>
      </c>
      <c r="T354" s="368"/>
      <c r="U354" s="368"/>
      <c r="V354" s="368"/>
      <c r="W354" s="368"/>
      <c r="X354" s="364">
        <f t="shared" si="50"/>
        <v>0</v>
      </c>
      <c r="Y354" s="393"/>
      <c r="Z354" s="498">
        <f t="shared" si="48"/>
        <v>0</v>
      </c>
      <c r="AA354" s="368"/>
      <c r="AB354" s="368"/>
      <c r="AC354" s="368"/>
      <c r="AD354" s="368"/>
      <c r="AE354" s="365">
        <f t="shared" si="49"/>
        <v>0</v>
      </c>
      <c r="AF354" s="262"/>
      <c r="AG354" s="457"/>
      <c r="AH354" s="264"/>
    </row>
    <row r="355" spans="1:34" ht="15.75" thickBot="1" x14ac:dyDescent="0.3">
      <c r="A355" s="458"/>
      <c r="B355" s="463"/>
      <c r="C355" s="463" t="s">
        <v>260</v>
      </c>
      <c r="D355" s="449" t="s">
        <v>261</v>
      </c>
      <c r="E355" s="262"/>
      <c r="F355" s="447" t="s">
        <v>937</v>
      </c>
      <c r="G355" s="387" t="e">
        <f>VLOOKUP(A355,'Feature Summary'!$A$7:$C$3944,3,FALSE)</f>
        <v>#N/A</v>
      </c>
      <c r="H355" s="447" t="s">
        <v>938</v>
      </c>
      <c r="I355" s="488" t="s">
        <v>264</v>
      </c>
      <c r="J355" s="448" t="s">
        <v>893</v>
      </c>
      <c r="K355" s="263">
        <v>1</v>
      </c>
      <c r="L355" s="391">
        <v>2</v>
      </c>
      <c r="M355" s="399" t="s">
        <v>33</v>
      </c>
      <c r="N355" s="475">
        <v>1</v>
      </c>
      <c r="O355" s="391">
        <v>2</v>
      </c>
      <c r="P355" s="496">
        <f t="shared" si="51"/>
        <v>1</v>
      </c>
      <c r="Q355" s="445" t="s">
        <v>52</v>
      </c>
      <c r="R355" s="391">
        <v>2</v>
      </c>
      <c r="S355" s="362">
        <f t="shared" si="52"/>
        <v>2</v>
      </c>
      <c r="T355" s="368">
        <v>2</v>
      </c>
      <c r="U355" s="368"/>
      <c r="V355" s="368"/>
      <c r="W355" s="368"/>
      <c r="X355" s="364">
        <f t="shared" si="50"/>
        <v>1</v>
      </c>
      <c r="Y355" s="393"/>
      <c r="Z355" s="498">
        <f t="shared" si="48"/>
        <v>0</v>
      </c>
      <c r="AA355" s="368"/>
      <c r="AB355" s="368"/>
      <c r="AC355" s="368"/>
      <c r="AD355" s="368"/>
      <c r="AE355" s="365">
        <f t="shared" si="49"/>
        <v>0</v>
      </c>
      <c r="AF355" s="262"/>
      <c r="AG355" s="457"/>
      <c r="AH355" s="264"/>
    </row>
    <row r="356" spans="1:34" ht="45.75" thickBot="1" x14ac:dyDescent="0.3">
      <c r="A356" s="458"/>
      <c r="B356" s="463"/>
      <c r="C356" s="463"/>
      <c r="D356" s="449" t="s">
        <v>261</v>
      </c>
      <c r="E356" s="262"/>
      <c r="F356" s="447" t="s">
        <v>937</v>
      </c>
      <c r="G356" s="387" t="e">
        <f>VLOOKUP(A356,'Feature Summary'!$A$7:$C$3944,3,FALSE)</f>
        <v>#N/A</v>
      </c>
      <c r="H356" s="447" t="s">
        <v>939</v>
      </c>
      <c r="I356" s="447"/>
      <c r="J356" s="448" t="s">
        <v>905</v>
      </c>
      <c r="K356" s="263"/>
      <c r="L356" s="391"/>
      <c r="M356" s="399" t="s">
        <v>33</v>
      </c>
      <c r="N356" s="475">
        <v>1</v>
      </c>
      <c r="O356" s="391"/>
      <c r="P356" s="496">
        <f t="shared" si="51"/>
        <v>0</v>
      </c>
      <c r="Q356" s="445" t="s">
        <v>52</v>
      </c>
      <c r="R356" s="391"/>
      <c r="S356" s="362">
        <f t="shared" si="52"/>
        <v>0</v>
      </c>
      <c r="T356" s="368"/>
      <c r="U356" s="368"/>
      <c r="V356" s="368"/>
      <c r="W356" s="368"/>
      <c r="X356" s="364">
        <f t="shared" si="50"/>
        <v>0</v>
      </c>
      <c r="Y356" s="393"/>
      <c r="Z356" s="498">
        <f t="shared" si="48"/>
        <v>0</v>
      </c>
      <c r="AA356" s="368"/>
      <c r="AB356" s="368"/>
      <c r="AC356" s="368"/>
      <c r="AD356" s="368"/>
      <c r="AE356" s="365">
        <f t="shared" si="49"/>
        <v>0</v>
      </c>
      <c r="AF356" s="262"/>
      <c r="AG356" s="457"/>
      <c r="AH356" s="264"/>
    </row>
    <row r="357" spans="1:34" ht="30.75" thickBot="1" x14ac:dyDescent="0.3">
      <c r="A357" s="458"/>
      <c r="B357" s="463"/>
      <c r="C357" s="463"/>
      <c r="D357" s="449" t="s">
        <v>261</v>
      </c>
      <c r="E357" s="262"/>
      <c r="F357" s="447" t="s">
        <v>937</v>
      </c>
      <c r="G357" s="387" t="e">
        <f>VLOOKUP(A357,'Feature Summary'!$A$7:$C$3944,3,FALSE)</f>
        <v>#N/A</v>
      </c>
      <c r="H357" s="447" t="s">
        <v>940</v>
      </c>
      <c r="I357" s="447"/>
      <c r="J357" s="448" t="s">
        <v>941</v>
      </c>
      <c r="K357" s="263"/>
      <c r="L357" s="391"/>
      <c r="M357" s="399" t="s">
        <v>33</v>
      </c>
      <c r="N357" s="475">
        <v>1</v>
      </c>
      <c r="O357" s="391"/>
      <c r="P357" s="496">
        <f t="shared" si="51"/>
        <v>0</v>
      </c>
      <c r="Q357" s="445" t="s">
        <v>52</v>
      </c>
      <c r="R357" s="391"/>
      <c r="S357" s="362">
        <f t="shared" si="52"/>
        <v>0</v>
      </c>
      <c r="T357" s="368"/>
      <c r="U357" s="368"/>
      <c r="V357" s="368"/>
      <c r="W357" s="368"/>
      <c r="X357" s="364">
        <f t="shared" si="50"/>
        <v>0</v>
      </c>
      <c r="Y357" s="393"/>
      <c r="Z357" s="498">
        <f t="shared" si="48"/>
        <v>0</v>
      </c>
      <c r="AA357" s="368"/>
      <c r="AB357" s="368"/>
      <c r="AC357" s="368"/>
      <c r="AD357" s="368"/>
      <c r="AE357" s="365">
        <f t="shared" si="49"/>
        <v>0</v>
      </c>
      <c r="AF357" s="558"/>
      <c r="AG357" s="457"/>
      <c r="AH357" s="264"/>
    </row>
    <row r="358" spans="1:34" ht="15.75" thickBot="1" x14ac:dyDescent="0.3">
      <c r="A358" s="458"/>
      <c r="B358" s="463"/>
      <c r="C358" s="463"/>
      <c r="D358" s="449" t="s">
        <v>261</v>
      </c>
      <c r="E358" s="262"/>
      <c r="F358" s="447" t="s">
        <v>937</v>
      </c>
      <c r="G358" s="387" t="e">
        <f>VLOOKUP(A358,'Feature Summary'!$A$7:$C$3944,3,FALSE)</f>
        <v>#N/A</v>
      </c>
      <c r="H358" s="447" t="s">
        <v>942</v>
      </c>
      <c r="I358" s="447"/>
      <c r="J358" s="448" t="s">
        <v>909</v>
      </c>
      <c r="K358" s="263"/>
      <c r="L358" s="391"/>
      <c r="M358" s="399" t="s">
        <v>33</v>
      </c>
      <c r="N358" s="475">
        <v>1</v>
      </c>
      <c r="O358" s="391"/>
      <c r="P358" s="496">
        <f t="shared" si="51"/>
        <v>0</v>
      </c>
      <c r="Q358" s="445" t="s">
        <v>52</v>
      </c>
      <c r="R358" s="391"/>
      <c r="S358" s="362">
        <f t="shared" si="52"/>
        <v>0</v>
      </c>
      <c r="T358" s="368"/>
      <c r="U358" s="368"/>
      <c r="V358" s="368"/>
      <c r="W358" s="368"/>
      <c r="X358" s="364">
        <f t="shared" si="50"/>
        <v>0</v>
      </c>
      <c r="Y358" s="393"/>
      <c r="Z358" s="498">
        <f t="shared" si="48"/>
        <v>0</v>
      </c>
      <c r="AA358" s="368"/>
      <c r="AB358" s="368"/>
      <c r="AC358" s="368"/>
      <c r="AD358" s="368"/>
      <c r="AE358" s="365">
        <f t="shared" si="49"/>
        <v>0</v>
      </c>
      <c r="AF358" s="262"/>
      <c r="AG358" s="457"/>
      <c r="AH358" s="264"/>
    </row>
    <row r="359" spans="1:34" ht="15.75" thickBot="1" x14ac:dyDescent="0.3">
      <c r="A359" s="458" t="s">
        <v>943</v>
      </c>
      <c r="B359" s="470"/>
      <c r="C359" s="463" t="s">
        <v>354</v>
      </c>
      <c r="D359" s="449" t="s">
        <v>261</v>
      </c>
      <c r="E359" s="262"/>
      <c r="F359" s="447" t="s">
        <v>944</v>
      </c>
      <c r="G359" s="387" t="str">
        <f>VLOOKUP(A359,'Feature Summary'!$A$7:$C$3944,3,FALSE)</f>
        <v>P2</v>
      </c>
      <c r="H359" s="447" t="s">
        <v>945</v>
      </c>
      <c r="I359" s="488" t="s">
        <v>264</v>
      </c>
      <c r="J359" s="448" t="s">
        <v>450</v>
      </c>
      <c r="K359" s="263">
        <v>1</v>
      </c>
      <c r="L359" s="391">
        <v>5</v>
      </c>
      <c r="M359" s="399" t="s">
        <v>33</v>
      </c>
      <c r="N359" s="475">
        <v>1</v>
      </c>
      <c r="O359" s="391">
        <v>5</v>
      </c>
      <c r="P359" s="496">
        <f t="shared" si="51"/>
        <v>1</v>
      </c>
      <c r="Q359" s="445" t="s">
        <v>52</v>
      </c>
      <c r="R359" s="391">
        <v>5</v>
      </c>
      <c r="S359" s="362">
        <f t="shared" si="52"/>
        <v>5</v>
      </c>
      <c r="T359" s="368">
        <v>5</v>
      </c>
      <c r="U359" s="368"/>
      <c r="V359" s="368"/>
      <c r="W359" s="368"/>
      <c r="X359" s="364">
        <f t="shared" si="50"/>
        <v>1</v>
      </c>
      <c r="Y359" s="393"/>
      <c r="Z359" s="498">
        <f t="shared" si="48"/>
        <v>0</v>
      </c>
      <c r="AA359" s="368"/>
      <c r="AB359" s="368"/>
      <c r="AC359" s="368"/>
      <c r="AD359" s="368"/>
      <c r="AE359" s="365">
        <f t="shared" si="49"/>
        <v>0</v>
      </c>
      <c r="AF359" s="262"/>
      <c r="AG359" s="457"/>
      <c r="AH359" s="264"/>
    </row>
    <row r="360" spans="1:34" ht="45.75" thickBot="1" x14ac:dyDescent="0.3">
      <c r="A360" s="458"/>
      <c r="B360" s="470"/>
      <c r="C360" s="463"/>
      <c r="D360" s="449" t="s">
        <v>261</v>
      </c>
      <c r="E360" s="262"/>
      <c r="F360" s="447" t="s">
        <v>944</v>
      </c>
      <c r="G360" s="387" t="e">
        <f>VLOOKUP(A360,'Feature Summary'!$A$7:$C$3944,3,FALSE)</f>
        <v>#N/A</v>
      </c>
      <c r="H360" s="447" t="s">
        <v>946</v>
      </c>
      <c r="I360" s="447"/>
      <c r="J360" s="448" t="s">
        <v>923</v>
      </c>
      <c r="K360" s="263"/>
      <c r="L360" s="391"/>
      <c r="M360" s="399" t="s">
        <v>33</v>
      </c>
      <c r="N360" s="475">
        <v>1</v>
      </c>
      <c r="O360" s="391"/>
      <c r="P360" s="496">
        <f t="shared" si="51"/>
        <v>0</v>
      </c>
      <c r="Q360" s="445" t="s">
        <v>52</v>
      </c>
      <c r="R360" s="391"/>
      <c r="S360" s="362">
        <f t="shared" si="52"/>
        <v>0</v>
      </c>
      <c r="T360" s="368"/>
      <c r="U360" s="368"/>
      <c r="V360" s="368"/>
      <c r="W360" s="368"/>
      <c r="X360" s="364">
        <f t="shared" si="50"/>
        <v>0</v>
      </c>
      <c r="Y360" s="393"/>
      <c r="Z360" s="498">
        <f t="shared" si="48"/>
        <v>0</v>
      </c>
      <c r="AA360" s="368"/>
      <c r="AB360" s="368"/>
      <c r="AC360" s="368"/>
      <c r="AD360" s="368"/>
      <c r="AE360" s="365">
        <f t="shared" si="49"/>
        <v>0</v>
      </c>
      <c r="AF360" s="262"/>
      <c r="AG360" s="457"/>
      <c r="AH360" s="264"/>
    </row>
    <row r="361" spans="1:34" ht="27.75" customHeight="1" thickBot="1" x14ac:dyDescent="0.3">
      <c r="A361" s="458"/>
      <c r="B361" s="470"/>
      <c r="C361" s="463"/>
      <c r="D361" s="449" t="s">
        <v>261</v>
      </c>
      <c r="E361" s="262"/>
      <c r="F361" s="447" t="s">
        <v>944</v>
      </c>
      <c r="G361" s="387" t="e">
        <f>VLOOKUP(A361,'Feature Summary'!$A$7:$C$3944,3,FALSE)</f>
        <v>#N/A</v>
      </c>
      <c r="H361" s="447" t="s">
        <v>947</v>
      </c>
      <c r="I361" s="447"/>
      <c r="J361" s="448" t="s">
        <v>925</v>
      </c>
      <c r="K361" s="263"/>
      <c r="L361" s="391"/>
      <c r="M361" s="399" t="s">
        <v>33</v>
      </c>
      <c r="N361" s="475">
        <v>1</v>
      </c>
      <c r="O361" s="391"/>
      <c r="P361" s="496">
        <f t="shared" si="51"/>
        <v>0</v>
      </c>
      <c r="Q361" s="445" t="s">
        <v>52</v>
      </c>
      <c r="R361" s="391"/>
      <c r="S361" s="362">
        <f t="shared" si="52"/>
        <v>0</v>
      </c>
      <c r="T361" s="368"/>
      <c r="U361" s="368"/>
      <c r="V361" s="368"/>
      <c r="W361" s="368"/>
      <c r="X361" s="364">
        <f t="shared" si="50"/>
        <v>0</v>
      </c>
      <c r="Y361" s="393"/>
      <c r="Z361" s="498">
        <f t="shared" si="48"/>
        <v>0</v>
      </c>
      <c r="AA361" s="368"/>
      <c r="AB361" s="368"/>
      <c r="AC361" s="368"/>
      <c r="AD361" s="368"/>
      <c r="AE361" s="365">
        <f t="shared" si="49"/>
        <v>0</v>
      </c>
      <c r="AF361" s="558"/>
      <c r="AG361" s="457"/>
      <c r="AH361" s="264"/>
    </row>
    <row r="362" spans="1:34" ht="15.75" thickBot="1" x14ac:dyDescent="0.3">
      <c r="A362" s="458"/>
      <c r="B362" s="470"/>
      <c r="C362" s="463"/>
      <c r="D362" s="449" t="s">
        <v>261</v>
      </c>
      <c r="E362" s="262"/>
      <c r="F362" s="447" t="s">
        <v>944</v>
      </c>
      <c r="G362" s="387" t="e">
        <f>VLOOKUP(A362,'Feature Summary'!$A$7:$C$3944,3,FALSE)</f>
        <v>#N/A</v>
      </c>
      <c r="H362" s="447" t="s">
        <v>948</v>
      </c>
      <c r="I362" s="447"/>
      <c r="J362" s="448" t="s">
        <v>661</v>
      </c>
      <c r="K362" s="263"/>
      <c r="L362" s="391"/>
      <c r="M362" s="399" t="s">
        <v>33</v>
      </c>
      <c r="N362" s="475">
        <v>1</v>
      </c>
      <c r="O362" s="391"/>
      <c r="P362" s="496">
        <f t="shared" si="51"/>
        <v>0</v>
      </c>
      <c r="Q362" s="445" t="s">
        <v>52</v>
      </c>
      <c r="R362" s="391"/>
      <c r="S362" s="362">
        <f t="shared" si="52"/>
        <v>0</v>
      </c>
      <c r="T362" s="368"/>
      <c r="U362" s="368"/>
      <c r="V362" s="368"/>
      <c r="W362" s="368"/>
      <c r="X362" s="364">
        <f t="shared" si="50"/>
        <v>0</v>
      </c>
      <c r="Y362" s="393"/>
      <c r="Z362" s="498">
        <f t="shared" si="48"/>
        <v>0</v>
      </c>
      <c r="AA362" s="368"/>
      <c r="AB362" s="368"/>
      <c r="AC362" s="368"/>
      <c r="AD362" s="368"/>
      <c r="AE362" s="365">
        <f t="shared" si="49"/>
        <v>0</v>
      </c>
      <c r="AF362" s="262"/>
      <c r="AG362" s="457"/>
      <c r="AH362" s="264"/>
    </row>
    <row r="363" spans="1:34" ht="30.75" thickBot="1" x14ac:dyDescent="0.3">
      <c r="A363" s="458"/>
      <c r="B363" s="463"/>
      <c r="C363" s="463" t="s">
        <v>354</v>
      </c>
      <c r="D363" s="449" t="s">
        <v>261</v>
      </c>
      <c r="E363" s="262"/>
      <c r="F363" s="447" t="s">
        <v>949</v>
      </c>
      <c r="G363" s="387" t="e">
        <f>VLOOKUP(A363,'Feature Summary'!$A$7:$C$3944,3,FALSE)</f>
        <v>#N/A</v>
      </c>
      <c r="H363" s="447" t="s">
        <v>950</v>
      </c>
      <c r="I363" s="488" t="s">
        <v>264</v>
      </c>
      <c r="J363" s="448" t="s">
        <v>450</v>
      </c>
      <c r="K363" s="263">
        <v>1</v>
      </c>
      <c r="L363" s="391">
        <v>3</v>
      </c>
      <c r="M363" s="399" t="s">
        <v>33</v>
      </c>
      <c r="N363" s="475">
        <v>1</v>
      </c>
      <c r="O363" s="391">
        <v>3</v>
      </c>
      <c r="P363" s="496">
        <f>IF((O363=0),0,(O363/L363))</f>
        <v>1</v>
      </c>
      <c r="Q363" s="445" t="s">
        <v>52</v>
      </c>
      <c r="R363" s="391">
        <v>3</v>
      </c>
      <c r="S363" s="362">
        <f t="shared" si="52"/>
        <v>3</v>
      </c>
      <c r="T363" s="368">
        <v>3</v>
      </c>
      <c r="U363" s="368"/>
      <c r="V363" s="368"/>
      <c r="W363" s="368"/>
      <c r="X363" s="364">
        <f t="shared" si="50"/>
        <v>1</v>
      </c>
      <c r="Y363" s="393"/>
      <c r="Z363" s="498">
        <f t="shared" si="48"/>
        <v>0</v>
      </c>
      <c r="AA363" s="368"/>
      <c r="AB363" s="368"/>
      <c r="AC363" s="368"/>
      <c r="AD363" s="368"/>
      <c r="AE363" s="365">
        <f t="shared" si="49"/>
        <v>0</v>
      </c>
      <c r="AF363" s="262"/>
      <c r="AG363" s="457"/>
      <c r="AH363" s="264"/>
    </row>
    <row r="364" spans="1:34" ht="45.75" thickBot="1" x14ac:dyDescent="0.3">
      <c r="A364" s="458"/>
      <c r="B364" s="463"/>
      <c r="C364" s="463"/>
      <c r="D364" s="449" t="s">
        <v>261</v>
      </c>
      <c r="E364" s="262"/>
      <c r="F364" s="447" t="s">
        <v>949</v>
      </c>
      <c r="G364" s="387" t="e">
        <f>VLOOKUP(A364,'Feature Summary'!$A$7:$C$3944,3,FALSE)</f>
        <v>#N/A</v>
      </c>
      <c r="H364" s="447" t="s">
        <v>951</v>
      </c>
      <c r="I364" s="447"/>
      <c r="J364" s="448" t="s">
        <v>923</v>
      </c>
      <c r="K364" s="263"/>
      <c r="L364" s="391"/>
      <c r="M364" s="399" t="s">
        <v>33</v>
      </c>
      <c r="N364" s="475">
        <v>1</v>
      </c>
      <c r="O364" s="391"/>
      <c r="P364" s="496">
        <f>IF((O364=0),0,(O364/L364))</f>
        <v>0</v>
      </c>
      <c r="Q364" s="445" t="s">
        <v>52</v>
      </c>
      <c r="R364" s="391"/>
      <c r="S364" s="362">
        <f t="shared" si="52"/>
        <v>0</v>
      </c>
      <c r="T364" s="368"/>
      <c r="U364" s="368"/>
      <c r="V364" s="368"/>
      <c r="W364" s="368"/>
      <c r="X364" s="364">
        <f t="shared" si="50"/>
        <v>0</v>
      </c>
      <c r="Y364" s="393"/>
      <c r="Z364" s="498">
        <f t="shared" si="48"/>
        <v>0</v>
      </c>
      <c r="AA364" s="368"/>
      <c r="AB364" s="368"/>
      <c r="AC364" s="368"/>
      <c r="AD364" s="368"/>
      <c r="AE364" s="365">
        <f t="shared" si="49"/>
        <v>0</v>
      </c>
      <c r="AF364" s="262"/>
      <c r="AG364" s="457"/>
      <c r="AH364" s="264"/>
    </row>
    <row r="365" spans="1:34" ht="25.5" customHeight="1" thickBot="1" x14ac:dyDescent="0.3">
      <c r="A365" s="458"/>
      <c r="B365" s="463"/>
      <c r="C365" s="463"/>
      <c r="D365" s="449" t="s">
        <v>261</v>
      </c>
      <c r="E365" s="262"/>
      <c r="F365" s="447" t="s">
        <v>949</v>
      </c>
      <c r="G365" s="387" t="e">
        <f>VLOOKUP(A365,'Feature Summary'!$A$7:$C$3944,3,FALSE)</f>
        <v>#N/A</v>
      </c>
      <c r="H365" s="447" t="s">
        <v>952</v>
      </c>
      <c r="I365" s="447"/>
      <c r="J365" s="448" t="s">
        <v>925</v>
      </c>
      <c r="K365" s="263"/>
      <c r="L365" s="391"/>
      <c r="M365" s="399" t="s">
        <v>33</v>
      </c>
      <c r="N365" s="475">
        <v>1</v>
      </c>
      <c r="O365" s="391"/>
      <c r="P365" s="496">
        <f t="shared" ref="P365:P369" si="57">IF((O365=0),0,(O365/L365))</f>
        <v>0</v>
      </c>
      <c r="Q365" s="445" t="s">
        <v>52</v>
      </c>
      <c r="R365" s="391"/>
      <c r="S365" s="362">
        <f t="shared" si="52"/>
        <v>0</v>
      </c>
      <c r="T365" s="368"/>
      <c r="U365" s="368"/>
      <c r="V365" s="368"/>
      <c r="W365" s="368"/>
      <c r="X365" s="364">
        <f t="shared" si="50"/>
        <v>0</v>
      </c>
      <c r="Y365" s="393"/>
      <c r="Z365" s="498">
        <f t="shared" si="48"/>
        <v>0</v>
      </c>
      <c r="AA365" s="368"/>
      <c r="AB365" s="368"/>
      <c r="AC365" s="368"/>
      <c r="AD365" s="368"/>
      <c r="AE365" s="365">
        <f t="shared" si="49"/>
        <v>0</v>
      </c>
      <c r="AF365" s="558"/>
      <c r="AG365" s="457"/>
      <c r="AH365" s="264"/>
    </row>
    <row r="366" spans="1:34" ht="30.75" thickBot="1" x14ac:dyDescent="0.3">
      <c r="A366" s="458"/>
      <c r="B366" s="463"/>
      <c r="C366" s="463"/>
      <c r="D366" s="449" t="s">
        <v>261</v>
      </c>
      <c r="E366" s="262"/>
      <c r="F366" s="447" t="s">
        <v>949</v>
      </c>
      <c r="G366" s="387" t="e">
        <f>VLOOKUP(A366,'Feature Summary'!$A$7:$C$3944,3,FALSE)</f>
        <v>#N/A</v>
      </c>
      <c r="H366" s="447" t="s">
        <v>953</v>
      </c>
      <c r="I366" s="447"/>
      <c r="J366" s="448" t="s">
        <v>661</v>
      </c>
      <c r="K366" s="263"/>
      <c r="L366" s="391"/>
      <c r="M366" s="399" t="s">
        <v>33</v>
      </c>
      <c r="N366" s="475">
        <v>1</v>
      </c>
      <c r="O366" s="391"/>
      <c r="P366" s="496">
        <f t="shared" si="57"/>
        <v>0</v>
      </c>
      <c r="Q366" s="445" t="s">
        <v>52</v>
      </c>
      <c r="R366" s="391"/>
      <c r="S366" s="362">
        <f t="shared" si="52"/>
        <v>0</v>
      </c>
      <c r="T366" s="368"/>
      <c r="U366" s="368"/>
      <c r="V366" s="368"/>
      <c r="W366" s="368"/>
      <c r="X366" s="364">
        <f t="shared" si="50"/>
        <v>0</v>
      </c>
      <c r="Y366" s="393"/>
      <c r="Z366" s="498">
        <f t="shared" si="48"/>
        <v>0</v>
      </c>
      <c r="AA366" s="368"/>
      <c r="AB366" s="368"/>
      <c r="AC366" s="368"/>
      <c r="AD366" s="368"/>
      <c r="AE366" s="365">
        <f t="shared" si="49"/>
        <v>0</v>
      </c>
      <c r="AF366" s="262"/>
      <c r="AG366" s="457"/>
      <c r="AH366" s="264"/>
    </row>
    <row r="367" spans="1:34" ht="15.75" thickBot="1" x14ac:dyDescent="0.3">
      <c r="A367" s="458" t="s">
        <v>544</v>
      </c>
      <c r="B367" s="447" t="s">
        <v>313</v>
      </c>
      <c r="C367" s="580" t="s">
        <v>651</v>
      </c>
      <c r="D367" s="449" t="s">
        <v>261</v>
      </c>
      <c r="E367" s="262"/>
      <c r="F367" s="447" t="s">
        <v>954</v>
      </c>
      <c r="G367" s="387" t="str">
        <f>VLOOKUP(A367,'Feature Summary'!$A$7:$C$3944,3,FALSE)</f>
        <v>P2</v>
      </c>
      <c r="H367" s="447" t="s">
        <v>955</v>
      </c>
      <c r="I367" s="488" t="s">
        <v>264</v>
      </c>
      <c r="J367" s="448" t="s">
        <v>281</v>
      </c>
      <c r="K367" s="263">
        <v>1</v>
      </c>
      <c r="L367" s="391">
        <v>2</v>
      </c>
      <c r="M367" s="399" t="s">
        <v>33</v>
      </c>
      <c r="N367" s="475">
        <v>1</v>
      </c>
      <c r="O367" s="391">
        <v>2</v>
      </c>
      <c r="P367" s="496">
        <f t="shared" si="57"/>
        <v>1</v>
      </c>
      <c r="Q367" s="445" t="s">
        <v>52</v>
      </c>
      <c r="R367" s="391">
        <v>2</v>
      </c>
      <c r="S367" s="362">
        <f t="shared" si="52"/>
        <v>2</v>
      </c>
      <c r="T367" s="368">
        <v>2</v>
      </c>
      <c r="U367" s="368"/>
      <c r="V367" s="368"/>
      <c r="W367" s="368"/>
      <c r="X367" s="364">
        <f t="shared" si="50"/>
        <v>1</v>
      </c>
      <c r="Y367" s="393"/>
      <c r="Z367" s="498">
        <f t="shared" si="48"/>
        <v>0</v>
      </c>
      <c r="AA367" s="368"/>
      <c r="AB367" s="368"/>
      <c r="AC367" s="368"/>
      <c r="AD367" s="368"/>
      <c r="AE367" s="365">
        <f t="shared" si="49"/>
        <v>0</v>
      </c>
      <c r="AF367" s="262"/>
      <c r="AG367" s="457"/>
      <c r="AH367" s="264"/>
    </row>
    <row r="368" spans="1:34" ht="30.75" thickBot="1" x14ac:dyDescent="0.3">
      <c r="A368" s="458"/>
      <c r="B368" s="447" t="s">
        <v>313</v>
      </c>
      <c r="C368" s="580"/>
      <c r="D368" s="449" t="s">
        <v>261</v>
      </c>
      <c r="E368" s="262"/>
      <c r="F368" s="447" t="s">
        <v>954</v>
      </c>
      <c r="G368" s="387" t="e">
        <f>VLOOKUP(A368,'Feature Summary'!$A$7:$C$3944,3,FALSE)</f>
        <v>#N/A</v>
      </c>
      <c r="H368" s="447" t="s">
        <v>956</v>
      </c>
      <c r="I368" s="447"/>
      <c r="J368" s="448" t="s">
        <v>328</v>
      </c>
      <c r="K368" s="263"/>
      <c r="L368" s="391"/>
      <c r="M368" s="399" t="s">
        <v>33</v>
      </c>
      <c r="N368" s="475">
        <v>1</v>
      </c>
      <c r="O368" s="391"/>
      <c r="P368" s="496">
        <f t="shared" si="57"/>
        <v>0</v>
      </c>
      <c r="Q368" s="445" t="s">
        <v>52</v>
      </c>
      <c r="R368" s="391"/>
      <c r="S368" s="362">
        <f t="shared" si="52"/>
        <v>0</v>
      </c>
      <c r="T368" s="368"/>
      <c r="U368" s="368"/>
      <c r="V368" s="368"/>
      <c r="W368" s="368"/>
      <c r="X368" s="364">
        <f t="shared" si="50"/>
        <v>0</v>
      </c>
      <c r="Y368" s="393"/>
      <c r="Z368" s="498">
        <f t="shared" si="48"/>
        <v>0</v>
      </c>
      <c r="AA368" s="368"/>
      <c r="AB368" s="368"/>
      <c r="AC368" s="368"/>
      <c r="AD368" s="368"/>
      <c r="AE368" s="365">
        <f t="shared" si="49"/>
        <v>0</v>
      </c>
      <c r="AF368" s="262"/>
      <c r="AG368" s="457"/>
      <c r="AH368" s="264"/>
    </row>
    <row r="369" spans="1:34" ht="15.75" thickBot="1" x14ac:dyDescent="0.3">
      <c r="A369" s="458"/>
      <c r="B369" s="447" t="s">
        <v>313</v>
      </c>
      <c r="C369" s="580"/>
      <c r="D369" s="449" t="s">
        <v>261</v>
      </c>
      <c r="E369" s="262"/>
      <c r="F369" s="447" t="s">
        <v>954</v>
      </c>
      <c r="G369" s="387" t="e">
        <f>VLOOKUP(A369,'Feature Summary'!$A$7:$C$3944,3,FALSE)</f>
        <v>#N/A</v>
      </c>
      <c r="H369" s="447" t="s">
        <v>957</v>
      </c>
      <c r="I369" s="447"/>
      <c r="J369" s="448" t="s">
        <v>297</v>
      </c>
      <c r="K369" s="263"/>
      <c r="L369" s="391"/>
      <c r="M369" s="399" t="s">
        <v>33</v>
      </c>
      <c r="N369" s="475">
        <v>1</v>
      </c>
      <c r="O369" s="391"/>
      <c r="P369" s="496">
        <f t="shared" si="57"/>
        <v>0</v>
      </c>
      <c r="Q369" s="445" t="s">
        <v>52</v>
      </c>
      <c r="R369" s="391"/>
      <c r="S369" s="362">
        <f t="shared" si="52"/>
        <v>0</v>
      </c>
      <c r="T369" s="368"/>
      <c r="U369" s="368"/>
      <c r="V369" s="368"/>
      <c r="W369" s="368"/>
      <c r="X369" s="364">
        <f t="shared" si="50"/>
        <v>0</v>
      </c>
      <c r="Y369" s="393"/>
      <c r="Z369" s="498">
        <f t="shared" si="48"/>
        <v>0</v>
      </c>
      <c r="AA369" s="368"/>
      <c r="AB369" s="368"/>
      <c r="AC369" s="368"/>
      <c r="AD369" s="368"/>
      <c r="AE369" s="365">
        <f t="shared" si="49"/>
        <v>0</v>
      </c>
      <c r="AF369" s="262"/>
      <c r="AG369" s="457"/>
      <c r="AH369" s="264"/>
    </row>
    <row r="370" spans="1:34" ht="15.75" thickBot="1" x14ac:dyDescent="0.3">
      <c r="A370" s="458" t="s">
        <v>544</v>
      </c>
      <c r="B370" s="447" t="s">
        <v>313</v>
      </c>
      <c r="C370" s="580" t="s">
        <v>651</v>
      </c>
      <c r="D370" s="449" t="s">
        <v>261</v>
      </c>
      <c r="E370" s="262"/>
      <c r="F370" s="447" t="s">
        <v>958</v>
      </c>
      <c r="G370" s="387" t="str">
        <f>VLOOKUP(A370,'Feature Summary'!$A$7:$C$3944,3,FALSE)</f>
        <v>P2</v>
      </c>
      <c r="H370" s="447" t="s">
        <v>959</v>
      </c>
      <c r="I370" s="488" t="s">
        <v>264</v>
      </c>
      <c r="J370" s="448" t="s">
        <v>281</v>
      </c>
      <c r="K370" s="263">
        <v>1</v>
      </c>
      <c r="L370" s="391">
        <v>1</v>
      </c>
      <c r="M370" s="399" t="s">
        <v>33</v>
      </c>
      <c r="N370" s="475">
        <v>1</v>
      </c>
      <c r="O370" s="391">
        <v>1</v>
      </c>
      <c r="P370" s="496">
        <f>IF((O370=0),0,(O370/L370))</f>
        <v>1</v>
      </c>
      <c r="Q370" s="445" t="s">
        <v>52</v>
      </c>
      <c r="R370" s="391">
        <v>1</v>
      </c>
      <c r="S370" s="362">
        <f t="shared" si="52"/>
        <v>1</v>
      </c>
      <c r="T370" s="368">
        <v>1</v>
      </c>
      <c r="U370" s="368"/>
      <c r="V370" s="368"/>
      <c r="W370" s="368"/>
      <c r="X370" s="364">
        <f t="shared" si="50"/>
        <v>1</v>
      </c>
      <c r="Y370" s="393"/>
      <c r="Z370" s="498">
        <f t="shared" si="48"/>
        <v>0</v>
      </c>
      <c r="AA370" s="368"/>
      <c r="AB370" s="368"/>
      <c r="AC370" s="368"/>
      <c r="AD370" s="368"/>
      <c r="AE370" s="365">
        <f t="shared" si="49"/>
        <v>0</v>
      </c>
      <c r="AF370" s="262"/>
      <c r="AG370" s="457"/>
      <c r="AH370" s="264"/>
    </row>
    <row r="371" spans="1:34" ht="15.75" thickBot="1" x14ac:dyDescent="0.3">
      <c r="A371" s="458"/>
      <c r="B371" s="447" t="s">
        <v>313</v>
      </c>
      <c r="C371" s="580"/>
      <c r="D371" s="449" t="s">
        <v>261</v>
      </c>
      <c r="E371" s="262"/>
      <c r="F371" s="447" t="s">
        <v>958</v>
      </c>
      <c r="G371" s="387" t="e">
        <f>VLOOKUP(A371,'Feature Summary'!$A$7:$C$3944,3,FALSE)</f>
        <v>#N/A</v>
      </c>
      <c r="H371" s="447" t="s">
        <v>960</v>
      </c>
      <c r="I371" s="447"/>
      <c r="J371" s="448" t="s">
        <v>297</v>
      </c>
      <c r="K371" s="263"/>
      <c r="L371" s="391"/>
      <c r="M371" s="399" t="s">
        <v>33</v>
      </c>
      <c r="N371" s="475">
        <v>1</v>
      </c>
      <c r="O371" s="391"/>
      <c r="P371" s="496">
        <f t="shared" ref="P371:P448" si="58">IF((O371=0),0,(O371/L371))</f>
        <v>0</v>
      </c>
      <c r="Q371" s="445" t="s">
        <v>52</v>
      </c>
      <c r="R371" s="391"/>
      <c r="S371" s="362">
        <f t="shared" si="52"/>
        <v>0</v>
      </c>
      <c r="T371" s="368"/>
      <c r="U371" s="368"/>
      <c r="V371" s="368"/>
      <c r="W371" s="368"/>
      <c r="X371" s="364">
        <f t="shared" si="50"/>
        <v>0</v>
      </c>
      <c r="Y371" s="393"/>
      <c r="Z371" s="498">
        <f t="shared" si="48"/>
        <v>0</v>
      </c>
      <c r="AA371" s="368"/>
      <c r="AB371" s="368"/>
      <c r="AC371" s="368"/>
      <c r="AD371" s="368"/>
      <c r="AE371" s="365">
        <f t="shared" si="49"/>
        <v>0</v>
      </c>
      <c r="AF371" s="262"/>
      <c r="AG371" s="457"/>
      <c r="AH371" s="264"/>
    </row>
    <row r="372" spans="1:34" ht="15.75" thickBot="1" x14ac:dyDescent="0.3">
      <c r="A372" s="458" t="s">
        <v>544</v>
      </c>
      <c r="B372" s="447" t="s">
        <v>313</v>
      </c>
      <c r="C372" s="580" t="s">
        <v>651</v>
      </c>
      <c r="D372" s="449" t="s">
        <v>261</v>
      </c>
      <c r="E372" s="262"/>
      <c r="F372" s="447" t="s">
        <v>961</v>
      </c>
      <c r="G372" s="387" t="str">
        <f>VLOOKUP(A372,'Feature Summary'!$A$7:$C$3944,3,FALSE)</f>
        <v>P2</v>
      </c>
      <c r="H372" s="447" t="s">
        <v>962</v>
      </c>
      <c r="I372" s="488" t="s">
        <v>264</v>
      </c>
      <c r="J372" s="448" t="s">
        <v>281</v>
      </c>
      <c r="K372" s="263">
        <v>1</v>
      </c>
      <c r="L372" s="391">
        <v>1</v>
      </c>
      <c r="M372" s="399" t="s">
        <v>33</v>
      </c>
      <c r="N372" s="475">
        <v>1</v>
      </c>
      <c r="O372" s="391">
        <v>1</v>
      </c>
      <c r="P372" s="496">
        <f t="shared" si="58"/>
        <v>1</v>
      </c>
      <c r="Q372" s="445" t="s">
        <v>52</v>
      </c>
      <c r="R372" s="391">
        <v>1</v>
      </c>
      <c r="S372" s="362">
        <f t="shared" si="52"/>
        <v>1</v>
      </c>
      <c r="T372" s="368">
        <v>1</v>
      </c>
      <c r="U372" s="368"/>
      <c r="V372" s="368"/>
      <c r="W372" s="368"/>
      <c r="X372" s="364">
        <f t="shared" si="50"/>
        <v>1</v>
      </c>
      <c r="Y372" s="393"/>
      <c r="Z372" s="498">
        <f t="shared" si="48"/>
        <v>0</v>
      </c>
      <c r="AA372" s="368"/>
      <c r="AB372" s="368"/>
      <c r="AC372" s="368"/>
      <c r="AD372" s="368"/>
      <c r="AE372" s="365">
        <f t="shared" si="49"/>
        <v>0</v>
      </c>
      <c r="AF372" s="262"/>
      <c r="AG372" s="457"/>
      <c r="AH372" s="264"/>
    </row>
    <row r="373" spans="1:34" ht="30.75" thickBot="1" x14ac:dyDescent="0.3">
      <c r="A373" s="458"/>
      <c r="B373" s="447" t="s">
        <v>313</v>
      </c>
      <c r="C373" s="580"/>
      <c r="D373" s="449" t="s">
        <v>261</v>
      </c>
      <c r="E373" s="262"/>
      <c r="F373" s="447" t="s">
        <v>961</v>
      </c>
      <c r="G373" s="387" t="e">
        <f>VLOOKUP(A373,'Feature Summary'!$A$7:$C$3944,3,FALSE)</f>
        <v>#N/A</v>
      </c>
      <c r="H373" s="447" t="s">
        <v>963</v>
      </c>
      <c r="I373" s="447"/>
      <c r="J373" s="448" t="s">
        <v>328</v>
      </c>
      <c r="K373" s="263"/>
      <c r="L373" s="391"/>
      <c r="M373" s="399" t="s">
        <v>33</v>
      </c>
      <c r="N373" s="475">
        <v>1</v>
      </c>
      <c r="O373" s="391"/>
      <c r="P373" s="496">
        <f t="shared" si="58"/>
        <v>0</v>
      </c>
      <c r="Q373" s="445" t="s">
        <v>52</v>
      </c>
      <c r="R373" s="391"/>
      <c r="S373" s="362">
        <f t="shared" si="52"/>
        <v>0</v>
      </c>
      <c r="T373" s="368"/>
      <c r="U373" s="368"/>
      <c r="V373" s="368"/>
      <c r="W373" s="368"/>
      <c r="X373" s="364">
        <f t="shared" si="50"/>
        <v>0</v>
      </c>
      <c r="Y373" s="393"/>
      <c r="Z373" s="498">
        <f t="shared" si="48"/>
        <v>0</v>
      </c>
      <c r="AA373" s="368"/>
      <c r="AB373" s="368"/>
      <c r="AC373" s="368"/>
      <c r="AD373" s="368"/>
      <c r="AE373" s="365">
        <f t="shared" si="49"/>
        <v>0</v>
      </c>
      <c r="AF373" s="262"/>
      <c r="AG373" s="457"/>
      <c r="AH373" s="264"/>
    </row>
    <row r="374" spans="1:34" ht="15.75" thickBot="1" x14ac:dyDescent="0.3">
      <c r="A374" s="458"/>
      <c r="B374" s="447" t="s">
        <v>313</v>
      </c>
      <c r="C374" s="580"/>
      <c r="D374" s="449" t="s">
        <v>261</v>
      </c>
      <c r="E374" s="262"/>
      <c r="F374" s="447" t="s">
        <v>961</v>
      </c>
      <c r="G374" s="387" t="e">
        <f>VLOOKUP(A374,'Feature Summary'!$A$7:$C$3944,3,FALSE)</f>
        <v>#N/A</v>
      </c>
      <c r="H374" s="447" t="s">
        <v>964</v>
      </c>
      <c r="I374" s="447"/>
      <c r="J374" s="448" t="s">
        <v>297</v>
      </c>
      <c r="K374" s="263"/>
      <c r="L374" s="391"/>
      <c r="M374" s="399" t="s">
        <v>33</v>
      </c>
      <c r="N374" s="475">
        <v>1</v>
      </c>
      <c r="O374" s="391"/>
      <c r="P374" s="496">
        <f t="shared" si="58"/>
        <v>0</v>
      </c>
      <c r="Q374" s="445" t="s">
        <v>52</v>
      </c>
      <c r="R374" s="391"/>
      <c r="S374" s="362">
        <f t="shared" si="52"/>
        <v>0</v>
      </c>
      <c r="T374" s="368"/>
      <c r="U374" s="368"/>
      <c r="V374" s="368"/>
      <c r="W374" s="368"/>
      <c r="X374" s="364">
        <f t="shared" si="50"/>
        <v>0</v>
      </c>
      <c r="Y374" s="393"/>
      <c r="Z374" s="498">
        <f t="shared" si="48"/>
        <v>0</v>
      </c>
      <c r="AA374" s="368"/>
      <c r="AB374" s="368"/>
      <c r="AC374" s="368"/>
      <c r="AD374" s="368"/>
      <c r="AE374" s="365">
        <f t="shared" si="49"/>
        <v>0</v>
      </c>
      <c r="AF374" s="262"/>
      <c r="AG374" s="457"/>
      <c r="AH374" s="264"/>
    </row>
    <row r="375" spans="1:34" ht="15.75" thickBot="1" x14ac:dyDescent="0.3">
      <c r="A375" s="458" t="s">
        <v>544</v>
      </c>
      <c r="B375" s="447" t="s">
        <v>313</v>
      </c>
      <c r="C375" s="580" t="s">
        <v>651</v>
      </c>
      <c r="D375" s="449" t="s">
        <v>261</v>
      </c>
      <c r="E375" s="262"/>
      <c r="F375" s="447" t="s">
        <v>965</v>
      </c>
      <c r="G375" s="387" t="str">
        <f>VLOOKUP(A375,'Feature Summary'!$A$7:$C$3944,3,FALSE)</f>
        <v>P2</v>
      </c>
      <c r="H375" s="447" t="s">
        <v>966</v>
      </c>
      <c r="I375" s="488" t="s">
        <v>264</v>
      </c>
      <c r="J375" s="448" t="s">
        <v>281</v>
      </c>
      <c r="K375" s="263">
        <v>1</v>
      </c>
      <c r="L375" s="391">
        <v>2</v>
      </c>
      <c r="M375" s="399" t="s">
        <v>33</v>
      </c>
      <c r="N375" s="475">
        <v>1</v>
      </c>
      <c r="O375" s="391">
        <v>2</v>
      </c>
      <c r="P375" s="496">
        <f t="shared" si="58"/>
        <v>1</v>
      </c>
      <c r="Q375" s="445" t="s">
        <v>52</v>
      </c>
      <c r="R375" s="391">
        <v>2</v>
      </c>
      <c r="S375" s="362">
        <f t="shared" si="52"/>
        <v>2</v>
      </c>
      <c r="T375" s="368">
        <v>2</v>
      </c>
      <c r="U375" s="368"/>
      <c r="V375" s="368"/>
      <c r="W375" s="368"/>
      <c r="X375" s="364">
        <f t="shared" si="50"/>
        <v>1</v>
      </c>
      <c r="Y375" s="393"/>
      <c r="Z375" s="498">
        <f t="shared" si="48"/>
        <v>0</v>
      </c>
      <c r="AA375" s="368"/>
      <c r="AB375" s="368"/>
      <c r="AC375" s="368"/>
      <c r="AD375" s="368"/>
      <c r="AE375" s="365">
        <f t="shared" si="49"/>
        <v>0</v>
      </c>
      <c r="AF375" s="262"/>
      <c r="AG375" s="457"/>
      <c r="AH375" s="264"/>
    </row>
    <row r="376" spans="1:34" ht="30.75" thickBot="1" x14ac:dyDescent="0.3">
      <c r="A376" s="458"/>
      <c r="B376" s="447" t="s">
        <v>313</v>
      </c>
      <c r="C376" s="580"/>
      <c r="D376" s="449" t="s">
        <v>261</v>
      </c>
      <c r="E376" s="262"/>
      <c r="F376" s="447" t="s">
        <v>965</v>
      </c>
      <c r="G376" s="387" t="e">
        <f>VLOOKUP(A376,'Feature Summary'!$A$7:$C$3944,3,FALSE)</f>
        <v>#N/A</v>
      </c>
      <c r="H376" s="447" t="s">
        <v>967</v>
      </c>
      <c r="I376" s="447"/>
      <c r="J376" s="448" t="s">
        <v>328</v>
      </c>
      <c r="K376" s="263"/>
      <c r="L376" s="391"/>
      <c r="M376" s="399" t="s">
        <v>33</v>
      </c>
      <c r="N376" s="475">
        <v>1</v>
      </c>
      <c r="O376" s="391"/>
      <c r="P376" s="496">
        <f t="shared" si="58"/>
        <v>0</v>
      </c>
      <c r="Q376" s="445" t="s">
        <v>52</v>
      </c>
      <c r="R376" s="391"/>
      <c r="S376" s="362">
        <f t="shared" si="52"/>
        <v>0</v>
      </c>
      <c r="T376" s="368"/>
      <c r="U376" s="368"/>
      <c r="V376" s="368"/>
      <c r="W376" s="368"/>
      <c r="X376" s="364">
        <f t="shared" si="50"/>
        <v>0</v>
      </c>
      <c r="Y376" s="393"/>
      <c r="Z376" s="498">
        <f t="shared" si="48"/>
        <v>0</v>
      </c>
      <c r="AA376" s="368"/>
      <c r="AB376" s="368"/>
      <c r="AC376" s="368"/>
      <c r="AD376" s="368"/>
      <c r="AE376" s="365">
        <f t="shared" si="49"/>
        <v>0</v>
      </c>
      <c r="AF376" s="262"/>
      <c r="AG376" s="457"/>
      <c r="AH376" s="264"/>
    </row>
    <row r="377" spans="1:34" ht="15.75" thickBot="1" x14ac:dyDescent="0.3">
      <c r="A377" s="458"/>
      <c r="B377" s="447" t="s">
        <v>313</v>
      </c>
      <c r="C377" s="580"/>
      <c r="D377" s="449" t="s">
        <v>261</v>
      </c>
      <c r="E377" s="262"/>
      <c r="F377" s="447" t="s">
        <v>965</v>
      </c>
      <c r="G377" s="387" t="e">
        <f>VLOOKUP(A377,'Feature Summary'!$A$7:$C$3944,3,FALSE)</f>
        <v>#N/A</v>
      </c>
      <c r="H377" s="447" t="s">
        <v>968</v>
      </c>
      <c r="I377" s="447"/>
      <c r="J377" s="448" t="s">
        <v>297</v>
      </c>
      <c r="K377" s="263"/>
      <c r="L377" s="391"/>
      <c r="M377" s="399" t="s">
        <v>33</v>
      </c>
      <c r="N377" s="475">
        <v>1</v>
      </c>
      <c r="O377" s="391"/>
      <c r="P377" s="496">
        <f t="shared" si="58"/>
        <v>0</v>
      </c>
      <c r="Q377" s="445" t="s">
        <v>52</v>
      </c>
      <c r="R377" s="391"/>
      <c r="S377" s="362">
        <f t="shared" si="52"/>
        <v>0</v>
      </c>
      <c r="T377" s="368"/>
      <c r="U377" s="368"/>
      <c r="V377" s="368"/>
      <c r="W377" s="368"/>
      <c r="X377" s="364">
        <f t="shared" si="50"/>
        <v>0</v>
      </c>
      <c r="Y377" s="393"/>
      <c r="Z377" s="498">
        <f t="shared" si="48"/>
        <v>0</v>
      </c>
      <c r="AA377" s="368"/>
      <c r="AB377" s="368"/>
      <c r="AC377" s="368"/>
      <c r="AD377" s="368"/>
      <c r="AE377" s="365">
        <f t="shared" si="49"/>
        <v>0</v>
      </c>
      <c r="AF377" s="262"/>
      <c r="AG377" s="457"/>
      <c r="AH377" s="264"/>
    </row>
    <row r="378" spans="1:34" ht="15.75" thickBot="1" x14ac:dyDescent="0.3">
      <c r="A378" s="458" t="s">
        <v>544</v>
      </c>
      <c r="B378" s="447" t="s">
        <v>313</v>
      </c>
      <c r="C378" s="580" t="s">
        <v>651</v>
      </c>
      <c r="D378" s="449" t="s">
        <v>261</v>
      </c>
      <c r="E378" s="262"/>
      <c r="F378" s="447" t="s">
        <v>969</v>
      </c>
      <c r="G378" s="387" t="str">
        <f>VLOOKUP(A378,'Feature Summary'!$A$7:$C$3944,3,FALSE)</f>
        <v>P2</v>
      </c>
      <c r="H378" s="447" t="s">
        <v>970</v>
      </c>
      <c r="I378" s="488" t="s">
        <v>264</v>
      </c>
      <c r="J378" s="448" t="s">
        <v>281</v>
      </c>
      <c r="K378" s="263">
        <v>1</v>
      </c>
      <c r="L378" s="391">
        <v>1</v>
      </c>
      <c r="M378" s="399" t="s">
        <v>33</v>
      </c>
      <c r="N378" s="475">
        <v>1</v>
      </c>
      <c r="O378" s="391">
        <v>1</v>
      </c>
      <c r="P378" s="496">
        <f t="shared" si="58"/>
        <v>1</v>
      </c>
      <c r="Q378" s="445" t="s">
        <v>52</v>
      </c>
      <c r="R378" s="391">
        <v>1</v>
      </c>
      <c r="S378" s="362">
        <f t="shared" si="52"/>
        <v>1</v>
      </c>
      <c r="T378" s="368">
        <v>1</v>
      </c>
      <c r="U378" s="368"/>
      <c r="V378" s="368"/>
      <c r="W378" s="368"/>
      <c r="X378" s="364">
        <f t="shared" si="50"/>
        <v>1</v>
      </c>
      <c r="Y378" s="393"/>
      <c r="Z378" s="498">
        <f t="shared" si="48"/>
        <v>0</v>
      </c>
      <c r="AA378" s="368"/>
      <c r="AB378" s="368"/>
      <c r="AC378" s="368"/>
      <c r="AD378" s="368"/>
      <c r="AE378" s="365">
        <f t="shared" si="49"/>
        <v>0</v>
      </c>
      <c r="AF378" s="262"/>
      <c r="AG378" s="457"/>
      <c r="AH378" s="264"/>
    </row>
    <row r="379" spans="1:34" ht="30.75" thickBot="1" x14ac:dyDescent="0.3">
      <c r="A379" s="458"/>
      <c r="B379" s="447" t="s">
        <v>313</v>
      </c>
      <c r="C379" s="580"/>
      <c r="D379" s="449" t="s">
        <v>261</v>
      </c>
      <c r="E379" s="262"/>
      <c r="F379" s="447" t="s">
        <v>969</v>
      </c>
      <c r="G379" s="387" t="e">
        <f>VLOOKUP(A379,'Feature Summary'!$A$7:$C$3944,3,FALSE)</f>
        <v>#N/A</v>
      </c>
      <c r="H379" s="447" t="s">
        <v>971</v>
      </c>
      <c r="I379" s="447"/>
      <c r="J379" s="448" t="s">
        <v>328</v>
      </c>
      <c r="K379" s="263"/>
      <c r="L379" s="391"/>
      <c r="M379" s="399" t="s">
        <v>33</v>
      </c>
      <c r="N379" s="475">
        <v>1</v>
      </c>
      <c r="O379" s="391"/>
      <c r="P379" s="496">
        <f t="shared" si="58"/>
        <v>0</v>
      </c>
      <c r="Q379" s="445" t="s">
        <v>52</v>
      </c>
      <c r="R379" s="391"/>
      <c r="S379" s="362">
        <f t="shared" si="52"/>
        <v>0</v>
      </c>
      <c r="T379" s="368"/>
      <c r="U379" s="368"/>
      <c r="V379" s="368"/>
      <c r="W379" s="368"/>
      <c r="X379" s="364">
        <f t="shared" si="50"/>
        <v>0</v>
      </c>
      <c r="Y379" s="393"/>
      <c r="Z379" s="498">
        <f t="shared" si="48"/>
        <v>0</v>
      </c>
      <c r="AA379" s="368"/>
      <c r="AB379" s="368"/>
      <c r="AC379" s="368"/>
      <c r="AD379" s="368"/>
      <c r="AE379" s="365">
        <f t="shared" si="49"/>
        <v>0</v>
      </c>
      <c r="AF379" s="262"/>
      <c r="AG379" s="457"/>
      <c r="AH379" s="264"/>
    </row>
    <row r="380" spans="1:34" ht="15.75" thickBot="1" x14ac:dyDescent="0.3">
      <c r="A380" s="458"/>
      <c r="B380" s="447" t="s">
        <v>313</v>
      </c>
      <c r="C380" s="580"/>
      <c r="D380" s="449" t="s">
        <v>261</v>
      </c>
      <c r="E380" s="262"/>
      <c r="F380" s="447" t="s">
        <v>969</v>
      </c>
      <c r="G380" s="387" t="e">
        <f>VLOOKUP(A380,'Feature Summary'!$A$7:$C$3944,3,FALSE)</f>
        <v>#N/A</v>
      </c>
      <c r="H380" s="447" t="s">
        <v>972</v>
      </c>
      <c r="I380" s="447"/>
      <c r="J380" s="448" t="s">
        <v>297</v>
      </c>
      <c r="K380" s="263"/>
      <c r="L380" s="391"/>
      <c r="M380" s="399" t="s">
        <v>33</v>
      </c>
      <c r="N380" s="475">
        <v>1</v>
      </c>
      <c r="O380" s="391"/>
      <c r="P380" s="496">
        <f t="shared" si="58"/>
        <v>0</v>
      </c>
      <c r="Q380" s="445" t="s">
        <v>52</v>
      </c>
      <c r="R380" s="391"/>
      <c r="S380" s="362">
        <f t="shared" si="52"/>
        <v>0</v>
      </c>
      <c r="T380" s="368"/>
      <c r="U380" s="368"/>
      <c r="V380" s="368"/>
      <c r="W380" s="368"/>
      <c r="X380" s="364">
        <f t="shared" si="50"/>
        <v>0</v>
      </c>
      <c r="Y380" s="393"/>
      <c r="Z380" s="498">
        <f t="shared" si="48"/>
        <v>0</v>
      </c>
      <c r="AA380" s="368"/>
      <c r="AB380" s="368"/>
      <c r="AC380" s="368"/>
      <c r="AD380" s="368"/>
      <c r="AE380" s="365">
        <f t="shared" si="49"/>
        <v>0</v>
      </c>
      <c r="AF380" s="262"/>
      <c r="AG380" s="457"/>
      <c r="AH380" s="264"/>
    </row>
    <row r="381" spans="1:34" ht="30.75" thickBot="1" x14ac:dyDescent="0.3">
      <c r="A381" s="474" t="s">
        <v>973</v>
      </c>
      <c r="B381" s="447" t="s">
        <v>313</v>
      </c>
      <c r="C381" s="580" t="s">
        <v>651</v>
      </c>
      <c r="D381" s="449" t="s">
        <v>261</v>
      </c>
      <c r="E381" s="262"/>
      <c r="F381" s="447" t="s">
        <v>974</v>
      </c>
      <c r="G381" s="387" t="e">
        <f>VLOOKUP(A381,'Feature Summary'!$A$7:$C$3944,3,FALSE)</f>
        <v>#N/A</v>
      </c>
      <c r="H381" s="447" t="s">
        <v>975</v>
      </c>
      <c r="I381" s="488" t="s">
        <v>264</v>
      </c>
      <c r="J381" s="448" t="s">
        <v>281</v>
      </c>
      <c r="K381" s="263">
        <v>1</v>
      </c>
      <c r="L381" s="391">
        <v>2</v>
      </c>
      <c r="M381" s="399" t="s">
        <v>33</v>
      </c>
      <c r="N381" s="475">
        <v>1</v>
      </c>
      <c r="O381" s="391">
        <v>2</v>
      </c>
      <c r="P381" s="496">
        <f t="shared" si="58"/>
        <v>1</v>
      </c>
      <c r="Q381" s="445" t="s">
        <v>52</v>
      </c>
      <c r="R381" s="391">
        <v>2</v>
      </c>
      <c r="S381" s="362">
        <f t="shared" si="52"/>
        <v>2</v>
      </c>
      <c r="T381" s="368">
        <v>2</v>
      </c>
      <c r="U381" s="368"/>
      <c r="V381" s="368"/>
      <c r="W381" s="368"/>
      <c r="X381" s="364">
        <f t="shared" si="50"/>
        <v>1</v>
      </c>
      <c r="Y381" s="393"/>
      <c r="Z381" s="498">
        <f t="shared" si="48"/>
        <v>0</v>
      </c>
      <c r="AA381" s="368"/>
      <c r="AB381" s="368"/>
      <c r="AC381" s="368"/>
      <c r="AD381" s="368"/>
      <c r="AE381" s="365">
        <f t="shared" si="49"/>
        <v>0</v>
      </c>
      <c r="AF381" s="262"/>
      <c r="AG381" s="457"/>
      <c r="AH381" s="264"/>
    </row>
    <row r="382" spans="1:34" ht="30.75" thickBot="1" x14ac:dyDescent="0.3">
      <c r="A382" s="458"/>
      <c r="B382" s="447" t="s">
        <v>313</v>
      </c>
      <c r="C382" s="580"/>
      <c r="D382" s="449" t="s">
        <v>261</v>
      </c>
      <c r="E382" s="262"/>
      <c r="F382" s="447" t="s">
        <v>974</v>
      </c>
      <c r="G382" s="387" t="e">
        <f>VLOOKUP(A382,'Feature Summary'!$A$7:$C$3944,3,FALSE)</f>
        <v>#N/A</v>
      </c>
      <c r="H382" s="447" t="s">
        <v>976</v>
      </c>
      <c r="I382" s="447"/>
      <c r="J382" s="448" t="s">
        <v>328</v>
      </c>
      <c r="K382" s="263"/>
      <c r="L382" s="391"/>
      <c r="M382" s="399" t="s">
        <v>33</v>
      </c>
      <c r="N382" s="475">
        <v>1</v>
      </c>
      <c r="O382" s="391"/>
      <c r="P382" s="496">
        <f t="shared" si="58"/>
        <v>0</v>
      </c>
      <c r="Q382" s="445" t="s">
        <v>52</v>
      </c>
      <c r="R382" s="391"/>
      <c r="S382" s="362">
        <f t="shared" si="52"/>
        <v>0</v>
      </c>
      <c r="T382" s="368"/>
      <c r="U382" s="368"/>
      <c r="V382" s="368"/>
      <c r="W382" s="368"/>
      <c r="X382" s="364">
        <f t="shared" si="50"/>
        <v>0</v>
      </c>
      <c r="Y382" s="393"/>
      <c r="Z382" s="498">
        <f t="shared" si="48"/>
        <v>0</v>
      </c>
      <c r="AA382" s="368"/>
      <c r="AB382" s="368"/>
      <c r="AC382" s="368"/>
      <c r="AD382" s="368"/>
      <c r="AE382" s="365">
        <f t="shared" si="49"/>
        <v>0</v>
      </c>
      <c r="AF382" s="262"/>
      <c r="AG382" s="457"/>
      <c r="AH382" s="264"/>
    </row>
    <row r="383" spans="1:34" ht="15.75" thickBot="1" x14ac:dyDescent="0.3">
      <c r="A383" s="458"/>
      <c r="B383" s="447" t="s">
        <v>313</v>
      </c>
      <c r="C383" s="580"/>
      <c r="D383" s="449" t="s">
        <v>261</v>
      </c>
      <c r="E383" s="262"/>
      <c r="F383" s="447" t="s">
        <v>974</v>
      </c>
      <c r="G383" s="387" t="e">
        <f>VLOOKUP(A383,'Feature Summary'!$A$7:$C$3944,3,FALSE)</f>
        <v>#N/A</v>
      </c>
      <c r="H383" s="447" t="s">
        <v>977</v>
      </c>
      <c r="I383" s="447"/>
      <c r="J383" s="448" t="s">
        <v>297</v>
      </c>
      <c r="K383" s="263"/>
      <c r="L383" s="391"/>
      <c r="M383" s="399" t="s">
        <v>33</v>
      </c>
      <c r="N383" s="475">
        <v>1</v>
      </c>
      <c r="O383" s="391"/>
      <c r="P383" s="496">
        <f t="shared" si="58"/>
        <v>0</v>
      </c>
      <c r="Q383" s="445" t="s">
        <v>52</v>
      </c>
      <c r="R383" s="391"/>
      <c r="S383" s="362">
        <f t="shared" si="52"/>
        <v>0</v>
      </c>
      <c r="T383" s="368"/>
      <c r="U383" s="368"/>
      <c r="V383" s="368"/>
      <c r="W383" s="368"/>
      <c r="X383" s="364">
        <f t="shared" si="50"/>
        <v>0</v>
      </c>
      <c r="Y383" s="393"/>
      <c r="Z383" s="498">
        <f t="shared" si="48"/>
        <v>0</v>
      </c>
      <c r="AA383" s="368"/>
      <c r="AB383" s="368"/>
      <c r="AC383" s="368"/>
      <c r="AD383" s="368"/>
      <c r="AE383" s="365">
        <f t="shared" si="49"/>
        <v>0</v>
      </c>
      <c r="AF383" s="262"/>
      <c r="AG383" s="457"/>
      <c r="AH383" s="264"/>
    </row>
    <row r="384" spans="1:34" ht="30.75" thickBot="1" x14ac:dyDescent="0.3">
      <c r="A384" s="474" t="s">
        <v>544</v>
      </c>
      <c r="B384" s="447" t="s">
        <v>306</v>
      </c>
      <c r="C384" s="580" t="s">
        <v>651</v>
      </c>
      <c r="D384" s="449" t="s">
        <v>261</v>
      </c>
      <c r="E384" s="262"/>
      <c r="F384" s="447" t="s">
        <v>978</v>
      </c>
      <c r="G384" s="387" t="str">
        <f>VLOOKUP(A384,'Feature Summary'!$A$7:$C$3944,3,FALSE)</f>
        <v>P2</v>
      </c>
      <c r="H384" s="447" t="s">
        <v>979</v>
      </c>
      <c r="I384" s="488" t="s">
        <v>264</v>
      </c>
      <c r="J384" s="448" t="s">
        <v>281</v>
      </c>
      <c r="K384" s="263">
        <v>1</v>
      </c>
      <c r="L384" s="391">
        <v>1</v>
      </c>
      <c r="M384" s="399" t="s">
        <v>33</v>
      </c>
      <c r="N384" s="475">
        <v>1</v>
      </c>
      <c r="O384" s="391">
        <v>1</v>
      </c>
      <c r="P384" s="496">
        <f t="shared" si="58"/>
        <v>1</v>
      </c>
      <c r="Q384" s="445" t="s">
        <v>52</v>
      </c>
      <c r="R384" s="391">
        <v>1</v>
      </c>
      <c r="S384" s="362">
        <f t="shared" si="52"/>
        <v>1</v>
      </c>
      <c r="T384" s="368">
        <v>1</v>
      </c>
      <c r="U384" s="368"/>
      <c r="V384" s="368"/>
      <c r="W384" s="368"/>
      <c r="X384" s="364">
        <f t="shared" si="50"/>
        <v>1</v>
      </c>
      <c r="Y384" s="393"/>
      <c r="Z384" s="498">
        <f t="shared" si="48"/>
        <v>0</v>
      </c>
      <c r="AA384" s="368"/>
      <c r="AB384" s="368"/>
      <c r="AC384" s="368"/>
      <c r="AD384" s="368"/>
      <c r="AE384" s="365">
        <f t="shared" si="49"/>
        <v>0</v>
      </c>
      <c r="AF384" s="262"/>
      <c r="AG384" s="457"/>
      <c r="AH384" s="264"/>
    </row>
    <row r="385" spans="1:34" ht="30.75" thickBot="1" x14ac:dyDescent="0.3">
      <c r="A385" s="474"/>
      <c r="B385" s="447" t="s">
        <v>306</v>
      </c>
      <c r="C385" s="580"/>
      <c r="D385" s="449" t="s">
        <v>261</v>
      </c>
      <c r="E385" s="262"/>
      <c r="F385" s="447" t="s">
        <v>978</v>
      </c>
      <c r="G385" s="387" t="e">
        <f>VLOOKUP(A385,'Feature Summary'!$A$7:$C$3944,3,FALSE)</f>
        <v>#N/A</v>
      </c>
      <c r="H385" s="447" t="s">
        <v>980</v>
      </c>
      <c r="I385" s="447"/>
      <c r="J385" s="448" t="s">
        <v>328</v>
      </c>
      <c r="K385" s="263"/>
      <c r="L385" s="391"/>
      <c r="M385" s="399" t="s">
        <v>33</v>
      </c>
      <c r="N385" s="475">
        <v>1</v>
      </c>
      <c r="O385" s="391"/>
      <c r="P385" s="496">
        <f t="shared" si="58"/>
        <v>0</v>
      </c>
      <c r="Q385" s="445" t="s">
        <v>52</v>
      </c>
      <c r="R385" s="391"/>
      <c r="S385" s="362">
        <f t="shared" si="52"/>
        <v>0</v>
      </c>
      <c r="T385" s="368"/>
      <c r="U385" s="368"/>
      <c r="V385" s="368"/>
      <c r="W385" s="368"/>
      <c r="X385" s="364">
        <f t="shared" si="50"/>
        <v>0</v>
      </c>
      <c r="Y385" s="393"/>
      <c r="Z385" s="498">
        <f t="shared" si="48"/>
        <v>0</v>
      </c>
      <c r="AA385" s="368"/>
      <c r="AB385" s="368"/>
      <c r="AC385" s="368"/>
      <c r="AD385" s="368"/>
      <c r="AE385" s="365">
        <f t="shared" si="49"/>
        <v>0</v>
      </c>
      <c r="AF385" s="262"/>
      <c r="AG385" s="457"/>
      <c r="AH385" s="264"/>
    </row>
    <row r="386" spans="1:34" ht="30.75" thickBot="1" x14ac:dyDescent="0.3">
      <c r="A386" s="474"/>
      <c r="B386" s="447" t="s">
        <v>306</v>
      </c>
      <c r="C386" s="580"/>
      <c r="D386" s="449" t="s">
        <v>261</v>
      </c>
      <c r="E386" s="262"/>
      <c r="F386" s="447" t="s">
        <v>978</v>
      </c>
      <c r="G386" s="387" t="e">
        <f>VLOOKUP(A386,'Feature Summary'!$A$7:$C$3944,3,FALSE)</f>
        <v>#N/A</v>
      </c>
      <c r="H386" s="447" t="s">
        <v>981</v>
      </c>
      <c r="I386" s="447"/>
      <c r="J386" s="448" t="s">
        <v>297</v>
      </c>
      <c r="K386" s="263"/>
      <c r="L386" s="391"/>
      <c r="M386" s="399" t="s">
        <v>33</v>
      </c>
      <c r="N386" s="475">
        <v>1</v>
      </c>
      <c r="O386" s="391"/>
      <c r="P386" s="496">
        <f t="shared" si="58"/>
        <v>0</v>
      </c>
      <c r="Q386" s="445" t="s">
        <v>52</v>
      </c>
      <c r="R386" s="391"/>
      <c r="S386" s="362">
        <f t="shared" si="52"/>
        <v>0</v>
      </c>
      <c r="T386" s="368"/>
      <c r="U386" s="368"/>
      <c r="V386" s="368"/>
      <c r="W386" s="368"/>
      <c r="X386" s="364">
        <f t="shared" si="50"/>
        <v>0</v>
      </c>
      <c r="Y386" s="393"/>
      <c r="Z386" s="498">
        <f t="shared" si="48"/>
        <v>0</v>
      </c>
      <c r="AA386" s="368"/>
      <c r="AB386" s="368"/>
      <c r="AC386" s="368"/>
      <c r="AD386" s="368"/>
      <c r="AE386" s="365">
        <f t="shared" si="49"/>
        <v>0</v>
      </c>
      <c r="AF386" s="262"/>
      <c r="AG386" s="457"/>
      <c r="AH386" s="264"/>
    </row>
    <row r="387" spans="1:34" ht="30.75" thickBot="1" x14ac:dyDescent="0.3">
      <c r="A387" s="474" t="s">
        <v>544</v>
      </c>
      <c r="B387" s="447" t="s">
        <v>306</v>
      </c>
      <c r="C387" s="580" t="s">
        <v>651</v>
      </c>
      <c r="D387" s="449" t="s">
        <v>261</v>
      </c>
      <c r="E387" s="262"/>
      <c r="F387" s="447" t="s">
        <v>982</v>
      </c>
      <c r="G387" s="387" t="str">
        <f>VLOOKUP(A387,'Feature Summary'!$A$7:$C$3944,3,FALSE)</f>
        <v>P2</v>
      </c>
      <c r="H387" s="447" t="s">
        <v>983</v>
      </c>
      <c r="I387" s="488" t="s">
        <v>264</v>
      </c>
      <c r="J387" s="448" t="s">
        <v>281</v>
      </c>
      <c r="K387" s="263">
        <v>1</v>
      </c>
      <c r="L387" s="391">
        <v>1</v>
      </c>
      <c r="M387" s="399" t="s">
        <v>33</v>
      </c>
      <c r="N387" s="475">
        <v>1</v>
      </c>
      <c r="O387" s="391">
        <v>1</v>
      </c>
      <c r="P387" s="496">
        <f t="shared" si="58"/>
        <v>1</v>
      </c>
      <c r="Q387" s="445" t="s">
        <v>52</v>
      </c>
      <c r="R387" s="391">
        <v>1</v>
      </c>
      <c r="S387" s="362">
        <f t="shared" si="52"/>
        <v>1</v>
      </c>
      <c r="T387" s="368">
        <v>1</v>
      </c>
      <c r="U387" s="368"/>
      <c r="V387" s="368"/>
      <c r="W387" s="368"/>
      <c r="X387" s="364">
        <f t="shared" si="50"/>
        <v>1</v>
      </c>
      <c r="Y387" s="393"/>
      <c r="Z387" s="498">
        <f t="shared" si="48"/>
        <v>0</v>
      </c>
      <c r="AA387" s="368"/>
      <c r="AB387" s="368"/>
      <c r="AC387" s="368"/>
      <c r="AD387" s="368"/>
      <c r="AE387" s="365">
        <f t="shared" si="49"/>
        <v>0</v>
      </c>
      <c r="AF387" s="262"/>
      <c r="AG387" s="457"/>
      <c r="AH387" s="264"/>
    </row>
    <row r="388" spans="1:34" ht="30.75" thickBot="1" x14ac:dyDescent="0.3">
      <c r="A388" s="474"/>
      <c r="B388" s="447" t="s">
        <v>306</v>
      </c>
      <c r="C388" s="580"/>
      <c r="D388" s="449" t="s">
        <v>261</v>
      </c>
      <c r="E388" s="262"/>
      <c r="F388" s="447" t="s">
        <v>982</v>
      </c>
      <c r="G388" s="387" t="e">
        <f>VLOOKUP(A388,'Feature Summary'!$A$7:$C$3944,3,FALSE)</f>
        <v>#N/A</v>
      </c>
      <c r="H388" s="447" t="s">
        <v>984</v>
      </c>
      <c r="I388" s="447"/>
      <c r="J388" s="448" t="s">
        <v>985</v>
      </c>
      <c r="K388" s="263"/>
      <c r="L388" s="391"/>
      <c r="M388" s="399" t="s">
        <v>33</v>
      </c>
      <c r="N388" s="475">
        <v>1</v>
      </c>
      <c r="O388" s="391"/>
      <c r="P388" s="496">
        <f t="shared" si="58"/>
        <v>0</v>
      </c>
      <c r="Q388" s="445" t="s">
        <v>52</v>
      </c>
      <c r="R388" s="391"/>
      <c r="S388" s="362">
        <f t="shared" si="52"/>
        <v>0</v>
      </c>
      <c r="T388" s="368"/>
      <c r="U388" s="368"/>
      <c r="V388" s="368"/>
      <c r="W388" s="368"/>
      <c r="X388" s="364">
        <f t="shared" si="50"/>
        <v>0</v>
      </c>
      <c r="Y388" s="393"/>
      <c r="Z388" s="498">
        <f t="shared" si="48"/>
        <v>0</v>
      </c>
      <c r="AA388" s="368"/>
      <c r="AB388" s="368"/>
      <c r="AC388" s="368"/>
      <c r="AD388" s="368"/>
      <c r="AE388" s="365">
        <f t="shared" si="49"/>
        <v>0</v>
      </c>
      <c r="AF388" s="262"/>
      <c r="AG388" s="457"/>
      <c r="AH388" s="264"/>
    </row>
    <row r="389" spans="1:34" ht="30.75" thickBot="1" x14ac:dyDescent="0.3">
      <c r="A389" s="474" t="s">
        <v>544</v>
      </c>
      <c r="B389" s="447" t="s">
        <v>306</v>
      </c>
      <c r="C389" s="580" t="s">
        <v>651</v>
      </c>
      <c r="D389" s="449" t="s">
        <v>261</v>
      </c>
      <c r="E389" s="262"/>
      <c r="F389" s="447" t="s">
        <v>986</v>
      </c>
      <c r="G389" s="387" t="str">
        <f>VLOOKUP(A389,'Feature Summary'!$A$7:$C$3944,3,FALSE)</f>
        <v>P2</v>
      </c>
      <c r="H389" s="447" t="s">
        <v>987</v>
      </c>
      <c r="I389" s="488" t="s">
        <v>264</v>
      </c>
      <c r="J389" s="448" t="s">
        <v>281</v>
      </c>
      <c r="K389" s="263">
        <v>1</v>
      </c>
      <c r="L389" s="391">
        <v>1</v>
      </c>
      <c r="M389" s="399" t="s">
        <v>33</v>
      </c>
      <c r="N389" s="475">
        <v>1</v>
      </c>
      <c r="O389" s="391">
        <v>1</v>
      </c>
      <c r="P389" s="496">
        <f t="shared" si="58"/>
        <v>1</v>
      </c>
      <c r="Q389" s="445" t="s">
        <v>52</v>
      </c>
      <c r="R389" s="391">
        <v>1</v>
      </c>
      <c r="S389" s="362">
        <f t="shared" si="52"/>
        <v>1</v>
      </c>
      <c r="T389" s="368">
        <v>1</v>
      </c>
      <c r="U389" s="368"/>
      <c r="V389" s="368"/>
      <c r="W389" s="368"/>
      <c r="X389" s="364">
        <f t="shared" si="50"/>
        <v>1</v>
      </c>
      <c r="Y389" s="393"/>
      <c r="Z389" s="498">
        <f t="shared" si="48"/>
        <v>0</v>
      </c>
      <c r="AA389" s="368"/>
      <c r="AB389" s="368"/>
      <c r="AC389" s="368"/>
      <c r="AD389" s="368"/>
      <c r="AE389" s="365">
        <f t="shared" si="49"/>
        <v>0</v>
      </c>
      <c r="AF389" s="262"/>
      <c r="AG389" s="457"/>
      <c r="AH389" s="264"/>
    </row>
    <row r="390" spans="1:34" ht="45.75" thickBot="1" x14ac:dyDescent="0.3">
      <c r="A390" s="474"/>
      <c r="B390" s="447" t="s">
        <v>306</v>
      </c>
      <c r="C390" s="580"/>
      <c r="D390" s="449" t="s">
        <v>261</v>
      </c>
      <c r="E390" s="262"/>
      <c r="F390" s="447" t="s">
        <v>986</v>
      </c>
      <c r="G390" s="387" t="e">
        <f>VLOOKUP(A390,'Feature Summary'!$A$7:$C$3944,3,FALSE)</f>
        <v>#N/A</v>
      </c>
      <c r="H390" s="447" t="s">
        <v>988</v>
      </c>
      <c r="I390" s="447"/>
      <c r="J390" s="448" t="s">
        <v>923</v>
      </c>
      <c r="K390" s="263"/>
      <c r="L390" s="391"/>
      <c r="M390" s="399" t="s">
        <v>33</v>
      </c>
      <c r="N390" s="475">
        <v>1</v>
      </c>
      <c r="O390" s="391"/>
      <c r="P390" s="496">
        <f t="shared" si="58"/>
        <v>0</v>
      </c>
      <c r="Q390" s="445" t="s">
        <v>52</v>
      </c>
      <c r="R390" s="391"/>
      <c r="S390" s="362">
        <f t="shared" si="52"/>
        <v>0</v>
      </c>
      <c r="T390" s="368"/>
      <c r="U390" s="368"/>
      <c r="V390" s="368"/>
      <c r="W390" s="368"/>
      <c r="X390" s="364">
        <f t="shared" si="50"/>
        <v>0</v>
      </c>
      <c r="Y390" s="393"/>
      <c r="Z390" s="498">
        <f t="shared" si="48"/>
        <v>0</v>
      </c>
      <c r="AA390" s="368"/>
      <c r="AB390" s="368"/>
      <c r="AC390" s="368"/>
      <c r="AD390" s="368"/>
      <c r="AE390" s="365">
        <f t="shared" si="49"/>
        <v>0</v>
      </c>
      <c r="AF390" s="262"/>
      <c r="AG390" s="457"/>
      <c r="AH390" s="264"/>
    </row>
    <row r="391" spans="1:34" ht="30.75" thickBot="1" x14ac:dyDescent="0.3">
      <c r="A391" s="474"/>
      <c r="B391" s="447" t="s">
        <v>306</v>
      </c>
      <c r="C391" s="580"/>
      <c r="D391" s="449" t="s">
        <v>261</v>
      </c>
      <c r="E391" s="262"/>
      <c r="F391" s="447" t="s">
        <v>986</v>
      </c>
      <c r="G391" s="387" t="e">
        <f>VLOOKUP(A391,'Feature Summary'!$A$7:$C$3944,3,FALSE)</f>
        <v>#N/A</v>
      </c>
      <c r="H391" s="447" t="s">
        <v>989</v>
      </c>
      <c r="I391" s="447"/>
      <c r="J391" s="448" t="s">
        <v>661</v>
      </c>
      <c r="K391" s="263"/>
      <c r="L391" s="391"/>
      <c r="M391" s="399" t="s">
        <v>33</v>
      </c>
      <c r="N391" s="475">
        <v>1</v>
      </c>
      <c r="O391" s="391"/>
      <c r="P391" s="496">
        <f t="shared" si="58"/>
        <v>0</v>
      </c>
      <c r="Q391" s="445" t="s">
        <v>52</v>
      </c>
      <c r="R391" s="391"/>
      <c r="S391" s="362">
        <f t="shared" si="52"/>
        <v>0</v>
      </c>
      <c r="T391" s="368"/>
      <c r="U391" s="368"/>
      <c r="V391" s="368"/>
      <c r="W391" s="368"/>
      <c r="X391" s="364">
        <f t="shared" si="50"/>
        <v>0</v>
      </c>
      <c r="Y391" s="393"/>
      <c r="Z391" s="498">
        <f t="shared" si="48"/>
        <v>0</v>
      </c>
      <c r="AA391" s="368"/>
      <c r="AB391" s="368"/>
      <c r="AC391" s="368"/>
      <c r="AD391" s="368"/>
      <c r="AE391" s="365">
        <f t="shared" si="49"/>
        <v>0</v>
      </c>
      <c r="AF391" s="262"/>
      <c r="AG391" s="457"/>
      <c r="AH391" s="264"/>
    </row>
    <row r="392" spans="1:34" ht="30.75" thickBot="1" x14ac:dyDescent="0.3">
      <c r="A392" s="474"/>
      <c r="B392" s="447" t="s">
        <v>306</v>
      </c>
      <c r="C392" s="580"/>
      <c r="D392" s="449" t="s">
        <v>261</v>
      </c>
      <c r="E392" s="262"/>
      <c r="F392" s="447" t="s">
        <v>986</v>
      </c>
      <c r="G392" s="387" t="e">
        <f>VLOOKUP(A392,'Feature Summary'!$A$7:$C$3944,3,FALSE)</f>
        <v>#N/A</v>
      </c>
      <c r="H392" s="447" t="s">
        <v>990</v>
      </c>
      <c r="I392" s="447"/>
      <c r="J392" s="448" t="s">
        <v>991</v>
      </c>
      <c r="K392" s="263"/>
      <c r="L392" s="391"/>
      <c r="M392" s="399" t="s">
        <v>33</v>
      </c>
      <c r="N392" s="475">
        <v>1</v>
      </c>
      <c r="O392" s="391"/>
      <c r="P392" s="496">
        <f t="shared" si="58"/>
        <v>0</v>
      </c>
      <c r="Q392" s="445" t="s">
        <v>52</v>
      </c>
      <c r="R392" s="391"/>
      <c r="S392" s="362">
        <f t="shared" si="52"/>
        <v>0</v>
      </c>
      <c r="T392" s="368"/>
      <c r="U392" s="368"/>
      <c r="V392" s="368"/>
      <c r="W392" s="368"/>
      <c r="X392" s="364">
        <f t="shared" si="50"/>
        <v>0</v>
      </c>
      <c r="Y392" s="393"/>
      <c r="Z392" s="498">
        <f t="shared" si="48"/>
        <v>0</v>
      </c>
      <c r="AA392" s="368"/>
      <c r="AB392" s="368"/>
      <c r="AC392" s="368"/>
      <c r="AD392" s="368"/>
      <c r="AE392" s="365">
        <f t="shared" si="49"/>
        <v>0</v>
      </c>
      <c r="AF392" s="262"/>
      <c r="AG392" s="457"/>
      <c r="AH392" s="264"/>
    </row>
    <row r="393" spans="1:34" ht="30.75" thickBot="1" x14ac:dyDescent="0.3">
      <c r="A393" s="446" t="s">
        <v>595</v>
      </c>
      <c r="B393" s="447" t="s">
        <v>306</v>
      </c>
      <c r="C393" s="580" t="s">
        <v>335</v>
      </c>
      <c r="D393" s="449" t="s">
        <v>261</v>
      </c>
      <c r="E393" s="262"/>
      <c r="F393" s="447" t="s">
        <v>992</v>
      </c>
      <c r="G393" s="387" t="str">
        <f>VLOOKUP(A393,'Feature Summary'!$A$7:$C$3944,3,FALSE)</f>
        <v>P2</v>
      </c>
      <c r="H393" s="447" t="s">
        <v>993</v>
      </c>
      <c r="I393" s="488" t="s">
        <v>264</v>
      </c>
      <c r="J393" s="448" t="s">
        <v>281</v>
      </c>
      <c r="K393" s="263">
        <v>1</v>
      </c>
      <c r="L393" s="391">
        <v>1</v>
      </c>
      <c r="M393" s="399" t="s">
        <v>33</v>
      </c>
      <c r="N393" s="475">
        <v>1</v>
      </c>
      <c r="O393" s="391">
        <v>1</v>
      </c>
      <c r="P393" s="496">
        <f t="shared" si="58"/>
        <v>1</v>
      </c>
      <c r="Q393" s="445" t="s">
        <v>52</v>
      </c>
      <c r="R393" s="391">
        <v>1</v>
      </c>
      <c r="S393" s="362">
        <f t="shared" si="52"/>
        <v>1</v>
      </c>
      <c r="T393" s="368">
        <v>1</v>
      </c>
      <c r="U393" s="368"/>
      <c r="V393" s="368"/>
      <c r="W393" s="368"/>
      <c r="X393" s="364">
        <f t="shared" si="50"/>
        <v>1</v>
      </c>
      <c r="Y393" s="393"/>
      <c r="Z393" s="498">
        <f t="shared" ref="Z393:Z457" si="59">SUM(AA393:AD393)</f>
        <v>0</v>
      </c>
      <c r="AA393" s="368"/>
      <c r="AB393" s="368"/>
      <c r="AC393" s="368"/>
      <c r="AD393" s="368"/>
      <c r="AE393" s="365">
        <f t="shared" ref="AE393:AE457" si="60">IF((Z393=0),0,((AA393+AB393)/Z393*100%))</f>
        <v>0</v>
      </c>
      <c r="AF393" s="262"/>
      <c r="AG393" s="457"/>
      <c r="AH393" s="264"/>
    </row>
    <row r="394" spans="1:34" ht="45.75" thickBot="1" x14ac:dyDescent="0.3">
      <c r="A394" s="474"/>
      <c r="B394" s="447" t="s">
        <v>306</v>
      </c>
      <c r="C394" s="580"/>
      <c r="D394" s="449" t="s">
        <v>261</v>
      </c>
      <c r="E394" s="262"/>
      <c r="F394" s="447" t="s">
        <v>992</v>
      </c>
      <c r="G394" s="387" t="e">
        <f>VLOOKUP(A394,'Feature Summary'!$A$7:$C$3944,3,FALSE)</f>
        <v>#N/A</v>
      </c>
      <c r="H394" s="447" t="s">
        <v>994</v>
      </c>
      <c r="I394" s="447"/>
      <c r="J394" s="448" t="s">
        <v>923</v>
      </c>
      <c r="K394" s="263"/>
      <c r="L394" s="391"/>
      <c r="M394" s="399" t="s">
        <v>33</v>
      </c>
      <c r="N394" s="475">
        <v>1</v>
      </c>
      <c r="O394" s="391"/>
      <c r="P394" s="496">
        <f t="shared" si="58"/>
        <v>0</v>
      </c>
      <c r="Q394" s="445" t="s">
        <v>52</v>
      </c>
      <c r="R394" s="391"/>
      <c r="S394" s="362">
        <f t="shared" si="52"/>
        <v>0</v>
      </c>
      <c r="T394" s="368"/>
      <c r="U394" s="368"/>
      <c r="V394" s="368"/>
      <c r="W394" s="368"/>
      <c r="X394" s="364">
        <f t="shared" si="50"/>
        <v>0</v>
      </c>
      <c r="Y394" s="393"/>
      <c r="Z394" s="498">
        <f t="shared" si="59"/>
        <v>0</v>
      </c>
      <c r="AA394" s="368"/>
      <c r="AB394" s="368"/>
      <c r="AC394" s="368"/>
      <c r="AD394" s="368"/>
      <c r="AE394" s="365">
        <f t="shared" si="60"/>
        <v>0</v>
      </c>
      <c r="AF394" s="262"/>
      <c r="AG394" s="457"/>
      <c r="AH394" s="264"/>
    </row>
    <row r="395" spans="1:34" ht="30.75" thickBot="1" x14ac:dyDescent="0.3">
      <c r="A395" s="474"/>
      <c r="B395" s="447" t="s">
        <v>306</v>
      </c>
      <c r="C395" s="580"/>
      <c r="D395" s="449" t="s">
        <v>261</v>
      </c>
      <c r="E395" s="262"/>
      <c r="F395" s="447" t="s">
        <v>992</v>
      </c>
      <c r="G395" s="387" t="e">
        <f>VLOOKUP(A395,'Feature Summary'!$A$7:$C$3944,3,FALSE)</f>
        <v>#N/A</v>
      </c>
      <c r="H395" s="447" t="s">
        <v>995</v>
      </c>
      <c r="I395" s="447"/>
      <c r="J395" s="448" t="s">
        <v>661</v>
      </c>
      <c r="K395" s="263"/>
      <c r="L395" s="391"/>
      <c r="M395" s="399" t="s">
        <v>33</v>
      </c>
      <c r="N395" s="475">
        <v>1</v>
      </c>
      <c r="O395" s="391"/>
      <c r="P395" s="496">
        <f t="shared" si="58"/>
        <v>0</v>
      </c>
      <c r="Q395" s="445" t="s">
        <v>52</v>
      </c>
      <c r="R395" s="391"/>
      <c r="S395" s="362">
        <f t="shared" si="52"/>
        <v>0</v>
      </c>
      <c r="T395" s="368"/>
      <c r="U395" s="368"/>
      <c r="V395" s="368"/>
      <c r="W395" s="368"/>
      <c r="X395" s="364">
        <f t="shared" ref="X395:X468" si="61">IF((S395=0),0,((T395+U395)/S395*100%))</f>
        <v>0</v>
      </c>
      <c r="Y395" s="393"/>
      <c r="Z395" s="498">
        <f t="shared" si="59"/>
        <v>0</v>
      </c>
      <c r="AA395" s="368"/>
      <c r="AB395" s="368"/>
      <c r="AC395" s="368"/>
      <c r="AD395" s="368"/>
      <c r="AE395" s="365">
        <f t="shared" si="60"/>
        <v>0</v>
      </c>
      <c r="AF395" s="262"/>
      <c r="AG395" s="457"/>
      <c r="AH395" s="264"/>
    </row>
    <row r="396" spans="1:34" ht="30.75" thickBot="1" x14ac:dyDescent="0.3">
      <c r="A396" s="474"/>
      <c r="B396" s="447" t="s">
        <v>306</v>
      </c>
      <c r="C396" s="580"/>
      <c r="D396" s="449" t="s">
        <v>261</v>
      </c>
      <c r="E396" s="262"/>
      <c r="F396" s="447" t="s">
        <v>992</v>
      </c>
      <c r="G396" s="387" t="e">
        <f>VLOOKUP(A396,'Feature Summary'!$A$7:$C$3944,3,FALSE)</f>
        <v>#N/A</v>
      </c>
      <c r="H396" s="447" t="s">
        <v>996</v>
      </c>
      <c r="I396" s="447"/>
      <c r="J396" s="448" t="s">
        <v>295</v>
      </c>
      <c r="K396" s="263"/>
      <c r="L396" s="391"/>
      <c r="M396" s="399" t="s">
        <v>33</v>
      </c>
      <c r="N396" s="475">
        <v>1</v>
      </c>
      <c r="O396" s="391"/>
      <c r="P396" s="496">
        <f t="shared" si="58"/>
        <v>0</v>
      </c>
      <c r="Q396" s="445" t="s">
        <v>52</v>
      </c>
      <c r="R396" s="391"/>
      <c r="S396" s="362">
        <f t="shared" ref="S396:S469" si="62">SUM(T396:W396)</f>
        <v>0</v>
      </c>
      <c r="T396" s="368"/>
      <c r="U396" s="368"/>
      <c r="V396" s="368"/>
      <c r="W396" s="368"/>
      <c r="X396" s="364">
        <f t="shared" si="61"/>
        <v>0</v>
      </c>
      <c r="Y396" s="393"/>
      <c r="Z396" s="498">
        <f t="shared" si="59"/>
        <v>0</v>
      </c>
      <c r="AA396" s="368"/>
      <c r="AB396" s="368"/>
      <c r="AC396" s="368"/>
      <c r="AD396" s="368"/>
      <c r="AE396" s="365">
        <f t="shared" si="60"/>
        <v>0</v>
      </c>
      <c r="AF396" s="262"/>
      <c r="AG396" s="457"/>
      <c r="AH396" s="264"/>
    </row>
    <row r="397" spans="1:34" ht="15.75" thickBot="1" x14ac:dyDescent="0.3">
      <c r="A397" s="474"/>
      <c r="B397" s="447"/>
      <c r="C397" s="580" t="s">
        <v>651</v>
      </c>
      <c r="D397" s="449" t="s">
        <v>261</v>
      </c>
      <c r="E397" s="262"/>
      <c r="F397" s="447" t="s">
        <v>997</v>
      </c>
      <c r="G397" s="387" t="e">
        <f>VLOOKUP(A397,'Feature Summary'!$A$7:$C$3944,3,FALSE)</f>
        <v>#N/A</v>
      </c>
      <c r="H397" s="447" t="s">
        <v>998</v>
      </c>
      <c r="I397" s="488" t="s">
        <v>264</v>
      </c>
      <c r="J397" s="448" t="s">
        <v>450</v>
      </c>
      <c r="K397" s="263">
        <v>1</v>
      </c>
      <c r="L397" s="391">
        <v>8</v>
      </c>
      <c r="M397" s="399" t="s">
        <v>33</v>
      </c>
      <c r="N397" s="475">
        <v>1</v>
      </c>
      <c r="O397" s="391">
        <v>0</v>
      </c>
      <c r="P397" s="496">
        <f t="shared" ref="P397" si="63">IF((O397=0),0,(O397/L397))</f>
        <v>0</v>
      </c>
      <c r="Q397" s="445" t="s">
        <v>52</v>
      </c>
      <c r="R397" s="391">
        <v>8</v>
      </c>
      <c r="S397" s="362">
        <f t="shared" si="62"/>
        <v>8</v>
      </c>
      <c r="T397" s="368">
        <v>8</v>
      </c>
      <c r="U397" s="368"/>
      <c r="V397" s="368"/>
      <c r="W397" s="368"/>
      <c r="X397" s="364">
        <f t="shared" si="61"/>
        <v>1</v>
      </c>
      <c r="Y397" s="393"/>
      <c r="Z397" s="498">
        <f t="shared" si="59"/>
        <v>0</v>
      </c>
      <c r="AA397" s="368"/>
      <c r="AB397" s="368"/>
      <c r="AC397" s="368"/>
      <c r="AD397" s="368"/>
      <c r="AE397" s="365">
        <f t="shared" si="60"/>
        <v>0</v>
      </c>
      <c r="AF397" s="262"/>
      <c r="AG397" s="457"/>
      <c r="AH397" s="264"/>
    </row>
    <row r="398" spans="1:34" ht="45.75" thickBot="1" x14ac:dyDescent="0.3">
      <c r="A398" s="474"/>
      <c r="B398" s="447"/>
      <c r="C398" s="580" t="s">
        <v>651</v>
      </c>
      <c r="D398" s="449" t="s">
        <v>261</v>
      </c>
      <c r="E398" s="262"/>
      <c r="F398" s="447" t="s">
        <v>997</v>
      </c>
      <c r="G398" s="387" t="e">
        <f>VLOOKUP(A398,'Feature Summary'!$A$7:$C$3944,3,FALSE)</f>
        <v>#N/A</v>
      </c>
      <c r="H398" s="447" t="s">
        <v>999</v>
      </c>
      <c r="I398" s="488" t="s">
        <v>264</v>
      </c>
      <c r="J398" s="448" t="s">
        <v>1000</v>
      </c>
      <c r="K398" s="263">
        <v>1</v>
      </c>
      <c r="L398" s="391">
        <v>4</v>
      </c>
      <c r="M398" s="399" t="s">
        <v>33</v>
      </c>
      <c r="N398" s="475">
        <v>1</v>
      </c>
      <c r="O398" s="391">
        <v>4</v>
      </c>
      <c r="P398" s="496">
        <f t="shared" si="58"/>
        <v>1</v>
      </c>
      <c r="Q398" s="445" t="s">
        <v>52</v>
      </c>
      <c r="R398" s="391">
        <v>4</v>
      </c>
      <c r="S398" s="362">
        <f t="shared" si="62"/>
        <v>4</v>
      </c>
      <c r="T398" s="368">
        <v>4</v>
      </c>
      <c r="U398" s="368"/>
      <c r="V398" s="368"/>
      <c r="W398" s="368"/>
      <c r="X398" s="364">
        <f t="shared" si="61"/>
        <v>1</v>
      </c>
      <c r="Y398" s="393"/>
      <c r="Z398" s="498">
        <f t="shared" si="59"/>
        <v>0</v>
      </c>
      <c r="AA398" s="368"/>
      <c r="AB398" s="368"/>
      <c r="AC398" s="368"/>
      <c r="AD398" s="368"/>
      <c r="AE398" s="365">
        <f t="shared" si="60"/>
        <v>0</v>
      </c>
      <c r="AF398" s="558"/>
      <c r="AG398" s="457"/>
      <c r="AH398" s="264"/>
    </row>
    <row r="399" spans="1:34" ht="60.75" thickBot="1" x14ac:dyDescent="0.3">
      <c r="A399" s="474" t="s">
        <v>1001</v>
      </c>
      <c r="B399" s="447" t="s">
        <v>1002</v>
      </c>
      <c r="C399" s="580" t="s">
        <v>372</v>
      </c>
      <c r="D399" s="449" t="s">
        <v>261</v>
      </c>
      <c r="E399" s="262"/>
      <c r="F399" s="447" t="s">
        <v>1003</v>
      </c>
      <c r="G399" s="387" t="e">
        <f>VLOOKUP(A399,'Feature Summary'!$A$7:$C$3944,3,FALSE)</f>
        <v>#N/A</v>
      </c>
      <c r="H399" s="447" t="s">
        <v>1004</v>
      </c>
      <c r="I399" s="488" t="s">
        <v>264</v>
      </c>
      <c r="J399" s="448" t="s">
        <v>281</v>
      </c>
      <c r="K399" s="263">
        <v>1</v>
      </c>
      <c r="L399" s="391">
        <v>4</v>
      </c>
      <c r="M399" s="399" t="s">
        <v>33</v>
      </c>
      <c r="N399" s="475">
        <v>1</v>
      </c>
      <c r="O399" s="391">
        <v>4</v>
      </c>
      <c r="P399" s="496">
        <f t="shared" si="58"/>
        <v>1</v>
      </c>
      <c r="Q399" s="445" t="s">
        <v>52</v>
      </c>
      <c r="R399" s="391">
        <v>4</v>
      </c>
      <c r="S399" s="362">
        <f t="shared" si="62"/>
        <v>4</v>
      </c>
      <c r="T399" s="368">
        <v>4</v>
      </c>
      <c r="U399" s="368"/>
      <c r="V399" s="368"/>
      <c r="W399" s="368"/>
      <c r="X399" s="364">
        <f t="shared" si="61"/>
        <v>1</v>
      </c>
      <c r="Y399" s="393"/>
      <c r="Z399" s="498">
        <f t="shared" si="59"/>
        <v>0</v>
      </c>
      <c r="AA399" s="368"/>
      <c r="AB399" s="368"/>
      <c r="AC399" s="368"/>
      <c r="AD399" s="368"/>
      <c r="AE399" s="365">
        <f t="shared" si="60"/>
        <v>0</v>
      </c>
      <c r="AF399" s="262"/>
      <c r="AG399" s="457"/>
      <c r="AH399" s="264"/>
    </row>
    <row r="400" spans="1:34" ht="30.75" thickBot="1" x14ac:dyDescent="0.3">
      <c r="A400" s="474"/>
      <c r="B400" s="447" t="s">
        <v>1002</v>
      </c>
      <c r="C400" s="580"/>
      <c r="D400" s="449" t="s">
        <v>261</v>
      </c>
      <c r="E400" s="262"/>
      <c r="F400" s="447" t="s">
        <v>1003</v>
      </c>
      <c r="G400" s="387" t="e">
        <f>VLOOKUP(A400,'Feature Summary'!$A$7:$C$3944,3,FALSE)</f>
        <v>#N/A</v>
      </c>
      <c r="H400" s="447" t="s">
        <v>1005</v>
      </c>
      <c r="I400" s="447"/>
      <c r="J400" s="448" t="s">
        <v>328</v>
      </c>
      <c r="K400" s="263"/>
      <c r="L400" s="391"/>
      <c r="M400" s="399" t="s">
        <v>33</v>
      </c>
      <c r="N400" s="475">
        <v>1</v>
      </c>
      <c r="O400" s="391"/>
      <c r="P400" s="496">
        <f t="shared" si="58"/>
        <v>0</v>
      </c>
      <c r="Q400" s="445" t="s">
        <v>52</v>
      </c>
      <c r="R400" s="391"/>
      <c r="S400" s="362">
        <f t="shared" si="62"/>
        <v>0</v>
      </c>
      <c r="T400" s="368"/>
      <c r="U400" s="368"/>
      <c r="V400" s="368"/>
      <c r="W400" s="368"/>
      <c r="X400" s="364">
        <f t="shared" si="61"/>
        <v>0</v>
      </c>
      <c r="Y400" s="393"/>
      <c r="Z400" s="498">
        <f t="shared" si="59"/>
        <v>0</v>
      </c>
      <c r="AA400" s="368"/>
      <c r="AB400" s="368"/>
      <c r="AC400" s="368"/>
      <c r="AD400" s="368"/>
      <c r="AE400" s="365">
        <f t="shared" si="60"/>
        <v>0</v>
      </c>
      <c r="AF400" s="262"/>
      <c r="AG400" s="457"/>
      <c r="AH400" s="264"/>
    </row>
    <row r="401" spans="1:34" ht="30.75" thickBot="1" x14ac:dyDescent="0.3">
      <c r="A401" s="474" t="s">
        <v>1006</v>
      </c>
      <c r="B401" s="447" t="s">
        <v>1007</v>
      </c>
      <c r="C401" s="580" t="s">
        <v>445</v>
      </c>
      <c r="D401" s="449" t="s">
        <v>261</v>
      </c>
      <c r="E401" s="262"/>
      <c r="F401" s="447" t="s">
        <v>1008</v>
      </c>
      <c r="G401" s="387" t="s">
        <v>1009</v>
      </c>
      <c r="H401" s="447" t="s">
        <v>1010</v>
      </c>
      <c r="I401" s="488" t="s">
        <v>264</v>
      </c>
      <c r="J401" s="448" t="s">
        <v>1011</v>
      </c>
      <c r="K401" s="263">
        <v>1</v>
      </c>
      <c r="L401" s="391">
        <v>1</v>
      </c>
      <c r="M401" s="399" t="s">
        <v>33</v>
      </c>
      <c r="N401" s="475">
        <v>1</v>
      </c>
      <c r="O401" s="391">
        <v>1</v>
      </c>
      <c r="P401" s="496">
        <f t="shared" si="58"/>
        <v>1</v>
      </c>
      <c r="Q401" s="445" t="s">
        <v>52</v>
      </c>
      <c r="R401" s="391">
        <v>1</v>
      </c>
      <c r="S401" s="362">
        <f t="shared" si="62"/>
        <v>1</v>
      </c>
      <c r="T401" s="368">
        <v>1</v>
      </c>
      <c r="U401" s="368"/>
      <c r="V401" s="368"/>
      <c r="W401" s="368"/>
      <c r="X401" s="364">
        <f t="shared" si="61"/>
        <v>1</v>
      </c>
      <c r="Y401" s="393"/>
      <c r="Z401" s="498">
        <f t="shared" si="59"/>
        <v>0</v>
      </c>
      <c r="AA401" s="368"/>
      <c r="AB401" s="368"/>
      <c r="AC401" s="368"/>
      <c r="AD401" s="368"/>
      <c r="AE401" s="365">
        <f t="shared" si="60"/>
        <v>0</v>
      </c>
      <c r="AF401" s="262"/>
      <c r="AG401" s="457"/>
      <c r="AH401" s="264"/>
    </row>
    <row r="402" spans="1:34" ht="45.75" thickBot="1" x14ac:dyDescent="0.3">
      <c r="A402" s="474" t="s">
        <v>1006</v>
      </c>
      <c r="B402" s="447" t="s">
        <v>1007</v>
      </c>
      <c r="C402" s="580" t="s">
        <v>445</v>
      </c>
      <c r="D402" s="449" t="s">
        <v>261</v>
      </c>
      <c r="E402" s="262"/>
      <c r="F402" s="447" t="s">
        <v>1008</v>
      </c>
      <c r="G402" s="387" t="s">
        <v>1009</v>
      </c>
      <c r="H402" s="447" t="s">
        <v>1012</v>
      </c>
      <c r="I402" s="488" t="s">
        <v>264</v>
      </c>
      <c r="J402" s="448" t="s">
        <v>1013</v>
      </c>
      <c r="K402" s="263">
        <v>1</v>
      </c>
      <c r="L402" s="391">
        <v>1</v>
      </c>
      <c r="M402" s="399" t="s">
        <v>33</v>
      </c>
      <c r="N402" s="475">
        <v>1</v>
      </c>
      <c r="O402" s="391">
        <v>1</v>
      </c>
      <c r="P402" s="496">
        <f t="shared" si="58"/>
        <v>1</v>
      </c>
      <c r="Q402" s="445" t="s">
        <v>52</v>
      </c>
      <c r="R402" s="391">
        <v>1</v>
      </c>
      <c r="S402" s="362">
        <f t="shared" si="62"/>
        <v>1</v>
      </c>
      <c r="T402" s="368">
        <v>1</v>
      </c>
      <c r="U402" s="368"/>
      <c r="V402" s="368"/>
      <c r="W402" s="368"/>
      <c r="X402" s="364">
        <f t="shared" si="61"/>
        <v>1</v>
      </c>
      <c r="Y402" s="393"/>
      <c r="Z402" s="498">
        <f t="shared" si="59"/>
        <v>0</v>
      </c>
      <c r="AA402" s="368"/>
      <c r="AB402" s="368"/>
      <c r="AC402" s="368"/>
      <c r="AD402" s="368"/>
      <c r="AE402" s="365">
        <f t="shared" si="60"/>
        <v>0</v>
      </c>
      <c r="AF402" s="262"/>
      <c r="AG402" s="457"/>
      <c r="AH402" s="264"/>
    </row>
    <row r="403" spans="1:34" ht="30.75" thickBot="1" x14ac:dyDescent="0.3">
      <c r="A403" s="474" t="s">
        <v>1006</v>
      </c>
      <c r="B403" s="447" t="s">
        <v>1007</v>
      </c>
      <c r="C403" s="580" t="s">
        <v>445</v>
      </c>
      <c r="D403" s="449" t="s">
        <v>261</v>
      </c>
      <c r="E403" s="262"/>
      <c r="F403" s="447" t="s">
        <v>1008</v>
      </c>
      <c r="G403" s="387" t="s">
        <v>1009</v>
      </c>
      <c r="H403" s="447" t="s">
        <v>1014</v>
      </c>
      <c r="I403" s="488" t="s">
        <v>264</v>
      </c>
      <c r="J403" s="448" t="s">
        <v>1015</v>
      </c>
      <c r="K403" s="263">
        <v>1</v>
      </c>
      <c r="L403" s="391">
        <v>1</v>
      </c>
      <c r="M403" s="399" t="s">
        <v>33</v>
      </c>
      <c r="N403" s="475">
        <v>1</v>
      </c>
      <c r="O403" s="391">
        <v>1</v>
      </c>
      <c r="P403" s="496">
        <f t="shared" si="58"/>
        <v>1</v>
      </c>
      <c r="Q403" s="445" t="s">
        <v>52</v>
      </c>
      <c r="R403" s="391">
        <v>1</v>
      </c>
      <c r="S403" s="362">
        <f t="shared" si="62"/>
        <v>1</v>
      </c>
      <c r="T403" s="368">
        <v>1</v>
      </c>
      <c r="U403" s="368"/>
      <c r="V403" s="368"/>
      <c r="W403" s="368"/>
      <c r="X403" s="364">
        <f t="shared" si="61"/>
        <v>1</v>
      </c>
      <c r="Y403" s="393"/>
      <c r="Z403" s="498">
        <f t="shared" si="59"/>
        <v>0</v>
      </c>
      <c r="AA403" s="368"/>
      <c r="AB403" s="368"/>
      <c r="AC403" s="368"/>
      <c r="AD403" s="368"/>
      <c r="AE403" s="365">
        <f t="shared" si="60"/>
        <v>0</v>
      </c>
      <c r="AF403" s="262"/>
      <c r="AG403" s="457"/>
      <c r="AH403" s="264"/>
    </row>
    <row r="404" spans="1:34" ht="45.75" thickBot="1" x14ac:dyDescent="0.3">
      <c r="A404" s="474" t="s">
        <v>1006</v>
      </c>
      <c r="B404" s="447" t="s">
        <v>1007</v>
      </c>
      <c r="C404" s="580" t="s">
        <v>445</v>
      </c>
      <c r="D404" s="449" t="s">
        <v>261</v>
      </c>
      <c r="E404" s="262"/>
      <c r="F404" s="447" t="s">
        <v>1008</v>
      </c>
      <c r="G404" s="387" t="s">
        <v>1009</v>
      </c>
      <c r="H404" s="447" t="s">
        <v>1016</v>
      </c>
      <c r="I404" s="488" t="s">
        <v>264</v>
      </c>
      <c r="J404" s="448" t="s">
        <v>1017</v>
      </c>
      <c r="K404" s="263">
        <v>1</v>
      </c>
      <c r="L404" s="391">
        <v>1</v>
      </c>
      <c r="M404" s="399" t="s">
        <v>33</v>
      </c>
      <c r="N404" s="475">
        <v>1</v>
      </c>
      <c r="O404" s="391">
        <v>1</v>
      </c>
      <c r="P404" s="496">
        <f t="shared" si="58"/>
        <v>1</v>
      </c>
      <c r="Q404" s="445" t="s">
        <v>52</v>
      </c>
      <c r="R404" s="391">
        <v>1</v>
      </c>
      <c r="S404" s="362">
        <f t="shared" si="62"/>
        <v>1</v>
      </c>
      <c r="T404" s="368">
        <v>1</v>
      </c>
      <c r="U404" s="368"/>
      <c r="V404" s="368"/>
      <c r="W404" s="368"/>
      <c r="X404" s="364">
        <f t="shared" si="61"/>
        <v>1</v>
      </c>
      <c r="Y404" s="393"/>
      <c r="Z404" s="498">
        <f t="shared" si="59"/>
        <v>0</v>
      </c>
      <c r="AA404" s="368"/>
      <c r="AB404" s="368"/>
      <c r="AC404" s="368"/>
      <c r="AD404" s="368"/>
      <c r="AE404" s="365">
        <f t="shared" si="60"/>
        <v>0</v>
      </c>
      <c r="AF404" s="262"/>
      <c r="AG404" s="457"/>
      <c r="AH404" s="264"/>
    </row>
    <row r="405" spans="1:34" ht="30.75" thickBot="1" x14ac:dyDescent="0.3">
      <c r="A405" s="474" t="s">
        <v>1006</v>
      </c>
      <c r="B405" s="447" t="s">
        <v>1007</v>
      </c>
      <c r="C405" s="580" t="s">
        <v>445</v>
      </c>
      <c r="D405" s="449" t="s">
        <v>261</v>
      </c>
      <c r="E405" s="262"/>
      <c r="F405" s="447" t="s">
        <v>1008</v>
      </c>
      <c r="G405" s="387" t="s">
        <v>1009</v>
      </c>
      <c r="H405" s="447" t="s">
        <v>1018</v>
      </c>
      <c r="I405" s="488" t="s">
        <v>264</v>
      </c>
      <c r="J405" s="448" t="s">
        <v>1011</v>
      </c>
      <c r="K405" s="263">
        <v>1</v>
      </c>
      <c r="L405" s="391">
        <v>1</v>
      </c>
      <c r="M405" s="399" t="s">
        <v>33</v>
      </c>
      <c r="N405" s="475">
        <v>1</v>
      </c>
      <c r="O405" s="391">
        <v>1</v>
      </c>
      <c r="P405" s="496">
        <f t="shared" si="58"/>
        <v>1</v>
      </c>
      <c r="Q405" s="445" t="s">
        <v>52</v>
      </c>
      <c r="R405" s="391">
        <v>1</v>
      </c>
      <c r="S405" s="362">
        <f t="shared" si="62"/>
        <v>1</v>
      </c>
      <c r="T405" s="368">
        <v>1</v>
      </c>
      <c r="U405" s="368"/>
      <c r="V405" s="368"/>
      <c r="W405" s="368"/>
      <c r="X405" s="364">
        <f t="shared" si="61"/>
        <v>1</v>
      </c>
      <c r="Y405" s="393"/>
      <c r="Z405" s="498">
        <f t="shared" si="59"/>
        <v>0</v>
      </c>
      <c r="AA405" s="368"/>
      <c r="AB405" s="368"/>
      <c r="AC405" s="368"/>
      <c r="AD405" s="368"/>
      <c r="AE405" s="365">
        <f t="shared" si="60"/>
        <v>0</v>
      </c>
      <c r="AF405" s="262"/>
      <c r="AG405" s="457"/>
      <c r="AH405" s="264"/>
    </row>
    <row r="406" spans="1:34" ht="45.75" thickBot="1" x14ac:dyDescent="0.3">
      <c r="A406" s="474" t="s">
        <v>1006</v>
      </c>
      <c r="B406" s="447" t="s">
        <v>1007</v>
      </c>
      <c r="C406" s="580" t="s">
        <v>445</v>
      </c>
      <c r="D406" s="449" t="s">
        <v>261</v>
      </c>
      <c r="E406" s="262"/>
      <c r="F406" s="447" t="s">
        <v>1008</v>
      </c>
      <c r="G406" s="387" t="s">
        <v>1009</v>
      </c>
      <c r="H406" s="447" t="s">
        <v>1019</v>
      </c>
      <c r="I406" s="488" t="s">
        <v>264</v>
      </c>
      <c r="J406" s="448" t="s">
        <v>1013</v>
      </c>
      <c r="K406" s="263">
        <v>1</v>
      </c>
      <c r="L406" s="391">
        <v>1</v>
      </c>
      <c r="M406" s="399" t="s">
        <v>33</v>
      </c>
      <c r="N406" s="475">
        <v>1</v>
      </c>
      <c r="O406" s="391">
        <v>1</v>
      </c>
      <c r="P406" s="496">
        <f t="shared" si="58"/>
        <v>1</v>
      </c>
      <c r="Q406" s="445" t="s">
        <v>52</v>
      </c>
      <c r="R406" s="391">
        <v>1</v>
      </c>
      <c r="S406" s="362">
        <f t="shared" si="62"/>
        <v>1</v>
      </c>
      <c r="T406" s="368">
        <v>1</v>
      </c>
      <c r="U406" s="368"/>
      <c r="V406" s="368"/>
      <c r="W406" s="368"/>
      <c r="X406" s="364">
        <f t="shared" si="61"/>
        <v>1</v>
      </c>
      <c r="Y406" s="393"/>
      <c r="Z406" s="498">
        <f t="shared" si="59"/>
        <v>0</v>
      </c>
      <c r="AA406" s="368"/>
      <c r="AB406" s="368"/>
      <c r="AC406" s="368"/>
      <c r="AD406" s="368"/>
      <c r="AE406" s="365">
        <f t="shared" si="60"/>
        <v>0</v>
      </c>
      <c r="AF406" s="262"/>
      <c r="AG406" s="457"/>
      <c r="AH406" s="264"/>
    </row>
    <row r="407" spans="1:34" ht="30.75" thickBot="1" x14ac:dyDescent="0.3">
      <c r="A407" s="474" t="s">
        <v>1006</v>
      </c>
      <c r="B407" s="447" t="s">
        <v>1007</v>
      </c>
      <c r="C407" s="580" t="s">
        <v>445</v>
      </c>
      <c r="D407" s="449" t="s">
        <v>261</v>
      </c>
      <c r="E407" s="262"/>
      <c r="F407" s="447" t="s">
        <v>1008</v>
      </c>
      <c r="G407" s="387" t="s">
        <v>1009</v>
      </c>
      <c r="H407" s="447" t="s">
        <v>1020</v>
      </c>
      <c r="I407" s="488" t="s">
        <v>264</v>
      </c>
      <c r="J407" s="448" t="s">
        <v>1021</v>
      </c>
      <c r="K407" s="263">
        <v>1</v>
      </c>
      <c r="L407" s="391">
        <v>1</v>
      </c>
      <c r="M407" s="399" t="s">
        <v>33</v>
      </c>
      <c r="N407" s="475">
        <v>1</v>
      </c>
      <c r="O407" s="391">
        <v>1</v>
      </c>
      <c r="P407" s="496">
        <f t="shared" si="58"/>
        <v>1</v>
      </c>
      <c r="Q407" s="445" t="s">
        <v>52</v>
      </c>
      <c r="R407" s="391">
        <v>1</v>
      </c>
      <c r="S407" s="362">
        <f t="shared" si="62"/>
        <v>1</v>
      </c>
      <c r="T407" s="368">
        <v>1</v>
      </c>
      <c r="U407" s="368"/>
      <c r="V407" s="368"/>
      <c r="W407" s="368"/>
      <c r="X407" s="364">
        <f t="shared" si="61"/>
        <v>1</v>
      </c>
      <c r="Y407" s="393"/>
      <c r="Z407" s="498">
        <f t="shared" si="59"/>
        <v>0</v>
      </c>
      <c r="AA407" s="368"/>
      <c r="AB407" s="368"/>
      <c r="AC407" s="368"/>
      <c r="AD407" s="368"/>
      <c r="AE407" s="365">
        <f t="shared" si="60"/>
        <v>0</v>
      </c>
      <c r="AF407" s="262"/>
      <c r="AG407" s="457"/>
      <c r="AH407" s="264"/>
    </row>
    <row r="408" spans="1:34" ht="45.75" thickBot="1" x14ac:dyDescent="0.3">
      <c r="A408" s="474" t="s">
        <v>1006</v>
      </c>
      <c r="B408" s="447" t="s">
        <v>1007</v>
      </c>
      <c r="C408" s="580" t="s">
        <v>445</v>
      </c>
      <c r="D408" s="449" t="s">
        <v>261</v>
      </c>
      <c r="E408" s="262"/>
      <c r="F408" s="447" t="s">
        <v>1008</v>
      </c>
      <c r="G408" s="387" t="s">
        <v>1009</v>
      </c>
      <c r="H408" s="447" t="s">
        <v>1022</v>
      </c>
      <c r="I408" s="488" t="s">
        <v>264</v>
      </c>
      <c r="J408" s="448" t="s">
        <v>1023</v>
      </c>
      <c r="K408" s="263">
        <v>1</v>
      </c>
      <c r="L408" s="391">
        <v>1</v>
      </c>
      <c r="M408" s="399" t="s">
        <v>33</v>
      </c>
      <c r="N408" s="475">
        <v>1</v>
      </c>
      <c r="O408" s="391">
        <v>1</v>
      </c>
      <c r="P408" s="496">
        <f t="shared" si="58"/>
        <v>1</v>
      </c>
      <c r="Q408" s="445" t="s">
        <v>52</v>
      </c>
      <c r="R408" s="391">
        <v>1</v>
      </c>
      <c r="S408" s="362">
        <f t="shared" si="62"/>
        <v>1</v>
      </c>
      <c r="T408" s="368">
        <v>1</v>
      </c>
      <c r="U408" s="368"/>
      <c r="V408" s="368"/>
      <c r="W408" s="368"/>
      <c r="X408" s="364">
        <f t="shared" si="61"/>
        <v>1</v>
      </c>
      <c r="Y408" s="393"/>
      <c r="Z408" s="498">
        <f t="shared" si="59"/>
        <v>0</v>
      </c>
      <c r="AA408" s="368"/>
      <c r="AB408" s="368"/>
      <c r="AC408" s="368"/>
      <c r="AD408" s="368"/>
      <c r="AE408" s="365">
        <f t="shared" si="60"/>
        <v>0</v>
      </c>
      <c r="AF408" s="262"/>
      <c r="AG408" s="457"/>
      <c r="AH408" s="264"/>
    </row>
    <row r="409" spans="1:34" ht="15.75" thickBot="1" x14ac:dyDescent="0.3">
      <c r="A409" s="446" t="s">
        <v>1024</v>
      </c>
      <c r="B409" s="447" t="s">
        <v>1025</v>
      </c>
      <c r="C409" s="580" t="s">
        <v>335</v>
      </c>
      <c r="D409" s="449" t="s">
        <v>261</v>
      </c>
      <c r="E409" s="262"/>
      <c r="F409" s="470" t="s">
        <v>1026</v>
      </c>
      <c r="G409" s="387" t="e">
        <f>VLOOKUP(A409,'Feature Summary'!$A$7:$C$3944,3,FALSE)</f>
        <v>#N/A</v>
      </c>
      <c r="H409" s="447" t="s">
        <v>1027</v>
      </c>
      <c r="I409" s="488" t="s">
        <v>264</v>
      </c>
      <c r="J409" s="448" t="s">
        <v>281</v>
      </c>
      <c r="K409" s="263">
        <v>1</v>
      </c>
      <c r="L409" s="391">
        <v>1</v>
      </c>
      <c r="M409" s="399" t="s">
        <v>33</v>
      </c>
      <c r="N409" s="475">
        <v>1</v>
      </c>
      <c r="O409" s="391">
        <v>1</v>
      </c>
      <c r="P409" s="496">
        <f t="shared" si="58"/>
        <v>1</v>
      </c>
      <c r="Q409" s="445" t="s">
        <v>52</v>
      </c>
      <c r="R409" s="391">
        <v>1</v>
      </c>
      <c r="S409" s="362">
        <f t="shared" si="62"/>
        <v>1</v>
      </c>
      <c r="T409" s="368">
        <v>1</v>
      </c>
      <c r="U409" s="368"/>
      <c r="V409" s="368"/>
      <c r="W409" s="368"/>
      <c r="X409" s="364">
        <f t="shared" si="61"/>
        <v>1</v>
      </c>
      <c r="Y409" s="393"/>
      <c r="Z409" s="498">
        <f t="shared" si="59"/>
        <v>0</v>
      </c>
      <c r="AA409" s="368"/>
      <c r="AB409" s="368"/>
      <c r="AC409" s="368"/>
      <c r="AD409" s="368"/>
      <c r="AE409" s="365">
        <f t="shared" si="60"/>
        <v>0</v>
      </c>
      <c r="AF409" s="262"/>
      <c r="AG409" s="457"/>
      <c r="AH409" s="264"/>
    </row>
    <row r="410" spans="1:34" ht="30.75" thickBot="1" x14ac:dyDescent="0.3">
      <c r="A410" s="474"/>
      <c r="B410" s="447" t="s">
        <v>1025</v>
      </c>
      <c r="C410" s="580"/>
      <c r="D410" s="449" t="s">
        <v>261</v>
      </c>
      <c r="E410" s="262"/>
      <c r="F410" s="470" t="s">
        <v>1026</v>
      </c>
      <c r="G410" s="387" t="e">
        <f>VLOOKUP(A410,'Feature Summary'!$A$7:$C$3944,3,FALSE)</f>
        <v>#N/A</v>
      </c>
      <c r="H410" s="447" t="s">
        <v>1028</v>
      </c>
      <c r="I410" s="447"/>
      <c r="J410" s="448" t="s">
        <v>460</v>
      </c>
      <c r="K410" s="263"/>
      <c r="L410" s="391"/>
      <c r="M410" s="399" t="s">
        <v>33</v>
      </c>
      <c r="N410" s="475">
        <v>1</v>
      </c>
      <c r="O410" s="391"/>
      <c r="P410" s="496">
        <f t="shared" si="58"/>
        <v>0</v>
      </c>
      <c r="Q410" s="445" t="s">
        <v>52</v>
      </c>
      <c r="R410" s="391"/>
      <c r="S410" s="362">
        <f t="shared" si="62"/>
        <v>0</v>
      </c>
      <c r="T410" s="368"/>
      <c r="U410" s="368"/>
      <c r="V410" s="368">
        <v>0</v>
      </c>
      <c r="W410" s="368"/>
      <c r="X410" s="364">
        <f t="shared" si="61"/>
        <v>0</v>
      </c>
      <c r="Y410" s="393"/>
      <c r="Z410" s="498">
        <f t="shared" si="59"/>
        <v>0</v>
      </c>
      <c r="AA410" s="368"/>
      <c r="AB410" s="368"/>
      <c r="AC410" s="368"/>
      <c r="AD410" s="368"/>
      <c r="AE410" s="365">
        <f t="shared" si="60"/>
        <v>0</v>
      </c>
      <c r="AF410" s="262"/>
      <c r="AG410" s="457"/>
      <c r="AH410" s="264"/>
    </row>
    <row r="411" spans="1:34" ht="15.75" thickBot="1" x14ac:dyDescent="0.3">
      <c r="A411" s="474"/>
      <c r="B411" s="447" t="s">
        <v>1025</v>
      </c>
      <c r="C411" s="580"/>
      <c r="D411" s="449" t="s">
        <v>261</v>
      </c>
      <c r="E411" s="262"/>
      <c r="F411" s="470" t="s">
        <v>1026</v>
      </c>
      <c r="G411" s="387" t="e">
        <f>VLOOKUP(A411,'Feature Summary'!$A$7:$C$3944,3,FALSE)</f>
        <v>#N/A</v>
      </c>
      <c r="H411" s="447" t="s">
        <v>1029</v>
      </c>
      <c r="I411" s="447"/>
      <c r="J411" s="448" t="s">
        <v>489</v>
      </c>
      <c r="K411" s="263"/>
      <c r="L411" s="391"/>
      <c r="M411" s="399" t="s">
        <v>33</v>
      </c>
      <c r="N411" s="475">
        <v>1</v>
      </c>
      <c r="O411" s="391"/>
      <c r="P411" s="496">
        <f t="shared" si="58"/>
        <v>0</v>
      </c>
      <c r="Q411" s="445" t="s">
        <v>52</v>
      </c>
      <c r="R411" s="391"/>
      <c r="S411" s="362">
        <f t="shared" si="62"/>
        <v>0</v>
      </c>
      <c r="T411" s="368"/>
      <c r="U411" s="368"/>
      <c r="V411" s="368"/>
      <c r="W411" s="368"/>
      <c r="X411" s="364">
        <f t="shared" si="61"/>
        <v>0</v>
      </c>
      <c r="Y411" s="393"/>
      <c r="Z411" s="498">
        <f t="shared" si="59"/>
        <v>0</v>
      </c>
      <c r="AA411" s="368"/>
      <c r="AB411" s="368"/>
      <c r="AC411" s="368"/>
      <c r="AD411" s="368"/>
      <c r="AE411" s="365">
        <f t="shared" si="60"/>
        <v>0</v>
      </c>
      <c r="AF411" s="262"/>
      <c r="AG411" s="457"/>
      <c r="AH411" s="264"/>
    </row>
    <row r="412" spans="1:34" ht="15.75" thickBot="1" x14ac:dyDescent="0.3">
      <c r="A412" s="446" t="s">
        <v>1024</v>
      </c>
      <c r="B412" s="447" t="s">
        <v>1025</v>
      </c>
      <c r="C412" s="580" t="s">
        <v>335</v>
      </c>
      <c r="D412" s="449" t="s">
        <v>261</v>
      </c>
      <c r="E412" s="262"/>
      <c r="F412" s="470" t="s">
        <v>1030</v>
      </c>
      <c r="G412" s="387" t="e">
        <f>VLOOKUP(A412,'Feature Summary'!$A$7:$C$3944,3,FALSE)</f>
        <v>#N/A</v>
      </c>
      <c r="H412" s="447" t="s">
        <v>1031</v>
      </c>
      <c r="I412" s="488" t="s">
        <v>264</v>
      </c>
      <c r="J412" s="448" t="s">
        <v>281</v>
      </c>
      <c r="K412" s="263">
        <v>1</v>
      </c>
      <c r="L412" s="391">
        <v>1</v>
      </c>
      <c r="M412" s="399" t="s">
        <v>33</v>
      </c>
      <c r="N412" s="475">
        <v>1</v>
      </c>
      <c r="O412" s="391">
        <v>1</v>
      </c>
      <c r="P412" s="496">
        <f t="shared" si="58"/>
        <v>1</v>
      </c>
      <c r="Q412" s="445" t="s">
        <v>52</v>
      </c>
      <c r="R412" s="391">
        <v>1</v>
      </c>
      <c r="S412" s="362">
        <f t="shared" si="62"/>
        <v>1</v>
      </c>
      <c r="T412" s="368">
        <v>1</v>
      </c>
      <c r="U412" s="368"/>
      <c r="V412" s="368"/>
      <c r="W412" s="368"/>
      <c r="X412" s="364">
        <f t="shared" si="61"/>
        <v>1</v>
      </c>
      <c r="Y412" s="393"/>
      <c r="Z412" s="498">
        <f t="shared" si="59"/>
        <v>0</v>
      </c>
      <c r="AA412" s="368"/>
      <c r="AB412" s="368"/>
      <c r="AC412" s="368"/>
      <c r="AD412" s="368"/>
      <c r="AE412" s="365">
        <f t="shared" si="60"/>
        <v>0</v>
      </c>
      <c r="AF412" s="262"/>
      <c r="AG412" s="457"/>
      <c r="AH412" s="264"/>
    </row>
    <row r="413" spans="1:34" ht="30.75" thickBot="1" x14ac:dyDescent="0.3">
      <c r="A413" s="474"/>
      <c r="B413" s="447" t="s">
        <v>1025</v>
      </c>
      <c r="C413" s="580"/>
      <c r="D413" s="449" t="s">
        <v>261</v>
      </c>
      <c r="E413" s="262"/>
      <c r="F413" s="470" t="s">
        <v>1030</v>
      </c>
      <c r="G413" s="387" t="e">
        <f>VLOOKUP(A413,'Feature Summary'!$A$7:$C$3944,3,FALSE)</f>
        <v>#N/A</v>
      </c>
      <c r="H413" s="447" t="s">
        <v>1032</v>
      </c>
      <c r="I413" s="447"/>
      <c r="J413" s="448" t="s">
        <v>460</v>
      </c>
      <c r="K413" s="263"/>
      <c r="L413" s="391"/>
      <c r="M413" s="399" t="s">
        <v>33</v>
      </c>
      <c r="N413" s="475">
        <v>1</v>
      </c>
      <c r="O413" s="391"/>
      <c r="P413" s="496">
        <f t="shared" si="58"/>
        <v>0</v>
      </c>
      <c r="Q413" s="445" t="s">
        <v>52</v>
      </c>
      <c r="R413" s="391"/>
      <c r="S413" s="362">
        <f t="shared" si="62"/>
        <v>0</v>
      </c>
      <c r="T413" s="368"/>
      <c r="U413" s="368"/>
      <c r="V413" s="368"/>
      <c r="W413" s="368"/>
      <c r="X413" s="364">
        <f t="shared" si="61"/>
        <v>0</v>
      </c>
      <c r="Y413" s="393"/>
      <c r="Z413" s="498">
        <f t="shared" si="59"/>
        <v>0</v>
      </c>
      <c r="AA413" s="368"/>
      <c r="AB413" s="368"/>
      <c r="AC413" s="368"/>
      <c r="AD413" s="368"/>
      <c r="AE413" s="365">
        <f t="shared" si="60"/>
        <v>0</v>
      </c>
      <c r="AF413" s="262"/>
      <c r="AG413" s="457"/>
      <c r="AH413" s="264"/>
    </row>
    <row r="414" spans="1:34" ht="15.75" thickBot="1" x14ac:dyDescent="0.3">
      <c r="A414" s="474"/>
      <c r="B414" s="447" t="s">
        <v>1025</v>
      </c>
      <c r="C414" s="580"/>
      <c r="D414" s="449" t="s">
        <v>261</v>
      </c>
      <c r="E414" s="262"/>
      <c r="F414" s="470" t="s">
        <v>1030</v>
      </c>
      <c r="G414" s="387" t="e">
        <f>VLOOKUP(A414,'Feature Summary'!$A$7:$C$3944,3,FALSE)</f>
        <v>#N/A</v>
      </c>
      <c r="H414" s="447" t="s">
        <v>1033</v>
      </c>
      <c r="I414" s="447"/>
      <c r="J414" s="448" t="s">
        <v>489</v>
      </c>
      <c r="K414" s="263"/>
      <c r="L414" s="391"/>
      <c r="M414" s="399" t="s">
        <v>33</v>
      </c>
      <c r="N414" s="475">
        <v>1</v>
      </c>
      <c r="O414" s="391"/>
      <c r="P414" s="496">
        <f t="shared" si="58"/>
        <v>0</v>
      </c>
      <c r="Q414" s="445" t="s">
        <v>52</v>
      </c>
      <c r="R414" s="391"/>
      <c r="S414" s="362">
        <f t="shared" si="62"/>
        <v>0</v>
      </c>
      <c r="T414" s="368"/>
      <c r="U414" s="368"/>
      <c r="V414" s="368"/>
      <c r="W414" s="368"/>
      <c r="X414" s="364">
        <f t="shared" si="61"/>
        <v>0</v>
      </c>
      <c r="Y414" s="393"/>
      <c r="Z414" s="498">
        <f t="shared" si="59"/>
        <v>0</v>
      </c>
      <c r="AA414" s="368"/>
      <c r="AB414" s="368"/>
      <c r="AC414" s="368"/>
      <c r="AD414" s="368"/>
      <c r="AE414" s="365">
        <f t="shared" si="60"/>
        <v>0</v>
      </c>
      <c r="AF414" s="262"/>
      <c r="AG414" s="457"/>
      <c r="AH414" s="264"/>
    </row>
    <row r="415" spans="1:34" ht="30.75" thickBot="1" x14ac:dyDescent="0.3">
      <c r="A415" s="474"/>
      <c r="B415" s="447" t="s">
        <v>1002</v>
      </c>
      <c r="C415" s="580"/>
      <c r="D415" s="449" t="s">
        <v>261</v>
      </c>
      <c r="E415" s="262"/>
      <c r="F415" s="447" t="s">
        <v>1003</v>
      </c>
      <c r="G415" s="387" t="e">
        <f>VLOOKUP(A415,'Feature Summary'!$A$7:$C$3944,3,FALSE)</f>
        <v>#N/A</v>
      </c>
      <c r="H415" s="447" t="s">
        <v>1034</v>
      </c>
      <c r="I415" s="447"/>
      <c r="J415" s="448" t="s">
        <v>297</v>
      </c>
      <c r="K415" s="263"/>
      <c r="L415" s="391"/>
      <c r="M415" s="399" t="s">
        <v>33</v>
      </c>
      <c r="N415" s="475">
        <v>1</v>
      </c>
      <c r="O415" s="391"/>
      <c r="P415" s="496">
        <f t="shared" si="58"/>
        <v>0</v>
      </c>
      <c r="Q415" s="445" t="s">
        <v>52</v>
      </c>
      <c r="R415" s="391"/>
      <c r="S415" s="362">
        <f t="shared" si="62"/>
        <v>0</v>
      </c>
      <c r="T415" s="368"/>
      <c r="U415" s="368"/>
      <c r="V415" s="368"/>
      <c r="W415" s="368"/>
      <c r="X415" s="364">
        <f t="shared" si="61"/>
        <v>0</v>
      </c>
      <c r="Y415" s="393"/>
      <c r="Z415" s="498">
        <f t="shared" si="59"/>
        <v>0</v>
      </c>
      <c r="AA415" s="368"/>
      <c r="AB415" s="368"/>
      <c r="AC415" s="368"/>
      <c r="AD415" s="368"/>
      <c r="AE415" s="365">
        <f t="shared" si="60"/>
        <v>0</v>
      </c>
      <c r="AF415" s="262"/>
      <c r="AG415" s="457"/>
      <c r="AH415" s="264"/>
    </row>
    <row r="416" spans="1:34" ht="21" customHeight="1" thickBot="1" x14ac:dyDescent="0.3">
      <c r="A416" s="474"/>
      <c r="B416" s="447" t="s">
        <v>1035</v>
      </c>
      <c r="C416" s="463" t="s">
        <v>260</v>
      </c>
      <c r="D416" s="449" t="s">
        <v>261</v>
      </c>
      <c r="E416" s="262"/>
      <c r="F416" s="470" t="s">
        <v>1036</v>
      </c>
      <c r="G416" s="387" t="e">
        <f>VLOOKUP(A416,'Feature Summary'!$A$7:$C$3944,3,FALSE)</f>
        <v>#N/A</v>
      </c>
      <c r="H416" s="447" t="s">
        <v>1037</v>
      </c>
      <c r="I416" s="488" t="s">
        <v>264</v>
      </c>
      <c r="J416" s="448" t="s">
        <v>281</v>
      </c>
      <c r="K416" s="263">
        <v>1</v>
      </c>
      <c r="L416" s="391">
        <v>16</v>
      </c>
      <c r="M416" s="399" t="s">
        <v>33</v>
      </c>
      <c r="N416" s="475">
        <v>1</v>
      </c>
      <c r="O416" s="391">
        <v>0</v>
      </c>
      <c r="P416" s="496">
        <f t="shared" si="58"/>
        <v>0</v>
      </c>
      <c r="Q416" s="445" t="s">
        <v>52</v>
      </c>
      <c r="R416" s="391">
        <v>16</v>
      </c>
      <c r="S416" s="362">
        <f t="shared" si="62"/>
        <v>16</v>
      </c>
      <c r="T416" s="368"/>
      <c r="U416" s="368">
        <v>16</v>
      </c>
      <c r="V416" s="368"/>
      <c r="W416" s="368"/>
      <c r="X416" s="364">
        <f t="shared" si="61"/>
        <v>1</v>
      </c>
      <c r="Y416" s="393"/>
      <c r="Z416" s="498">
        <f t="shared" si="59"/>
        <v>0</v>
      </c>
      <c r="AA416" s="368"/>
      <c r="AB416" s="368"/>
      <c r="AC416" s="368"/>
      <c r="AD416" s="368"/>
      <c r="AE416" s="365">
        <f t="shared" si="60"/>
        <v>0</v>
      </c>
      <c r="AF416" s="262"/>
      <c r="AG416" s="457"/>
      <c r="AH416" s="264"/>
    </row>
    <row r="417" spans="1:34" ht="21.75" customHeight="1" thickBot="1" x14ac:dyDescent="0.3">
      <c r="A417" s="474"/>
      <c r="B417" s="447" t="s">
        <v>1035</v>
      </c>
      <c r="C417" s="463"/>
      <c r="D417" s="449" t="s">
        <v>261</v>
      </c>
      <c r="E417" s="262"/>
      <c r="F417" s="470" t="s">
        <v>1036</v>
      </c>
      <c r="G417" s="387" t="e">
        <f>VLOOKUP(A417,'Feature Summary'!$A$7:$C$3944,3,FALSE)</f>
        <v>#N/A</v>
      </c>
      <c r="H417" s="447" t="s">
        <v>1038</v>
      </c>
      <c r="I417" s="447"/>
      <c r="J417" s="448" t="s">
        <v>328</v>
      </c>
      <c r="K417" s="263"/>
      <c r="L417" s="391"/>
      <c r="M417" s="399" t="s">
        <v>33</v>
      </c>
      <c r="N417" s="475">
        <v>1</v>
      </c>
      <c r="O417" s="391"/>
      <c r="P417" s="496">
        <f t="shared" si="58"/>
        <v>0</v>
      </c>
      <c r="Q417" s="445" t="s">
        <v>52</v>
      </c>
      <c r="R417" s="391"/>
      <c r="S417" s="362">
        <f t="shared" si="62"/>
        <v>0</v>
      </c>
      <c r="T417" s="368"/>
      <c r="U417" s="368"/>
      <c r="V417" s="368"/>
      <c r="W417" s="368"/>
      <c r="X417" s="364">
        <f t="shared" si="61"/>
        <v>0</v>
      </c>
      <c r="Y417" s="393"/>
      <c r="Z417" s="498">
        <f t="shared" si="59"/>
        <v>0</v>
      </c>
      <c r="AA417" s="368"/>
      <c r="AB417" s="368"/>
      <c r="AC417" s="368"/>
      <c r="AD417" s="368"/>
      <c r="AE417" s="365">
        <f t="shared" si="60"/>
        <v>0</v>
      </c>
      <c r="AF417" s="578"/>
      <c r="AG417" s="457"/>
      <c r="AH417" s="264"/>
    </row>
    <row r="418" spans="1:34" ht="22.5" customHeight="1" thickBot="1" x14ac:dyDescent="0.3">
      <c r="A418" s="474"/>
      <c r="B418" s="447" t="s">
        <v>1035</v>
      </c>
      <c r="C418" s="463"/>
      <c r="D418" s="449" t="s">
        <v>261</v>
      </c>
      <c r="E418" s="262"/>
      <c r="F418" s="470" t="s">
        <v>1036</v>
      </c>
      <c r="G418" s="387" t="e">
        <f>VLOOKUP(A418,'Feature Summary'!$A$7:$C$3944,3,FALSE)</f>
        <v>#N/A</v>
      </c>
      <c r="H418" s="447" t="s">
        <v>1039</v>
      </c>
      <c r="I418" s="447"/>
      <c r="J418" s="448" t="s">
        <v>297</v>
      </c>
      <c r="K418" s="263"/>
      <c r="L418" s="391"/>
      <c r="M418" s="399" t="s">
        <v>33</v>
      </c>
      <c r="N418" s="475">
        <v>1</v>
      </c>
      <c r="O418" s="391"/>
      <c r="P418" s="496">
        <f t="shared" si="58"/>
        <v>0</v>
      </c>
      <c r="Q418" s="445" t="s">
        <v>52</v>
      </c>
      <c r="R418" s="391"/>
      <c r="S418" s="362">
        <f t="shared" si="62"/>
        <v>0</v>
      </c>
      <c r="T418" s="368"/>
      <c r="U418" s="368"/>
      <c r="V418" s="368"/>
      <c r="W418" s="368"/>
      <c r="X418" s="364">
        <f t="shared" si="61"/>
        <v>0</v>
      </c>
      <c r="Y418" s="393"/>
      <c r="Z418" s="498">
        <f t="shared" si="59"/>
        <v>0</v>
      </c>
      <c r="AA418" s="368"/>
      <c r="AB418" s="368"/>
      <c r="AC418" s="368"/>
      <c r="AD418" s="368"/>
      <c r="AE418" s="365">
        <f t="shared" si="60"/>
        <v>0</v>
      </c>
      <c r="AF418" s="578"/>
      <c r="AG418" s="457"/>
      <c r="AH418" s="264"/>
    </row>
    <row r="419" spans="1:34" ht="21.75" customHeight="1" thickBot="1" x14ac:dyDescent="0.3">
      <c r="A419" s="474"/>
      <c r="B419" s="447" t="s">
        <v>1035</v>
      </c>
      <c r="C419" s="463"/>
      <c r="D419" s="449" t="s">
        <v>261</v>
      </c>
      <c r="E419" s="262"/>
      <c r="F419" s="470" t="s">
        <v>1036</v>
      </c>
      <c r="G419" s="387" t="e">
        <f>VLOOKUP(A419,'Feature Summary'!$A$7:$C$3944,3,FALSE)</f>
        <v>#N/A</v>
      </c>
      <c r="H419" s="447" t="s">
        <v>1040</v>
      </c>
      <c r="I419" s="447"/>
      <c r="J419" s="448" t="s">
        <v>295</v>
      </c>
      <c r="K419" s="263"/>
      <c r="L419" s="391"/>
      <c r="M419" s="399" t="s">
        <v>33</v>
      </c>
      <c r="N419" s="475">
        <v>1</v>
      </c>
      <c r="O419" s="391"/>
      <c r="P419" s="496">
        <f t="shared" si="58"/>
        <v>0</v>
      </c>
      <c r="Q419" s="445" t="s">
        <v>52</v>
      </c>
      <c r="R419" s="391"/>
      <c r="S419" s="362">
        <f t="shared" si="62"/>
        <v>0</v>
      </c>
      <c r="T419" s="368"/>
      <c r="U419" s="368"/>
      <c r="V419" s="368"/>
      <c r="W419" s="368"/>
      <c r="X419" s="364">
        <f t="shared" si="61"/>
        <v>0</v>
      </c>
      <c r="Y419" s="393"/>
      <c r="Z419" s="498">
        <f t="shared" si="59"/>
        <v>0</v>
      </c>
      <c r="AA419" s="368"/>
      <c r="AB419" s="368"/>
      <c r="AC419" s="368"/>
      <c r="AD419" s="368"/>
      <c r="AE419" s="365">
        <f t="shared" si="60"/>
        <v>0</v>
      </c>
      <c r="AF419" s="578"/>
      <c r="AG419" s="457"/>
      <c r="AH419" s="264"/>
    </row>
    <row r="420" spans="1:34" ht="30.75" thickBot="1" x14ac:dyDescent="0.3">
      <c r="A420" s="474"/>
      <c r="B420" s="463"/>
      <c r="C420" s="463"/>
      <c r="D420" s="449" t="s">
        <v>431</v>
      </c>
      <c r="E420" s="262"/>
      <c r="F420" s="470" t="s">
        <v>1041</v>
      </c>
      <c r="G420" s="387" t="e">
        <f>VLOOKUP(A420,'Feature Summary'!$A$7:$C$3944,3,FALSE)</f>
        <v>#N/A</v>
      </c>
      <c r="H420" s="447" t="s">
        <v>1042</v>
      </c>
      <c r="I420" s="447"/>
      <c r="J420" s="448" t="s">
        <v>328</v>
      </c>
      <c r="K420" s="263"/>
      <c r="L420" s="391"/>
      <c r="M420" s="399" t="s">
        <v>33</v>
      </c>
      <c r="N420" s="475">
        <v>1</v>
      </c>
      <c r="O420" s="391"/>
      <c r="P420" s="496">
        <f t="shared" si="58"/>
        <v>0</v>
      </c>
      <c r="Q420" s="445" t="s">
        <v>52</v>
      </c>
      <c r="R420" s="391"/>
      <c r="S420" s="362">
        <f t="shared" si="62"/>
        <v>0</v>
      </c>
      <c r="T420" s="568"/>
      <c r="U420" s="568"/>
      <c r="V420" s="568"/>
      <c r="W420" s="568"/>
      <c r="X420" s="364">
        <f t="shared" si="61"/>
        <v>0</v>
      </c>
      <c r="Y420" s="393"/>
      <c r="Z420" s="498">
        <f t="shared" si="59"/>
        <v>0</v>
      </c>
      <c r="AA420" s="368"/>
      <c r="AB420" s="368"/>
      <c r="AC420" s="368"/>
      <c r="AD420" s="368"/>
      <c r="AE420" s="365">
        <f t="shared" si="60"/>
        <v>0</v>
      </c>
      <c r="AF420" s="578"/>
      <c r="AG420" s="457"/>
      <c r="AH420" s="264"/>
    </row>
    <row r="421" spans="1:34" ht="30.75" thickBot="1" x14ac:dyDescent="0.3">
      <c r="A421" s="474"/>
      <c r="B421" s="463"/>
      <c r="C421" s="463"/>
      <c r="D421" s="449" t="s">
        <v>431</v>
      </c>
      <c r="E421" s="262"/>
      <c r="F421" s="470" t="s">
        <v>1041</v>
      </c>
      <c r="G421" s="387" t="e">
        <f>VLOOKUP(A421,'Feature Summary'!$A$7:$C$3944,3,FALSE)</f>
        <v>#N/A</v>
      </c>
      <c r="H421" s="447" t="s">
        <v>1043</v>
      </c>
      <c r="I421" s="447"/>
      <c r="J421" s="448" t="s">
        <v>297</v>
      </c>
      <c r="K421" s="263"/>
      <c r="L421" s="391"/>
      <c r="M421" s="399" t="s">
        <v>33</v>
      </c>
      <c r="N421" s="475">
        <v>1</v>
      </c>
      <c r="O421" s="391"/>
      <c r="P421" s="496">
        <f t="shared" si="58"/>
        <v>0</v>
      </c>
      <c r="Q421" s="445" t="s">
        <v>52</v>
      </c>
      <c r="R421" s="391"/>
      <c r="S421" s="362">
        <f t="shared" si="62"/>
        <v>0</v>
      </c>
      <c r="T421" s="368"/>
      <c r="U421" s="368"/>
      <c r="V421" s="368"/>
      <c r="W421" s="368"/>
      <c r="X421" s="364">
        <f t="shared" si="61"/>
        <v>0</v>
      </c>
      <c r="Y421" s="393"/>
      <c r="Z421" s="498">
        <f t="shared" si="59"/>
        <v>0</v>
      </c>
      <c r="AA421" s="368"/>
      <c r="AB421" s="368"/>
      <c r="AC421" s="368"/>
      <c r="AD421" s="368"/>
      <c r="AE421" s="365">
        <f t="shared" si="60"/>
        <v>0</v>
      </c>
      <c r="AF421" s="578"/>
      <c r="AG421" s="457"/>
      <c r="AH421" s="264"/>
    </row>
    <row r="422" spans="1:34" ht="30.75" thickBot="1" x14ac:dyDescent="0.3">
      <c r="A422" s="474"/>
      <c r="B422" s="463"/>
      <c r="C422" s="463"/>
      <c r="D422" s="449" t="s">
        <v>431</v>
      </c>
      <c r="E422" s="262"/>
      <c r="F422" s="470" t="s">
        <v>1041</v>
      </c>
      <c r="G422" s="387" t="e">
        <f>VLOOKUP(A422,'Feature Summary'!$A$7:$C$3944,3,FALSE)</f>
        <v>#N/A</v>
      </c>
      <c r="H422" s="447" t="s">
        <v>1044</v>
      </c>
      <c r="I422" s="447"/>
      <c r="J422" s="448" t="s">
        <v>295</v>
      </c>
      <c r="K422" s="263"/>
      <c r="L422" s="391"/>
      <c r="M422" s="399" t="s">
        <v>33</v>
      </c>
      <c r="N422" s="475">
        <v>1</v>
      </c>
      <c r="O422" s="391"/>
      <c r="P422" s="496">
        <f t="shared" si="58"/>
        <v>0</v>
      </c>
      <c r="Q422" s="445" t="s">
        <v>52</v>
      </c>
      <c r="R422" s="391"/>
      <c r="S422" s="362">
        <f t="shared" si="62"/>
        <v>0</v>
      </c>
      <c r="T422" s="368"/>
      <c r="U422" s="368"/>
      <c r="V422" s="368"/>
      <c r="W422" s="368"/>
      <c r="X422" s="364">
        <f t="shared" si="61"/>
        <v>0</v>
      </c>
      <c r="Y422" s="393"/>
      <c r="Z422" s="498">
        <f t="shared" si="59"/>
        <v>0</v>
      </c>
      <c r="AA422" s="368"/>
      <c r="AB422" s="368"/>
      <c r="AC422" s="368"/>
      <c r="AD422" s="368"/>
      <c r="AE422" s="365">
        <f t="shared" si="60"/>
        <v>0</v>
      </c>
      <c r="AF422" s="578"/>
      <c r="AG422" s="457"/>
      <c r="AH422" s="264"/>
    </row>
    <row r="423" spans="1:34" ht="45.75" thickBot="1" x14ac:dyDescent="0.3">
      <c r="A423" s="474" t="s">
        <v>1045</v>
      </c>
      <c r="B423" s="447" t="s">
        <v>1046</v>
      </c>
      <c r="C423" s="463" t="s">
        <v>445</v>
      </c>
      <c r="D423" s="449" t="s">
        <v>261</v>
      </c>
      <c r="E423" s="262"/>
      <c r="F423" s="470" t="s">
        <v>1047</v>
      </c>
      <c r="G423" s="387" t="str">
        <f>VLOOKUP(A423,'Feature Summary'!$A$7:$C$3944,3,FALSE)</f>
        <v>P2</v>
      </c>
      <c r="H423" s="447" t="s">
        <v>1048</v>
      </c>
      <c r="I423" s="488" t="s">
        <v>264</v>
      </c>
      <c r="J423" s="448" t="s">
        <v>281</v>
      </c>
      <c r="K423" s="263">
        <v>1</v>
      </c>
      <c r="L423" s="391">
        <v>2</v>
      </c>
      <c r="M423" s="399" t="s">
        <v>33</v>
      </c>
      <c r="N423" s="475">
        <v>1</v>
      </c>
      <c r="O423" s="391">
        <v>2</v>
      </c>
      <c r="P423" s="496">
        <f t="shared" si="58"/>
        <v>1</v>
      </c>
      <c r="Q423" s="445" t="s">
        <v>52</v>
      </c>
      <c r="R423" s="391">
        <v>2</v>
      </c>
      <c r="S423" s="362">
        <f t="shared" si="62"/>
        <v>2</v>
      </c>
      <c r="T423" s="368">
        <v>2</v>
      </c>
      <c r="U423" s="368"/>
      <c r="V423" s="368"/>
      <c r="W423" s="368"/>
      <c r="X423" s="364">
        <f t="shared" si="61"/>
        <v>1</v>
      </c>
      <c r="Y423" s="393"/>
      <c r="Z423" s="498">
        <f t="shared" si="59"/>
        <v>0</v>
      </c>
      <c r="AA423" s="368"/>
      <c r="AB423" s="368"/>
      <c r="AC423" s="368"/>
      <c r="AD423" s="368"/>
      <c r="AE423" s="365">
        <f t="shared" si="60"/>
        <v>0</v>
      </c>
      <c r="AF423" s="262"/>
      <c r="AG423" s="457"/>
      <c r="AH423" s="264"/>
    </row>
    <row r="424" spans="1:34" ht="45.75" thickBot="1" x14ac:dyDescent="0.3">
      <c r="A424" s="474"/>
      <c r="B424" s="447" t="s">
        <v>1046</v>
      </c>
      <c r="C424" s="463"/>
      <c r="D424" s="449" t="s">
        <v>261</v>
      </c>
      <c r="E424" s="262"/>
      <c r="F424" s="470" t="s">
        <v>1047</v>
      </c>
      <c r="G424" s="387" t="e">
        <f>VLOOKUP(A424,'Feature Summary'!$A$7:$C$3944,3,FALSE)</f>
        <v>#N/A</v>
      </c>
      <c r="H424" s="447" t="s">
        <v>1049</v>
      </c>
      <c r="I424" s="447"/>
      <c r="J424" s="448" t="s">
        <v>328</v>
      </c>
      <c r="K424" s="263"/>
      <c r="L424" s="391"/>
      <c r="M424" s="399" t="s">
        <v>33</v>
      </c>
      <c r="N424" s="475">
        <v>1</v>
      </c>
      <c r="O424" s="391"/>
      <c r="P424" s="496">
        <f t="shared" si="58"/>
        <v>0</v>
      </c>
      <c r="Q424" s="445" t="s">
        <v>52</v>
      </c>
      <c r="R424" s="391"/>
      <c r="S424" s="362">
        <f t="shared" si="62"/>
        <v>0</v>
      </c>
      <c r="T424" s="368"/>
      <c r="U424" s="368"/>
      <c r="V424" s="368"/>
      <c r="W424" s="368"/>
      <c r="X424" s="364">
        <f t="shared" si="61"/>
        <v>0</v>
      </c>
      <c r="Y424" s="393"/>
      <c r="Z424" s="498">
        <f t="shared" si="59"/>
        <v>0</v>
      </c>
      <c r="AA424" s="368"/>
      <c r="AB424" s="368"/>
      <c r="AC424" s="368"/>
      <c r="AD424" s="368"/>
      <c r="AE424" s="365">
        <f t="shared" si="60"/>
        <v>0</v>
      </c>
      <c r="AF424" s="262"/>
      <c r="AG424" s="457"/>
      <c r="AH424" s="264"/>
    </row>
    <row r="425" spans="1:34" ht="45.75" thickBot="1" x14ac:dyDescent="0.3">
      <c r="A425" s="474"/>
      <c r="B425" s="447" t="s">
        <v>1046</v>
      </c>
      <c r="C425" s="463"/>
      <c r="D425" s="449" t="s">
        <v>261</v>
      </c>
      <c r="E425" s="262"/>
      <c r="F425" s="470" t="s">
        <v>1047</v>
      </c>
      <c r="G425" s="387" t="e">
        <f>VLOOKUP(A425,'Feature Summary'!$A$7:$C$3944,3,FALSE)</f>
        <v>#N/A</v>
      </c>
      <c r="H425" s="447" t="s">
        <v>1050</v>
      </c>
      <c r="I425" s="447"/>
      <c r="J425" s="448" t="s">
        <v>297</v>
      </c>
      <c r="K425" s="263"/>
      <c r="L425" s="391"/>
      <c r="M425" s="399" t="s">
        <v>33</v>
      </c>
      <c r="N425" s="475">
        <v>1</v>
      </c>
      <c r="O425" s="391"/>
      <c r="P425" s="496">
        <f t="shared" si="58"/>
        <v>0</v>
      </c>
      <c r="Q425" s="445" t="s">
        <v>52</v>
      </c>
      <c r="R425" s="391"/>
      <c r="S425" s="362">
        <f t="shared" si="62"/>
        <v>0</v>
      </c>
      <c r="T425" s="368"/>
      <c r="U425" s="368"/>
      <c r="V425" s="368"/>
      <c r="W425" s="368"/>
      <c r="X425" s="364">
        <f t="shared" si="61"/>
        <v>0</v>
      </c>
      <c r="Y425" s="393"/>
      <c r="Z425" s="498">
        <f t="shared" si="59"/>
        <v>0</v>
      </c>
      <c r="AA425" s="368"/>
      <c r="AB425" s="368"/>
      <c r="AC425" s="368"/>
      <c r="AD425" s="368"/>
      <c r="AE425" s="365">
        <f t="shared" si="60"/>
        <v>0</v>
      </c>
      <c r="AF425" s="262"/>
      <c r="AG425" s="457"/>
      <c r="AH425" s="264"/>
    </row>
    <row r="426" spans="1:34" ht="45.75" thickBot="1" x14ac:dyDescent="0.3">
      <c r="A426" s="474" t="s">
        <v>1051</v>
      </c>
      <c r="B426" s="447" t="s">
        <v>1052</v>
      </c>
      <c r="C426" s="463" t="s">
        <v>445</v>
      </c>
      <c r="D426" s="449" t="s">
        <v>261</v>
      </c>
      <c r="E426" s="262"/>
      <c r="F426" s="470" t="s">
        <v>1053</v>
      </c>
      <c r="G426" s="387" t="str">
        <f>VLOOKUP(A426,'Feature Summary'!$A$7:$C$3944,3,FALSE)</f>
        <v>P2</v>
      </c>
      <c r="H426" s="447" t="s">
        <v>1054</v>
      </c>
      <c r="I426" s="488" t="s">
        <v>264</v>
      </c>
      <c r="J426" s="448" t="s">
        <v>281</v>
      </c>
      <c r="K426" s="263">
        <v>1</v>
      </c>
      <c r="L426" s="391">
        <v>2</v>
      </c>
      <c r="M426" s="399" t="s">
        <v>33</v>
      </c>
      <c r="N426" s="475">
        <v>1</v>
      </c>
      <c r="O426" s="391">
        <v>2</v>
      </c>
      <c r="P426" s="496">
        <f t="shared" si="58"/>
        <v>1</v>
      </c>
      <c r="Q426" s="445" t="s">
        <v>52</v>
      </c>
      <c r="R426" s="391">
        <v>2</v>
      </c>
      <c r="S426" s="362">
        <f t="shared" si="62"/>
        <v>2</v>
      </c>
      <c r="T426" s="368">
        <v>2</v>
      </c>
      <c r="U426" s="368"/>
      <c r="V426" s="368"/>
      <c r="W426" s="368"/>
      <c r="X426" s="364">
        <f t="shared" si="61"/>
        <v>1</v>
      </c>
      <c r="Y426" s="393"/>
      <c r="Z426" s="498">
        <f t="shared" si="59"/>
        <v>0</v>
      </c>
      <c r="AA426" s="368"/>
      <c r="AB426" s="368"/>
      <c r="AC426" s="368"/>
      <c r="AD426" s="368"/>
      <c r="AE426" s="365">
        <f t="shared" si="60"/>
        <v>0</v>
      </c>
      <c r="AF426" s="262"/>
      <c r="AG426" s="457"/>
      <c r="AH426" s="264"/>
    </row>
    <row r="427" spans="1:34" ht="45.75" thickBot="1" x14ac:dyDescent="0.3">
      <c r="A427" s="474"/>
      <c r="B427" s="447" t="s">
        <v>1052</v>
      </c>
      <c r="C427" s="463"/>
      <c r="D427" s="449" t="s">
        <v>261</v>
      </c>
      <c r="E427" s="262"/>
      <c r="F427" s="470" t="s">
        <v>1053</v>
      </c>
      <c r="G427" s="387" t="e">
        <f>VLOOKUP(A427,'Feature Summary'!$A$7:$C$3944,3,FALSE)</f>
        <v>#N/A</v>
      </c>
      <c r="H427" s="447" t="s">
        <v>1055</v>
      </c>
      <c r="I427" s="447"/>
      <c r="J427" s="448" t="s">
        <v>328</v>
      </c>
      <c r="K427" s="263"/>
      <c r="L427" s="391"/>
      <c r="M427" s="399" t="s">
        <v>33</v>
      </c>
      <c r="N427" s="475">
        <v>1</v>
      </c>
      <c r="O427" s="391"/>
      <c r="P427" s="496">
        <f t="shared" si="58"/>
        <v>0</v>
      </c>
      <c r="Q427" s="445" t="s">
        <v>52</v>
      </c>
      <c r="R427" s="391"/>
      <c r="S427" s="362">
        <f t="shared" si="62"/>
        <v>0</v>
      </c>
      <c r="T427" s="368"/>
      <c r="U427" s="368"/>
      <c r="V427" s="368"/>
      <c r="W427" s="368"/>
      <c r="X427" s="364">
        <f t="shared" si="61"/>
        <v>0</v>
      </c>
      <c r="Y427" s="393"/>
      <c r="Z427" s="498">
        <f t="shared" si="59"/>
        <v>0</v>
      </c>
      <c r="AA427" s="368"/>
      <c r="AB427" s="368"/>
      <c r="AC427" s="368"/>
      <c r="AD427" s="368"/>
      <c r="AE427" s="365">
        <f t="shared" si="60"/>
        <v>0</v>
      </c>
      <c r="AF427" s="262"/>
      <c r="AG427" s="457"/>
      <c r="AH427" s="264"/>
    </row>
    <row r="428" spans="1:34" ht="21.75" customHeight="1" thickBot="1" x14ac:dyDescent="0.3">
      <c r="A428" s="474"/>
      <c r="B428" s="447" t="s">
        <v>1052</v>
      </c>
      <c r="C428" s="463"/>
      <c r="D428" s="449" t="s">
        <v>261</v>
      </c>
      <c r="E428" s="262"/>
      <c r="F428" s="470" t="s">
        <v>1053</v>
      </c>
      <c r="G428" s="387" t="e">
        <f>VLOOKUP(A428,'Feature Summary'!$A$7:$C$3944,3,FALSE)</f>
        <v>#N/A</v>
      </c>
      <c r="H428" s="447" t="s">
        <v>1056</v>
      </c>
      <c r="I428" s="447"/>
      <c r="J428" s="448" t="s">
        <v>297</v>
      </c>
      <c r="K428" s="263"/>
      <c r="L428" s="391"/>
      <c r="M428" s="399" t="s">
        <v>33</v>
      </c>
      <c r="N428" s="475">
        <v>1</v>
      </c>
      <c r="O428" s="391"/>
      <c r="P428" s="496">
        <f t="shared" si="58"/>
        <v>0</v>
      </c>
      <c r="Q428" s="445" t="s">
        <v>52</v>
      </c>
      <c r="R428" s="391"/>
      <c r="S428" s="362">
        <f t="shared" si="62"/>
        <v>0</v>
      </c>
      <c r="T428" s="368"/>
      <c r="U428" s="368"/>
      <c r="V428" s="368"/>
      <c r="W428" s="368"/>
      <c r="X428" s="364">
        <f t="shared" si="61"/>
        <v>0</v>
      </c>
      <c r="Y428" s="393"/>
      <c r="Z428" s="498">
        <f t="shared" si="59"/>
        <v>0</v>
      </c>
      <c r="AA428" s="368"/>
      <c r="AB428" s="368"/>
      <c r="AC428" s="368"/>
      <c r="AD428" s="368"/>
      <c r="AE428" s="365">
        <f t="shared" si="60"/>
        <v>0</v>
      </c>
      <c r="AF428" s="262"/>
      <c r="AG428" s="457"/>
      <c r="AH428" s="264"/>
    </row>
    <row r="429" spans="1:34" ht="120.75" thickBot="1" x14ac:dyDescent="0.3">
      <c r="A429" s="474" t="s">
        <v>1057</v>
      </c>
      <c r="B429" s="447" t="s">
        <v>1058</v>
      </c>
      <c r="C429" s="580" t="s">
        <v>655</v>
      </c>
      <c r="D429" s="449" t="s">
        <v>261</v>
      </c>
      <c r="E429" s="262"/>
      <c r="F429" s="447" t="s">
        <v>1059</v>
      </c>
      <c r="G429" s="387" t="e">
        <f>VLOOKUP(A429,'Feature Summary'!$A$7:$C$3944,3,FALSE)</f>
        <v>#N/A</v>
      </c>
      <c r="H429" s="447" t="s">
        <v>1060</v>
      </c>
      <c r="I429" s="488" t="s">
        <v>264</v>
      </c>
      <c r="J429" s="448" t="s">
        <v>1061</v>
      </c>
      <c r="K429" s="263">
        <v>1</v>
      </c>
      <c r="L429" s="391">
        <v>21</v>
      </c>
      <c r="M429" s="399" t="s">
        <v>33</v>
      </c>
      <c r="N429" s="475">
        <v>1</v>
      </c>
      <c r="O429" s="391">
        <v>0</v>
      </c>
      <c r="P429" s="496">
        <f t="shared" si="58"/>
        <v>0</v>
      </c>
      <c r="Q429" s="445" t="s">
        <v>52</v>
      </c>
      <c r="R429" s="391">
        <v>19</v>
      </c>
      <c r="S429" s="362">
        <f t="shared" si="62"/>
        <v>19</v>
      </c>
      <c r="T429" s="368">
        <v>19</v>
      </c>
      <c r="U429" s="368"/>
      <c r="V429" s="368"/>
      <c r="W429" s="368"/>
      <c r="X429" s="364">
        <f t="shared" si="61"/>
        <v>1</v>
      </c>
      <c r="Y429" s="393"/>
      <c r="Z429" s="498">
        <f t="shared" si="59"/>
        <v>0</v>
      </c>
      <c r="AA429" s="368"/>
      <c r="AB429" s="368"/>
      <c r="AC429" s="368"/>
      <c r="AD429" s="368"/>
      <c r="AE429" s="365">
        <f t="shared" si="60"/>
        <v>0</v>
      </c>
      <c r="AF429" s="558"/>
      <c r="AG429" s="457"/>
      <c r="AH429" s="264"/>
    </row>
    <row r="430" spans="1:34" ht="150.75" thickBot="1" x14ac:dyDescent="0.3">
      <c r="A430" s="474"/>
      <c r="B430" s="447" t="s">
        <v>1058</v>
      </c>
      <c r="C430" s="580"/>
      <c r="D430" s="449" t="s">
        <v>261</v>
      </c>
      <c r="E430" s="262"/>
      <c r="F430" s="447" t="s">
        <v>1059</v>
      </c>
      <c r="G430" s="387" t="e">
        <f>VLOOKUP(A430,'Feature Summary'!$A$7:$C$3944,3,FALSE)</f>
        <v>#N/A</v>
      </c>
      <c r="H430" s="447" t="s">
        <v>1062</v>
      </c>
      <c r="I430" s="447"/>
      <c r="J430" s="448" t="s">
        <v>1063</v>
      </c>
      <c r="K430" s="263"/>
      <c r="L430" s="391"/>
      <c r="M430" s="399" t="s">
        <v>33</v>
      </c>
      <c r="N430" s="475">
        <v>1</v>
      </c>
      <c r="O430" s="391"/>
      <c r="P430" s="496">
        <f t="shared" si="58"/>
        <v>0</v>
      </c>
      <c r="Q430" s="445" t="s">
        <v>52</v>
      </c>
      <c r="R430" s="391"/>
      <c r="S430" s="362">
        <f t="shared" si="62"/>
        <v>0</v>
      </c>
      <c r="T430" s="368"/>
      <c r="U430" s="368"/>
      <c r="V430" s="368"/>
      <c r="W430" s="368"/>
      <c r="X430" s="364">
        <f t="shared" si="61"/>
        <v>0</v>
      </c>
      <c r="Y430" s="393"/>
      <c r="Z430" s="498">
        <f t="shared" si="59"/>
        <v>0</v>
      </c>
      <c r="AA430" s="368"/>
      <c r="AB430" s="368"/>
      <c r="AC430" s="368"/>
      <c r="AD430" s="368"/>
      <c r="AE430" s="365">
        <f t="shared" si="60"/>
        <v>0</v>
      </c>
      <c r="AF430" s="262"/>
      <c r="AG430" s="457"/>
      <c r="AH430" s="264"/>
    </row>
    <row r="431" spans="1:34" ht="30.75" thickBot="1" x14ac:dyDescent="0.3">
      <c r="A431" s="474" t="s">
        <v>1064</v>
      </c>
      <c r="B431" s="447" t="s">
        <v>1065</v>
      </c>
      <c r="C431" s="580" t="s">
        <v>372</v>
      </c>
      <c r="D431" s="449" t="s">
        <v>261</v>
      </c>
      <c r="E431" s="262"/>
      <c r="F431" s="447" t="s">
        <v>1066</v>
      </c>
      <c r="G431" s="387" t="e">
        <f>VLOOKUP(A431,'Feature Summary'!$A$7:$C$3944,3,FALSE)</f>
        <v>#N/A</v>
      </c>
      <c r="H431" s="447" t="s">
        <v>1067</v>
      </c>
      <c r="I431" s="488" t="s">
        <v>264</v>
      </c>
      <c r="J431" s="448" t="s">
        <v>281</v>
      </c>
      <c r="K431" s="263">
        <v>1</v>
      </c>
      <c r="L431" s="391">
        <v>3</v>
      </c>
      <c r="M431" s="399" t="s">
        <v>33</v>
      </c>
      <c r="N431" s="475">
        <v>1</v>
      </c>
      <c r="O431" s="391">
        <v>3</v>
      </c>
      <c r="P431" s="496">
        <f t="shared" ref="P431" si="64">IF((O431=0),0,(O431/L431))</f>
        <v>1</v>
      </c>
      <c r="Q431" s="445" t="s">
        <v>52</v>
      </c>
      <c r="R431" s="391">
        <v>3</v>
      </c>
      <c r="S431" s="362">
        <f t="shared" ref="S431" si="65">SUM(T431:W431)</f>
        <v>3</v>
      </c>
      <c r="T431" s="368">
        <v>3</v>
      </c>
      <c r="U431" s="368"/>
      <c r="V431" s="368"/>
      <c r="W431" s="368"/>
      <c r="X431" s="364">
        <f t="shared" ref="X431" si="66">IF((S431=0),0,((T431+U431)/S431*100%))</f>
        <v>1</v>
      </c>
      <c r="Y431" s="393"/>
      <c r="Z431" s="498">
        <f t="shared" si="59"/>
        <v>0</v>
      </c>
      <c r="AA431" s="368"/>
      <c r="AB431" s="368"/>
      <c r="AC431" s="368"/>
      <c r="AD431" s="368"/>
      <c r="AE431" s="365">
        <f t="shared" si="60"/>
        <v>0</v>
      </c>
      <c r="AF431" s="558"/>
      <c r="AG431" s="457"/>
      <c r="AH431" s="264"/>
    </row>
    <row r="432" spans="1:34" ht="30.75" thickBot="1" x14ac:dyDescent="0.3">
      <c r="A432" s="474" t="s">
        <v>1064</v>
      </c>
      <c r="B432" s="447" t="s">
        <v>1065</v>
      </c>
      <c r="C432" s="580" t="s">
        <v>372</v>
      </c>
      <c r="D432" s="449" t="s">
        <v>261</v>
      </c>
      <c r="E432" s="262"/>
      <c r="F432" s="447" t="s">
        <v>1066</v>
      </c>
      <c r="G432" s="387" t="e">
        <f>VLOOKUP(A432,'Feature Summary'!$A$7:$C$3944,3,FALSE)</f>
        <v>#N/A</v>
      </c>
      <c r="H432" s="447" t="s">
        <v>1068</v>
      </c>
      <c r="I432" s="488" t="s">
        <v>264</v>
      </c>
      <c r="J432" s="448" t="s">
        <v>320</v>
      </c>
      <c r="K432" s="263">
        <v>1</v>
      </c>
      <c r="L432" s="391">
        <v>1</v>
      </c>
      <c r="M432" s="399" t="s">
        <v>33</v>
      </c>
      <c r="N432" s="475">
        <v>1</v>
      </c>
      <c r="O432" s="391">
        <v>1</v>
      </c>
      <c r="P432" s="496">
        <f t="shared" ref="P432" si="67">IF((O432=0),0,(O432/L432))</f>
        <v>1</v>
      </c>
      <c r="Q432" s="445" t="s">
        <v>52</v>
      </c>
      <c r="R432" s="391">
        <v>1</v>
      </c>
      <c r="S432" s="362">
        <f t="shared" ref="S432" si="68">SUM(T432:W432)</f>
        <v>1</v>
      </c>
      <c r="T432" s="368">
        <v>1</v>
      </c>
      <c r="U432" s="368"/>
      <c r="V432" s="368"/>
      <c r="W432" s="368"/>
      <c r="X432" s="364">
        <f t="shared" ref="X432" si="69">IF((S432=0),0,((T432+U432)/S432*100%))</f>
        <v>1</v>
      </c>
      <c r="Y432" s="393"/>
      <c r="Z432" s="498">
        <f t="shared" ref="Z432" si="70">SUM(AA432:AD432)</f>
        <v>0</v>
      </c>
      <c r="AA432" s="368"/>
      <c r="AB432" s="368"/>
      <c r="AC432" s="368"/>
      <c r="AD432" s="368"/>
      <c r="AE432" s="365">
        <f t="shared" ref="AE432" si="71">IF((Z432=0),0,((AA432+AB432)/Z432*100%))</f>
        <v>0</v>
      </c>
      <c r="AF432" s="558"/>
      <c r="AG432" s="457"/>
      <c r="AH432" s="264"/>
    </row>
    <row r="433" spans="1:34" ht="15.75" thickBot="1" x14ac:dyDescent="0.3">
      <c r="A433" s="474"/>
      <c r="B433" s="463"/>
      <c r="C433" s="580" t="s">
        <v>372</v>
      </c>
      <c r="D433" s="449" t="s">
        <v>431</v>
      </c>
      <c r="E433" s="262"/>
      <c r="F433" s="447" t="s">
        <v>1069</v>
      </c>
      <c r="G433" s="387" t="e">
        <f>VLOOKUP(A433,'Feature Summary'!$A$7:$C$3944,3,FALSE)</f>
        <v>#N/A</v>
      </c>
      <c r="H433" s="463" t="s">
        <v>1070</v>
      </c>
      <c r="I433" s="488" t="s">
        <v>264</v>
      </c>
      <c r="J433" s="476" t="s">
        <v>1071</v>
      </c>
      <c r="K433" s="263">
        <v>1</v>
      </c>
      <c r="L433" s="403">
        <v>1</v>
      </c>
      <c r="M433" s="399" t="s">
        <v>33</v>
      </c>
      <c r="N433" s="475">
        <v>1</v>
      </c>
      <c r="O433" s="403">
        <v>1</v>
      </c>
      <c r="P433" s="496">
        <f t="shared" si="58"/>
        <v>1</v>
      </c>
      <c r="Q433" s="445" t="s">
        <v>52</v>
      </c>
      <c r="R433" s="403">
        <v>1</v>
      </c>
      <c r="S433" s="362">
        <f t="shared" si="62"/>
        <v>1</v>
      </c>
      <c r="T433" s="368">
        <v>1</v>
      </c>
      <c r="U433" s="368"/>
      <c r="V433" s="368"/>
      <c r="W433" s="368"/>
      <c r="X433" s="364">
        <f t="shared" si="61"/>
        <v>1</v>
      </c>
      <c r="Y433" s="393"/>
      <c r="Z433" s="498">
        <f t="shared" si="59"/>
        <v>0</v>
      </c>
      <c r="AA433" s="368"/>
      <c r="AB433" s="368"/>
      <c r="AC433" s="368"/>
      <c r="AD433" s="368"/>
      <c r="AE433" s="365">
        <f t="shared" si="60"/>
        <v>0</v>
      </c>
      <c r="AF433" s="262"/>
      <c r="AG433" s="457"/>
      <c r="AH433" s="264"/>
    </row>
    <row r="434" spans="1:34" ht="15.75" thickBot="1" x14ac:dyDescent="0.3">
      <c r="A434" s="474"/>
      <c r="B434" s="463"/>
      <c r="C434" s="580" t="s">
        <v>372</v>
      </c>
      <c r="D434" s="449" t="s">
        <v>431</v>
      </c>
      <c r="E434" s="262"/>
      <c r="F434" s="447" t="s">
        <v>1072</v>
      </c>
      <c r="G434" s="387" t="e">
        <f>VLOOKUP(A434,'Feature Summary'!$A$7:$C$3944,3,FALSE)</f>
        <v>#N/A</v>
      </c>
      <c r="H434" s="463" t="s">
        <v>1073</v>
      </c>
      <c r="I434" s="488" t="s">
        <v>264</v>
      </c>
      <c r="J434" s="476" t="s">
        <v>1071</v>
      </c>
      <c r="K434" s="263">
        <v>1</v>
      </c>
      <c r="L434" s="403">
        <v>1</v>
      </c>
      <c r="M434" s="399" t="s">
        <v>33</v>
      </c>
      <c r="N434" s="475">
        <v>1</v>
      </c>
      <c r="O434" s="403">
        <v>1</v>
      </c>
      <c r="P434" s="496">
        <f t="shared" si="58"/>
        <v>1</v>
      </c>
      <c r="Q434" s="445" t="s">
        <v>52</v>
      </c>
      <c r="R434" s="403">
        <v>1</v>
      </c>
      <c r="S434" s="362">
        <f t="shared" si="62"/>
        <v>1</v>
      </c>
      <c r="T434" s="368">
        <v>1</v>
      </c>
      <c r="U434" s="368"/>
      <c r="V434" s="368"/>
      <c r="W434" s="368"/>
      <c r="X434" s="364">
        <f t="shared" si="61"/>
        <v>1</v>
      </c>
      <c r="Y434" s="393"/>
      <c r="Z434" s="498">
        <f t="shared" si="59"/>
        <v>0</v>
      </c>
      <c r="AA434" s="368"/>
      <c r="AB434" s="368"/>
      <c r="AC434" s="368"/>
      <c r="AD434" s="368"/>
      <c r="AE434" s="365">
        <f t="shared" si="60"/>
        <v>0</v>
      </c>
      <c r="AF434" s="262"/>
      <c r="AG434" s="457"/>
      <c r="AH434" s="264"/>
    </row>
    <row r="435" spans="1:34" ht="15.75" thickBot="1" x14ac:dyDescent="0.3">
      <c r="A435" s="474"/>
      <c r="B435" s="463"/>
      <c r="C435" s="580" t="s">
        <v>372</v>
      </c>
      <c r="D435" s="449" t="s">
        <v>431</v>
      </c>
      <c r="E435" s="262"/>
      <c r="F435" s="447" t="s">
        <v>1074</v>
      </c>
      <c r="G435" s="387" t="e">
        <f>VLOOKUP(A435,'Feature Summary'!$A$7:$C$3944,3,FALSE)</f>
        <v>#N/A</v>
      </c>
      <c r="H435" s="463" t="s">
        <v>1075</v>
      </c>
      <c r="I435" s="488" t="s">
        <v>264</v>
      </c>
      <c r="J435" s="476" t="s">
        <v>1071</v>
      </c>
      <c r="K435" s="263">
        <v>1</v>
      </c>
      <c r="L435" s="403">
        <v>1</v>
      </c>
      <c r="M435" s="399" t="s">
        <v>33</v>
      </c>
      <c r="N435" s="475">
        <v>1</v>
      </c>
      <c r="O435" s="403">
        <v>1</v>
      </c>
      <c r="P435" s="496">
        <f t="shared" si="58"/>
        <v>1</v>
      </c>
      <c r="Q435" s="445" t="s">
        <v>52</v>
      </c>
      <c r="R435" s="403">
        <v>1</v>
      </c>
      <c r="S435" s="362">
        <f t="shared" si="62"/>
        <v>1</v>
      </c>
      <c r="T435" s="368">
        <v>1</v>
      </c>
      <c r="U435" s="368"/>
      <c r="V435" s="368"/>
      <c r="W435" s="368"/>
      <c r="X435" s="364">
        <f t="shared" si="61"/>
        <v>1</v>
      </c>
      <c r="Y435" s="393"/>
      <c r="Z435" s="498">
        <f t="shared" si="59"/>
        <v>0</v>
      </c>
      <c r="AA435" s="368"/>
      <c r="AB435" s="368"/>
      <c r="AC435" s="368"/>
      <c r="AD435" s="368"/>
      <c r="AE435" s="365">
        <f t="shared" si="60"/>
        <v>0</v>
      </c>
      <c r="AF435" s="262"/>
      <c r="AG435" s="457"/>
      <c r="AH435" s="264"/>
    </row>
    <row r="436" spans="1:34" ht="15.75" thickBot="1" x14ac:dyDescent="0.3">
      <c r="A436" s="474"/>
      <c r="B436" s="463"/>
      <c r="C436" s="580" t="s">
        <v>372</v>
      </c>
      <c r="D436" s="449" t="s">
        <v>431</v>
      </c>
      <c r="E436" s="262"/>
      <c r="F436" s="447" t="s">
        <v>1076</v>
      </c>
      <c r="G436" s="387" t="e">
        <f>VLOOKUP(A436,'Feature Summary'!$A$7:$C$3944,3,FALSE)</f>
        <v>#N/A</v>
      </c>
      <c r="H436" s="463" t="s">
        <v>1077</v>
      </c>
      <c r="I436" s="488" t="s">
        <v>264</v>
      </c>
      <c r="J436" s="476" t="s">
        <v>1071</v>
      </c>
      <c r="K436" s="263">
        <v>1</v>
      </c>
      <c r="L436" s="403">
        <v>1</v>
      </c>
      <c r="M436" s="399" t="s">
        <v>33</v>
      </c>
      <c r="N436" s="475">
        <v>1</v>
      </c>
      <c r="O436" s="403">
        <v>1</v>
      </c>
      <c r="P436" s="496">
        <f t="shared" si="58"/>
        <v>1</v>
      </c>
      <c r="Q436" s="445" t="s">
        <v>52</v>
      </c>
      <c r="R436" s="403">
        <v>1</v>
      </c>
      <c r="S436" s="362">
        <f t="shared" si="62"/>
        <v>1</v>
      </c>
      <c r="T436" s="368">
        <v>1</v>
      </c>
      <c r="U436" s="368"/>
      <c r="V436" s="368"/>
      <c r="W436" s="368"/>
      <c r="X436" s="364">
        <f t="shared" si="61"/>
        <v>1</v>
      </c>
      <c r="Y436" s="393"/>
      <c r="Z436" s="498">
        <f t="shared" si="59"/>
        <v>0</v>
      </c>
      <c r="AA436" s="368"/>
      <c r="AB436" s="368"/>
      <c r="AC436" s="368"/>
      <c r="AD436" s="368"/>
      <c r="AE436" s="365">
        <f t="shared" si="60"/>
        <v>0</v>
      </c>
      <c r="AF436" s="262"/>
      <c r="AG436" s="457"/>
      <c r="AH436" s="264"/>
    </row>
    <row r="437" spans="1:34" ht="30.75" thickBot="1" x14ac:dyDescent="0.3">
      <c r="A437" s="474" t="s">
        <v>1078</v>
      </c>
      <c r="B437" s="447" t="s">
        <v>1079</v>
      </c>
      <c r="C437" s="580" t="s">
        <v>372</v>
      </c>
      <c r="D437" s="449" t="s">
        <v>431</v>
      </c>
      <c r="E437" s="262"/>
      <c r="F437" s="447" t="s">
        <v>1080</v>
      </c>
      <c r="G437" s="387" t="e">
        <f>VLOOKUP(A437,'Feature Summary'!$A$7:$C$3944,3,FALSE)</f>
        <v>#N/A</v>
      </c>
      <c r="H437" s="463" t="s">
        <v>1081</v>
      </c>
      <c r="I437" s="488" t="s">
        <v>264</v>
      </c>
      <c r="J437" s="476" t="s">
        <v>1071</v>
      </c>
      <c r="K437" s="263">
        <v>1</v>
      </c>
      <c r="L437" s="403">
        <v>1</v>
      </c>
      <c r="M437" s="399" t="s">
        <v>33</v>
      </c>
      <c r="N437" s="475">
        <v>1</v>
      </c>
      <c r="O437" s="403">
        <v>1</v>
      </c>
      <c r="P437" s="496">
        <f t="shared" si="58"/>
        <v>1</v>
      </c>
      <c r="Q437" s="445" t="s">
        <v>52</v>
      </c>
      <c r="R437" s="403">
        <v>1</v>
      </c>
      <c r="S437" s="362">
        <f t="shared" si="62"/>
        <v>1</v>
      </c>
      <c r="T437" s="368">
        <v>1</v>
      </c>
      <c r="U437" s="368"/>
      <c r="V437" s="368"/>
      <c r="W437" s="368"/>
      <c r="X437" s="364">
        <f t="shared" si="61"/>
        <v>1</v>
      </c>
      <c r="Y437" s="393"/>
      <c r="Z437" s="498">
        <f t="shared" si="59"/>
        <v>0</v>
      </c>
      <c r="AA437" s="368"/>
      <c r="AB437" s="368"/>
      <c r="AC437" s="368"/>
      <c r="AD437" s="368"/>
      <c r="AE437" s="365">
        <f t="shared" si="60"/>
        <v>0</v>
      </c>
      <c r="AF437" s="262"/>
      <c r="AG437" s="457"/>
      <c r="AH437" s="264"/>
    </row>
    <row r="438" spans="1:34" ht="15.75" thickBot="1" x14ac:dyDescent="0.3">
      <c r="A438" s="474"/>
      <c r="B438" s="463"/>
      <c r="C438" s="580" t="s">
        <v>372</v>
      </c>
      <c r="D438" s="449" t="s">
        <v>431</v>
      </c>
      <c r="E438" s="262"/>
      <c r="F438" s="447" t="s">
        <v>1082</v>
      </c>
      <c r="G438" s="387" t="e">
        <f>VLOOKUP(A438,'Feature Summary'!$A$7:$C$3944,3,FALSE)</f>
        <v>#N/A</v>
      </c>
      <c r="H438" s="463" t="s">
        <v>1083</v>
      </c>
      <c r="I438" s="488" t="s">
        <v>264</v>
      </c>
      <c r="J438" s="476" t="s">
        <v>1071</v>
      </c>
      <c r="K438" s="263">
        <v>1</v>
      </c>
      <c r="L438" s="403">
        <v>1</v>
      </c>
      <c r="M438" s="399" t="s">
        <v>33</v>
      </c>
      <c r="N438" s="475">
        <v>1</v>
      </c>
      <c r="O438" s="403">
        <v>1</v>
      </c>
      <c r="P438" s="496">
        <f t="shared" si="58"/>
        <v>1</v>
      </c>
      <c r="Q438" s="445" t="s">
        <v>52</v>
      </c>
      <c r="R438" s="403">
        <v>1</v>
      </c>
      <c r="S438" s="362">
        <f t="shared" si="62"/>
        <v>1</v>
      </c>
      <c r="T438" s="368">
        <v>1</v>
      </c>
      <c r="U438" s="368"/>
      <c r="V438" s="368"/>
      <c r="W438" s="368"/>
      <c r="X438" s="364">
        <f t="shared" si="61"/>
        <v>1</v>
      </c>
      <c r="Y438" s="393"/>
      <c r="Z438" s="498">
        <f t="shared" si="59"/>
        <v>0</v>
      </c>
      <c r="AA438" s="368"/>
      <c r="AB438" s="368"/>
      <c r="AC438" s="368"/>
      <c r="AD438" s="368"/>
      <c r="AE438" s="365">
        <f t="shared" si="60"/>
        <v>0</v>
      </c>
      <c r="AF438" s="262"/>
      <c r="AG438" s="457"/>
      <c r="AH438" s="264"/>
    </row>
    <row r="439" spans="1:34" ht="15.75" thickBot="1" x14ac:dyDescent="0.3">
      <c r="A439" s="474"/>
      <c r="B439" s="463"/>
      <c r="C439" s="580" t="s">
        <v>372</v>
      </c>
      <c r="D439" s="449" t="s">
        <v>431</v>
      </c>
      <c r="E439" s="262"/>
      <c r="F439" s="447" t="s">
        <v>1084</v>
      </c>
      <c r="G439" s="387" t="e">
        <f>VLOOKUP(A439,'Feature Summary'!$A$7:$C$3944,3,FALSE)</f>
        <v>#N/A</v>
      </c>
      <c r="H439" s="463" t="s">
        <v>1085</v>
      </c>
      <c r="I439" s="488" t="s">
        <v>264</v>
      </c>
      <c r="J439" s="476" t="s">
        <v>1071</v>
      </c>
      <c r="K439" s="263">
        <v>1</v>
      </c>
      <c r="L439" s="403">
        <v>1</v>
      </c>
      <c r="M439" s="399" t="s">
        <v>33</v>
      </c>
      <c r="N439" s="475">
        <v>1</v>
      </c>
      <c r="O439" s="403">
        <v>1</v>
      </c>
      <c r="P439" s="496">
        <f t="shared" si="58"/>
        <v>1</v>
      </c>
      <c r="Q439" s="445" t="s">
        <v>52</v>
      </c>
      <c r="R439" s="403">
        <v>1</v>
      </c>
      <c r="S439" s="362">
        <f t="shared" si="62"/>
        <v>1</v>
      </c>
      <c r="T439" s="368">
        <v>1</v>
      </c>
      <c r="U439" s="368"/>
      <c r="V439" s="368"/>
      <c r="W439" s="368"/>
      <c r="X439" s="364">
        <f t="shared" si="61"/>
        <v>1</v>
      </c>
      <c r="Y439" s="393"/>
      <c r="Z439" s="498">
        <f t="shared" si="59"/>
        <v>0</v>
      </c>
      <c r="AA439" s="368"/>
      <c r="AB439" s="368"/>
      <c r="AC439" s="368"/>
      <c r="AD439" s="368"/>
      <c r="AE439" s="365">
        <f t="shared" si="60"/>
        <v>0</v>
      </c>
      <c r="AF439" s="262"/>
      <c r="AG439" s="457"/>
      <c r="AH439" s="264"/>
    </row>
    <row r="440" spans="1:34" ht="15.75" thickBot="1" x14ac:dyDescent="0.3">
      <c r="A440" s="474"/>
      <c r="B440" s="463"/>
      <c r="C440" s="580" t="s">
        <v>372</v>
      </c>
      <c r="D440" s="449" t="s">
        <v>431</v>
      </c>
      <c r="E440" s="262"/>
      <c r="F440" s="447" t="s">
        <v>1086</v>
      </c>
      <c r="G440" s="387" t="e">
        <f>VLOOKUP(A440,'Feature Summary'!$A$7:$C$3944,3,FALSE)</f>
        <v>#N/A</v>
      </c>
      <c r="H440" s="463" t="s">
        <v>1087</v>
      </c>
      <c r="I440" s="488" t="s">
        <v>264</v>
      </c>
      <c r="J440" s="476" t="s">
        <v>1088</v>
      </c>
      <c r="K440" s="263">
        <v>1</v>
      </c>
      <c r="L440" s="403">
        <v>1</v>
      </c>
      <c r="M440" s="399" t="s">
        <v>33</v>
      </c>
      <c r="N440" s="475">
        <v>1</v>
      </c>
      <c r="O440" s="403">
        <v>1</v>
      </c>
      <c r="P440" s="496">
        <f t="shared" si="58"/>
        <v>1</v>
      </c>
      <c r="Q440" s="445" t="s">
        <v>52</v>
      </c>
      <c r="R440" s="403">
        <v>1</v>
      </c>
      <c r="S440" s="362">
        <f t="shared" si="62"/>
        <v>1</v>
      </c>
      <c r="T440" s="368">
        <v>1</v>
      </c>
      <c r="U440" s="368"/>
      <c r="V440" s="368"/>
      <c r="W440" s="368"/>
      <c r="X440" s="364">
        <f t="shared" si="61"/>
        <v>1</v>
      </c>
      <c r="Y440" s="393"/>
      <c r="Z440" s="498">
        <f t="shared" si="59"/>
        <v>0</v>
      </c>
      <c r="AA440" s="368"/>
      <c r="AB440" s="368"/>
      <c r="AC440" s="368"/>
      <c r="AD440" s="368"/>
      <c r="AE440" s="365">
        <f t="shared" si="60"/>
        <v>0</v>
      </c>
      <c r="AF440" s="558"/>
      <c r="AG440" s="457"/>
      <c r="AH440" s="264"/>
    </row>
    <row r="441" spans="1:34" s="572" customFormat="1" ht="15.75" thickBot="1" x14ac:dyDescent="0.3">
      <c r="A441" s="490"/>
      <c r="B441" s="486" t="s">
        <v>1089</v>
      </c>
      <c r="C441" s="580" t="s">
        <v>372</v>
      </c>
      <c r="D441" s="559" t="s">
        <v>431</v>
      </c>
      <c r="E441" s="560"/>
      <c r="F441" s="473" t="s">
        <v>1090</v>
      </c>
      <c r="G441" s="561" t="e">
        <f>VLOOKUP(A441,'Feature Summary'!$A$7:$C$3944,3,FALSE)</f>
        <v>#N/A</v>
      </c>
      <c r="H441" s="486" t="s">
        <v>1091</v>
      </c>
      <c r="I441" s="486"/>
      <c r="J441" s="562" t="s">
        <v>1092</v>
      </c>
      <c r="K441" s="563">
        <v>0</v>
      </c>
      <c r="L441" s="564">
        <v>0</v>
      </c>
      <c r="M441" s="484" t="s">
        <v>33</v>
      </c>
      <c r="N441" s="565">
        <v>1</v>
      </c>
      <c r="O441" s="564">
        <v>0</v>
      </c>
      <c r="P441" s="566">
        <f t="shared" si="58"/>
        <v>0</v>
      </c>
      <c r="Q441" s="445" t="s">
        <v>52</v>
      </c>
      <c r="R441" s="564">
        <v>0</v>
      </c>
      <c r="S441" s="362">
        <f t="shared" si="62"/>
        <v>0</v>
      </c>
      <c r="T441" s="368"/>
      <c r="U441" s="368"/>
      <c r="V441" s="368"/>
      <c r="W441" s="368"/>
      <c r="X441" s="364">
        <f t="shared" si="61"/>
        <v>0</v>
      </c>
      <c r="Y441" s="569"/>
      <c r="Z441" s="498">
        <f t="shared" si="59"/>
        <v>0</v>
      </c>
      <c r="AA441" s="568"/>
      <c r="AB441" s="568"/>
      <c r="AC441" s="568"/>
      <c r="AD441" s="568"/>
      <c r="AE441" s="365">
        <f t="shared" si="60"/>
        <v>0</v>
      </c>
      <c r="AF441" s="560"/>
      <c r="AG441" s="570"/>
      <c r="AH441" s="571"/>
    </row>
    <row r="442" spans="1:34" s="572" customFormat="1" ht="15.75" thickBot="1" x14ac:dyDescent="0.3">
      <c r="A442" s="490"/>
      <c r="B442" s="486" t="s">
        <v>1089</v>
      </c>
      <c r="C442" s="580" t="s">
        <v>372</v>
      </c>
      <c r="D442" s="559" t="s">
        <v>431</v>
      </c>
      <c r="E442" s="560"/>
      <c r="F442" s="473" t="s">
        <v>1093</v>
      </c>
      <c r="G442" s="561" t="e">
        <f>VLOOKUP(A442,'Feature Summary'!$A$7:$C$3944,3,FALSE)</f>
        <v>#N/A</v>
      </c>
      <c r="H442" s="486" t="s">
        <v>1094</v>
      </c>
      <c r="I442" s="486"/>
      <c r="J442" s="562" t="s">
        <v>1092</v>
      </c>
      <c r="K442" s="563">
        <v>0</v>
      </c>
      <c r="L442" s="564">
        <v>0</v>
      </c>
      <c r="M442" s="484" t="s">
        <v>33</v>
      </c>
      <c r="N442" s="565">
        <v>1</v>
      </c>
      <c r="O442" s="564">
        <v>0</v>
      </c>
      <c r="P442" s="566">
        <f t="shared" si="58"/>
        <v>0</v>
      </c>
      <c r="Q442" s="445" t="s">
        <v>52</v>
      </c>
      <c r="R442" s="564">
        <v>0</v>
      </c>
      <c r="S442" s="362">
        <f t="shared" si="62"/>
        <v>0</v>
      </c>
      <c r="T442" s="368"/>
      <c r="U442" s="368"/>
      <c r="V442" s="368"/>
      <c r="W442" s="368"/>
      <c r="X442" s="364">
        <f t="shared" si="61"/>
        <v>0</v>
      </c>
      <c r="Y442" s="569"/>
      <c r="Z442" s="498">
        <f t="shared" si="59"/>
        <v>0</v>
      </c>
      <c r="AA442" s="568"/>
      <c r="AB442" s="568"/>
      <c r="AC442" s="568"/>
      <c r="AD442" s="568"/>
      <c r="AE442" s="365">
        <f t="shared" si="60"/>
        <v>0</v>
      </c>
      <c r="AF442" s="560"/>
      <c r="AG442" s="570"/>
      <c r="AH442" s="571"/>
    </row>
    <row r="443" spans="1:34" ht="15.75" thickBot="1" x14ac:dyDescent="0.3">
      <c r="A443" s="474"/>
      <c r="B443" s="463"/>
      <c r="C443" s="580"/>
      <c r="D443" s="449" t="s">
        <v>431</v>
      </c>
      <c r="E443" s="262"/>
      <c r="F443" s="447" t="s">
        <v>1084</v>
      </c>
      <c r="G443" s="387" t="e">
        <f>VLOOKUP(A443,'Feature Summary'!$A$7:$C$3944,3,FALSE)</f>
        <v>#N/A</v>
      </c>
      <c r="H443" s="463" t="s">
        <v>1095</v>
      </c>
      <c r="I443" s="488" t="s">
        <v>264</v>
      </c>
      <c r="J443" s="476" t="s">
        <v>1096</v>
      </c>
      <c r="K443" s="263">
        <v>1</v>
      </c>
      <c r="L443" s="403">
        <v>1</v>
      </c>
      <c r="M443" s="399" t="s">
        <v>33</v>
      </c>
      <c r="N443" s="475">
        <v>1</v>
      </c>
      <c r="O443" s="403">
        <v>1</v>
      </c>
      <c r="P443" s="496">
        <f t="shared" si="58"/>
        <v>1</v>
      </c>
      <c r="Q443" s="445" t="s">
        <v>52</v>
      </c>
      <c r="R443" s="403">
        <v>1</v>
      </c>
      <c r="S443" s="362">
        <f t="shared" si="62"/>
        <v>1</v>
      </c>
      <c r="T443" s="368">
        <v>1</v>
      </c>
      <c r="U443" s="368"/>
      <c r="V443" s="368"/>
      <c r="W443" s="368"/>
      <c r="X443" s="364">
        <f t="shared" si="61"/>
        <v>1</v>
      </c>
      <c r="Y443" s="393"/>
      <c r="Z443" s="498">
        <f t="shared" si="59"/>
        <v>0</v>
      </c>
      <c r="AA443" s="368"/>
      <c r="AB443" s="368"/>
      <c r="AC443" s="368"/>
      <c r="AD443" s="368"/>
      <c r="AE443" s="365">
        <f t="shared" si="60"/>
        <v>0</v>
      </c>
      <c r="AF443" s="262"/>
      <c r="AG443" s="457"/>
      <c r="AH443" s="264"/>
    </row>
    <row r="444" spans="1:34" ht="15.75" thickBot="1" x14ac:dyDescent="0.3">
      <c r="A444" s="474"/>
      <c r="B444" s="463"/>
      <c r="C444" s="580"/>
      <c r="D444" s="449" t="s">
        <v>431</v>
      </c>
      <c r="E444" s="262"/>
      <c r="F444" s="447" t="s">
        <v>1086</v>
      </c>
      <c r="G444" s="387" t="e">
        <f>VLOOKUP(A444,'Feature Summary'!$A$7:$C$3944,3,FALSE)</f>
        <v>#N/A</v>
      </c>
      <c r="H444" s="463" t="s">
        <v>1097</v>
      </c>
      <c r="I444" s="463"/>
      <c r="J444" s="476" t="s">
        <v>1098</v>
      </c>
      <c r="K444" s="263"/>
      <c r="L444" s="403"/>
      <c r="M444" s="399" t="s">
        <v>33</v>
      </c>
      <c r="N444" s="475">
        <v>1</v>
      </c>
      <c r="O444" s="403"/>
      <c r="P444" s="496">
        <f t="shared" si="58"/>
        <v>0</v>
      </c>
      <c r="Q444" s="445" t="s">
        <v>52</v>
      </c>
      <c r="R444" s="403"/>
      <c r="S444" s="362">
        <f t="shared" si="62"/>
        <v>0</v>
      </c>
      <c r="T444" s="368"/>
      <c r="U444" s="368"/>
      <c r="V444" s="368"/>
      <c r="W444" s="368"/>
      <c r="X444" s="364">
        <f t="shared" si="61"/>
        <v>0</v>
      </c>
      <c r="Y444" s="393"/>
      <c r="Z444" s="498">
        <f t="shared" si="59"/>
        <v>0</v>
      </c>
      <c r="AA444" s="368"/>
      <c r="AB444" s="368"/>
      <c r="AC444" s="368"/>
      <c r="AD444" s="368"/>
      <c r="AE444" s="365">
        <f t="shared" si="60"/>
        <v>0</v>
      </c>
      <c r="AF444" s="262"/>
      <c r="AG444" s="457"/>
      <c r="AH444" s="264"/>
    </row>
    <row r="445" spans="1:34" ht="30.75" thickBot="1" x14ac:dyDescent="0.3">
      <c r="A445" s="474"/>
      <c r="B445" s="463"/>
      <c r="C445" s="580" t="s">
        <v>335</v>
      </c>
      <c r="D445" s="449" t="s">
        <v>431</v>
      </c>
      <c r="E445" s="262"/>
      <c r="F445" s="447" t="s">
        <v>1099</v>
      </c>
      <c r="G445" s="387" t="e">
        <f>VLOOKUP(A445,'Feature Summary'!$A$7:$C$3944,3,FALSE)</f>
        <v>#N/A</v>
      </c>
      <c r="H445" s="463" t="s">
        <v>1100</v>
      </c>
      <c r="I445" s="488" t="s">
        <v>264</v>
      </c>
      <c r="J445" s="476" t="s">
        <v>281</v>
      </c>
      <c r="K445" s="263">
        <v>1</v>
      </c>
      <c r="L445" s="403">
        <v>15</v>
      </c>
      <c r="M445" s="399" t="s">
        <v>33</v>
      </c>
      <c r="N445" s="475">
        <v>1</v>
      </c>
      <c r="O445" s="403">
        <v>0</v>
      </c>
      <c r="P445" s="496">
        <f t="shared" si="58"/>
        <v>0</v>
      </c>
      <c r="Q445" s="445" t="s">
        <v>52</v>
      </c>
      <c r="R445" s="403">
        <v>15</v>
      </c>
      <c r="S445" s="362">
        <f t="shared" si="62"/>
        <v>15</v>
      </c>
      <c r="T445" s="368">
        <v>15</v>
      </c>
      <c r="U445" s="368"/>
      <c r="V445" s="368"/>
      <c r="W445" s="368"/>
      <c r="X445" s="364">
        <f t="shared" si="61"/>
        <v>1</v>
      </c>
      <c r="Y445" s="393"/>
      <c r="Z445" s="498">
        <f t="shared" si="59"/>
        <v>0</v>
      </c>
      <c r="AA445" s="368"/>
      <c r="AB445" s="368"/>
      <c r="AC445" s="368"/>
      <c r="AD445" s="368"/>
      <c r="AE445" s="365">
        <f t="shared" si="60"/>
        <v>0</v>
      </c>
      <c r="AF445" s="262"/>
      <c r="AG445" s="457"/>
      <c r="AH445" s="264"/>
    </row>
    <row r="446" spans="1:34" ht="30.75" thickBot="1" x14ac:dyDescent="0.3">
      <c r="A446" s="474"/>
      <c r="B446" s="463"/>
      <c r="C446" s="580" t="s">
        <v>335</v>
      </c>
      <c r="D446" s="449" t="s">
        <v>431</v>
      </c>
      <c r="E446" s="262"/>
      <c r="F446" s="447" t="s">
        <v>1099</v>
      </c>
      <c r="G446" s="387" t="e">
        <f>VLOOKUP(A446,'Feature Summary'!$A$7:$C$3944,3,FALSE)</f>
        <v>#N/A</v>
      </c>
      <c r="H446" s="463" t="s">
        <v>1101</v>
      </c>
      <c r="I446" s="488" t="s">
        <v>264</v>
      </c>
      <c r="J446" s="476" t="s">
        <v>281</v>
      </c>
      <c r="K446" s="263">
        <v>1</v>
      </c>
      <c r="L446" s="403">
        <v>1</v>
      </c>
      <c r="M446" s="399" t="s">
        <v>33</v>
      </c>
      <c r="N446" s="475">
        <v>1</v>
      </c>
      <c r="O446" s="403">
        <v>1</v>
      </c>
      <c r="P446" s="496">
        <f t="shared" si="58"/>
        <v>1</v>
      </c>
      <c r="Q446" s="445" t="s">
        <v>52</v>
      </c>
      <c r="R446" s="403">
        <v>1</v>
      </c>
      <c r="S446" s="362">
        <f t="shared" ref="S446" si="72">SUM(T446:W446)</f>
        <v>1</v>
      </c>
      <c r="T446" s="368">
        <v>1</v>
      </c>
      <c r="U446" s="368"/>
      <c r="V446" s="368"/>
      <c r="W446" s="368"/>
      <c r="X446" s="364">
        <f t="shared" ref="X446" si="73">IF((S446=0),0,((T446+U446)/S446*100%))</f>
        <v>1</v>
      </c>
      <c r="Y446" s="393"/>
      <c r="Z446" s="498">
        <f t="shared" si="59"/>
        <v>0</v>
      </c>
      <c r="AA446" s="368"/>
      <c r="AB446" s="368"/>
      <c r="AC446" s="368"/>
      <c r="AD446" s="368"/>
      <c r="AE446" s="365">
        <f t="shared" si="60"/>
        <v>0</v>
      </c>
      <c r="AF446" s="262"/>
      <c r="AG446" s="457"/>
      <c r="AH446" s="264"/>
    </row>
    <row r="447" spans="1:34" ht="30.75" thickBot="1" x14ac:dyDescent="0.3">
      <c r="A447" s="474"/>
      <c r="B447" s="463"/>
      <c r="C447" s="580" t="s">
        <v>335</v>
      </c>
      <c r="D447" s="449" t="s">
        <v>431</v>
      </c>
      <c r="E447" s="262"/>
      <c r="F447" s="447" t="s">
        <v>1099</v>
      </c>
      <c r="G447" s="387" t="e">
        <f>VLOOKUP(A447,'Feature Summary'!$A$7:$C$3944,3,FALSE)</f>
        <v>#N/A</v>
      </c>
      <c r="H447" s="463" t="s">
        <v>1101</v>
      </c>
      <c r="I447" s="488" t="s">
        <v>288</v>
      </c>
      <c r="J447" s="476" t="s">
        <v>320</v>
      </c>
      <c r="K447" s="263">
        <v>2</v>
      </c>
      <c r="L447" s="403">
        <v>1</v>
      </c>
      <c r="M447" s="399" t="s">
        <v>33</v>
      </c>
      <c r="N447" s="475">
        <v>1</v>
      </c>
      <c r="O447" s="403">
        <v>0.5</v>
      </c>
      <c r="P447" s="496">
        <f t="shared" ref="P447" si="74">IF((O447=0),0,(O447/L447))</f>
        <v>0.5</v>
      </c>
      <c r="Q447" s="445" t="s">
        <v>45</v>
      </c>
      <c r="R447" s="403">
        <v>1</v>
      </c>
      <c r="S447" s="362">
        <f t="shared" ref="S447" si="75">SUM(T447:W447)</f>
        <v>1</v>
      </c>
      <c r="T447" s="368">
        <v>1</v>
      </c>
      <c r="U447" s="368"/>
      <c r="V447" s="368"/>
      <c r="W447" s="368"/>
      <c r="X447" s="364">
        <f t="shared" ref="X447" si="76">IF((S447=0),0,((T447+U447)/S447*100%))</f>
        <v>1</v>
      </c>
      <c r="Y447" s="393"/>
      <c r="Z447" s="498">
        <f t="shared" si="59"/>
        <v>0</v>
      </c>
      <c r="AA447" s="368"/>
      <c r="AB447" s="368"/>
      <c r="AC447" s="368"/>
      <c r="AD447" s="368"/>
      <c r="AE447" s="365">
        <f t="shared" si="60"/>
        <v>0</v>
      </c>
      <c r="AF447" s="262"/>
      <c r="AG447" s="457"/>
      <c r="AH447" s="264"/>
    </row>
    <row r="448" spans="1:34" ht="15.75" thickBot="1" x14ac:dyDescent="0.3">
      <c r="A448" s="474"/>
      <c r="B448" s="463"/>
      <c r="C448" s="580" t="s">
        <v>335</v>
      </c>
      <c r="D448" s="449" t="s">
        <v>431</v>
      </c>
      <c r="E448" s="262"/>
      <c r="F448" s="447" t="s">
        <v>1102</v>
      </c>
      <c r="G448" s="387" t="e">
        <f>VLOOKUP(A448,'Feature Summary'!$A$7:$C$3944,3,FALSE)</f>
        <v>#N/A</v>
      </c>
      <c r="H448" s="463" t="s">
        <v>1103</v>
      </c>
      <c r="I448" s="488" t="s">
        <v>264</v>
      </c>
      <c r="J448" s="476" t="s">
        <v>281</v>
      </c>
      <c r="K448" s="263">
        <v>1</v>
      </c>
      <c r="L448" s="403">
        <v>1</v>
      </c>
      <c r="M448" s="399" t="s">
        <v>33</v>
      </c>
      <c r="N448" s="475">
        <v>1</v>
      </c>
      <c r="O448" s="403">
        <v>1</v>
      </c>
      <c r="P448" s="496">
        <f t="shared" si="58"/>
        <v>1</v>
      </c>
      <c r="Q448" s="445" t="s">
        <v>52</v>
      </c>
      <c r="R448" s="403">
        <v>1</v>
      </c>
      <c r="S448" s="362">
        <f t="shared" si="62"/>
        <v>1</v>
      </c>
      <c r="T448" s="368">
        <v>1</v>
      </c>
      <c r="U448" s="368"/>
      <c r="V448" s="368"/>
      <c r="W448" s="368"/>
      <c r="X448" s="364">
        <f t="shared" si="61"/>
        <v>1</v>
      </c>
      <c r="Y448" s="393"/>
      <c r="Z448" s="498">
        <f t="shared" si="59"/>
        <v>0</v>
      </c>
      <c r="AA448" s="368"/>
      <c r="AB448" s="368"/>
      <c r="AC448" s="368"/>
      <c r="AD448" s="368"/>
      <c r="AE448" s="365">
        <f t="shared" si="60"/>
        <v>0</v>
      </c>
      <c r="AF448" s="262"/>
      <c r="AG448" s="457"/>
      <c r="AH448" s="264"/>
    </row>
    <row r="449" spans="1:34" ht="30.75" thickBot="1" x14ac:dyDescent="0.3">
      <c r="A449" s="474"/>
      <c r="B449" s="463"/>
      <c r="C449" s="580"/>
      <c r="D449" s="449" t="s">
        <v>431</v>
      </c>
      <c r="E449" s="262"/>
      <c r="F449" s="447" t="s">
        <v>1099</v>
      </c>
      <c r="G449" s="387" t="e">
        <f>VLOOKUP(A449,'Feature Summary'!$A$7:$C$3944,3,FALSE)</f>
        <v>#N/A</v>
      </c>
      <c r="H449" s="463" t="s">
        <v>1104</v>
      </c>
      <c r="I449" s="463"/>
      <c r="J449" s="476" t="s">
        <v>295</v>
      </c>
      <c r="K449" s="263"/>
      <c r="L449" s="403"/>
      <c r="M449" s="399" t="s">
        <v>33</v>
      </c>
      <c r="N449" s="475">
        <v>1</v>
      </c>
      <c r="O449" s="403"/>
      <c r="P449" s="496">
        <f>IF((O449=0),0,(O449/L449))</f>
        <v>0</v>
      </c>
      <c r="Q449" s="445" t="s">
        <v>52</v>
      </c>
      <c r="R449" s="403"/>
      <c r="S449" s="362">
        <f t="shared" si="62"/>
        <v>0</v>
      </c>
      <c r="T449" s="368"/>
      <c r="U449" s="368"/>
      <c r="V449" s="368"/>
      <c r="W449" s="368"/>
      <c r="X449" s="364">
        <f t="shared" si="61"/>
        <v>0</v>
      </c>
      <c r="Y449" s="393"/>
      <c r="Z449" s="498">
        <f t="shared" si="59"/>
        <v>0</v>
      </c>
      <c r="AA449" s="368"/>
      <c r="AB449" s="368"/>
      <c r="AC449" s="368"/>
      <c r="AD449" s="368"/>
      <c r="AE449" s="365">
        <f t="shared" si="60"/>
        <v>0</v>
      </c>
      <c r="AF449" s="262"/>
      <c r="AG449" s="457"/>
      <c r="AH449" s="264"/>
    </row>
    <row r="450" spans="1:34" ht="30.75" thickBot="1" x14ac:dyDescent="0.3">
      <c r="A450" s="474"/>
      <c r="B450" s="463"/>
      <c r="C450" s="580"/>
      <c r="D450" s="449" t="s">
        <v>431</v>
      </c>
      <c r="E450" s="262"/>
      <c r="F450" s="447" t="s">
        <v>1099</v>
      </c>
      <c r="G450" s="387" t="e">
        <f>VLOOKUP(A450,'Feature Summary'!$A$7:$C$3944,3,FALSE)</f>
        <v>#N/A</v>
      </c>
      <c r="H450" s="463" t="s">
        <v>1105</v>
      </c>
      <c r="I450" s="463"/>
      <c r="J450" s="476" t="s">
        <v>297</v>
      </c>
      <c r="K450" s="263"/>
      <c r="L450" s="403"/>
      <c r="M450" s="399" t="s">
        <v>33</v>
      </c>
      <c r="N450" s="475">
        <v>1</v>
      </c>
      <c r="O450" s="403"/>
      <c r="P450" s="496">
        <f t="shared" ref="P450:P662" si="77">IF((O450=0),0,(O450/L450))</f>
        <v>0</v>
      </c>
      <c r="Q450" s="445" t="s">
        <v>52</v>
      </c>
      <c r="R450" s="403"/>
      <c r="S450" s="362">
        <f t="shared" si="62"/>
        <v>0</v>
      </c>
      <c r="T450" s="368"/>
      <c r="U450" s="368"/>
      <c r="V450" s="368"/>
      <c r="W450" s="368"/>
      <c r="X450" s="364">
        <f t="shared" si="61"/>
        <v>0</v>
      </c>
      <c r="Y450" s="393"/>
      <c r="Z450" s="498">
        <f t="shared" si="59"/>
        <v>0</v>
      </c>
      <c r="AA450" s="368"/>
      <c r="AB450" s="368"/>
      <c r="AC450" s="368"/>
      <c r="AD450" s="368"/>
      <c r="AE450" s="365">
        <f t="shared" si="60"/>
        <v>0</v>
      </c>
      <c r="AF450" s="262"/>
      <c r="AG450" s="457"/>
      <c r="AH450" s="264"/>
    </row>
    <row r="451" spans="1:34" ht="15.75" thickBot="1" x14ac:dyDescent="0.3">
      <c r="A451" s="474"/>
      <c r="B451" s="463"/>
      <c r="C451" s="580"/>
      <c r="D451" s="449" t="s">
        <v>431</v>
      </c>
      <c r="E451" s="262"/>
      <c r="F451" s="447" t="s">
        <v>1102</v>
      </c>
      <c r="G451" s="387" t="e">
        <f>VLOOKUP(A451,'Feature Summary'!$A$7:$C$3944,3,FALSE)</f>
        <v>#N/A</v>
      </c>
      <c r="H451" s="463" t="s">
        <v>1106</v>
      </c>
      <c r="I451" s="463"/>
      <c r="J451" s="476" t="s">
        <v>297</v>
      </c>
      <c r="K451" s="263"/>
      <c r="L451" s="403"/>
      <c r="M451" s="399" t="s">
        <v>33</v>
      </c>
      <c r="N451" s="475">
        <v>1</v>
      </c>
      <c r="O451" s="403"/>
      <c r="P451" s="496">
        <f t="shared" si="77"/>
        <v>0</v>
      </c>
      <c r="Q451" s="445" t="s">
        <v>52</v>
      </c>
      <c r="R451" s="403"/>
      <c r="S451" s="362">
        <f t="shared" si="62"/>
        <v>0</v>
      </c>
      <c r="T451" s="368"/>
      <c r="U451" s="368"/>
      <c r="V451" s="368"/>
      <c r="W451" s="368"/>
      <c r="X451" s="364">
        <f t="shared" si="61"/>
        <v>0</v>
      </c>
      <c r="Y451" s="393"/>
      <c r="Z451" s="498">
        <f t="shared" si="59"/>
        <v>0</v>
      </c>
      <c r="AA451" s="368"/>
      <c r="AB451" s="368"/>
      <c r="AC451" s="368"/>
      <c r="AD451" s="368"/>
      <c r="AE451" s="365">
        <f t="shared" si="60"/>
        <v>0</v>
      </c>
      <c r="AF451" s="262"/>
      <c r="AG451" s="457"/>
      <c r="AH451" s="264"/>
    </row>
    <row r="452" spans="1:34" ht="15.75" thickBot="1" x14ac:dyDescent="0.3">
      <c r="A452" s="474"/>
      <c r="B452" s="463"/>
      <c r="C452" s="580" t="s">
        <v>651</v>
      </c>
      <c r="D452" s="449" t="s">
        <v>431</v>
      </c>
      <c r="E452" s="262"/>
      <c r="F452" s="463" t="s">
        <v>1107</v>
      </c>
      <c r="G452" s="387" t="e">
        <f>VLOOKUP(A452,'Feature Summary'!$A$7:$C$3944,3,FALSE)</f>
        <v>#N/A</v>
      </c>
      <c r="H452" s="463" t="s">
        <v>1108</v>
      </c>
      <c r="I452" s="488" t="s">
        <v>264</v>
      </c>
      <c r="J452" s="477" t="s">
        <v>281</v>
      </c>
      <c r="K452" s="263">
        <v>1</v>
      </c>
      <c r="L452" s="390">
        <v>1</v>
      </c>
      <c r="M452" s="399" t="s">
        <v>33</v>
      </c>
      <c r="N452" s="475">
        <v>1</v>
      </c>
      <c r="O452" s="390">
        <v>1</v>
      </c>
      <c r="P452" s="496">
        <f t="shared" si="77"/>
        <v>1</v>
      </c>
      <c r="Q452" s="445" t="s">
        <v>52</v>
      </c>
      <c r="R452" s="390">
        <v>1</v>
      </c>
      <c r="S452" s="362">
        <f t="shared" si="62"/>
        <v>1</v>
      </c>
      <c r="T452" s="368">
        <v>1</v>
      </c>
      <c r="U452" s="368"/>
      <c r="V452" s="368"/>
      <c r="W452" s="368"/>
      <c r="X452" s="364">
        <f t="shared" si="61"/>
        <v>1</v>
      </c>
      <c r="Y452" s="393"/>
      <c r="Z452" s="498">
        <f t="shared" si="59"/>
        <v>0</v>
      </c>
      <c r="AA452" s="368"/>
      <c r="AB452" s="368"/>
      <c r="AC452" s="368"/>
      <c r="AD452" s="368"/>
      <c r="AE452" s="365">
        <f t="shared" si="60"/>
        <v>0</v>
      </c>
      <c r="AF452" s="262"/>
      <c r="AG452" s="457"/>
      <c r="AH452" s="264"/>
    </row>
    <row r="453" spans="1:34" ht="59.25" customHeight="1" thickBot="1" x14ac:dyDescent="0.3">
      <c r="A453" s="474"/>
      <c r="B453" s="463"/>
      <c r="C453" s="463"/>
      <c r="D453" s="449" t="s">
        <v>431</v>
      </c>
      <c r="E453" s="262"/>
      <c r="F453" s="463" t="s">
        <v>1107</v>
      </c>
      <c r="G453" s="387" t="e">
        <f>VLOOKUP(A453,'Feature Summary'!$A$7:$C$3944,3,FALSE)</f>
        <v>#N/A</v>
      </c>
      <c r="H453" s="463" t="s">
        <v>1109</v>
      </c>
      <c r="I453" s="463"/>
      <c r="J453" s="477" t="s">
        <v>303</v>
      </c>
      <c r="K453" s="263"/>
      <c r="L453" s="390"/>
      <c r="M453" s="399" t="s">
        <v>33</v>
      </c>
      <c r="N453" s="475">
        <v>1</v>
      </c>
      <c r="O453" s="390"/>
      <c r="P453" s="496">
        <f t="shared" si="77"/>
        <v>0</v>
      </c>
      <c r="Q453" s="445" t="s">
        <v>52</v>
      </c>
      <c r="R453" s="390"/>
      <c r="S453" s="362">
        <f t="shared" si="62"/>
        <v>0</v>
      </c>
      <c r="T453" s="368"/>
      <c r="U453" s="368"/>
      <c r="V453" s="368"/>
      <c r="W453" s="368"/>
      <c r="X453" s="364">
        <f t="shared" si="61"/>
        <v>0</v>
      </c>
      <c r="Y453" s="393"/>
      <c r="Z453" s="498">
        <f t="shared" si="59"/>
        <v>0</v>
      </c>
      <c r="AA453" s="368"/>
      <c r="AB453" s="368"/>
      <c r="AC453" s="368"/>
      <c r="AD453" s="368"/>
      <c r="AE453" s="365">
        <f t="shared" si="60"/>
        <v>0</v>
      </c>
      <c r="AF453" s="558"/>
      <c r="AG453" s="457"/>
      <c r="AH453" s="264"/>
    </row>
    <row r="454" spans="1:34" ht="15.75" thickBot="1" x14ac:dyDescent="0.3">
      <c r="A454" s="474"/>
      <c r="B454" s="463"/>
      <c r="C454" s="463"/>
      <c r="D454" s="449" t="s">
        <v>431</v>
      </c>
      <c r="E454" s="262"/>
      <c r="F454" s="463" t="s">
        <v>1107</v>
      </c>
      <c r="G454" s="387" t="e">
        <f>VLOOKUP(A454,'Feature Summary'!$A$7:$C$3944,3,FALSE)</f>
        <v>#N/A</v>
      </c>
      <c r="H454" s="463" t="s">
        <v>1110</v>
      </c>
      <c r="I454" s="463"/>
      <c r="J454" s="477" t="s">
        <v>297</v>
      </c>
      <c r="K454" s="263"/>
      <c r="L454" s="390"/>
      <c r="M454" s="399" t="s">
        <v>33</v>
      </c>
      <c r="N454" s="475">
        <v>1</v>
      </c>
      <c r="O454" s="390"/>
      <c r="P454" s="496">
        <f t="shared" si="77"/>
        <v>0</v>
      </c>
      <c r="Q454" s="445" t="s">
        <v>52</v>
      </c>
      <c r="R454" s="390"/>
      <c r="S454" s="362">
        <f t="shared" si="62"/>
        <v>0</v>
      </c>
      <c r="T454" s="368"/>
      <c r="U454" s="368"/>
      <c r="V454" s="368"/>
      <c r="W454" s="368"/>
      <c r="X454" s="364">
        <f t="shared" si="61"/>
        <v>0</v>
      </c>
      <c r="Y454" s="393"/>
      <c r="Z454" s="498">
        <f t="shared" si="59"/>
        <v>0</v>
      </c>
      <c r="AA454" s="368"/>
      <c r="AB454" s="368"/>
      <c r="AC454" s="368"/>
      <c r="AD454" s="368"/>
      <c r="AE454" s="365">
        <f t="shared" si="60"/>
        <v>0</v>
      </c>
      <c r="AF454" s="262"/>
      <c r="AG454" s="457"/>
      <c r="AH454" s="264"/>
    </row>
    <row r="455" spans="1:34" ht="15.75" thickBot="1" x14ac:dyDescent="0.3">
      <c r="A455" s="474"/>
      <c r="B455" s="447" t="s">
        <v>1111</v>
      </c>
      <c r="C455" s="580" t="s">
        <v>651</v>
      </c>
      <c r="D455" s="449" t="s">
        <v>431</v>
      </c>
      <c r="E455" s="262"/>
      <c r="F455" s="463" t="s">
        <v>1112</v>
      </c>
      <c r="G455" s="387" t="e">
        <f>VLOOKUP(A455,'Feature Summary'!$A$7:$C$3944,3,FALSE)</f>
        <v>#N/A</v>
      </c>
      <c r="H455" s="463" t="s">
        <v>1113</v>
      </c>
      <c r="I455" s="488" t="s">
        <v>264</v>
      </c>
      <c r="J455" s="477" t="s">
        <v>309</v>
      </c>
      <c r="K455" s="263">
        <v>1</v>
      </c>
      <c r="L455" s="390">
        <v>1</v>
      </c>
      <c r="M455" s="399" t="s">
        <v>33</v>
      </c>
      <c r="N455" s="475">
        <v>1</v>
      </c>
      <c r="O455" s="390">
        <v>1</v>
      </c>
      <c r="P455" s="496">
        <f t="shared" si="77"/>
        <v>1</v>
      </c>
      <c r="Q455" s="445" t="s">
        <v>52</v>
      </c>
      <c r="R455" s="390">
        <v>1</v>
      </c>
      <c r="S455" s="362">
        <f t="shared" si="62"/>
        <v>1</v>
      </c>
      <c r="T455" s="368">
        <v>1</v>
      </c>
      <c r="U455" s="368"/>
      <c r="V455" s="368"/>
      <c r="W455" s="368"/>
      <c r="X455" s="364">
        <f t="shared" si="61"/>
        <v>1</v>
      </c>
      <c r="Y455" s="393"/>
      <c r="Z455" s="498">
        <f t="shared" si="59"/>
        <v>0</v>
      </c>
      <c r="AA455" s="368"/>
      <c r="AB455" s="368"/>
      <c r="AC455" s="368"/>
      <c r="AD455" s="368"/>
      <c r="AE455" s="365">
        <f t="shared" si="60"/>
        <v>0</v>
      </c>
      <c r="AF455" s="262"/>
      <c r="AG455" s="457"/>
      <c r="AH455" s="264"/>
    </row>
    <row r="456" spans="1:34" ht="15.75" thickBot="1" x14ac:dyDescent="0.3">
      <c r="A456" s="474"/>
      <c r="B456" s="447" t="s">
        <v>1111</v>
      </c>
      <c r="C456" s="463"/>
      <c r="D456" s="449" t="s">
        <v>431</v>
      </c>
      <c r="E456" s="262"/>
      <c r="F456" s="463" t="s">
        <v>1112</v>
      </c>
      <c r="G456" s="387" t="e">
        <f>VLOOKUP(A456,'Feature Summary'!$A$7:$C$3944,3,FALSE)</f>
        <v>#N/A</v>
      </c>
      <c r="H456" s="463" t="s">
        <v>1114</v>
      </c>
      <c r="I456" s="463"/>
      <c r="J456" s="477" t="s">
        <v>311</v>
      </c>
      <c r="K456" s="263"/>
      <c r="L456" s="390"/>
      <c r="M456" s="399" t="s">
        <v>33</v>
      </c>
      <c r="N456" s="475">
        <v>1</v>
      </c>
      <c r="O456" s="390"/>
      <c r="P456" s="496">
        <f t="shared" si="77"/>
        <v>0</v>
      </c>
      <c r="Q456" s="445" t="s">
        <v>52</v>
      </c>
      <c r="R456" s="390"/>
      <c r="S456" s="362">
        <f t="shared" si="62"/>
        <v>0</v>
      </c>
      <c r="T456" s="368"/>
      <c r="U456" s="368"/>
      <c r="V456" s="368"/>
      <c r="W456" s="368"/>
      <c r="X456" s="364">
        <f t="shared" si="61"/>
        <v>0</v>
      </c>
      <c r="Y456" s="393"/>
      <c r="Z456" s="498">
        <f t="shared" si="59"/>
        <v>0</v>
      </c>
      <c r="AA456" s="368"/>
      <c r="AB456" s="368"/>
      <c r="AC456" s="368"/>
      <c r="AD456" s="368"/>
      <c r="AE456" s="365">
        <f t="shared" si="60"/>
        <v>0</v>
      </c>
      <c r="AF456" s="262"/>
      <c r="AG456" s="457"/>
      <c r="AH456" s="264"/>
    </row>
    <row r="457" spans="1:34" ht="15.75" thickBot="1" x14ac:dyDescent="0.3">
      <c r="A457" s="474" t="s">
        <v>1115</v>
      </c>
      <c r="B457" s="447" t="s">
        <v>1116</v>
      </c>
      <c r="C457" s="580" t="s">
        <v>651</v>
      </c>
      <c r="D457" s="449" t="s">
        <v>431</v>
      </c>
      <c r="E457" s="262"/>
      <c r="F457" s="463" t="s">
        <v>1117</v>
      </c>
      <c r="G457" s="387" t="str">
        <f>VLOOKUP(A457,'Feature Summary'!$A$7:$C$3944,3,FALSE)</f>
        <v>P1</v>
      </c>
      <c r="H457" s="463" t="s">
        <v>1118</v>
      </c>
      <c r="I457" s="488" t="s">
        <v>264</v>
      </c>
      <c r="J457" s="477" t="s">
        <v>281</v>
      </c>
      <c r="K457" s="263">
        <v>1</v>
      </c>
      <c r="L457" s="390">
        <v>1</v>
      </c>
      <c r="M457" s="399" t="s">
        <v>33</v>
      </c>
      <c r="N457" s="475">
        <v>1</v>
      </c>
      <c r="O457" s="390">
        <v>1</v>
      </c>
      <c r="P457" s="496">
        <f t="shared" si="77"/>
        <v>1</v>
      </c>
      <c r="Q457" s="445" t="s">
        <v>52</v>
      </c>
      <c r="R457" s="390">
        <v>1</v>
      </c>
      <c r="S457" s="362">
        <f t="shared" si="62"/>
        <v>1</v>
      </c>
      <c r="T457" s="368">
        <v>1</v>
      </c>
      <c r="U457" s="368"/>
      <c r="V457" s="368"/>
      <c r="W457" s="368"/>
      <c r="X457" s="364">
        <f t="shared" si="61"/>
        <v>1</v>
      </c>
      <c r="Y457" s="393"/>
      <c r="Z457" s="498">
        <f t="shared" si="59"/>
        <v>0</v>
      </c>
      <c r="AA457" s="368"/>
      <c r="AB457" s="368"/>
      <c r="AC457" s="368"/>
      <c r="AD457" s="368"/>
      <c r="AE457" s="365">
        <f t="shared" si="60"/>
        <v>0</v>
      </c>
      <c r="AF457" s="262"/>
      <c r="AG457" s="457"/>
      <c r="AH457" s="264"/>
    </row>
    <row r="458" spans="1:34" ht="15.75" thickBot="1" x14ac:dyDescent="0.3">
      <c r="A458" s="474" t="s">
        <v>1115</v>
      </c>
      <c r="B458" s="447" t="s">
        <v>1116</v>
      </c>
      <c r="C458" s="580" t="s">
        <v>651</v>
      </c>
      <c r="D458" s="449" t="s">
        <v>431</v>
      </c>
      <c r="E458" s="262"/>
      <c r="F458" s="463" t="s">
        <v>1119</v>
      </c>
      <c r="G458" s="387" t="str">
        <f>VLOOKUP(A458,'Feature Summary'!$A$7:$C$3944,3,FALSE)</f>
        <v>P1</v>
      </c>
      <c r="H458" s="463" t="s">
        <v>1120</v>
      </c>
      <c r="I458" s="488" t="s">
        <v>264</v>
      </c>
      <c r="J458" s="477" t="s">
        <v>281</v>
      </c>
      <c r="K458" s="263">
        <v>1</v>
      </c>
      <c r="L458" s="390">
        <v>1</v>
      </c>
      <c r="M458" s="399" t="s">
        <v>33</v>
      </c>
      <c r="N458" s="475">
        <v>1</v>
      </c>
      <c r="O458" s="390">
        <v>1</v>
      </c>
      <c r="P458" s="496">
        <f t="shared" si="77"/>
        <v>1</v>
      </c>
      <c r="Q458" s="445" t="s">
        <v>52</v>
      </c>
      <c r="R458" s="390">
        <v>1</v>
      </c>
      <c r="S458" s="362">
        <f t="shared" si="62"/>
        <v>1</v>
      </c>
      <c r="T458" s="368">
        <v>1</v>
      </c>
      <c r="U458" s="568"/>
      <c r="V458" s="568"/>
      <c r="W458" s="568"/>
      <c r="X458" s="364">
        <f t="shared" si="61"/>
        <v>1</v>
      </c>
      <c r="Y458" s="393"/>
      <c r="Z458" s="498">
        <f t="shared" ref="Z458:Z521" si="78">SUM(AA458:AD458)</f>
        <v>0</v>
      </c>
      <c r="AA458" s="368"/>
      <c r="AB458" s="368"/>
      <c r="AC458" s="368"/>
      <c r="AD458" s="368"/>
      <c r="AE458" s="365">
        <f t="shared" ref="AE458:AE521" si="79">IF((Z458=0),0,((AA458+AB458)/Z458*100%))</f>
        <v>0</v>
      </c>
      <c r="AF458" s="262"/>
      <c r="AG458" s="457"/>
      <c r="AH458" s="264"/>
    </row>
    <row r="459" spans="1:34" ht="15.75" thickBot="1" x14ac:dyDescent="0.3">
      <c r="A459" s="474" t="s">
        <v>1115</v>
      </c>
      <c r="B459" s="447" t="s">
        <v>1116</v>
      </c>
      <c r="C459" s="580" t="s">
        <v>651</v>
      </c>
      <c r="D459" s="449" t="s">
        <v>431</v>
      </c>
      <c r="E459" s="262"/>
      <c r="F459" s="463" t="s">
        <v>1121</v>
      </c>
      <c r="G459" s="387" t="str">
        <f>VLOOKUP(A459,'Feature Summary'!$A$7:$C$3944,3,FALSE)</f>
        <v>P1</v>
      </c>
      <c r="H459" s="463" t="s">
        <v>1122</v>
      </c>
      <c r="I459" s="488" t="s">
        <v>264</v>
      </c>
      <c r="J459" s="477" t="s">
        <v>320</v>
      </c>
      <c r="K459" s="263">
        <v>1</v>
      </c>
      <c r="L459" s="390">
        <v>1</v>
      </c>
      <c r="M459" s="399" t="s">
        <v>33</v>
      </c>
      <c r="N459" s="475">
        <v>1</v>
      </c>
      <c r="O459" s="390">
        <v>1</v>
      </c>
      <c r="P459" s="496">
        <f t="shared" si="77"/>
        <v>1</v>
      </c>
      <c r="Q459" s="445" t="s">
        <v>52</v>
      </c>
      <c r="R459" s="390">
        <v>1</v>
      </c>
      <c r="S459" s="362">
        <f t="shared" si="62"/>
        <v>1</v>
      </c>
      <c r="T459" s="368">
        <v>1</v>
      </c>
      <c r="U459" s="568"/>
      <c r="V459" s="568"/>
      <c r="W459" s="568"/>
      <c r="X459" s="364">
        <f t="shared" si="61"/>
        <v>1</v>
      </c>
      <c r="Y459" s="393"/>
      <c r="Z459" s="498">
        <f t="shared" si="78"/>
        <v>0</v>
      </c>
      <c r="AA459" s="368"/>
      <c r="AB459" s="368"/>
      <c r="AC459" s="368"/>
      <c r="AD459" s="368"/>
      <c r="AE459" s="365">
        <f t="shared" si="79"/>
        <v>0</v>
      </c>
      <c r="AF459" s="262"/>
      <c r="AG459" s="457"/>
      <c r="AH459" s="264"/>
    </row>
    <row r="460" spans="1:34" ht="15.75" thickBot="1" x14ac:dyDescent="0.3">
      <c r="A460" s="474" t="s">
        <v>1115</v>
      </c>
      <c r="B460" s="447" t="s">
        <v>1116</v>
      </c>
      <c r="C460" s="580" t="s">
        <v>651</v>
      </c>
      <c r="D460" s="449" t="s">
        <v>431</v>
      </c>
      <c r="E460" s="262"/>
      <c r="F460" s="463" t="s">
        <v>1123</v>
      </c>
      <c r="G460" s="387" t="str">
        <f>VLOOKUP(A460,'Feature Summary'!$A$7:$C$3944,3,FALSE)</f>
        <v>P1</v>
      </c>
      <c r="H460" s="463" t="s">
        <v>1124</v>
      </c>
      <c r="I460" s="488" t="s">
        <v>264</v>
      </c>
      <c r="J460" s="477" t="s">
        <v>281</v>
      </c>
      <c r="K460" s="263">
        <v>1</v>
      </c>
      <c r="L460" s="390">
        <v>1</v>
      </c>
      <c r="M460" s="399" t="s">
        <v>33</v>
      </c>
      <c r="N460" s="475">
        <v>1</v>
      </c>
      <c r="O460" s="390">
        <v>1</v>
      </c>
      <c r="P460" s="496">
        <f t="shared" si="77"/>
        <v>1</v>
      </c>
      <c r="Q460" s="445" t="s">
        <v>52</v>
      </c>
      <c r="R460" s="390">
        <v>1</v>
      </c>
      <c r="S460" s="362">
        <f t="shared" si="62"/>
        <v>1</v>
      </c>
      <c r="T460" s="368">
        <v>1</v>
      </c>
      <c r="U460" s="368"/>
      <c r="V460" s="368"/>
      <c r="W460" s="368"/>
      <c r="X460" s="364">
        <f t="shared" si="61"/>
        <v>1</v>
      </c>
      <c r="Y460" s="393"/>
      <c r="Z460" s="498">
        <f t="shared" si="78"/>
        <v>0</v>
      </c>
      <c r="AA460" s="368"/>
      <c r="AB460" s="368"/>
      <c r="AC460" s="368"/>
      <c r="AD460" s="368"/>
      <c r="AE460" s="365">
        <f t="shared" si="79"/>
        <v>0</v>
      </c>
      <c r="AF460" s="262"/>
      <c r="AG460" s="457"/>
      <c r="AH460" s="264"/>
    </row>
    <row r="461" spans="1:34" ht="15.75" thickBot="1" x14ac:dyDescent="0.3">
      <c r="A461" s="474"/>
      <c r="B461" s="447" t="s">
        <v>1116</v>
      </c>
      <c r="C461" s="463"/>
      <c r="D461" s="449" t="s">
        <v>431</v>
      </c>
      <c r="E461" s="262"/>
      <c r="F461" s="463" t="s">
        <v>1117</v>
      </c>
      <c r="G461" s="387" t="e">
        <f>VLOOKUP(A461,'Feature Summary'!$A$7:$C$3944,3,FALSE)</f>
        <v>#N/A</v>
      </c>
      <c r="H461" s="463" t="s">
        <v>1125</v>
      </c>
      <c r="I461" s="463"/>
      <c r="J461" s="477" t="s">
        <v>297</v>
      </c>
      <c r="K461" s="263"/>
      <c r="L461" s="390"/>
      <c r="M461" s="399" t="s">
        <v>33</v>
      </c>
      <c r="N461" s="475">
        <v>1</v>
      </c>
      <c r="O461" s="390"/>
      <c r="P461" s="496">
        <f t="shared" si="77"/>
        <v>0</v>
      </c>
      <c r="Q461" s="445" t="s">
        <v>52</v>
      </c>
      <c r="R461" s="390"/>
      <c r="S461" s="362">
        <f t="shared" si="62"/>
        <v>0</v>
      </c>
      <c r="T461" s="368"/>
      <c r="U461" s="368"/>
      <c r="V461" s="368"/>
      <c r="W461" s="368"/>
      <c r="X461" s="364">
        <f t="shared" si="61"/>
        <v>0</v>
      </c>
      <c r="Y461" s="393"/>
      <c r="Z461" s="498">
        <f t="shared" si="78"/>
        <v>0</v>
      </c>
      <c r="AA461" s="368"/>
      <c r="AB461" s="368"/>
      <c r="AC461" s="368"/>
      <c r="AD461" s="368"/>
      <c r="AE461" s="365">
        <f t="shared" si="79"/>
        <v>0</v>
      </c>
      <c r="AF461" s="262"/>
      <c r="AG461" s="457"/>
      <c r="AH461" s="264"/>
    </row>
    <row r="462" spans="1:34" ht="15.75" thickBot="1" x14ac:dyDescent="0.3">
      <c r="A462" s="474"/>
      <c r="B462" s="447" t="s">
        <v>1116</v>
      </c>
      <c r="C462" s="463"/>
      <c r="D462" s="449" t="s">
        <v>431</v>
      </c>
      <c r="E462" s="262"/>
      <c r="F462" s="463" t="s">
        <v>1119</v>
      </c>
      <c r="G462" s="387" t="e">
        <f>VLOOKUP(A462,'Feature Summary'!$A$7:$C$3944,3,FALSE)</f>
        <v>#N/A</v>
      </c>
      <c r="H462" s="463" t="s">
        <v>1126</v>
      </c>
      <c r="I462" s="463"/>
      <c r="J462" s="477" t="s">
        <v>328</v>
      </c>
      <c r="K462" s="263"/>
      <c r="L462" s="390"/>
      <c r="M462" s="399" t="s">
        <v>33</v>
      </c>
      <c r="N462" s="475">
        <v>1</v>
      </c>
      <c r="O462" s="390"/>
      <c r="P462" s="496">
        <f t="shared" si="77"/>
        <v>0</v>
      </c>
      <c r="Q462" s="445" t="s">
        <v>52</v>
      </c>
      <c r="R462" s="390"/>
      <c r="S462" s="362">
        <f t="shared" si="62"/>
        <v>0</v>
      </c>
      <c r="T462" s="368"/>
      <c r="U462" s="368"/>
      <c r="V462" s="368"/>
      <c r="W462" s="368"/>
      <c r="X462" s="364">
        <f t="shared" si="61"/>
        <v>0</v>
      </c>
      <c r="Y462" s="393"/>
      <c r="Z462" s="498">
        <f t="shared" si="78"/>
        <v>0</v>
      </c>
      <c r="AA462" s="368"/>
      <c r="AB462" s="368"/>
      <c r="AC462" s="368"/>
      <c r="AD462" s="368"/>
      <c r="AE462" s="365">
        <f t="shared" si="79"/>
        <v>0</v>
      </c>
      <c r="AF462" s="262"/>
      <c r="AG462" s="457"/>
      <c r="AH462" s="264"/>
    </row>
    <row r="463" spans="1:34" ht="15.75" thickBot="1" x14ac:dyDescent="0.3">
      <c r="A463" s="474"/>
      <c r="B463" s="447" t="s">
        <v>1116</v>
      </c>
      <c r="C463" s="463"/>
      <c r="D463" s="449" t="s">
        <v>431</v>
      </c>
      <c r="E463" s="262"/>
      <c r="F463" s="463" t="s">
        <v>1119</v>
      </c>
      <c r="G463" s="387" t="e">
        <f>VLOOKUP(A463,'Feature Summary'!$A$7:$C$3944,3,FALSE)</f>
        <v>#N/A</v>
      </c>
      <c r="H463" s="463" t="s">
        <v>1127</v>
      </c>
      <c r="I463" s="463"/>
      <c r="J463" s="477" t="s">
        <v>303</v>
      </c>
      <c r="K463" s="263"/>
      <c r="L463" s="390"/>
      <c r="M463" s="399" t="s">
        <v>33</v>
      </c>
      <c r="N463" s="475">
        <v>1</v>
      </c>
      <c r="O463" s="390"/>
      <c r="P463" s="496">
        <f t="shared" si="77"/>
        <v>0</v>
      </c>
      <c r="Q463" s="445" t="s">
        <v>52</v>
      </c>
      <c r="R463" s="390"/>
      <c r="S463" s="362">
        <f t="shared" si="62"/>
        <v>0</v>
      </c>
      <c r="T463" s="368"/>
      <c r="U463" s="368"/>
      <c r="V463" s="368"/>
      <c r="W463" s="368"/>
      <c r="X463" s="364">
        <f t="shared" si="61"/>
        <v>0</v>
      </c>
      <c r="Y463" s="393"/>
      <c r="Z463" s="498">
        <f t="shared" si="78"/>
        <v>0</v>
      </c>
      <c r="AA463" s="368"/>
      <c r="AB463" s="368"/>
      <c r="AC463" s="368"/>
      <c r="AD463" s="368"/>
      <c r="AE463" s="365">
        <f t="shared" si="79"/>
        <v>0</v>
      </c>
      <c r="AF463" s="262"/>
      <c r="AG463" s="457"/>
      <c r="AH463" s="264"/>
    </row>
    <row r="464" spans="1:34" ht="15.75" thickBot="1" x14ac:dyDescent="0.3">
      <c r="A464" s="474"/>
      <c r="B464" s="447" t="s">
        <v>1116</v>
      </c>
      <c r="C464" s="463"/>
      <c r="D464" s="449" t="s">
        <v>431</v>
      </c>
      <c r="E464" s="262"/>
      <c r="F464" s="463" t="s">
        <v>1121</v>
      </c>
      <c r="G464" s="387" t="e">
        <f>VLOOKUP(A464,'Feature Summary'!$A$7:$C$3944,3,FALSE)</f>
        <v>#N/A</v>
      </c>
      <c r="H464" s="463" t="s">
        <v>1128</v>
      </c>
      <c r="I464" s="463"/>
      <c r="J464" s="477" t="s">
        <v>330</v>
      </c>
      <c r="K464" s="263"/>
      <c r="L464" s="390"/>
      <c r="M464" s="399" t="s">
        <v>33</v>
      </c>
      <c r="N464" s="475">
        <v>1</v>
      </c>
      <c r="O464" s="390"/>
      <c r="P464" s="496">
        <f t="shared" si="77"/>
        <v>0</v>
      </c>
      <c r="Q464" s="445" t="s">
        <v>52</v>
      </c>
      <c r="R464" s="390"/>
      <c r="S464" s="362">
        <f t="shared" si="62"/>
        <v>0</v>
      </c>
      <c r="T464" s="368"/>
      <c r="U464" s="368"/>
      <c r="V464" s="368"/>
      <c r="W464" s="368"/>
      <c r="X464" s="364">
        <f t="shared" si="61"/>
        <v>0</v>
      </c>
      <c r="Y464" s="393"/>
      <c r="Z464" s="498">
        <f t="shared" si="78"/>
        <v>0</v>
      </c>
      <c r="AA464" s="368"/>
      <c r="AB464" s="368"/>
      <c r="AC464" s="368"/>
      <c r="AD464" s="368"/>
      <c r="AE464" s="365">
        <f t="shared" si="79"/>
        <v>0</v>
      </c>
      <c r="AF464" s="262"/>
      <c r="AG464" s="457"/>
      <c r="AH464" s="264"/>
    </row>
    <row r="465" spans="1:34" ht="15.75" thickBot="1" x14ac:dyDescent="0.3">
      <c r="A465" s="474"/>
      <c r="B465" s="447" t="s">
        <v>1116</v>
      </c>
      <c r="C465" s="463"/>
      <c r="D465" s="449" t="s">
        <v>431</v>
      </c>
      <c r="E465" s="262"/>
      <c r="F465" s="463" t="s">
        <v>1121</v>
      </c>
      <c r="G465" s="387" t="e">
        <f>VLOOKUP(A465,'Feature Summary'!$A$7:$C$3944,3,FALSE)</f>
        <v>#N/A</v>
      </c>
      <c r="H465" s="463" t="s">
        <v>1129</v>
      </c>
      <c r="I465" s="463"/>
      <c r="J465" s="477" t="s">
        <v>297</v>
      </c>
      <c r="K465" s="263"/>
      <c r="L465" s="390"/>
      <c r="M465" s="399" t="s">
        <v>33</v>
      </c>
      <c r="N465" s="475">
        <v>1</v>
      </c>
      <c r="O465" s="390"/>
      <c r="P465" s="496">
        <f t="shared" si="77"/>
        <v>0</v>
      </c>
      <c r="Q465" s="445" t="s">
        <v>52</v>
      </c>
      <c r="R465" s="390"/>
      <c r="S465" s="362">
        <f t="shared" si="62"/>
        <v>0</v>
      </c>
      <c r="T465" s="368"/>
      <c r="U465" s="368"/>
      <c r="V465" s="368"/>
      <c r="W465" s="368"/>
      <c r="X465" s="364">
        <f t="shared" si="61"/>
        <v>0</v>
      </c>
      <c r="Y465" s="393"/>
      <c r="Z465" s="498">
        <f t="shared" si="78"/>
        <v>0</v>
      </c>
      <c r="AA465" s="368"/>
      <c r="AB465" s="368"/>
      <c r="AC465" s="368"/>
      <c r="AD465" s="368"/>
      <c r="AE465" s="365">
        <f t="shared" si="79"/>
        <v>0</v>
      </c>
      <c r="AF465" s="262"/>
      <c r="AG465" s="457"/>
      <c r="AH465" s="264"/>
    </row>
    <row r="466" spans="1:34" ht="15.75" thickBot="1" x14ac:dyDescent="0.3">
      <c r="A466" s="474"/>
      <c r="B466" s="447" t="s">
        <v>1116</v>
      </c>
      <c r="C466" s="463"/>
      <c r="D466" s="449" t="s">
        <v>431</v>
      </c>
      <c r="E466" s="262"/>
      <c r="F466" s="463" t="s">
        <v>1123</v>
      </c>
      <c r="G466" s="387" t="e">
        <f>VLOOKUP(A466,'Feature Summary'!$A$7:$C$3944,3,FALSE)</f>
        <v>#N/A</v>
      </c>
      <c r="H466" s="463" t="s">
        <v>1130</v>
      </c>
      <c r="I466" s="463"/>
      <c r="J466" s="477" t="s">
        <v>297</v>
      </c>
      <c r="K466" s="263"/>
      <c r="L466" s="390"/>
      <c r="M466" s="399" t="s">
        <v>33</v>
      </c>
      <c r="N466" s="475">
        <v>1</v>
      </c>
      <c r="O466" s="390"/>
      <c r="P466" s="496">
        <f t="shared" si="77"/>
        <v>0</v>
      </c>
      <c r="Q466" s="445" t="s">
        <v>52</v>
      </c>
      <c r="R466" s="390"/>
      <c r="S466" s="362">
        <f t="shared" si="62"/>
        <v>0</v>
      </c>
      <c r="T466" s="368"/>
      <c r="U466" s="368"/>
      <c r="V466" s="368"/>
      <c r="W466" s="368" t="s">
        <v>756</v>
      </c>
      <c r="X466" s="364">
        <f t="shared" si="61"/>
        <v>0</v>
      </c>
      <c r="Y466" s="393"/>
      <c r="Z466" s="498">
        <f t="shared" si="78"/>
        <v>0</v>
      </c>
      <c r="AA466" s="368"/>
      <c r="AB466" s="368"/>
      <c r="AC466" s="368"/>
      <c r="AD466" s="368"/>
      <c r="AE466" s="365">
        <f t="shared" si="79"/>
        <v>0</v>
      </c>
      <c r="AF466" s="262"/>
      <c r="AG466" s="457"/>
      <c r="AH466" s="264"/>
    </row>
    <row r="467" spans="1:34" ht="15.75" thickBot="1" x14ac:dyDescent="0.3">
      <c r="A467" s="474"/>
      <c r="B467" s="447" t="s">
        <v>1116</v>
      </c>
      <c r="C467" s="580" t="s">
        <v>651</v>
      </c>
      <c r="D467" s="449" t="s">
        <v>431</v>
      </c>
      <c r="E467" s="262"/>
      <c r="F467" s="463" t="s">
        <v>1131</v>
      </c>
      <c r="G467" s="387" t="e">
        <f>VLOOKUP(A467,'Feature Summary'!$A$7:$C$3944,3,FALSE)</f>
        <v>#N/A</v>
      </c>
      <c r="H467" s="463" t="s">
        <v>1132</v>
      </c>
      <c r="I467" s="488" t="s">
        <v>264</v>
      </c>
      <c r="J467" s="477" t="s">
        <v>281</v>
      </c>
      <c r="K467" s="263">
        <v>1</v>
      </c>
      <c r="L467" s="390">
        <v>1</v>
      </c>
      <c r="M467" s="399" t="s">
        <v>33</v>
      </c>
      <c r="N467" s="475">
        <v>1</v>
      </c>
      <c r="O467" s="390">
        <v>1</v>
      </c>
      <c r="P467" s="496">
        <f t="shared" si="77"/>
        <v>1</v>
      </c>
      <c r="Q467" s="445" t="s">
        <v>52</v>
      </c>
      <c r="R467" s="390">
        <v>1</v>
      </c>
      <c r="S467" s="362">
        <f t="shared" si="62"/>
        <v>1</v>
      </c>
      <c r="T467" s="368">
        <v>1</v>
      </c>
      <c r="U467" s="368"/>
      <c r="V467" s="368"/>
      <c r="W467" s="368" t="s">
        <v>756</v>
      </c>
      <c r="X467" s="364">
        <f t="shared" si="61"/>
        <v>1</v>
      </c>
      <c r="Y467" s="393"/>
      <c r="Z467" s="498">
        <f t="shared" si="78"/>
        <v>0</v>
      </c>
      <c r="AA467" s="368"/>
      <c r="AB467" s="368"/>
      <c r="AC467" s="368"/>
      <c r="AD467" s="368"/>
      <c r="AE467" s="365">
        <f t="shared" si="79"/>
        <v>0</v>
      </c>
      <c r="AF467" s="262"/>
      <c r="AG467" s="457"/>
      <c r="AH467" s="264"/>
    </row>
    <row r="468" spans="1:34" ht="15.75" thickBot="1" x14ac:dyDescent="0.3">
      <c r="A468" s="474"/>
      <c r="B468" s="447" t="s">
        <v>1116</v>
      </c>
      <c r="C468" s="463"/>
      <c r="D468" s="449" t="s">
        <v>431</v>
      </c>
      <c r="E468" s="262"/>
      <c r="F468" s="463" t="s">
        <v>1131</v>
      </c>
      <c r="G468" s="387" t="e">
        <f>VLOOKUP(A468,'Feature Summary'!$A$7:$C$3944,3,FALSE)</f>
        <v>#N/A</v>
      </c>
      <c r="H468" s="463" t="s">
        <v>1133</v>
      </c>
      <c r="I468" s="463"/>
      <c r="J468" s="477" t="s">
        <v>328</v>
      </c>
      <c r="K468" s="263"/>
      <c r="L468" s="390"/>
      <c r="M468" s="399" t="s">
        <v>33</v>
      </c>
      <c r="N468" s="475">
        <v>1</v>
      </c>
      <c r="O468" s="390"/>
      <c r="P468" s="496">
        <f t="shared" si="77"/>
        <v>0</v>
      </c>
      <c r="Q468" s="445" t="s">
        <v>52</v>
      </c>
      <c r="R468" s="390"/>
      <c r="S468" s="362">
        <f t="shared" si="62"/>
        <v>0</v>
      </c>
      <c r="T468" s="368"/>
      <c r="U468" s="368"/>
      <c r="V468" s="368"/>
      <c r="W468" s="368"/>
      <c r="X468" s="364">
        <f t="shared" si="61"/>
        <v>0</v>
      </c>
      <c r="Y468" s="393"/>
      <c r="Z468" s="498">
        <f t="shared" si="78"/>
        <v>0</v>
      </c>
      <c r="AA468" s="368"/>
      <c r="AB468" s="368"/>
      <c r="AC468" s="368"/>
      <c r="AD468" s="368"/>
      <c r="AE468" s="365">
        <f t="shared" si="79"/>
        <v>0</v>
      </c>
      <c r="AF468" s="262"/>
      <c r="AG468" s="457"/>
      <c r="AH468" s="264"/>
    </row>
    <row r="469" spans="1:34" ht="19.5" customHeight="1" thickBot="1" x14ac:dyDescent="0.3">
      <c r="A469" s="474"/>
      <c r="B469" s="447" t="s">
        <v>1116</v>
      </c>
      <c r="C469" s="463"/>
      <c r="D469" s="449" t="s">
        <v>431</v>
      </c>
      <c r="E469" s="262"/>
      <c r="F469" s="463" t="s">
        <v>1131</v>
      </c>
      <c r="G469" s="387" t="e">
        <f>VLOOKUP(A469,'Feature Summary'!$A$7:$C$3944,3,FALSE)</f>
        <v>#N/A</v>
      </c>
      <c r="H469" s="463" t="s">
        <v>1134</v>
      </c>
      <c r="I469" s="463"/>
      <c r="J469" s="477" t="s">
        <v>303</v>
      </c>
      <c r="K469" s="263"/>
      <c r="L469" s="390"/>
      <c r="M469" s="399" t="s">
        <v>33</v>
      </c>
      <c r="N469" s="475">
        <v>1</v>
      </c>
      <c r="O469" s="390"/>
      <c r="P469" s="496">
        <f t="shared" si="77"/>
        <v>0</v>
      </c>
      <c r="Q469" s="445" t="s">
        <v>52</v>
      </c>
      <c r="R469" s="390"/>
      <c r="S469" s="362">
        <f t="shared" si="62"/>
        <v>0</v>
      </c>
      <c r="T469" s="368"/>
      <c r="U469" s="368"/>
      <c r="V469" s="368"/>
      <c r="W469" s="368"/>
      <c r="X469" s="364">
        <f t="shared" ref="X469:X532" si="80">IF((S469=0),0,((T469+U469)/S469*100%))</f>
        <v>0</v>
      </c>
      <c r="Y469" s="393"/>
      <c r="Z469" s="498">
        <f t="shared" si="78"/>
        <v>0</v>
      </c>
      <c r="AA469" s="368"/>
      <c r="AB469" s="368"/>
      <c r="AC469" s="368"/>
      <c r="AD469" s="368"/>
      <c r="AE469" s="365">
        <f t="shared" si="79"/>
        <v>0</v>
      </c>
      <c r="AF469" s="558"/>
      <c r="AG469" s="457"/>
      <c r="AH469" s="264"/>
    </row>
    <row r="470" spans="1:34" ht="15.75" thickBot="1" x14ac:dyDescent="0.3">
      <c r="A470" s="474"/>
      <c r="B470" s="447" t="s">
        <v>1116</v>
      </c>
      <c r="C470" s="463"/>
      <c r="D470" s="449" t="s">
        <v>431</v>
      </c>
      <c r="E470" s="262"/>
      <c r="F470" s="463" t="s">
        <v>1131</v>
      </c>
      <c r="G470" s="387" t="e">
        <f>VLOOKUP(A470,'Feature Summary'!$A$7:$C$3944,3,FALSE)</f>
        <v>#N/A</v>
      </c>
      <c r="H470" s="463" t="s">
        <v>1135</v>
      </c>
      <c r="I470" s="463"/>
      <c r="J470" s="477" t="s">
        <v>297</v>
      </c>
      <c r="K470" s="263"/>
      <c r="L470" s="390"/>
      <c r="M470" s="399" t="s">
        <v>33</v>
      </c>
      <c r="N470" s="475">
        <v>1</v>
      </c>
      <c r="O470" s="390"/>
      <c r="P470" s="496">
        <f t="shared" si="77"/>
        <v>0</v>
      </c>
      <c r="Q470" s="445" t="s">
        <v>52</v>
      </c>
      <c r="R470" s="390"/>
      <c r="S470" s="362">
        <f t="shared" ref="S470:S533" si="81">SUM(T470:W470)</f>
        <v>0</v>
      </c>
      <c r="T470" s="368"/>
      <c r="U470" s="368"/>
      <c r="V470" s="368"/>
      <c r="W470" s="368"/>
      <c r="X470" s="364">
        <f t="shared" si="80"/>
        <v>0</v>
      </c>
      <c r="Y470" s="393"/>
      <c r="Z470" s="498">
        <f t="shared" si="78"/>
        <v>0</v>
      </c>
      <c r="AA470" s="368"/>
      <c r="AB470" s="368"/>
      <c r="AC470" s="368"/>
      <c r="AD470" s="368"/>
      <c r="AE470" s="365">
        <f t="shared" si="79"/>
        <v>0</v>
      </c>
      <c r="AF470" s="262"/>
      <c r="AG470" s="457"/>
      <c r="AH470" s="264"/>
    </row>
    <row r="471" spans="1:34" ht="15.75" thickBot="1" x14ac:dyDescent="0.3">
      <c r="A471" s="474" t="s">
        <v>1115</v>
      </c>
      <c r="B471" s="447" t="s">
        <v>1116</v>
      </c>
      <c r="C471" s="580" t="s">
        <v>335</v>
      </c>
      <c r="D471" s="449" t="s">
        <v>431</v>
      </c>
      <c r="E471" s="262"/>
      <c r="F471" s="463" t="s">
        <v>1136</v>
      </c>
      <c r="G471" s="387" t="str">
        <f>VLOOKUP(A471,'Feature Summary'!$A$7:$C$3944,3,FALSE)</f>
        <v>P1</v>
      </c>
      <c r="H471" s="463" t="s">
        <v>1137</v>
      </c>
      <c r="I471" s="488" t="s">
        <v>264</v>
      </c>
      <c r="J471" s="477" t="s">
        <v>281</v>
      </c>
      <c r="K471" s="263">
        <v>1</v>
      </c>
      <c r="L471" s="390">
        <v>1</v>
      </c>
      <c r="M471" s="399" t="s">
        <v>33</v>
      </c>
      <c r="N471" s="475">
        <v>1</v>
      </c>
      <c r="O471" s="390">
        <v>1</v>
      </c>
      <c r="P471" s="496">
        <f t="shared" si="77"/>
        <v>1</v>
      </c>
      <c r="Q471" s="445" t="s">
        <v>52</v>
      </c>
      <c r="R471" s="390">
        <v>1</v>
      </c>
      <c r="S471" s="362">
        <f t="shared" si="81"/>
        <v>1</v>
      </c>
      <c r="T471" s="368">
        <v>1</v>
      </c>
      <c r="U471" s="368"/>
      <c r="V471" s="368"/>
      <c r="W471" s="368"/>
      <c r="X471" s="364">
        <f t="shared" si="80"/>
        <v>1</v>
      </c>
      <c r="Y471" s="393"/>
      <c r="Z471" s="498">
        <f t="shared" si="78"/>
        <v>0</v>
      </c>
      <c r="AA471" s="368"/>
      <c r="AB471" s="368"/>
      <c r="AC471" s="368"/>
      <c r="AD471" s="368"/>
      <c r="AE471" s="365">
        <f t="shared" si="79"/>
        <v>0</v>
      </c>
      <c r="AF471" s="262"/>
      <c r="AG471" s="457"/>
      <c r="AH471" s="264"/>
    </row>
    <row r="472" spans="1:34" ht="15.75" thickBot="1" x14ac:dyDescent="0.3">
      <c r="A472" s="474"/>
      <c r="B472" s="447" t="s">
        <v>1116</v>
      </c>
      <c r="C472" s="580"/>
      <c r="D472" s="449" t="s">
        <v>431</v>
      </c>
      <c r="E472" s="262"/>
      <c r="F472" s="463" t="s">
        <v>1136</v>
      </c>
      <c r="G472" s="387" t="e">
        <f>VLOOKUP(A472,'Feature Summary'!$A$7:$C$3944,3,FALSE)</f>
        <v>#N/A</v>
      </c>
      <c r="H472" s="463" t="s">
        <v>1138</v>
      </c>
      <c r="I472" s="463"/>
      <c r="J472" s="477" t="s">
        <v>328</v>
      </c>
      <c r="K472" s="263"/>
      <c r="L472" s="390"/>
      <c r="M472" s="399" t="s">
        <v>33</v>
      </c>
      <c r="N472" s="475">
        <v>1</v>
      </c>
      <c r="O472" s="390"/>
      <c r="P472" s="496">
        <f t="shared" si="77"/>
        <v>0</v>
      </c>
      <c r="Q472" s="445" t="s">
        <v>52</v>
      </c>
      <c r="R472" s="390"/>
      <c r="S472" s="362">
        <f t="shared" si="81"/>
        <v>0</v>
      </c>
      <c r="T472" s="368"/>
      <c r="U472" s="368"/>
      <c r="V472" s="368"/>
      <c r="W472" s="368"/>
      <c r="X472" s="364">
        <f t="shared" si="80"/>
        <v>0</v>
      </c>
      <c r="Y472" s="393"/>
      <c r="Z472" s="498">
        <f t="shared" si="78"/>
        <v>0</v>
      </c>
      <c r="AA472" s="368"/>
      <c r="AB472" s="368"/>
      <c r="AC472" s="368"/>
      <c r="AD472" s="368"/>
      <c r="AE472" s="365">
        <f t="shared" si="79"/>
        <v>0</v>
      </c>
      <c r="AF472" s="262"/>
      <c r="AG472" s="457"/>
      <c r="AH472" s="264"/>
    </row>
    <row r="473" spans="1:34" ht="15.75" thickBot="1" x14ac:dyDescent="0.3">
      <c r="A473" s="474"/>
      <c r="B473" s="447" t="s">
        <v>1116</v>
      </c>
      <c r="C473" s="580"/>
      <c r="D473" s="449" t="s">
        <v>431</v>
      </c>
      <c r="E473" s="262"/>
      <c r="F473" s="463" t="s">
        <v>1136</v>
      </c>
      <c r="G473" s="387" t="e">
        <f>VLOOKUP(A473,'Feature Summary'!$A$7:$C$3944,3,FALSE)</f>
        <v>#N/A</v>
      </c>
      <c r="H473" s="463" t="s">
        <v>1139</v>
      </c>
      <c r="I473" s="463"/>
      <c r="J473" s="477" t="s">
        <v>297</v>
      </c>
      <c r="K473" s="263"/>
      <c r="L473" s="390"/>
      <c r="M473" s="399" t="s">
        <v>33</v>
      </c>
      <c r="N473" s="475">
        <v>1</v>
      </c>
      <c r="O473" s="390"/>
      <c r="P473" s="496">
        <f t="shared" si="77"/>
        <v>0</v>
      </c>
      <c r="Q473" s="445" t="s">
        <v>52</v>
      </c>
      <c r="R473" s="390"/>
      <c r="S473" s="362">
        <f t="shared" si="81"/>
        <v>0</v>
      </c>
      <c r="T473" s="368"/>
      <c r="U473" s="368"/>
      <c r="V473" s="368"/>
      <c r="W473" s="368"/>
      <c r="X473" s="364">
        <f t="shared" si="80"/>
        <v>0</v>
      </c>
      <c r="Y473" s="393"/>
      <c r="Z473" s="498">
        <f t="shared" si="78"/>
        <v>0</v>
      </c>
      <c r="AA473" s="368"/>
      <c r="AB473" s="368"/>
      <c r="AC473" s="368"/>
      <c r="AD473" s="368"/>
      <c r="AE473" s="365">
        <f t="shared" si="79"/>
        <v>0</v>
      </c>
      <c r="AF473" s="262"/>
      <c r="AG473" s="457"/>
      <c r="AH473" s="264"/>
    </row>
    <row r="474" spans="1:34" ht="15.75" thickBot="1" x14ac:dyDescent="0.3">
      <c r="A474" s="474" t="s">
        <v>1115</v>
      </c>
      <c r="B474" s="447" t="s">
        <v>1116</v>
      </c>
      <c r="C474" s="580" t="s">
        <v>335</v>
      </c>
      <c r="D474" s="449" t="s">
        <v>431</v>
      </c>
      <c r="E474" s="262"/>
      <c r="F474" s="463" t="s">
        <v>1140</v>
      </c>
      <c r="G474" s="387" t="str">
        <f>VLOOKUP(A474,'Feature Summary'!$A$7:$C$3944,3,FALSE)</f>
        <v>P1</v>
      </c>
      <c r="H474" s="463" t="s">
        <v>1141</v>
      </c>
      <c r="I474" s="488" t="s">
        <v>264</v>
      </c>
      <c r="J474" s="477" t="s">
        <v>281</v>
      </c>
      <c r="K474" s="263">
        <v>1</v>
      </c>
      <c r="L474" s="390">
        <v>1</v>
      </c>
      <c r="M474" s="399" t="s">
        <v>33</v>
      </c>
      <c r="N474" s="475">
        <v>1</v>
      </c>
      <c r="O474" s="390">
        <v>1</v>
      </c>
      <c r="P474" s="496">
        <f t="shared" si="77"/>
        <v>1</v>
      </c>
      <c r="Q474" s="445" t="s">
        <v>52</v>
      </c>
      <c r="R474" s="390">
        <v>1</v>
      </c>
      <c r="S474" s="362">
        <f t="shared" si="81"/>
        <v>1</v>
      </c>
      <c r="T474" s="368">
        <v>1</v>
      </c>
      <c r="U474" s="368"/>
      <c r="V474" s="368"/>
      <c r="W474" s="368"/>
      <c r="X474" s="364">
        <f t="shared" si="80"/>
        <v>1</v>
      </c>
      <c r="Y474" s="393"/>
      <c r="Z474" s="498">
        <f t="shared" si="78"/>
        <v>0</v>
      </c>
      <c r="AA474" s="368"/>
      <c r="AB474" s="368"/>
      <c r="AC474" s="368"/>
      <c r="AD474" s="368"/>
      <c r="AE474" s="365">
        <f t="shared" si="79"/>
        <v>0</v>
      </c>
      <c r="AF474" s="262"/>
      <c r="AG474" s="457"/>
      <c r="AH474" s="264"/>
    </row>
    <row r="475" spans="1:34" ht="15.75" thickBot="1" x14ac:dyDescent="0.3">
      <c r="A475" s="474"/>
      <c r="B475" s="447" t="s">
        <v>1116</v>
      </c>
      <c r="C475" s="580"/>
      <c r="D475" s="449" t="s">
        <v>431</v>
      </c>
      <c r="E475" s="262"/>
      <c r="F475" s="463" t="s">
        <v>1140</v>
      </c>
      <c r="G475" s="387" t="e">
        <f>VLOOKUP(A475,'Feature Summary'!$A$7:$C$3944,3,FALSE)</f>
        <v>#N/A</v>
      </c>
      <c r="H475" s="463" t="s">
        <v>1142</v>
      </c>
      <c r="I475" s="463"/>
      <c r="J475" s="477" t="s">
        <v>328</v>
      </c>
      <c r="K475" s="263"/>
      <c r="L475" s="390"/>
      <c r="M475" s="399" t="s">
        <v>33</v>
      </c>
      <c r="N475" s="475">
        <v>1</v>
      </c>
      <c r="O475" s="390"/>
      <c r="P475" s="496">
        <f t="shared" si="77"/>
        <v>0</v>
      </c>
      <c r="Q475" s="445" t="s">
        <v>52</v>
      </c>
      <c r="R475" s="390"/>
      <c r="S475" s="362">
        <f t="shared" si="81"/>
        <v>0</v>
      </c>
      <c r="T475" s="368"/>
      <c r="U475" s="368"/>
      <c r="V475" s="368"/>
      <c r="W475" s="368"/>
      <c r="X475" s="364">
        <f t="shared" si="80"/>
        <v>0</v>
      </c>
      <c r="Y475" s="393"/>
      <c r="Z475" s="498">
        <f t="shared" si="78"/>
        <v>0</v>
      </c>
      <c r="AA475" s="368"/>
      <c r="AB475" s="368"/>
      <c r="AC475" s="368"/>
      <c r="AD475" s="368"/>
      <c r="AE475" s="365">
        <f t="shared" si="79"/>
        <v>0</v>
      </c>
      <c r="AF475" s="262"/>
      <c r="AG475" s="457"/>
      <c r="AH475" s="264"/>
    </row>
    <row r="476" spans="1:34" ht="15.75" thickBot="1" x14ac:dyDescent="0.3">
      <c r="A476" s="474"/>
      <c r="B476" s="447" t="s">
        <v>1116</v>
      </c>
      <c r="C476" s="580"/>
      <c r="D476" s="449" t="s">
        <v>431</v>
      </c>
      <c r="E476" s="262"/>
      <c r="F476" s="463" t="s">
        <v>1140</v>
      </c>
      <c r="G476" s="387" t="e">
        <f>VLOOKUP(A476,'Feature Summary'!$A$7:$C$3944,3,FALSE)</f>
        <v>#N/A</v>
      </c>
      <c r="H476" s="463" t="s">
        <v>1143</v>
      </c>
      <c r="I476" s="463"/>
      <c r="J476" s="477" t="s">
        <v>297</v>
      </c>
      <c r="K476" s="263"/>
      <c r="L476" s="390"/>
      <c r="M476" s="399" t="s">
        <v>33</v>
      </c>
      <c r="N476" s="475">
        <v>1</v>
      </c>
      <c r="O476" s="390"/>
      <c r="P476" s="496">
        <f t="shared" si="77"/>
        <v>0</v>
      </c>
      <c r="Q476" s="445" t="s">
        <v>52</v>
      </c>
      <c r="R476" s="390"/>
      <c r="S476" s="362">
        <f t="shared" si="81"/>
        <v>0</v>
      </c>
      <c r="T476" s="368"/>
      <c r="U476" s="368"/>
      <c r="V476" s="368"/>
      <c r="W476" s="368"/>
      <c r="X476" s="364">
        <f t="shared" si="80"/>
        <v>0</v>
      </c>
      <c r="Y476" s="393"/>
      <c r="Z476" s="498">
        <f t="shared" si="78"/>
        <v>0</v>
      </c>
      <c r="AA476" s="368"/>
      <c r="AB476" s="368"/>
      <c r="AC476" s="368"/>
      <c r="AD476" s="368"/>
      <c r="AE476" s="365">
        <f t="shared" si="79"/>
        <v>0</v>
      </c>
      <c r="AF476" s="262"/>
      <c r="AG476" s="457"/>
      <c r="AH476" s="264"/>
    </row>
    <row r="477" spans="1:34" ht="30.75" thickBot="1" x14ac:dyDescent="0.3">
      <c r="A477" s="474" t="s">
        <v>1144</v>
      </c>
      <c r="B477" s="447" t="s">
        <v>1116</v>
      </c>
      <c r="C477" s="580" t="s">
        <v>335</v>
      </c>
      <c r="D477" s="449" t="s">
        <v>431</v>
      </c>
      <c r="E477" s="262"/>
      <c r="F477" s="463" t="s">
        <v>1145</v>
      </c>
      <c r="G477" s="387" t="e">
        <f>VLOOKUP(A477,'Feature Summary'!$A$7:$C$3944,3,FALSE)</f>
        <v>#N/A</v>
      </c>
      <c r="H477" s="463" t="s">
        <v>1146</v>
      </c>
      <c r="I477" s="488" t="s">
        <v>264</v>
      </c>
      <c r="J477" s="477" t="s">
        <v>1147</v>
      </c>
      <c r="K477" s="263">
        <v>1</v>
      </c>
      <c r="L477" s="390">
        <v>1</v>
      </c>
      <c r="M477" s="399" t="s">
        <v>33</v>
      </c>
      <c r="N477" s="475">
        <v>1</v>
      </c>
      <c r="O477" s="390">
        <v>1</v>
      </c>
      <c r="P477" s="496">
        <f t="shared" si="77"/>
        <v>1</v>
      </c>
      <c r="Q477" s="445" t="s">
        <v>52</v>
      </c>
      <c r="R477" s="390">
        <v>1</v>
      </c>
      <c r="S477" s="362">
        <f t="shared" si="81"/>
        <v>1</v>
      </c>
      <c r="T477" s="368">
        <v>1</v>
      </c>
      <c r="U477" s="368"/>
      <c r="V477" s="368"/>
      <c r="W477" s="368"/>
      <c r="X477" s="364">
        <f t="shared" si="80"/>
        <v>1</v>
      </c>
      <c r="Y477" s="393"/>
      <c r="Z477" s="498">
        <f t="shared" si="78"/>
        <v>0</v>
      </c>
      <c r="AA477" s="368"/>
      <c r="AB477" s="368"/>
      <c r="AC477" s="368"/>
      <c r="AD477" s="368"/>
      <c r="AE477" s="365">
        <f t="shared" si="79"/>
        <v>0</v>
      </c>
      <c r="AF477" s="262"/>
      <c r="AG477" s="457"/>
      <c r="AH477" s="264"/>
    </row>
    <row r="478" spans="1:34" s="572" customFormat="1" ht="15.75" thickBot="1" x14ac:dyDescent="0.3">
      <c r="A478" s="567" t="s">
        <v>1148</v>
      </c>
      <c r="B478" s="473"/>
      <c r="C478" s="486"/>
      <c r="D478" s="559" t="s">
        <v>431</v>
      </c>
      <c r="E478" s="560"/>
      <c r="F478" s="486" t="s">
        <v>1149</v>
      </c>
      <c r="G478" s="561" t="e">
        <f>VLOOKUP(A478,'Feature Summary'!$A$7:$C$3944,3,FALSE)</f>
        <v>#N/A</v>
      </c>
      <c r="H478" s="486" t="s">
        <v>1150</v>
      </c>
      <c r="I478" s="486"/>
      <c r="J478" s="573" t="s">
        <v>320</v>
      </c>
      <c r="K478" s="563">
        <v>0</v>
      </c>
      <c r="L478" s="574">
        <v>0</v>
      </c>
      <c r="M478" s="484" t="s">
        <v>33</v>
      </c>
      <c r="N478" s="565">
        <v>1</v>
      </c>
      <c r="O478" s="574">
        <v>0</v>
      </c>
      <c r="P478" s="566">
        <f t="shared" si="77"/>
        <v>0</v>
      </c>
      <c r="Q478" s="445" t="s">
        <v>52</v>
      </c>
      <c r="R478" s="574">
        <v>0</v>
      </c>
      <c r="S478" s="362">
        <f t="shared" si="81"/>
        <v>0</v>
      </c>
      <c r="T478" s="368"/>
      <c r="U478" s="368"/>
      <c r="V478" s="368"/>
      <c r="W478" s="368"/>
      <c r="X478" s="364">
        <f t="shared" si="80"/>
        <v>0</v>
      </c>
      <c r="Y478" s="569"/>
      <c r="Z478" s="498">
        <f t="shared" si="78"/>
        <v>0</v>
      </c>
      <c r="AA478" s="568"/>
      <c r="AB478" s="568"/>
      <c r="AC478" s="568"/>
      <c r="AD478" s="568"/>
      <c r="AE478" s="365">
        <f t="shared" si="79"/>
        <v>0</v>
      </c>
      <c r="AF478" s="560"/>
      <c r="AG478" s="570"/>
      <c r="AH478" s="571"/>
    </row>
    <row r="479" spans="1:34" s="572" customFormat="1" ht="15.75" thickBot="1" x14ac:dyDescent="0.3">
      <c r="A479" s="490"/>
      <c r="B479" s="473"/>
      <c r="C479" s="486"/>
      <c r="D479" s="559" t="s">
        <v>431</v>
      </c>
      <c r="E479" s="560"/>
      <c r="F479" s="486" t="s">
        <v>1151</v>
      </c>
      <c r="G479" s="561" t="e">
        <f>VLOOKUP(A479,'Feature Summary'!$A$7:$C$3944,3,FALSE)</f>
        <v>#N/A</v>
      </c>
      <c r="H479" s="486" t="s">
        <v>1152</v>
      </c>
      <c r="I479" s="486"/>
      <c r="J479" s="573" t="s">
        <v>320</v>
      </c>
      <c r="K479" s="563">
        <v>0</v>
      </c>
      <c r="L479" s="574">
        <v>0</v>
      </c>
      <c r="M479" s="484" t="s">
        <v>33</v>
      </c>
      <c r="N479" s="565">
        <v>1</v>
      </c>
      <c r="O479" s="574">
        <v>0</v>
      </c>
      <c r="P479" s="566">
        <f t="shared" si="77"/>
        <v>0</v>
      </c>
      <c r="Q479" s="445" t="s">
        <v>52</v>
      </c>
      <c r="R479" s="574">
        <v>0</v>
      </c>
      <c r="S479" s="362">
        <f t="shared" si="81"/>
        <v>0</v>
      </c>
      <c r="T479" s="368"/>
      <c r="U479" s="368"/>
      <c r="V479" s="368"/>
      <c r="W479" s="368"/>
      <c r="X479" s="364">
        <f t="shared" si="80"/>
        <v>0</v>
      </c>
      <c r="Y479" s="569"/>
      <c r="Z479" s="498">
        <f t="shared" si="78"/>
        <v>0</v>
      </c>
      <c r="AA479" s="568"/>
      <c r="AB479" s="568"/>
      <c r="AC479" s="568"/>
      <c r="AD479" s="568"/>
      <c r="AE479" s="365">
        <f t="shared" si="79"/>
        <v>0</v>
      </c>
      <c r="AF479" s="560"/>
      <c r="AG479" s="570"/>
      <c r="AH479" s="571"/>
    </row>
    <row r="480" spans="1:34" ht="15.75" thickBot="1" x14ac:dyDescent="0.3">
      <c r="A480" s="474" t="s">
        <v>1153</v>
      </c>
      <c r="B480" s="447"/>
      <c r="C480" s="580" t="s">
        <v>651</v>
      </c>
      <c r="D480" s="449" t="s">
        <v>431</v>
      </c>
      <c r="E480" s="262"/>
      <c r="F480" s="463" t="s">
        <v>1154</v>
      </c>
      <c r="G480" s="387" t="str">
        <f>VLOOKUP(A480,'Feature Summary'!$A$7:$C$3944,3,FALSE)</f>
        <v>P2</v>
      </c>
      <c r="H480" s="463" t="s">
        <v>1155</v>
      </c>
      <c r="I480" s="488" t="s">
        <v>264</v>
      </c>
      <c r="J480" s="477" t="s">
        <v>281</v>
      </c>
      <c r="K480" s="263">
        <v>1</v>
      </c>
      <c r="L480" s="390">
        <v>1</v>
      </c>
      <c r="M480" s="399" t="s">
        <v>33</v>
      </c>
      <c r="N480" s="475">
        <v>1</v>
      </c>
      <c r="O480" s="390">
        <v>1</v>
      </c>
      <c r="P480" s="496">
        <f t="shared" si="77"/>
        <v>1</v>
      </c>
      <c r="Q480" s="445" t="s">
        <v>52</v>
      </c>
      <c r="R480" s="390">
        <v>1</v>
      </c>
      <c r="S480" s="362">
        <f t="shared" si="81"/>
        <v>1</v>
      </c>
      <c r="T480" s="368">
        <v>1</v>
      </c>
      <c r="U480" s="368"/>
      <c r="V480" s="368"/>
      <c r="W480" s="368"/>
      <c r="X480" s="364">
        <f t="shared" si="80"/>
        <v>1</v>
      </c>
      <c r="Y480" s="393"/>
      <c r="Z480" s="498">
        <f t="shared" si="78"/>
        <v>0</v>
      </c>
      <c r="AA480" s="368"/>
      <c r="AB480" s="368"/>
      <c r="AC480" s="368"/>
      <c r="AD480" s="368"/>
      <c r="AE480" s="365">
        <f t="shared" si="79"/>
        <v>0</v>
      </c>
      <c r="AF480" s="262"/>
      <c r="AG480" s="457"/>
      <c r="AH480" s="264"/>
    </row>
    <row r="481" spans="1:34" ht="15.75" thickBot="1" x14ac:dyDescent="0.3">
      <c r="A481" s="474" t="s">
        <v>1156</v>
      </c>
      <c r="B481" s="447" t="s">
        <v>1111</v>
      </c>
      <c r="C481" s="580" t="s">
        <v>651</v>
      </c>
      <c r="D481" s="449" t="s">
        <v>431</v>
      </c>
      <c r="E481" s="262"/>
      <c r="F481" s="463" t="s">
        <v>1157</v>
      </c>
      <c r="G481" s="387" t="str">
        <f>VLOOKUP(A481,'Feature Summary'!$A$7:$C$3944,3,FALSE)</f>
        <v>P2</v>
      </c>
      <c r="H481" s="463" t="s">
        <v>1158</v>
      </c>
      <c r="I481" s="488" t="s">
        <v>264</v>
      </c>
      <c r="J481" s="477" t="s">
        <v>281</v>
      </c>
      <c r="K481" s="263">
        <v>1</v>
      </c>
      <c r="L481" s="390">
        <v>1</v>
      </c>
      <c r="M481" s="399" t="s">
        <v>33</v>
      </c>
      <c r="N481" s="475">
        <v>1</v>
      </c>
      <c r="O481" s="390">
        <v>1</v>
      </c>
      <c r="P481" s="496">
        <f t="shared" si="77"/>
        <v>1</v>
      </c>
      <c r="Q481" s="445" t="s">
        <v>52</v>
      </c>
      <c r="R481" s="390">
        <v>1</v>
      </c>
      <c r="S481" s="362">
        <f t="shared" si="81"/>
        <v>1</v>
      </c>
      <c r="T481" s="368">
        <v>1</v>
      </c>
      <c r="U481" s="368"/>
      <c r="V481" s="368"/>
      <c r="W481" s="368"/>
      <c r="X481" s="364">
        <f t="shared" si="80"/>
        <v>1</v>
      </c>
      <c r="Y481" s="393"/>
      <c r="Z481" s="498">
        <f t="shared" si="78"/>
        <v>0</v>
      </c>
      <c r="AA481" s="368"/>
      <c r="AB481" s="368"/>
      <c r="AC481" s="368"/>
      <c r="AD481" s="368"/>
      <c r="AE481" s="365">
        <f t="shared" si="79"/>
        <v>0</v>
      </c>
      <c r="AF481" s="262"/>
      <c r="AG481" s="457"/>
      <c r="AH481" s="264"/>
    </row>
    <row r="482" spans="1:34" ht="15.75" thickBot="1" x14ac:dyDescent="0.3">
      <c r="A482" s="474"/>
      <c r="B482" s="447" t="s">
        <v>1111</v>
      </c>
      <c r="C482" s="463"/>
      <c r="D482" s="449" t="s">
        <v>431</v>
      </c>
      <c r="E482" s="262"/>
      <c r="F482" s="463" t="s">
        <v>1157</v>
      </c>
      <c r="G482" s="387" t="e">
        <f>VLOOKUP(A482,'Feature Summary'!$A$7:$C$3944,3,FALSE)</f>
        <v>#N/A</v>
      </c>
      <c r="H482" s="463" t="s">
        <v>1159</v>
      </c>
      <c r="I482" s="463"/>
      <c r="J482" s="477" t="s">
        <v>328</v>
      </c>
      <c r="K482" s="263"/>
      <c r="L482" s="390"/>
      <c r="M482" s="399" t="s">
        <v>33</v>
      </c>
      <c r="N482" s="475">
        <v>1</v>
      </c>
      <c r="O482" s="390"/>
      <c r="P482" s="496">
        <f t="shared" si="77"/>
        <v>0</v>
      </c>
      <c r="Q482" s="445" t="s">
        <v>52</v>
      </c>
      <c r="R482" s="390"/>
      <c r="S482" s="362">
        <f t="shared" si="81"/>
        <v>0</v>
      </c>
      <c r="T482" s="368"/>
      <c r="U482" s="368"/>
      <c r="V482" s="368"/>
      <c r="W482" s="368"/>
      <c r="X482" s="364">
        <f t="shared" si="80"/>
        <v>0</v>
      </c>
      <c r="Y482" s="393"/>
      <c r="Z482" s="498">
        <f t="shared" si="78"/>
        <v>0</v>
      </c>
      <c r="AA482" s="368"/>
      <c r="AB482" s="368"/>
      <c r="AC482" s="368"/>
      <c r="AD482" s="368"/>
      <c r="AE482" s="365">
        <f t="shared" si="79"/>
        <v>0</v>
      </c>
      <c r="AF482" s="262"/>
      <c r="AG482" s="457"/>
      <c r="AH482" s="264"/>
    </row>
    <row r="483" spans="1:34" ht="15.75" thickBot="1" x14ac:dyDescent="0.3">
      <c r="A483" s="474"/>
      <c r="B483" s="447" t="s">
        <v>1111</v>
      </c>
      <c r="C483" s="463"/>
      <c r="D483" s="449" t="s">
        <v>431</v>
      </c>
      <c r="E483" s="262"/>
      <c r="F483" s="463" t="s">
        <v>1157</v>
      </c>
      <c r="G483" s="387" t="e">
        <f>VLOOKUP(A483,'Feature Summary'!$A$7:$C$3944,3,FALSE)</f>
        <v>#N/A</v>
      </c>
      <c r="H483" s="463" t="s">
        <v>1160</v>
      </c>
      <c r="I483" s="463"/>
      <c r="J483" s="477" t="s">
        <v>297</v>
      </c>
      <c r="K483" s="263"/>
      <c r="L483" s="390"/>
      <c r="M483" s="399" t="s">
        <v>33</v>
      </c>
      <c r="N483" s="475">
        <v>1</v>
      </c>
      <c r="O483" s="390"/>
      <c r="P483" s="496">
        <f t="shared" si="77"/>
        <v>0</v>
      </c>
      <c r="Q483" s="445" t="s">
        <v>52</v>
      </c>
      <c r="R483" s="390"/>
      <c r="S483" s="362">
        <f t="shared" si="81"/>
        <v>0</v>
      </c>
      <c r="T483" s="368"/>
      <c r="U483" s="368"/>
      <c r="V483" s="368"/>
      <c r="W483" s="368"/>
      <c r="X483" s="364">
        <f t="shared" si="80"/>
        <v>0</v>
      </c>
      <c r="Y483" s="393"/>
      <c r="Z483" s="498">
        <f t="shared" si="78"/>
        <v>0</v>
      </c>
      <c r="AA483" s="368"/>
      <c r="AB483" s="368"/>
      <c r="AC483" s="368"/>
      <c r="AD483" s="368"/>
      <c r="AE483" s="365">
        <f t="shared" si="79"/>
        <v>0</v>
      </c>
      <c r="AF483" s="262"/>
      <c r="AG483" s="457"/>
      <c r="AH483" s="264"/>
    </row>
    <row r="484" spans="1:34" ht="15.75" thickBot="1" x14ac:dyDescent="0.3">
      <c r="A484" s="474"/>
      <c r="B484" s="447" t="s">
        <v>1111</v>
      </c>
      <c r="C484" s="463"/>
      <c r="D484" s="449" t="s">
        <v>431</v>
      </c>
      <c r="E484" s="262"/>
      <c r="F484" s="463" t="s">
        <v>1157</v>
      </c>
      <c r="G484" s="387" t="e">
        <f>VLOOKUP(A484,'Feature Summary'!$A$7:$C$3944,3,FALSE)</f>
        <v>#N/A</v>
      </c>
      <c r="H484" s="463" t="s">
        <v>1161</v>
      </c>
      <c r="I484" s="463"/>
      <c r="J484" s="477" t="s">
        <v>328</v>
      </c>
      <c r="K484" s="263"/>
      <c r="L484" s="390"/>
      <c r="M484" s="399" t="s">
        <v>33</v>
      </c>
      <c r="N484" s="475">
        <v>1</v>
      </c>
      <c r="O484" s="390"/>
      <c r="P484" s="496">
        <f t="shared" si="77"/>
        <v>0</v>
      </c>
      <c r="Q484" s="445" t="s">
        <v>52</v>
      </c>
      <c r="R484" s="390"/>
      <c r="S484" s="362">
        <f t="shared" si="81"/>
        <v>0</v>
      </c>
      <c r="T484" s="368"/>
      <c r="U484" s="368"/>
      <c r="V484" s="368"/>
      <c r="W484" s="368"/>
      <c r="X484" s="364">
        <f t="shared" si="80"/>
        <v>0</v>
      </c>
      <c r="Y484" s="393"/>
      <c r="Z484" s="498">
        <f t="shared" si="78"/>
        <v>0</v>
      </c>
      <c r="AA484" s="368"/>
      <c r="AB484" s="368"/>
      <c r="AC484" s="368"/>
      <c r="AD484" s="368"/>
      <c r="AE484" s="365">
        <f t="shared" si="79"/>
        <v>0</v>
      </c>
      <c r="AF484" s="262"/>
      <c r="AG484" s="457"/>
      <c r="AH484" s="264"/>
    </row>
    <row r="485" spans="1:34" ht="15.75" thickBot="1" x14ac:dyDescent="0.3">
      <c r="A485" s="474"/>
      <c r="B485" s="447" t="s">
        <v>1111</v>
      </c>
      <c r="C485" s="463"/>
      <c r="D485" s="449" t="s">
        <v>431</v>
      </c>
      <c r="E485" s="262"/>
      <c r="F485" s="463" t="s">
        <v>1157</v>
      </c>
      <c r="G485" s="387" t="e">
        <f>VLOOKUP(A485,'Feature Summary'!$A$7:$C$3944,3,FALSE)</f>
        <v>#N/A</v>
      </c>
      <c r="H485" s="463" t="s">
        <v>1162</v>
      </c>
      <c r="I485" s="463"/>
      <c r="J485" s="477" t="s">
        <v>297</v>
      </c>
      <c r="K485" s="263"/>
      <c r="L485" s="390"/>
      <c r="M485" s="399" t="s">
        <v>33</v>
      </c>
      <c r="N485" s="475">
        <v>1</v>
      </c>
      <c r="O485" s="390"/>
      <c r="P485" s="496">
        <f t="shared" si="77"/>
        <v>0</v>
      </c>
      <c r="Q485" s="445" t="s">
        <v>52</v>
      </c>
      <c r="R485" s="390"/>
      <c r="S485" s="362">
        <f t="shared" si="81"/>
        <v>0</v>
      </c>
      <c r="T485" s="368"/>
      <c r="U485" s="368"/>
      <c r="V485" s="368"/>
      <c r="W485" s="368"/>
      <c r="X485" s="364">
        <f t="shared" si="80"/>
        <v>0</v>
      </c>
      <c r="Y485" s="393"/>
      <c r="Z485" s="498">
        <f t="shared" si="78"/>
        <v>0</v>
      </c>
      <c r="AA485" s="368"/>
      <c r="AB485" s="368"/>
      <c r="AC485" s="368"/>
      <c r="AD485" s="368"/>
      <c r="AE485" s="365">
        <f t="shared" si="79"/>
        <v>0</v>
      </c>
      <c r="AF485" s="262"/>
      <c r="AG485" s="457"/>
      <c r="AH485" s="264"/>
    </row>
    <row r="486" spans="1:34" ht="30.75" thickBot="1" x14ac:dyDescent="0.3">
      <c r="A486" s="474" t="s">
        <v>1163</v>
      </c>
      <c r="B486" s="447" t="s">
        <v>1164</v>
      </c>
      <c r="C486" s="463" t="s">
        <v>354</v>
      </c>
      <c r="D486" s="449" t="s">
        <v>431</v>
      </c>
      <c r="E486" s="262"/>
      <c r="F486" s="463" t="s">
        <v>1165</v>
      </c>
      <c r="G486" s="387" t="e">
        <f>VLOOKUP(A486,'Feature Summary'!$A$7:$C$3944,3,FALSE)</f>
        <v>#N/A</v>
      </c>
      <c r="H486" s="463" t="s">
        <v>1166</v>
      </c>
      <c r="I486" s="488" t="s">
        <v>264</v>
      </c>
      <c r="J486" s="477" t="s">
        <v>281</v>
      </c>
      <c r="K486" s="263">
        <v>1</v>
      </c>
      <c r="L486" s="390">
        <v>1</v>
      </c>
      <c r="M486" s="399" t="s">
        <v>33</v>
      </c>
      <c r="N486" s="475">
        <v>1</v>
      </c>
      <c r="O486" s="390">
        <v>1</v>
      </c>
      <c r="P486" s="496">
        <f t="shared" si="77"/>
        <v>1</v>
      </c>
      <c r="Q486" s="445" t="s">
        <v>52</v>
      </c>
      <c r="R486" s="390">
        <v>1</v>
      </c>
      <c r="S486" s="362">
        <f t="shared" si="81"/>
        <v>1</v>
      </c>
      <c r="T486" s="368">
        <v>1</v>
      </c>
      <c r="U486" s="368"/>
      <c r="V486" s="368"/>
      <c r="W486" s="368"/>
      <c r="X486" s="364">
        <f t="shared" si="80"/>
        <v>1</v>
      </c>
      <c r="Y486" s="393"/>
      <c r="Z486" s="498">
        <f t="shared" si="78"/>
        <v>0</v>
      </c>
      <c r="AA486" s="368"/>
      <c r="AB486" s="368"/>
      <c r="AC486" s="368"/>
      <c r="AD486" s="368"/>
      <c r="AE486" s="365">
        <f t="shared" si="79"/>
        <v>0</v>
      </c>
      <c r="AF486" s="262"/>
      <c r="AG486" s="457"/>
      <c r="AH486" s="264"/>
    </row>
    <row r="487" spans="1:34" ht="30.75" thickBot="1" x14ac:dyDescent="0.3">
      <c r="A487" s="474" t="s">
        <v>1163</v>
      </c>
      <c r="B487" s="447" t="s">
        <v>1164</v>
      </c>
      <c r="C487" s="463" t="s">
        <v>354</v>
      </c>
      <c r="D487" s="449" t="s">
        <v>431</v>
      </c>
      <c r="E487" s="262"/>
      <c r="F487" s="447" t="s">
        <v>1167</v>
      </c>
      <c r="G487" s="387" t="e">
        <f>VLOOKUP(A487,'Feature Summary'!$A$7:$C$3944,3,FALSE)</f>
        <v>#N/A</v>
      </c>
      <c r="H487" s="463" t="s">
        <v>1168</v>
      </c>
      <c r="I487" s="488" t="s">
        <v>264</v>
      </c>
      <c r="J487" s="448" t="s">
        <v>1169</v>
      </c>
      <c r="K487" s="263">
        <v>1</v>
      </c>
      <c r="L487" s="390">
        <v>1</v>
      </c>
      <c r="M487" s="399" t="s">
        <v>33</v>
      </c>
      <c r="N487" s="475">
        <v>1</v>
      </c>
      <c r="O487" s="390">
        <v>1</v>
      </c>
      <c r="P487" s="496">
        <f t="shared" si="77"/>
        <v>1</v>
      </c>
      <c r="Q487" s="445" t="s">
        <v>52</v>
      </c>
      <c r="R487" s="390">
        <v>1</v>
      </c>
      <c r="S487" s="362">
        <f t="shared" si="81"/>
        <v>1</v>
      </c>
      <c r="T487" s="368">
        <v>1</v>
      </c>
      <c r="U487" s="368"/>
      <c r="V487" s="368"/>
      <c r="W487" s="368"/>
      <c r="X487" s="364">
        <f t="shared" si="80"/>
        <v>1</v>
      </c>
      <c r="Y487" s="393"/>
      <c r="Z487" s="498">
        <f t="shared" si="78"/>
        <v>0</v>
      </c>
      <c r="AA487" s="368"/>
      <c r="AB487" s="368"/>
      <c r="AC487" s="368"/>
      <c r="AD487" s="368"/>
      <c r="AE487" s="365">
        <f t="shared" si="79"/>
        <v>0</v>
      </c>
      <c r="AF487" s="262"/>
      <c r="AG487" s="457"/>
      <c r="AH487" s="264"/>
    </row>
    <row r="488" spans="1:34" ht="30.75" thickBot="1" x14ac:dyDescent="0.3">
      <c r="A488" s="474" t="s">
        <v>1163</v>
      </c>
      <c r="B488" s="447" t="s">
        <v>1164</v>
      </c>
      <c r="C488" s="463" t="s">
        <v>354</v>
      </c>
      <c r="D488" s="449" t="s">
        <v>431</v>
      </c>
      <c r="E488" s="262"/>
      <c r="F488" s="447" t="s">
        <v>1170</v>
      </c>
      <c r="G488" s="387" t="e">
        <f>VLOOKUP(A488,'Feature Summary'!$A$7:$C$3944,3,FALSE)</f>
        <v>#N/A</v>
      </c>
      <c r="H488" s="463" t="s">
        <v>1171</v>
      </c>
      <c r="I488" s="488" t="s">
        <v>264</v>
      </c>
      <c r="J488" s="448" t="s">
        <v>1172</v>
      </c>
      <c r="K488" s="263">
        <v>1</v>
      </c>
      <c r="L488" s="390">
        <v>1</v>
      </c>
      <c r="M488" s="399" t="s">
        <v>33</v>
      </c>
      <c r="N488" s="475">
        <v>1</v>
      </c>
      <c r="O488" s="390">
        <v>1</v>
      </c>
      <c r="P488" s="496">
        <f t="shared" si="77"/>
        <v>1</v>
      </c>
      <c r="Q488" s="445" t="s">
        <v>52</v>
      </c>
      <c r="R488" s="390">
        <v>1</v>
      </c>
      <c r="S488" s="362">
        <f t="shared" si="81"/>
        <v>1</v>
      </c>
      <c r="T488" s="368">
        <v>1</v>
      </c>
      <c r="U488" s="368"/>
      <c r="V488" s="368"/>
      <c r="W488" s="368"/>
      <c r="X488" s="364">
        <f t="shared" si="80"/>
        <v>1</v>
      </c>
      <c r="Y488" s="393"/>
      <c r="Z488" s="498">
        <f t="shared" si="78"/>
        <v>0</v>
      </c>
      <c r="AA488" s="368"/>
      <c r="AB488" s="368"/>
      <c r="AC488" s="368"/>
      <c r="AD488" s="368"/>
      <c r="AE488" s="365">
        <f t="shared" si="79"/>
        <v>0</v>
      </c>
      <c r="AF488" s="262"/>
      <c r="AG488" s="457"/>
      <c r="AH488" s="264"/>
    </row>
    <row r="489" spans="1:34" ht="45.75" thickBot="1" x14ac:dyDescent="0.3">
      <c r="A489" s="474"/>
      <c r="B489" s="447" t="s">
        <v>1164</v>
      </c>
      <c r="C489" s="463"/>
      <c r="D489" s="449" t="s">
        <v>431</v>
      </c>
      <c r="E489" s="262"/>
      <c r="F489" s="447" t="s">
        <v>1167</v>
      </c>
      <c r="G489" s="387" t="e">
        <f>VLOOKUP(A489,'Feature Summary'!$A$7:$C$3944,3,FALSE)</f>
        <v>#N/A</v>
      </c>
      <c r="H489" s="463" t="s">
        <v>1173</v>
      </c>
      <c r="I489" s="463"/>
      <c r="J489" s="448" t="s">
        <v>1174</v>
      </c>
      <c r="K489" s="263"/>
      <c r="L489" s="390"/>
      <c r="M489" s="399" t="s">
        <v>33</v>
      </c>
      <c r="N489" s="475">
        <v>1</v>
      </c>
      <c r="O489" s="390"/>
      <c r="P489" s="496">
        <f t="shared" ref="P489" si="82">IF((O489=0),0,(O489/L489))</f>
        <v>0</v>
      </c>
      <c r="Q489" s="445" t="s">
        <v>52</v>
      </c>
      <c r="R489" s="390"/>
      <c r="S489" s="362">
        <f t="shared" si="81"/>
        <v>0</v>
      </c>
      <c r="T489" s="368"/>
      <c r="U489" s="368"/>
      <c r="V489" s="368"/>
      <c r="W489" s="368"/>
      <c r="X489" s="364">
        <f t="shared" si="80"/>
        <v>0</v>
      </c>
      <c r="Y489" s="393"/>
      <c r="Z489" s="498">
        <f t="shared" si="78"/>
        <v>0</v>
      </c>
      <c r="AA489" s="368"/>
      <c r="AB489" s="368"/>
      <c r="AC489" s="368"/>
      <c r="AD489" s="368"/>
      <c r="AE489" s="365">
        <f t="shared" si="79"/>
        <v>0</v>
      </c>
      <c r="AF489" s="262"/>
      <c r="AG489" s="457"/>
      <c r="AH489" s="264"/>
    </row>
    <row r="490" spans="1:34" ht="45.75" thickBot="1" x14ac:dyDescent="0.3">
      <c r="A490" s="474"/>
      <c r="B490" s="447" t="s">
        <v>1164</v>
      </c>
      <c r="C490" s="463"/>
      <c r="D490" s="449" t="s">
        <v>431</v>
      </c>
      <c r="E490" s="262"/>
      <c r="F490" s="447" t="s">
        <v>1170</v>
      </c>
      <c r="G490" s="387" t="e">
        <f>VLOOKUP(A490,'Feature Summary'!$A$7:$C$3944,3,FALSE)</f>
        <v>#N/A</v>
      </c>
      <c r="H490" s="463" t="s">
        <v>1175</v>
      </c>
      <c r="I490" s="463"/>
      <c r="J490" s="448" t="s">
        <v>1176</v>
      </c>
      <c r="K490" s="263"/>
      <c r="L490" s="390"/>
      <c r="M490" s="399" t="s">
        <v>33</v>
      </c>
      <c r="N490" s="475">
        <v>1</v>
      </c>
      <c r="O490" s="390"/>
      <c r="P490" s="496">
        <f>IF((O490=0),0,(O490/L490))</f>
        <v>0</v>
      </c>
      <c r="Q490" s="445" t="s">
        <v>52</v>
      </c>
      <c r="R490" s="390"/>
      <c r="S490" s="362">
        <f t="shared" si="81"/>
        <v>0</v>
      </c>
      <c r="T490" s="368"/>
      <c r="U490" s="368"/>
      <c r="V490" s="368"/>
      <c r="W490" s="368"/>
      <c r="X490" s="364">
        <f t="shared" si="80"/>
        <v>0</v>
      </c>
      <c r="Y490" s="393"/>
      <c r="Z490" s="498">
        <f t="shared" si="78"/>
        <v>0</v>
      </c>
      <c r="AA490" s="368"/>
      <c r="AB490" s="368"/>
      <c r="AC490" s="368"/>
      <c r="AD490" s="368"/>
      <c r="AE490" s="365">
        <f t="shared" si="79"/>
        <v>0</v>
      </c>
      <c r="AF490" s="262"/>
      <c r="AG490" s="457"/>
      <c r="AH490" s="264"/>
    </row>
    <row r="491" spans="1:34" ht="15.75" thickBot="1" x14ac:dyDescent="0.3">
      <c r="A491" s="474" t="s">
        <v>1177</v>
      </c>
      <c r="B491" s="447" t="s">
        <v>1178</v>
      </c>
      <c r="C491" s="580" t="s">
        <v>651</v>
      </c>
      <c r="D491" s="449" t="s">
        <v>431</v>
      </c>
      <c r="E491" s="262"/>
      <c r="F491" s="463" t="s">
        <v>1179</v>
      </c>
      <c r="G491" s="387" t="str">
        <f>VLOOKUP(A491,'Feature Summary'!$A$7:$C$3944,3,FALSE)</f>
        <v>P2</v>
      </c>
      <c r="H491" s="463" t="s">
        <v>1180</v>
      </c>
      <c r="I491" s="488" t="s">
        <v>264</v>
      </c>
      <c r="J491" s="477" t="s">
        <v>281</v>
      </c>
      <c r="K491" s="263">
        <v>1</v>
      </c>
      <c r="L491" s="390">
        <v>1</v>
      </c>
      <c r="M491" s="399" t="s">
        <v>33</v>
      </c>
      <c r="N491" s="475">
        <v>1</v>
      </c>
      <c r="O491" s="390">
        <v>1</v>
      </c>
      <c r="P491" s="496">
        <f t="shared" ref="P491:P492" si="83">IF((O491=0),0,(O491/L491))</f>
        <v>1</v>
      </c>
      <c r="Q491" s="445" t="s">
        <v>52</v>
      </c>
      <c r="R491" s="390">
        <v>1</v>
      </c>
      <c r="S491" s="362">
        <f t="shared" si="81"/>
        <v>1</v>
      </c>
      <c r="T491" s="368">
        <v>1</v>
      </c>
      <c r="U491" s="368"/>
      <c r="V491" s="368"/>
      <c r="W491" s="368"/>
      <c r="X491" s="364">
        <f t="shared" si="80"/>
        <v>1</v>
      </c>
      <c r="Y491" s="393"/>
      <c r="Z491" s="498">
        <f t="shared" si="78"/>
        <v>0</v>
      </c>
      <c r="AA491" s="368"/>
      <c r="AB491" s="368"/>
      <c r="AC491" s="368"/>
      <c r="AD491" s="368"/>
      <c r="AE491" s="365">
        <f t="shared" si="79"/>
        <v>0</v>
      </c>
      <c r="AF491" s="262"/>
      <c r="AG491" s="457"/>
      <c r="AH491" s="264"/>
    </row>
    <row r="492" spans="1:34" ht="15.75" thickBot="1" x14ac:dyDescent="0.3">
      <c r="A492" s="474"/>
      <c r="B492" s="447" t="s">
        <v>1178</v>
      </c>
      <c r="C492" s="463"/>
      <c r="D492" s="449" t="s">
        <v>431</v>
      </c>
      <c r="E492" s="262"/>
      <c r="F492" s="463" t="s">
        <v>1179</v>
      </c>
      <c r="G492" s="387" t="e">
        <f>VLOOKUP(A492,'Feature Summary'!$A$7:$C$3944,3,FALSE)</f>
        <v>#N/A</v>
      </c>
      <c r="H492" s="463" t="s">
        <v>1181</v>
      </c>
      <c r="I492" s="463"/>
      <c r="J492" s="477" t="s">
        <v>328</v>
      </c>
      <c r="K492" s="263"/>
      <c r="L492" s="390"/>
      <c r="M492" s="399" t="s">
        <v>33</v>
      </c>
      <c r="N492" s="475">
        <v>1</v>
      </c>
      <c r="O492" s="390"/>
      <c r="P492" s="496">
        <f t="shared" si="83"/>
        <v>0</v>
      </c>
      <c r="Q492" s="445" t="s">
        <v>52</v>
      </c>
      <c r="R492" s="390"/>
      <c r="S492" s="362">
        <f t="shared" si="81"/>
        <v>0</v>
      </c>
      <c r="T492" s="368"/>
      <c r="U492" s="368"/>
      <c r="V492" s="368"/>
      <c r="W492" s="368"/>
      <c r="X492" s="364">
        <f t="shared" si="80"/>
        <v>0</v>
      </c>
      <c r="Y492" s="393"/>
      <c r="Z492" s="498">
        <f t="shared" si="78"/>
        <v>0</v>
      </c>
      <c r="AA492" s="368"/>
      <c r="AB492" s="368"/>
      <c r="AC492" s="368"/>
      <c r="AD492" s="368"/>
      <c r="AE492" s="365">
        <f t="shared" si="79"/>
        <v>0</v>
      </c>
      <c r="AF492" s="262"/>
      <c r="AG492" s="457"/>
      <c r="AH492" s="264"/>
    </row>
    <row r="493" spans="1:34" ht="15.75" thickBot="1" x14ac:dyDescent="0.3">
      <c r="A493" s="474"/>
      <c r="B493" s="447" t="s">
        <v>1178</v>
      </c>
      <c r="C493" s="463"/>
      <c r="D493" s="449" t="s">
        <v>431</v>
      </c>
      <c r="E493" s="262"/>
      <c r="F493" s="463" t="s">
        <v>1179</v>
      </c>
      <c r="G493" s="387" t="e">
        <f>VLOOKUP(A493,'Feature Summary'!$A$7:$C$3944,3,FALSE)</f>
        <v>#N/A</v>
      </c>
      <c r="H493" s="463" t="s">
        <v>1182</v>
      </c>
      <c r="I493" s="463"/>
      <c r="J493" s="477" t="s">
        <v>297</v>
      </c>
      <c r="K493" s="263"/>
      <c r="L493" s="390"/>
      <c r="M493" s="399" t="s">
        <v>33</v>
      </c>
      <c r="N493" s="475">
        <v>1</v>
      </c>
      <c r="O493" s="390"/>
      <c r="P493" s="496">
        <f>IF((O493=0),0,(O493/L493))</f>
        <v>0</v>
      </c>
      <c r="Q493" s="445" t="s">
        <v>52</v>
      </c>
      <c r="R493" s="390"/>
      <c r="S493" s="362">
        <f t="shared" si="81"/>
        <v>0</v>
      </c>
      <c r="T493" s="368"/>
      <c r="U493" s="368"/>
      <c r="V493" s="368"/>
      <c r="W493" s="368"/>
      <c r="X493" s="364">
        <f t="shared" si="80"/>
        <v>0</v>
      </c>
      <c r="Y493" s="393"/>
      <c r="Z493" s="498">
        <f t="shared" si="78"/>
        <v>0</v>
      </c>
      <c r="AA493" s="368"/>
      <c r="AB493" s="368"/>
      <c r="AC493" s="368"/>
      <c r="AD493" s="368"/>
      <c r="AE493" s="365">
        <f t="shared" si="79"/>
        <v>0</v>
      </c>
      <c r="AF493" s="262"/>
      <c r="AG493" s="457"/>
      <c r="AH493" s="264"/>
    </row>
    <row r="494" spans="1:34" ht="30.75" thickBot="1" x14ac:dyDescent="0.3">
      <c r="A494" s="474" t="s">
        <v>1115</v>
      </c>
      <c r="B494" s="447"/>
      <c r="C494" s="580" t="s">
        <v>651</v>
      </c>
      <c r="D494" s="449" t="s">
        <v>431</v>
      </c>
      <c r="E494" s="262"/>
      <c r="F494" s="447" t="s">
        <v>1183</v>
      </c>
      <c r="G494" s="387" t="str">
        <f>VLOOKUP(A494,'Feature Summary'!$A$7:$C$3944,3,FALSE)</f>
        <v>P1</v>
      </c>
      <c r="H494" s="447" t="s">
        <v>1184</v>
      </c>
      <c r="I494" s="488" t="s">
        <v>264</v>
      </c>
      <c r="J494" s="448" t="s">
        <v>281</v>
      </c>
      <c r="K494" s="263">
        <v>1</v>
      </c>
      <c r="L494" s="391">
        <v>1</v>
      </c>
      <c r="M494" s="399" t="s">
        <v>33</v>
      </c>
      <c r="N494" s="475">
        <v>1</v>
      </c>
      <c r="O494" s="391">
        <v>1</v>
      </c>
      <c r="P494" s="496">
        <f>IF((O494=0),0,(O494/L494))</f>
        <v>1</v>
      </c>
      <c r="Q494" s="445" t="s">
        <v>52</v>
      </c>
      <c r="R494" s="391">
        <v>1</v>
      </c>
      <c r="S494" s="362">
        <f t="shared" si="81"/>
        <v>1</v>
      </c>
      <c r="T494" s="368">
        <v>1</v>
      </c>
      <c r="U494" s="368"/>
      <c r="V494" s="368"/>
      <c r="W494" s="368"/>
      <c r="X494" s="364">
        <f t="shared" si="80"/>
        <v>1</v>
      </c>
      <c r="Y494" s="393"/>
      <c r="Z494" s="498">
        <f t="shared" si="78"/>
        <v>0</v>
      </c>
      <c r="AA494" s="368"/>
      <c r="AB494" s="368"/>
      <c r="AC494" s="368"/>
      <c r="AD494" s="368"/>
      <c r="AE494" s="365">
        <f t="shared" si="79"/>
        <v>0</v>
      </c>
      <c r="AF494" s="262"/>
      <c r="AG494" s="457"/>
      <c r="AH494" s="264"/>
    </row>
    <row r="495" spans="1:34" ht="15.75" thickBot="1" x14ac:dyDescent="0.3">
      <c r="A495" s="474" t="s">
        <v>1115</v>
      </c>
      <c r="B495" s="447"/>
      <c r="C495" s="580" t="s">
        <v>651</v>
      </c>
      <c r="D495" s="449" t="s">
        <v>431</v>
      </c>
      <c r="E495" s="262"/>
      <c r="F495" s="447" t="s">
        <v>1185</v>
      </c>
      <c r="G495" s="387" t="str">
        <f>VLOOKUP(A495,'Feature Summary'!$A$7:$C$3944,3,FALSE)</f>
        <v>P1</v>
      </c>
      <c r="H495" s="447" t="s">
        <v>1186</v>
      </c>
      <c r="I495" s="488" t="s">
        <v>264</v>
      </c>
      <c r="J495" s="448" t="s">
        <v>1187</v>
      </c>
      <c r="K495" s="263">
        <v>1</v>
      </c>
      <c r="L495" s="391">
        <v>1</v>
      </c>
      <c r="M495" s="399" t="s">
        <v>33</v>
      </c>
      <c r="N495" s="475">
        <v>1</v>
      </c>
      <c r="O495" s="391">
        <v>1</v>
      </c>
      <c r="P495" s="496">
        <f t="shared" ref="P495:P499" si="84">IF((O495=0),0,(O495/L495))</f>
        <v>1</v>
      </c>
      <c r="Q495" s="445" t="s">
        <v>52</v>
      </c>
      <c r="R495" s="391">
        <v>1</v>
      </c>
      <c r="S495" s="362">
        <f t="shared" si="81"/>
        <v>1</v>
      </c>
      <c r="T495" s="368">
        <v>1</v>
      </c>
      <c r="U495" s="368"/>
      <c r="V495" s="368"/>
      <c r="W495" s="368"/>
      <c r="X495" s="364">
        <f t="shared" si="80"/>
        <v>1</v>
      </c>
      <c r="Y495" s="393"/>
      <c r="Z495" s="498">
        <f t="shared" si="78"/>
        <v>0</v>
      </c>
      <c r="AA495" s="368"/>
      <c r="AB495" s="368"/>
      <c r="AC495" s="368"/>
      <c r="AD495" s="368"/>
      <c r="AE495" s="365">
        <f t="shared" si="79"/>
        <v>0</v>
      </c>
      <c r="AF495" s="262"/>
      <c r="AG495" s="457"/>
      <c r="AH495" s="264"/>
    </row>
    <row r="496" spans="1:34" ht="30.75" thickBot="1" x14ac:dyDescent="0.3">
      <c r="A496" s="474"/>
      <c r="B496" s="447"/>
      <c r="C496" s="580" t="s">
        <v>651</v>
      </c>
      <c r="D496" s="449" t="s">
        <v>431</v>
      </c>
      <c r="E496" s="262"/>
      <c r="F496" s="447" t="s">
        <v>1188</v>
      </c>
      <c r="G496" s="387" t="e">
        <f>VLOOKUP(A496,'Feature Summary'!$A$7:$C$3944,3,FALSE)</f>
        <v>#N/A</v>
      </c>
      <c r="H496" s="447" t="s">
        <v>1189</v>
      </c>
      <c r="I496" s="488" t="s">
        <v>264</v>
      </c>
      <c r="J496" s="448" t="s">
        <v>281</v>
      </c>
      <c r="K496" s="263">
        <v>1</v>
      </c>
      <c r="L496" s="391">
        <v>1</v>
      </c>
      <c r="M496" s="399" t="s">
        <v>33</v>
      </c>
      <c r="N496" s="475">
        <v>1</v>
      </c>
      <c r="O496" s="391">
        <v>1</v>
      </c>
      <c r="P496" s="496">
        <f t="shared" si="84"/>
        <v>1</v>
      </c>
      <c r="Q496" s="445" t="s">
        <v>52</v>
      </c>
      <c r="R496" s="391">
        <v>1</v>
      </c>
      <c r="S496" s="362">
        <f t="shared" si="81"/>
        <v>1</v>
      </c>
      <c r="T496" s="368">
        <v>1</v>
      </c>
      <c r="U496" s="368"/>
      <c r="V496" s="368"/>
      <c r="W496" s="368"/>
      <c r="X496" s="364">
        <f t="shared" si="80"/>
        <v>1</v>
      </c>
      <c r="Y496" s="393"/>
      <c r="Z496" s="498">
        <f t="shared" si="78"/>
        <v>0</v>
      </c>
      <c r="AA496" s="368"/>
      <c r="AB496" s="368"/>
      <c r="AC496" s="368"/>
      <c r="AD496" s="368"/>
      <c r="AE496" s="365">
        <f t="shared" si="79"/>
        <v>0</v>
      </c>
      <c r="AF496" s="262"/>
      <c r="AG496" s="457"/>
      <c r="AH496" s="264"/>
    </row>
    <row r="497" spans="1:34" ht="30.75" thickBot="1" x14ac:dyDescent="0.3">
      <c r="A497" s="474"/>
      <c r="B497" s="447"/>
      <c r="C497" s="580" t="s">
        <v>651</v>
      </c>
      <c r="D497" s="449" t="s">
        <v>431</v>
      </c>
      <c r="E497" s="262"/>
      <c r="F497" s="447" t="s">
        <v>1190</v>
      </c>
      <c r="G497" s="387" t="e">
        <f>VLOOKUP(A497,'Feature Summary'!$A$7:$C$3944,3,FALSE)</f>
        <v>#N/A</v>
      </c>
      <c r="H497" s="447" t="s">
        <v>1191</v>
      </c>
      <c r="I497" s="488" t="s">
        <v>264</v>
      </c>
      <c r="J497" s="448" t="s">
        <v>281</v>
      </c>
      <c r="K497" s="263">
        <v>1</v>
      </c>
      <c r="L497" s="391">
        <v>1</v>
      </c>
      <c r="M497" s="399" t="s">
        <v>33</v>
      </c>
      <c r="N497" s="475">
        <v>1</v>
      </c>
      <c r="O497" s="391">
        <v>1</v>
      </c>
      <c r="P497" s="496">
        <f t="shared" si="84"/>
        <v>1</v>
      </c>
      <c r="Q497" s="445" t="s">
        <v>52</v>
      </c>
      <c r="R497" s="391">
        <v>1</v>
      </c>
      <c r="S497" s="362">
        <f t="shared" si="81"/>
        <v>1</v>
      </c>
      <c r="T497" s="368">
        <v>1</v>
      </c>
      <c r="U497" s="368"/>
      <c r="V497" s="368"/>
      <c r="W497" s="368"/>
      <c r="X497" s="364">
        <f t="shared" si="80"/>
        <v>1</v>
      </c>
      <c r="Y497" s="393"/>
      <c r="Z497" s="498">
        <f t="shared" si="78"/>
        <v>0</v>
      </c>
      <c r="AA497" s="368"/>
      <c r="AB497" s="368"/>
      <c r="AC497" s="368"/>
      <c r="AD497" s="368"/>
      <c r="AE497" s="365">
        <f t="shared" si="79"/>
        <v>0</v>
      </c>
      <c r="AF497" s="262"/>
      <c r="AG497" s="457"/>
      <c r="AH497" s="264"/>
    </row>
    <row r="498" spans="1:34" ht="45.75" thickBot="1" x14ac:dyDescent="0.3">
      <c r="A498" s="474"/>
      <c r="B498" s="447" t="s">
        <v>1192</v>
      </c>
      <c r="C498" s="580" t="s">
        <v>651</v>
      </c>
      <c r="D498" s="449" t="s">
        <v>431</v>
      </c>
      <c r="E498" s="262"/>
      <c r="F498" s="447" t="s">
        <v>1193</v>
      </c>
      <c r="G498" s="387" t="e">
        <f>VLOOKUP(A498,'Feature Summary'!$A$7:$C$3944,3,FALSE)</f>
        <v>#N/A</v>
      </c>
      <c r="H498" s="447" t="s">
        <v>1194</v>
      </c>
      <c r="I498" s="488" t="s">
        <v>264</v>
      </c>
      <c r="J498" s="448" t="s">
        <v>281</v>
      </c>
      <c r="K498" s="263">
        <v>1</v>
      </c>
      <c r="L498" s="391">
        <v>1</v>
      </c>
      <c r="M498" s="399" t="s">
        <v>33</v>
      </c>
      <c r="N498" s="475">
        <v>1</v>
      </c>
      <c r="O498" s="391">
        <v>1</v>
      </c>
      <c r="P498" s="496">
        <f t="shared" si="84"/>
        <v>1</v>
      </c>
      <c r="Q498" s="445" t="s">
        <v>52</v>
      </c>
      <c r="R498" s="391">
        <v>1</v>
      </c>
      <c r="S498" s="362">
        <f t="shared" si="81"/>
        <v>1</v>
      </c>
      <c r="T498" s="368">
        <v>1</v>
      </c>
      <c r="U498" s="368"/>
      <c r="V498" s="368"/>
      <c r="W498" s="368"/>
      <c r="X498" s="364">
        <f t="shared" si="80"/>
        <v>1</v>
      </c>
      <c r="Y498" s="393"/>
      <c r="Z498" s="498">
        <f t="shared" si="78"/>
        <v>0</v>
      </c>
      <c r="AA498" s="368"/>
      <c r="AB498" s="368"/>
      <c r="AC498" s="368"/>
      <c r="AD498" s="368"/>
      <c r="AE498" s="365">
        <f t="shared" si="79"/>
        <v>0</v>
      </c>
      <c r="AF498" s="262"/>
      <c r="AG498" s="457"/>
      <c r="AH498" s="264"/>
    </row>
    <row r="499" spans="1:34" ht="45.75" thickBot="1" x14ac:dyDescent="0.3">
      <c r="A499" s="474"/>
      <c r="B499" s="447" t="s">
        <v>1192</v>
      </c>
      <c r="C499" s="580" t="s">
        <v>651</v>
      </c>
      <c r="D499" s="449" t="s">
        <v>431</v>
      </c>
      <c r="E499" s="262"/>
      <c r="F499" s="447" t="s">
        <v>1195</v>
      </c>
      <c r="G499" s="387" t="e">
        <f>VLOOKUP(A499,'Feature Summary'!$A$7:$C$3944,3,FALSE)</f>
        <v>#N/A</v>
      </c>
      <c r="H499" s="447" t="s">
        <v>1196</v>
      </c>
      <c r="I499" s="488" t="s">
        <v>264</v>
      </c>
      <c r="J499" s="448" t="s">
        <v>281</v>
      </c>
      <c r="K499" s="263">
        <v>1</v>
      </c>
      <c r="L499" s="391">
        <v>1</v>
      </c>
      <c r="M499" s="399" t="s">
        <v>33</v>
      </c>
      <c r="N499" s="475">
        <v>1</v>
      </c>
      <c r="O499" s="391">
        <v>1</v>
      </c>
      <c r="P499" s="496">
        <f t="shared" si="84"/>
        <v>1</v>
      </c>
      <c r="Q499" s="445" t="s">
        <v>52</v>
      </c>
      <c r="R499" s="391">
        <v>1</v>
      </c>
      <c r="S499" s="362">
        <f t="shared" si="81"/>
        <v>1</v>
      </c>
      <c r="T499" s="368">
        <v>1</v>
      </c>
      <c r="U499" s="368"/>
      <c r="V499" s="368"/>
      <c r="W499" s="368"/>
      <c r="X499" s="364">
        <f t="shared" si="80"/>
        <v>1</v>
      </c>
      <c r="Y499" s="393"/>
      <c r="Z499" s="498">
        <f t="shared" si="78"/>
        <v>0</v>
      </c>
      <c r="AA499" s="368"/>
      <c r="AB499" s="368"/>
      <c r="AC499" s="368"/>
      <c r="AD499" s="368"/>
      <c r="AE499" s="365">
        <f t="shared" si="79"/>
        <v>0</v>
      </c>
      <c r="AF499" s="262"/>
      <c r="AG499" s="457"/>
      <c r="AH499" s="264"/>
    </row>
    <row r="500" spans="1:34" ht="30.75" thickBot="1" x14ac:dyDescent="0.3">
      <c r="A500" s="474"/>
      <c r="B500" s="447"/>
      <c r="C500" s="463" t="s">
        <v>651</v>
      </c>
      <c r="D500" s="449" t="s">
        <v>431</v>
      </c>
      <c r="E500" s="262"/>
      <c r="F500" s="447" t="s">
        <v>1197</v>
      </c>
      <c r="G500" s="387" t="e">
        <f>VLOOKUP(A500,'Feature Summary'!$A$7:$C$3944,3,FALSE)</f>
        <v>#N/A</v>
      </c>
      <c r="H500" s="447" t="s">
        <v>1198</v>
      </c>
      <c r="I500" s="488" t="s">
        <v>264</v>
      </c>
      <c r="J500" s="448" t="s">
        <v>309</v>
      </c>
      <c r="K500" s="263">
        <v>1</v>
      </c>
      <c r="L500" s="391">
        <v>1</v>
      </c>
      <c r="M500" s="399" t="s">
        <v>33</v>
      </c>
      <c r="N500" s="475">
        <v>1</v>
      </c>
      <c r="O500" s="391">
        <v>1</v>
      </c>
      <c r="P500" s="496">
        <f>IF((O500=0),0,(O500/L500))</f>
        <v>1</v>
      </c>
      <c r="Q500" s="445" t="s">
        <v>52</v>
      </c>
      <c r="R500" s="391">
        <v>1</v>
      </c>
      <c r="S500" s="362">
        <f t="shared" si="81"/>
        <v>1</v>
      </c>
      <c r="T500" s="368">
        <v>1</v>
      </c>
      <c r="U500" s="368"/>
      <c r="V500" s="368"/>
      <c r="W500" s="368"/>
      <c r="X500" s="364">
        <f t="shared" si="80"/>
        <v>1</v>
      </c>
      <c r="Y500" s="393"/>
      <c r="Z500" s="498">
        <f t="shared" si="78"/>
        <v>0</v>
      </c>
      <c r="AA500" s="368"/>
      <c r="AB500" s="368"/>
      <c r="AC500" s="368"/>
      <c r="AD500" s="368"/>
      <c r="AE500" s="365">
        <f t="shared" si="79"/>
        <v>0</v>
      </c>
      <c r="AF500" s="262"/>
      <c r="AG500" s="457"/>
      <c r="AH500" s="264"/>
    </row>
    <row r="501" spans="1:34" ht="30.75" thickBot="1" x14ac:dyDescent="0.3">
      <c r="A501" s="474"/>
      <c r="B501" s="447"/>
      <c r="C501" s="463" t="s">
        <v>651</v>
      </c>
      <c r="D501" s="449" t="s">
        <v>431</v>
      </c>
      <c r="E501" s="262"/>
      <c r="F501" s="447" t="s">
        <v>1199</v>
      </c>
      <c r="G501" s="387" t="e">
        <f>VLOOKUP(A501,'Feature Summary'!$A$7:$C$3944,3,FALSE)</f>
        <v>#N/A</v>
      </c>
      <c r="H501" s="447" t="s">
        <v>1200</v>
      </c>
      <c r="I501" s="488" t="s">
        <v>264</v>
      </c>
      <c r="J501" s="448" t="s">
        <v>309</v>
      </c>
      <c r="K501" s="263">
        <v>1</v>
      </c>
      <c r="L501" s="391">
        <v>1</v>
      </c>
      <c r="M501" s="399" t="s">
        <v>33</v>
      </c>
      <c r="N501" s="475">
        <v>1</v>
      </c>
      <c r="O501" s="391">
        <v>1</v>
      </c>
      <c r="P501" s="496">
        <f t="shared" ref="P501:P531" si="85">IF((O501=0),0,(O501/L501))</f>
        <v>1</v>
      </c>
      <c r="Q501" s="445" t="s">
        <v>52</v>
      </c>
      <c r="R501" s="391">
        <v>1</v>
      </c>
      <c r="S501" s="362">
        <f t="shared" si="81"/>
        <v>1</v>
      </c>
      <c r="T501" s="368">
        <v>1</v>
      </c>
      <c r="U501" s="368"/>
      <c r="V501" s="368"/>
      <c r="W501" s="368"/>
      <c r="X501" s="364">
        <f t="shared" si="80"/>
        <v>1</v>
      </c>
      <c r="Y501" s="393"/>
      <c r="Z501" s="498">
        <f t="shared" si="78"/>
        <v>0</v>
      </c>
      <c r="AA501" s="368"/>
      <c r="AB501" s="368"/>
      <c r="AC501" s="368"/>
      <c r="AD501" s="368"/>
      <c r="AE501" s="365">
        <f t="shared" si="79"/>
        <v>0</v>
      </c>
      <c r="AF501" s="262"/>
      <c r="AG501" s="457"/>
      <c r="AH501" s="264"/>
    </row>
    <row r="502" spans="1:34" ht="30.75" thickBot="1" x14ac:dyDescent="0.3">
      <c r="A502" s="474"/>
      <c r="B502" s="447"/>
      <c r="C502" s="463" t="s">
        <v>651</v>
      </c>
      <c r="D502" s="449" t="s">
        <v>431</v>
      </c>
      <c r="E502" s="262"/>
      <c r="F502" s="447" t="s">
        <v>1201</v>
      </c>
      <c r="G502" s="387" t="e">
        <f>VLOOKUP(A502,'Feature Summary'!$A$7:$C$3944,3,FALSE)</f>
        <v>#N/A</v>
      </c>
      <c r="H502" s="447" t="s">
        <v>1202</v>
      </c>
      <c r="I502" s="488" t="s">
        <v>264</v>
      </c>
      <c r="J502" s="448" t="s">
        <v>309</v>
      </c>
      <c r="K502" s="263">
        <v>1</v>
      </c>
      <c r="L502" s="391">
        <v>1</v>
      </c>
      <c r="M502" s="399" t="s">
        <v>33</v>
      </c>
      <c r="N502" s="475">
        <v>1</v>
      </c>
      <c r="O502" s="391">
        <v>1</v>
      </c>
      <c r="P502" s="496">
        <f t="shared" si="85"/>
        <v>1</v>
      </c>
      <c r="Q502" s="445" t="s">
        <v>52</v>
      </c>
      <c r="R502" s="391">
        <v>1</v>
      </c>
      <c r="S502" s="362">
        <f t="shared" si="81"/>
        <v>1</v>
      </c>
      <c r="T502" s="368">
        <v>1</v>
      </c>
      <c r="U502" s="368"/>
      <c r="V502" s="368"/>
      <c r="W502" s="368"/>
      <c r="X502" s="364">
        <f t="shared" si="80"/>
        <v>1</v>
      </c>
      <c r="Y502" s="393"/>
      <c r="Z502" s="498">
        <f t="shared" si="78"/>
        <v>0</v>
      </c>
      <c r="AA502" s="368"/>
      <c r="AB502" s="368"/>
      <c r="AC502" s="368"/>
      <c r="AD502" s="368"/>
      <c r="AE502" s="365">
        <f t="shared" si="79"/>
        <v>0</v>
      </c>
      <c r="AF502" s="262"/>
      <c r="AG502" s="457"/>
      <c r="AH502" s="264"/>
    </row>
    <row r="503" spans="1:34" ht="30.75" thickBot="1" x14ac:dyDescent="0.3">
      <c r="A503" s="474"/>
      <c r="B503" s="447"/>
      <c r="C503" s="463" t="s">
        <v>651</v>
      </c>
      <c r="D503" s="449" t="s">
        <v>431</v>
      </c>
      <c r="E503" s="262"/>
      <c r="F503" s="447" t="s">
        <v>1203</v>
      </c>
      <c r="G503" s="387" t="e">
        <f>VLOOKUP(A503,'Feature Summary'!$A$7:$C$3944,3,FALSE)</f>
        <v>#N/A</v>
      </c>
      <c r="H503" s="447" t="s">
        <v>1204</v>
      </c>
      <c r="I503" s="488" t="s">
        <v>264</v>
      </c>
      <c r="J503" s="448" t="s">
        <v>309</v>
      </c>
      <c r="K503" s="263">
        <v>1</v>
      </c>
      <c r="L503" s="391">
        <v>1</v>
      </c>
      <c r="M503" s="399" t="s">
        <v>33</v>
      </c>
      <c r="N503" s="475">
        <v>1</v>
      </c>
      <c r="O503" s="391">
        <v>1</v>
      </c>
      <c r="P503" s="496">
        <f t="shared" si="85"/>
        <v>1</v>
      </c>
      <c r="Q503" s="445" t="s">
        <v>52</v>
      </c>
      <c r="R503" s="391">
        <v>1</v>
      </c>
      <c r="S503" s="362">
        <f t="shared" si="81"/>
        <v>1</v>
      </c>
      <c r="T503" s="368">
        <v>1</v>
      </c>
      <c r="U503" s="368"/>
      <c r="V503" s="368"/>
      <c r="W503" s="368"/>
      <c r="X503" s="364">
        <f t="shared" si="80"/>
        <v>1</v>
      </c>
      <c r="Y503" s="393"/>
      <c r="Z503" s="498">
        <f t="shared" si="78"/>
        <v>0</v>
      </c>
      <c r="AA503" s="368"/>
      <c r="AB503" s="368"/>
      <c r="AC503" s="368"/>
      <c r="AD503" s="368"/>
      <c r="AE503" s="365">
        <f t="shared" si="79"/>
        <v>0</v>
      </c>
      <c r="AF503" s="262"/>
      <c r="AG503" s="457"/>
      <c r="AH503" s="264"/>
    </row>
    <row r="504" spans="1:34" ht="30.75" thickBot="1" x14ac:dyDescent="0.3">
      <c r="A504" s="474"/>
      <c r="B504" s="447"/>
      <c r="C504" s="463"/>
      <c r="D504" s="449" t="s">
        <v>431</v>
      </c>
      <c r="E504" s="262"/>
      <c r="F504" s="447" t="s">
        <v>1183</v>
      </c>
      <c r="G504" s="387" t="e">
        <f>VLOOKUP(A504,'Feature Summary'!$A$7:$C$3944,3,FALSE)</f>
        <v>#N/A</v>
      </c>
      <c r="H504" s="447" t="s">
        <v>1205</v>
      </c>
      <c r="I504" s="447"/>
      <c r="J504" s="448" t="s">
        <v>328</v>
      </c>
      <c r="K504" s="263"/>
      <c r="L504" s="391"/>
      <c r="M504" s="399" t="s">
        <v>33</v>
      </c>
      <c r="N504" s="475">
        <v>1</v>
      </c>
      <c r="O504" s="391"/>
      <c r="P504" s="496">
        <f t="shared" si="85"/>
        <v>0</v>
      </c>
      <c r="Q504" s="445" t="s">
        <v>52</v>
      </c>
      <c r="R504" s="391"/>
      <c r="S504" s="362">
        <f t="shared" si="81"/>
        <v>0</v>
      </c>
      <c r="T504" s="368"/>
      <c r="U504" s="368"/>
      <c r="V504" s="368"/>
      <c r="W504" s="368"/>
      <c r="X504" s="364">
        <f t="shared" si="80"/>
        <v>0</v>
      </c>
      <c r="Y504" s="393"/>
      <c r="Z504" s="498">
        <f t="shared" si="78"/>
        <v>0</v>
      </c>
      <c r="AA504" s="368"/>
      <c r="AB504" s="368"/>
      <c r="AC504" s="368"/>
      <c r="AD504" s="368"/>
      <c r="AE504" s="365">
        <f t="shared" si="79"/>
        <v>0</v>
      </c>
      <c r="AF504" s="262"/>
      <c r="AG504" s="457"/>
      <c r="AH504" s="264"/>
    </row>
    <row r="505" spans="1:34" ht="30.75" thickBot="1" x14ac:dyDescent="0.3">
      <c r="A505" s="474"/>
      <c r="B505" s="447"/>
      <c r="C505" s="463"/>
      <c r="D505" s="449" t="s">
        <v>431</v>
      </c>
      <c r="E505" s="262"/>
      <c r="F505" s="447" t="s">
        <v>1185</v>
      </c>
      <c r="G505" s="387" t="e">
        <f>VLOOKUP(A505,'Feature Summary'!$A$7:$C$3944,3,FALSE)</f>
        <v>#N/A</v>
      </c>
      <c r="H505" s="447" t="s">
        <v>1206</v>
      </c>
      <c r="I505" s="447"/>
      <c r="J505" s="448" t="s">
        <v>402</v>
      </c>
      <c r="K505" s="263"/>
      <c r="L505" s="391"/>
      <c r="M505" s="399" t="s">
        <v>33</v>
      </c>
      <c r="N505" s="475">
        <v>1</v>
      </c>
      <c r="O505" s="391"/>
      <c r="P505" s="496">
        <f t="shared" si="85"/>
        <v>0</v>
      </c>
      <c r="Q505" s="445" t="s">
        <v>52</v>
      </c>
      <c r="R505" s="391"/>
      <c r="S505" s="362">
        <f t="shared" si="81"/>
        <v>0</v>
      </c>
      <c r="T505" s="368"/>
      <c r="U505" s="368"/>
      <c r="V505" s="368"/>
      <c r="W505" s="368"/>
      <c r="X505" s="364">
        <f t="shared" si="80"/>
        <v>0</v>
      </c>
      <c r="Y505" s="393"/>
      <c r="Z505" s="498">
        <f t="shared" si="78"/>
        <v>0</v>
      </c>
      <c r="AA505" s="368"/>
      <c r="AB505" s="368"/>
      <c r="AC505" s="368"/>
      <c r="AD505" s="368"/>
      <c r="AE505" s="365">
        <f t="shared" si="79"/>
        <v>0</v>
      </c>
      <c r="AF505" s="262"/>
      <c r="AG505" s="457"/>
      <c r="AH505" s="264"/>
    </row>
    <row r="506" spans="1:34" ht="30.75" thickBot="1" x14ac:dyDescent="0.3">
      <c r="A506" s="474"/>
      <c r="B506" s="447"/>
      <c r="C506" s="463"/>
      <c r="D506" s="449" t="s">
        <v>431</v>
      </c>
      <c r="E506" s="262"/>
      <c r="F506" s="447" t="s">
        <v>1188</v>
      </c>
      <c r="G506" s="387" t="e">
        <f>VLOOKUP(A506,'Feature Summary'!$A$7:$C$3944,3,FALSE)</f>
        <v>#N/A</v>
      </c>
      <c r="H506" s="447" t="s">
        <v>1207</v>
      </c>
      <c r="I506" s="447"/>
      <c r="J506" s="448" t="s">
        <v>328</v>
      </c>
      <c r="K506" s="263"/>
      <c r="L506" s="391"/>
      <c r="M506" s="399" t="s">
        <v>33</v>
      </c>
      <c r="N506" s="475">
        <v>1</v>
      </c>
      <c r="O506" s="391"/>
      <c r="P506" s="496">
        <f t="shared" si="85"/>
        <v>0</v>
      </c>
      <c r="Q506" s="445" t="s">
        <v>52</v>
      </c>
      <c r="R506" s="391"/>
      <c r="S506" s="362">
        <f t="shared" si="81"/>
        <v>0</v>
      </c>
      <c r="T506" s="368"/>
      <c r="U506" s="368"/>
      <c r="V506" s="368"/>
      <c r="W506" s="368"/>
      <c r="X506" s="364">
        <f t="shared" si="80"/>
        <v>0</v>
      </c>
      <c r="Y506" s="393"/>
      <c r="Z506" s="498">
        <f t="shared" si="78"/>
        <v>0</v>
      </c>
      <c r="AA506" s="368"/>
      <c r="AB506" s="368"/>
      <c r="AC506" s="368"/>
      <c r="AD506" s="368"/>
      <c r="AE506" s="365">
        <f t="shared" si="79"/>
        <v>0</v>
      </c>
      <c r="AF506" s="262"/>
      <c r="AG506" s="457"/>
      <c r="AH506" s="264"/>
    </row>
    <row r="507" spans="1:34" ht="30.75" thickBot="1" x14ac:dyDescent="0.3">
      <c r="A507" s="474"/>
      <c r="B507" s="447"/>
      <c r="C507" s="463"/>
      <c r="D507" s="449" t="s">
        <v>431</v>
      </c>
      <c r="E507" s="262"/>
      <c r="F507" s="447" t="s">
        <v>1190</v>
      </c>
      <c r="G507" s="387" t="e">
        <f>VLOOKUP(A507,'Feature Summary'!$A$7:$C$3944,3,FALSE)</f>
        <v>#N/A</v>
      </c>
      <c r="H507" s="447" t="s">
        <v>1208</v>
      </c>
      <c r="I507" s="447"/>
      <c r="J507" s="448" t="s">
        <v>328</v>
      </c>
      <c r="K507" s="263"/>
      <c r="L507" s="391"/>
      <c r="M507" s="399" t="s">
        <v>33</v>
      </c>
      <c r="N507" s="475">
        <v>1</v>
      </c>
      <c r="O507" s="391"/>
      <c r="P507" s="496">
        <f t="shared" si="85"/>
        <v>0</v>
      </c>
      <c r="Q507" s="445" t="s">
        <v>52</v>
      </c>
      <c r="R507" s="391"/>
      <c r="S507" s="362">
        <f t="shared" si="81"/>
        <v>0</v>
      </c>
      <c r="T507" s="368"/>
      <c r="U507" s="368"/>
      <c r="V507" s="368"/>
      <c r="W507" s="368"/>
      <c r="X507" s="364">
        <f t="shared" si="80"/>
        <v>0</v>
      </c>
      <c r="Y507" s="393"/>
      <c r="Z507" s="498">
        <f t="shared" si="78"/>
        <v>0</v>
      </c>
      <c r="AA507" s="368"/>
      <c r="AB507" s="368"/>
      <c r="AC507" s="368"/>
      <c r="AD507" s="368"/>
      <c r="AE507" s="365">
        <f t="shared" si="79"/>
        <v>0</v>
      </c>
      <c r="AF507" s="262"/>
      <c r="AG507" s="457"/>
      <c r="AH507" s="264"/>
    </row>
    <row r="508" spans="1:34" ht="24" customHeight="1" thickBot="1" x14ac:dyDescent="0.3">
      <c r="A508" s="474"/>
      <c r="B508" s="447"/>
      <c r="C508" s="463"/>
      <c r="D508" s="449" t="s">
        <v>431</v>
      </c>
      <c r="E508" s="262"/>
      <c r="F508" s="447" t="s">
        <v>1193</v>
      </c>
      <c r="G508" s="387" t="e">
        <f>VLOOKUP(A508,'Feature Summary'!$A$7:$C$3944,3,FALSE)</f>
        <v>#N/A</v>
      </c>
      <c r="H508" s="447" t="s">
        <v>1209</v>
      </c>
      <c r="I508" s="447"/>
      <c r="J508" s="448" t="s">
        <v>328</v>
      </c>
      <c r="K508" s="263"/>
      <c r="L508" s="391"/>
      <c r="M508" s="399" t="s">
        <v>33</v>
      </c>
      <c r="N508" s="475">
        <v>1</v>
      </c>
      <c r="O508" s="391"/>
      <c r="P508" s="496">
        <f t="shared" si="85"/>
        <v>0</v>
      </c>
      <c r="Q508" s="445" t="s">
        <v>52</v>
      </c>
      <c r="R508" s="391"/>
      <c r="S508" s="362">
        <f t="shared" si="81"/>
        <v>0</v>
      </c>
      <c r="T508" s="368"/>
      <c r="U508" s="368"/>
      <c r="V508" s="368"/>
      <c r="W508" s="368"/>
      <c r="X508" s="364">
        <f t="shared" si="80"/>
        <v>0</v>
      </c>
      <c r="Y508" s="393"/>
      <c r="Z508" s="498">
        <f t="shared" si="78"/>
        <v>0</v>
      </c>
      <c r="AA508" s="368"/>
      <c r="AB508" s="368"/>
      <c r="AC508" s="368"/>
      <c r="AD508" s="368"/>
      <c r="AE508" s="365">
        <f t="shared" si="79"/>
        <v>0</v>
      </c>
      <c r="AF508" s="558"/>
      <c r="AG508" s="457"/>
      <c r="AH508" s="264"/>
    </row>
    <row r="509" spans="1:34" ht="30.75" thickBot="1" x14ac:dyDescent="0.3">
      <c r="A509" s="474"/>
      <c r="B509" s="447"/>
      <c r="C509" s="463"/>
      <c r="D509" s="449" t="s">
        <v>431</v>
      </c>
      <c r="E509" s="262"/>
      <c r="F509" s="447" t="s">
        <v>1195</v>
      </c>
      <c r="G509" s="387" t="e">
        <f>VLOOKUP(A509,'Feature Summary'!$A$7:$C$3944,3,FALSE)</f>
        <v>#N/A</v>
      </c>
      <c r="H509" s="447" t="s">
        <v>1210</v>
      </c>
      <c r="I509" s="447"/>
      <c r="J509" s="448" t="s">
        <v>328</v>
      </c>
      <c r="K509" s="263"/>
      <c r="L509" s="391"/>
      <c r="M509" s="399" t="s">
        <v>33</v>
      </c>
      <c r="N509" s="475">
        <v>1</v>
      </c>
      <c r="O509" s="391"/>
      <c r="P509" s="496">
        <f t="shared" si="85"/>
        <v>0</v>
      </c>
      <c r="Q509" s="445" t="s">
        <v>52</v>
      </c>
      <c r="R509" s="391"/>
      <c r="S509" s="362">
        <f t="shared" si="81"/>
        <v>0</v>
      </c>
      <c r="T509" s="368"/>
      <c r="U509" s="368"/>
      <c r="V509" s="368"/>
      <c r="W509" s="368"/>
      <c r="X509" s="364">
        <f t="shared" si="80"/>
        <v>0</v>
      </c>
      <c r="Y509" s="393"/>
      <c r="Z509" s="498">
        <f t="shared" si="78"/>
        <v>0</v>
      </c>
      <c r="AA509" s="368"/>
      <c r="AB509" s="368"/>
      <c r="AC509" s="368"/>
      <c r="AD509" s="368"/>
      <c r="AE509" s="365">
        <f t="shared" si="79"/>
        <v>0</v>
      </c>
      <c r="AF509" s="262"/>
      <c r="AG509" s="457"/>
      <c r="AH509" s="264"/>
    </row>
    <row r="510" spans="1:34" ht="30.75" thickBot="1" x14ac:dyDescent="0.3">
      <c r="A510" s="474"/>
      <c r="B510" s="447"/>
      <c r="C510" s="463"/>
      <c r="D510" s="449" t="s">
        <v>431</v>
      </c>
      <c r="E510" s="262"/>
      <c r="F510" s="447" t="s">
        <v>1197</v>
      </c>
      <c r="G510" s="387" t="e">
        <f>VLOOKUP(A510,'Feature Summary'!$A$7:$C$3944,3,FALSE)</f>
        <v>#N/A</v>
      </c>
      <c r="H510" s="447" t="s">
        <v>1211</v>
      </c>
      <c r="I510" s="447"/>
      <c r="J510" s="448" t="s">
        <v>328</v>
      </c>
      <c r="K510" s="263"/>
      <c r="L510" s="391"/>
      <c r="M510" s="399" t="s">
        <v>33</v>
      </c>
      <c r="N510" s="475">
        <v>1</v>
      </c>
      <c r="O510" s="391"/>
      <c r="P510" s="496">
        <f t="shared" si="85"/>
        <v>0</v>
      </c>
      <c r="Q510" s="445" t="s">
        <v>52</v>
      </c>
      <c r="R510" s="391"/>
      <c r="S510" s="362">
        <f t="shared" si="81"/>
        <v>0</v>
      </c>
      <c r="T510" s="368"/>
      <c r="U510" s="368"/>
      <c r="V510" s="368"/>
      <c r="W510" s="368"/>
      <c r="X510" s="364">
        <f t="shared" si="80"/>
        <v>0</v>
      </c>
      <c r="Y510" s="393"/>
      <c r="Z510" s="498">
        <f t="shared" si="78"/>
        <v>0</v>
      </c>
      <c r="AA510" s="368"/>
      <c r="AB510" s="368"/>
      <c r="AC510" s="368"/>
      <c r="AD510" s="368"/>
      <c r="AE510" s="365">
        <f t="shared" si="79"/>
        <v>0</v>
      </c>
      <c r="AF510" s="262"/>
      <c r="AG510" s="457"/>
      <c r="AH510" s="264"/>
    </row>
    <row r="511" spans="1:34" ht="30.75" thickBot="1" x14ac:dyDescent="0.3">
      <c r="A511" s="474"/>
      <c r="B511" s="447"/>
      <c r="C511" s="463"/>
      <c r="D511" s="449" t="s">
        <v>431</v>
      </c>
      <c r="E511" s="262"/>
      <c r="F511" s="447" t="s">
        <v>1199</v>
      </c>
      <c r="G511" s="387" t="e">
        <f>VLOOKUP(A511,'Feature Summary'!$A$7:$C$3944,3,FALSE)</f>
        <v>#N/A</v>
      </c>
      <c r="H511" s="447" t="s">
        <v>1212</v>
      </c>
      <c r="I511" s="447"/>
      <c r="J511" s="448" t="s">
        <v>328</v>
      </c>
      <c r="K511" s="263"/>
      <c r="L511" s="391"/>
      <c r="M511" s="399" t="s">
        <v>33</v>
      </c>
      <c r="N511" s="475">
        <v>1</v>
      </c>
      <c r="O511" s="391"/>
      <c r="P511" s="496">
        <f t="shared" si="85"/>
        <v>0</v>
      </c>
      <c r="Q511" s="445" t="s">
        <v>52</v>
      </c>
      <c r="R511" s="391"/>
      <c r="S511" s="362">
        <f t="shared" si="81"/>
        <v>0</v>
      </c>
      <c r="T511" s="368"/>
      <c r="U511" s="368"/>
      <c r="V511" s="368"/>
      <c r="W511" s="368"/>
      <c r="X511" s="364">
        <f t="shared" si="80"/>
        <v>0</v>
      </c>
      <c r="Y511" s="393"/>
      <c r="Z511" s="498">
        <f t="shared" si="78"/>
        <v>0</v>
      </c>
      <c r="AA511" s="368"/>
      <c r="AB511" s="368"/>
      <c r="AC511" s="368"/>
      <c r="AD511" s="368"/>
      <c r="AE511" s="365">
        <f t="shared" si="79"/>
        <v>0</v>
      </c>
      <c r="AF511" s="262"/>
      <c r="AG511" s="457"/>
      <c r="AH511" s="264"/>
    </row>
    <row r="512" spans="1:34" ht="30.75" thickBot="1" x14ac:dyDescent="0.3">
      <c r="A512" s="474"/>
      <c r="B512" s="447"/>
      <c r="C512" s="463"/>
      <c r="D512" s="449" t="s">
        <v>431</v>
      </c>
      <c r="E512" s="262"/>
      <c r="F512" s="447" t="s">
        <v>1201</v>
      </c>
      <c r="G512" s="387" t="e">
        <f>VLOOKUP(A512,'Feature Summary'!$A$7:$C$3944,3,FALSE)</f>
        <v>#N/A</v>
      </c>
      <c r="H512" s="447" t="s">
        <v>1213</v>
      </c>
      <c r="I512" s="447"/>
      <c r="J512" s="448" t="s">
        <v>328</v>
      </c>
      <c r="K512" s="263"/>
      <c r="L512" s="391"/>
      <c r="M512" s="399" t="s">
        <v>33</v>
      </c>
      <c r="N512" s="475">
        <v>1</v>
      </c>
      <c r="O512" s="391"/>
      <c r="P512" s="496">
        <f t="shared" si="85"/>
        <v>0</v>
      </c>
      <c r="Q512" s="445" t="s">
        <v>52</v>
      </c>
      <c r="R512" s="391"/>
      <c r="S512" s="362">
        <f t="shared" si="81"/>
        <v>0</v>
      </c>
      <c r="T512" s="368"/>
      <c r="U512" s="368"/>
      <c r="V512" s="368"/>
      <c r="W512" s="368"/>
      <c r="X512" s="364">
        <f t="shared" si="80"/>
        <v>0</v>
      </c>
      <c r="Y512" s="393"/>
      <c r="Z512" s="498">
        <f t="shared" si="78"/>
        <v>0</v>
      </c>
      <c r="AA512" s="368"/>
      <c r="AB512" s="368"/>
      <c r="AC512" s="368"/>
      <c r="AD512" s="368"/>
      <c r="AE512" s="365">
        <f t="shared" si="79"/>
        <v>0</v>
      </c>
      <c r="AF512" s="262"/>
      <c r="AG512" s="457"/>
      <c r="AH512" s="264"/>
    </row>
    <row r="513" spans="1:34" ht="30.75" thickBot="1" x14ac:dyDescent="0.3">
      <c r="A513" s="474"/>
      <c r="B513" s="447"/>
      <c r="C513" s="463"/>
      <c r="D513" s="449" t="s">
        <v>431</v>
      </c>
      <c r="E513" s="262"/>
      <c r="F513" s="447" t="s">
        <v>1203</v>
      </c>
      <c r="G513" s="387" t="e">
        <f>VLOOKUP(A513,'Feature Summary'!$A$7:$C$3944,3,FALSE)</f>
        <v>#N/A</v>
      </c>
      <c r="H513" s="447" t="s">
        <v>1214</v>
      </c>
      <c r="I513" s="447"/>
      <c r="J513" s="448" t="s">
        <v>328</v>
      </c>
      <c r="K513" s="263"/>
      <c r="L513" s="391"/>
      <c r="M513" s="399" t="s">
        <v>33</v>
      </c>
      <c r="N513" s="475">
        <v>1</v>
      </c>
      <c r="O513" s="391"/>
      <c r="P513" s="496">
        <f t="shared" si="85"/>
        <v>0</v>
      </c>
      <c r="Q513" s="445" t="s">
        <v>52</v>
      </c>
      <c r="R513" s="391"/>
      <c r="S513" s="362">
        <f t="shared" si="81"/>
        <v>0</v>
      </c>
      <c r="T513" s="368"/>
      <c r="U513" s="368"/>
      <c r="V513" s="368"/>
      <c r="W513" s="368"/>
      <c r="X513" s="364">
        <f t="shared" si="80"/>
        <v>0</v>
      </c>
      <c r="Y513" s="393"/>
      <c r="Z513" s="498">
        <f t="shared" si="78"/>
        <v>0</v>
      </c>
      <c r="AA513" s="368"/>
      <c r="AB513" s="368"/>
      <c r="AC513" s="368"/>
      <c r="AD513" s="368"/>
      <c r="AE513" s="365">
        <f t="shared" si="79"/>
        <v>0</v>
      </c>
      <c r="AF513" s="262"/>
      <c r="AG513" s="457"/>
      <c r="AH513" s="264"/>
    </row>
    <row r="514" spans="1:34" ht="15.75" thickBot="1" x14ac:dyDescent="0.3">
      <c r="A514" s="474" t="s">
        <v>1115</v>
      </c>
      <c r="B514" s="447"/>
      <c r="C514" s="463" t="s">
        <v>651</v>
      </c>
      <c r="D514" s="449" t="s">
        <v>431</v>
      </c>
      <c r="E514" s="262"/>
      <c r="F514" s="447" t="s">
        <v>1215</v>
      </c>
      <c r="G514" s="387" t="str">
        <f>VLOOKUP(A514,'Feature Summary'!$A$7:$C$3944,3,FALSE)</f>
        <v>P1</v>
      </c>
      <c r="H514" s="447" t="s">
        <v>1216</v>
      </c>
      <c r="I514" s="488" t="s">
        <v>264</v>
      </c>
      <c r="J514" s="448" t="s">
        <v>281</v>
      </c>
      <c r="K514" s="263">
        <v>1</v>
      </c>
      <c r="L514" s="391">
        <v>2</v>
      </c>
      <c r="M514" s="399" t="s">
        <v>33</v>
      </c>
      <c r="N514" s="475">
        <v>1</v>
      </c>
      <c r="O514" s="391">
        <v>2</v>
      </c>
      <c r="P514" s="496">
        <f t="shared" si="85"/>
        <v>1</v>
      </c>
      <c r="Q514" s="445" t="s">
        <v>52</v>
      </c>
      <c r="R514" s="391">
        <v>2</v>
      </c>
      <c r="S514" s="362">
        <f t="shared" si="81"/>
        <v>2</v>
      </c>
      <c r="T514" s="368">
        <v>2</v>
      </c>
      <c r="U514" s="368"/>
      <c r="V514" s="368"/>
      <c r="W514" s="368"/>
      <c r="X514" s="364">
        <f t="shared" si="80"/>
        <v>1</v>
      </c>
      <c r="Y514" s="393"/>
      <c r="Z514" s="498">
        <f t="shared" si="78"/>
        <v>0</v>
      </c>
      <c r="AA514" s="368"/>
      <c r="AB514" s="368"/>
      <c r="AC514" s="368"/>
      <c r="AD514" s="368"/>
      <c r="AE514" s="365">
        <f t="shared" si="79"/>
        <v>0</v>
      </c>
      <c r="AF514" s="262"/>
      <c r="AG514" s="457"/>
      <c r="AH514" s="264"/>
    </row>
    <row r="515" spans="1:34" ht="30.75" thickBot="1" x14ac:dyDescent="0.3">
      <c r="A515" s="474"/>
      <c r="B515" s="447"/>
      <c r="C515" s="463"/>
      <c r="D515" s="449" t="s">
        <v>431</v>
      </c>
      <c r="E515" s="262"/>
      <c r="F515" s="447" t="s">
        <v>1215</v>
      </c>
      <c r="G515" s="387" t="e">
        <f>VLOOKUP(A515,'Feature Summary'!$A$7:$C$3944,3,FALSE)</f>
        <v>#N/A</v>
      </c>
      <c r="H515" s="447" t="s">
        <v>1217</v>
      </c>
      <c r="I515" s="447"/>
      <c r="J515" s="448" t="s">
        <v>328</v>
      </c>
      <c r="K515" s="263"/>
      <c r="L515" s="391"/>
      <c r="M515" s="399" t="s">
        <v>33</v>
      </c>
      <c r="N515" s="475">
        <v>1</v>
      </c>
      <c r="O515" s="391"/>
      <c r="P515" s="496">
        <f t="shared" si="85"/>
        <v>0</v>
      </c>
      <c r="Q515" s="445" t="s">
        <v>52</v>
      </c>
      <c r="R515" s="391"/>
      <c r="S515" s="362">
        <f t="shared" si="81"/>
        <v>0</v>
      </c>
      <c r="T515" s="368"/>
      <c r="U515" s="368"/>
      <c r="V515" s="368"/>
      <c r="W515" s="368"/>
      <c r="X515" s="364">
        <f t="shared" si="80"/>
        <v>0</v>
      </c>
      <c r="Y515" s="393"/>
      <c r="Z515" s="498">
        <f t="shared" si="78"/>
        <v>0</v>
      </c>
      <c r="AA515" s="368"/>
      <c r="AB515" s="368"/>
      <c r="AC515" s="368"/>
      <c r="AD515" s="368"/>
      <c r="AE515" s="365">
        <f t="shared" si="79"/>
        <v>0</v>
      </c>
      <c r="AF515" s="262"/>
      <c r="AG515" s="457"/>
      <c r="AH515" s="264"/>
    </row>
    <row r="516" spans="1:34" ht="15.75" thickBot="1" x14ac:dyDescent="0.3">
      <c r="A516" s="474"/>
      <c r="B516" s="447"/>
      <c r="C516" s="463"/>
      <c r="D516" s="449" t="s">
        <v>431</v>
      </c>
      <c r="E516" s="262"/>
      <c r="F516" s="447" t="s">
        <v>1215</v>
      </c>
      <c r="G516" s="387" t="e">
        <f>VLOOKUP(A516,'Feature Summary'!$A$7:$C$3944,3,FALSE)</f>
        <v>#N/A</v>
      </c>
      <c r="H516" s="447" t="s">
        <v>1218</v>
      </c>
      <c r="I516" s="447"/>
      <c r="J516" s="448" t="s">
        <v>416</v>
      </c>
      <c r="K516" s="263"/>
      <c r="L516" s="391"/>
      <c r="M516" s="399" t="s">
        <v>33</v>
      </c>
      <c r="N516" s="475">
        <v>1</v>
      </c>
      <c r="O516" s="391"/>
      <c r="P516" s="496">
        <f t="shared" si="85"/>
        <v>0</v>
      </c>
      <c r="Q516" s="445" t="s">
        <v>52</v>
      </c>
      <c r="R516" s="391"/>
      <c r="S516" s="362">
        <f t="shared" si="81"/>
        <v>0</v>
      </c>
      <c r="T516" s="368"/>
      <c r="U516" s="368"/>
      <c r="V516" s="368"/>
      <c r="W516" s="368"/>
      <c r="X516" s="364">
        <f t="shared" si="80"/>
        <v>0</v>
      </c>
      <c r="Y516" s="393"/>
      <c r="Z516" s="498">
        <f t="shared" si="78"/>
        <v>0</v>
      </c>
      <c r="AA516" s="368"/>
      <c r="AB516" s="368"/>
      <c r="AC516" s="368"/>
      <c r="AD516" s="368"/>
      <c r="AE516" s="365">
        <f t="shared" si="79"/>
        <v>0</v>
      </c>
      <c r="AF516" s="262"/>
      <c r="AG516" s="457"/>
      <c r="AH516" s="264"/>
    </row>
    <row r="517" spans="1:34" ht="15.75" thickBot="1" x14ac:dyDescent="0.3">
      <c r="A517" s="474"/>
      <c r="B517" s="447"/>
      <c r="C517" s="463" t="s">
        <v>651</v>
      </c>
      <c r="D517" s="449" t="s">
        <v>431</v>
      </c>
      <c r="E517" s="262"/>
      <c r="F517" s="447" t="s">
        <v>1219</v>
      </c>
      <c r="G517" s="387" t="e">
        <f>VLOOKUP(A517,'Feature Summary'!$A$7:$C$3944,3,FALSE)</f>
        <v>#N/A</v>
      </c>
      <c r="H517" s="447" t="s">
        <v>1220</v>
      </c>
      <c r="I517" s="488" t="s">
        <v>264</v>
      </c>
      <c r="J517" s="448" t="s">
        <v>1221</v>
      </c>
      <c r="K517" s="263">
        <v>1</v>
      </c>
      <c r="L517" s="391">
        <v>2</v>
      </c>
      <c r="M517" s="399" t="s">
        <v>33</v>
      </c>
      <c r="N517" s="475">
        <v>1</v>
      </c>
      <c r="O517" s="391">
        <v>2</v>
      </c>
      <c r="P517" s="496">
        <f t="shared" si="85"/>
        <v>1</v>
      </c>
      <c r="Q517" s="445" t="s">
        <v>52</v>
      </c>
      <c r="R517" s="391">
        <v>2</v>
      </c>
      <c r="S517" s="362">
        <f t="shared" si="81"/>
        <v>2</v>
      </c>
      <c r="T517" s="368">
        <v>2</v>
      </c>
      <c r="U517" s="368"/>
      <c r="V517" s="368"/>
      <c r="W517" s="368"/>
      <c r="X517" s="364">
        <f t="shared" si="80"/>
        <v>1</v>
      </c>
      <c r="Y517" s="393"/>
      <c r="Z517" s="498">
        <f t="shared" si="78"/>
        <v>0</v>
      </c>
      <c r="AA517" s="368"/>
      <c r="AB517" s="368"/>
      <c r="AC517" s="368"/>
      <c r="AD517" s="368"/>
      <c r="AE517" s="365">
        <f t="shared" si="79"/>
        <v>0</v>
      </c>
      <c r="AF517" s="262"/>
      <c r="AG517" s="457"/>
      <c r="AH517" s="264"/>
    </row>
    <row r="518" spans="1:34" ht="15.75" thickBot="1" x14ac:dyDescent="0.3">
      <c r="A518" s="474"/>
      <c r="B518" s="447"/>
      <c r="C518" s="463" t="s">
        <v>651</v>
      </c>
      <c r="D518" s="449" t="s">
        <v>431</v>
      </c>
      <c r="E518" s="262"/>
      <c r="F518" s="447" t="s">
        <v>1222</v>
      </c>
      <c r="G518" s="387" t="e">
        <f>VLOOKUP(A518,'Feature Summary'!$A$7:$C$3944,3,FALSE)</f>
        <v>#N/A</v>
      </c>
      <c r="H518" s="447" t="s">
        <v>1223</v>
      </c>
      <c r="I518" s="488" t="s">
        <v>264</v>
      </c>
      <c r="J518" s="448" t="s">
        <v>1224</v>
      </c>
      <c r="K518" s="263">
        <v>1</v>
      </c>
      <c r="L518" s="391">
        <v>2</v>
      </c>
      <c r="M518" s="399" t="s">
        <v>33</v>
      </c>
      <c r="N518" s="475">
        <v>1</v>
      </c>
      <c r="O518" s="391">
        <v>2</v>
      </c>
      <c r="P518" s="496">
        <f t="shared" si="85"/>
        <v>1</v>
      </c>
      <c r="Q518" s="445" t="s">
        <v>52</v>
      </c>
      <c r="R518" s="391">
        <v>2</v>
      </c>
      <c r="S518" s="362">
        <f t="shared" si="81"/>
        <v>2</v>
      </c>
      <c r="T518" s="368">
        <v>2</v>
      </c>
      <c r="U518" s="368"/>
      <c r="V518" s="368"/>
      <c r="W518" s="368"/>
      <c r="X518" s="364">
        <f t="shared" si="80"/>
        <v>1</v>
      </c>
      <c r="Y518" s="393"/>
      <c r="Z518" s="498">
        <f t="shared" si="78"/>
        <v>0</v>
      </c>
      <c r="AA518" s="368"/>
      <c r="AB518" s="368"/>
      <c r="AC518" s="368"/>
      <c r="AD518" s="368"/>
      <c r="AE518" s="365">
        <f t="shared" si="79"/>
        <v>0</v>
      </c>
      <c r="AF518" s="262"/>
      <c r="AG518" s="457"/>
      <c r="AH518" s="264"/>
    </row>
    <row r="519" spans="1:34" ht="30.75" thickBot="1" x14ac:dyDescent="0.3">
      <c r="A519" s="474"/>
      <c r="B519" s="447"/>
      <c r="C519" s="463"/>
      <c r="D519" s="449" t="s">
        <v>431</v>
      </c>
      <c r="E519" s="262"/>
      <c r="F519" s="447" t="s">
        <v>1219</v>
      </c>
      <c r="G519" s="387" t="e">
        <f>VLOOKUP(A519,'Feature Summary'!$A$7:$C$3944,3,FALSE)</f>
        <v>#N/A</v>
      </c>
      <c r="H519" s="447" t="s">
        <v>1225</v>
      </c>
      <c r="I519" s="447"/>
      <c r="J519" s="448" t="s">
        <v>1226</v>
      </c>
      <c r="K519" s="263"/>
      <c r="L519" s="391"/>
      <c r="M519" s="399" t="s">
        <v>33</v>
      </c>
      <c r="N519" s="475">
        <v>1</v>
      </c>
      <c r="O519" s="391"/>
      <c r="P519" s="496">
        <f t="shared" si="85"/>
        <v>0</v>
      </c>
      <c r="Q519" s="445" t="s">
        <v>52</v>
      </c>
      <c r="R519" s="391"/>
      <c r="S519" s="362">
        <f t="shared" si="81"/>
        <v>0</v>
      </c>
      <c r="T519" s="368"/>
      <c r="U519" s="368"/>
      <c r="V519" s="368"/>
      <c r="W519" s="368"/>
      <c r="X519" s="364">
        <f t="shared" si="80"/>
        <v>0</v>
      </c>
      <c r="Y519" s="393"/>
      <c r="Z519" s="498">
        <f t="shared" si="78"/>
        <v>0</v>
      </c>
      <c r="AA519" s="368"/>
      <c r="AB519" s="368"/>
      <c r="AC519" s="368"/>
      <c r="AD519" s="368"/>
      <c r="AE519" s="365">
        <f t="shared" si="79"/>
        <v>0</v>
      </c>
      <c r="AF519" s="262"/>
      <c r="AG519" s="457"/>
      <c r="AH519" s="264"/>
    </row>
    <row r="520" spans="1:34" ht="15.75" thickBot="1" x14ac:dyDescent="0.3">
      <c r="A520" s="474"/>
      <c r="B520" s="447"/>
      <c r="C520" s="463"/>
      <c r="D520" s="449" t="s">
        <v>431</v>
      </c>
      <c r="E520" s="262"/>
      <c r="F520" s="447" t="s">
        <v>1219</v>
      </c>
      <c r="G520" s="387" t="e">
        <f>VLOOKUP(A520,'Feature Summary'!$A$7:$C$3944,3,FALSE)</f>
        <v>#N/A</v>
      </c>
      <c r="H520" s="447" t="s">
        <v>1227</v>
      </c>
      <c r="I520" s="447"/>
      <c r="J520" s="448" t="s">
        <v>1228</v>
      </c>
      <c r="K520" s="263"/>
      <c r="L520" s="391"/>
      <c r="M520" s="399" t="s">
        <v>33</v>
      </c>
      <c r="N520" s="475">
        <v>1</v>
      </c>
      <c r="O520" s="391"/>
      <c r="P520" s="496">
        <f t="shared" si="85"/>
        <v>0</v>
      </c>
      <c r="Q520" s="445" t="s">
        <v>52</v>
      </c>
      <c r="R520" s="391"/>
      <c r="S520" s="362">
        <f t="shared" si="81"/>
        <v>0</v>
      </c>
      <c r="T520" s="368"/>
      <c r="U520" s="368"/>
      <c r="V520" s="368"/>
      <c r="W520" s="368"/>
      <c r="X520" s="364">
        <f t="shared" si="80"/>
        <v>0</v>
      </c>
      <c r="Y520" s="393"/>
      <c r="Z520" s="498">
        <f t="shared" si="78"/>
        <v>0</v>
      </c>
      <c r="AA520" s="368"/>
      <c r="AB520" s="368"/>
      <c r="AC520" s="368"/>
      <c r="AD520" s="368"/>
      <c r="AE520" s="365">
        <f t="shared" si="79"/>
        <v>0</v>
      </c>
      <c r="AF520" s="262"/>
      <c r="AG520" s="457"/>
      <c r="AH520" s="264"/>
    </row>
    <row r="521" spans="1:34" ht="30.75" thickBot="1" x14ac:dyDescent="0.3">
      <c r="A521" s="474"/>
      <c r="B521" s="447"/>
      <c r="C521" s="463"/>
      <c r="D521" s="449" t="s">
        <v>431</v>
      </c>
      <c r="E521" s="262"/>
      <c r="F521" s="447" t="s">
        <v>1222</v>
      </c>
      <c r="G521" s="387" t="e">
        <f>VLOOKUP(A521,'Feature Summary'!$A$7:$C$3944,3,FALSE)</f>
        <v>#N/A</v>
      </c>
      <c r="H521" s="447" t="s">
        <v>1229</v>
      </c>
      <c r="I521" s="447"/>
      <c r="J521" s="448" t="s">
        <v>1226</v>
      </c>
      <c r="K521" s="263"/>
      <c r="L521" s="391"/>
      <c r="M521" s="399" t="s">
        <v>33</v>
      </c>
      <c r="N521" s="475">
        <v>1</v>
      </c>
      <c r="O521" s="391"/>
      <c r="P521" s="496">
        <f t="shared" si="85"/>
        <v>0</v>
      </c>
      <c r="Q521" s="445" t="s">
        <v>52</v>
      </c>
      <c r="R521" s="391"/>
      <c r="S521" s="362">
        <f t="shared" si="81"/>
        <v>0</v>
      </c>
      <c r="T521" s="368"/>
      <c r="U521" s="368"/>
      <c r="V521" s="368"/>
      <c r="W521" s="368"/>
      <c r="X521" s="364">
        <f t="shared" si="80"/>
        <v>0</v>
      </c>
      <c r="Y521" s="393"/>
      <c r="Z521" s="498">
        <f t="shared" si="78"/>
        <v>0</v>
      </c>
      <c r="AA521" s="368"/>
      <c r="AB521" s="368"/>
      <c r="AC521" s="368"/>
      <c r="AD521" s="368"/>
      <c r="AE521" s="365">
        <f t="shared" si="79"/>
        <v>0</v>
      </c>
      <c r="AF521" s="262"/>
      <c r="AG521" s="457"/>
      <c r="AH521" s="264"/>
    </row>
    <row r="522" spans="1:34" ht="15.75" thickBot="1" x14ac:dyDescent="0.3">
      <c r="A522" s="474"/>
      <c r="B522" s="447"/>
      <c r="C522" s="463"/>
      <c r="D522" s="449" t="s">
        <v>431</v>
      </c>
      <c r="E522" s="262"/>
      <c r="F522" s="447" t="s">
        <v>1222</v>
      </c>
      <c r="G522" s="387" t="e">
        <f>VLOOKUP(A522,'Feature Summary'!$A$7:$C$3944,3,FALSE)</f>
        <v>#N/A</v>
      </c>
      <c r="H522" s="447" t="s">
        <v>1230</v>
      </c>
      <c r="I522" s="447"/>
      <c r="J522" s="448" t="s">
        <v>1228</v>
      </c>
      <c r="K522" s="263"/>
      <c r="L522" s="391"/>
      <c r="M522" s="399" t="s">
        <v>33</v>
      </c>
      <c r="N522" s="475">
        <v>1</v>
      </c>
      <c r="O522" s="391"/>
      <c r="P522" s="496">
        <f t="shared" si="85"/>
        <v>0</v>
      </c>
      <c r="Q522" s="445" t="s">
        <v>52</v>
      </c>
      <c r="R522" s="391"/>
      <c r="S522" s="362">
        <f t="shared" si="81"/>
        <v>0</v>
      </c>
      <c r="T522" s="368"/>
      <c r="U522" s="368"/>
      <c r="V522" s="368"/>
      <c r="W522" s="368"/>
      <c r="X522" s="364">
        <f t="shared" si="80"/>
        <v>0</v>
      </c>
      <c r="Y522" s="393"/>
      <c r="Z522" s="498">
        <f t="shared" ref="Z522:Z585" si="86">SUM(AA522:AD522)</f>
        <v>0</v>
      </c>
      <c r="AA522" s="368"/>
      <c r="AB522" s="368"/>
      <c r="AC522" s="368"/>
      <c r="AD522" s="368"/>
      <c r="AE522" s="365">
        <f t="shared" ref="AE522:AE585" si="87">IF((Z522=0),0,((AA522+AB522)/Z522*100%))</f>
        <v>0</v>
      </c>
      <c r="AF522" s="262"/>
      <c r="AG522" s="457"/>
      <c r="AH522" s="264"/>
    </row>
    <row r="523" spans="1:34" ht="15.75" thickBot="1" x14ac:dyDescent="0.3">
      <c r="A523" s="474" t="s">
        <v>1231</v>
      </c>
      <c r="B523" s="447"/>
      <c r="C523" s="580" t="s">
        <v>335</v>
      </c>
      <c r="D523" s="449" t="s">
        <v>431</v>
      </c>
      <c r="E523" s="262"/>
      <c r="F523" s="447" t="s">
        <v>1232</v>
      </c>
      <c r="G523" s="387" t="str">
        <f>VLOOKUP(A523,'Feature Summary'!$A$7:$C$3944,3,FALSE)</f>
        <v>P2</v>
      </c>
      <c r="H523" s="447" t="s">
        <v>1233</v>
      </c>
      <c r="I523" s="488" t="s">
        <v>264</v>
      </c>
      <c r="J523" s="448" t="s">
        <v>281</v>
      </c>
      <c r="K523" s="263">
        <v>1</v>
      </c>
      <c r="L523" s="391">
        <v>1</v>
      </c>
      <c r="M523" s="399" t="s">
        <v>33</v>
      </c>
      <c r="N523" s="475">
        <v>1</v>
      </c>
      <c r="O523" s="391">
        <v>1</v>
      </c>
      <c r="P523" s="496">
        <f t="shared" si="85"/>
        <v>1</v>
      </c>
      <c r="Q523" s="445" t="s">
        <v>52</v>
      </c>
      <c r="R523" s="391">
        <v>1</v>
      </c>
      <c r="S523" s="362">
        <f t="shared" si="81"/>
        <v>1</v>
      </c>
      <c r="T523" s="368">
        <v>1</v>
      </c>
      <c r="U523" s="368"/>
      <c r="V523" s="368"/>
      <c r="W523" s="368"/>
      <c r="X523" s="364">
        <f t="shared" si="80"/>
        <v>1</v>
      </c>
      <c r="Y523" s="393"/>
      <c r="Z523" s="498">
        <f t="shared" si="86"/>
        <v>0</v>
      </c>
      <c r="AA523" s="368"/>
      <c r="AB523" s="368"/>
      <c r="AC523" s="368"/>
      <c r="AD523" s="368"/>
      <c r="AE523" s="365">
        <f t="shared" si="87"/>
        <v>0</v>
      </c>
      <c r="AF523" s="262"/>
      <c r="AG523" s="457"/>
      <c r="AH523" s="264"/>
    </row>
    <row r="524" spans="1:34" ht="30.75" thickBot="1" x14ac:dyDescent="0.3">
      <c r="A524" s="474"/>
      <c r="B524" s="447"/>
      <c r="C524" s="580"/>
      <c r="D524" s="449" t="s">
        <v>431</v>
      </c>
      <c r="E524" s="262"/>
      <c r="F524" s="447" t="s">
        <v>1232</v>
      </c>
      <c r="G524" s="387" t="e">
        <f>VLOOKUP(A524,'Feature Summary'!$A$7:$C$3944,3,FALSE)</f>
        <v>#N/A</v>
      </c>
      <c r="H524" s="447" t="s">
        <v>1234</v>
      </c>
      <c r="I524" s="447"/>
      <c r="J524" s="448" t="s">
        <v>328</v>
      </c>
      <c r="K524" s="263"/>
      <c r="L524" s="391"/>
      <c r="M524" s="399" t="s">
        <v>33</v>
      </c>
      <c r="N524" s="475">
        <v>1</v>
      </c>
      <c r="O524" s="391"/>
      <c r="P524" s="496">
        <f t="shared" si="85"/>
        <v>0</v>
      </c>
      <c r="Q524" s="445" t="s">
        <v>52</v>
      </c>
      <c r="R524" s="391"/>
      <c r="S524" s="362">
        <f t="shared" si="81"/>
        <v>0</v>
      </c>
      <c r="T524" s="368"/>
      <c r="U524" s="368"/>
      <c r="V524" s="368"/>
      <c r="W524" s="368"/>
      <c r="X524" s="364">
        <f t="shared" si="80"/>
        <v>0</v>
      </c>
      <c r="Y524" s="393"/>
      <c r="Z524" s="498">
        <f t="shared" si="86"/>
        <v>0</v>
      </c>
      <c r="AA524" s="368"/>
      <c r="AB524" s="368"/>
      <c r="AC524" s="368"/>
      <c r="AD524" s="368"/>
      <c r="AE524" s="365">
        <f t="shared" si="87"/>
        <v>0</v>
      </c>
      <c r="AF524" s="262"/>
      <c r="AG524" s="457"/>
      <c r="AH524" s="264"/>
    </row>
    <row r="525" spans="1:34" ht="15.75" thickBot="1" x14ac:dyDescent="0.3">
      <c r="A525" s="474"/>
      <c r="B525" s="447"/>
      <c r="C525" s="580"/>
      <c r="D525" s="449" t="s">
        <v>431</v>
      </c>
      <c r="E525" s="262"/>
      <c r="F525" s="447" t="s">
        <v>1232</v>
      </c>
      <c r="G525" s="387" t="e">
        <f>VLOOKUP(A525,'Feature Summary'!$A$7:$C$3944,3,FALSE)</f>
        <v>#N/A</v>
      </c>
      <c r="H525" s="447" t="s">
        <v>1235</v>
      </c>
      <c r="I525" s="447"/>
      <c r="J525" s="448" t="s">
        <v>297</v>
      </c>
      <c r="K525" s="263"/>
      <c r="L525" s="391"/>
      <c r="M525" s="399" t="s">
        <v>33</v>
      </c>
      <c r="N525" s="475">
        <v>1</v>
      </c>
      <c r="O525" s="391"/>
      <c r="P525" s="496">
        <f t="shared" si="85"/>
        <v>0</v>
      </c>
      <c r="Q525" s="445" t="s">
        <v>52</v>
      </c>
      <c r="R525" s="391"/>
      <c r="S525" s="362">
        <f t="shared" si="81"/>
        <v>0</v>
      </c>
      <c r="T525" s="368"/>
      <c r="U525" s="368"/>
      <c r="V525" s="368"/>
      <c r="W525" s="368"/>
      <c r="X525" s="364">
        <f t="shared" si="80"/>
        <v>0</v>
      </c>
      <c r="Y525" s="393"/>
      <c r="Z525" s="498">
        <f t="shared" si="86"/>
        <v>0</v>
      </c>
      <c r="AA525" s="368"/>
      <c r="AB525" s="368"/>
      <c r="AC525" s="368"/>
      <c r="AD525" s="368"/>
      <c r="AE525" s="365">
        <f t="shared" si="87"/>
        <v>0</v>
      </c>
      <c r="AF525" s="262"/>
      <c r="AG525" s="457"/>
      <c r="AH525" s="264"/>
    </row>
    <row r="526" spans="1:34" ht="15.75" thickBot="1" x14ac:dyDescent="0.3">
      <c r="A526" s="474" t="s">
        <v>1231</v>
      </c>
      <c r="B526" s="447"/>
      <c r="C526" s="580" t="s">
        <v>335</v>
      </c>
      <c r="D526" s="449" t="s">
        <v>431</v>
      </c>
      <c r="E526" s="262"/>
      <c r="F526" s="447" t="s">
        <v>1236</v>
      </c>
      <c r="G526" s="387" t="str">
        <f>VLOOKUP(A526,'Feature Summary'!$A$7:$C$3944,3,FALSE)</f>
        <v>P2</v>
      </c>
      <c r="H526" s="447" t="s">
        <v>1237</v>
      </c>
      <c r="I526" s="488" t="s">
        <v>264</v>
      </c>
      <c r="J526" s="448" t="s">
        <v>281</v>
      </c>
      <c r="K526" s="263">
        <v>1</v>
      </c>
      <c r="L526" s="391">
        <v>1</v>
      </c>
      <c r="M526" s="399" t="s">
        <v>33</v>
      </c>
      <c r="N526" s="475">
        <v>1</v>
      </c>
      <c r="O526" s="391">
        <v>1</v>
      </c>
      <c r="P526" s="496">
        <f t="shared" si="85"/>
        <v>1</v>
      </c>
      <c r="Q526" s="445" t="s">
        <v>52</v>
      </c>
      <c r="R526" s="391">
        <v>1</v>
      </c>
      <c r="S526" s="362">
        <f t="shared" si="81"/>
        <v>1</v>
      </c>
      <c r="T526" s="368">
        <v>1</v>
      </c>
      <c r="U526" s="368"/>
      <c r="V526" s="368"/>
      <c r="W526" s="368"/>
      <c r="X526" s="364">
        <f t="shared" si="80"/>
        <v>1</v>
      </c>
      <c r="Y526" s="393"/>
      <c r="Z526" s="498">
        <f t="shared" si="86"/>
        <v>0</v>
      </c>
      <c r="AA526" s="368"/>
      <c r="AB526" s="368"/>
      <c r="AC526" s="368"/>
      <c r="AD526" s="368"/>
      <c r="AE526" s="365">
        <f t="shared" si="87"/>
        <v>0</v>
      </c>
      <c r="AF526" s="262"/>
      <c r="AG526" s="457"/>
      <c r="AH526" s="264"/>
    </row>
    <row r="527" spans="1:34" ht="30.75" thickBot="1" x14ac:dyDescent="0.3">
      <c r="A527" s="474"/>
      <c r="B527" s="447"/>
      <c r="C527" s="580"/>
      <c r="D527" s="449" t="s">
        <v>431</v>
      </c>
      <c r="E527" s="262"/>
      <c r="F527" s="447" t="s">
        <v>1236</v>
      </c>
      <c r="G527" s="387" t="e">
        <f>VLOOKUP(A527,'Feature Summary'!$A$7:$C$3944,3,FALSE)</f>
        <v>#N/A</v>
      </c>
      <c r="H527" s="447" t="s">
        <v>1238</v>
      </c>
      <c r="I527" s="447"/>
      <c r="J527" s="448" t="s">
        <v>330</v>
      </c>
      <c r="K527" s="263"/>
      <c r="L527" s="391"/>
      <c r="M527" s="399" t="s">
        <v>33</v>
      </c>
      <c r="N527" s="475">
        <v>1</v>
      </c>
      <c r="O527" s="391"/>
      <c r="P527" s="496">
        <f t="shared" si="85"/>
        <v>0</v>
      </c>
      <c r="Q527" s="445" t="s">
        <v>52</v>
      </c>
      <c r="R527" s="391"/>
      <c r="S527" s="362">
        <f t="shared" si="81"/>
        <v>0</v>
      </c>
      <c r="T527" s="368"/>
      <c r="U527" s="368"/>
      <c r="V527" s="368"/>
      <c r="W527" s="368"/>
      <c r="X527" s="364">
        <f t="shared" si="80"/>
        <v>0</v>
      </c>
      <c r="Y527" s="393"/>
      <c r="Z527" s="498">
        <f t="shared" si="86"/>
        <v>0</v>
      </c>
      <c r="AA527" s="368"/>
      <c r="AB527" s="368"/>
      <c r="AC527" s="368"/>
      <c r="AD527" s="368"/>
      <c r="AE527" s="365">
        <f t="shared" si="87"/>
        <v>0</v>
      </c>
      <c r="AF527" s="262"/>
      <c r="AG527" s="457"/>
      <c r="AH527" s="264"/>
    </row>
    <row r="528" spans="1:34" ht="15.75" thickBot="1" x14ac:dyDescent="0.3">
      <c r="A528" s="474"/>
      <c r="B528" s="447"/>
      <c r="C528" s="580"/>
      <c r="D528" s="449" t="s">
        <v>431</v>
      </c>
      <c r="E528" s="262"/>
      <c r="F528" s="447" t="s">
        <v>1236</v>
      </c>
      <c r="G528" s="387" t="e">
        <f>VLOOKUP(A528,'Feature Summary'!$A$7:$C$3944,3,FALSE)</f>
        <v>#N/A</v>
      </c>
      <c r="H528" s="447" t="s">
        <v>1239</v>
      </c>
      <c r="I528" s="447"/>
      <c r="J528" s="448" t="s">
        <v>416</v>
      </c>
      <c r="K528" s="263"/>
      <c r="L528" s="391"/>
      <c r="M528" s="399" t="s">
        <v>33</v>
      </c>
      <c r="N528" s="475">
        <v>1</v>
      </c>
      <c r="O528" s="391"/>
      <c r="P528" s="496">
        <f t="shared" si="85"/>
        <v>0</v>
      </c>
      <c r="Q528" s="445" t="s">
        <v>52</v>
      </c>
      <c r="R528" s="391"/>
      <c r="S528" s="362">
        <f t="shared" si="81"/>
        <v>0</v>
      </c>
      <c r="T528" s="368"/>
      <c r="U528" s="368"/>
      <c r="V528" s="368"/>
      <c r="W528" s="368"/>
      <c r="X528" s="364">
        <f t="shared" si="80"/>
        <v>0</v>
      </c>
      <c r="Y528" s="393"/>
      <c r="Z528" s="498">
        <f t="shared" si="86"/>
        <v>0</v>
      </c>
      <c r="AA528" s="368"/>
      <c r="AB528" s="368"/>
      <c r="AC528" s="368"/>
      <c r="AD528" s="368"/>
      <c r="AE528" s="365">
        <f t="shared" si="87"/>
        <v>0</v>
      </c>
      <c r="AF528" s="262"/>
      <c r="AG528" s="457"/>
      <c r="AH528" s="264"/>
    </row>
    <row r="529" spans="1:34" ht="15.75" thickBot="1" x14ac:dyDescent="0.3">
      <c r="A529" s="474" t="s">
        <v>1231</v>
      </c>
      <c r="B529" s="447"/>
      <c r="C529" s="580" t="s">
        <v>335</v>
      </c>
      <c r="D529" s="449" t="s">
        <v>431</v>
      </c>
      <c r="E529" s="262"/>
      <c r="F529" s="447" t="s">
        <v>1240</v>
      </c>
      <c r="G529" s="387" t="str">
        <f>VLOOKUP(A529,'Feature Summary'!$A$7:$C$3944,3,FALSE)</f>
        <v>P2</v>
      </c>
      <c r="H529" s="447" t="s">
        <v>1241</v>
      </c>
      <c r="I529" s="488" t="s">
        <v>264</v>
      </c>
      <c r="J529" s="448" t="s">
        <v>281</v>
      </c>
      <c r="K529" s="263">
        <v>1</v>
      </c>
      <c r="L529" s="391">
        <v>1</v>
      </c>
      <c r="M529" s="399" t="s">
        <v>33</v>
      </c>
      <c r="N529" s="475">
        <v>1</v>
      </c>
      <c r="O529" s="391">
        <v>1</v>
      </c>
      <c r="P529" s="496">
        <f t="shared" si="85"/>
        <v>1</v>
      </c>
      <c r="Q529" s="445" t="s">
        <v>52</v>
      </c>
      <c r="R529" s="391">
        <v>1</v>
      </c>
      <c r="S529" s="362">
        <f t="shared" si="81"/>
        <v>1</v>
      </c>
      <c r="T529" s="368">
        <v>1</v>
      </c>
      <c r="U529" s="368"/>
      <c r="V529" s="368"/>
      <c r="W529" s="368"/>
      <c r="X529" s="364">
        <f t="shared" si="80"/>
        <v>1</v>
      </c>
      <c r="Y529" s="393"/>
      <c r="Z529" s="498">
        <f t="shared" si="86"/>
        <v>0</v>
      </c>
      <c r="AA529" s="368"/>
      <c r="AB529" s="368"/>
      <c r="AC529" s="368"/>
      <c r="AD529" s="368"/>
      <c r="AE529" s="365">
        <f t="shared" si="87"/>
        <v>0</v>
      </c>
      <c r="AF529" s="262"/>
      <c r="AG529" s="457"/>
      <c r="AH529" s="264"/>
    </row>
    <row r="530" spans="1:34" ht="30.75" thickBot="1" x14ac:dyDescent="0.3">
      <c r="A530" s="474"/>
      <c r="B530" s="447"/>
      <c r="C530" s="580"/>
      <c r="D530" s="449" t="s">
        <v>431</v>
      </c>
      <c r="E530" s="262"/>
      <c r="F530" s="447" t="s">
        <v>1240</v>
      </c>
      <c r="G530" s="387" t="e">
        <f>VLOOKUP(A530,'Feature Summary'!$A$7:$C$3944,3,FALSE)</f>
        <v>#N/A</v>
      </c>
      <c r="H530" s="447" t="s">
        <v>1242</v>
      </c>
      <c r="I530" s="447"/>
      <c r="J530" s="448" t="s">
        <v>328</v>
      </c>
      <c r="K530" s="263"/>
      <c r="L530" s="391"/>
      <c r="M530" s="399" t="s">
        <v>33</v>
      </c>
      <c r="N530" s="475">
        <v>1</v>
      </c>
      <c r="O530" s="391"/>
      <c r="P530" s="496">
        <f t="shared" si="85"/>
        <v>0</v>
      </c>
      <c r="Q530" s="445" t="s">
        <v>52</v>
      </c>
      <c r="R530" s="391"/>
      <c r="S530" s="362">
        <f t="shared" si="81"/>
        <v>0</v>
      </c>
      <c r="T530" s="368"/>
      <c r="U530" s="368"/>
      <c r="V530" s="368"/>
      <c r="W530" s="368"/>
      <c r="X530" s="364">
        <f t="shared" si="80"/>
        <v>0</v>
      </c>
      <c r="Y530" s="393"/>
      <c r="Z530" s="498">
        <f t="shared" si="86"/>
        <v>0</v>
      </c>
      <c r="AA530" s="368"/>
      <c r="AB530" s="368"/>
      <c r="AC530" s="368"/>
      <c r="AD530" s="368"/>
      <c r="AE530" s="365">
        <f t="shared" si="87"/>
        <v>0</v>
      </c>
      <c r="AF530" s="262"/>
      <c r="AG530" s="457"/>
      <c r="AH530" s="264"/>
    </row>
    <row r="531" spans="1:34" ht="15.75" thickBot="1" x14ac:dyDescent="0.3">
      <c r="A531" s="474"/>
      <c r="B531" s="447"/>
      <c r="C531" s="580"/>
      <c r="D531" s="449" t="s">
        <v>431</v>
      </c>
      <c r="E531" s="262"/>
      <c r="F531" s="447" t="s">
        <v>1240</v>
      </c>
      <c r="G531" s="387" t="e">
        <f>VLOOKUP(A531,'Feature Summary'!$A$7:$C$3944,3,FALSE)</f>
        <v>#N/A</v>
      </c>
      <c r="H531" s="447" t="s">
        <v>1243</v>
      </c>
      <c r="I531" s="447"/>
      <c r="J531" s="448" t="s">
        <v>297</v>
      </c>
      <c r="K531" s="263"/>
      <c r="L531" s="391"/>
      <c r="M531" s="399" t="s">
        <v>33</v>
      </c>
      <c r="N531" s="475">
        <v>1</v>
      </c>
      <c r="O531" s="391"/>
      <c r="P531" s="496">
        <f t="shared" si="85"/>
        <v>0</v>
      </c>
      <c r="Q531" s="445" t="s">
        <v>52</v>
      </c>
      <c r="R531" s="391"/>
      <c r="S531" s="362">
        <f t="shared" si="81"/>
        <v>0</v>
      </c>
      <c r="T531" s="368"/>
      <c r="U531" s="368"/>
      <c r="V531" s="368"/>
      <c r="W531" s="368"/>
      <c r="X531" s="364">
        <f t="shared" si="80"/>
        <v>0</v>
      </c>
      <c r="Y531" s="393"/>
      <c r="Z531" s="498">
        <f t="shared" si="86"/>
        <v>0</v>
      </c>
      <c r="AA531" s="368"/>
      <c r="AB531" s="368"/>
      <c r="AC531" s="368"/>
      <c r="AD531" s="368"/>
      <c r="AE531" s="365">
        <f t="shared" si="87"/>
        <v>0</v>
      </c>
      <c r="AF531" s="262"/>
      <c r="AG531" s="457"/>
      <c r="AH531" s="264"/>
    </row>
    <row r="532" spans="1:34" ht="30.75" thickBot="1" x14ac:dyDescent="0.3">
      <c r="A532" s="458" t="s">
        <v>1244</v>
      </c>
      <c r="B532" s="447" t="s">
        <v>1245</v>
      </c>
      <c r="C532" s="463" t="s">
        <v>445</v>
      </c>
      <c r="D532" s="449" t="s">
        <v>431</v>
      </c>
      <c r="E532" s="262"/>
      <c r="F532" s="447" t="s">
        <v>1246</v>
      </c>
      <c r="G532" s="387" t="str">
        <f>VLOOKUP(A532,'Feature Summary'!$A$7:$C$3944,3,FALSE)</f>
        <v>P2</v>
      </c>
      <c r="H532" s="447" t="s">
        <v>1247</v>
      </c>
      <c r="I532" s="488" t="s">
        <v>264</v>
      </c>
      <c r="J532" s="448" t="s">
        <v>281</v>
      </c>
      <c r="K532" s="263">
        <v>1</v>
      </c>
      <c r="L532" s="391">
        <v>1</v>
      </c>
      <c r="M532" s="399" t="s">
        <v>33</v>
      </c>
      <c r="N532" s="475">
        <v>1</v>
      </c>
      <c r="O532" s="391">
        <v>1</v>
      </c>
      <c r="P532" s="496">
        <f>IF((O532=0),0,(O532/L532))</f>
        <v>1</v>
      </c>
      <c r="Q532" s="445" t="s">
        <v>52</v>
      </c>
      <c r="R532" s="391">
        <v>1</v>
      </c>
      <c r="S532" s="362">
        <f t="shared" si="81"/>
        <v>1</v>
      </c>
      <c r="T532" s="368">
        <v>1</v>
      </c>
      <c r="U532" s="368"/>
      <c r="V532" s="368"/>
      <c r="W532" s="368"/>
      <c r="X532" s="364">
        <f t="shared" si="80"/>
        <v>1</v>
      </c>
      <c r="Y532" s="393"/>
      <c r="Z532" s="498">
        <f t="shared" si="86"/>
        <v>0</v>
      </c>
      <c r="AA532" s="368"/>
      <c r="AB532" s="368"/>
      <c r="AC532" s="368"/>
      <c r="AD532" s="368"/>
      <c r="AE532" s="365">
        <f t="shared" si="87"/>
        <v>0</v>
      </c>
      <c r="AF532" s="262"/>
      <c r="AG532" s="457"/>
      <c r="AH532" s="264"/>
    </row>
    <row r="533" spans="1:34" ht="30.75" thickBot="1" x14ac:dyDescent="0.3">
      <c r="A533" s="458" t="s">
        <v>1244</v>
      </c>
      <c r="B533" s="447" t="s">
        <v>1245</v>
      </c>
      <c r="C533" s="463" t="s">
        <v>445</v>
      </c>
      <c r="D533" s="449" t="s">
        <v>431</v>
      </c>
      <c r="E533" s="262"/>
      <c r="F533" s="447" t="s">
        <v>1246</v>
      </c>
      <c r="G533" s="387" t="str">
        <f>VLOOKUP(A533,'Feature Summary'!$A$7:$C$3944,3,FALSE)</f>
        <v>P2</v>
      </c>
      <c r="H533" s="447" t="s">
        <v>1248</v>
      </c>
      <c r="I533" s="488" t="s">
        <v>264</v>
      </c>
      <c r="J533" s="448" t="s">
        <v>577</v>
      </c>
      <c r="K533" s="263">
        <v>1</v>
      </c>
      <c r="L533" s="391">
        <v>1</v>
      </c>
      <c r="M533" s="399" t="s">
        <v>33</v>
      </c>
      <c r="N533" s="475">
        <v>1</v>
      </c>
      <c r="O533" s="391">
        <v>1</v>
      </c>
      <c r="P533" s="496">
        <f>IF((O533=0),0,(O533/L533))</f>
        <v>1</v>
      </c>
      <c r="Q533" s="445" t="s">
        <v>52</v>
      </c>
      <c r="R533" s="391">
        <v>1</v>
      </c>
      <c r="S533" s="362">
        <f t="shared" si="81"/>
        <v>1</v>
      </c>
      <c r="T533" s="368">
        <v>1</v>
      </c>
      <c r="U533" s="368"/>
      <c r="V533" s="368"/>
      <c r="W533" s="368"/>
      <c r="X533" s="364">
        <f t="shared" ref="X533:X596" si="88">IF((S533=0),0,((T533+U533)/S533*100%))</f>
        <v>1</v>
      </c>
      <c r="Y533" s="393"/>
      <c r="Z533" s="498">
        <f t="shared" si="86"/>
        <v>0</v>
      </c>
      <c r="AA533" s="368"/>
      <c r="AB533" s="368"/>
      <c r="AC533" s="368"/>
      <c r="AD533" s="368"/>
      <c r="AE533" s="365">
        <f t="shared" si="87"/>
        <v>0</v>
      </c>
      <c r="AF533" s="262"/>
      <c r="AG533" s="457"/>
      <c r="AH533" s="264"/>
    </row>
    <row r="534" spans="1:34" ht="30.75" thickBot="1" x14ac:dyDescent="0.3">
      <c r="A534" s="458" t="s">
        <v>1244</v>
      </c>
      <c r="B534" s="447" t="s">
        <v>1245</v>
      </c>
      <c r="C534" s="463" t="s">
        <v>445</v>
      </c>
      <c r="D534" s="449" t="s">
        <v>431</v>
      </c>
      <c r="E534" s="262"/>
      <c r="F534" s="447" t="s">
        <v>1246</v>
      </c>
      <c r="G534" s="387" t="str">
        <f>VLOOKUP(A534,'Feature Summary'!$A$7:$C$3944,3,FALSE)</f>
        <v>P2</v>
      </c>
      <c r="H534" s="447" t="s">
        <v>1249</v>
      </c>
      <c r="I534" s="488" t="s">
        <v>264</v>
      </c>
      <c r="J534" s="448" t="s">
        <v>281</v>
      </c>
      <c r="K534" s="263">
        <v>1</v>
      </c>
      <c r="L534" s="391">
        <v>1</v>
      </c>
      <c r="M534" s="399" t="s">
        <v>33</v>
      </c>
      <c r="N534" s="475">
        <v>1</v>
      </c>
      <c r="O534" s="391">
        <v>1</v>
      </c>
      <c r="P534" s="496">
        <f t="shared" ref="P534:P538" si="89">IF((O534=0),0,(O534/L534))</f>
        <v>1</v>
      </c>
      <c r="Q534" s="445" t="s">
        <v>52</v>
      </c>
      <c r="R534" s="391">
        <v>1</v>
      </c>
      <c r="S534" s="362">
        <f t="shared" ref="S534:S597" si="90">SUM(T534:W534)</f>
        <v>1</v>
      </c>
      <c r="T534" s="368">
        <v>1</v>
      </c>
      <c r="U534" s="368"/>
      <c r="V534" s="368"/>
      <c r="W534" s="368"/>
      <c r="X534" s="364">
        <f t="shared" si="88"/>
        <v>1</v>
      </c>
      <c r="Y534" s="393"/>
      <c r="Z534" s="498">
        <f t="shared" si="86"/>
        <v>0</v>
      </c>
      <c r="AA534" s="368"/>
      <c r="AB534" s="368"/>
      <c r="AC534" s="368"/>
      <c r="AD534" s="368"/>
      <c r="AE534" s="365">
        <f t="shared" si="87"/>
        <v>0</v>
      </c>
      <c r="AF534" s="262"/>
      <c r="AG534" s="457"/>
      <c r="AH534" s="264"/>
    </row>
    <row r="535" spans="1:34" ht="30.75" thickBot="1" x14ac:dyDescent="0.3">
      <c r="A535" s="458" t="s">
        <v>1244</v>
      </c>
      <c r="B535" s="447" t="s">
        <v>1245</v>
      </c>
      <c r="C535" s="463" t="s">
        <v>445</v>
      </c>
      <c r="D535" s="449" t="s">
        <v>431</v>
      </c>
      <c r="E535" s="262"/>
      <c r="F535" s="447" t="s">
        <v>1246</v>
      </c>
      <c r="G535" s="387" t="str">
        <f>VLOOKUP(A535,'Feature Summary'!$A$7:$C$3944,3,FALSE)</f>
        <v>P2</v>
      </c>
      <c r="H535" s="447" t="s">
        <v>1250</v>
      </c>
      <c r="I535" s="488" t="s">
        <v>264</v>
      </c>
      <c r="J535" s="448" t="s">
        <v>281</v>
      </c>
      <c r="K535" s="263">
        <v>1</v>
      </c>
      <c r="L535" s="391">
        <v>1</v>
      </c>
      <c r="M535" s="399" t="s">
        <v>33</v>
      </c>
      <c r="N535" s="475">
        <v>1</v>
      </c>
      <c r="O535" s="391">
        <v>1</v>
      </c>
      <c r="P535" s="496">
        <f t="shared" si="89"/>
        <v>1</v>
      </c>
      <c r="Q535" s="445" t="s">
        <v>52</v>
      </c>
      <c r="R535" s="391">
        <v>1</v>
      </c>
      <c r="S535" s="362">
        <f t="shared" si="90"/>
        <v>1</v>
      </c>
      <c r="T535" s="368">
        <v>1</v>
      </c>
      <c r="U535" s="368"/>
      <c r="V535" s="368"/>
      <c r="W535" s="368"/>
      <c r="X535" s="364">
        <f t="shared" si="88"/>
        <v>1</v>
      </c>
      <c r="Y535" s="393"/>
      <c r="Z535" s="498">
        <f t="shared" si="86"/>
        <v>0</v>
      </c>
      <c r="AA535" s="368"/>
      <c r="AB535" s="368"/>
      <c r="AC535" s="368"/>
      <c r="AD535" s="368"/>
      <c r="AE535" s="365">
        <f t="shared" si="87"/>
        <v>0</v>
      </c>
      <c r="AF535" s="262"/>
      <c r="AG535" s="457"/>
      <c r="AH535" s="264"/>
    </row>
    <row r="536" spans="1:34" ht="30.75" thickBot="1" x14ac:dyDescent="0.3">
      <c r="A536" s="458" t="s">
        <v>1244</v>
      </c>
      <c r="B536" s="447" t="s">
        <v>1245</v>
      </c>
      <c r="C536" s="463" t="s">
        <v>445</v>
      </c>
      <c r="D536" s="449" t="s">
        <v>431</v>
      </c>
      <c r="E536" s="262"/>
      <c r="F536" s="447" t="s">
        <v>1246</v>
      </c>
      <c r="G536" s="387" t="str">
        <f>VLOOKUP(A536,'Feature Summary'!$A$7:$C$3944,3,FALSE)</f>
        <v>P2</v>
      </c>
      <c r="H536" s="447" t="s">
        <v>1251</v>
      </c>
      <c r="I536" s="488" t="s">
        <v>264</v>
      </c>
      <c r="J536" s="448" t="s">
        <v>281</v>
      </c>
      <c r="K536" s="263">
        <v>1</v>
      </c>
      <c r="L536" s="391">
        <v>1</v>
      </c>
      <c r="M536" s="399" t="s">
        <v>33</v>
      </c>
      <c r="N536" s="475">
        <v>1</v>
      </c>
      <c r="O536" s="391">
        <v>1</v>
      </c>
      <c r="P536" s="496">
        <f t="shared" si="89"/>
        <v>1</v>
      </c>
      <c r="Q536" s="445" t="s">
        <v>52</v>
      </c>
      <c r="R536" s="391">
        <v>1</v>
      </c>
      <c r="S536" s="362">
        <f t="shared" si="90"/>
        <v>1</v>
      </c>
      <c r="T536" s="368">
        <v>1</v>
      </c>
      <c r="U536" s="368"/>
      <c r="V536" s="368"/>
      <c r="W536" s="368"/>
      <c r="X536" s="364">
        <f t="shared" si="88"/>
        <v>1</v>
      </c>
      <c r="Y536" s="393"/>
      <c r="Z536" s="498">
        <f t="shared" si="86"/>
        <v>0</v>
      </c>
      <c r="AA536" s="368"/>
      <c r="AB536" s="368"/>
      <c r="AC536" s="368"/>
      <c r="AD536" s="368"/>
      <c r="AE536" s="365">
        <f t="shared" si="87"/>
        <v>0</v>
      </c>
      <c r="AF536" s="262"/>
      <c r="AG536" s="457"/>
      <c r="AH536" s="264"/>
    </row>
    <row r="537" spans="1:34" ht="30.75" thickBot="1" x14ac:dyDescent="0.3">
      <c r="A537" s="458" t="s">
        <v>1244</v>
      </c>
      <c r="B537" s="447" t="s">
        <v>1245</v>
      </c>
      <c r="C537" s="463" t="s">
        <v>445</v>
      </c>
      <c r="D537" s="449" t="s">
        <v>431</v>
      </c>
      <c r="E537" s="262"/>
      <c r="F537" s="447" t="s">
        <v>1246</v>
      </c>
      <c r="G537" s="387" t="str">
        <f>VLOOKUP(A537,'Feature Summary'!$A$7:$C$3944,3,FALSE)</f>
        <v>P2</v>
      </c>
      <c r="H537" s="447" t="s">
        <v>1252</v>
      </c>
      <c r="I537" s="488" t="s">
        <v>264</v>
      </c>
      <c r="J537" s="448" t="s">
        <v>281</v>
      </c>
      <c r="K537" s="263">
        <v>1</v>
      </c>
      <c r="L537" s="391">
        <v>1</v>
      </c>
      <c r="M537" s="399" t="s">
        <v>33</v>
      </c>
      <c r="N537" s="475">
        <v>1</v>
      </c>
      <c r="O537" s="391">
        <v>1</v>
      </c>
      <c r="P537" s="496">
        <f t="shared" si="89"/>
        <v>1</v>
      </c>
      <c r="Q537" s="445" t="s">
        <v>52</v>
      </c>
      <c r="R537" s="391">
        <v>1</v>
      </c>
      <c r="S537" s="362">
        <f t="shared" si="90"/>
        <v>1</v>
      </c>
      <c r="T537" s="368">
        <v>1</v>
      </c>
      <c r="U537" s="368"/>
      <c r="V537" s="368"/>
      <c r="W537" s="368"/>
      <c r="X537" s="364">
        <f t="shared" si="88"/>
        <v>1</v>
      </c>
      <c r="Y537" s="393"/>
      <c r="Z537" s="498">
        <f t="shared" si="86"/>
        <v>0</v>
      </c>
      <c r="AA537" s="368"/>
      <c r="AB537" s="368"/>
      <c r="AC537" s="368"/>
      <c r="AD537" s="368"/>
      <c r="AE537" s="365">
        <f t="shared" si="87"/>
        <v>0</v>
      </c>
      <c r="AF537" s="262"/>
      <c r="AG537" s="457"/>
      <c r="AH537" s="264"/>
    </row>
    <row r="538" spans="1:34" ht="30.75" thickBot="1" x14ac:dyDescent="0.3">
      <c r="A538" s="458" t="s">
        <v>1244</v>
      </c>
      <c r="B538" s="447" t="s">
        <v>1245</v>
      </c>
      <c r="C538" s="463" t="s">
        <v>445</v>
      </c>
      <c r="D538" s="449" t="s">
        <v>431</v>
      </c>
      <c r="E538" s="262"/>
      <c r="F538" s="447" t="s">
        <v>1246</v>
      </c>
      <c r="G538" s="387" t="str">
        <f>VLOOKUP(A538,'Feature Summary'!$A$7:$C$3944,3,FALSE)</f>
        <v>P2</v>
      </c>
      <c r="H538" s="447" t="s">
        <v>1253</v>
      </c>
      <c r="I538" s="488" t="s">
        <v>264</v>
      </c>
      <c r="J538" s="448" t="s">
        <v>281</v>
      </c>
      <c r="K538" s="263">
        <v>1</v>
      </c>
      <c r="L538" s="391">
        <v>1</v>
      </c>
      <c r="M538" s="399" t="s">
        <v>33</v>
      </c>
      <c r="N538" s="475">
        <v>1</v>
      </c>
      <c r="O538" s="391">
        <v>1</v>
      </c>
      <c r="P538" s="496">
        <f t="shared" si="89"/>
        <v>1</v>
      </c>
      <c r="Q538" s="445" t="s">
        <v>52</v>
      </c>
      <c r="R538" s="391">
        <v>1</v>
      </c>
      <c r="S538" s="362">
        <f t="shared" si="90"/>
        <v>1</v>
      </c>
      <c r="T538" s="368">
        <v>1</v>
      </c>
      <c r="U538" s="368"/>
      <c r="V538" s="368"/>
      <c r="W538" s="368"/>
      <c r="X538" s="364">
        <f t="shared" si="88"/>
        <v>1</v>
      </c>
      <c r="Y538" s="393"/>
      <c r="Z538" s="498">
        <f t="shared" si="86"/>
        <v>0</v>
      </c>
      <c r="AA538" s="368"/>
      <c r="AB538" s="368"/>
      <c r="AC538" s="368"/>
      <c r="AD538" s="368"/>
      <c r="AE538" s="365">
        <f t="shared" si="87"/>
        <v>0</v>
      </c>
      <c r="AF538" s="262"/>
      <c r="AG538" s="457"/>
      <c r="AH538" s="264"/>
    </row>
    <row r="539" spans="1:34" ht="30.75" thickBot="1" x14ac:dyDescent="0.3">
      <c r="A539" s="458" t="s">
        <v>1244</v>
      </c>
      <c r="B539" s="447" t="s">
        <v>1245</v>
      </c>
      <c r="C539" s="463" t="s">
        <v>445</v>
      </c>
      <c r="D539" s="449" t="s">
        <v>431</v>
      </c>
      <c r="E539" s="262"/>
      <c r="F539" s="447" t="s">
        <v>1254</v>
      </c>
      <c r="G539" s="387" t="str">
        <f>VLOOKUP(A539,'Feature Summary'!$A$7:$C$3944,3,FALSE)</f>
        <v>P2</v>
      </c>
      <c r="H539" s="447" t="s">
        <v>1255</v>
      </c>
      <c r="I539" s="488" t="s">
        <v>264</v>
      </c>
      <c r="J539" s="448" t="s">
        <v>281</v>
      </c>
      <c r="K539" s="263">
        <v>1</v>
      </c>
      <c r="L539" s="391">
        <v>2</v>
      </c>
      <c r="M539" s="399" t="s">
        <v>33</v>
      </c>
      <c r="N539" s="475">
        <v>1</v>
      </c>
      <c r="O539" s="391">
        <v>2</v>
      </c>
      <c r="P539" s="496">
        <f>IF((O539=0),0,(O539/L539))</f>
        <v>1</v>
      </c>
      <c r="Q539" s="445" t="s">
        <v>52</v>
      </c>
      <c r="R539" s="391">
        <v>2</v>
      </c>
      <c r="S539" s="362">
        <f t="shared" si="90"/>
        <v>2</v>
      </c>
      <c r="T539" s="368">
        <v>2</v>
      </c>
      <c r="U539" s="368"/>
      <c r="V539" s="368"/>
      <c r="W539" s="368"/>
      <c r="X539" s="364">
        <f t="shared" si="88"/>
        <v>1</v>
      </c>
      <c r="Y539" s="393"/>
      <c r="Z539" s="498">
        <f t="shared" si="86"/>
        <v>0</v>
      </c>
      <c r="AA539" s="368"/>
      <c r="AB539" s="368"/>
      <c r="AC539" s="368"/>
      <c r="AD539" s="368"/>
      <c r="AE539" s="365">
        <f t="shared" si="87"/>
        <v>0</v>
      </c>
      <c r="AF539" s="262"/>
      <c r="AG539" s="457"/>
      <c r="AH539" s="264"/>
    </row>
    <row r="540" spans="1:34" ht="45.75" thickBot="1" x14ac:dyDescent="0.3">
      <c r="A540" s="458" t="s">
        <v>1256</v>
      </c>
      <c r="B540" s="447" t="s">
        <v>1257</v>
      </c>
      <c r="C540" s="463" t="s">
        <v>445</v>
      </c>
      <c r="D540" s="449" t="s">
        <v>431</v>
      </c>
      <c r="E540" s="262"/>
      <c r="F540" s="447" t="s">
        <v>1258</v>
      </c>
      <c r="G540" s="387" t="str">
        <f>VLOOKUP(A540,'Feature Summary'!$A$7:$C$3944,3,FALSE)</f>
        <v>P2</v>
      </c>
      <c r="H540" s="447" t="s">
        <v>1259</v>
      </c>
      <c r="I540" s="488" t="s">
        <v>264</v>
      </c>
      <c r="J540" s="448" t="s">
        <v>1260</v>
      </c>
      <c r="K540" s="263">
        <v>1</v>
      </c>
      <c r="L540" s="391">
        <v>2</v>
      </c>
      <c r="M540" s="399" t="s">
        <v>33</v>
      </c>
      <c r="N540" s="475">
        <v>1</v>
      </c>
      <c r="O540" s="391">
        <v>2</v>
      </c>
      <c r="P540" s="496">
        <f t="shared" ref="P540:P570" si="91">IF((O540=0),0,(O540/L540))</f>
        <v>1</v>
      </c>
      <c r="Q540" s="445" t="s">
        <v>52</v>
      </c>
      <c r="R540" s="391">
        <v>2</v>
      </c>
      <c r="S540" s="362">
        <f t="shared" si="90"/>
        <v>2</v>
      </c>
      <c r="T540" s="368">
        <v>2</v>
      </c>
      <c r="U540" s="368"/>
      <c r="V540" s="368"/>
      <c r="W540" s="368"/>
      <c r="X540" s="364">
        <f t="shared" si="88"/>
        <v>1</v>
      </c>
      <c r="Y540" s="393"/>
      <c r="Z540" s="498">
        <f t="shared" si="86"/>
        <v>0</v>
      </c>
      <c r="AA540" s="368"/>
      <c r="AB540" s="368"/>
      <c r="AC540" s="368"/>
      <c r="AD540" s="368"/>
      <c r="AE540" s="365">
        <f t="shared" si="87"/>
        <v>0</v>
      </c>
      <c r="AF540" s="262"/>
      <c r="AG540" s="457"/>
      <c r="AH540" s="264"/>
    </row>
    <row r="541" spans="1:34" ht="30.75" thickBot="1" x14ac:dyDescent="0.3">
      <c r="A541" s="458"/>
      <c r="B541" s="447" t="s">
        <v>1245</v>
      </c>
      <c r="C541" s="463"/>
      <c r="D541" s="449" t="s">
        <v>431</v>
      </c>
      <c r="E541" s="262"/>
      <c r="F541" s="447" t="s">
        <v>1246</v>
      </c>
      <c r="G541" s="387" t="e">
        <f>VLOOKUP(A541,'Feature Summary'!$A$7:$C$3944,3,FALSE)</f>
        <v>#N/A</v>
      </c>
      <c r="H541" s="447" t="s">
        <v>1261</v>
      </c>
      <c r="I541" s="447"/>
      <c r="J541" s="448" t="s">
        <v>297</v>
      </c>
      <c r="K541" s="263"/>
      <c r="L541" s="391"/>
      <c r="M541" s="399" t="s">
        <v>33</v>
      </c>
      <c r="N541" s="475">
        <v>1</v>
      </c>
      <c r="O541" s="391"/>
      <c r="P541" s="496">
        <f t="shared" si="91"/>
        <v>0</v>
      </c>
      <c r="Q541" s="445" t="s">
        <v>52</v>
      </c>
      <c r="R541" s="391"/>
      <c r="S541" s="362">
        <f t="shared" si="90"/>
        <v>0</v>
      </c>
      <c r="T541" s="368"/>
      <c r="U541" s="368"/>
      <c r="V541" s="368"/>
      <c r="W541" s="368"/>
      <c r="X541" s="364">
        <f t="shared" si="88"/>
        <v>0</v>
      </c>
      <c r="Y541" s="393"/>
      <c r="Z541" s="498">
        <f t="shared" si="86"/>
        <v>0</v>
      </c>
      <c r="AA541" s="368"/>
      <c r="AB541" s="368"/>
      <c r="AC541" s="368"/>
      <c r="AD541" s="368"/>
      <c r="AE541" s="365">
        <f t="shared" si="87"/>
        <v>0</v>
      </c>
      <c r="AF541" s="262"/>
      <c r="AG541" s="457"/>
      <c r="AH541" s="264"/>
    </row>
    <row r="542" spans="1:34" ht="30.75" thickBot="1" x14ac:dyDescent="0.3">
      <c r="A542" s="458"/>
      <c r="B542" s="447" t="s">
        <v>1245</v>
      </c>
      <c r="C542" s="463"/>
      <c r="D542" s="449" t="s">
        <v>431</v>
      </c>
      <c r="E542" s="262"/>
      <c r="F542" s="447" t="s">
        <v>1246</v>
      </c>
      <c r="G542" s="387" t="e">
        <f>VLOOKUP(A542,'Feature Summary'!$A$7:$C$3944,3,FALSE)</f>
        <v>#N/A</v>
      </c>
      <c r="H542" s="447" t="s">
        <v>1262</v>
      </c>
      <c r="I542" s="447"/>
      <c r="J542" s="448" t="s">
        <v>1263</v>
      </c>
      <c r="K542" s="263"/>
      <c r="L542" s="391"/>
      <c r="M542" s="399" t="s">
        <v>33</v>
      </c>
      <c r="N542" s="475">
        <v>1</v>
      </c>
      <c r="O542" s="391"/>
      <c r="P542" s="496">
        <f t="shared" si="91"/>
        <v>0</v>
      </c>
      <c r="Q542" s="445" t="s">
        <v>52</v>
      </c>
      <c r="R542" s="391"/>
      <c r="S542" s="362">
        <f t="shared" si="90"/>
        <v>0</v>
      </c>
      <c r="T542" s="368"/>
      <c r="U542" s="368"/>
      <c r="V542" s="368"/>
      <c r="W542" s="368"/>
      <c r="X542" s="364">
        <f t="shared" si="88"/>
        <v>0</v>
      </c>
      <c r="Y542" s="393"/>
      <c r="Z542" s="498">
        <f t="shared" si="86"/>
        <v>0</v>
      </c>
      <c r="AA542" s="368"/>
      <c r="AB542" s="368"/>
      <c r="AC542" s="368"/>
      <c r="AD542" s="368"/>
      <c r="AE542" s="365">
        <f t="shared" si="87"/>
        <v>0</v>
      </c>
      <c r="AF542" s="262"/>
      <c r="AG542" s="457"/>
      <c r="AH542" s="264"/>
    </row>
    <row r="543" spans="1:34" ht="30.75" thickBot="1" x14ac:dyDescent="0.3">
      <c r="A543" s="458"/>
      <c r="B543" s="447" t="s">
        <v>1245</v>
      </c>
      <c r="C543" s="463"/>
      <c r="D543" s="449" t="s">
        <v>431</v>
      </c>
      <c r="E543" s="262"/>
      <c r="F543" s="447" t="s">
        <v>1246</v>
      </c>
      <c r="G543" s="387" t="e">
        <f>VLOOKUP(A543,'Feature Summary'!$A$7:$C$3944,3,FALSE)</f>
        <v>#N/A</v>
      </c>
      <c r="H543" s="447" t="s">
        <v>1264</v>
      </c>
      <c r="I543" s="447"/>
      <c r="J543" s="448" t="s">
        <v>297</v>
      </c>
      <c r="K543" s="263"/>
      <c r="L543" s="391"/>
      <c r="M543" s="399" t="s">
        <v>33</v>
      </c>
      <c r="N543" s="475">
        <v>1</v>
      </c>
      <c r="O543" s="391"/>
      <c r="P543" s="496">
        <f t="shared" si="91"/>
        <v>0</v>
      </c>
      <c r="Q543" s="445" t="s">
        <v>52</v>
      </c>
      <c r="R543" s="391"/>
      <c r="S543" s="362">
        <f t="shared" si="90"/>
        <v>0</v>
      </c>
      <c r="T543" s="368"/>
      <c r="U543" s="368"/>
      <c r="V543" s="368"/>
      <c r="W543" s="368"/>
      <c r="X543" s="364">
        <f t="shared" si="88"/>
        <v>0</v>
      </c>
      <c r="Y543" s="393"/>
      <c r="Z543" s="498">
        <f t="shared" si="86"/>
        <v>0</v>
      </c>
      <c r="AA543" s="368"/>
      <c r="AB543" s="368"/>
      <c r="AC543" s="368"/>
      <c r="AD543" s="368"/>
      <c r="AE543" s="365">
        <f t="shared" si="87"/>
        <v>0</v>
      </c>
      <c r="AF543" s="262"/>
      <c r="AG543" s="457"/>
      <c r="AH543" s="264"/>
    </row>
    <row r="544" spans="1:34" ht="30.75" thickBot="1" x14ac:dyDescent="0.3">
      <c r="A544" s="458"/>
      <c r="B544" s="447" t="s">
        <v>1245</v>
      </c>
      <c r="C544" s="463"/>
      <c r="D544" s="449" t="s">
        <v>431</v>
      </c>
      <c r="E544" s="262"/>
      <c r="F544" s="447" t="s">
        <v>1246</v>
      </c>
      <c r="G544" s="387" t="e">
        <f>VLOOKUP(A544,'Feature Summary'!$A$7:$C$3944,3,FALSE)</f>
        <v>#N/A</v>
      </c>
      <c r="H544" s="447" t="s">
        <v>1265</v>
      </c>
      <c r="I544" s="447"/>
      <c r="J544" s="448" t="s">
        <v>297</v>
      </c>
      <c r="K544" s="263"/>
      <c r="L544" s="391"/>
      <c r="M544" s="399" t="s">
        <v>33</v>
      </c>
      <c r="N544" s="475">
        <v>1</v>
      </c>
      <c r="O544" s="391"/>
      <c r="P544" s="496">
        <f t="shared" si="91"/>
        <v>0</v>
      </c>
      <c r="Q544" s="445" t="s">
        <v>52</v>
      </c>
      <c r="R544" s="391"/>
      <c r="S544" s="362">
        <f t="shared" si="90"/>
        <v>0</v>
      </c>
      <c r="T544" s="368"/>
      <c r="U544" s="368"/>
      <c r="V544" s="368"/>
      <c r="W544" s="368"/>
      <c r="X544" s="364">
        <f t="shared" si="88"/>
        <v>0</v>
      </c>
      <c r="Y544" s="393"/>
      <c r="Z544" s="498">
        <f t="shared" si="86"/>
        <v>0</v>
      </c>
      <c r="AA544" s="368"/>
      <c r="AB544" s="368"/>
      <c r="AC544" s="368"/>
      <c r="AD544" s="368"/>
      <c r="AE544" s="365">
        <f t="shared" si="87"/>
        <v>0</v>
      </c>
      <c r="AF544" s="262"/>
      <c r="AG544" s="457"/>
      <c r="AH544" s="264"/>
    </row>
    <row r="545" spans="1:34" ht="30.75" thickBot="1" x14ac:dyDescent="0.3">
      <c r="A545" s="458"/>
      <c r="B545" s="447" t="s">
        <v>1245</v>
      </c>
      <c r="C545" s="463"/>
      <c r="D545" s="449" t="s">
        <v>431</v>
      </c>
      <c r="E545" s="262"/>
      <c r="F545" s="447" t="s">
        <v>1246</v>
      </c>
      <c r="G545" s="387" t="e">
        <f>VLOOKUP(A545,'Feature Summary'!$A$7:$C$3944,3,FALSE)</f>
        <v>#N/A</v>
      </c>
      <c r="H545" s="447" t="s">
        <v>1266</v>
      </c>
      <c r="I545" s="447"/>
      <c r="J545" s="448" t="s">
        <v>297</v>
      </c>
      <c r="K545" s="263"/>
      <c r="L545" s="391"/>
      <c r="M545" s="399" t="s">
        <v>33</v>
      </c>
      <c r="N545" s="475">
        <v>1</v>
      </c>
      <c r="O545" s="391"/>
      <c r="P545" s="496">
        <f t="shared" si="91"/>
        <v>0</v>
      </c>
      <c r="Q545" s="445" t="s">
        <v>52</v>
      </c>
      <c r="R545" s="391"/>
      <c r="S545" s="362">
        <f t="shared" si="90"/>
        <v>0</v>
      </c>
      <c r="T545" s="368"/>
      <c r="U545" s="368"/>
      <c r="V545" s="368"/>
      <c r="W545" s="368"/>
      <c r="X545" s="364">
        <f t="shared" si="88"/>
        <v>0</v>
      </c>
      <c r="Y545" s="393"/>
      <c r="Z545" s="498">
        <f t="shared" si="86"/>
        <v>0</v>
      </c>
      <c r="AA545" s="368"/>
      <c r="AB545" s="368"/>
      <c r="AC545" s="368"/>
      <c r="AD545" s="368"/>
      <c r="AE545" s="365">
        <f t="shared" si="87"/>
        <v>0</v>
      </c>
      <c r="AF545" s="262"/>
      <c r="AG545" s="457"/>
      <c r="AH545" s="264"/>
    </row>
    <row r="546" spans="1:34" ht="30.75" thickBot="1" x14ac:dyDescent="0.3">
      <c r="A546" s="458"/>
      <c r="B546" s="447" t="s">
        <v>1245</v>
      </c>
      <c r="C546" s="463"/>
      <c r="D546" s="449" t="s">
        <v>431</v>
      </c>
      <c r="E546" s="262"/>
      <c r="F546" s="447" t="s">
        <v>1246</v>
      </c>
      <c r="G546" s="387" t="e">
        <f>VLOOKUP(A546,'Feature Summary'!$A$7:$C$3944,3,FALSE)</f>
        <v>#N/A</v>
      </c>
      <c r="H546" s="447" t="s">
        <v>1267</v>
      </c>
      <c r="I546" s="447"/>
      <c r="J546" s="448" t="s">
        <v>297</v>
      </c>
      <c r="K546" s="263"/>
      <c r="L546" s="391"/>
      <c r="M546" s="399" t="s">
        <v>33</v>
      </c>
      <c r="N546" s="475">
        <v>1</v>
      </c>
      <c r="O546" s="391"/>
      <c r="P546" s="496">
        <f t="shared" si="91"/>
        <v>0</v>
      </c>
      <c r="Q546" s="445" t="s">
        <v>52</v>
      </c>
      <c r="R546" s="391"/>
      <c r="S546" s="362">
        <f t="shared" si="90"/>
        <v>0</v>
      </c>
      <c r="T546" s="368"/>
      <c r="U546" s="368"/>
      <c r="V546" s="368"/>
      <c r="W546" s="368"/>
      <c r="X546" s="364">
        <f t="shared" si="88"/>
        <v>0</v>
      </c>
      <c r="Y546" s="393"/>
      <c r="Z546" s="498">
        <f t="shared" si="86"/>
        <v>0</v>
      </c>
      <c r="AA546" s="368"/>
      <c r="AB546" s="368"/>
      <c r="AC546" s="368"/>
      <c r="AD546" s="368"/>
      <c r="AE546" s="365">
        <f t="shared" si="87"/>
        <v>0</v>
      </c>
      <c r="AF546" s="262"/>
      <c r="AG546" s="457"/>
      <c r="AH546" s="264"/>
    </row>
    <row r="547" spans="1:34" ht="30.75" thickBot="1" x14ac:dyDescent="0.3">
      <c r="A547" s="458"/>
      <c r="B547" s="447" t="s">
        <v>1245</v>
      </c>
      <c r="C547" s="463"/>
      <c r="D547" s="449" t="s">
        <v>431</v>
      </c>
      <c r="E547" s="262"/>
      <c r="F547" s="447" t="s">
        <v>1246</v>
      </c>
      <c r="G547" s="387" t="e">
        <f>VLOOKUP(A547,'Feature Summary'!$A$7:$C$3944,3,FALSE)</f>
        <v>#N/A</v>
      </c>
      <c r="H547" s="447" t="s">
        <v>1268</v>
      </c>
      <c r="I547" s="447"/>
      <c r="J547" s="448" t="s">
        <v>297</v>
      </c>
      <c r="K547" s="263"/>
      <c r="L547" s="391"/>
      <c r="M547" s="399" t="s">
        <v>33</v>
      </c>
      <c r="N547" s="475">
        <v>1</v>
      </c>
      <c r="O547" s="391"/>
      <c r="P547" s="496">
        <f t="shared" si="91"/>
        <v>0</v>
      </c>
      <c r="Q547" s="445" t="s">
        <v>52</v>
      </c>
      <c r="R547" s="391"/>
      <c r="S547" s="362">
        <f t="shared" si="90"/>
        <v>0</v>
      </c>
      <c r="T547" s="368"/>
      <c r="U547" s="368"/>
      <c r="V547" s="368"/>
      <c r="W547" s="368"/>
      <c r="X547" s="364">
        <f t="shared" si="88"/>
        <v>0</v>
      </c>
      <c r="Y547" s="393"/>
      <c r="Z547" s="498">
        <f t="shared" si="86"/>
        <v>0</v>
      </c>
      <c r="AA547" s="368"/>
      <c r="AB547" s="368"/>
      <c r="AC547" s="368"/>
      <c r="AD547" s="368"/>
      <c r="AE547" s="365">
        <f t="shared" si="87"/>
        <v>0</v>
      </c>
      <c r="AF547" s="262"/>
      <c r="AG547" s="457"/>
      <c r="AH547" s="264"/>
    </row>
    <row r="548" spans="1:34" ht="30.75" thickBot="1" x14ac:dyDescent="0.3">
      <c r="A548" s="458"/>
      <c r="B548" s="447" t="s">
        <v>1245</v>
      </c>
      <c r="C548" s="463"/>
      <c r="D548" s="449" t="s">
        <v>431</v>
      </c>
      <c r="E548" s="262"/>
      <c r="F548" s="447" t="s">
        <v>1254</v>
      </c>
      <c r="G548" s="387" t="e">
        <f>VLOOKUP(A548,'Feature Summary'!$A$7:$C$3944,3,FALSE)</f>
        <v>#N/A</v>
      </c>
      <c r="H548" s="447" t="s">
        <v>1269</v>
      </c>
      <c r="I548" s="447"/>
      <c r="J548" s="448" t="s">
        <v>297</v>
      </c>
      <c r="K548" s="263"/>
      <c r="L548" s="391"/>
      <c r="M548" s="399" t="s">
        <v>33</v>
      </c>
      <c r="N548" s="475">
        <v>1</v>
      </c>
      <c r="O548" s="391"/>
      <c r="P548" s="496">
        <f t="shared" si="91"/>
        <v>0</v>
      </c>
      <c r="Q548" s="445" t="s">
        <v>52</v>
      </c>
      <c r="R548" s="391"/>
      <c r="S548" s="362">
        <f t="shared" si="90"/>
        <v>0</v>
      </c>
      <c r="T548" s="368"/>
      <c r="U548" s="368"/>
      <c r="V548" s="368"/>
      <c r="W548" s="368"/>
      <c r="X548" s="364">
        <f t="shared" si="88"/>
        <v>0</v>
      </c>
      <c r="Y548" s="393"/>
      <c r="Z548" s="498">
        <f t="shared" si="86"/>
        <v>0</v>
      </c>
      <c r="AA548" s="368"/>
      <c r="AB548" s="368"/>
      <c r="AC548" s="368"/>
      <c r="AD548" s="368"/>
      <c r="AE548" s="365">
        <f t="shared" si="87"/>
        <v>0</v>
      </c>
      <c r="AF548" s="262"/>
      <c r="AG548" s="457"/>
      <c r="AH548" s="264"/>
    </row>
    <row r="549" spans="1:34" ht="42" customHeight="1" thickBot="1" x14ac:dyDescent="0.3">
      <c r="A549" s="458"/>
      <c r="B549" s="447" t="s">
        <v>1257</v>
      </c>
      <c r="C549" s="463"/>
      <c r="D549" s="449" t="s">
        <v>431</v>
      </c>
      <c r="E549" s="262"/>
      <c r="F549" s="447" t="s">
        <v>1258</v>
      </c>
      <c r="G549" s="387" t="e">
        <f>VLOOKUP(A549,'Feature Summary'!$A$7:$C$3944,3,FALSE)</f>
        <v>#N/A</v>
      </c>
      <c r="H549" s="447" t="s">
        <v>1270</v>
      </c>
      <c r="I549" s="447"/>
      <c r="J549" s="448" t="s">
        <v>297</v>
      </c>
      <c r="K549" s="263"/>
      <c r="L549" s="391"/>
      <c r="M549" s="399" t="s">
        <v>33</v>
      </c>
      <c r="N549" s="475">
        <v>1</v>
      </c>
      <c r="O549" s="391"/>
      <c r="P549" s="496">
        <f t="shared" si="91"/>
        <v>0</v>
      </c>
      <c r="Q549" s="445" t="s">
        <v>52</v>
      </c>
      <c r="R549" s="391"/>
      <c r="S549" s="362">
        <f t="shared" si="90"/>
        <v>0</v>
      </c>
      <c r="T549" s="368"/>
      <c r="U549" s="368"/>
      <c r="V549" s="368"/>
      <c r="W549" s="368"/>
      <c r="X549" s="364">
        <f t="shared" si="88"/>
        <v>0</v>
      </c>
      <c r="Y549" s="393"/>
      <c r="Z549" s="498">
        <f t="shared" si="86"/>
        <v>0</v>
      </c>
      <c r="AA549" s="368"/>
      <c r="AB549" s="368"/>
      <c r="AC549" s="368"/>
      <c r="AD549" s="368"/>
      <c r="AE549" s="365">
        <f t="shared" si="87"/>
        <v>0</v>
      </c>
      <c r="AF549" s="558"/>
      <c r="AG549" s="457"/>
      <c r="AH549" s="264"/>
    </row>
    <row r="550" spans="1:34" ht="45.75" thickBot="1" x14ac:dyDescent="0.3">
      <c r="A550" s="458" t="s">
        <v>1271</v>
      </c>
      <c r="B550" s="463"/>
      <c r="C550" s="463" t="s">
        <v>445</v>
      </c>
      <c r="D550" s="449" t="s">
        <v>431</v>
      </c>
      <c r="E550" s="262"/>
      <c r="F550" s="447" t="s">
        <v>1272</v>
      </c>
      <c r="G550" s="387" t="e">
        <f>VLOOKUP(A550,'Feature Summary'!$A$7:$C$3944,3,FALSE)</f>
        <v>#N/A</v>
      </c>
      <c r="H550" s="447" t="s">
        <v>1273</v>
      </c>
      <c r="I550" s="488" t="s">
        <v>264</v>
      </c>
      <c r="J550" s="448" t="s">
        <v>1274</v>
      </c>
      <c r="K550" s="263">
        <v>1</v>
      </c>
      <c r="L550" s="391">
        <v>1</v>
      </c>
      <c r="M550" s="399" t="s">
        <v>33</v>
      </c>
      <c r="N550" s="475">
        <v>1</v>
      </c>
      <c r="O550" s="391">
        <v>1</v>
      </c>
      <c r="P550" s="496">
        <f t="shared" si="91"/>
        <v>1</v>
      </c>
      <c r="Q550" s="445" t="s">
        <v>52</v>
      </c>
      <c r="R550" s="391">
        <v>1</v>
      </c>
      <c r="S550" s="362">
        <f t="shared" si="90"/>
        <v>1</v>
      </c>
      <c r="T550" s="368">
        <v>1</v>
      </c>
      <c r="U550" s="368"/>
      <c r="V550" s="368"/>
      <c r="W550" s="368"/>
      <c r="X550" s="364">
        <f t="shared" si="88"/>
        <v>1</v>
      </c>
      <c r="Y550" s="393"/>
      <c r="Z550" s="498">
        <f t="shared" si="86"/>
        <v>0</v>
      </c>
      <c r="AA550" s="368"/>
      <c r="AB550" s="368"/>
      <c r="AC550" s="368"/>
      <c r="AD550" s="368"/>
      <c r="AE550" s="365">
        <f t="shared" si="87"/>
        <v>0</v>
      </c>
      <c r="AF550" s="558"/>
      <c r="AG550" s="457"/>
      <c r="AH550" s="264"/>
    </row>
    <row r="551" spans="1:34" ht="30.75" thickBot="1" x14ac:dyDescent="0.3">
      <c r="A551" s="458" t="s">
        <v>1275</v>
      </c>
      <c r="B551" s="463"/>
      <c r="C551" s="463" t="s">
        <v>445</v>
      </c>
      <c r="D551" s="449" t="s">
        <v>431</v>
      </c>
      <c r="E551" s="262"/>
      <c r="F551" s="447" t="s">
        <v>1272</v>
      </c>
      <c r="G551" s="387" t="e">
        <f>VLOOKUP(A551,'Feature Summary'!$A$7:$C$3944,3,FALSE)</f>
        <v>#N/A</v>
      </c>
      <c r="H551" s="447" t="s">
        <v>1276</v>
      </c>
      <c r="I551" s="488" t="s">
        <v>264</v>
      </c>
      <c r="J551" s="448" t="s">
        <v>1277</v>
      </c>
      <c r="K551" s="263">
        <v>1</v>
      </c>
      <c r="L551" s="391">
        <v>1</v>
      </c>
      <c r="M551" s="399" t="s">
        <v>33</v>
      </c>
      <c r="N551" s="475">
        <v>1</v>
      </c>
      <c r="O551" s="391">
        <v>1</v>
      </c>
      <c r="P551" s="496">
        <f t="shared" si="91"/>
        <v>1</v>
      </c>
      <c r="Q551" s="445" t="s">
        <v>52</v>
      </c>
      <c r="R551" s="391">
        <v>1</v>
      </c>
      <c r="S551" s="362">
        <f t="shared" si="90"/>
        <v>1</v>
      </c>
      <c r="T551" s="368">
        <v>1</v>
      </c>
      <c r="U551" s="368"/>
      <c r="V551" s="368"/>
      <c r="W551" s="368"/>
      <c r="X551" s="364">
        <f t="shared" si="88"/>
        <v>1</v>
      </c>
      <c r="Y551" s="393"/>
      <c r="Z551" s="498">
        <f t="shared" si="86"/>
        <v>0</v>
      </c>
      <c r="AA551" s="368"/>
      <c r="AB551" s="368"/>
      <c r="AC551" s="368"/>
      <c r="AD551" s="368"/>
      <c r="AE551" s="365">
        <f t="shared" si="87"/>
        <v>0</v>
      </c>
      <c r="AF551" s="262"/>
      <c r="AG551" s="457"/>
      <c r="AH551" s="264"/>
    </row>
    <row r="552" spans="1:34" ht="30.75" thickBot="1" x14ac:dyDescent="0.3">
      <c r="A552" s="458" t="s">
        <v>1278</v>
      </c>
      <c r="B552" s="447" t="s">
        <v>1279</v>
      </c>
      <c r="C552" s="463" t="s">
        <v>445</v>
      </c>
      <c r="D552" s="449" t="s">
        <v>431</v>
      </c>
      <c r="E552" s="262"/>
      <c r="F552" s="447" t="s">
        <v>1272</v>
      </c>
      <c r="G552" s="387" t="e">
        <f>VLOOKUP(A552,'Feature Summary'!$A$7:$C$3944,3,FALSE)</f>
        <v>#N/A</v>
      </c>
      <c r="H552" s="447" t="s">
        <v>1280</v>
      </c>
      <c r="I552" s="488" t="s">
        <v>264</v>
      </c>
      <c r="J552" s="448" t="s">
        <v>1281</v>
      </c>
      <c r="K552" s="263">
        <v>1</v>
      </c>
      <c r="L552" s="391">
        <v>1</v>
      </c>
      <c r="M552" s="399" t="s">
        <v>33</v>
      </c>
      <c r="N552" s="475">
        <v>1</v>
      </c>
      <c r="O552" s="391">
        <v>1</v>
      </c>
      <c r="P552" s="496">
        <f t="shared" si="91"/>
        <v>1</v>
      </c>
      <c r="Q552" s="445" t="s">
        <v>52</v>
      </c>
      <c r="R552" s="391">
        <v>1</v>
      </c>
      <c r="S552" s="362">
        <f t="shared" si="90"/>
        <v>1</v>
      </c>
      <c r="T552" s="368">
        <v>1</v>
      </c>
      <c r="U552" s="368"/>
      <c r="V552" s="368"/>
      <c r="W552" s="368"/>
      <c r="X552" s="364">
        <f t="shared" si="88"/>
        <v>1</v>
      </c>
      <c r="Y552" s="393"/>
      <c r="Z552" s="498">
        <f t="shared" si="86"/>
        <v>0</v>
      </c>
      <c r="AA552" s="368"/>
      <c r="AB552" s="368"/>
      <c r="AC552" s="368"/>
      <c r="AD552" s="368"/>
      <c r="AE552" s="365">
        <f t="shared" si="87"/>
        <v>0</v>
      </c>
      <c r="AF552" s="262"/>
      <c r="AG552" s="457"/>
      <c r="AH552" s="264"/>
    </row>
    <row r="553" spans="1:34" ht="30.75" thickBot="1" x14ac:dyDescent="0.3">
      <c r="A553" s="458" t="s">
        <v>1282</v>
      </c>
      <c r="B553" s="463"/>
      <c r="C553" s="463" t="s">
        <v>445</v>
      </c>
      <c r="D553" s="449" t="s">
        <v>431</v>
      </c>
      <c r="E553" s="262"/>
      <c r="F553" s="447" t="s">
        <v>1272</v>
      </c>
      <c r="G553" s="387" t="e">
        <f>VLOOKUP(A553,'Feature Summary'!$A$7:$C$3944,3,FALSE)</f>
        <v>#N/A</v>
      </c>
      <c r="H553" s="447" t="s">
        <v>1283</v>
      </c>
      <c r="I553" s="488" t="s">
        <v>264</v>
      </c>
      <c r="J553" s="448" t="s">
        <v>1281</v>
      </c>
      <c r="K553" s="263">
        <v>1</v>
      </c>
      <c r="L553" s="391">
        <v>1</v>
      </c>
      <c r="M553" s="399" t="s">
        <v>33</v>
      </c>
      <c r="N553" s="475">
        <v>1</v>
      </c>
      <c r="O553" s="391">
        <v>1</v>
      </c>
      <c r="P553" s="496">
        <f t="shared" si="91"/>
        <v>1</v>
      </c>
      <c r="Q553" s="445" t="s">
        <v>52</v>
      </c>
      <c r="R553" s="391">
        <v>1</v>
      </c>
      <c r="S553" s="362">
        <f t="shared" si="90"/>
        <v>1</v>
      </c>
      <c r="T553" s="368">
        <v>1</v>
      </c>
      <c r="U553" s="368"/>
      <c r="V553" s="368"/>
      <c r="W553" s="368"/>
      <c r="X553" s="364">
        <f t="shared" si="88"/>
        <v>1</v>
      </c>
      <c r="Y553" s="393"/>
      <c r="Z553" s="498">
        <f t="shared" si="86"/>
        <v>0</v>
      </c>
      <c r="AA553" s="368"/>
      <c r="AB553" s="368"/>
      <c r="AC553" s="368"/>
      <c r="AD553" s="368"/>
      <c r="AE553" s="365">
        <f t="shared" si="87"/>
        <v>0</v>
      </c>
      <c r="AF553" s="558"/>
      <c r="AG553" s="457"/>
      <c r="AH553" s="264"/>
    </row>
    <row r="554" spans="1:34" ht="60.75" thickBot="1" x14ac:dyDescent="0.3">
      <c r="A554" s="458" t="s">
        <v>1244</v>
      </c>
      <c r="B554" s="447" t="s">
        <v>1279</v>
      </c>
      <c r="C554" s="463" t="s">
        <v>445</v>
      </c>
      <c r="D554" s="449" t="s">
        <v>431</v>
      </c>
      <c r="E554" s="262"/>
      <c r="F554" s="470" t="s">
        <v>1284</v>
      </c>
      <c r="G554" s="387" t="str">
        <f>VLOOKUP(A554,'Feature Summary'!$A$7:$C$3944,3,FALSE)</f>
        <v>P2</v>
      </c>
      <c r="H554" s="447" t="s">
        <v>1285</v>
      </c>
      <c r="I554" s="488" t="s">
        <v>264</v>
      </c>
      <c r="J554" s="478" t="s">
        <v>1286</v>
      </c>
      <c r="K554" s="263">
        <v>1</v>
      </c>
      <c r="L554" s="391">
        <v>1</v>
      </c>
      <c r="M554" s="399" t="s">
        <v>33</v>
      </c>
      <c r="N554" s="475">
        <v>1</v>
      </c>
      <c r="O554" s="391">
        <v>1</v>
      </c>
      <c r="P554" s="496">
        <f t="shared" si="91"/>
        <v>1</v>
      </c>
      <c r="Q554" s="445" t="s">
        <v>52</v>
      </c>
      <c r="R554" s="391">
        <v>1</v>
      </c>
      <c r="S554" s="362">
        <f t="shared" si="90"/>
        <v>1</v>
      </c>
      <c r="T554" s="368">
        <v>1</v>
      </c>
      <c r="U554" s="368"/>
      <c r="V554" s="368"/>
      <c r="W554" s="368"/>
      <c r="X554" s="364">
        <f t="shared" si="88"/>
        <v>1</v>
      </c>
      <c r="Y554" s="393"/>
      <c r="Z554" s="498">
        <f t="shared" si="86"/>
        <v>0</v>
      </c>
      <c r="AA554" s="368"/>
      <c r="AB554" s="368"/>
      <c r="AC554" s="368"/>
      <c r="AD554" s="368"/>
      <c r="AE554" s="365">
        <f t="shared" si="87"/>
        <v>0</v>
      </c>
      <c r="AF554" s="262"/>
      <c r="AG554" s="457"/>
      <c r="AH554" s="264"/>
    </row>
    <row r="555" spans="1:34" ht="60.75" thickBot="1" x14ac:dyDescent="0.3">
      <c r="A555" s="458" t="s">
        <v>1287</v>
      </c>
      <c r="B555" s="463"/>
      <c r="C555" s="463" t="s">
        <v>445</v>
      </c>
      <c r="D555" s="449" t="s">
        <v>431</v>
      </c>
      <c r="E555" s="262"/>
      <c r="F555" s="470" t="s">
        <v>1288</v>
      </c>
      <c r="G555" s="387" t="e">
        <f>VLOOKUP(A555,'Feature Summary'!$A$7:$C$3944,3,FALSE)</f>
        <v>#N/A</v>
      </c>
      <c r="H555" s="447" t="s">
        <v>1289</v>
      </c>
      <c r="I555" s="488" t="s">
        <v>264</v>
      </c>
      <c r="J555" s="478" t="s">
        <v>1290</v>
      </c>
      <c r="K555" s="263">
        <v>1</v>
      </c>
      <c r="L555" s="391">
        <v>1</v>
      </c>
      <c r="M555" s="399" t="s">
        <v>33</v>
      </c>
      <c r="N555" s="475">
        <v>1</v>
      </c>
      <c r="O555" s="391">
        <v>1</v>
      </c>
      <c r="P555" s="496">
        <f t="shared" si="91"/>
        <v>1</v>
      </c>
      <c r="Q555" s="445" t="s">
        <v>52</v>
      </c>
      <c r="R555" s="391">
        <v>1</v>
      </c>
      <c r="S555" s="362">
        <f t="shared" si="90"/>
        <v>1</v>
      </c>
      <c r="T555" s="368">
        <v>1</v>
      </c>
      <c r="U555" s="368"/>
      <c r="V555" s="368"/>
      <c r="W555" s="368"/>
      <c r="X555" s="364">
        <f t="shared" si="88"/>
        <v>1</v>
      </c>
      <c r="Y555" s="393"/>
      <c r="Z555" s="498">
        <f t="shared" si="86"/>
        <v>0</v>
      </c>
      <c r="AA555" s="368"/>
      <c r="AB555" s="368"/>
      <c r="AC555" s="368"/>
      <c r="AD555" s="368"/>
      <c r="AE555" s="365">
        <f t="shared" si="87"/>
        <v>0</v>
      </c>
      <c r="AF555" s="262"/>
      <c r="AG555" s="457"/>
      <c r="AH555" s="264"/>
    </row>
    <row r="556" spans="1:34" ht="45.75" thickBot="1" x14ac:dyDescent="0.3">
      <c r="A556" s="458" t="s">
        <v>1291</v>
      </c>
      <c r="B556" s="463"/>
      <c r="C556" s="463" t="s">
        <v>445</v>
      </c>
      <c r="D556" s="449" t="s">
        <v>431</v>
      </c>
      <c r="E556" s="262"/>
      <c r="F556" s="470" t="s">
        <v>1272</v>
      </c>
      <c r="G556" s="387" t="e">
        <f>VLOOKUP(A556,'Feature Summary'!$A$7:$C$3944,3,FALSE)</f>
        <v>#N/A</v>
      </c>
      <c r="H556" s="447" t="s">
        <v>1292</v>
      </c>
      <c r="I556" s="488" t="s">
        <v>264</v>
      </c>
      <c r="J556" s="479" t="s">
        <v>1293</v>
      </c>
      <c r="K556" s="263">
        <v>1</v>
      </c>
      <c r="L556" s="391">
        <v>1</v>
      </c>
      <c r="M556" s="399" t="s">
        <v>33</v>
      </c>
      <c r="N556" s="475">
        <v>1</v>
      </c>
      <c r="O556" s="391">
        <v>1</v>
      </c>
      <c r="P556" s="496">
        <f t="shared" si="91"/>
        <v>1</v>
      </c>
      <c r="Q556" s="445" t="s">
        <v>52</v>
      </c>
      <c r="R556" s="391">
        <v>1</v>
      </c>
      <c r="S556" s="362">
        <f t="shared" si="90"/>
        <v>1</v>
      </c>
      <c r="T556" s="368">
        <v>1</v>
      </c>
      <c r="U556" s="368"/>
      <c r="V556" s="368"/>
      <c r="W556" s="368"/>
      <c r="X556" s="364">
        <f t="shared" si="88"/>
        <v>1</v>
      </c>
      <c r="Y556" s="393"/>
      <c r="Z556" s="498">
        <f t="shared" si="86"/>
        <v>0</v>
      </c>
      <c r="AA556" s="368"/>
      <c r="AB556" s="368"/>
      <c r="AC556" s="368"/>
      <c r="AD556" s="368"/>
      <c r="AE556" s="365">
        <f t="shared" si="87"/>
        <v>0</v>
      </c>
      <c r="AF556" s="262"/>
      <c r="AG556" s="457"/>
      <c r="AH556" s="264"/>
    </row>
    <row r="557" spans="1:34" ht="30.75" thickBot="1" x14ac:dyDescent="0.3">
      <c r="A557" s="458" t="s">
        <v>1294</v>
      </c>
      <c r="B557" s="463"/>
      <c r="C557" s="463" t="s">
        <v>445</v>
      </c>
      <c r="D557" s="449" t="s">
        <v>431</v>
      </c>
      <c r="E557" s="262"/>
      <c r="F557" s="470" t="s">
        <v>1272</v>
      </c>
      <c r="G557" s="387" t="e">
        <f>VLOOKUP(A557,'Feature Summary'!$A$7:$C$3944,3,FALSE)</f>
        <v>#N/A</v>
      </c>
      <c r="H557" s="447" t="s">
        <v>1295</v>
      </c>
      <c r="I557" s="488" t="s">
        <v>264</v>
      </c>
      <c r="J557" s="479" t="s">
        <v>1296</v>
      </c>
      <c r="K557" s="263">
        <v>1</v>
      </c>
      <c r="L557" s="391">
        <v>1</v>
      </c>
      <c r="M557" s="399" t="s">
        <v>33</v>
      </c>
      <c r="N557" s="475">
        <v>1</v>
      </c>
      <c r="O557" s="391">
        <v>1</v>
      </c>
      <c r="P557" s="496">
        <f t="shared" si="91"/>
        <v>1</v>
      </c>
      <c r="Q557" s="445" t="s">
        <v>52</v>
      </c>
      <c r="R557" s="391">
        <v>1</v>
      </c>
      <c r="S557" s="362">
        <f t="shared" si="90"/>
        <v>1</v>
      </c>
      <c r="T557" s="368">
        <v>1</v>
      </c>
      <c r="U557" s="368"/>
      <c r="V557" s="368"/>
      <c r="W557" s="368"/>
      <c r="X557" s="364">
        <f t="shared" si="88"/>
        <v>1</v>
      </c>
      <c r="Y557" s="393"/>
      <c r="Z557" s="498">
        <f t="shared" si="86"/>
        <v>0</v>
      </c>
      <c r="AA557" s="368"/>
      <c r="AB557" s="368"/>
      <c r="AC557" s="368"/>
      <c r="AD557" s="368"/>
      <c r="AE557" s="365">
        <f t="shared" si="87"/>
        <v>0</v>
      </c>
      <c r="AF557" s="262"/>
      <c r="AG557" s="457"/>
      <c r="AH557" s="264"/>
    </row>
    <row r="558" spans="1:34" ht="45.75" thickBot="1" x14ac:dyDescent="0.3">
      <c r="A558" s="458"/>
      <c r="B558" s="447" t="s">
        <v>1279</v>
      </c>
      <c r="C558" s="463" t="s">
        <v>445</v>
      </c>
      <c r="D558" s="449" t="s">
        <v>431</v>
      </c>
      <c r="E558" s="262"/>
      <c r="F558" s="471" t="s">
        <v>1297</v>
      </c>
      <c r="G558" s="387" t="e">
        <f>VLOOKUP(A558,'Feature Summary'!$A$7:$C$3944,3,FALSE)</f>
        <v>#N/A</v>
      </c>
      <c r="H558" s="447" t="s">
        <v>1298</v>
      </c>
      <c r="I558" s="488" t="s">
        <v>264</v>
      </c>
      <c r="J558" s="478" t="s">
        <v>1299</v>
      </c>
      <c r="K558" s="263">
        <v>1</v>
      </c>
      <c r="L558" s="391">
        <v>1</v>
      </c>
      <c r="M558" s="399" t="s">
        <v>33</v>
      </c>
      <c r="N558" s="475">
        <v>1</v>
      </c>
      <c r="O558" s="391">
        <v>1</v>
      </c>
      <c r="P558" s="496">
        <f t="shared" si="91"/>
        <v>1</v>
      </c>
      <c r="Q558" s="445" t="s">
        <v>52</v>
      </c>
      <c r="R558" s="391">
        <v>1</v>
      </c>
      <c r="S558" s="362">
        <f t="shared" si="90"/>
        <v>1</v>
      </c>
      <c r="T558" s="368">
        <v>1</v>
      </c>
      <c r="U558" s="368"/>
      <c r="V558" s="368"/>
      <c r="W558" s="368"/>
      <c r="X558" s="364">
        <f t="shared" si="88"/>
        <v>1</v>
      </c>
      <c r="Y558" s="393"/>
      <c r="Z558" s="498">
        <f t="shared" si="86"/>
        <v>0</v>
      </c>
      <c r="AA558" s="368"/>
      <c r="AB558" s="368"/>
      <c r="AC558" s="368"/>
      <c r="AD558" s="368"/>
      <c r="AE558" s="365">
        <f t="shared" si="87"/>
        <v>0</v>
      </c>
      <c r="AF558" s="262"/>
      <c r="AG558" s="457"/>
      <c r="AH558" s="264"/>
    </row>
    <row r="559" spans="1:34" ht="45.75" thickBot="1" x14ac:dyDescent="0.3">
      <c r="A559" s="458" t="s">
        <v>1300</v>
      </c>
      <c r="B559" s="447" t="s">
        <v>1279</v>
      </c>
      <c r="C559" s="463" t="s">
        <v>445</v>
      </c>
      <c r="D559" s="449" t="s">
        <v>431</v>
      </c>
      <c r="E559" s="262"/>
      <c r="F559" s="471" t="s">
        <v>1301</v>
      </c>
      <c r="G559" s="387" t="str">
        <f>VLOOKUP(A559,'Feature Summary'!$A$7:$C$3944,3,FALSE)</f>
        <v>P2</v>
      </c>
      <c r="H559" s="447" t="s">
        <v>1302</v>
      </c>
      <c r="I559" s="488" t="s">
        <v>264</v>
      </c>
      <c r="J559" s="478" t="s">
        <v>1303</v>
      </c>
      <c r="K559" s="263">
        <v>1</v>
      </c>
      <c r="L559" s="391">
        <v>1</v>
      </c>
      <c r="M559" s="399" t="s">
        <v>33</v>
      </c>
      <c r="N559" s="475">
        <v>1</v>
      </c>
      <c r="O559" s="391">
        <v>1</v>
      </c>
      <c r="P559" s="496">
        <f t="shared" si="91"/>
        <v>1</v>
      </c>
      <c r="Q559" s="445" t="s">
        <v>52</v>
      </c>
      <c r="R559" s="391">
        <v>1</v>
      </c>
      <c r="S559" s="362">
        <f t="shared" si="90"/>
        <v>1</v>
      </c>
      <c r="T559" s="368">
        <v>1</v>
      </c>
      <c r="U559" s="368"/>
      <c r="V559" s="368"/>
      <c r="W559" s="368"/>
      <c r="X559" s="364">
        <f t="shared" si="88"/>
        <v>1</v>
      </c>
      <c r="Y559" s="393"/>
      <c r="Z559" s="498">
        <f t="shared" si="86"/>
        <v>0</v>
      </c>
      <c r="AA559" s="368"/>
      <c r="AB559" s="368"/>
      <c r="AC559" s="368"/>
      <c r="AD559" s="368"/>
      <c r="AE559" s="365">
        <f t="shared" si="87"/>
        <v>0</v>
      </c>
      <c r="AF559" s="262"/>
      <c r="AG559" s="457"/>
      <c r="AH559" s="264"/>
    </row>
    <row r="560" spans="1:34" ht="60.75" thickBot="1" x14ac:dyDescent="0.3">
      <c r="A560" s="458" t="s">
        <v>1300</v>
      </c>
      <c r="B560" s="447" t="s">
        <v>1279</v>
      </c>
      <c r="C560" s="463" t="s">
        <v>445</v>
      </c>
      <c r="D560" s="449" t="s">
        <v>431</v>
      </c>
      <c r="E560" s="262"/>
      <c r="F560" s="471" t="s">
        <v>1304</v>
      </c>
      <c r="G560" s="387" t="str">
        <f>VLOOKUP(A560,'Feature Summary'!$A$7:$C$3944,3,FALSE)</f>
        <v>P2</v>
      </c>
      <c r="H560" s="447" t="s">
        <v>1305</v>
      </c>
      <c r="I560" s="488" t="s">
        <v>264</v>
      </c>
      <c r="J560" s="478" t="s">
        <v>1306</v>
      </c>
      <c r="K560" s="263">
        <v>1</v>
      </c>
      <c r="L560" s="391">
        <v>1</v>
      </c>
      <c r="M560" s="399" t="s">
        <v>33</v>
      </c>
      <c r="N560" s="475">
        <v>1</v>
      </c>
      <c r="O560" s="391">
        <v>1</v>
      </c>
      <c r="P560" s="496">
        <f t="shared" si="91"/>
        <v>1</v>
      </c>
      <c r="Q560" s="445" t="s">
        <v>52</v>
      </c>
      <c r="R560" s="391">
        <v>1</v>
      </c>
      <c r="S560" s="362">
        <f t="shared" si="90"/>
        <v>1</v>
      </c>
      <c r="T560" s="368">
        <v>1</v>
      </c>
      <c r="U560" s="368"/>
      <c r="V560" s="368"/>
      <c r="W560" s="368"/>
      <c r="X560" s="364">
        <f t="shared" si="88"/>
        <v>1</v>
      </c>
      <c r="Y560" s="393"/>
      <c r="Z560" s="498">
        <f t="shared" si="86"/>
        <v>0</v>
      </c>
      <c r="AA560" s="368"/>
      <c r="AB560" s="368"/>
      <c r="AC560" s="368"/>
      <c r="AD560" s="368"/>
      <c r="AE560" s="365">
        <f t="shared" si="87"/>
        <v>0</v>
      </c>
      <c r="AF560" s="262"/>
      <c r="AG560" s="457"/>
      <c r="AH560" s="264"/>
    </row>
    <row r="561" spans="1:34" ht="60.75" thickBot="1" x14ac:dyDescent="0.3">
      <c r="A561" s="458" t="s">
        <v>1300</v>
      </c>
      <c r="B561" s="447" t="s">
        <v>1279</v>
      </c>
      <c r="C561" s="463" t="s">
        <v>445</v>
      </c>
      <c r="D561" s="449" t="s">
        <v>431</v>
      </c>
      <c r="E561" s="262"/>
      <c r="F561" s="471" t="s">
        <v>1307</v>
      </c>
      <c r="G561" s="387" t="str">
        <f>VLOOKUP(A561,'Feature Summary'!$A$7:$C$3944,3,FALSE)</f>
        <v>P2</v>
      </c>
      <c r="H561" s="447" t="s">
        <v>1308</v>
      </c>
      <c r="I561" s="488" t="s">
        <v>264</v>
      </c>
      <c r="J561" s="478" t="s">
        <v>1306</v>
      </c>
      <c r="K561" s="263">
        <v>1</v>
      </c>
      <c r="L561" s="391">
        <v>1</v>
      </c>
      <c r="M561" s="399" t="s">
        <v>33</v>
      </c>
      <c r="N561" s="475">
        <v>1</v>
      </c>
      <c r="O561" s="391">
        <v>1</v>
      </c>
      <c r="P561" s="496">
        <f t="shared" si="91"/>
        <v>1</v>
      </c>
      <c r="Q561" s="445" t="s">
        <v>52</v>
      </c>
      <c r="R561" s="391">
        <v>1</v>
      </c>
      <c r="S561" s="362">
        <f t="shared" si="90"/>
        <v>1</v>
      </c>
      <c r="T561" s="368">
        <v>1</v>
      </c>
      <c r="U561" s="368"/>
      <c r="V561" s="368"/>
      <c r="W561" s="368"/>
      <c r="X561" s="364">
        <f t="shared" si="88"/>
        <v>1</v>
      </c>
      <c r="Y561" s="393"/>
      <c r="Z561" s="498">
        <f t="shared" si="86"/>
        <v>0</v>
      </c>
      <c r="AA561" s="368"/>
      <c r="AB561" s="368"/>
      <c r="AC561" s="368"/>
      <c r="AD561" s="368"/>
      <c r="AE561" s="365">
        <f t="shared" si="87"/>
        <v>0</v>
      </c>
      <c r="AF561" s="262"/>
      <c r="AG561" s="457"/>
      <c r="AH561" s="264"/>
    </row>
    <row r="562" spans="1:34" ht="45.75" thickBot="1" x14ac:dyDescent="0.3">
      <c r="A562" s="458"/>
      <c r="B562" s="463"/>
      <c r="C562" s="463"/>
      <c r="D562" s="449" t="s">
        <v>431</v>
      </c>
      <c r="E562" s="262"/>
      <c r="F562" s="447" t="s">
        <v>1272</v>
      </c>
      <c r="G562" s="387" t="e">
        <f>VLOOKUP(A562,'Feature Summary'!$A$7:$C$3944,3,FALSE)</f>
        <v>#N/A</v>
      </c>
      <c r="H562" s="447" t="s">
        <v>1309</v>
      </c>
      <c r="I562" s="447"/>
      <c r="J562" s="448" t="s">
        <v>1310</v>
      </c>
      <c r="K562" s="263"/>
      <c r="L562" s="391"/>
      <c r="M562" s="399" t="s">
        <v>33</v>
      </c>
      <c r="N562" s="475">
        <v>1</v>
      </c>
      <c r="O562" s="391"/>
      <c r="P562" s="496">
        <f t="shared" si="91"/>
        <v>0</v>
      </c>
      <c r="Q562" s="445" t="s">
        <v>52</v>
      </c>
      <c r="R562" s="391"/>
      <c r="S562" s="362">
        <f t="shared" si="90"/>
        <v>0</v>
      </c>
      <c r="T562" s="368"/>
      <c r="U562" s="368"/>
      <c r="V562" s="368"/>
      <c r="W562" s="368"/>
      <c r="X562" s="364">
        <f t="shared" si="88"/>
        <v>0</v>
      </c>
      <c r="Y562" s="393"/>
      <c r="Z562" s="498">
        <f t="shared" si="86"/>
        <v>0</v>
      </c>
      <c r="AA562" s="368"/>
      <c r="AB562" s="368"/>
      <c r="AC562" s="368"/>
      <c r="AD562" s="368"/>
      <c r="AE562" s="365">
        <f t="shared" si="87"/>
        <v>0</v>
      </c>
      <c r="AF562" s="558"/>
      <c r="AG562" s="457"/>
      <c r="AH562" s="264"/>
    </row>
    <row r="563" spans="1:34" ht="45.75" thickBot="1" x14ac:dyDescent="0.3">
      <c r="A563" s="458"/>
      <c r="B563" s="463"/>
      <c r="C563" s="463"/>
      <c r="D563" s="449" t="s">
        <v>431</v>
      </c>
      <c r="E563" s="262"/>
      <c r="F563" s="447" t="s">
        <v>1272</v>
      </c>
      <c r="G563" s="387" t="e">
        <f>VLOOKUP(A563,'Feature Summary'!$A$7:$C$3944,3,FALSE)</f>
        <v>#N/A</v>
      </c>
      <c r="H563" s="447" t="s">
        <v>1311</v>
      </c>
      <c r="I563" s="447"/>
      <c r="J563" s="448" t="s">
        <v>1312</v>
      </c>
      <c r="K563" s="263"/>
      <c r="L563" s="391"/>
      <c r="M563" s="399" t="s">
        <v>33</v>
      </c>
      <c r="N563" s="475">
        <v>1</v>
      </c>
      <c r="O563" s="391"/>
      <c r="P563" s="496">
        <f t="shared" si="91"/>
        <v>0</v>
      </c>
      <c r="Q563" s="445" t="s">
        <v>52</v>
      </c>
      <c r="R563" s="391"/>
      <c r="S563" s="362">
        <f t="shared" si="90"/>
        <v>0</v>
      </c>
      <c r="T563" s="368"/>
      <c r="U563" s="368"/>
      <c r="V563" s="368"/>
      <c r="W563" s="368"/>
      <c r="X563" s="364">
        <f t="shared" si="88"/>
        <v>0</v>
      </c>
      <c r="Y563" s="393"/>
      <c r="Z563" s="498">
        <f t="shared" si="86"/>
        <v>0</v>
      </c>
      <c r="AA563" s="368"/>
      <c r="AB563" s="368"/>
      <c r="AC563" s="368"/>
      <c r="AD563" s="368"/>
      <c r="AE563" s="365">
        <f t="shared" si="87"/>
        <v>0</v>
      </c>
      <c r="AF563" s="262"/>
      <c r="AG563" s="457"/>
      <c r="AH563" s="264"/>
    </row>
    <row r="564" spans="1:34" ht="25.5" customHeight="1" thickBot="1" x14ac:dyDescent="0.3">
      <c r="A564" s="458"/>
      <c r="B564" s="447" t="s">
        <v>1279</v>
      </c>
      <c r="C564" s="463"/>
      <c r="D564" s="449" t="s">
        <v>431</v>
      </c>
      <c r="E564" s="262"/>
      <c r="F564" s="447" t="s">
        <v>1272</v>
      </c>
      <c r="G564" s="387" t="e">
        <f>VLOOKUP(A564,'Feature Summary'!$A$7:$C$3944,3,FALSE)</f>
        <v>#N/A</v>
      </c>
      <c r="H564" s="447" t="s">
        <v>1313</v>
      </c>
      <c r="I564" s="447"/>
      <c r="J564" s="448" t="s">
        <v>1314</v>
      </c>
      <c r="K564" s="263"/>
      <c r="L564" s="391"/>
      <c r="M564" s="399" t="s">
        <v>33</v>
      </c>
      <c r="N564" s="475">
        <v>1</v>
      </c>
      <c r="O564" s="391"/>
      <c r="P564" s="496">
        <f t="shared" si="91"/>
        <v>0</v>
      </c>
      <c r="Q564" s="445" t="s">
        <v>52</v>
      </c>
      <c r="R564" s="391"/>
      <c r="S564" s="362">
        <f t="shared" si="90"/>
        <v>0</v>
      </c>
      <c r="T564" s="368"/>
      <c r="U564" s="368"/>
      <c r="V564" s="368"/>
      <c r="W564" s="368"/>
      <c r="X564" s="364">
        <f t="shared" si="88"/>
        <v>0</v>
      </c>
      <c r="Y564" s="393"/>
      <c r="Z564" s="498">
        <f t="shared" si="86"/>
        <v>0</v>
      </c>
      <c r="AA564" s="368"/>
      <c r="AB564" s="368"/>
      <c r="AC564" s="368"/>
      <c r="AD564" s="368"/>
      <c r="AE564" s="365">
        <f t="shared" si="87"/>
        <v>0</v>
      </c>
      <c r="AF564" s="558"/>
      <c r="AG564" s="457"/>
      <c r="AH564" s="264"/>
    </row>
    <row r="565" spans="1:34" ht="39" customHeight="1" thickBot="1" x14ac:dyDescent="0.3">
      <c r="A565" s="458"/>
      <c r="B565" s="463"/>
      <c r="C565" s="463"/>
      <c r="D565" s="449" t="s">
        <v>431</v>
      </c>
      <c r="E565" s="262"/>
      <c r="F565" s="447" t="s">
        <v>1272</v>
      </c>
      <c r="G565" s="387" t="e">
        <f>VLOOKUP(A565,'Feature Summary'!$A$7:$C$3944,3,FALSE)</f>
        <v>#N/A</v>
      </c>
      <c r="H565" s="447" t="s">
        <v>1315</v>
      </c>
      <c r="I565" s="447"/>
      <c r="J565" s="448" t="s">
        <v>1314</v>
      </c>
      <c r="K565" s="263"/>
      <c r="L565" s="391"/>
      <c r="M565" s="399" t="s">
        <v>33</v>
      </c>
      <c r="N565" s="475">
        <v>1</v>
      </c>
      <c r="O565" s="391"/>
      <c r="P565" s="496">
        <f t="shared" si="91"/>
        <v>0</v>
      </c>
      <c r="Q565" s="445" t="s">
        <v>52</v>
      </c>
      <c r="R565" s="391"/>
      <c r="S565" s="362">
        <f t="shared" si="90"/>
        <v>0</v>
      </c>
      <c r="T565" s="368"/>
      <c r="U565" s="368"/>
      <c r="V565" s="368"/>
      <c r="W565" s="368"/>
      <c r="X565" s="364">
        <f t="shared" si="88"/>
        <v>0</v>
      </c>
      <c r="Y565" s="393"/>
      <c r="Z565" s="498">
        <f t="shared" si="86"/>
        <v>0</v>
      </c>
      <c r="AA565" s="368"/>
      <c r="AB565" s="368"/>
      <c r="AC565" s="368"/>
      <c r="AD565" s="368"/>
      <c r="AE565" s="365">
        <f t="shared" si="87"/>
        <v>0</v>
      </c>
      <c r="AF565" s="558"/>
      <c r="AG565" s="457"/>
      <c r="AH565" s="264"/>
    </row>
    <row r="566" spans="1:34" ht="31.5" customHeight="1" thickBot="1" x14ac:dyDescent="0.3">
      <c r="A566" s="458"/>
      <c r="B566" s="447" t="s">
        <v>1279</v>
      </c>
      <c r="C566" s="463"/>
      <c r="D566" s="449" t="s">
        <v>431</v>
      </c>
      <c r="E566" s="262"/>
      <c r="F566" s="470" t="s">
        <v>1284</v>
      </c>
      <c r="G566" s="387" t="e">
        <f>VLOOKUP(A566,'Feature Summary'!$A$7:$C$3944,3,FALSE)</f>
        <v>#N/A</v>
      </c>
      <c r="H566" s="447" t="s">
        <v>1316</v>
      </c>
      <c r="I566" s="447"/>
      <c r="J566" s="478" t="s">
        <v>1317</v>
      </c>
      <c r="K566" s="263"/>
      <c r="L566" s="391"/>
      <c r="M566" s="399" t="s">
        <v>33</v>
      </c>
      <c r="N566" s="475">
        <v>1</v>
      </c>
      <c r="O566" s="391"/>
      <c r="P566" s="496">
        <f t="shared" si="91"/>
        <v>0</v>
      </c>
      <c r="Q566" s="445" t="s">
        <v>52</v>
      </c>
      <c r="R566" s="391"/>
      <c r="S566" s="362">
        <f t="shared" si="90"/>
        <v>0</v>
      </c>
      <c r="T566" s="368"/>
      <c r="U566" s="368"/>
      <c r="V566" s="368"/>
      <c r="W566" s="368"/>
      <c r="X566" s="364">
        <f t="shared" si="88"/>
        <v>0</v>
      </c>
      <c r="Y566" s="393"/>
      <c r="Z566" s="498">
        <f t="shared" si="86"/>
        <v>0</v>
      </c>
      <c r="AA566" s="368"/>
      <c r="AB566" s="368"/>
      <c r="AC566" s="368"/>
      <c r="AD566" s="368"/>
      <c r="AE566" s="365">
        <f t="shared" si="87"/>
        <v>0</v>
      </c>
      <c r="AF566" s="558"/>
      <c r="AG566" s="457"/>
      <c r="AH566" s="264"/>
    </row>
    <row r="567" spans="1:34" ht="39.75" customHeight="1" thickBot="1" x14ac:dyDescent="0.3">
      <c r="A567" s="458"/>
      <c r="B567" s="463"/>
      <c r="C567" s="463"/>
      <c r="D567" s="449" t="s">
        <v>431</v>
      </c>
      <c r="E567" s="262"/>
      <c r="F567" s="470" t="s">
        <v>1288</v>
      </c>
      <c r="G567" s="387" t="e">
        <f>VLOOKUP(A567,'Feature Summary'!$A$7:$C$3944,3,FALSE)</f>
        <v>#N/A</v>
      </c>
      <c r="H567" s="447" t="s">
        <v>1318</v>
      </c>
      <c r="I567" s="447"/>
      <c r="J567" s="478" t="s">
        <v>1319</v>
      </c>
      <c r="K567" s="263"/>
      <c r="L567" s="391"/>
      <c r="M567" s="399" t="s">
        <v>33</v>
      </c>
      <c r="N567" s="475">
        <v>1</v>
      </c>
      <c r="O567" s="391"/>
      <c r="P567" s="496">
        <f t="shared" si="91"/>
        <v>0</v>
      </c>
      <c r="Q567" s="445" t="s">
        <v>52</v>
      </c>
      <c r="R567" s="391"/>
      <c r="S567" s="362">
        <f t="shared" si="90"/>
        <v>0</v>
      </c>
      <c r="T567" s="368"/>
      <c r="U567" s="368"/>
      <c r="V567" s="368"/>
      <c r="W567" s="368"/>
      <c r="X567" s="364">
        <f t="shared" si="88"/>
        <v>0</v>
      </c>
      <c r="Y567" s="393"/>
      <c r="Z567" s="498">
        <f t="shared" si="86"/>
        <v>0</v>
      </c>
      <c r="AA567" s="368"/>
      <c r="AB567" s="368"/>
      <c r="AC567" s="368"/>
      <c r="AD567" s="368"/>
      <c r="AE567" s="365">
        <f t="shared" si="87"/>
        <v>0</v>
      </c>
      <c r="AF567" s="558"/>
      <c r="AG567" s="457"/>
      <c r="AH567" s="264"/>
    </row>
    <row r="568" spans="1:34" ht="15.75" thickBot="1" x14ac:dyDescent="0.3">
      <c r="A568" s="458"/>
      <c r="B568" s="463"/>
      <c r="C568" s="463"/>
      <c r="D568" s="449" t="s">
        <v>431</v>
      </c>
      <c r="E568" s="262"/>
      <c r="F568" s="470" t="s">
        <v>1272</v>
      </c>
      <c r="G568" s="387" t="e">
        <f>VLOOKUP(A568,'Feature Summary'!$A$7:$C$3944,3,FALSE)</f>
        <v>#N/A</v>
      </c>
      <c r="H568" s="447" t="s">
        <v>1320</v>
      </c>
      <c r="I568" s="447"/>
      <c r="J568" s="482" t="s">
        <v>1321</v>
      </c>
      <c r="K568" s="263"/>
      <c r="L568" s="391"/>
      <c r="M568" s="399" t="s">
        <v>33</v>
      </c>
      <c r="N568" s="475">
        <v>1</v>
      </c>
      <c r="O568" s="391"/>
      <c r="P568" s="496">
        <f t="shared" si="91"/>
        <v>0</v>
      </c>
      <c r="Q568" s="445" t="s">
        <v>52</v>
      </c>
      <c r="R568" s="391"/>
      <c r="S568" s="362">
        <f t="shared" si="90"/>
        <v>0</v>
      </c>
      <c r="T568" s="368"/>
      <c r="U568" s="368"/>
      <c r="V568" s="368"/>
      <c r="W568" s="368"/>
      <c r="X568" s="364">
        <f t="shared" si="88"/>
        <v>0</v>
      </c>
      <c r="Y568" s="393"/>
      <c r="Z568" s="498">
        <f t="shared" si="86"/>
        <v>0</v>
      </c>
      <c r="AA568" s="368"/>
      <c r="AB568" s="368"/>
      <c r="AC568" s="368"/>
      <c r="AD568" s="368"/>
      <c r="AE568" s="365">
        <f t="shared" si="87"/>
        <v>0</v>
      </c>
      <c r="AF568" s="262"/>
      <c r="AG568" s="457"/>
      <c r="AH568" s="264"/>
    </row>
    <row r="569" spans="1:34" ht="15.75" thickBot="1" x14ac:dyDescent="0.3">
      <c r="A569" s="458"/>
      <c r="B569" s="463"/>
      <c r="C569" s="463"/>
      <c r="D569" s="449" t="s">
        <v>431</v>
      </c>
      <c r="E569" s="262"/>
      <c r="F569" s="470" t="s">
        <v>1272</v>
      </c>
      <c r="G569" s="387" t="e">
        <f>VLOOKUP(A569,'Feature Summary'!$A$7:$C$3944,3,FALSE)</f>
        <v>#N/A</v>
      </c>
      <c r="H569" s="447" t="s">
        <v>1322</v>
      </c>
      <c r="I569" s="447"/>
      <c r="J569" s="482" t="s">
        <v>1321</v>
      </c>
      <c r="K569" s="263"/>
      <c r="L569" s="391"/>
      <c r="M569" s="399" t="s">
        <v>33</v>
      </c>
      <c r="N569" s="475">
        <v>1</v>
      </c>
      <c r="O569" s="391"/>
      <c r="P569" s="496">
        <f t="shared" si="91"/>
        <v>0</v>
      </c>
      <c r="Q569" s="445" t="s">
        <v>52</v>
      </c>
      <c r="R569" s="391"/>
      <c r="S569" s="362">
        <f t="shared" si="90"/>
        <v>0</v>
      </c>
      <c r="T569" s="368"/>
      <c r="U569" s="368"/>
      <c r="V569" s="368"/>
      <c r="W569" s="368"/>
      <c r="X569" s="364">
        <f t="shared" si="88"/>
        <v>0</v>
      </c>
      <c r="Y569" s="393"/>
      <c r="Z569" s="498">
        <f t="shared" si="86"/>
        <v>0</v>
      </c>
      <c r="AA569" s="368"/>
      <c r="AB569" s="368"/>
      <c r="AC569" s="368"/>
      <c r="AD569" s="368"/>
      <c r="AE569" s="365">
        <f t="shared" si="87"/>
        <v>0</v>
      </c>
      <c r="AF569" s="262"/>
      <c r="AG569" s="457"/>
      <c r="AH569" s="264"/>
    </row>
    <row r="570" spans="1:34" ht="60.75" thickBot="1" x14ac:dyDescent="0.3">
      <c r="A570" s="458"/>
      <c r="B570" s="447" t="s">
        <v>1279</v>
      </c>
      <c r="C570" s="463"/>
      <c r="D570" s="449" t="s">
        <v>431</v>
      </c>
      <c r="E570" s="262"/>
      <c r="F570" s="471" t="s">
        <v>1297</v>
      </c>
      <c r="G570" s="387" t="e">
        <f>VLOOKUP(A570,'Feature Summary'!$A$7:$C$3944,3,FALSE)</f>
        <v>#N/A</v>
      </c>
      <c r="H570" s="447" t="s">
        <v>1323</v>
      </c>
      <c r="I570" s="447"/>
      <c r="J570" s="478" t="s">
        <v>1324</v>
      </c>
      <c r="K570" s="263"/>
      <c r="L570" s="391"/>
      <c r="M570" s="399" t="s">
        <v>33</v>
      </c>
      <c r="N570" s="475">
        <v>1</v>
      </c>
      <c r="O570" s="391"/>
      <c r="P570" s="496">
        <f t="shared" si="91"/>
        <v>0</v>
      </c>
      <c r="Q570" s="445" t="s">
        <v>52</v>
      </c>
      <c r="R570" s="391"/>
      <c r="S570" s="362">
        <f t="shared" si="90"/>
        <v>0</v>
      </c>
      <c r="T570" s="368"/>
      <c r="U570" s="368"/>
      <c r="V570" s="368"/>
      <c r="W570" s="368"/>
      <c r="X570" s="364">
        <f t="shared" si="88"/>
        <v>0</v>
      </c>
      <c r="Y570" s="393"/>
      <c r="Z570" s="498">
        <f t="shared" si="86"/>
        <v>0</v>
      </c>
      <c r="AA570" s="368"/>
      <c r="AB570" s="368"/>
      <c r="AC570" s="368"/>
      <c r="AD570" s="368"/>
      <c r="AE570" s="365">
        <f t="shared" si="87"/>
        <v>0</v>
      </c>
      <c r="AF570" s="262"/>
      <c r="AG570" s="457"/>
      <c r="AH570" s="264"/>
    </row>
    <row r="571" spans="1:34" ht="60.75" thickBot="1" x14ac:dyDescent="0.3">
      <c r="A571" s="458"/>
      <c r="B571" s="447" t="s">
        <v>1279</v>
      </c>
      <c r="C571" s="463"/>
      <c r="D571" s="449" t="s">
        <v>431</v>
      </c>
      <c r="E571" s="262"/>
      <c r="F571" s="471" t="s">
        <v>1301</v>
      </c>
      <c r="G571" s="387" t="e">
        <f>VLOOKUP(A571,'Feature Summary'!$A$7:$C$3944,3,FALSE)</f>
        <v>#N/A</v>
      </c>
      <c r="H571" s="447" t="s">
        <v>1325</v>
      </c>
      <c r="I571" s="447"/>
      <c r="J571" s="478" t="s">
        <v>1324</v>
      </c>
      <c r="K571" s="263"/>
      <c r="L571" s="391"/>
      <c r="M571" s="399" t="s">
        <v>33</v>
      </c>
      <c r="N571" s="475">
        <v>1</v>
      </c>
      <c r="O571" s="391"/>
      <c r="P571" s="496">
        <f>IF((O571=0),0,(O571/L571))</f>
        <v>0</v>
      </c>
      <c r="Q571" s="445" t="s">
        <v>52</v>
      </c>
      <c r="R571" s="391"/>
      <c r="S571" s="362">
        <f t="shared" si="90"/>
        <v>0</v>
      </c>
      <c r="T571" s="368"/>
      <c r="U571" s="368"/>
      <c r="V571" s="368"/>
      <c r="W571" s="368"/>
      <c r="X571" s="364">
        <f t="shared" si="88"/>
        <v>0</v>
      </c>
      <c r="Y571" s="393"/>
      <c r="Z571" s="498">
        <f t="shared" si="86"/>
        <v>0</v>
      </c>
      <c r="AA571" s="368"/>
      <c r="AB571" s="368"/>
      <c r="AC571" s="368"/>
      <c r="AD571" s="368"/>
      <c r="AE571" s="365">
        <f t="shared" si="87"/>
        <v>0</v>
      </c>
      <c r="AF571" s="262"/>
      <c r="AG571" s="457"/>
      <c r="AH571" s="264"/>
    </row>
    <row r="572" spans="1:34" ht="75.75" thickBot="1" x14ac:dyDescent="0.3">
      <c r="A572" s="458"/>
      <c r="B572" s="447" t="s">
        <v>1279</v>
      </c>
      <c r="C572" s="463"/>
      <c r="D572" s="449" t="s">
        <v>431</v>
      </c>
      <c r="E572" s="262"/>
      <c r="F572" s="471" t="s">
        <v>1304</v>
      </c>
      <c r="G572" s="387" t="e">
        <f>VLOOKUP(A572,'Feature Summary'!$A$7:$C$3944,3,FALSE)</f>
        <v>#N/A</v>
      </c>
      <c r="H572" s="447" t="s">
        <v>1326</v>
      </c>
      <c r="I572" s="447"/>
      <c r="J572" s="478" t="s">
        <v>1327</v>
      </c>
      <c r="K572" s="263"/>
      <c r="L572" s="391"/>
      <c r="M572" s="399" t="s">
        <v>33</v>
      </c>
      <c r="N572" s="475">
        <v>1</v>
      </c>
      <c r="O572" s="391"/>
      <c r="P572" s="496">
        <f>IF((O572=0),0,(O572/L572))</f>
        <v>0</v>
      </c>
      <c r="Q572" s="445" t="s">
        <v>52</v>
      </c>
      <c r="R572" s="391"/>
      <c r="S572" s="362">
        <f t="shared" si="90"/>
        <v>0</v>
      </c>
      <c r="T572" s="368"/>
      <c r="U572" s="368"/>
      <c r="V572" s="368"/>
      <c r="W572" s="368"/>
      <c r="X572" s="364">
        <f t="shared" si="88"/>
        <v>0</v>
      </c>
      <c r="Y572" s="393"/>
      <c r="Z572" s="498">
        <f t="shared" si="86"/>
        <v>0</v>
      </c>
      <c r="AA572" s="368"/>
      <c r="AB572" s="368"/>
      <c r="AC572" s="368"/>
      <c r="AD572" s="368"/>
      <c r="AE572" s="365">
        <f t="shared" si="87"/>
        <v>0</v>
      </c>
      <c r="AF572" s="262"/>
      <c r="AG572" s="457"/>
      <c r="AH572" s="264"/>
    </row>
    <row r="573" spans="1:34" ht="75.75" thickBot="1" x14ac:dyDescent="0.3">
      <c r="A573" s="458"/>
      <c r="B573" s="447" t="s">
        <v>1279</v>
      </c>
      <c r="C573" s="463"/>
      <c r="D573" s="449" t="s">
        <v>431</v>
      </c>
      <c r="E573" s="262"/>
      <c r="F573" s="471" t="s">
        <v>1307</v>
      </c>
      <c r="G573" s="387" t="e">
        <f>VLOOKUP(A573,'Feature Summary'!$A$7:$C$3944,3,FALSE)</f>
        <v>#N/A</v>
      </c>
      <c r="H573" s="447" t="s">
        <v>1328</v>
      </c>
      <c r="I573" s="447"/>
      <c r="J573" s="478" t="s">
        <v>1329</v>
      </c>
      <c r="K573" s="263"/>
      <c r="L573" s="391"/>
      <c r="M573" s="399" t="s">
        <v>33</v>
      </c>
      <c r="N573" s="475">
        <v>1</v>
      </c>
      <c r="O573" s="391"/>
      <c r="P573" s="496">
        <f t="shared" ref="P573:P577" si="92">IF((O573=0),0,(O573/L573))</f>
        <v>0</v>
      </c>
      <c r="Q573" s="445" t="s">
        <v>52</v>
      </c>
      <c r="R573" s="391"/>
      <c r="S573" s="362">
        <f t="shared" si="90"/>
        <v>0</v>
      </c>
      <c r="T573" s="368"/>
      <c r="U573" s="368"/>
      <c r="V573" s="368"/>
      <c r="W573" s="368"/>
      <c r="X573" s="364">
        <f t="shared" si="88"/>
        <v>0</v>
      </c>
      <c r="Y573" s="393"/>
      <c r="Z573" s="498">
        <f t="shared" si="86"/>
        <v>0</v>
      </c>
      <c r="AA573" s="368"/>
      <c r="AB573" s="368"/>
      <c r="AC573" s="368"/>
      <c r="AD573" s="368"/>
      <c r="AE573" s="365">
        <f t="shared" si="87"/>
        <v>0</v>
      </c>
      <c r="AF573" s="262"/>
      <c r="AG573" s="457"/>
      <c r="AH573" s="264"/>
    </row>
    <row r="574" spans="1:34" ht="26.25" customHeight="1" thickBot="1" x14ac:dyDescent="0.3">
      <c r="A574" s="458"/>
      <c r="B574" s="463"/>
      <c r="C574" s="463"/>
      <c r="D574" s="449" t="s">
        <v>431</v>
      </c>
      <c r="E574" s="262"/>
      <c r="F574" s="447" t="s">
        <v>1272</v>
      </c>
      <c r="G574" s="387" t="e">
        <f>VLOOKUP(A574,'Feature Summary'!$A$7:$C$3944,3,FALSE)</f>
        <v>#N/A</v>
      </c>
      <c r="H574" s="447" t="s">
        <v>1330</v>
      </c>
      <c r="I574" s="447"/>
      <c r="J574" s="448" t="s">
        <v>1310</v>
      </c>
      <c r="K574" s="263"/>
      <c r="L574" s="391"/>
      <c r="M574" s="399" t="s">
        <v>33</v>
      </c>
      <c r="N574" s="475">
        <v>1</v>
      </c>
      <c r="O574" s="391"/>
      <c r="P574" s="496">
        <f t="shared" si="92"/>
        <v>0</v>
      </c>
      <c r="Q574" s="445" t="s">
        <v>52</v>
      </c>
      <c r="R574" s="391"/>
      <c r="S574" s="362">
        <f t="shared" si="90"/>
        <v>0</v>
      </c>
      <c r="T574" s="368"/>
      <c r="U574" s="368"/>
      <c r="V574" s="368"/>
      <c r="W574" s="368"/>
      <c r="X574" s="364">
        <f t="shared" si="88"/>
        <v>0</v>
      </c>
      <c r="Y574" s="393"/>
      <c r="Z574" s="498">
        <f t="shared" si="86"/>
        <v>0</v>
      </c>
      <c r="AA574" s="368"/>
      <c r="AB574" s="368"/>
      <c r="AC574" s="368"/>
      <c r="AD574" s="368"/>
      <c r="AE574" s="365">
        <f t="shared" si="87"/>
        <v>0</v>
      </c>
      <c r="AF574" s="558"/>
      <c r="AG574" s="457"/>
      <c r="AH574" s="264"/>
    </row>
    <row r="575" spans="1:34" ht="45.75" thickBot="1" x14ac:dyDescent="0.3">
      <c r="A575" s="458"/>
      <c r="B575" s="463"/>
      <c r="C575" s="463"/>
      <c r="D575" s="449" t="s">
        <v>431</v>
      </c>
      <c r="E575" s="262"/>
      <c r="F575" s="447" t="s">
        <v>1272</v>
      </c>
      <c r="G575" s="387" t="e">
        <f>VLOOKUP(A575,'Feature Summary'!$A$7:$C$3944,3,FALSE)</f>
        <v>#N/A</v>
      </c>
      <c r="H575" s="447" t="s">
        <v>1331</v>
      </c>
      <c r="I575" s="447"/>
      <c r="J575" s="448" t="s">
        <v>1332</v>
      </c>
      <c r="K575" s="263"/>
      <c r="L575" s="391"/>
      <c r="M575" s="399" t="s">
        <v>33</v>
      </c>
      <c r="N575" s="475">
        <v>1</v>
      </c>
      <c r="O575" s="391"/>
      <c r="P575" s="496">
        <f t="shared" si="92"/>
        <v>0</v>
      </c>
      <c r="Q575" s="445" t="s">
        <v>52</v>
      </c>
      <c r="R575" s="391"/>
      <c r="S575" s="362">
        <f t="shared" si="90"/>
        <v>0</v>
      </c>
      <c r="T575" s="368"/>
      <c r="U575" s="368"/>
      <c r="V575" s="368"/>
      <c r="W575" s="368"/>
      <c r="X575" s="364">
        <f t="shared" si="88"/>
        <v>0</v>
      </c>
      <c r="Y575" s="393"/>
      <c r="Z575" s="498">
        <f t="shared" si="86"/>
        <v>0</v>
      </c>
      <c r="AA575" s="368"/>
      <c r="AB575" s="368"/>
      <c r="AC575" s="368"/>
      <c r="AD575" s="368"/>
      <c r="AE575" s="365">
        <f t="shared" si="87"/>
        <v>0</v>
      </c>
      <c r="AF575" s="262"/>
      <c r="AG575" s="457"/>
      <c r="AH575" s="264"/>
    </row>
    <row r="576" spans="1:34" ht="45.75" thickBot="1" x14ac:dyDescent="0.3">
      <c r="A576" s="458"/>
      <c r="B576" s="447" t="s">
        <v>1279</v>
      </c>
      <c r="C576" s="463"/>
      <c r="D576" s="449" t="s">
        <v>431</v>
      </c>
      <c r="E576" s="262"/>
      <c r="F576" s="447" t="s">
        <v>1272</v>
      </c>
      <c r="G576" s="387" t="e">
        <f>VLOOKUP(A576,'Feature Summary'!$A$7:$C$3944,3,FALSE)</f>
        <v>#N/A</v>
      </c>
      <c r="H576" s="447" t="s">
        <v>1333</v>
      </c>
      <c r="I576" s="447"/>
      <c r="J576" s="448" t="s">
        <v>1334</v>
      </c>
      <c r="K576" s="263"/>
      <c r="L576" s="391"/>
      <c r="M576" s="399" t="s">
        <v>33</v>
      </c>
      <c r="N576" s="475">
        <v>1</v>
      </c>
      <c r="O576" s="391"/>
      <c r="P576" s="496">
        <f t="shared" si="92"/>
        <v>0</v>
      </c>
      <c r="Q576" s="445" t="s">
        <v>52</v>
      </c>
      <c r="R576" s="391"/>
      <c r="S576" s="362">
        <f t="shared" si="90"/>
        <v>0</v>
      </c>
      <c r="T576" s="368"/>
      <c r="U576" s="368"/>
      <c r="V576" s="368"/>
      <c r="W576" s="368"/>
      <c r="X576" s="364">
        <f t="shared" si="88"/>
        <v>0</v>
      </c>
      <c r="Y576" s="393"/>
      <c r="Z576" s="498">
        <f t="shared" si="86"/>
        <v>0</v>
      </c>
      <c r="AA576" s="368"/>
      <c r="AB576" s="368"/>
      <c r="AC576" s="368"/>
      <c r="AD576" s="368"/>
      <c r="AE576" s="365">
        <f t="shared" si="87"/>
        <v>0</v>
      </c>
      <c r="AF576" s="262"/>
      <c r="AG576" s="457"/>
      <c r="AH576" s="264"/>
    </row>
    <row r="577" spans="1:34" ht="45.75" thickBot="1" x14ac:dyDescent="0.3">
      <c r="A577" s="458"/>
      <c r="B577" s="463"/>
      <c r="C577" s="463"/>
      <c r="D577" s="449" t="s">
        <v>431</v>
      </c>
      <c r="E577" s="262"/>
      <c r="F577" s="447" t="s">
        <v>1272</v>
      </c>
      <c r="G577" s="387" t="e">
        <f>VLOOKUP(A577,'Feature Summary'!$A$7:$C$3944,3,FALSE)</f>
        <v>#N/A</v>
      </c>
      <c r="H577" s="447" t="s">
        <v>1335</v>
      </c>
      <c r="I577" s="447"/>
      <c r="J577" s="448" t="s">
        <v>1336</v>
      </c>
      <c r="K577" s="263"/>
      <c r="L577" s="391"/>
      <c r="M577" s="399" t="s">
        <v>33</v>
      </c>
      <c r="N577" s="475">
        <v>1</v>
      </c>
      <c r="O577" s="391"/>
      <c r="P577" s="496">
        <f t="shared" si="92"/>
        <v>0</v>
      </c>
      <c r="Q577" s="445" t="s">
        <v>52</v>
      </c>
      <c r="R577" s="391"/>
      <c r="S577" s="362">
        <f t="shared" si="90"/>
        <v>0</v>
      </c>
      <c r="T577" s="368"/>
      <c r="U577" s="368"/>
      <c r="V577" s="368"/>
      <c r="W577" s="368"/>
      <c r="X577" s="364">
        <f t="shared" si="88"/>
        <v>0</v>
      </c>
      <c r="Y577" s="393"/>
      <c r="Z577" s="498">
        <f t="shared" si="86"/>
        <v>0</v>
      </c>
      <c r="AA577" s="368"/>
      <c r="AB577" s="368"/>
      <c r="AC577" s="368"/>
      <c r="AD577" s="368"/>
      <c r="AE577" s="365">
        <f t="shared" si="87"/>
        <v>0</v>
      </c>
      <c r="AF577" s="262"/>
      <c r="AG577" s="457"/>
      <c r="AH577" s="264"/>
    </row>
    <row r="578" spans="1:34" ht="60.75" thickBot="1" x14ac:dyDescent="0.3">
      <c r="A578" s="458"/>
      <c r="B578" s="447" t="s">
        <v>1279</v>
      </c>
      <c r="C578" s="463"/>
      <c r="D578" s="449" t="s">
        <v>431</v>
      </c>
      <c r="E578" s="262"/>
      <c r="F578" s="470" t="s">
        <v>1284</v>
      </c>
      <c r="G578" s="387" t="e">
        <f>VLOOKUP(A578,'Feature Summary'!$A$7:$C$3944,3,FALSE)</f>
        <v>#N/A</v>
      </c>
      <c r="H578" s="447" t="s">
        <v>1337</v>
      </c>
      <c r="I578" s="447"/>
      <c r="J578" s="478" t="s">
        <v>1338</v>
      </c>
      <c r="K578" s="263"/>
      <c r="L578" s="391"/>
      <c r="M578" s="399" t="s">
        <v>33</v>
      </c>
      <c r="N578" s="475">
        <v>1</v>
      </c>
      <c r="O578" s="391"/>
      <c r="P578" s="496">
        <f>IF((O578=0),0,(O578/L578))</f>
        <v>0</v>
      </c>
      <c r="Q578" s="445" t="s">
        <v>52</v>
      </c>
      <c r="R578" s="391"/>
      <c r="S578" s="362">
        <f t="shared" si="90"/>
        <v>0</v>
      </c>
      <c r="T578" s="368"/>
      <c r="U578" s="368"/>
      <c r="V578" s="368"/>
      <c r="W578" s="368"/>
      <c r="X578" s="364">
        <f t="shared" si="88"/>
        <v>0</v>
      </c>
      <c r="Y578" s="393"/>
      <c r="Z578" s="498">
        <f t="shared" si="86"/>
        <v>0</v>
      </c>
      <c r="AA578" s="368"/>
      <c r="AB578" s="368"/>
      <c r="AC578" s="368"/>
      <c r="AD578" s="368"/>
      <c r="AE578" s="365">
        <f t="shared" si="87"/>
        <v>0</v>
      </c>
      <c r="AF578" s="262"/>
      <c r="AG578" s="457"/>
      <c r="AH578" s="264"/>
    </row>
    <row r="579" spans="1:34" ht="60.75" thickBot="1" x14ac:dyDescent="0.3">
      <c r="A579" s="458"/>
      <c r="B579" s="463"/>
      <c r="C579" s="463"/>
      <c r="D579" s="449" t="s">
        <v>431</v>
      </c>
      <c r="E579" s="262"/>
      <c r="F579" s="470" t="s">
        <v>1288</v>
      </c>
      <c r="G579" s="387" t="e">
        <f>VLOOKUP(A579,'Feature Summary'!$A$7:$C$3944,3,FALSE)</f>
        <v>#N/A</v>
      </c>
      <c r="H579" s="447" t="s">
        <v>1339</v>
      </c>
      <c r="I579" s="447"/>
      <c r="J579" s="478" t="s">
        <v>1340</v>
      </c>
      <c r="K579" s="263"/>
      <c r="L579" s="391"/>
      <c r="M579" s="399" t="s">
        <v>33</v>
      </c>
      <c r="N579" s="475">
        <v>1</v>
      </c>
      <c r="O579" s="391"/>
      <c r="P579" s="496">
        <f t="shared" ref="P579:P615" si="93">IF((O579=0),0,(O579/L579))</f>
        <v>0</v>
      </c>
      <c r="Q579" s="445" t="s">
        <v>52</v>
      </c>
      <c r="R579" s="391"/>
      <c r="S579" s="362">
        <f t="shared" si="90"/>
        <v>0</v>
      </c>
      <c r="T579" s="368"/>
      <c r="U579" s="368"/>
      <c r="V579" s="368"/>
      <c r="W579" s="368"/>
      <c r="X579" s="364">
        <f t="shared" si="88"/>
        <v>0</v>
      </c>
      <c r="Y579" s="393"/>
      <c r="Z579" s="498">
        <f t="shared" si="86"/>
        <v>0</v>
      </c>
      <c r="AA579" s="368"/>
      <c r="AB579" s="368"/>
      <c r="AC579" s="368"/>
      <c r="AD579" s="368"/>
      <c r="AE579" s="365">
        <f t="shared" si="87"/>
        <v>0</v>
      </c>
      <c r="AF579" s="262"/>
      <c r="AG579" s="457"/>
      <c r="AH579" s="264"/>
    </row>
    <row r="580" spans="1:34" ht="15.75" thickBot="1" x14ac:dyDescent="0.3">
      <c r="A580" s="458"/>
      <c r="B580" s="463"/>
      <c r="C580" s="463"/>
      <c r="D580" s="449" t="s">
        <v>431</v>
      </c>
      <c r="E580" s="262"/>
      <c r="F580" s="470" t="s">
        <v>1272</v>
      </c>
      <c r="G580" s="387" t="e">
        <f>VLOOKUP(A580,'Feature Summary'!$A$7:$C$3944,3,FALSE)</f>
        <v>#N/A</v>
      </c>
      <c r="H580" s="447" t="s">
        <v>1341</v>
      </c>
      <c r="I580" s="447"/>
      <c r="J580" s="482" t="s">
        <v>1342</v>
      </c>
      <c r="K580" s="263"/>
      <c r="L580" s="391"/>
      <c r="M580" s="399" t="s">
        <v>33</v>
      </c>
      <c r="N580" s="475">
        <v>1</v>
      </c>
      <c r="O580" s="391"/>
      <c r="P580" s="496">
        <f t="shared" si="93"/>
        <v>0</v>
      </c>
      <c r="Q580" s="445" t="s">
        <v>52</v>
      </c>
      <c r="R580" s="391"/>
      <c r="S580" s="362">
        <f t="shared" si="90"/>
        <v>0</v>
      </c>
      <c r="T580" s="368"/>
      <c r="U580" s="368"/>
      <c r="V580" s="368"/>
      <c r="W580" s="368"/>
      <c r="X580" s="364">
        <f t="shared" si="88"/>
        <v>0</v>
      </c>
      <c r="Y580" s="393"/>
      <c r="Z580" s="498">
        <f t="shared" si="86"/>
        <v>0</v>
      </c>
      <c r="AA580" s="368"/>
      <c r="AB580" s="368"/>
      <c r="AC580" s="368"/>
      <c r="AD580" s="368"/>
      <c r="AE580" s="365">
        <f t="shared" si="87"/>
        <v>0</v>
      </c>
      <c r="AF580" s="262"/>
      <c r="AG580" s="457"/>
      <c r="AH580" s="264"/>
    </row>
    <row r="581" spans="1:34" ht="15.75" thickBot="1" x14ac:dyDescent="0.3">
      <c r="A581" s="458"/>
      <c r="B581" s="463"/>
      <c r="C581" s="463"/>
      <c r="D581" s="449" t="s">
        <v>431</v>
      </c>
      <c r="E581" s="262"/>
      <c r="F581" s="470" t="s">
        <v>1272</v>
      </c>
      <c r="G581" s="387" t="e">
        <f>VLOOKUP(A581,'Feature Summary'!$A$7:$C$3944,3,FALSE)</f>
        <v>#N/A</v>
      </c>
      <c r="H581" s="447" t="s">
        <v>1343</v>
      </c>
      <c r="I581" s="447"/>
      <c r="J581" s="482" t="s">
        <v>1342</v>
      </c>
      <c r="K581" s="263"/>
      <c r="L581" s="391"/>
      <c r="M581" s="399" t="s">
        <v>33</v>
      </c>
      <c r="N581" s="475">
        <v>1</v>
      </c>
      <c r="O581" s="391"/>
      <c r="P581" s="496">
        <f t="shared" si="93"/>
        <v>0</v>
      </c>
      <c r="Q581" s="445" t="s">
        <v>52</v>
      </c>
      <c r="R581" s="391"/>
      <c r="S581" s="362">
        <f t="shared" si="90"/>
        <v>0</v>
      </c>
      <c r="T581" s="368"/>
      <c r="U581" s="368"/>
      <c r="V581" s="368"/>
      <c r="W581" s="368"/>
      <c r="X581" s="364">
        <f t="shared" si="88"/>
        <v>0</v>
      </c>
      <c r="Y581" s="393"/>
      <c r="Z581" s="498">
        <f t="shared" si="86"/>
        <v>0</v>
      </c>
      <c r="AA581" s="368"/>
      <c r="AB581" s="368"/>
      <c r="AC581" s="368"/>
      <c r="AD581" s="368"/>
      <c r="AE581" s="365">
        <f t="shared" si="87"/>
        <v>0</v>
      </c>
      <c r="AF581" s="262"/>
      <c r="AG581" s="457"/>
      <c r="AH581" s="264"/>
    </row>
    <row r="582" spans="1:34" ht="60.75" thickBot="1" x14ac:dyDescent="0.3">
      <c r="A582" s="458"/>
      <c r="B582" s="447" t="s">
        <v>1279</v>
      </c>
      <c r="C582" s="463"/>
      <c r="D582" s="449" t="s">
        <v>431</v>
      </c>
      <c r="E582" s="262"/>
      <c r="F582" s="471" t="s">
        <v>1297</v>
      </c>
      <c r="G582" s="387" t="e">
        <f>VLOOKUP(A582,'Feature Summary'!$A$7:$C$3944,3,FALSE)</f>
        <v>#N/A</v>
      </c>
      <c r="H582" s="447" t="s">
        <v>1344</v>
      </c>
      <c r="I582" s="447"/>
      <c r="J582" s="478" t="s">
        <v>1345</v>
      </c>
      <c r="K582" s="263"/>
      <c r="L582" s="391"/>
      <c r="M582" s="399" t="s">
        <v>33</v>
      </c>
      <c r="N582" s="475">
        <v>1</v>
      </c>
      <c r="O582" s="391"/>
      <c r="P582" s="496">
        <f t="shared" si="93"/>
        <v>0</v>
      </c>
      <c r="Q582" s="445" t="s">
        <v>52</v>
      </c>
      <c r="R582" s="391"/>
      <c r="S582" s="362">
        <f t="shared" si="90"/>
        <v>0</v>
      </c>
      <c r="T582" s="368"/>
      <c r="U582" s="368"/>
      <c r="V582" s="368"/>
      <c r="W582" s="368"/>
      <c r="X582" s="364">
        <f t="shared" si="88"/>
        <v>0</v>
      </c>
      <c r="Y582" s="393"/>
      <c r="Z582" s="498">
        <f t="shared" si="86"/>
        <v>0</v>
      </c>
      <c r="AA582" s="368"/>
      <c r="AB582" s="368"/>
      <c r="AC582" s="368"/>
      <c r="AD582" s="368"/>
      <c r="AE582" s="365">
        <f t="shared" si="87"/>
        <v>0</v>
      </c>
      <c r="AF582" s="262"/>
      <c r="AG582" s="457"/>
      <c r="AH582" s="264"/>
    </row>
    <row r="583" spans="1:34" ht="60.75" thickBot="1" x14ac:dyDescent="0.3">
      <c r="A583" s="458"/>
      <c r="B583" s="447" t="s">
        <v>1279</v>
      </c>
      <c r="C583" s="463"/>
      <c r="D583" s="449" t="s">
        <v>431</v>
      </c>
      <c r="E583" s="262"/>
      <c r="F583" s="471" t="s">
        <v>1301</v>
      </c>
      <c r="G583" s="387" t="e">
        <f>VLOOKUP(A583,'Feature Summary'!$A$7:$C$3944,3,FALSE)</f>
        <v>#N/A</v>
      </c>
      <c r="H583" s="447" t="s">
        <v>1346</v>
      </c>
      <c r="I583" s="447"/>
      <c r="J583" s="478" t="s">
        <v>1345</v>
      </c>
      <c r="K583" s="263"/>
      <c r="L583" s="391"/>
      <c r="M583" s="399" t="s">
        <v>33</v>
      </c>
      <c r="N583" s="475">
        <v>1</v>
      </c>
      <c r="O583" s="391"/>
      <c r="P583" s="496">
        <f t="shared" si="93"/>
        <v>0</v>
      </c>
      <c r="Q583" s="445" t="s">
        <v>52</v>
      </c>
      <c r="R583" s="391"/>
      <c r="S583" s="362">
        <f t="shared" si="90"/>
        <v>0</v>
      </c>
      <c r="T583" s="368"/>
      <c r="U583" s="368"/>
      <c r="V583" s="368"/>
      <c r="W583" s="368"/>
      <c r="X583" s="364">
        <f t="shared" si="88"/>
        <v>0</v>
      </c>
      <c r="Y583" s="393"/>
      <c r="Z583" s="498">
        <f t="shared" si="86"/>
        <v>0</v>
      </c>
      <c r="AA583" s="368"/>
      <c r="AB583" s="368"/>
      <c r="AC583" s="368"/>
      <c r="AD583" s="368"/>
      <c r="AE583" s="365">
        <f t="shared" si="87"/>
        <v>0</v>
      </c>
      <c r="AF583" s="262"/>
      <c r="AG583" s="457"/>
      <c r="AH583" s="264"/>
    </row>
    <row r="584" spans="1:34" ht="75.75" thickBot="1" x14ac:dyDescent="0.3">
      <c r="A584" s="458"/>
      <c r="B584" s="447" t="s">
        <v>1279</v>
      </c>
      <c r="C584" s="463"/>
      <c r="D584" s="449" t="s">
        <v>431</v>
      </c>
      <c r="E584" s="262"/>
      <c r="F584" s="471" t="s">
        <v>1304</v>
      </c>
      <c r="G584" s="387" t="e">
        <f>VLOOKUP(A584,'Feature Summary'!$A$7:$C$3944,3,FALSE)</f>
        <v>#N/A</v>
      </c>
      <c r="H584" s="447" t="s">
        <v>1347</v>
      </c>
      <c r="I584" s="447"/>
      <c r="J584" s="478" t="s">
        <v>1348</v>
      </c>
      <c r="K584" s="263"/>
      <c r="L584" s="391"/>
      <c r="M584" s="399" t="s">
        <v>33</v>
      </c>
      <c r="N584" s="475">
        <v>1</v>
      </c>
      <c r="O584" s="391"/>
      <c r="P584" s="496">
        <f t="shared" si="93"/>
        <v>0</v>
      </c>
      <c r="Q584" s="445" t="s">
        <v>52</v>
      </c>
      <c r="R584" s="391"/>
      <c r="S584" s="362">
        <f t="shared" si="90"/>
        <v>0</v>
      </c>
      <c r="T584" s="368"/>
      <c r="U584" s="368"/>
      <c r="V584" s="368"/>
      <c r="W584" s="368"/>
      <c r="X584" s="364">
        <f t="shared" si="88"/>
        <v>0</v>
      </c>
      <c r="Y584" s="393"/>
      <c r="Z584" s="498">
        <f t="shared" si="86"/>
        <v>0</v>
      </c>
      <c r="AA584" s="368"/>
      <c r="AB584" s="368"/>
      <c r="AC584" s="368"/>
      <c r="AD584" s="368"/>
      <c r="AE584" s="365">
        <f t="shared" si="87"/>
        <v>0</v>
      </c>
      <c r="AF584" s="262"/>
      <c r="AG584" s="457"/>
      <c r="AH584" s="264"/>
    </row>
    <row r="585" spans="1:34" ht="75.75" thickBot="1" x14ac:dyDescent="0.3">
      <c r="A585" s="458"/>
      <c r="B585" s="447" t="s">
        <v>1279</v>
      </c>
      <c r="C585" s="463"/>
      <c r="D585" s="449" t="s">
        <v>431</v>
      </c>
      <c r="E585" s="262"/>
      <c r="F585" s="471" t="s">
        <v>1307</v>
      </c>
      <c r="G585" s="387" t="e">
        <f>VLOOKUP(A585,'Feature Summary'!$A$7:$C$3944,3,FALSE)</f>
        <v>#N/A</v>
      </c>
      <c r="H585" s="447" t="s">
        <v>1349</v>
      </c>
      <c r="I585" s="447"/>
      <c r="J585" s="478" t="s">
        <v>1350</v>
      </c>
      <c r="K585" s="263"/>
      <c r="L585" s="391"/>
      <c r="M585" s="399" t="s">
        <v>33</v>
      </c>
      <c r="N585" s="475">
        <v>1</v>
      </c>
      <c r="O585" s="391"/>
      <c r="P585" s="496">
        <f t="shared" si="93"/>
        <v>0</v>
      </c>
      <c r="Q585" s="445" t="s">
        <v>52</v>
      </c>
      <c r="R585" s="391"/>
      <c r="S585" s="362">
        <f t="shared" si="90"/>
        <v>0</v>
      </c>
      <c r="T585" s="368"/>
      <c r="U585" s="368"/>
      <c r="V585" s="368"/>
      <c r="W585" s="368"/>
      <c r="X585" s="364">
        <f t="shared" si="88"/>
        <v>0</v>
      </c>
      <c r="Y585" s="393"/>
      <c r="Z585" s="498">
        <f t="shared" si="86"/>
        <v>0</v>
      </c>
      <c r="AA585" s="368"/>
      <c r="AB585" s="368"/>
      <c r="AC585" s="368"/>
      <c r="AD585" s="368"/>
      <c r="AE585" s="365">
        <f t="shared" si="87"/>
        <v>0</v>
      </c>
      <c r="AF585" s="262"/>
      <c r="AG585" s="457"/>
      <c r="AH585" s="264"/>
    </row>
    <row r="586" spans="1:34" ht="30.75" thickBot="1" x14ac:dyDescent="0.3">
      <c r="A586" s="458" t="s">
        <v>1244</v>
      </c>
      <c r="B586" s="447" t="s">
        <v>1245</v>
      </c>
      <c r="C586" s="463" t="s">
        <v>445</v>
      </c>
      <c r="D586" s="449" t="s">
        <v>431</v>
      </c>
      <c r="E586" s="262"/>
      <c r="F586" s="447" t="s">
        <v>1351</v>
      </c>
      <c r="G586" s="387" t="str">
        <f>VLOOKUP(A586,'Feature Summary'!$A$7:$C$3944,3,FALSE)</f>
        <v>P2</v>
      </c>
      <c r="H586" s="447" t="s">
        <v>1352</v>
      </c>
      <c r="I586" s="488" t="s">
        <v>264</v>
      </c>
      <c r="J586" s="448" t="s">
        <v>1353</v>
      </c>
      <c r="K586" s="263">
        <v>1</v>
      </c>
      <c r="L586" s="391">
        <v>1</v>
      </c>
      <c r="M586" s="399" t="s">
        <v>33</v>
      </c>
      <c r="N586" s="475">
        <v>1</v>
      </c>
      <c r="O586" s="391">
        <v>1</v>
      </c>
      <c r="P586" s="496">
        <f t="shared" si="93"/>
        <v>1</v>
      </c>
      <c r="Q586" s="445" t="s">
        <v>52</v>
      </c>
      <c r="R586" s="391">
        <v>1</v>
      </c>
      <c r="S586" s="362">
        <f t="shared" si="90"/>
        <v>1</v>
      </c>
      <c r="T586" s="368">
        <v>1</v>
      </c>
      <c r="U586" s="368"/>
      <c r="V586" s="368"/>
      <c r="W586" s="368"/>
      <c r="X586" s="364">
        <f t="shared" si="88"/>
        <v>1</v>
      </c>
      <c r="Y586" s="393"/>
      <c r="Z586" s="498">
        <f t="shared" ref="Z586:Z649" si="94">SUM(AA586:AD586)</f>
        <v>0</v>
      </c>
      <c r="AA586" s="368"/>
      <c r="AB586" s="368"/>
      <c r="AC586" s="368"/>
      <c r="AD586" s="368"/>
      <c r="AE586" s="365">
        <f t="shared" ref="AE586:AE649" si="95">IF((Z586=0),0,((AA586+AB586)/Z586*100%))</f>
        <v>0</v>
      </c>
      <c r="AF586" s="558"/>
      <c r="AG586" s="457"/>
      <c r="AH586" s="264"/>
    </row>
    <row r="587" spans="1:34" ht="30.75" thickBot="1" x14ac:dyDescent="0.3">
      <c r="A587" s="458" t="s">
        <v>1244</v>
      </c>
      <c r="B587" s="447" t="s">
        <v>1245</v>
      </c>
      <c r="C587" s="463" t="s">
        <v>445</v>
      </c>
      <c r="D587" s="449" t="s">
        <v>431</v>
      </c>
      <c r="E587" s="262"/>
      <c r="F587" s="447" t="s">
        <v>1354</v>
      </c>
      <c r="G587" s="387" t="str">
        <f>VLOOKUP(A587,'Feature Summary'!$A$7:$C$3944,3,FALSE)</f>
        <v>P2</v>
      </c>
      <c r="H587" s="447" t="s">
        <v>1355</v>
      </c>
      <c r="I587" s="488" t="s">
        <v>264</v>
      </c>
      <c r="J587" s="448" t="s">
        <v>1356</v>
      </c>
      <c r="K587" s="263">
        <v>1</v>
      </c>
      <c r="L587" s="391">
        <v>1</v>
      </c>
      <c r="M587" s="399" t="s">
        <v>33</v>
      </c>
      <c r="N587" s="475">
        <v>1</v>
      </c>
      <c r="O587" s="391">
        <v>1</v>
      </c>
      <c r="P587" s="496">
        <f t="shared" si="93"/>
        <v>1</v>
      </c>
      <c r="Q587" s="445" t="s">
        <v>52</v>
      </c>
      <c r="R587" s="391">
        <v>1</v>
      </c>
      <c r="S587" s="362">
        <f t="shared" si="90"/>
        <v>1</v>
      </c>
      <c r="T587" s="368">
        <v>1</v>
      </c>
      <c r="U587" s="368"/>
      <c r="V587" s="368"/>
      <c r="W587" s="368"/>
      <c r="X587" s="364">
        <f t="shared" si="88"/>
        <v>1</v>
      </c>
      <c r="Y587" s="393"/>
      <c r="Z587" s="498">
        <f t="shared" si="94"/>
        <v>0</v>
      </c>
      <c r="AA587" s="368"/>
      <c r="AB587" s="368"/>
      <c r="AC587" s="368"/>
      <c r="AD587" s="368"/>
      <c r="AE587" s="365">
        <f t="shared" si="95"/>
        <v>0</v>
      </c>
      <c r="AF587" s="262"/>
      <c r="AG587" s="457"/>
      <c r="AH587" s="264"/>
    </row>
    <row r="588" spans="1:34" ht="30.75" thickBot="1" x14ac:dyDescent="0.3">
      <c r="A588" s="458" t="s">
        <v>1244</v>
      </c>
      <c r="B588" s="447" t="s">
        <v>1245</v>
      </c>
      <c r="C588" s="463" t="s">
        <v>445</v>
      </c>
      <c r="D588" s="449" t="s">
        <v>431</v>
      </c>
      <c r="E588" s="262"/>
      <c r="F588" s="447" t="s">
        <v>1357</v>
      </c>
      <c r="G588" s="387" t="str">
        <f>VLOOKUP(A588,'Feature Summary'!$A$7:$C$3944,3,FALSE)</f>
        <v>P2</v>
      </c>
      <c r="H588" s="447" t="s">
        <v>1358</v>
      </c>
      <c r="I588" s="488" t="s">
        <v>264</v>
      </c>
      <c r="J588" s="448" t="s">
        <v>1359</v>
      </c>
      <c r="K588" s="263">
        <v>1</v>
      </c>
      <c r="L588" s="391">
        <v>1</v>
      </c>
      <c r="M588" s="399" t="s">
        <v>33</v>
      </c>
      <c r="N588" s="475">
        <v>1</v>
      </c>
      <c r="O588" s="391">
        <v>1</v>
      </c>
      <c r="P588" s="496">
        <f t="shared" si="93"/>
        <v>1</v>
      </c>
      <c r="Q588" s="445" t="s">
        <v>52</v>
      </c>
      <c r="R588" s="391">
        <v>1</v>
      </c>
      <c r="S588" s="362">
        <f t="shared" si="90"/>
        <v>1</v>
      </c>
      <c r="T588" s="368"/>
      <c r="U588" s="368">
        <v>1</v>
      </c>
      <c r="V588" s="368"/>
      <c r="W588" s="368"/>
      <c r="X588" s="364">
        <f t="shared" si="88"/>
        <v>1</v>
      </c>
      <c r="Y588" s="393"/>
      <c r="Z588" s="498">
        <f t="shared" si="94"/>
        <v>0</v>
      </c>
      <c r="AA588" s="368"/>
      <c r="AB588" s="368"/>
      <c r="AC588" s="368"/>
      <c r="AD588" s="368"/>
      <c r="AE588" s="365">
        <f t="shared" si="95"/>
        <v>0</v>
      </c>
      <c r="AF588" s="558"/>
      <c r="AG588" s="457"/>
      <c r="AH588" s="264"/>
    </row>
    <row r="589" spans="1:34" ht="33.75" customHeight="1" thickBot="1" x14ac:dyDescent="0.3">
      <c r="A589" s="458"/>
      <c r="B589" s="447" t="s">
        <v>1245</v>
      </c>
      <c r="C589" s="463"/>
      <c r="D589" s="449" t="s">
        <v>431</v>
      </c>
      <c r="E589" s="262"/>
      <c r="F589" s="447" t="s">
        <v>1351</v>
      </c>
      <c r="G589" s="387" t="e">
        <f>VLOOKUP(A589,'Feature Summary'!$A$7:$C$3944,3,FALSE)</f>
        <v>#N/A</v>
      </c>
      <c r="H589" s="447" t="s">
        <v>1360</v>
      </c>
      <c r="I589" s="447"/>
      <c r="J589" s="448" t="s">
        <v>1361</v>
      </c>
      <c r="K589" s="263"/>
      <c r="L589" s="391"/>
      <c r="M589" s="399" t="s">
        <v>33</v>
      </c>
      <c r="N589" s="475">
        <v>1</v>
      </c>
      <c r="O589" s="391"/>
      <c r="P589" s="496">
        <f t="shared" si="93"/>
        <v>0</v>
      </c>
      <c r="Q589" s="445" t="s">
        <v>52</v>
      </c>
      <c r="R589" s="391"/>
      <c r="S589" s="362">
        <f t="shared" si="90"/>
        <v>0</v>
      </c>
      <c r="T589" s="368"/>
      <c r="U589" s="368"/>
      <c r="V589" s="368"/>
      <c r="W589" s="368"/>
      <c r="X589" s="364">
        <f t="shared" si="88"/>
        <v>0</v>
      </c>
      <c r="Y589" s="393"/>
      <c r="Z589" s="498">
        <f t="shared" si="94"/>
        <v>0</v>
      </c>
      <c r="AA589" s="368"/>
      <c r="AB589" s="368"/>
      <c r="AC589" s="368"/>
      <c r="AD589" s="368"/>
      <c r="AE589" s="365">
        <f t="shared" si="95"/>
        <v>0</v>
      </c>
      <c r="AF589" s="558"/>
      <c r="AG589" s="457"/>
      <c r="AH589" s="264"/>
    </row>
    <row r="590" spans="1:34" ht="30.75" thickBot="1" x14ac:dyDescent="0.3">
      <c r="A590" s="458"/>
      <c r="B590" s="447" t="s">
        <v>1245</v>
      </c>
      <c r="C590" s="463"/>
      <c r="D590" s="449" t="s">
        <v>431</v>
      </c>
      <c r="E590" s="262"/>
      <c r="F590" s="447" t="s">
        <v>1354</v>
      </c>
      <c r="G590" s="387" t="e">
        <f>VLOOKUP(A590,'Feature Summary'!$A$7:$C$3944,3,FALSE)</f>
        <v>#N/A</v>
      </c>
      <c r="H590" s="447" t="s">
        <v>1362</v>
      </c>
      <c r="I590" s="447"/>
      <c r="J590" s="448" t="s">
        <v>1363</v>
      </c>
      <c r="K590" s="263"/>
      <c r="L590" s="391"/>
      <c r="M590" s="399" t="s">
        <v>33</v>
      </c>
      <c r="N590" s="475">
        <v>1</v>
      </c>
      <c r="O590" s="391"/>
      <c r="P590" s="496">
        <f t="shared" si="93"/>
        <v>0</v>
      </c>
      <c r="Q590" s="445" t="s">
        <v>52</v>
      </c>
      <c r="R590" s="391"/>
      <c r="S590" s="362">
        <f t="shared" si="90"/>
        <v>0</v>
      </c>
      <c r="T590" s="368"/>
      <c r="U590" s="368"/>
      <c r="V590" s="368"/>
      <c r="W590" s="368"/>
      <c r="X590" s="364">
        <f t="shared" si="88"/>
        <v>0</v>
      </c>
      <c r="Y590" s="393"/>
      <c r="Z590" s="498">
        <f t="shared" si="94"/>
        <v>0</v>
      </c>
      <c r="AA590" s="368"/>
      <c r="AB590" s="368"/>
      <c r="AC590" s="368"/>
      <c r="AD590" s="368"/>
      <c r="AE590" s="365">
        <f t="shared" si="95"/>
        <v>0</v>
      </c>
      <c r="AF590" s="262"/>
      <c r="AG590" s="457"/>
      <c r="AH590" s="264"/>
    </row>
    <row r="591" spans="1:34" ht="30.75" thickBot="1" x14ac:dyDescent="0.3">
      <c r="A591" s="458"/>
      <c r="B591" s="447" t="s">
        <v>1245</v>
      </c>
      <c r="C591" s="463"/>
      <c r="D591" s="449" t="s">
        <v>431</v>
      </c>
      <c r="E591" s="262"/>
      <c r="F591" s="447" t="s">
        <v>1357</v>
      </c>
      <c r="G591" s="387" t="e">
        <f>VLOOKUP(A591,'Feature Summary'!$A$7:$C$3944,3,FALSE)</f>
        <v>#N/A</v>
      </c>
      <c r="H591" s="447" t="s">
        <v>1364</v>
      </c>
      <c r="I591" s="447"/>
      <c r="J591" s="448" t="s">
        <v>1365</v>
      </c>
      <c r="K591" s="263"/>
      <c r="L591" s="391"/>
      <c r="M591" s="399" t="s">
        <v>33</v>
      </c>
      <c r="N591" s="475">
        <v>1</v>
      </c>
      <c r="O591" s="391"/>
      <c r="P591" s="496">
        <f t="shared" si="93"/>
        <v>0</v>
      </c>
      <c r="Q591" s="445" t="s">
        <v>52</v>
      </c>
      <c r="R591" s="391"/>
      <c r="S591" s="362">
        <f t="shared" si="90"/>
        <v>0</v>
      </c>
      <c r="T591" s="368"/>
      <c r="U591" s="368"/>
      <c r="V591" s="368"/>
      <c r="W591" s="368"/>
      <c r="X591" s="364">
        <f t="shared" si="88"/>
        <v>0</v>
      </c>
      <c r="Y591" s="393"/>
      <c r="Z591" s="498">
        <f t="shared" si="94"/>
        <v>0</v>
      </c>
      <c r="AA591" s="368"/>
      <c r="AB591" s="368"/>
      <c r="AC591" s="368"/>
      <c r="AD591" s="368"/>
      <c r="AE591" s="365">
        <f t="shared" si="95"/>
        <v>0</v>
      </c>
      <c r="AF591" s="262"/>
      <c r="AG591" s="457"/>
      <c r="AH591" s="264"/>
    </row>
    <row r="592" spans="1:34" ht="30.75" thickBot="1" x14ac:dyDescent="0.3">
      <c r="A592" s="458" t="s">
        <v>1256</v>
      </c>
      <c r="B592" s="447" t="s">
        <v>1257</v>
      </c>
      <c r="C592" s="463" t="s">
        <v>445</v>
      </c>
      <c r="D592" s="449" t="s">
        <v>431</v>
      </c>
      <c r="E592" s="262"/>
      <c r="F592" s="447" t="s">
        <v>1366</v>
      </c>
      <c r="G592" s="387" t="str">
        <f>VLOOKUP(A592,'Feature Summary'!$A$7:$C$3944,3,FALSE)</f>
        <v>P2</v>
      </c>
      <c r="H592" s="447" t="s">
        <v>1367</v>
      </c>
      <c r="I592" s="488" t="s">
        <v>264</v>
      </c>
      <c r="J592" s="448" t="s">
        <v>1368</v>
      </c>
      <c r="K592" s="263">
        <v>1</v>
      </c>
      <c r="L592" s="391">
        <v>2</v>
      </c>
      <c r="M592" s="399" t="s">
        <v>33</v>
      </c>
      <c r="N592" s="475">
        <v>1</v>
      </c>
      <c r="O592" s="391">
        <v>2</v>
      </c>
      <c r="P592" s="496">
        <f t="shared" si="93"/>
        <v>1</v>
      </c>
      <c r="Q592" s="445" t="s">
        <v>52</v>
      </c>
      <c r="R592" s="391">
        <v>2</v>
      </c>
      <c r="S592" s="362">
        <f t="shared" si="90"/>
        <v>2</v>
      </c>
      <c r="T592" s="368">
        <v>1</v>
      </c>
      <c r="U592" s="368">
        <v>1</v>
      </c>
      <c r="V592" s="368"/>
      <c r="W592" s="368"/>
      <c r="X592" s="364">
        <f t="shared" si="88"/>
        <v>1</v>
      </c>
      <c r="Y592" s="393"/>
      <c r="Z592" s="498">
        <f t="shared" si="94"/>
        <v>0</v>
      </c>
      <c r="AA592" s="368"/>
      <c r="AB592" s="368"/>
      <c r="AC592" s="368"/>
      <c r="AD592" s="368"/>
      <c r="AE592" s="365">
        <f t="shared" si="95"/>
        <v>0</v>
      </c>
      <c r="AF592" s="558"/>
      <c r="AG592" s="457"/>
      <c r="AH592" s="264"/>
    </row>
    <row r="593" spans="1:34" ht="60" customHeight="1" thickBot="1" x14ac:dyDescent="0.3">
      <c r="A593" s="458"/>
      <c r="B593" s="447" t="s">
        <v>1257</v>
      </c>
      <c r="C593" s="463"/>
      <c r="D593" s="449" t="s">
        <v>431</v>
      </c>
      <c r="E593" s="262"/>
      <c r="F593" s="447" t="s">
        <v>1366</v>
      </c>
      <c r="G593" s="387" t="e">
        <f>VLOOKUP(A593,'Feature Summary'!$A$7:$C$3944,3,FALSE)</f>
        <v>#N/A</v>
      </c>
      <c r="H593" s="447" t="s">
        <v>1369</v>
      </c>
      <c r="I593" s="447"/>
      <c r="J593" s="448" t="s">
        <v>1370</v>
      </c>
      <c r="K593" s="263"/>
      <c r="L593" s="391"/>
      <c r="M593" s="399" t="s">
        <v>33</v>
      </c>
      <c r="N593" s="475">
        <v>1</v>
      </c>
      <c r="O593" s="391"/>
      <c r="P593" s="496">
        <f t="shared" si="93"/>
        <v>0</v>
      </c>
      <c r="Q593" s="445" t="s">
        <v>52</v>
      </c>
      <c r="R593" s="391"/>
      <c r="S593" s="362">
        <f t="shared" si="90"/>
        <v>0</v>
      </c>
      <c r="T593" s="368"/>
      <c r="U593" s="368"/>
      <c r="V593" s="368"/>
      <c r="W593" s="368"/>
      <c r="X593" s="364">
        <f t="shared" si="88"/>
        <v>0</v>
      </c>
      <c r="Y593" s="393"/>
      <c r="Z593" s="498">
        <f t="shared" si="94"/>
        <v>0</v>
      </c>
      <c r="AA593" s="368"/>
      <c r="AB593" s="368"/>
      <c r="AC593" s="368"/>
      <c r="AD593" s="368"/>
      <c r="AE593" s="365">
        <f t="shared" si="95"/>
        <v>0</v>
      </c>
      <c r="AF593" s="558"/>
      <c r="AG593" s="457"/>
      <c r="AH593" s="264"/>
    </row>
    <row r="594" spans="1:34" ht="45.75" thickBot="1" x14ac:dyDescent="0.3">
      <c r="A594" s="474" t="s">
        <v>1371</v>
      </c>
      <c r="B594" s="447" t="s">
        <v>1279</v>
      </c>
      <c r="C594" s="580" t="s">
        <v>354</v>
      </c>
      <c r="D594" s="449" t="s">
        <v>431</v>
      </c>
      <c r="E594" s="262"/>
      <c r="F594" s="447" t="s">
        <v>1372</v>
      </c>
      <c r="G594" s="387" t="str">
        <f>VLOOKUP(A594,'Feature Summary'!$A$7:$C$3944,3,FALSE)</f>
        <v>P2</v>
      </c>
      <c r="H594" s="447" t="s">
        <v>1373</v>
      </c>
      <c r="I594" s="488" t="s">
        <v>264</v>
      </c>
      <c r="J594" s="478" t="s">
        <v>1374</v>
      </c>
      <c r="K594" s="263">
        <v>1</v>
      </c>
      <c r="L594" s="391">
        <v>1</v>
      </c>
      <c r="M594" s="399" t="s">
        <v>33</v>
      </c>
      <c r="N594" s="475">
        <v>1</v>
      </c>
      <c r="O594" s="391">
        <v>1</v>
      </c>
      <c r="P594" s="496">
        <f t="shared" si="93"/>
        <v>1</v>
      </c>
      <c r="Q594" s="445" t="s">
        <v>52</v>
      </c>
      <c r="R594" s="391">
        <v>1</v>
      </c>
      <c r="S594" s="362">
        <f t="shared" si="90"/>
        <v>1</v>
      </c>
      <c r="T594" s="368">
        <v>1</v>
      </c>
      <c r="U594" s="368"/>
      <c r="V594" s="368"/>
      <c r="W594" s="368"/>
      <c r="X594" s="364">
        <f t="shared" si="88"/>
        <v>1</v>
      </c>
      <c r="Y594" s="393"/>
      <c r="Z594" s="498">
        <f t="shared" si="94"/>
        <v>0</v>
      </c>
      <c r="AA594" s="368"/>
      <c r="AB594" s="368"/>
      <c r="AC594" s="368"/>
      <c r="AD594" s="368"/>
      <c r="AE594" s="365">
        <f t="shared" si="95"/>
        <v>0</v>
      </c>
      <c r="AF594" s="262"/>
      <c r="AG594" s="457"/>
      <c r="AH594" s="264"/>
    </row>
    <row r="595" spans="1:34" ht="45.75" thickBot="1" x14ac:dyDescent="0.3">
      <c r="A595" s="474" t="s">
        <v>1375</v>
      </c>
      <c r="B595" s="447" t="s">
        <v>1279</v>
      </c>
      <c r="C595" s="580" t="s">
        <v>354</v>
      </c>
      <c r="D595" s="449" t="s">
        <v>431</v>
      </c>
      <c r="E595" s="262"/>
      <c r="F595" s="447" t="s">
        <v>1376</v>
      </c>
      <c r="G595" s="387" t="e">
        <f>VLOOKUP(A595,'Feature Summary'!$A$7:$C$3944,3,FALSE)</f>
        <v>#N/A</v>
      </c>
      <c r="H595" s="447" t="s">
        <v>1377</v>
      </c>
      <c r="I595" s="488" t="s">
        <v>264</v>
      </c>
      <c r="J595" s="478" t="s">
        <v>1378</v>
      </c>
      <c r="K595" s="263">
        <v>1</v>
      </c>
      <c r="L595" s="391">
        <v>1</v>
      </c>
      <c r="M595" s="399" t="s">
        <v>33</v>
      </c>
      <c r="N595" s="475">
        <v>1</v>
      </c>
      <c r="O595" s="391">
        <v>1</v>
      </c>
      <c r="P595" s="496">
        <f t="shared" si="93"/>
        <v>1</v>
      </c>
      <c r="Q595" s="445" t="s">
        <v>52</v>
      </c>
      <c r="R595" s="391">
        <v>1</v>
      </c>
      <c r="S595" s="362">
        <f t="shared" si="90"/>
        <v>1</v>
      </c>
      <c r="T595" s="368">
        <v>1</v>
      </c>
      <c r="U595" s="368"/>
      <c r="V595" s="368"/>
      <c r="W595" s="368"/>
      <c r="X595" s="364">
        <f t="shared" si="88"/>
        <v>1</v>
      </c>
      <c r="Y595" s="393"/>
      <c r="Z595" s="498">
        <f t="shared" si="94"/>
        <v>0</v>
      </c>
      <c r="AA595" s="368"/>
      <c r="AB595" s="368"/>
      <c r="AC595" s="368"/>
      <c r="AD595" s="368"/>
      <c r="AE595" s="365">
        <f t="shared" si="95"/>
        <v>0</v>
      </c>
      <c r="AF595" s="262"/>
      <c r="AG595" s="457"/>
      <c r="AH595" s="264"/>
    </row>
    <row r="596" spans="1:34" ht="45.75" thickBot="1" x14ac:dyDescent="0.3">
      <c r="A596" s="474" t="s">
        <v>1375</v>
      </c>
      <c r="B596" s="447" t="s">
        <v>1279</v>
      </c>
      <c r="C596" s="580" t="s">
        <v>354</v>
      </c>
      <c r="D596" s="449" t="s">
        <v>431</v>
      </c>
      <c r="E596" s="262"/>
      <c r="F596" s="447" t="s">
        <v>1379</v>
      </c>
      <c r="G596" s="387" t="e">
        <f>VLOOKUP(A596,'Feature Summary'!$A$7:$C$3944,3,FALSE)</f>
        <v>#N/A</v>
      </c>
      <c r="H596" s="447" t="s">
        <v>1380</v>
      </c>
      <c r="I596" s="488" t="s">
        <v>264</v>
      </c>
      <c r="J596" s="478" t="s">
        <v>1381</v>
      </c>
      <c r="K596" s="263">
        <v>1</v>
      </c>
      <c r="L596" s="391">
        <v>1</v>
      </c>
      <c r="M596" s="399" t="s">
        <v>33</v>
      </c>
      <c r="N596" s="475">
        <v>1</v>
      </c>
      <c r="O596" s="391">
        <v>1</v>
      </c>
      <c r="P596" s="496">
        <f t="shared" si="93"/>
        <v>1</v>
      </c>
      <c r="Q596" s="445" t="s">
        <v>52</v>
      </c>
      <c r="R596" s="391">
        <v>1</v>
      </c>
      <c r="S596" s="362">
        <f t="shared" si="90"/>
        <v>1</v>
      </c>
      <c r="T596" s="368">
        <v>1</v>
      </c>
      <c r="U596" s="368"/>
      <c r="V596" s="368"/>
      <c r="W596" s="368"/>
      <c r="X596" s="364">
        <f t="shared" si="88"/>
        <v>1</v>
      </c>
      <c r="Y596" s="393"/>
      <c r="Z596" s="498">
        <f t="shared" si="94"/>
        <v>0</v>
      </c>
      <c r="AA596" s="368"/>
      <c r="AB596" s="368"/>
      <c r="AC596" s="368"/>
      <c r="AD596" s="368"/>
      <c r="AE596" s="365">
        <f t="shared" si="95"/>
        <v>0</v>
      </c>
      <c r="AF596" s="262"/>
      <c r="AG596" s="457"/>
      <c r="AH596" s="264"/>
    </row>
    <row r="597" spans="1:34" ht="45.75" thickBot="1" x14ac:dyDescent="0.3">
      <c r="A597" s="474" t="s">
        <v>1375</v>
      </c>
      <c r="B597" s="447" t="s">
        <v>1279</v>
      </c>
      <c r="C597" s="580" t="s">
        <v>354</v>
      </c>
      <c r="D597" s="449" t="s">
        <v>431</v>
      </c>
      <c r="E597" s="262"/>
      <c r="F597" s="447" t="s">
        <v>1382</v>
      </c>
      <c r="G597" s="387" t="e">
        <f>VLOOKUP(A597,'Feature Summary'!$A$7:$C$3944,3,FALSE)</f>
        <v>#N/A</v>
      </c>
      <c r="H597" s="447" t="s">
        <v>1383</v>
      </c>
      <c r="I597" s="488" t="s">
        <v>264</v>
      </c>
      <c r="J597" s="478" t="s">
        <v>1384</v>
      </c>
      <c r="K597" s="263">
        <v>1</v>
      </c>
      <c r="L597" s="391">
        <v>1</v>
      </c>
      <c r="M597" s="399" t="s">
        <v>33</v>
      </c>
      <c r="N597" s="475">
        <v>1</v>
      </c>
      <c r="O597" s="391">
        <v>1</v>
      </c>
      <c r="P597" s="496">
        <f t="shared" si="93"/>
        <v>1</v>
      </c>
      <c r="Q597" s="445" t="s">
        <v>52</v>
      </c>
      <c r="R597" s="391">
        <v>1</v>
      </c>
      <c r="S597" s="362">
        <f t="shared" si="90"/>
        <v>1</v>
      </c>
      <c r="T597" s="368">
        <v>1</v>
      </c>
      <c r="U597" s="368"/>
      <c r="V597" s="368"/>
      <c r="W597" s="368"/>
      <c r="X597" s="364">
        <f t="shared" ref="X597:X666" si="96">IF((S597=0),0,((T597+U597)/S597*100%))</f>
        <v>1</v>
      </c>
      <c r="Y597" s="393"/>
      <c r="Z597" s="498">
        <f t="shared" si="94"/>
        <v>0</v>
      </c>
      <c r="AA597" s="368"/>
      <c r="AB597" s="368"/>
      <c r="AC597" s="368"/>
      <c r="AD597" s="368"/>
      <c r="AE597" s="365">
        <f t="shared" si="95"/>
        <v>0</v>
      </c>
      <c r="AF597" s="262"/>
      <c r="AG597" s="457"/>
      <c r="AH597" s="264"/>
    </row>
    <row r="598" spans="1:34" ht="75" customHeight="1" thickBot="1" x14ac:dyDescent="0.3">
      <c r="A598" s="474"/>
      <c r="B598" s="447" t="s">
        <v>1279</v>
      </c>
      <c r="C598" s="580"/>
      <c r="D598" s="449" t="s">
        <v>431</v>
      </c>
      <c r="E598" s="262"/>
      <c r="F598" s="447" t="s">
        <v>1372</v>
      </c>
      <c r="G598" s="387" t="e">
        <f>VLOOKUP(A598,'Feature Summary'!$A$7:$C$3944,3,FALSE)</f>
        <v>#N/A</v>
      </c>
      <c r="H598" s="447" t="s">
        <v>1385</v>
      </c>
      <c r="I598" s="447"/>
      <c r="J598" s="478" t="s">
        <v>1386</v>
      </c>
      <c r="K598" s="263"/>
      <c r="L598" s="391"/>
      <c r="M598" s="399" t="s">
        <v>33</v>
      </c>
      <c r="N598" s="475">
        <v>1</v>
      </c>
      <c r="O598" s="391"/>
      <c r="P598" s="496">
        <f t="shared" si="93"/>
        <v>0</v>
      </c>
      <c r="Q598" s="445" t="s">
        <v>52</v>
      </c>
      <c r="R598" s="391"/>
      <c r="S598" s="362">
        <f t="shared" ref="S598:S667" si="97">SUM(T598:W598)</f>
        <v>0</v>
      </c>
      <c r="T598" s="368"/>
      <c r="U598" s="368"/>
      <c r="V598" s="368"/>
      <c r="W598" s="368"/>
      <c r="X598" s="364">
        <f t="shared" si="96"/>
        <v>0</v>
      </c>
      <c r="Y598" s="393"/>
      <c r="Z598" s="498">
        <f t="shared" si="94"/>
        <v>0</v>
      </c>
      <c r="AA598" s="368"/>
      <c r="AB598" s="368"/>
      <c r="AC598" s="368"/>
      <c r="AD598" s="368"/>
      <c r="AE598" s="365">
        <f t="shared" si="95"/>
        <v>0</v>
      </c>
      <c r="AF598" s="558"/>
      <c r="AG598" s="457"/>
      <c r="AH598" s="264"/>
    </row>
    <row r="599" spans="1:34" ht="60.75" thickBot="1" x14ac:dyDescent="0.3">
      <c r="A599" s="474"/>
      <c r="B599" s="447" t="s">
        <v>1279</v>
      </c>
      <c r="C599" s="580"/>
      <c r="D599" s="449" t="s">
        <v>431</v>
      </c>
      <c r="E599" s="262"/>
      <c r="F599" s="447" t="s">
        <v>1376</v>
      </c>
      <c r="G599" s="387" t="e">
        <f>VLOOKUP(A599,'Feature Summary'!$A$7:$C$3944,3,FALSE)</f>
        <v>#N/A</v>
      </c>
      <c r="H599" s="447" t="s">
        <v>1387</v>
      </c>
      <c r="I599" s="447"/>
      <c r="J599" s="478" t="s">
        <v>1388</v>
      </c>
      <c r="K599" s="263"/>
      <c r="L599" s="391"/>
      <c r="M599" s="399" t="s">
        <v>33</v>
      </c>
      <c r="N599" s="475">
        <v>1</v>
      </c>
      <c r="O599" s="391"/>
      <c r="P599" s="496">
        <f t="shared" si="93"/>
        <v>0</v>
      </c>
      <c r="Q599" s="445" t="s">
        <v>52</v>
      </c>
      <c r="R599" s="391"/>
      <c r="S599" s="362">
        <f t="shared" si="97"/>
        <v>0</v>
      </c>
      <c r="T599" s="368"/>
      <c r="U599" s="368"/>
      <c r="V599" s="368"/>
      <c r="W599" s="368"/>
      <c r="X599" s="364">
        <f t="shared" si="96"/>
        <v>0</v>
      </c>
      <c r="Y599" s="393"/>
      <c r="Z599" s="498">
        <f t="shared" si="94"/>
        <v>0</v>
      </c>
      <c r="AA599" s="368"/>
      <c r="AB599" s="368"/>
      <c r="AC599" s="368"/>
      <c r="AD599" s="368"/>
      <c r="AE599" s="365">
        <f t="shared" si="95"/>
        <v>0</v>
      </c>
      <c r="AF599" s="262"/>
      <c r="AG599" s="457"/>
      <c r="AH599" s="264"/>
    </row>
    <row r="600" spans="1:34" ht="60.75" thickBot="1" x14ac:dyDescent="0.3">
      <c r="A600" s="474"/>
      <c r="B600" s="447" t="s">
        <v>1279</v>
      </c>
      <c r="C600" s="580"/>
      <c r="D600" s="449" t="s">
        <v>431</v>
      </c>
      <c r="E600" s="262"/>
      <c r="F600" s="447" t="s">
        <v>1379</v>
      </c>
      <c r="G600" s="387" t="e">
        <f>VLOOKUP(A600,'Feature Summary'!$A$7:$C$3944,3,FALSE)</f>
        <v>#N/A</v>
      </c>
      <c r="H600" s="447" t="s">
        <v>1389</v>
      </c>
      <c r="I600" s="447"/>
      <c r="J600" s="478" t="s">
        <v>1390</v>
      </c>
      <c r="K600" s="263"/>
      <c r="L600" s="391"/>
      <c r="M600" s="399" t="s">
        <v>33</v>
      </c>
      <c r="N600" s="475">
        <v>1</v>
      </c>
      <c r="O600" s="391"/>
      <c r="P600" s="496">
        <f t="shared" si="93"/>
        <v>0</v>
      </c>
      <c r="Q600" s="445" t="s">
        <v>52</v>
      </c>
      <c r="R600" s="391"/>
      <c r="S600" s="362">
        <f t="shared" si="97"/>
        <v>0</v>
      </c>
      <c r="T600" s="368"/>
      <c r="U600" s="368"/>
      <c r="V600" s="368"/>
      <c r="W600" s="368"/>
      <c r="X600" s="364">
        <f t="shared" si="96"/>
        <v>0</v>
      </c>
      <c r="Y600" s="393"/>
      <c r="Z600" s="498">
        <f t="shared" si="94"/>
        <v>0</v>
      </c>
      <c r="AA600" s="368"/>
      <c r="AB600" s="368"/>
      <c r="AC600" s="368"/>
      <c r="AD600" s="368"/>
      <c r="AE600" s="365">
        <f t="shared" si="95"/>
        <v>0</v>
      </c>
      <c r="AF600" s="262"/>
      <c r="AG600" s="457"/>
      <c r="AH600" s="264"/>
    </row>
    <row r="601" spans="1:34" ht="60.75" thickBot="1" x14ac:dyDescent="0.3">
      <c r="A601" s="474"/>
      <c r="B601" s="447" t="s">
        <v>1279</v>
      </c>
      <c r="C601" s="580"/>
      <c r="D601" s="449" t="s">
        <v>431</v>
      </c>
      <c r="E601" s="262"/>
      <c r="F601" s="447" t="s">
        <v>1382</v>
      </c>
      <c r="G601" s="387" t="e">
        <f>VLOOKUP(A601,'Feature Summary'!$A$7:$C$3944,3,FALSE)</f>
        <v>#N/A</v>
      </c>
      <c r="H601" s="447" t="s">
        <v>1391</v>
      </c>
      <c r="I601" s="447"/>
      <c r="J601" s="478" t="s">
        <v>1392</v>
      </c>
      <c r="K601" s="263"/>
      <c r="L601" s="391"/>
      <c r="M601" s="399" t="s">
        <v>33</v>
      </c>
      <c r="N601" s="475">
        <v>1</v>
      </c>
      <c r="O601" s="391"/>
      <c r="P601" s="496">
        <f t="shared" si="93"/>
        <v>0</v>
      </c>
      <c r="Q601" s="445" t="s">
        <v>52</v>
      </c>
      <c r="R601" s="391"/>
      <c r="S601" s="362">
        <f t="shared" si="97"/>
        <v>0</v>
      </c>
      <c r="T601" s="368"/>
      <c r="U601" s="368"/>
      <c r="V601" s="368"/>
      <c r="W601" s="368"/>
      <c r="X601" s="364">
        <f t="shared" si="96"/>
        <v>0</v>
      </c>
      <c r="Y601" s="393"/>
      <c r="Z601" s="498">
        <f t="shared" si="94"/>
        <v>0</v>
      </c>
      <c r="AA601" s="368"/>
      <c r="AB601" s="368"/>
      <c r="AC601" s="368"/>
      <c r="AD601" s="368"/>
      <c r="AE601" s="365">
        <f t="shared" si="95"/>
        <v>0</v>
      </c>
      <c r="AF601" s="262"/>
      <c r="AG601" s="457"/>
      <c r="AH601" s="264"/>
    </row>
    <row r="602" spans="1:34" ht="45.75" thickBot="1" x14ac:dyDescent="0.3">
      <c r="A602" s="474"/>
      <c r="B602" s="447" t="s">
        <v>1279</v>
      </c>
      <c r="C602" s="580"/>
      <c r="D602" s="449" t="s">
        <v>431</v>
      </c>
      <c r="E602" s="262"/>
      <c r="F602" s="447" t="s">
        <v>1372</v>
      </c>
      <c r="G602" s="387" t="e">
        <f>VLOOKUP(A602,'Feature Summary'!$A$7:$C$3944,3,FALSE)</f>
        <v>#N/A</v>
      </c>
      <c r="H602" s="447" t="s">
        <v>1393</v>
      </c>
      <c r="I602" s="447"/>
      <c r="J602" s="478" t="s">
        <v>1394</v>
      </c>
      <c r="K602" s="263"/>
      <c r="L602" s="391"/>
      <c r="M602" s="399" t="s">
        <v>33</v>
      </c>
      <c r="N602" s="475">
        <v>1</v>
      </c>
      <c r="O602" s="391"/>
      <c r="P602" s="496">
        <f t="shared" si="93"/>
        <v>0</v>
      </c>
      <c r="Q602" s="445" t="s">
        <v>52</v>
      </c>
      <c r="R602" s="391"/>
      <c r="S602" s="362">
        <f t="shared" si="97"/>
        <v>0</v>
      </c>
      <c r="T602" s="368"/>
      <c r="U602" s="368"/>
      <c r="V602" s="368"/>
      <c r="W602" s="368"/>
      <c r="X602" s="364">
        <f t="shared" si="96"/>
        <v>0</v>
      </c>
      <c r="Y602" s="393"/>
      <c r="Z602" s="498">
        <f t="shared" si="94"/>
        <v>0</v>
      </c>
      <c r="AA602" s="368"/>
      <c r="AB602" s="368"/>
      <c r="AC602" s="368"/>
      <c r="AD602" s="368"/>
      <c r="AE602" s="365">
        <f t="shared" si="95"/>
        <v>0</v>
      </c>
      <c r="AF602" s="262"/>
      <c r="AG602" s="457"/>
      <c r="AH602" s="264"/>
    </row>
    <row r="603" spans="1:34" ht="45.75" thickBot="1" x14ac:dyDescent="0.3">
      <c r="A603" s="474"/>
      <c r="B603" s="447" t="s">
        <v>1279</v>
      </c>
      <c r="C603" s="580"/>
      <c r="D603" s="449" t="s">
        <v>431</v>
      </c>
      <c r="E603" s="262"/>
      <c r="F603" s="447" t="s">
        <v>1376</v>
      </c>
      <c r="G603" s="387" t="e">
        <f>VLOOKUP(A603,'Feature Summary'!$A$7:$C$3944,3,FALSE)</f>
        <v>#N/A</v>
      </c>
      <c r="H603" s="447" t="s">
        <v>1395</v>
      </c>
      <c r="I603" s="447"/>
      <c r="J603" s="478" t="s">
        <v>1396</v>
      </c>
      <c r="K603" s="263"/>
      <c r="L603" s="391"/>
      <c r="M603" s="399" t="s">
        <v>33</v>
      </c>
      <c r="N603" s="475">
        <v>1</v>
      </c>
      <c r="O603" s="391"/>
      <c r="P603" s="496">
        <f t="shared" si="93"/>
        <v>0</v>
      </c>
      <c r="Q603" s="445" t="s">
        <v>52</v>
      </c>
      <c r="R603" s="391"/>
      <c r="S603" s="362">
        <f t="shared" si="97"/>
        <v>0</v>
      </c>
      <c r="T603" s="368"/>
      <c r="U603" s="368"/>
      <c r="V603" s="368"/>
      <c r="W603" s="368"/>
      <c r="X603" s="364">
        <f t="shared" si="96"/>
        <v>0</v>
      </c>
      <c r="Y603" s="393"/>
      <c r="Z603" s="498">
        <f t="shared" si="94"/>
        <v>0</v>
      </c>
      <c r="AA603" s="368"/>
      <c r="AB603" s="368"/>
      <c r="AC603" s="368"/>
      <c r="AD603" s="368"/>
      <c r="AE603" s="365">
        <f t="shared" si="95"/>
        <v>0</v>
      </c>
      <c r="AF603" s="262"/>
      <c r="AG603" s="457"/>
      <c r="AH603" s="264"/>
    </row>
    <row r="604" spans="1:34" ht="45.75" thickBot="1" x14ac:dyDescent="0.3">
      <c r="A604" s="474"/>
      <c r="B604" s="447" t="s">
        <v>1279</v>
      </c>
      <c r="C604" s="580"/>
      <c r="D604" s="449" t="s">
        <v>431</v>
      </c>
      <c r="E604" s="262"/>
      <c r="F604" s="447" t="s">
        <v>1379</v>
      </c>
      <c r="G604" s="387" t="e">
        <f>VLOOKUP(A604,'Feature Summary'!$A$7:$C$3944,3,FALSE)</f>
        <v>#N/A</v>
      </c>
      <c r="H604" s="447" t="s">
        <v>1397</v>
      </c>
      <c r="I604" s="447"/>
      <c r="J604" s="478" t="s">
        <v>1398</v>
      </c>
      <c r="K604" s="263"/>
      <c r="L604" s="391"/>
      <c r="M604" s="399" t="s">
        <v>33</v>
      </c>
      <c r="N604" s="475">
        <v>1</v>
      </c>
      <c r="O604" s="391"/>
      <c r="P604" s="496">
        <f t="shared" si="93"/>
        <v>0</v>
      </c>
      <c r="Q604" s="445" t="s">
        <v>52</v>
      </c>
      <c r="R604" s="391"/>
      <c r="S604" s="362">
        <f t="shared" si="97"/>
        <v>0</v>
      </c>
      <c r="T604" s="368"/>
      <c r="U604" s="368"/>
      <c r="V604" s="368"/>
      <c r="W604" s="368"/>
      <c r="X604" s="364">
        <f t="shared" si="96"/>
        <v>0</v>
      </c>
      <c r="Y604" s="393"/>
      <c r="Z604" s="498">
        <f t="shared" si="94"/>
        <v>0</v>
      </c>
      <c r="AA604" s="368"/>
      <c r="AB604" s="368"/>
      <c r="AC604" s="368"/>
      <c r="AD604" s="368"/>
      <c r="AE604" s="365">
        <f t="shared" si="95"/>
        <v>0</v>
      </c>
      <c r="AF604" s="262"/>
      <c r="AG604" s="457"/>
      <c r="AH604" s="264"/>
    </row>
    <row r="605" spans="1:34" ht="45.75" thickBot="1" x14ac:dyDescent="0.3">
      <c r="A605" s="474"/>
      <c r="B605" s="447" t="s">
        <v>1279</v>
      </c>
      <c r="C605" s="580"/>
      <c r="D605" s="449" t="s">
        <v>431</v>
      </c>
      <c r="E605" s="262"/>
      <c r="F605" s="447" t="s">
        <v>1382</v>
      </c>
      <c r="G605" s="387" t="e">
        <f>VLOOKUP(A605,'Feature Summary'!$A$7:$C$3944,3,FALSE)</f>
        <v>#N/A</v>
      </c>
      <c r="H605" s="447" t="s">
        <v>1399</v>
      </c>
      <c r="I605" s="447"/>
      <c r="J605" s="478" t="s">
        <v>1400</v>
      </c>
      <c r="K605" s="263"/>
      <c r="L605" s="391"/>
      <c r="M605" s="399" t="s">
        <v>33</v>
      </c>
      <c r="N605" s="475">
        <v>1</v>
      </c>
      <c r="O605" s="391"/>
      <c r="P605" s="496">
        <f t="shared" si="93"/>
        <v>0</v>
      </c>
      <c r="Q605" s="445" t="s">
        <v>52</v>
      </c>
      <c r="R605" s="391"/>
      <c r="S605" s="362">
        <f t="shared" si="97"/>
        <v>0</v>
      </c>
      <c r="T605" s="368"/>
      <c r="U605" s="368"/>
      <c r="V605" s="368"/>
      <c r="W605" s="368"/>
      <c r="X605" s="364">
        <f t="shared" si="96"/>
        <v>0</v>
      </c>
      <c r="Y605" s="393"/>
      <c r="Z605" s="498">
        <f t="shared" si="94"/>
        <v>0</v>
      </c>
      <c r="AA605" s="368"/>
      <c r="AB605" s="368"/>
      <c r="AC605" s="368"/>
      <c r="AD605" s="368"/>
      <c r="AE605" s="365">
        <f t="shared" si="95"/>
        <v>0</v>
      </c>
      <c r="AF605" s="262"/>
      <c r="AG605" s="457"/>
      <c r="AH605" s="264"/>
    </row>
    <row r="606" spans="1:34" ht="30.75" thickBot="1" x14ac:dyDescent="0.3">
      <c r="A606" s="458"/>
      <c r="B606" s="463" t="s">
        <v>1401</v>
      </c>
      <c r="C606" s="463" t="s">
        <v>445</v>
      </c>
      <c r="D606" s="449" t="s">
        <v>431</v>
      </c>
      <c r="E606" s="262"/>
      <c r="F606" s="447" t="s">
        <v>1402</v>
      </c>
      <c r="G606" s="387" t="e">
        <f>VLOOKUP(A606,'Feature Summary'!$A$7:$C$3944,3,FALSE)</f>
        <v>#N/A</v>
      </c>
      <c r="H606" s="447" t="s">
        <v>1403</v>
      </c>
      <c r="I606" s="488" t="s">
        <v>264</v>
      </c>
      <c r="J606" s="448" t="s">
        <v>1011</v>
      </c>
      <c r="K606" s="263">
        <v>1</v>
      </c>
      <c r="L606" s="391">
        <v>1</v>
      </c>
      <c r="M606" s="399" t="s">
        <v>33</v>
      </c>
      <c r="N606" s="475">
        <v>1</v>
      </c>
      <c r="O606" s="391">
        <v>1</v>
      </c>
      <c r="P606" s="496">
        <f t="shared" si="93"/>
        <v>1</v>
      </c>
      <c r="Q606" s="445" t="s">
        <v>52</v>
      </c>
      <c r="R606" s="391">
        <v>1</v>
      </c>
      <c r="S606" s="362">
        <f t="shared" si="97"/>
        <v>1</v>
      </c>
      <c r="T606" s="368">
        <v>1</v>
      </c>
      <c r="U606" s="368"/>
      <c r="V606" s="368"/>
      <c r="W606" s="368"/>
      <c r="X606" s="364">
        <f t="shared" si="96"/>
        <v>1</v>
      </c>
      <c r="Y606" s="393"/>
      <c r="Z606" s="498">
        <f t="shared" si="94"/>
        <v>0</v>
      </c>
      <c r="AA606" s="368"/>
      <c r="AB606" s="368"/>
      <c r="AC606" s="368"/>
      <c r="AD606" s="368"/>
      <c r="AE606" s="365">
        <f t="shared" si="95"/>
        <v>0</v>
      </c>
      <c r="AF606" s="262"/>
      <c r="AG606" s="457"/>
      <c r="AH606" s="264"/>
    </row>
    <row r="607" spans="1:34" ht="45.75" thickBot="1" x14ac:dyDescent="0.3">
      <c r="A607" s="458"/>
      <c r="B607" s="463" t="s">
        <v>1401</v>
      </c>
      <c r="C607" s="463" t="s">
        <v>445</v>
      </c>
      <c r="D607" s="449" t="s">
        <v>431</v>
      </c>
      <c r="E607" s="262"/>
      <c r="F607" s="447" t="s">
        <v>1402</v>
      </c>
      <c r="G607" s="387" t="e">
        <f>VLOOKUP(A607,'Feature Summary'!$A$7:$C$3944,3,FALSE)</f>
        <v>#N/A</v>
      </c>
      <c r="H607" s="447" t="s">
        <v>1404</v>
      </c>
      <c r="I607" s="488" t="s">
        <v>264</v>
      </c>
      <c r="J607" s="448" t="s">
        <v>1013</v>
      </c>
      <c r="K607" s="263">
        <v>1</v>
      </c>
      <c r="L607" s="391">
        <v>1</v>
      </c>
      <c r="M607" s="399" t="s">
        <v>33</v>
      </c>
      <c r="N607" s="475">
        <v>1</v>
      </c>
      <c r="O607" s="391">
        <v>1</v>
      </c>
      <c r="P607" s="496">
        <f t="shared" si="93"/>
        <v>1</v>
      </c>
      <c r="Q607" s="445" t="s">
        <v>52</v>
      </c>
      <c r="R607" s="391">
        <v>1</v>
      </c>
      <c r="S607" s="362">
        <f t="shared" si="97"/>
        <v>1</v>
      </c>
      <c r="T607" s="368">
        <v>1</v>
      </c>
      <c r="U607" s="368"/>
      <c r="V607" s="368"/>
      <c r="W607" s="368"/>
      <c r="X607" s="364">
        <f t="shared" si="96"/>
        <v>1</v>
      </c>
      <c r="Y607" s="393"/>
      <c r="Z607" s="498">
        <f t="shared" si="94"/>
        <v>0</v>
      </c>
      <c r="AA607" s="368"/>
      <c r="AB607" s="368"/>
      <c r="AC607" s="368"/>
      <c r="AD607" s="368"/>
      <c r="AE607" s="365">
        <f t="shared" si="95"/>
        <v>0</v>
      </c>
      <c r="AF607" s="262"/>
      <c r="AG607" s="457"/>
      <c r="AH607" s="264"/>
    </row>
    <row r="608" spans="1:34" ht="30.75" thickBot="1" x14ac:dyDescent="0.3">
      <c r="A608" s="458"/>
      <c r="B608" s="463" t="s">
        <v>1401</v>
      </c>
      <c r="C608" s="463" t="s">
        <v>445</v>
      </c>
      <c r="D608" s="449" t="s">
        <v>431</v>
      </c>
      <c r="E608" s="262"/>
      <c r="F608" s="447" t="s">
        <v>1402</v>
      </c>
      <c r="G608" s="387" t="e">
        <f>VLOOKUP(A608,'Feature Summary'!$A$7:$C$3944,3,FALSE)</f>
        <v>#N/A</v>
      </c>
      <c r="H608" s="447" t="s">
        <v>1405</v>
      </c>
      <c r="I608" s="488" t="s">
        <v>264</v>
      </c>
      <c r="J608" s="448" t="s">
        <v>1015</v>
      </c>
      <c r="K608" s="263">
        <v>1</v>
      </c>
      <c r="L608" s="391">
        <v>1</v>
      </c>
      <c r="M608" s="399" t="s">
        <v>33</v>
      </c>
      <c r="N608" s="475">
        <v>1</v>
      </c>
      <c r="O608" s="391">
        <v>1</v>
      </c>
      <c r="P608" s="496">
        <f t="shared" ref="P608:P613" si="98">IF((O608=0),0,(O608/L608))</f>
        <v>1</v>
      </c>
      <c r="Q608" s="445" t="s">
        <v>52</v>
      </c>
      <c r="R608" s="391">
        <v>1</v>
      </c>
      <c r="S608" s="362">
        <f t="shared" ref="S608:S613" si="99">SUM(T608:W608)</f>
        <v>1</v>
      </c>
      <c r="T608" s="368">
        <v>1</v>
      </c>
      <c r="U608" s="368"/>
      <c r="V608" s="368"/>
      <c r="W608" s="368"/>
      <c r="X608" s="364">
        <f t="shared" ref="X608:X613" si="100">IF((S608=0),0,((T608+U608)/S608*100%))</f>
        <v>1</v>
      </c>
      <c r="Y608" s="393"/>
      <c r="Z608" s="498">
        <f t="shared" si="94"/>
        <v>0</v>
      </c>
      <c r="AA608" s="368"/>
      <c r="AB608" s="368"/>
      <c r="AC608" s="368"/>
      <c r="AD608" s="368"/>
      <c r="AE608" s="365">
        <f t="shared" si="95"/>
        <v>0</v>
      </c>
      <c r="AF608" s="262"/>
      <c r="AG608" s="457"/>
      <c r="AH608" s="264"/>
    </row>
    <row r="609" spans="1:34" ht="30.75" thickBot="1" x14ac:dyDescent="0.3">
      <c r="A609" s="458"/>
      <c r="B609" s="463" t="s">
        <v>1401</v>
      </c>
      <c r="C609" s="463" t="s">
        <v>445</v>
      </c>
      <c r="D609" s="449" t="s">
        <v>431</v>
      </c>
      <c r="E609" s="262"/>
      <c r="F609" s="447" t="s">
        <v>1402</v>
      </c>
      <c r="G609" s="387" t="e">
        <f>VLOOKUP(A609,'Feature Summary'!$A$7:$C$3944,3,FALSE)</f>
        <v>#N/A</v>
      </c>
      <c r="H609" s="447" t="s">
        <v>1406</v>
      </c>
      <c r="I609" s="488" t="s">
        <v>264</v>
      </c>
      <c r="J609" s="448" t="s">
        <v>1015</v>
      </c>
      <c r="K609" s="263">
        <v>1</v>
      </c>
      <c r="L609" s="391">
        <v>1</v>
      </c>
      <c r="M609" s="399" t="s">
        <v>33</v>
      </c>
      <c r="N609" s="475">
        <v>1</v>
      </c>
      <c r="O609" s="391">
        <v>1</v>
      </c>
      <c r="P609" s="496">
        <f t="shared" si="98"/>
        <v>1</v>
      </c>
      <c r="Q609" s="445" t="s">
        <v>52</v>
      </c>
      <c r="R609" s="391">
        <v>1</v>
      </c>
      <c r="S609" s="362">
        <f t="shared" si="99"/>
        <v>1</v>
      </c>
      <c r="T609" s="368">
        <v>1</v>
      </c>
      <c r="U609" s="368"/>
      <c r="V609" s="368"/>
      <c r="W609" s="368"/>
      <c r="X609" s="364">
        <f t="shared" si="100"/>
        <v>1</v>
      </c>
      <c r="Y609" s="393"/>
      <c r="Z609" s="498">
        <f t="shared" si="94"/>
        <v>0</v>
      </c>
      <c r="AA609" s="368"/>
      <c r="AB609" s="368"/>
      <c r="AC609" s="368"/>
      <c r="AD609" s="368"/>
      <c r="AE609" s="365">
        <f t="shared" si="95"/>
        <v>0</v>
      </c>
      <c r="AF609" s="558"/>
      <c r="AG609" s="457"/>
      <c r="AH609" s="264"/>
    </row>
    <row r="610" spans="1:34" ht="30.75" thickBot="1" x14ac:dyDescent="0.3">
      <c r="A610" s="458"/>
      <c r="B610" s="463" t="s">
        <v>1401</v>
      </c>
      <c r="C610" s="463" t="s">
        <v>445</v>
      </c>
      <c r="D610" s="449" t="s">
        <v>431</v>
      </c>
      <c r="E610" s="262"/>
      <c r="F610" s="447" t="s">
        <v>1402</v>
      </c>
      <c r="G610" s="387" t="e">
        <f>VLOOKUP(A610,'Feature Summary'!$A$7:$C$3944,3,FALSE)</f>
        <v>#N/A</v>
      </c>
      <c r="H610" s="447" t="s">
        <v>1407</v>
      </c>
      <c r="I610" s="488" t="s">
        <v>264</v>
      </c>
      <c r="J610" s="448" t="s">
        <v>1011</v>
      </c>
      <c r="K610" s="263">
        <v>1</v>
      </c>
      <c r="L610" s="391">
        <v>1</v>
      </c>
      <c r="M610" s="399" t="s">
        <v>33</v>
      </c>
      <c r="N610" s="475">
        <v>1</v>
      </c>
      <c r="O610" s="391">
        <v>1</v>
      </c>
      <c r="P610" s="496">
        <f t="shared" si="98"/>
        <v>1</v>
      </c>
      <c r="Q610" s="445" t="s">
        <v>52</v>
      </c>
      <c r="R610" s="391">
        <v>1</v>
      </c>
      <c r="S610" s="362">
        <f t="shared" si="99"/>
        <v>1</v>
      </c>
      <c r="T610" s="368">
        <v>1</v>
      </c>
      <c r="U610" s="368"/>
      <c r="V610" s="368"/>
      <c r="W610" s="368"/>
      <c r="X610" s="364">
        <f t="shared" si="100"/>
        <v>1</v>
      </c>
      <c r="Y610" s="393"/>
      <c r="Z610" s="498">
        <f t="shared" si="94"/>
        <v>0</v>
      </c>
      <c r="AA610" s="368"/>
      <c r="AB610" s="368"/>
      <c r="AC610" s="368"/>
      <c r="AD610" s="368"/>
      <c r="AE610" s="365">
        <f t="shared" si="95"/>
        <v>0</v>
      </c>
      <c r="AF610" s="262"/>
      <c r="AG610" s="457"/>
      <c r="AH610" s="264"/>
    </row>
    <row r="611" spans="1:34" ht="45.75" thickBot="1" x14ac:dyDescent="0.3">
      <c r="A611" s="458"/>
      <c r="B611" s="463" t="s">
        <v>1401</v>
      </c>
      <c r="C611" s="463" t="s">
        <v>445</v>
      </c>
      <c r="D611" s="449" t="s">
        <v>431</v>
      </c>
      <c r="E611" s="262"/>
      <c r="F611" s="447" t="s">
        <v>1402</v>
      </c>
      <c r="G611" s="387" t="e">
        <f>VLOOKUP(A611,'Feature Summary'!$A$7:$C$3944,3,FALSE)</f>
        <v>#N/A</v>
      </c>
      <c r="H611" s="447" t="s">
        <v>1408</v>
      </c>
      <c r="I611" s="488" t="s">
        <v>264</v>
      </c>
      <c r="J611" s="448" t="s">
        <v>1013</v>
      </c>
      <c r="K611" s="263">
        <v>1</v>
      </c>
      <c r="L611" s="391">
        <v>1</v>
      </c>
      <c r="M611" s="399" t="s">
        <v>33</v>
      </c>
      <c r="N611" s="475">
        <v>1</v>
      </c>
      <c r="O611" s="391">
        <v>1</v>
      </c>
      <c r="P611" s="496">
        <f t="shared" si="98"/>
        <v>1</v>
      </c>
      <c r="Q611" s="445" t="s">
        <v>52</v>
      </c>
      <c r="R611" s="391">
        <v>1</v>
      </c>
      <c r="S611" s="362">
        <f t="shared" si="99"/>
        <v>1</v>
      </c>
      <c r="T611" s="368">
        <v>1</v>
      </c>
      <c r="U611" s="368"/>
      <c r="V611" s="368"/>
      <c r="W611" s="368"/>
      <c r="X611" s="364">
        <f t="shared" si="100"/>
        <v>1</v>
      </c>
      <c r="Y611" s="393"/>
      <c r="Z611" s="498">
        <f t="shared" si="94"/>
        <v>0</v>
      </c>
      <c r="AA611" s="368"/>
      <c r="AB611" s="368"/>
      <c r="AC611" s="368"/>
      <c r="AD611" s="368"/>
      <c r="AE611" s="365">
        <f t="shared" si="95"/>
        <v>0</v>
      </c>
      <c r="AF611" s="262"/>
      <c r="AG611" s="457"/>
      <c r="AH611" s="264"/>
    </row>
    <row r="612" spans="1:34" ht="30.75" thickBot="1" x14ac:dyDescent="0.3">
      <c r="A612" s="458"/>
      <c r="B612" s="463" t="s">
        <v>1401</v>
      </c>
      <c r="C612" s="463" t="s">
        <v>445</v>
      </c>
      <c r="D612" s="449" t="s">
        <v>431</v>
      </c>
      <c r="E612" s="262"/>
      <c r="F612" s="447" t="s">
        <v>1402</v>
      </c>
      <c r="G612" s="387" t="e">
        <f>VLOOKUP(A612,'Feature Summary'!$A$7:$C$3944,3,FALSE)</f>
        <v>#N/A</v>
      </c>
      <c r="H612" s="447" t="s">
        <v>1409</v>
      </c>
      <c r="I612" s="488" t="s">
        <v>264</v>
      </c>
      <c r="J612" s="448" t="s">
        <v>1021</v>
      </c>
      <c r="K612" s="263">
        <v>1</v>
      </c>
      <c r="L612" s="391">
        <v>1</v>
      </c>
      <c r="M612" s="399" t="s">
        <v>33</v>
      </c>
      <c r="N612" s="475">
        <v>1</v>
      </c>
      <c r="O612" s="391">
        <v>1</v>
      </c>
      <c r="P612" s="496">
        <f t="shared" si="98"/>
        <v>1</v>
      </c>
      <c r="Q612" s="445" t="s">
        <v>52</v>
      </c>
      <c r="R612" s="391">
        <v>1</v>
      </c>
      <c r="S612" s="362">
        <f t="shared" si="99"/>
        <v>1</v>
      </c>
      <c r="T612" s="368">
        <v>1</v>
      </c>
      <c r="U612" s="368"/>
      <c r="V612" s="368"/>
      <c r="W612" s="368"/>
      <c r="X612" s="364">
        <f t="shared" si="100"/>
        <v>1</v>
      </c>
      <c r="Y612" s="393"/>
      <c r="Z612" s="498">
        <f t="shared" si="94"/>
        <v>0</v>
      </c>
      <c r="AA612" s="368"/>
      <c r="AB612" s="368"/>
      <c r="AC612" s="368"/>
      <c r="AD612" s="368"/>
      <c r="AE612" s="365">
        <f t="shared" si="95"/>
        <v>0</v>
      </c>
      <c r="AF612" s="262"/>
      <c r="AG612" s="457"/>
      <c r="AH612" s="264"/>
    </row>
    <row r="613" spans="1:34" ht="45.75" thickBot="1" x14ac:dyDescent="0.3">
      <c r="A613" s="458"/>
      <c r="B613" s="463" t="s">
        <v>1401</v>
      </c>
      <c r="C613" s="463" t="s">
        <v>445</v>
      </c>
      <c r="D613" s="449" t="s">
        <v>431</v>
      </c>
      <c r="E613" s="262"/>
      <c r="F613" s="447" t="s">
        <v>1402</v>
      </c>
      <c r="G613" s="387" t="e">
        <f>VLOOKUP(A613,'Feature Summary'!$A$7:$C$3944,3,FALSE)</f>
        <v>#N/A</v>
      </c>
      <c r="H613" s="447" t="s">
        <v>1410</v>
      </c>
      <c r="I613" s="488" t="s">
        <v>264</v>
      </c>
      <c r="J613" s="448" t="s">
        <v>1411</v>
      </c>
      <c r="K613" s="263">
        <v>1</v>
      </c>
      <c r="L613" s="391">
        <v>1</v>
      </c>
      <c r="M613" s="399" t="s">
        <v>33</v>
      </c>
      <c r="N613" s="475">
        <v>1</v>
      </c>
      <c r="O613" s="391">
        <v>1</v>
      </c>
      <c r="P613" s="496">
        <f t="shared" si="98"/>
        <v>1</v>
      </c>
      <c r="Q613" s="445" t="s">
        <v>52</v>
      </c>
      <c r="R613" s="391">
        <v>1</v>
      </c>
      <c r="S613" s="362">
        <f t="shared" si="99"/>
        <v>1</v>
      </c>
      <c r="T613" s="368">
        <v>1</v>
      </c>
      <c r="U613" s="368"/>
      <c r="V613" s="368"/>
      <c r="W613" s="368"/>
      <c r="X613" s="364">
        <f t="shared" si="100"/>
        <v>1</v>
      </c>
      <c r="Y613" s="393"/>
      <c r="Z613" s="498">
        <f t="shared" si="94"/>
        <v>0</v>
      </c>
      <c r="AA613" s="368"/>
      <c r="AB613" s="368"/>
      <c r="AC613" s="368"/>
      <c r="AD613" s="368"/>
      <c r="AE613" s="365">
        <f t="shared" si="95"/>
        <v>0</v>
      </c>
      <c r="AF613" s="262"/>
      <c r="AG613" s="457"/>
      <c r="AH613" s="264"/>
    </row>
    <row r="614" spans="1:34" ht="30.75" thickBot="1" x14ac:dyDescent="0.3">
      <c r="A614" s="458"/>
      <c r="B614" s="463"/>
      <c r="C614" s="463"/>
      <c r="D614" s="449" t="s">
        <v>431</v>
      </c>
      <c r="E614" s="262"/>
      <c r="F614" s="447" t="s">
        <v>1412</v>
      </c>
      <c r="G614" s="387" t="e">
        <f>VLOOKUP(A614,'Feature Summary'!$A$7:$C$3944,3,FALSE)</f>
        <v>#N/A</v>
      </c>
      <c r="H614" s="447" t="s">
        <v>1413</v>
      </c>
      <c r="I614" s="447"/>
      <c r="J614" s="448" t="s">
        <v>328</v>
      </c>
      <c r="K614" s="263"/>
      <c r="L614" s="391"/>
      <c r="M614" s="399" t="s">
        <v>33</v>
      </c>
      <c r="N614" s="475">
        <v>1</v>
      </c>
      <c r="O614" s="391"/>
      <c r="P614" s="496">
        <f t="shared" si="93"/>
        <v>0</v>
      </c>
      <c r="Q614" s="445" t="s">
        <v>52</v>
      </c>
      <c r="R614" s="391"/>
      <c r="S614" s="362">
        <f t="shared" si="97"/>
        <v>0</v>
      </c>
      <c r="T614" s="368"/>
      <c r="U614" s="368"/>
      <c r="V614" s="368"/>
      <c r="W614" s="368"/>
      <c r="X614" s="364">
        <f t="shared" si="96"/>
        <v>0</v>
      </c>
      <c r="Y614" s="393"/>
      <c r="Z614" s="498">
        <f t="shared" si="94"/>
        <v>0</v>
      </c>
      <c r="AA614" s="368"/>
      <c r="AB614" s="368"/>
      <c r="AC614" s="368"/>
      <c r="AD614" s="368"/>
      <c r="AE614" s="365">
        <f t="shared" si="95"/>
        <v>0</v>
      </c>
      <c r="AF614" s="262"/>
      <c r="AG614" s="457"/>
      <c r="AH614" s="264"/>
    </row>
    <row r="615" spans="1:34" ht="30.75" thickBot="1" x14ac:dyDescent="0.3">
      <c r="A615" s="458"/>
      <c r="B615" s="463"/>
      <c r="C615" s="463"/>
      <c r="D615" s="449" t="s">
        <v>431</v>
      </c>
      <c r="E615" s="262"/>
      <c r="F615" s="447" t="s">
        <v>1414</v>
      </c>
      <c r="G615" s="387" t="e">
        <f>VLOOKUP(A615,'Feature Summary'!$A$7:$C$3944,3,FALSE)</f>
        <v>#N/A</v>
      </c>
      <c r="H615" s="447" t="s">
        <v>1415</v>
      </c>
      <c r="I615" s="447"/>
      <c r="J615" s="448" t="s">
        <v>328</v>
      </c>
      <c r="K615" s="263"/>
      <c r="L615" s="391"/>
      <c r="M615" s="399" t="s">
        <v>33</v>
      </c>
      <c r="N615" s="475">
        <v>1</v>
      </c>
      <c r="O615" s="391"/>
      <c r="P615" s="496">
        <f t="shared" si="93"/>
        <v>0</v>
      </c>
      <c r="Q615" s="445" t="s">
        <v>52</v>
      </c>
      <c r="R615" s="391"/>
      <c r="S615" s="362">
        <f t="shared" si="97"/>
        <v>0</v>
      </c>
      <c r="T615" s="368"/>
      <c r="U615" s="368"/>
      <c r="V615" s="368"/>
      <c r="W615" s="368"/>
      <c r="X615" s="364">
        <f t="shared" si="96"/>
        <v>0</v>
      </c>
      <c r="Y615" s="393"/>
      <c r="Z615" s="498">
        <f t="shared" si="94"/>
        <v>0</v>
      </c>
      <c r="AA615" s="368"/>
      <c r="AB615" s="368"/>
      <c r="AC615" s="368"/>
      <c r="AD615" s="368"/>
      <c r="AE615" s="365">
        <f t="shared" si="95"/>
        <v>0</v>
      </c>
      <c r="AF615" s="262"/>
      <c r="AG615" s="457"/>
      <c r="AH615" s="264"/>
    </row>
    <row r="616" spans="1:34" ht="30.75" thickBot="1" x14ac:dyDescent="0.3">
      <c r="A616" s="458"/>
      <c r="B616" s="463"/>
      <c r="C616" s="463"/>
      <c r="D616" s="449" t="s">
        <v>431</v>
      </c>
      <c r="E616" s="262"/>
      <c r="F616" s="447" t="s">
        <v>1412</v>
      </c>
      <c r="G616" s="387" t="e">
        <f>VLOOKUP(A616,'Feature Summary'!$A$7:$C$3944,3,FALSE)</f>
        <v>#N/A</v>
      </c>
      <c r="H616" s="447" t="s">
        <v>1416</v>
      </c>
      <c r="I616" s="447"/>
      <c r="J616" s="448" t="s">
        <v>1417</v>
      </c>
      <c r="K616" s="263"/>
      <c r="L616" s="391"/>
      <c r="M616" s="399" t="s">
        <v>33</v>
      </c>
      <c r="N616" s="475">
        <v>1</v>
      </c>
      <c r="O616" s="391"/>
      <c r="P616" s="496">
        <f>IF((O616=0),0,(O616/L616))</f>
        <v>0</v>
      </c>
      <c r="Q616" s="445" t="s">
        <v>52</v>
      </c>
      <c r="R616" s="391"/>
      <c r="S616" s="362">
        <f t="shared" si="97"/>
        <v>0</v>
      </c>
      <c r="T616" s="368"/>
      <c r="U616" s="368"/>
      <c r="V616" s="368"/>
      <c r="W616" s="368"/>
      <c r="X616" s="364">
        <f t="shared" si="96"/>
        <v>0</v>
      </c>
      <c r="Y616" s="393"/>
      <c r="Z616" s="498">
        <f t="shared" si="94"/>
        <v>0</v>
      </c>
      <c r="AA616" s="368"/>
      <c r="AB616" s="368"/>
      <c r="AC616" s="368"/>
      <c r="AD616" s="368"/>
      <c r="AE616" s="365">
        <f t="shared" si="95"/>
        <v>0</v>
      </c>
      <c r="AF616" s="262"/>
      <c r="AG616" s="457"/>
      <c r="AH616" s="264"/>
    </row>
    <row r="617" spans="1:34" ht="30.75" thickBot="1" x14ac:dyDescent="0.3">
      <c r="A617" s="458"/>
      <c r="B617" s="463"/>
      <c r="C617" s="463"/>
      <c r="D617" s="449" t="s">
        <v>431</v>
      </c>
      <c r="E617" s="262"/>
      <c r="F617" s="447" t="s">
        <v>1412</v>
      </c>
      <c r="G617" s="387" t="e">
        <f>VLOOKUP(A617,'Feature Summary'!$A$7:$C$3944,3,FALSE)</f>
        <v>#N/A</v>
      </c>
      <c r="H617" s="447" t="s">
        <v>1418</v>
      </c>
      <c r="I617" s="447"/>
      <c r="J617" s="448" t="s">
        <v>297</v>
      </c>
      <c r="K617" s="263"/>
      <c r="L617" s="391"/>
      <c r="M617" s="399" t="s">
        <v>33</v>
      </c>
      <c r="N617" s="475">
        <v>1</v>
      </c>
      <c r="O617" s="391"/>
      <c r="P617" s="496">
        <f>IF((O617=0),0,(O617/L617))</f>
        <v>0</v>
      </c>
      <c r="Q617" s="445" t="s">
        <v>52</v>
      </c>
      <c r="R617" s="391"/>
      <c r="S617" s="362">
        <f t="shared" si="97"/>
        <v>0</v>
      </c>
      <c r="T617" s="368"/>
      <c r="U617" s="368"/>
      <c r="V617" s="368"/>
      <c r="W617" s="368"/>
      <c r="X617" s="364">
        <f t="shared" si="96"/>
        <v>0</v>
      </c>
      <c r="Y617" s="393"/>
      <c r="Z617" s="498">
        <f t="shared" si="94"/>
        <v>0</v>
      </c>
      <c r="AA617" s="368"/>
      <c r="AB617" s="368"/>
      <c r="AC617" s="368"/>
      <c r="AD617" s="368"/>
      <c r="AE617" s="365">
        <f t="shared" si="95"/>
        <v>0</v>
      </c>
      <c r="AF617" s="262"/>
      <c r="AG617" s="457"/>
      <c r="AH617" s="264"/>
    </row>
    <row r="618" spans="1:34" ht="30.75" thickBot="1" x14ac:dyDescent="0.3">
      <c r="A618" s="458"/>
      <c r="B618" s="463"/>
      <c r="C618" s="463"/>
      <c r="D618" s="449" t="s">
        <v>431</v>
      </c>
      <c r="E618" s="262"/>
      <c r="F618" s="447" t="s">
        <v>1414</v>
      </c>
      <c r="G618" s="387" t="e">
        <f>VLOOKUP(A618,'Feature Summary'!$A$7:$C$3944,3,FALSE)</f>
        <v>#N/A</v>
      </c>
      <c r="H618" s="447" t="s">
        <v>1419</v>
      </c>
      <c r="I618" s="447"/>
      <c r="J618" s="448" t="s">
        <v>297</v>
      </c>
      <c r="K618" s="263"/>
      <c r="L618" s="391"/>
      <c r="M618" s="399" t="s">
        <v>33</v>
      </c>
      <c r="N618" s="475">
        <v>1</v>
      </c>
      <c r="O618" s="391"/>
      <c r="P618" s="496">
        <f t="shared" ref="P618:P622" si="101">IF((O618=0),0,(O618/L618))</f>
        <v>0</v>
      </c>
      <c r="Q618" s="445" t="s">
        <v>52</v>
      </c>
      <c r="R618" s="391"/>
      <c r="S618" s="362">
        <f t="shared" si="97"/>
        <v>0</v>
      </c>
      <c r="T618" s="368"/>
      <c r="U618" s="368"/>
      <c r="V618" s="368"/>
      <c r="W618" s="368"/>
      <c r="X618" s="364">
        <f t="shared" si="96"/>
        <v>0</v>
      </c>
      <c r="Y618" s="393"/>
      <c r="Z618" s="498">
        <f t="shared" si="94"/>
        <v>0</v>
      </c>
      <c r="AA618" s="368"/>
      <c r="AB618" s="368"/>
      <c r="AC618" s="368"/>
      <c r="AD618" s="368"/>
      <c r="AE618" s="365">
        <f t="shared" si="95"/>
        <v>0</v>
      </c>
      <c r="AF618" s="262"/>
      <c r="AG618" s="457"/>
      <c r="AH618" s="264"/>
    </row>
    <row r="619" spans="1:34" ht="30.75" thickBot="1" x14ac:dyDescent="0.3">
      <c r="A619" s="458"/>
      <c r="B619" s="463"/>
      <c r="C619" s="463" t="s">
        <v>445</v>
      </c>
      <c r="D619" s="449" t="s">
        <v>431</v>
      </c>
      <c r="E619" s="262"/>
      <c r="F619" s="447" t="s">
        <v>1420</v>
      </c>
      <c r="G619" s="387" t="e">
        <f>VLOOKUP(A619,'Feature Summary'!$A$7:$C$3944,3,FALSE)</f>
        <v>#N/A</v>
      </c>
      <c r="H619" s="447" t="s">
        <v>1421</v>
      </c>
      <c r="I619" s="488" t="s">
        <v>264</v>
      </c>
      <c r="J619" s="448" t="s">
        <v>1224</v>
      </c>
      <c r="K619" s="263">
        <v>1</v>
      </c>
      <c r="L619" s="391">
        <v>2</v>
      </c>
      <c r="M619" s="399" t="s">
        <v>33</v>
      </c>
      <c r="N619" s="475">
        <v>1</v>
      </c>
      <c r="O619" s="391">
        <v>2</v>
      </c>
      <c r="P619" s="496">
        <f t="shared" si="101"/>
        <v>1</v>
      </c>
      <c r="Q619" s="445" t="s">
        <v>52</v>
      </c>
      <c r="R619" s="391">
        <v>2</v>
      </c>
      <c r="S619" s="362">
        <f t="shared" si="97"/>
        <v>2</v>
      </c>
      <c r="T619" s="368">
        <v>2</v>
      </c>
      <c r="U619" s="368"/>
      <c r="V619" s="368"/>
      <c r="W619" s="368"/>
      <c r="X619" s="364">
        <f t="shared" si="96"/>
        <v>1</v>
      </c>
      <c r="Y619" s="393"/>
      <c r="Z619" s="498">
        <f t="shared" si="94"/>
        <v>0</v>
      </c>
      <c r="AA619" s="368"/>
      <c r="AB619" s="368"/>
      <c r="AC619" s="368"/>
      <c r="AD619" s="368"/>
      <c r="AE619" s="365">
        <f t="shared" si="95"/>
        <v>0</v>
      </c>
      <c r="AF619" s="558"/>
      <c r="AG619" s="457"/>
      <c r="AH619" s="264"/>
    </row>
    <row r="620" spans="1:34" ht="30.75" thickBot="1" x14ac:dyDescent="0.3">
      <c r="A620" s="458"/>
      <c r="B620" s="463"/>
      <c r="C620" s="463" t="s">
        <v>445</v>
      </c>
      <c r="D620" s="449" t="s">
        <v>431</v>
      </c>
      <c r="E620" s="262"/>
      <c r="F620" s="447" t="s">
        <v>1422</v>
      </c>
      <c r="G620" s="387" t="e">
        <f>VLOOKUP(A620,'Feature Summary'!$A$7:$C$3944,3,FALSE)</f>
        <v>#N/A</v>
      </c>
      <c r="H620" s="447" t="s">
        <v>1423</v>
      </c>
      <c r="I620" s="488" t="s">
        <v>264</v>
      </c>
      <c r="J620" s="448" t="s">
        <v>1224</v>
      </c>
      <c r="K620" s="263">
        <v>1</v>
      </c>
      <c r="L620" s="391">
        <v>2</v>
      </c>
      <c r="M620" s="399" t="s">
        <v>33</v>
      </c>
      <c r="N620" s="475">
        <v>1</v>
      </c>
      <c r="O620" s="391">
        <v>2</v>
      </c>
      <c r="P620" s="496">
        <f t="shared" si="101"/>
        <v>1</v>
      </c>
      <c r="Q620" s="445" t="s">
        <v>52</v>
      </c>
      <c r="R620" s="391">
        <v>2</v>
      </c>
      <c r="S620" s="362">
        <f t="shared" si="97"/>
        <v>2</v>
      </c>
      <c r="T620" s="368">
        <v>2</v>
      </c>
      <c r="U620" s="368"/>
      <c r="V620" s="368"/>
      <c r="W620" s="368"/>
      <c r="X620" s="364">
        <f t="shared" si="96"/>
        <v>1</v>
      </c>
      <c r="Y620" s="393"/>
      <c r="Z620" s="498">
        <f t="shared" si="94"/>
        <v>0</v>
      </c>
      <c r="AA620" s="368"/>
      <c r="AB620" s="368"/>
      <c r="AC620" s="368"/>
      <c r="AD620" s="368"/>
      <c r="AE620" s="365">
        <f t="shared" si="95"/>
        <v>0</v>
      </c>
      <c r="AF620" s="558"/>
      <c r="AG620" s="457"/>
      <c r="AH620" s="264"/>
    </row>
    <row r="621" spans="1:34" ht="30.75" thickBot="1" x14ac:dyDescent="0.3">
      <c r="A621" s="458"/>
      <c r="B621" s="463"/>
      <c r="C621" s="463"/>
      <c r="D621" s="449" t="s">
        <v>431</v>
      </c>
      <c r="E621" s="262"/>
      <c r="F621" s="447" t="s">
        <v>1420</v>
      </c>
      <c r="G621" s="387" t="e">
        <f>VLOOKUP(A621,'Feature Summary'!$A$7:$C$3944,3,FALSE)</f>
        <v>#N/A</v>
      </c>
      <c r="H621" s="447" t="s">
        <v>1424</v>
      </c>
      <c r="I621" s="447"/>
      <c r="J621" s="448" t="s">
        <v>320</v>
      </c>
      <c r="K621" s="263"/>
      <c r="L621" s="391"/>
      <c r="M621" s="399" t="s">
        <v>33</v>
      </c>
      <c r="N621" s="475">
        <v>1</v>
      </c>
      <c r="O621" s="391"/>
      <c r="P621" s="496">
        <f t="shared" si="101"/>
        <v>0</v>
      </c>
      <c r="Q621" s="445" t="s">
        <v>52</v>
      </c>
      <c r="R621" s="391"/>
      <c r="S621" s="362">
        <f t="shared" si="97"/>
        <v>0</v>
      </c>
      <c r="T621" s="368"/>
      <c r="U621" s="368"/>
      <c r="V621" s="368"/>
      <c r="W621" s="368"/>
      <c r="X621" s="364">
        <f t="shared" si="96"/>
        <v>0</v>
      </c>
      <c r="Y621" s="393"/>
      <c r="Z621" s="498">
        <f t="shared" si="94"/>
        <v>0</v>
      </c>
      <c r="AA621" s="368"/>
      <c r="AB621" s="368"/>
      <c r="AC621" s="368"/>
      <c r="AD621" s="368"/>
      <c r="AE621" s="365">
        <f t="shared" si="95"/>
        <v>0</v>
      </c>
      <c r="AF621" s="262"/>
      <c r="AG621" s="457"/>
      <c r="AH621" s="264"/>
    </row>
    <row r="622" spans="1:34" ht="30.75" thickBot="1" x14ac:dyDescent="0.3">
      <c r="A622" s="458"/>
      <c r="B622" s="463"/>
      <c r="C622" s="463"/>
      <c r="D622" s="449" t="s">
        <v>431</v>
      </c>
      <c r="E622" s="262"/>
      <c r="F622" s="447" t="s">
        <v>1422</v>
      </c>
      <c r="G622" s="387" t="e">
        <f>VLOOKUP(A622,'Feature Summary'!$A$7:$C$3944,3,FALSE)</f>
        <v>#N/A</v>
      </c>
      <c r="H622" s="447" t="s">
        <v>1425</v>
      </c>
      <c r="I622" s="447"/>
      <c r="J622" s="448" t="s">
        <v>320</v>
      </c>
      <c r="K622" s="263"/>
      <c r="L622" s="391"/>
      <c r="M622" s="399" t="s">
        <v>33</v>
      </c>
      <c r="N622" s="475">
        <v>1</v>
      </c>
      <c r="O622" s="391"/>
      <c r="P622" s="496">
        <f t="shared" si="101"/>
        <v>0</v>
      </c>
      <c r="Q622" s="445" t="s">
        <v>52</v>
      </c>
      <c r="R622" s="391"/>
      <c r="S622" s="362">
        <f t="shared" si="97"/>
        <v>0</v>
      </c>
      <c r="T622" s="368"/>
      <c r="U622" s="368"/>
      <c r="V622" s="368"/>
      <c r="W622" s="368"/>
      <c r="X622" s="364">
        <f t="shared" si="96"/>
        <v>0</v>
      </c>
      <c r="Y622" s="393"/>
      <c r="Z622" s="498">
        <f t="shared" si="94"/>
        <v>0</v>
      </c>
      <c r="AA622" s="368"/>
      <c r="AB622" s="368"/>
      <c r="AC622" s="368"/>
      <c r="AD622" s="368"/>
      <c r="AE622" s="365">
        <f t="shared" si="95"/>
        <v>0</v>
      </c>
      <c r="AF622" s="262"/>
      <c r="AG622" s="457"/>
      <c r="AH622" s="264"/>
    </row>
    <row r="623" spans="1:34" ht="30.75" thickBot="1" x14ac:dyDescent="0.3">
      <c r="A623" s="458"/>
      <c r="B623" s="463"/>
      <c r="C623" s="463"/>
      <c r="D623" s="449" t="s">
        <v>431</v>
      </c>
      <c r="E623" s="262"/>
      <c r="F623" s="447" t="s">
        <v>1420</v>
      </c>
      <c r="G623" s="387" t="e">
        <f>VLOOKUP(A623,'Feature Summary'!$A$7:$C$3944,3,FALSE)</f>
        <v>#N/A</v>
      </c>
      <c r="H623" s="447" t="s">
        <v>1426</v>
      </c>
      <c r="I623" s="447"/>
      <c r="J623" s="448" t="s">
        <v>320</v>
      </c>
      <c r="K623" s="263"/>
      <c r="L623" s="391"/>
      <c r="M623" s="399" t="s">
        <v>33</v>
      </c>
      <c r="N623" s="475">
        <v>1</v>
      </c>
      <c r="O623" s="391"/>
      <c r="P623" s="496">
        <f>IF((O623=0),0,(O623/L623))</f>
        <v>0</v>
      </c>
      <c r="Q623" s="445" t="s">
        <v>52</v>
      </c>
      <c r="R623" s="391"/>
      <c r="S623" s="362">
        <f t="shared" si="97"/>
        <v>0</v>
      </c>
      <c r="T623" s="368"/>
      <c r="U623" s="368"/>
      <c r="V623" s="368"/>
      <c r="W623" s="368"/>
      <c r="X623" s="364">
        <f t="shared" si="96"/>
        <v>0</v>
      </c>
      <c r="Y623" s="393"/>
      <c r="Z623" s="498">
        <f t="shared" si="94"/>
        <v>0</v>
      </c>
      <c r="AA623" s="368"/>
      <c r="AB623" s="368"/>
      <c r="AC623" s="368"/>
      <c r="AD623" s="368"/>
      <c r="AE623" s="365">
        <f t="shared" si="95"/>
        <v>0</v>
      </c>
      <c r="AF623" s="262"/>
      <c r="AG623" s="457"/>
      <c r="AH623" s="264"/>
    </row>
    <row r="624" spans="1:34" ht="30.75" thickBot="1" x14ac:dyDescent="0.3">
      <c r="A624" s="458"/>
      <c r="B624" s="463"/>
      <c r="C624" s="463"/>
      <c r="D624" s="449" t="s">
        <v>431</v>
      </c>
      <c r="E624" s="262"/>
      <c r="F624" s="447" t="s">
        <v>1422</v>
      </c>
      <c r="G624" s="387" t="e">
        <f>VLOOKUP(A624,'Feature Summary'!$A$7:$C$3944,3,FALSE)</f>
        <v>#N/A</v>
      </c>
      <c r="H624" s="447" t="s">
        <v>1427</v>
      </c>
      <c r="I624" s="447"/>
      <c r="J624" s="448" t="s">
        <v>320</v>
      </c>
      <c r="K624" s="263"/>
      <c r="L624" s="391"/>
      <c r="M624" s="399" t="s">
        <v>33</v>
      </c>
      <c r="N624" s="475">
        <v>1</v>
      </c>
      <c r="O624" s="391"/>
      <c r="P624" s="496">
        <f t="shared" ref="P624:P661" si="102">IF((O624=0),0,(O624/L624))</f>
        <v>0</v>
      </c>
      <c r="Q624" s="445" t="s">
        <v>52</v>
      </c>
      <c r="R624" s="391"/>
      <c r="S624" s="362">
        <f t="shared" si="97"/>
        <v>0</v>
      </c>
      <c r="T624" s="368"/>
      <c r="U624" s="368"/>
      <c r="V624" s="368"/>
      <c r="W624" s="368"/>
      <c r="X624" s="364">
        <f t="shared" si="96"/>
        <v>0</v>
      </c>
      <c r="Y624" s="393"/>
      <c r="Z624" s="498">
        <f t="shared" si="94"/>
        <v>0</v>
      </c>
      <c r="AA624" s="368"/>
      <c r="AB624" s="368"/>
      <c r="AC624" s="368"/>
      <c r="AD624" s="368"/>
      <c r="AE624" s="365">
        <f t="shared" si="95"/>
        <v>0</v>
      </c>
      <c r="AF624" s="262"/>
      <c r="AG624" s="457"/>
      <c r="AH624" s="264"/>
    </row>
    <row r="625" spans="1:34" ht="45.75" thickBot="1" x14ac:dyDescent="0.3">
      <c r="A625" s="458"/>
      <c r="B625" s="463"/>
      <c r="C625" s="463" t="s">
        <v>445</v>
      </c>
      <c r="D625" s="449" t="s">
        <v>431</v>
      </c>
      <c r="E625" s="262"/>
      <c r="F625" s="447" t="s">
        <v>1428</v>
      </c>
      <c r="G625" s="387" t="e">
        <f>VLOOKUP(A625,'Feature Summary'!$A$7:$C$3944,3,FALSE)</f>
        <v>#N/A</v>
      </c>
      <c r="H625" s="447" t="s">
        <v>1429</v>
      </c>
      <c r="I625" s="488" t="s">
        <v>264</v>
      </c>
      <c r="J625" s="448" t="s">
        <v>1224</v>
      </c>
      <c r="K625" s="263">
        <v>1</v>
      </c>
      <c r="L625" s="391">
        <v>8</v>
      </c>
      <c r="M625" s="399" t="s">
        <v>33</v>
      </c>
      <c r="N625" s="475">
        <v>1</v>
      </c>
      <c r="O625" s="391">
        <v>0</v>
      </c>
      <c r="P625" s="496">
        <f t="shared" si="102"/>
        <v>0</v>
      </c>
      <c r="Q625" s="445" t="s">
        <v>52</v>
      </c>
      <c r="R625" s="391">
        <v>8</v>
      </c>
      <c r="S625" s="362">
        <f t="shared" si="97"/>
        <v>8</v>
      </c>
      <c r="T625" s="368">
        <v>8</v>
      </c>
      <c r="U625" s="368"/>
      <c r="V625" s="368"/>
      <c r="W625" s="368"/>
      <c r="X625" s="364">
        <f t="shared" si="96"/>
        <v>1</v>
      </c>
      <c r="Y625" s="393"/>
      <c r="Z625" s="498">
        <f t="shared" si="94"/>
        <v>0</v>
      </c>
      <c r="AA625" s="368"/>
      <c r="AB625" s="368"/>
      <c r="AC625" s="368"/>
      <c r="AD625" s="368"/>
      <c r="AE625" s="365">
        <f t="shared" si="95"/>
        <v>0</v>
      </c>
      <c r="AF625" s="558"/>
      <c r="AG625" s="457"/>
      <c r="AH625" s="264"/>
    </row>
    <row r="626" spans="1:34" ht="45.75" thickBot="1" x14ac:dyDescent="0.3">
      <c r="A626" s="458"/>
      <c r="B626" s="463"/>
      <c r="C626" s="463"/>
      <c r="D626" s="449" t="s">
        <v>431</v>
      </c>
      <c r="E626" s="262"/>
      <c r="F626" s="447" t="s">
        <v>1428</v>
      </c>
      <c r="G626" s="387" t="e">
        <f>VLOOKUP(A626,'Feature Summary'!$A$7:$C$3944,3,FALSE)</f>
        <v>#N/A</v>
      </c>
      <c r="H626" s="447" t="s">
        <v>1430</v>
      </c>
      <c r="I626" s="447"/>
      <c r="J626" s="448" t="s">
        <v>1226</v>
      </c>
      <c r="K626" s="263"/>
      <c r="L626" s="391"/>
      <c r="M626" s="399" t="s">
        <v>33</v>
      </c>
      <c r="N626" s="475">
        <v>1</v>
      </c>
      <c r="O626" s="391"/>
      <c r="P626" s="496">
        <f t="shared" si="102"/>
        <v>0</v>
      </c>
      <c r="Q626" s="445" t="s">
        <v>52</v>
      </c>
      <c r="R626" s="391"/>
      <c r="S626" s="362">
        <f t="shared" si="97"/>
        <v>0</v>
      </c>
      <c r="T626" s="368"/>
      <c r="U626" s="368"/>
      <c r="V626" s="368"/>
      <c r="W626" s="368"/>
      <c r="X626" s="364">
        <f t="shared" si="96"/>
        <v>0</v>
      </c>
      <c r="Y626" s="393"/>
      <c r="Z626" s="498">
        <f t="shared" si="94"/>
        <v>0</v>
      </c>
      <c r="AA626" s="368"/>
      <c r="AB626" s="368"/>
      <c r="AC626" s="368"/>
      <c r="AD626" s="368"/>
      <c r="AE626" s="365">
        <f t="shared" si="95"/>
        <v>0</v>
      </c>
      <c r="AF626" s="262"/>
      <c r="AG626" s="457"/>
      <c r="AH626" s="264"/>
    </row>
    <row r="627" spans="1:34" ht="45.75" thickBot="1" x14ac:dyDescent="0.3">
      <c r="A627" s="458"/>
      <c r="B627" s="463"/>
      <c r="C627" s="463"/>
      <c r="D627" s="449" t="s">
        <v>431</v>
      </c>
      <c r="E627" s="262"/>
      <c r="F627" s="447" t="s">
        <v>1428</v>
      </c>
      <c r="G627" s="387" t="e">
        <f>VLOOKUP(A627,'Feature Summary'!$A$7:$C$3944,3,FALSE)</f>
        <v>#N/A</v>
      </c>
      <c r="H627" s="447" t="s">
        <v>1431</v>
      </c>
      <c r="I627" s="447"/>
      <c r="J627" s="448" t="s">
        <v>1432</v>
      </c>
      <c r="K627" s="263"/>
      <c r="L627" s="391"/>
      <c r="M627" s="399" t="s">
        <v>33</v>
      </c>
      <c r="N627" s="475">
        <v>1</v>
      </c>
      <c r="O627" s="391"/>
      <c r="P627" s="496">
        <f t="shared" si="102"/>
        <v>0</v>
      </c>
      <c r="Q627" s="445" t="s">
        <v>52</v>
      </c>
      <c r="R627" s="391"/>
      <c r="S627" s="362">
        <f t="shared" si="97"/>
        <v>0</v>
      </c>
      <c r="T627" s="368"/>
      <c r="U627" s="368"/>
      <c r="V627" s="368"/>
      <c r="W627" s="368"/>
      <c r="X627" s="364">
        <f t="shared" si="96"/>
        <v>0</v>
      </c>
      <c r="Y627" s="393"/>
      <c r="Z627" s="498">
        <f t="shared" si="94"/>
        <v>0</v>
      </c>
      <c r="AA627" s="368"/>
      <c r="AB627" s="368"/>
      <c r="AC627" s="368"/>
      <c r="AD627" s="368"/>
      <c r="AE627" s="365">
        <f t="shared" si="95"/>
        <v>0</v>
      </c>
      <c r="AF627" s="262"/>
      <c r="AG627" s="457"/>
      <c r="AH627" s="264"/>
    </row>
    <row r="628" spans="1:34" ht="45.75" thickBot="1" x14ac:dyDescent="0.3">
      <c r="A628" s="458"/>
      <c r="B628" s="463"/>
      <c r="C628" s="463"/>
      <c r="D628" s="449" t="s">
        <v>431</v>
      </c>
      <c r="E628" s="262"/>
      <c r="F628" s="447" t="s">
        <v>1428</v>
      </c>
      <c r="G628" s="387" t="e">
        <f>VLOOKUP(A628,'Feature Summary'!$A$7:$C$3944,3,FALSE)</f>
        <v>#N/A</v>
      </c>
      <c r="H628" s="447" t="s">
        <v>1433</v>
      </c>
      <c r="I628" s="447"/>
      <c r="J628" s="448" t="s">
        <v>1228</v>
      </c>
      <c r="K628" s="263"/>
      <c r="L628" s="391"/>
      <c r="M628" s="399" t="s">
        <v>33</v>
      </c>
      <c r="N628" s="475">
        <v>1</v>
      </c>
      <c r="O628" s="391"/>
      <c r="P628" s="496">
        <f t="shared" si="102"/>
        <v>0</v>
      </c>
      <c r="Q628" s="445" t="s">
        <v>52</v>
      </c>
      <c r="R628" s="391"/>
      <c r="S628" s="362">
        <f t="shared" si="97"/>
        <v>0</v>
      </c>
      <c r="T628" s="368"/>
      <c r="U628" s="368"/>
      <c r="V628" s="368"/>
      <c r="W628" s="368"/>
      <c r="X628" s="364">
        <f t="shared" si="96"/>
        <v>0</v>
      </c>
      <c r="Y628" s="393"/>
      <c r="Z628" s="498">
        <f t="shared" si="94"/>
        <v>0</v>
      </c>
      <c r="AA628" s="368"/>
      <c r="AB628" s="368"/>
      <c r="AC628" s="368"/>
      <c r="AD628" s="368"/>
      <c r="AE628" s="365">
        <f t="shared" si="95"/>
        <v>0</v>
      </c>
      <c r="AF628" s="262"/>
      <c r="AG628" s="457"/>
      <c r="AH628" s="264"/>
    </row>
    <row r="629" spans="1:34" ht="30.75" thickBot="1" x14ac:dyDescent="0.3">
      <c r="A629" s="458"/>
      <c r="B629" s="463"/>
      <c r="C629" s="463" t="s">
        <v>445</v>
      </c>
      <c r="D629" s="449" t="s">
        <v>431</v>
      </c>
      <c r="E629" s="262"/>
      <c r="F629" s="447" t="s">
        <v>1434</v>
      </c>
      <c r="G629" s="387" t="e">
        <f>VLOOKUP(A629,'Feature Summary'!$A$7:$C$3944,3,FALSE)</f>
        <v>#N/A</v>
      </c>
      <c r="H629" s="447" t="s">
        <v>1435</v>
      </c>
      <c r="I629" s="488" t="s">
        <v>264</v>
      </c>
      <c r="J629" s="448" t="s">
        <v>1224</v>
      </c>
      <c r="K629" s="263">
        <v>1</v>
      </c>
      <c r="L629" s="391">
        <v>8</v>
      </c>
      <c r="M629" s="399" t="s">
        <v>33</v>
      </c>
      <c r="N629" s="475">
        <v>1</v>
      </c>
      <c r="O629" s="391">
        <v>0</v>
      </c>
      <c r="P629" s="496">
        <f t="shared" si="102"/>
        <v>0</v>
      </c>
      <c r="Q629" s="445" t="s">
        <v>52</v>
      </c>
      <c r="R629" s="391">
        <v>8</v>
      </c>
      <c r="S629" s="362">
        <f t="shared" si="97"/>
        <v>8</v>
      </c>
      <c r="T629" s="368">
        <v>8</v>
      </c>
      <c r="U629" s="368"/>
      <c r="V629" s="368"/>
      <c r="W629" s="368"/>
      <c r="X629" s="364">
        <f t="shared" si="96"/>
        <v>1</v>
      </c>
      <c r="Y629" s="393"/>
      <c r="Z629" s="498">
        <f t="shared" si="94"/>
        <v>0</v>
      </c>
      <c r="AA629" s="368"/>
      <c r="AB629" s="368"/>
      <c r="AC629" s="368"/>
      <c r="AD629" s="368"/>
      <c r="AE629" s="365">
        <f t="shared" si="95"/>
        <v>0</v>
      </c>
      <c r="AF629" s="558"/>
      <c r="AG629" s="457"/>
      <c r="AH629" s="264"/>
    </row>
    <row r="630" spans="1:34" ht="35.25" customHeight="1" thickBot="1" x14ac:dyDescent="0.3">
      <c r="A630" s="458"/>
      <c r="B630" s="463"/>
      <c r="C630" s="463"/>
      <c r="D630" s="449" t="s">
        <v>431</v>
      </c>
      <c r="E630" s="262"/>
      <c r="F630" s="447" t="s">
        <v>1434</v>
      </c>
      <c r="G630" s="387" t="e">
        <f>VLOOKUP(A630,'Feature Summary'!$A$7:$C$3944,3,FALSE)</f>
        <v>#N/A</v>
      </c>
      <c r="H630" s="447" t="s">
        <v>1436</v>
      </c>
      <c r="I630" s="447"/>
      <c r="J630" s="448" t="s">
        <v>1226</v>
      </c>
      <c r="K630" s="263"/>
      <c r="L630" s="391"/>
      <c r="M630" s="399" t="s">
        <v>33</v>
      </c>
      <c r="N630" s="475">
        <v>1</v>
      </c>
      <c r="O630" s="391"/>
      <c r="P630" s="496">
        <f t="shared" si="102"/>
        <v>0</v>
      </c>
      <c r="Q630" s="445" t="s">
        <v>52</v>
      </c>
      <c r="R630" s="391"/>
      <c r="S630" s="362">
        <f t="shared" si="97"/>
        <v>0</v>
      </c>
      <c r="T630" s="368"/>
      <c r="U630" s="368"/>
      <c r="V630" s="368"/>
      <c r="W630" s="368"/>
      <c r="X630" s="364">
        <f t="shared" si="96"/>
        <v>0</v>
      </c>
      <c r="Y630" s="393"/>
      <c r="Z630" s="498">
        <f t="shared" si="94"/>
        <v>0</v>
      </c>
      <c r="AA630" s="368"/>
      <c r="AB630" s="368"/>
      <c r="AC630" s="368"/>
      <c r="AD630" s="368"/>
      <c r="AE630" s="365">
        <f t="shared" si="95"/>
        <v>0</v>
      </c>
      <c r="AF630" s="558"/>
      <c r="AG630" s="457"/>
      <c r="AH630" s="264"/>
    </row>
    <row r="631" spans="1:34" ht="30.75" thickBot="1" x14ac:dyDescent="0.3">
      <c r="A631" s="458"/>
      <c r="B631" s="463"/>
      <c r="C631" s="463"/>
      <c r="D631" s="449" t="s">
        <v>431</v>
      </c>
      <c r="E631" s="262"/>
      <c r="F631" s="447" t="s">
        <v>1434</v>
      </c>
      <c r="G631" s="387" t="e">
        <f>VLOOKUP(A631,'Feature Summary'!$A$7:$C$3944,3,FALSE)</f>
        <v>#N/A</v>
      </c>
      <c r="H631" s="447" t="s">
        <v>1437</v>
      </c>
      <c r="I631" s="447"/>
      <c r="J631" s="448" t="s">
        <v>1228</v>
      </c>
      <c r="K631" s="263"/>
      <c r="L631" s="391"/>
      <c r="M631" s="399" t="s">
        <v>33</v>
      </c>
      <c r="N631" s="475">
        <v>1</v>
      </c>
      <c r="O631" s="391"/>
      <c r="P631" s="496">
        <f t="shared" si="102"/>
        <v>0</v>
      </c>
      <c r="Q631" s="445" t="s">
        <v>52</v>
      </c>
      <c r="R631" s="391"/>
      <c r="S631" s="362">
        <f t="shared" si="97"/>
        <v>0</v>
      </c>
      <c r="T631" s="368"/>
      <c r="U631" s="368"/>
      <c r="V631" s="368"/>
      <c r="W631" s="368"/>
      <c r="X631" s="364">
        <f t="shared" si="96"/>
        <v>0</v>
      </c>
      <c r="Y631" s="393"/>
      <c r="Z631" s="498">
        <f t="shared" si="94"/>
        <v>0</v>
      </c>
      <c r="AA631" s="368"/>
      <c r="AB631" s="368"/>
      <c r="AC631" s="368"/>
      <c r="AD631" s="368"/>
      <c r="AE631" s="365">
        <f t="shared" si="95"/>
        <v>0</v>
      </c>
      <c r="AF631" s="262"/>
      <c r="AG631" s="457"/>
      <c r="AH631" s="264"/>
    </row>
    <row r="632" spans="1:34" ht="15.75" thickBot="1" x14ac:dyDescent="0.3">
      <c r="A632" s="458" t="s">
        <v>1438</v>
      </c>
      <c r="B632" s="463" t="s">
        <v>1439</v>
      </c>
      <c r="C632" s="463" t="s">
        <v>445</v>
      </c>
      <c r="D632" s="449" t="s">
        <v>431</v>
      </c>
      <c r="E632" s="262"/>
      <c r="F632" s="447" t="s">
        <v>1440</v>
      </c>
      <c r="G632" s="387" t="e">
        <f>VLOOKUP(A632,'Feature Summary'!$A$7:$C$3944,3,FALSE)</f>
        <v>#N/A</v>
      </c>
      <c r="H632" s="447" t="s">
        <v>1441</v>
      </c>
      <c r="I632" s="488" t="s">
        <v>264</v>
      </c>
      <c r="J632" s="448" t="s">
        <v>1442</v>
      </c>
      <c r="K632" s="263">
        <v>1</v>
      </c>
      <c r="L632" s="391">
        <v>1</v>
      </c>
      <c r="M632" s="399" t="s">
        <v>33</v>
      </c>
      <c r="N632" s="475">
        <v>1</v>
      </c>
      <c r="O632" s="391">
        <v>1</v>
      </c>
      <c r="P632" s="496">
        <f t="shared" si="102"/>
        <v>1</v>
      </c>
      <c r="Q632" s="445" t="s">
        <v>52</v>
      </c>
      <c r="R632" s="391">
        <v>1</v>
      </c>
      <c r="S632" s="362">
        <f t="shared" si="97"/>
        <v>1</v>
      </c>
      <c r="T632" s="368">
        <v>1</v>
      </c>
      <c r="U632" s="368"/>
      <c r="V632" s="368"/>
      <c r="W632" s="368"/>
      <c r="X632" s="364">
        <f t="shared" si="96"/>
        <v>1</v>
      </c>
      <c r="Y632" s="393"/>
      <c r="Z632" s="498">
        <f t="shared" si="94"/>
        <v>0</v>
      </c>
      <c r="AA632" s="368"/>
      <c r="AB632" s="368"/>
      <c r="AC632" s="368"/>
      <c r="AD632" s="368"/>
      <c r="AE632" s="365">
        <f t="shared" si="95"/>
        <v>0</v>
      </c>
      <c r="AF632" s="558"/>
      <c r="AG632" s="457"/>
      <c r="AH632" s="264"/>
    </row>
    <row r="633" spans="1:34" ht="30.75" thickBot="1" x14ac:dyDescent="0.3">
      <c r="A633" s="458" t="s">
        <v>1443</v>
      </c>
      <c r="B633" s="463" t="s">
        <v>1439</v>
      </c>
      <c r="C633" s="463" t="s">
        <v>445</v>
      </c>
      <c r="D633" s="449" t="s">
        <v>431</v>
      </c>
      <c r="E633" s="262"/>
      <c r="F633" s="447" t="s">
        <v>1444</v>
      </c>
      <c r="G633" s="387" t="e">
        <f>VLOOKUP(A633,'Feature Summary'!$A$7:$C$3944,3,FALSE)</f>
        <v>#N/A</v>
      </c>
      <c r="H633" s="447" t="s">
        <v>1445</v>
      </c>
      <c r="I633" s="488" t="s">
        <v>264</v>
      </c>
      <c r="J633" s="448" t="s">
        <v>1446</v>
      </c>
      <c r="K633" s="263">
        <v>1</v>
      </c>
      <c r="L633" s="391">
        <v>1</v>
      </c>
      <c r="M633" s="399" t="s">
        <v>33</v>
      </c>
      <c r="N633" s="475">
        <v>1</v>
      </c>
      <c r="O633" s="391">
        <v>1</v>
      </c>
      <c r="P633" s="496">
        <f t="shared" si="102"/>
        <v>1</v>
      </c>
      <c r="Q633" s="445" t="s">
        <v>52</v>
      </c>
      <c r="R633" s="391">
        <v>1</v>
      </c>
      <c r="S633" s="362">
        <f t="shared" si="97"/>
        <v>1</v>
      </c>
      <c r="T633" s="368">
        <v>1</v>
      </c>
      <c r="U633" s="368"/>
      <c r="V633" s="368"/>
      <c r="W633" s="368"/>
      <c r="X633" s="364">
        <f t="shared" si="96"/>
        <v>1</v>
      </c>
      <c r="Y633" s="393"/>
      <c r="Z633" s="498">
        <f t="shared" si="94"/>
        <v>0</v>
      </c>
      <c r="AA633" s="368"/>
      <c r="AB633" s="368"/>
      <c r="AC633" s="368"/>
      <c r="AD633" s="368"/>
      <c r="AE633" s="365">
        <f t="shared" si="95"/>
        <v>0</v>
      </c>
      <c r="AF633" s="558"/>
      <c r="AG633" s="457"/>
      <c r="AH633" s="264"/>
    </row>
    <row r="634" spans="1:34" ht="15.75" thickBot="1" x14ac:dyDescent="0.3">
      <c r="A634" s="458" t="s">
        <v>1443</v>
      </c>
      <c r="B634" s="463" t="s">
        <v>1439</v>
      </c>
      <c r="C634" s="463" t="s">
        <v>445</v>
      </c>
      <c r="D634" s="449" t="s">
        <v>431</v>
      </c>
      <c r="E634" s="262"/>
      <c r="F634" s="447" t="s">
        <v>1447</v>
      </c>
      <c r="G634" s="387" t="e">
        <f>VLOOKUP(A634,'Feature Summary'!$A$7:$C$3944,3,FALSE)</f>
        <v>#N/A</v>
      </c>
      <c r="H634" s="447" t="s">
        <v>1448</v>
      </c>
      <c r="I634" s="488" t="s">
        <v>264</v>
      </c>
      <c r="J634" s="448" t="s">
        <v>1442</v>
      </c>
      <c r="K634" s="263">
        <v>1</v>
      </c>
      <c r="L634" s="391">
        <v>1</v>
      </c>
      <c r="M634" s="399" t="s">
        <v>33</v>
      </c>
      <c r="N634" s="475">
        <v>1</v>
      </c>
      <c r="O634" s="391">
        <v>1</v>
      </c>
      <c r="P634" s="496">
        <f t="shared" si="102"/>
        <v>1</v>
      </c>
      <c r="Q634" s="445" t="s">
        <v>52</v>
      </c>
      <c r="R634" s="391">
        <v>1</v>
      </c>
      <c r="S634" s="362">
        <f t="shared" si="97"/>
        <v>1</v>
      </c>
      <c r="T634" s="368">
        <v>1</v>
      </c>
      <c r="U634" s="368"/>
      <c r="V634" s="368"/>
      <c r="W634" s="368"/>
      <c r="X634" s="364">
        <f t="shared" si="96"/>
        <v>1</v>
      </c>
      <c r="Y634" s="393"/>
      <c r="Z634" s="498">
        <f t="shared" si="94"/>
        <v>0</v>
      </c>
      <c r="AA634" s="368"/>
      <c r="AB634" s="368"/>
      <c r="AC634" s="368"/>
      <c r="AD634" s="368"/>
      <c r="AE634" s="365">
        <f t="shared" si="95"/>
        <v>0</v>
      </c>
      <c r="AF634" s="558"/>
      <c r="AG634" s="457"/>
      <c r="AH634" s="264"/>
    </row>
    <row r="635" spans="1:34" ht="30.75" thickBot="1" x14ac:dyDescent="0.3">
      <c r="A635" s="458" t="s">
        <v>1443</v>
      </c>
      <c r="B635" s="463" t="s">
        <v>1439</v>
      </c>
      <c r="C635" s="463" t="s">
        <v>445</v>
      </c>
      <c r="D635" s="449" t="s">
        <v>431</v>
      </c>
      <c r="E635" s="262"/>
      <c r="F635" s="447" t="s">
        <v>1449</v>
      </c>
      <c r="G635" s="387" t="e">
        <f>VLOOKUP(A635,'Feature Summary'!$A$7:$C$3944,3,FALSE)</f>
        <v>#N/A</v>
      </c>
      <c r="H635" s="447" t="s">
        <v>1450</v>
      </c>
      <c r="I635" s="488" t="s">
        <v>264</v>
      </c>
      <c r="J635" s="448" t="s">
        <v>1451</v>
      </c>
      <c r="K635" s="263">
        <v>1</v>
      </c>
      <c r="L635" s="391">
        <v>1</v>
      </c>
      <c r="M635" s="399" t="s">
        <v>33</v>
      </c>
      <c r="N635" s="475">
        <v>1</v>
      </c>
      <c r="O635" s="391">
        <v>1</v>
      </c>
      <c r="P635" s="496">
        <f t="shared" si="102"/>
        <v>1</v>
      </c>
      <c r="Q635" s="445" t="s">
        <v>52</v>
      </c>
      <c r="R635" s="391">
        <v>1</v>
      </c>
      <c r="S635" s="362">
        <f t="shared" si="97"/>
        <v>1</v>
      </c>
      <c r="T635" s="368">
        <v>1</v>
      </c>
      <c r="U635" s="368"/>
      <c r="V635" s="368"/>
      <c r="W635" s="368"/>
      <c r="X635" s="364">
        <f t="shared" si="96"/>
        <v>1</v>
      </c>
      <c r="Y635" s="393"/>
      <c r="Z635" s="498">
        <f t="shared" si="94"/>
        <v>0</v>
      </c>
      <c r="AA635" s="368"/>
      <c r="AB635" s="368"/>
      <c r="AC635" s="368"/>
      <c r="AD635" s="368"/>
      <c r="AE635" s="365">
        <f t="shared" si="95"/>
        <v>0</v>
      </c>
      <c r="AF635" s="558"/>
      <c r="AG635" s="457"/>
      <c r="AH635" s="264"/>
    </row>
    <row r="636" spans="1:34" ht="15.75" thickBot="1" x14ac:dyDescent="0.3">
      <c r="A636" s="458" t="s">
        <v>1443</v>
      </c>
      <c r="B636" s="463" t="s">
        <v>1439</v>
      </c>
      <c r="C636" s="463" t="s">
        <v>445</v>
      </c>
      <c r="D636" s="449" t="s">
        <v>431</v>
      </c>
      <c r="E636" s="262"/>
      <c r="F636" s="447" t="s">
        <v>1452</v>
      </c>
      <c r="G636" s="387" t="e">
        <f>VLOOKUP(A636,'Feature Summary'!$A$7:$C$3944,3,FALSE)</f>
        <v>#N/A</v>
      </c>
      <c r="H636" s="447" t="s">
        <v>1453</v>
      </c>
      <c r="I636" s="488" t="s">
        <v>264</v>
      </c>
      <c r="J636" s="448" t="s">
        <v>1442</v>
      </c>
      <c r="K636" s="263">
        <v>1</v>
      </c>
      <c r="L636" s="391">
        <v>1</v>
      </c>
      <c r="M636" s="399" t="s">
        <v>33</v>
      </c>
      <c r="N636" s="475">
        <v>1</v>
      </c>
      <c r="O636" s="391">
        <v>1</v>
      </c>
      <c r="P636" s="496">
        <f t="shared" si="102"/>
        <v>1</v>
      </c>
      <c r="Q636" s="445" t="s">
        <v>52</v>
      </c>
      <c r="R636" s="391">
        <v>1</v>
      </c>
      <c r="S636" s="362">
        <f t="shared" si="97"/>
        <v>1</v>
      </c>
      <c r="T636" s="368">
        <v>1</v>
      </c>
      <c r="U636" s="368"/>
      <c r="V636" s="368"/>
      <c r="W636" s="368"/>
      <c r="X636" s="364">
        <f t="shared" si="96"/>
        <v>1</v>
      </c>
      <c r="Y636" s="393"/>
      <c r="Z636" s="498">
        <f t="shared" si="94"/>
        <v>0</v>
      </c>
      <c r="AA636" s="368"/>
      <c r="AB636" s="368"/>
      <c r="AC636" s="368"/>
      <c r="AD636" s="368"/>
      <c r="AE636" s="365">
        <f t="shared" si="95"/>
        <v>0</v>
      </c>
      <c r="AF636" s="558"/>
      <c r="AG636" s="457"/>
      <c r="AH636" s="264"/>
    </row>
    <row r="637" spans="1:34" ht="30.75" thickBot="1" x14ac:dyDescent="0.3">
      <c r="A637" s="458" t="s">
        <v>1454</v>
      </c>
      <c r="B637" s="463" t="s">
        <v>1439</v>
      </c>
      <c r="C637" s="463" t="s">
        <v>445</v>
      </c>
      <c r="D637" s="449" t="s">
        <v>431</v>
      </c>
      <c r="E637" s="262"/>
      <c r="F637" s="447" t="s">
        <v>1455</v>
      </c>
      <c r="G637" s="387" t="e">
        <f>VLOOKUP(A637,'Feature Summary'!$A$7:$C$3944,3,FALSE)</f>
        <v>#N/A</v>
      </c>
      <c r="H637" s="447" t="s">
        <v>1456</v>
      </c>
      <c r="I637" s="488" t="s">
        <v>264</v>
      </c>
      <c r="J637" s="448" t="s">
        <v>1457</v>
      </c>
      <c r="K637" s="263">
        <v>1</v>
      </c>
      <c r="L637" s="391">
        <v>1</v>
      </c>
      <c r="M637" s="399" t="s">
        <v>33</v>
      </c>
      <c r="N637" s="475">
        <v>1</v>
      </c>
      <c r="O637" s="391">
        <v>1</v>
      </c>
      <c r="P637" s="496">
        <f t="shared" si="102"/>
        <v>1</v>
      </c>
      <c r="Q637" s="445" t="s">
        <v>52</v>
      </c>
      <c r="R637" s="391">
        <v>1</v>
      </c>
      <c r="S637" s="362">
        <f t="shared" si="97"/>
        <v>1</v>
      </c>
      <c r="T637" s="368">
        <v>1</v>
      </c>
      <c r="U637" s="368"/>
      <c r="V637" s="368"/>
      <c r="W637" s="368"/>
      <c r="X637" s="364">
        <f t="shared" si="96"/>
        <v>1</v>
      </c>
      <c r="Y637" s="393"/>
      <c r="Z637" s="498">
        <f t="shared" si="94"/>
        <v>0</v>
      </c>
      <c r="AA637" s="368"/>
      <c r="AB637" s="368"/>
      <c r="AC637" s="368"/>
      <c r="AD637" s="368"/>
      <c r="AE637" s="365">
        <f t="shared" si="95"/>
        <v>0</v>
      </c>
      <c r="AF637" s="558"/>
      <c r="AG637" s="457"/>
      <c r="AH637" s="264"/>
    </row>
    <row r="638" spans="1:34" ht="48.75" customHeight="1" thickBot="1" x14ac:dyDescent="0.3">
      <c r="A638" s="458"/>
      <c r="B638" s="463" t="s">
        <v>1439</v>
      </c>
      <c r="C638" s="463"/>
      <c r="D638" s="449" t="s">
        <v>431</v>
      </c>
      <c r="E638" s="262"/>
      <c r="F638" s="447" t="s">
        <v>1440</v>
      </c>
      <c r="G638" s="387" t="e">
        <f>VLOOKUP(A638,'Feature Summary'!$A$7:$C$3944,3,FALSE)</f>
        <v>#N/A</v>
      </c>
      <c r="H638" s="447" t="s">
        <v>1458</v>
      </c>
      <c r="I638" s="447"/>
      <c r="J638" s="448" t="s">
        <v>1363</v>
      </c>
      <c r="K638" s="263"/>
      <c r="L638" s="391"/>
      <c r="M638" s="399" t="s">
        <v>33</v>
      </c>
      <c r="N638" s="475">
        <v>1</v>
      </c>
      <c r="O638" s="391"/>
      <c r="P638" s="496">
        <f t="shared" si="102"/>
        <v>0</v>
      </c>
      <c r="Q638" s="445" t="s">
        <v>52</v>
      </c>
      <c r="R638" s="391"/>
      <c r="S638" s="362">
        <f t="shared" si="97"/>
        <v>0</v>
      </c>
      <c r="T638" s="368"/>
      <c r="U638" s="368"/>
      <c r="V638" s="368"/>
      <c r="W638" s="368"/>
      <c r="X638" s="364">
        <f t="shared" si="96"/>
        <v>0</v>
      </c>
      <c r="Y638" s="393"/>
      <c r="Z638" s="498">
        <f t="shared" si="94"/>
        <v>0</v>
      </c>
      <c r="AA638" s="368"/>
      <c r="AB638" s="368"/>
      <c r="AC638" s="368"/>
      <c r="AD638" s="368"/>
      <c r="AE638" s="365">
        <f t="shared" si="95"/>
        <v>0</v>
      </c>
      <c r="AF638" s="558"/>
      <c r="AG638" s="457"/>
      <c r="AH638" s="264"/>
    </row>
    <row r="639" spans="1:34" ht="36.75" customHeight="1" thickBot="1" x14ac:dyDescent="0.3">
      <c r="A639" s="458"/>
      <c r="B639" s="463" t="s">
        <v>1439</v>
      </c>
      <c r="C639" s="463"/>
      <c r="D639" s="449" t="s">
        <v>431</v>
      </c>
      <c r="E639" s="262"/>
      <c r="F639" s="447" t="s">
        <v>1444</v>
      </c>
      <c r="G639" s="387" t="e">
        <f>VLOOKUP(A639,'Feature Summary'!$A$7:$C$3944,3,FALSE)</f>
        <v>#N/A</v>
      </c>
      <c r="H639" s="447" t="s">
        <v>1459</v>
      </c>
      <c r="I639" s="447"/>
      <c r="J639" s="448" t="s">
        <v>1363</v>
      </c>
      <c r="K639" s="263"/>
      <c r="L639" s="391"/>
      <c r="M639" s="399" t="s">
        <v>33</v>
      </c>
      <c r="N639" s="475">
        <v>1</v>
      </c>
      <c r="O639" s="391"/>
      <c r="P639" s="496">
        <f t="shared" si="102"/>
        <v>0</v>
      </c>
      <c r="Q639" s="445" t="s">
        <v>52</v>
      </c>
      <c r="R639" s="391"/>
      <c r="S639" s="362">
        <f t="shared" si="97"/>
        <v>0</v>
      </c>
      <c r="T639" s="368"/>
      <c r="U639" s="368"/>
      <c r="V639" s="368"/>
      <c r="W639" s="368"/>
      <c r="X639" s="364">
        <f t="shared" si="96"/>
        <v>0</v>
      </c>
      <c r="Y639" s="393"/>
      <c r="Z639" s="498">
        <f t="shared" si="94"/>
        <v>0</v>
      </c>
      <c r="AA639" s="368"/>
      <c r="AB639" s="368"/>
      <c r="AC639" s="368"/>
      <c r="AD639" s="368"/>
      <c r="AE639" s="365">
        <f t="shared" si="95"/>
        <v>0</v>
      </c>
      <c r="AF639" s="558"/>
      <c r="AG639" s="457"/>
      <c r="AH639" s="264"/>
    </row>
    <row r="640" spans="1:34" ht="40.5" customHeight="1" thickBot="1" x14ac:dyDescent="0.3">
      <c r="A640" s="458"/>
      <c r="B640" s="463" t="s">
        <v>1439</v>
      </c>
      <c r="C640" s="463"/>
      <c r="D640" s="449" t="s">
        <v>431</v>
      </c>
      <c r="E640" s="262"/>
      <c r="F640" s="447" t="s">
        <v>1447</v>
      </c>
      <c r="G640" s="387" t="e">
        <f>VLOOKUP(A640,'Feature Summary'!$A$7:$C$3944,3,FALSE)</f>
        <v>#N/A</v>
      </c>
      <c r="H640" s="447" t="s">
        <v>1460</v>
      </c>
      <c r="I640" s="447"/>
      <c r="J640" s="448" t="s">
        <v>1363</v>
      </c>
      <c r="K640" s="263"/>
      <c r="L640" s="391"/>
      <c r="M640" s="399" t="s">
        <v>33</v>
      </c>
      <c r="N640" s="475">
        <v>1</v>
      </c>
      <c r="O640" s="391"/>
      <c r="P640" s="496">
        <f t="shared" si="102"/>
        <v>0</v>
      </c>
      <c r="Q640" s="445" t="s">
        <v>52</v>
      </c>
      <c r="R640" s="391"/>
      <c r="S640" s="362">
        <f t="shared" si="97"/>
        <v>0</v>
      </c>
      <c r="T640" s="368"/>
      <c r="U640" s="368"/>
      <c r="V640" s="368"/>
      <c r="W640" s="368"/>
      <c r="X640" s="364">
        <f t="shared" si="96"/>
        <v>0</v>
      </c>
      <c r="Y640" s="393"/>
      <c r="Z640" s="498">
        <f t="shared" si="94"/>
        <v>0</v>
      </c>
      <c r="AA640" s="368"/>
      <c r="AB640" s="368"/>
      <c r="AC640" s="368"/>
      <c r="AD640" s="368"/>
      <c r="AE640" s="365">
        <f t="shared" si="95"/>
        <v>0</v>
      </c>
      <c r="AF640" s="558"/>
      <c r="AG640" s="457"/>
      <c r="AH640" s="264"/>
    </row>
    <row r="641" spans="1:34" ht="29.25" customHeight="1" thickBot="1" x14ac:dyDescent="0.3">
      <c r="A641" s="458"/>
      <c r="B641" s="463" t="s">
        <v>1439</v>
      </c>
      <c r="C641" s="463"/>
      <c r="D641" s="449" t="s">
        <v>431</v>
      </c>
      <c r="E641" s="262"/>
      <c r="F641" s="447" t="s">
        <v>1449</v>
      </c>
      <c r="G641" s="387" t="e">
        <f>VLOOKUP(A641,'Feature Summary'!$A$7:$C$3944,3,FALSE)</f>
        <v>#N/A</v>
      </c>
      <c r="H641" s="447" t="s">
        <v>1461</v>
      </c>
      <c r="I641" s="447"/>
      <c r="J641" s="448" t="s">
        <v>1462</v>
      </c>
      <c r="K641" s="263"/>
      <c r="L641" s="391"/>
      <c r="M641" s="399" t="s">
        <v>33</v>
      </c>
      <c r="N641" s="475">
        <v>1</v>
      </c>
      <c r="O641" s="391"/>
      <c r="P641" s="496">
        <f t="shared" si="102"/>
        <v>0</v>
      </c>
      <c r="Q641" s="445" t="s">
        <v>52</v>
      </c>
      <c r="R641" s="391"/>
      <c r="S641" s="362">
        <f t="shared" si="97"/>
        <v>0</v>
      </c>
      <c r="T641" s="368"/>
      <c r="U641" s="368"/>
      <c r="V641" s="368"/>
      <c r="W641" s="368"/>
      <c r="X641" s="364">
        <f t="shared" si="96"/>
        <v>0</v>
      </c>
      <c r="Y641" s="393"/>
      <c r="Z641" s="498">
        <f t="shared" si="94"/>
        <v>0</v>
      </c>
      <c r="AA641" s="368"/>
      <c r="AB641" s="368"/>
      <c r="AC641" s="368"/>
      <c r="AD641" s="368"/>
      <c r="AE641" s="365">
        <f t="shared" si="95"/>
        <v>0</v>
      </c>
      <c r="AF641" s="558"/>
      <c r="AG641" s="457"/>
      <c r="AH641" s="264"/>
    </row>
    <row r="642" spans="1:34" ht="27" customHeight="1" thickBot="1" x14ac:dyDescent="0.3">
      <c r="A642" s="458"/>
      <c r="B642" s="463" t="s">
        <v>1439</v>
      </c>
      <c r="C642" s="463"/>
      <c r="D642" s="449" t="s">
        <v>431</v>
      </c>
      <c r="E642" s="262"/>
      <c r="F642" s="447" t="s">
        <v>1452</v>
      </c>
      <c r="G642" s="387" t="e">
        <f>VLOOKUP(A642,'Feature Summary'!$A$7:$C$3944,3,FALSE)</f>
        <v>#N/A</v>
      </c>
      <c r="H642" s="447" t="s">
        <v>1463</v>
      </c>
      <c r="I642" s="447"/>
      <c r="J642" s="448" t="s">
        <v>1363</v>
      </c>
      <c r="K642" s="263"/>
      <c r="L642" s="391"/>
      <c r="M642" s="399" t="s">
        <v>33</v>
      </c>
      <c r="N642" s="475">
        <v>1</v>
      </c>
      <c r="O642" s="391"/>
      <c r="P642" s="496">
        <f t="shared" si="102"/>
        <v>0</v>
      </c>
      <c r="Q642" s="445" t="s">
        <v>52</v>
      </c>
      <c r="R642" s="391"/>
      <c r="S642" s="362">
        <f t="shared" si="97"/>
        <v>0</v>
      </c>
      <c r="T642" s="368"/>
      <c r="U642" s="368"/>
      <c r="V642" s="368"/>
      <c r="W642" s="368"/>
      <c r="X642" s="364">
        <f t="shared" si="96"/>
        <v>0</v>
      </c>
      <c r="Y642" s="393"/>
      <c r="Z642" s="498">
        <f t="shared" si="94"/>
        <v>0</v>
      </c>
      <c r="AA642" s="368"/>
      <c r="AB642" s="368"/>
      <c r="AC642" s="368"/>
      <c r="AD642" s="368"/>
      <c r="AE642" s="365">
        <f t="shared" si="95"/>
        <v>0</v>
      </c>
      <c r="AF642" s="558"/>
      <c r="AG642" s="457"/>
      <c r="AH642" s="264"/>
    </row>
    <row r="643" spans="1:34" ht="30.75" thickBot="1" x14ac:dyDescent="0.3">
      <c r="A643" s="458"/>
      <c r="B643" s="463" t="s">
        <v>1439</v>
      </c>
      <c r="C643" s="463"/>
      <c r="D643" s="449" t="s">
        <v>431</v>
      </c>
      <c r="E643" s="262"/>
      <c r="F643" s="447" t="s">
        <v>1455</v>
      </c>
      <c r="G643" s="387" t="e">
        <f>VLOOKUP(A643,'Feature Summary'!$A$7:$C$3944,3,FALSE)</f>
        <v>#N/A</v>
      </c>
      <c r="H643" s="447" t="s">
        <v>1464</v>
      </c>
      <c r="I643" s="447"/>
      <c r="J643" s="448" t="s">
        <v>1465</v>
      </c>
      <c r="K643" s="263"/>
      <c r="L643" s="391"/>
      <c r="M643" s="399" t="s">
        <v>33</v>
      </c>
      <c r="N643" s="475">
        <v>1</v>
      </c>
      <c r="O643" s="391"/>
      <c r="P643" s="496">
        <f t="shared" si="102"/>
        <v>0</v>
      </c>
      <c r="Q643" s="445" t="s">
        <v>52</v>
      </c>
      <c r="R643" s="391"/>
      <c r="S643" s="362">
        <f t="shared" si="97"/>
        <v>0</v>
      </c>
      <c r="T643" s="368"/>
      <c r="U643" s="368"/>
      <c r="V643" s="368"/>
      <c r="W643" s="368"/>
      <c r="X643" s="364">
        <f t="shared" si="96"/>
        <v>0</v>
      </c>
      <c r="Y643" s="393"/>
      <c r="Z643" s="498">
        <f t="shared" si="94"/>
        <v>0</v>
      </c>
      <c r="AA643" s="368"/>
      <c r="AB643" s="368"/>
      <c r="AC643" s="368"/>
      <c r="AD643" s="368"/>
      <c r="AE643" s="365">
        <f t="shared" si="95"/>
        <v>0</v>
      </c>
      <c r="AF643" s="262"/>
      <c r="AG643" s="457"/>
      <c r="AH643" s="264"/>
    </row>
    <row r="644" spans="1:34" ht="30.75" thickBot="1" x14ac:dyDescent="0.3">
      <c r="A644" s="458"/>
      <c r="B644" s="463"/>
      <c r="C644" s="463" t="s">
        <v>445</v>
      </c>
      <c r="D644" s="449" t="s">
        <v>431</v>
      </c>
      <c r="E644" s="262"/>
      <c r="F644" s="447" t="s">
        <v>1466</v>
      </c>
      <c r="G644" s="387" t="e">
        <f>VLOOKUP(A644,'Feature Summary'!$A$7:$C$3944,3,FALSE)</f>
        <v>#N/A</v>
      </c>
      <c r="H644" s="447" t="s">
        <v>1467</v>
      </c>
      <c r="I644" s="488" t="s">
        <v>264</v>
      </c>
      <c r="J644" s="448" t="s">
        <v>1224</v>
      </c>
      <c r="K644" s="263">
        <v>1</v>
      </c>
      <c r="L644" s="391">
        <v>1</v>
      </c>
      <c r="M644" s="399" t="s">
        <v>33</v>
      </c>
      <c r="N644" s="475">
        <v>1</v>
      </c>
      <c r="O644" s="391">
        <v>1</v>
      </c>
      <c r="P644" s="496">
        <f t="shared" si="102"/>
        <v>1</v>
      </c>
      <c r="Q644" s="445" t="s">
        <v>52</v>
      </c>
      <c r="R644" s="391">
        <v>1</v>
      </c>
      <c r="S644" s="362">
        <f t="shared" si="97"/>
        <v>1</v>
      </c>
      <c r="T644" s="368">
        <v>1</v>
      </c>
      <c r="U644" s="368"/>
      <c r="V644" s="368"/>
      <c r="W644" s="368"/>
      <c r="X644" s="364">
        <f t="shared" si="96"/>
        <v>1</v>
      </c>
      <c r="Y644" s="393"/>
      <c r="Z644" s="498">
        <f t="shared" si="94"/>
        <v>0</v>
      </c>
      <c r="AA644" s="368"/>
      <c r="AB644" s="368"/>
      <c r="AC644" s="368"/>
      <c r="AD644" s="368"/>
      <c r="AE644" s="365">
        <f t="shared" si="95"/>
        <v>0</v>
      </c>
      <c r="AF644" s="262"/>
      <c r="AG644" s="457"/>
      <c r="AH644" s="264"/>
    </row>
    <row r="645" spans="1:34" ht="30.75" thickBot="1" x14ac:dyDescent="0.3">
      <c r="A645" s="458"/>
      <c r="B645" s="463"/>
      <c r="C645" s="463" t="s">
        <v>445</v>
      </c>
      <c r="D645" s="449" t="s">
        <v>431</v>
      </c>
      <c r="E645" s="262"/>
      <c r="F645" s="447" t="s">
        <v>1468</v>
      </c>
      <c r="G645" s="387" t="e">
        <f>VLOOKUP(A645,'Feature Summary'!$A$7:$C$3944,3,FALSE)</f>
        <v>#N/A</v>
      </c>
      <c r="H645" s="447" t="s">
        <v>1469</v>
      </c>
      <c r="I645" s="488" t="s">
        <v>264</v>
      </c>
      <c r="J645" s="448" t="s">
        <v>1224</v>
      </c>
      <c r="K645" s="263">
        <v>1</v>
      </c>
      <c r="L645" s="391">
        <v>1</v>
      </c>
      <c r="M645" s="399" t="s">
        <v>33</v>
      </c>
      <c r="N645" s="475">
        <v>1</v>
      </c>
      <c r="O645" s="391">
        <v>1</v>
      </c>
      <c r="P645" s="496">
        <f t="shared" si="102"/>
        <v>1</v>
      </c>
      <c r="Q645" s="445" t="s">
        <v>52</v>
      </c>
      <c r="R645" s="391">
        <v>1</v>
      </c>
      <c r="S645" s="362">
        <f t="shared" si="97"/>
        <v>1</v>
      </c>
      <c r="T645" s="368">
        <v>1</v>
      </c>
      <c r="U645" s="368"/>
      <c r="V645" s="368"/>
      <c r="W645" s="368"/>
      <c r="X645" s="364">
        <f t="shared" si="96"/>
        <v>1</v>
      </c>
      <c r="Y645" s="393"/>
      <c r="Z645" s="498">
        <f t="shared" si="94"/>
        <v>0</v>
      </c>
      <c r="AA645" s="368"/>
      <c r="AB645" s="368"/>
      <c r="AC645" s="368"/>
      <c r="AD645" s="368"/>
      <c r="AE645" s="365">
        <f t="shared" si="95"/>
        <v>0</v>
      </c>
      <c r="AF645" s="558"/>
      <c r="AG645" s="457"/>
      <c r="AH645" s="264"/>
    </row>
    <row r="646" spans="1:34" ht="38.25" customHeight="1" thickBot="1" x14ac:dyDescent="0.3">
      <c r="A646" s="458"/>
      <c r="B646" s="463"/>
      <c r="C646" s="463"/>
      <c r="D646" s="449" t="s">
        <v>431</v>
      </c>
      <c r="E646" s="262"/>
      <c r="F646" s="447" t="s">
        <v>1466</v>
      </c>
      <c r="G646" s="387" t="e">
        <f>VLOOKUP(A646,'Feature Summary'!$A$7:$C$3944,3,FALSE)</f>
        <v>#N/A</v>
      </c>
      <c r="H646" s="447" t="s">
        <v>1470</v>
      </c>
      <c r="I646" s="447"/>
      <c r="J646" s="448" t="s">
        <v>1226</v>
      </c>
      <c r="K646" s="263"/>
      <c r="L646" s="391"/>
      <c r="M646" s="399" t="s">
        <v>33</v>
      </c>
      <c r="N646" s="475">
        <v>1</v>
      </c>
      <c r="O646" s="391"/>
      <c r="P646" s="496">
        <f t="shared" si="102"/>
        <v>0</v>
      </c>
      <c r="Q646" s="445" t="s">
        <v>52</v>
      </c>
      <c r="R646" s="391"/>
      <c r="S646" s="362">
        <f t="shared" si="97"/>
        <v>0</v>
      </c>
      <c r="T646" s="368"/>
      <c r="U646" s="368"/>
      <c r="V646" s="368"/>
      <c r="W646" s="368"/>
      <c r="X646" s="364">
        <f t="shared" si="96"/>
        <v>0</v>
      </c>
      <c r="Y646" s="393"/>
      <c r="Z646" s="498">
        <f t="shared" si="94"/>
        <v>0</v>
      </c>
      <c r="AA646" s="368"/>
      <c r="AB646" s="368"/>
      <c r="AC646" s="368"/>
      <c r="AD646" s="368"/>
      <c r="AE646" s="365">
        <f t="shared" si="95"/>
        <v>0</v>
      </c>
      <c r="AF646" s="558"/>
      <c r="AG646" s="457"/>
      <c r="AH646" s="264"/>
    </row>
    <row r="647" spans="1:34" ht="30.75" thickBot="1" x14ac:dyDescent="0.3">
      <c r="A647" s="458"/>
      <c r="B647" s="463"/>
      <c r="C647" s="463"/>
      <c r="D647" s="449" t="s">
        <v>431</v>
      </c>
      <c r="E647" s="262"/>
      <c r="F647" s="447" t="s">
        <v>1468</v>
      </c>
      <c r="G647" s="387" t="e">
        <f>VLOOKUP(A647,'Feature Summary'!$A$7:$C$3944,3,FALSE)</f>
        <v>#N/A</v>
      </c>
      <c r="H647" s="447" t="s">
        <v>1471</v>
      </c>
      <c r="I647" s="447"/>
      <c r="J647" s="448" t="s">
        <v>1226</v>
      </c>
      <c r="K647" s="263"/>
      <c r="L647" s="391"/>
      <c r="M647" s="399" t="s">
        <v>33</v>
      </c>
      <c r="N647" s="475">
        <v>1</v>
      </c>
      <c r="O647" s="391"/>
      <c r="P647" s="496">
        <f t="shared" si="102"/>
        <v>0</v>
      </c>
      <c r="Q647" s="445" t="s">
        <v>52</v>
      </c>
      <c r="R647" s="391"/>
      <c r="S647" s="362">
        <f t="shared" si="97"/>
        <v>0</v>
      </c>
      <c r="T647" s="368"/>
      <c r="U647" s="368"/>
      <c r="V647" s="368"/>
      <c r="W647" s="368"/>
      <c r="X647" s="364">
        <f t="shared" si="96"/>
        <v>0</v>
      </c>
      <c r="Y647" s="393"/>
      <c r="Z647" s="498">
        <f t="shared" si="94"/>
        <v>0</v>
      </c>
      <c r="AA647" s="368"/>
      <c r="AB647" s="368"/>
      <c r="AC647" s="368"/>
      <c r="AD647" s="368"/>
      <c r="AE647" s="365">
        <f t="shared" si="95"/>
        <v>0</v>
      </c>
      <c r="AF647" s="262"/>
      <c r="AG647" s="457"/>
      <c r="AH647" s="264"/>
    </row>
    <row r="648" spans="1:34" ht="30.75" thickBot="1" x14ac:dyDescent="0.3">
      <c r="A648" s="458"/>
      <c r="B648" s="463"/>
      <c r="C648" s="463"/>
      <c r="D648" s="449" t="s">
        <v>431</v>
      </c>
      <c r="E648" s="262"/>
      <c r="F648" s="447" t="s">
        <v>1466</v>
      </c>
      <c r="G648" s="387" t="e">
        <f>VLOOKUP(A648,'Feature Summary'!$A$7:$C$3944,3,FALSE)</f>
        <v>#N/A</v>
      </c>
      <c r="H648" s="447" t="s">
        <v>1472</v>
      </c>
      <c r="I648" s="447"/>
      <c r="J648" s="448" t="s">
        <v>1228</v>
      </c>
      <c r="K648" s="263"/>
      <c r="L648" s="391"/>
      <c r="M648" s="399" t="s">
        <v>33</v>
      </c>
      <c r="N648" s="475">
        <v>1</v>
      </c>
      <c r="O648" s="391"/>
      <c r="P648" s="496">
        <f t="shared" si="102"/>
        <v>0</v>
      </c>
      <c r="Q648" s="445" t="s">
        <v>52</v>
      </c>
      <c r="R648" s="391"/>
      <c r="S648" s="362">
        <f t="shared" si="97"/>
        <v>0</v>
      </c>
      <c r="T648" s="368"/>
      <c r="U648" s="368"/>
      <c r="V648" s="368"/>
      <c r="W648" s="368"/>
      <c r="X648" s="364">
        <f t="shared" si="96"/>
        <v>0</v>
      </c>
      <c r="Y648" s="393"/>
      <c r="Z648" s="498">
        <f t="shared" si="94"/>
        <v>0</v>
      </c>
      <c r="AA648" s="368"/>
      <c r="AB648" s="368"/>
      <c r="AC648" s="368"/>
      <c r="AD648" s="368"/>
      <c r="AE648" s="365">
        <f t="shared" si="95"/>
        <v>0</v>
      </c>
      <c r="AF648" s="262"/>
      <c r="AG648" s="457"/>
      <c r="AH648" s="264"/>
    </row>
    <row r="649" spans="1:34" ht="30.75" thickBot="1" x14ac:dyDescent="0.3">
      <c r="A649" s="458"/>
      <c r="B649" s="463"/>
      <c r="C649" s="463"/>
      <c r="D649" s="449" t="s">
        <v>431</v>
      </c>
      <c r="E649" s="262"/>
      <c r="F649" s="447" t="s">
        <v>1468</v>
      </c>
      <c r="G649" s="387" t="e">
        <f>VLOOKUP(A649,'Feature Summary'!$A$7:$C$3944,3,FALSE)</f>
        <v>#N/A</v>
      </c>
      <c r="H649" s="447" t="s">
        <v>1473</v>
      </c>
      <c r="I649" s="447"/>
      <c r="J649" s="448" t="s">
        <v>1228</v>
      </c>
      <c r="K649" s="263"/>
      <c r="L649" s="391"/>
      <c r="M649" s="399" t="s">
        <v>33</v>
      </c>
      <c r="N649" s="475">
        <v>1</v>
      </c>
      <c r="O649" s="391"/>
      <c r="P649" s="496">
        <f t="shared" si="102"/>
        <v>0</v>
      </c>
      <c r="Q649" s="445" t="s">
        <v>52</v>
      </c>
      <c r="R649" s="391"/>
      <c r="S649" s="362">
        <f t="shared" si="97"/>
        <v>0</v>
      </c>
      <c r="T649" s="368"/>
      <c r="U649" s="368"/>
      <c r="V649" s="368"/>
      <c r="W649" s="368"/>
      <c r="X649" s="364">
        <f t="shared" si="96"/>
        <v>0</v>
      </c>
      <c r="Y649" s="393"/>
      <c r="Z649" s="498">
        <f t="shared" si="94"/>
        <v>0</v>
      </c>
      <c r="AA649" s="368"/>
      <c r="AB649" s="368"/>
      <c r="AC649" s="368"/>
      <c r="AD649" s="368"/>
      <c r="AE649" s="365">
        <f t="shared" si="95"/>
        <v>0</v>
      </c>
      <c r="AF649" s="262"/>
      <c r="AG649" s="457"/>
      <c r="AH649" s="264"/>
    </row>
    <row r="650" spans="1:34" ht="15.75" thickBot="1" x14ac:dyDescent="0.3">
      <c r="A650" s="458" t="s">
        <v>1474</v>
      </c>
      <c r="B650" s="463" t="s">
        <v>1475</v>
      </c>
      <c r="C650" s="580" t="s">
        <v>651</v>
      </c>
      <c r="D650" s="449" t="s">
        <v>431</v>
      </c>
      <c r="E650" s="262"/>
      <c r="F650" s="470" t="s">
        <v>1476</v>
      </c>
      <c r="G650" s="387" t="str">
        <f>VLOOKUP(A650,'Feature Summary'!$A$7:$C$3944,3,FALSE)</f>
        <v>P2</v>
      </c>
      <c r="H650" s="447" t="s">
        <v>1477</v>
      </c>
      <c r="I650" s="488" t="s">
        <v>264</v>
      </c>
      <c r="J650" s="448" t="s">
        <v>281</v>
      </c>
      <c r="K650" s="263">
        <v>1</v>
      </c>
      <c r="L650" s="391">
        <v>8</v>
      </c>
      <c r="M650" s="399" t="s">
        <v>33</v>
      </c>
      <c r="N650" s="475">
        <v>1</v>
      </c>
      <c r="O650" s="391">
        <v>0</v>
      </c>
      <c r="P650" s="496">
        <f t="shared" si="102"/>
        <v>0</v>
      </c>
      <c r="Q650" s="445" t="s">
        <v>52</v>
      </c>
      <c r="R650" s="391">
        <v>8</v>
      </c>
      <c r="S650" s="362">
        <f t="shared" si="97"/>
        <v>8</v>
      </c>
      <c r="T650" s="368"/>
      <c r="U650" s="368">
        <v>8</v>
      </c>
      <c r="V650" s="368"/>
      <c r="W650" s="368"/>
      <c r="X650" s="364">
        <f t="shared" si="96"/>
        <v>1</v>
      </c>
      <c r="Y650" s="393"/>
      <c r="Z650" s="498">
        <f t="shared" ref="Z650:Z713" si="103">SUM(AA650:AD650)</f>
        <v>0</v>
      </c>
      <c r="AA650" s="368"/>
      <c r="AB650" s="368"/>
      <c r="AC650" s="368"/>
      <c r="AD650" s="368"/>
      <c r="AE650" s="365">
        <f t="shared" ref="AE650:AE713" si="104">IF((Z650=0),0,((AA650+AB650)/Z650*100%))</f>
        <v>0</v>
      </c>
      <c r="AF650" s="558"/>
      <c r="AG650" s="457"/>
      <c r="AH650" s="264"/>
    </row>
    <row r="651" spans="1:34" ht="30.75" thickBot="1" x14ac:dyDescent="0.3">
      <c r="A651" s="458"/>
      <c r="B651" s="463" t="s">
        <v>1475</v>
      </c>
      <c r="C651" s="580"/>
      <c r="D651" s="449" t="s">
        <v>431</v>
      </c>
      <c r="E651" s="262"/>
      <c r="F651" s="470" t="s">
        <v>1476</v>
      </c>
      <c r="G651" s="387" t="e">
        <f>VLOOKUP(A651,'Feature Summary'!$A$7:$C$3944,3,FALSE)</f>
        <v>#N/A</v>
      </c>
      <c r="H651" s="447" t="s">
        <v>1478</v>
      </c>
      <c r="I651" s="447"/>
      <c r="J651" s="448" t="s">
        <v>328</v>
      </c>
      <c r="K651" s="263"/>
      <c r="L651" s="391"/>
      <c r="M651" s="399" t="s">
        <v>33</v>
      </c>
      <c r="N651" s="475">
        <v>1</v>
      </c>
      <c r="O651" s="391"/>
      <c r="P651" s="496">
        <f t="shared" si="102"/>
        <v>0</v>
      </c>
      <c r="Q651" s="445" t="s">
        <v>52</v>
      </c>
      <c r="R651" s="391"/>
      <c r="S651" s="362">
        <f t="shared" si="97"/>
        <v>0</v>
      </c>
      <c r="T651" s="368"/>
      <c r="U651" s="368"/>
      <c r="V651" s="368"/>
      <c r="W651" s="368"/>
      <c r="X651" s="364">
        <f t="shared" si="96"/>
        <v>0</v>
      </c>
      <c r="Y651" s="393"/>
      <c r="Z651" s="498">
        <f t="shared" si="103"/>
        <v>0</v>
      </c>
      <c r="AA651" s="368"/>
      <c r="AB651" s="368"/>
      <c r="AC651" s="368"/>
      <c r="AD651" s="368"/>
      <c r="AE651" s="365">
        <f t="shared" si="104"/>
        <v>0</v>
      </c>
      <c r="AF651" s="262"/>
      <c r="AG651" s="457"/>
      <c r="AH651" s="264"/>
    </row>
    <row r="652" spans="1:34" ht="30.75" thickBot="1" x14ac:dyDescent="0.3">
      <c r="A652" s="458"/>
      <c r="B652" s="463" t="s">
        <v>1475</v>
      </c>
      <c r="C652" s="580"/>
      <c r="D652" s="449" t="s">
        <v>431</v>
      </c>
      <c r="E652" s="262"/>
      <c r="F652" s="470" t="s">
        <v>1476</v>
      </c>
      <c r="G652" s="387" t="e">
        <f>VLOOKUP(A652,'Feature Summary'!$A$7:$C$3944,3,FALSE)</f>
        <v>#N/A</v>
      </c>
      <c r="H652" s="447" t="s">
        <v>1479</v>
      </c>
      <c r="I652" s="447"/>
      <c r="J652" s="448" t="s">
        <v>303</v>
      </c>
      <c r="K652" s="263"/>
      <c r="L652" s="391"/>
      <c r="M652" s="399" t="s">
        <v>33</v>
      </c>
      <c r="N652" s="475">
        <v>1</v>
      </c>
      <c r="O652" s="391"/>
      <c r="P652" s="496">
        <f t="shared" si="102"/>
        <v>0</v>
      </c>
      <c r="Q652" s="445" t="s">
        <v>52</v>
      </c>
      <c r="R652" s="391"/>
      <c r="S652" s="362">
        <f t="shared" si="97"/>
        <v>0</v>
      </c>
      <c r="T652" s="368"/>
      <c r="U652" s="368"/>
      <c r="V652" s="368"/>
      <c r="W652" s="368"/>
      <c r="X652" s="364">
        <f t="shared" si="96"/>
        <v>0</v>
      </c>
      <c r="Y652" s="393"/>
      <c r="Z652" s="498">
        <f t="shared" si="103"/>
        <v>0</v>
      </c>
      <c r="AA652" s="368"/>
      <c r="AB652" s="368"/>
      <c r="AC652" s="368"/>
      <c r="AD652" s="368"/>
      <c r="AE652" s="365">
        <f t="shared" si="104"/>
        <v>0</v>
      </c>
      <c r="AF652" s="262"/>
      <c r="AG652" s="457"/>
      <c r="AH652" s="264"/>
    </row>
    <row r="653" spans="1:34" ht="15.75" thickBot="1" x14ac:dyDescent="0.3">
      <c r="A653" s="458"/>
      <c r="B653" s="463" t="s">
        <v>1475</v>
      </c>
      <c r="C653" s="580"/>
      <c r="D653" s="449" t="s">
        <v>431</v>
      </c>
      <c r="E653" s="262"/>
      <c r="F653" s="470" t="s">
        <v>1476</v>
      </c>
      <c r="G653" s="387" t="e">
        <f>VLOOKUP(A653,'Feature Summary'!$A$7:$C$3944,3,FALSE)</f>
        <v>#N/A</v>
      </c>
      <c r="H653" s="447" t="s">
        <v>1480</v>
      </c>
      <c r="I653" s="447"/>
      <c r="J653" s="448" t="s">
        <v>297</v>
      </c>
      <c r="K653" s="263"/>
      <c r="L653" s="391"/>
      <c r="M653" s="399" t="s">
        <v>33</v>
      </c>
      <c r="N653" s="475">
        <v>1</v>
      </c>
      <c r="O653" s="391"/>
      <c r="P653" s="496">
        <f t="shared" si="102"/>
        <v>0</v>
      </c>
      <c r="Q653" s="445" t="s">
        <v>52</v>
      </c>
      <c r="R653" s="391"/>
      <c r="S653" s="362">
        <f t="shared" si="97"/>
        <v>0</v>
      </c>
      <c r="T653" s="368"/>
      <c r="U653" s="368"/>
      <c r="V653" s="368"/>
      <c r="W653" s="368"/>
      <c r="X653" s="364">
        <f t="shared" si="96"/>
        <v>0</v>
      </c>
      <c r="Y653" s="393"/>
      <c r="Z653" s="498">
        <f t="shared" si="103"/>
        <v>0</v>
      </c>
      <c r="AA653" s="368"/>
      <c r="AB653" s="368"/>
      <c r="AC653" s="368"/>
      <c r="AD653" s="368"/>
      <c r="AE653" s="365">
        <f t="shared" si="104"/>
        <v>0</v>
      </c>
      <c r="AF653" s="558"/>
      <c r="AG653" s="457"/>
      <c r="AH653" s="264"/>
    </row>
    <row r="654" spans="1:34" ht="30.75" thickBot="1" x14ac:dyDescent="0.3">
      <c r="A654" s="458"/>
      <c r="B654" s="463" t="s">
        <v>1475</v>
      </c>
      <c r="C654" s="580"/>
      <c r="D654" s="449" t="s">
        <v>431</v>
      </c>
      <c r="E654" s="262"/>
      <c r="F654" s="470" t="s">
        <v>1476</v>
      </c>
      <c r="G654" s="387" t="e">
        <f>VLOOKUP(A654,'Feature Summary'!$A$7:$C$3944,3,FALSE)</f>
        <v>#N/A</v>
      </c>
      <c r="H654" s="447" t="s">
        <v>1481</v>
      </c>
      <c r="I654" s="447"/>
      <c r="J654" s="448" t="s">
        <v>295</v>
      </c>
      <c r="K654" s="263"/>
      <c r="L654" s="391"/>
      <c r="M654" s="399" t="s">
        <v>33</v>
      </c>
      <c r="N654" s="475">
        <v>1</v>
      </c>
      <c r="O654" s="391"/>
      <c r="P654" s="496">
        <f t="shared" si="102"/>
        <v>0</v>
      </c>
      <c r="Q654" s="445" t="s">
        <v>52</v>
      </c>
      <c r="R654" s="391"/>
      <c r="S654" s="362">
        <f t="shared" si="97"/>
        <v>0</v>
      </c>
      <c r="T654" s="368"/>
      <c r="U654" s="368"/>
      <c r="V654" s="368"/>
      <c r="W654" s="368"/>
      <c r="X654" s="364">
        <f t="shared" si="96"/>
        <v>0</v>
      </c>
      <c r="Y654" s="393"/>
      <c r="Z654" s="498">
        <f t="shared" si="103"/>
        <v>0</v>
      </c>
      <c r="AA654" s="368"/>
      <c r="AB654" s="368"/>
      <c r="AC654" s="368"/>
      <c r="AD654" s="368"/>
      <c r="AE654" s="365">
        <f t="shared" si="104"/>
        <v>0</v>
      </c>
      <c r="AF654" s="558"/>
      <c r="AG654" s="457"/>
      <c r="AH654" s="264"/>
    </row>
    <row r="655" spans="1:34" ht="45.75" thickBot="1" x14ac:dyDescent="0.3">
      <c r="A655" s="458"/>
      <c r="B655" s="463"/>
      <c r="C655" s="463" t="s">
        <v>655</v>
      </c>
      <c r="D655" s="449" t="s">
        <v>431</v>
      </c>
      <c r="E655" s="262"/>
      <c r="F655" s="447" t="s">
        <v>1482</v>
      </c>
      <c r="G655" s="387" t="e">
        <f>VLOOKUP(A655,'Feature Summary'!$A$7:$C$3944,3,FALSE)</f>
        <v>#N/A</v>
      </c>
      <c r="H655" s="447" t="s">
        <v>1483</v>
      </c>
      <c r="I655" s="488" t="s">
        <v>264</v>
      </c>
      <c r="J655" s="448" t="s">
        <v>1484</v>
      </c>
      <c r="K655" s="263">
        <v>1</v>
      </c>
      <c r="L655" s="391">
        <v>1</v>
      </c>
      <c r="M655" s="399" t="s">
        <v>33</v>
      </c>
      <c r="N655" s="475">
        <v>1</v>
      </c>
      <c r="O655" s="391">
        <v>1</v>
      </c>
      <c r="P655" s="496">
        <f t="shared" si="102"/>
        <v>1</v>
      </c>
      <c r="Q655" s="445" t="s">
        <v>52</v>
      </c>
      <c r="R655" s="391">
        <v>1</v>
      </c>
      <c r="S655" s="362">
        <f t="shared" si="97"/>
        <v>1</v>
      </c>
      <c r="T655" s="368">
        <v>1</v>
      </c>
      <c r="U655" s="368"/>
      <c r="V655" s="368"/>
      <c r="W655" s="368"/>
      <c r="X655" s="364">
        <f t="shared" si="96"/>
        <v>1</v>
      </c>
      <c r="Y655" s="393"/>
      <c r="Z655" s="498">
        <f t="shared" si="103"/>
        <v>0</v>
      </c>
      <c r="AA655" s="368"/>
      <c r="AB655" s="368"/>
      <c r="AC655" s="368"/>
      <c r="AD655" s="368"/>
      <c r="AE655" s="365">
        <f>IF((Z655=0),0,((AA655+AB655)/Z655*100%))</f>
        <v>0</v>
      </c>
      <c r="AF655" s="558"/>
      <c r="AG655" s="457"/>
      <c r="AH655" s="264"/>
    </row>
    <row r="656" spans="1:34" ht="45.75" thickBot="1" x14ac:dyDescent="0.3">
      <c r="A656" s="458"/>
      <c r="B656" s="463"/>
      <c r="C656" s="463" t="s">
        <v>655</v>
      </c>
      <c r="D656" s="449" t="s">
        <v>431</v>
      </c>
      <c r="E656" s="262"/>
      <c r="F656" s="447" t="s">
        <v>1485</v>
      </c>
      <c r="G656" s="387" t="e">
        <f>VLOOKUP(A656,'Feature Summary'!$A$7:$C$3944,3,FALSE)</f>
        <v>#N/A</v>
      </c>
      <c r="H656" s="447" t="s">
        <v>1486</v>
      </c>
      <c r="I656" s="488" t="s">
        <v>264</v>
      </c>
      <c r="J656" s="448" t="s">
        <v>1484</v>
      </c>
      <c r="K656" s="263">
        <v>1</v>
      </c>
      <c r="L656" s="391">
        <v>1</v>
      </c>
      <c r="M656" s="399" t="s">
        <v>33</v>
      </c>
      <c r="N656" s="475">
        <v>1</v>
      </c>
      <c r="O656" s="391">
        <v>1</v>
      </c>
      <c r="P656" s="496">
        <f t="shared" si="102"/>
        <v>1</v>
      </c>
      <c r="Q656" s="445" t="s">
        <v>52</v>
      </c>
      <c r="R656" s="391">
        <v>1</v>
      </c>
      <c r="S656" s="362">
        <f t="shared" si="97"/>
        <v>1</v>
      </c>
      <c r="T656" s="368">
        <v>1</v>
      </c>
      <c r="U656" s="368"/>
      <c r="V656" s="368"/>
      <c r="W656" s="368"/>
      <c r="X656" s="364">
        <f t="shared" si="96"/>
        <v>1</v>
      </c>
      <c r="Y656" s="393"/>
      <c r="Z656" s="498">
        <f t="shared" si="103"/>
        <v>0</v>
      </c>
      <c r="AA656" s="368"/>
      <c r="AB656" s="368"/>
      <c r="AC656" s="368"/>
      <c r="AD656" s="368"/>
      <c r="AE656" s="365">
        <f t="shared" si="104"/>
        <v>0</v>
      </c>
      <c r="AF656" s="558"/>
      <c r="AG656" s="457"/>
      <c r="AH656" s="264"/>
    </row>
    <row r="657" spans="1:34" ht="29.1" customHeight="1" thickBot="1" x14ac:dyDescent="0.3">
      <c r="A657" s="458"/>
      <c r="B657" s="463"/>
      <c r="C657" s="463"/>
      <c r="D657" s="449" t="s">
        <v>431</v>
      </c>
      <c r="E657" s="262"/>
      <c r="F657" s="447" t="s">
        <v>1482</v>
      </c>
      <c r="G657" s="387" t="e">
        <f>VLOOKUP(A657,'Feature Summary'!$A$7:$C$3944,3,FALSE)</f>
        <v>#N/A</v>
      </c>
      <c r="H657" s="447" t="s">
        <v>1487</v>
      </c>
      <c r="I657" s="447"/>
      <c r="J657" s="448" t="s">
        <v>1488</v>
      </c>
      <c r="K657" s="263"/>
      <c r="L657" s="391"/>
      <c r="M657" s="399" t="s">
        <v>33</v>
      </c>
      <c r="N657" s="475">
        <v>1</v>
      </c>
      <c r="O657" s="391"/>
      <c r="P657" s="496">
        <f t="shared" si="102"/>
        <v>0</v>
      </c>
      <c r="Q657" s="445" t="s">
        <v>52</v>
      </c>
      <c r="R657" s="391"/>
      <c r="S657" s="362">
        <f t="shared" si="97"/>
        <v>0</v>
      </c>
      <c r="T657" s="368"/>
      <c r="U657" s="368"/>
      <c r="V657" s="368"/>
      <c r="W657" s="368"/>
      <c r="X657" s="364">
        <f t="shared" si="96"/>
        <v>0</v>
      </c>
      <c r="Y657" s="393"/>
      <c r="Z657" s="498">
        <f t="shared" si="103"/>
        <v>0</v>
      </c>
      <c r="AA657" s="368"/>
      <c r="AB657" s="368"/>
      <c r="AC657" s="368"/>
      <c r="AD657" s="368"/>
      <c r="AE657" s="365">
        <f t="shared" si="104"/>
        <v>0</v>
      </c>
      <c r="AF657" s="262"/>
      <c r="AG657" s="457"/>
      <c r="AH657" s="264"/>
    </row>
    <row r="658" spans="1:34" ht="29.1" customHeight="1" thickBot="1" x14ac:dyDescent="0.3">
      <c r="A658" s="458"/>
      <c r="B658" s="463"/>
      <c r="C658" s="463"/>
      <c r="D658" s="449" t="s">
        <v>431</v>
      </c>
      <c r="E658" s="262"/>
      <c r="F658" s="447" t="s">
        <v>1485</v>
      </c>
      <c r="G658" s="387" t="e">
        <f>VLOOKUP(A658,'Feature Summary'!$A$7:$C$3944,3,FALSE)</f>
        <v>#N/A</v>
      </c>
      <c r="H658" s="447" t="s">
        <v>1489</v>
      </c>
      <c r="I658" s="447"/>
      <c r="J658" s="448" t="s">
        <v>1488</v>
      </c>
      <c r="K658" s="263"/>
      <c r="L658" s="391"/>
      <c r="M658" s="399" t="s">
        <v>33</v>
      </c>
      <c r="N658" s="475">
        <v>1</v>
      </c>
      <c r="O658" s="391"/>
      <c r="P658" s="496">
        <f t="shared" si="102"/>
        <v>0</v>
      </c>
      <c r="Q658" s="445" t="s">
        <v>52</v>
      </c>
      <c r="R658" s="391"/>
      <c r="S658" s="362">
        <f t="shared" si="97"/>
        <v>0</v>
      </c>
      <c r="T658" s="368"/>
      <c r="U658" s="368"/>
      <c r="V658" s="368"/>
      <c r="W658" s="368"/>
      <c r="X658" s="364">
        <f t="shared" si="96"/>
        <v>0</v>
      </c>
      <c r="Y658" s="393"/>
      <c r="Z658" s="498">
        <f t="shared" si="103"/>
        <v>0</v>
      </c>
      <c r="AA658" s="368"/>
      <c r="AB658" s="368"/>
      <c r="AC658" s="368"/>
      <c r="AD658" s="368"/>
      <c r="AE658" s="365">
        <f t="shared" si="104"/>
        <v>0</v>
      </c>
      <c r="AF658" s="262"/>
      <c r="AG658" s="457"/>
      <c r="AH658" s="264"/>
    </row>
    <row r="659" spans="1:34" ht="30.75" thickBot="1" x14ac:dyDescent="0.3">
      <c r="A659" s="458"/>
      <c r="B659" s="463"/>
      <c r="C659" s="463"/>
      <c r="D659" s="449" t="s">
        <v>431</v>
      </c>
      <c r="E659" s="262"/>
      <c r="F659" s="447" t="s">
        <v>1482</v>
      </c>
      <c r="G659" s="387" t="e">
        <f>VLOOKUP(A659,'Feature Summary'!$A$7:$C$3944,3,FALSE)</f>
        <v>#N/A</v>
      </c>
      <c r="H659" s="447" t="s">
        <v>1490</v>
      </c>
      <c r="I659" s="447"/>
      <c r="J659" s="448" t="s">
        <v>1363</v>
      </c>
      <c r="K659" s="263"/>
      <c r="L659" s="391"/>
      <c r="M659" s="399" t="s">
        <v>33</v>
      </c>
      <c r="N659" s="475">
        <v>1</v>
      </c>
      <c r="O659" s="391"/>
      <c r="P659" s="496">
        <f t="shared" si="102"/>
        <v>0</v>
      </c>
      <c r="Q659" s="445" t="s">
        <v>52</v>
      </c>
      <c r="R659" s="391"/>
      <c r="S659" s="362">
        <f t="shared" si="97"/>
        <v>0</v>
      </c>
      <c r="T659" s="368"/>
      <c r="U659" s="368"/>
      <c r="V659" s="368"/>
      <c r="W659" s="368"/>
      <c r="X659" s="364">
        <f t="shared" si="96"/>
        <v>0</v>
      </c>
      <c r="Y659" s="393"/>
      <c r="Z659" s="498">
        <f t="shared" si="103"/>
        <v>0</v>
      </c>
      <c r="AA659" s="368"/>
      <c r="AB659" s="368"/>
      <c r="AC659" s="368"/>
      <c r="AD659" s="368"/>
      <c r="AE659" s="365">
        <f t="shared" si="104"/>
        <v>0</v>
      </c>
      <c r="AF659" s="262"/>
      <c r="AG659" s="457"/>
      <c r="AH659" s="264"/>
    </row>
    <row r="660" spans="1:34" ht="30.75" thickBot="1" x14ac:dyDescent="0.3">
      <c r="A660" s="458"/>
      <c r="B660" s="463"/>
      <c r="C660" s="463"/>
      <c r="D660" s="449" t="s">
        <v>431</v>
      </c>
      <c r="E660" s="262"/>
      <c r="F660" s="447" t="s">
        <v>1485</v>
      </c>
      <c r="G660" s="387" t="e">
        <f>VLOOKUP(A660,'Feature Summary'!$A$7:$C$3944,3,FALSE)</f>
        <v>#N/A</v>
      </c>
      <c r="H660" s="447" t="s">
        <v>1491</v>
      </c>
      <c r="I660" s="447"/>
      <c r="J660" s="448" t="s">
        <v>1363</v>
      </c>
      <c r="K660" s="263"/>
      <c r="L660" s="391"/>
      <c r="M660" s="399" t="s">
        <v>33</v>
      </c>
      <c r="N660" s="475">
        <v>1</v>
      </c>
      <c r="O660" s="391"/>
      <c r="P660" s="496">
        <f t="shared" si="102"/>
        <v>0</v>
      </c>
      <c r="Q660" s="445" t="s">
        <v>52</v>
      </c>
      <c r="R660" s="391"/>
      <c r="S660" s="362">
        <f t="shared" si="97"/>
        <v>0</v>
      </c>
      <c r="T660" s="368"/>
      <c r="U660" s="368"/>
      <c r="V660" s="368"/>
      <c r="W660" s="368"/>
      <c r="X660" s="364">
        <f t="shared" si="96"/>
        <v>0</v>
      </c>
      <c r="Y660" s="393"/>
      <c r="Z660" s="498">
        <f t="shared" si="103"/>
        <v>0</v>
      </c>
      <c r="AA660" s="368"/>
      <c r="AB660" s="368"/>
      <c r="AC660" s="368"/>
      <c r="AD660" s="368"/>
      <c r="AE660" s="365">
        <f t="shared" si="104"/>
        <v>0</v>
      </c>
      <c r="AF660" s="262"/>
      <c r="AG660" s="457"/>
      <c r="AH660" s="264"/>
    </row>
    <row r="661" spans="1:34" ht="30.75" thickBot="1" x14ac:dyDescent="0.3">
      <c r="A661" s="458" t="s">
        <v>1492</v>
      </c>
      <c r="B661" s="470" t="s">
        <v>1493</v>
      </c>
      <c r="C661" s="463" t="s">
        <v>335</v>
      </c>
      <c r="D661" s="449" t="s">
        <v>431</v>
      </c>
      <c r="E661" s="262"/>
      <c r="F661" s="470" t="s">
        <v>1494</v>
      </c>
      <c r="G661" s="387" t="str">
        <f>VLOOKUP(A661,'Feature Summary'!$A$7:$C$3944,3,FALSE)</f>
        <v>P2</v>
      </c>
      <c r="H661" s="447" t="s">
        <v>1495</v>
      </c>
      <c r="I661" s="488" t="s">
        <v>264</v>
      </c>
      <c r="J661" s="480" t="s">
        <v>1496</v>
      </c>
      <c r="K661" s="263">
        <v>1</v>
      </c>
      <c r="L661" s="391">
        <v>1</v>
      </c>
      <c r="M661" s="399" t="s">
        <v>33</v>
      </c>
      <c r="N661" s="475">
        <v>1</v>
      </c>
      <c r="O661" s="391">
        <v>1</v>
      </c>
      <c r="P661" s="496">
        <f t="shared" si="102"/>
        <v>1</v>
      </c>
      <c r="Q661" s="445" t="s">
        <v>52</v>
      </c>
      <c r="R661" s="391">
        <v>1</v>
      </c>
      <c r="S661" s="362">
        <f t="shared" si="97"/>
        <v>1</v>
      </c>
      <c r="T661" s="368">
        <v>1</v>
      </c>
      <c r="U661" s="368"/>
      <c r="V661" s="368"/>
      <c r="W661" s="368"/>
      <c r="X661" s="364">
        <f t="shared" si="96"/>
        <v>1</v>
      </c>
      <c r="Y661" s="393"/>
      <c r="Z661" s="498">
        <f t="shared" si="103"/>
        <v>0</v>
      </c>
      <c r="AA661" s="368"/>
      <c r="AB661" s="368"/>
      <c r="AC661" s="368"/>
      <c r="AD661" s="368"/>
      <c r="AE661" s="365">
        <f t="shared" si="104"/>
        <v>0</v>
      </c>
      <c r="AF661" s="262"/>
      <c r="AG661" s="457"/>
      <c r="AH661" s="264"/>
    </row>
    <row r="662" spans="1:34" ht="30.75" thickBot="1" x14ac:dyDescent="0.3">
      <c r="A662" s="458" t="s">
        <v>1492</v>
      </c>
      <c r="B662" s="470" t="s">
        <v>1493</v>
      </c>
      <c r="C662" s="463" t="s">
        <v>335</v>
      </c>
      <c r="D662" s="449" t="s">
        <v>431</v>
      </c>
      <c r="E662" s="262"/>
      <c r="F662" s="470" t="s">
        <v>1497</v>
      </c>
      <c r="G662" s="387" t="str">
        <f>VLOOKUP(A662,'Feature Summary'!$A$7:$C$3944,3,FALSE)</f>
        <v>P2</v>
      </c>
      <c r="H662" s="447" t="s">
        <v>1498</v>
      </c>
      <c r="I662" s="488" t="s">
        <v>264</v>
      </c>
      <c r="J662" s="480" t="s">
        <v>1496</v>
      </c>
      <c r="K662" s="263">
        <v>1</v>
      </c>
      <c r="L662" s="391">
        <v>1</v>
      </c>
      <c r="M662" s="399" t="s">
        <v>33</v>
      </c>
      <c r="N662" s="475">
        <v>1</v>
      </c>
      <c r="O662" s="391">
        <v>1</v>
      </c>
      <c r="P662" s="496">
        <f t="shared" si="77"/>
        <v>1</v>
      </c>
      <c r="Q662" s="445" t="s">
        <v>52</v>
      </c>
      <c r="R662" s="391">
        <v>1</v>
      </c>
      <c r="S662" s="362">
        <f t="shared" si="97"/>
        <v>1</v>
      </c>
      <c r="T662" s="368">
        <v>1</v>
      </c>
      <c r="U662" s="368"/>
      <c r="V662" s="368"/>
      <c r="W662" s="368"/>
      <c r="X662" s="364">
        <f t="shared" si="96"/>
        <v>1</v>
      </c>
      <c r="Y662" s="393"/>
      <c r="Z662" s="498">
        <f t="shared" si="103"/>
        <v>0</v>
      </c>
      <c r="AA662" s="368"/>
      <c r="AB662" s="368"/>
      <c r="AC662" s="368"/>
      <c r="AD662" s="368"/>
      <c r="AE662" s="365">
        <f t="shared" si="104"/>
        <v>0</v>
      </c>
      <c r="AF662" s="262"/>
      <c r="AG662" s="457"/>
      <c r="AH662" s="264"/>
    </row>
    <row r="663" spans="1:34" ht="30.75" thickBot="1" x14ac:dyDescent="0.3">
      <c r="A663" s="458" t="s">
        <v>1492</v>
      </c>
      <c r="B663" s="470" t="s">
        <v>1493</v>
      </c>
      <c r="C663" s="463" t="s">
        <v>335</v>
      </c>
      <c r="D663" s="449" t="s">
        <v>431</v>
      </c>
      <c r="E663" s="262"/>
      <c r="F663" s="470" t="s">
        <v>1499</v>
      </c>
      <c r="G663" s="387" t="str">
        <f>VLOOKUP(A663,'Feature Summary'!$A$7:$C$3944,3,FALSE)</f>
        <v>P2</v>
      </c>
      <c r="H663" s="447" t="s">
        <v>1500</v>
      </c>
      <c r="I663" s="488" t="s">
        <v>264</v>
      </c>
      <c r="J663" s="480" t="s">
        <v>1501</v>
      </c>
      <c r="K663" s="263">
        <v>1</v>
      </c>
      <c r="L663" s="391">
        <v>1</v>
      </c>
      <c r="M663" s="399" t="s">
        <v>33</v>
      </c>
      <c r="N663" s="475">
        <v>1</v>
      </c>
      <c r="O663" s="391">
        <v>1</v>
      </c>
      <c r="P663" s="496">
        <f>IF((O663=0),0,(O663/L663))</f>
        <v>1</v>
      </c>
      <c r="Q663" s="445" t="s">
        <v>52</v>
      </c>
      <c r="R663" s="391">
        <v>1</v>
      </c>
      <c r="S663" s="362">
        <f t="shared" si="97"/>
        <v>1</v>
      </c>
      <c r="T663" s="368">
        <v>1</v>
      </c>
      <c r="U663" s="368"/>
      <c r="V663" s="368"/>
      <c r="W663" s="368"/>
      <c r="X663" s="364">
        <f t="shared" si="96"/>
        <v>1</v>
      </c>
      <c r="Y663" s="393"/>
      <c r="Z663" s="498">
        <f t="shared" si="103"/>
        <v>0</v>
      </c>
      <c r="AA663" s="368"/>
      <c r="AB663" s="368"/>
      <c r="AC663" s="368"/>
      <c r="AD663" s="368"/>
      <c r="AE663" s="365">
        <f t="shared" si="104"/>
        <v>0</v>
      </c>
      <c r="AF663" s="558"/>
      <c r="AG663" s="457"/>
      <c r="AH663" s="264"/>
    </row>
    <row r="664" spans="1:34" ht="30.75" thickBot="1" x14ac:dyDescent="0.3">
      <c r="A664" s="458"/>
      <c r="B664" s="470" t="s">
        <v>1493</v>
      </c>
      <c r="C664" s="463" t="s">
        <v>335</v>
      </c>
      <c r="D664" s="449" t="s">
        <v>431</v>
      </c>
      <c r="E664" s="262"/>
      <c r="F664" s="470" t="s">
        <v>1502</v>
      </c>
      <c r="G664" s="387" t="e">
        <f>VLOOKUP(A664,'Feature Summary'!$A$7:$C$3944,3,FALSE)</f>
        <v>#N/A</v>
      </c>
      <c r="H664" s="447" t="s">
        <v>1503</v>
      </c>
      <c r="I664" s="488" t="s">
        <v>264</v>
      </c>
      <c r="J664" s="480" t="s">
        <v>1504</v>
      </c>
      <c r="K664" s="263">
        <v>1</v>
      </c>
      <c r="L664" s="391">
        <v>1</v>
      </c>
      <c r="M664" s="399" t="s">
        <v>33</v>
      </c>
      <c r="N664" s="475">
        <v>1</v>
      </c>
      <c r="O664" s="391">
        <v>1</v>
      </c>
      <c r="P664" s="496">
        <f t="shared" ref="P664:P665" si="105">IF((O664=0),0,(O664/L664))</f>
        <v>1</v>
      </c>
      <c r="Q664" s="445" t="s">
        <v>52</v>
      </c>
      <c r="R664" s="391">
        <v>1</v>
      </c>
      <c r="S664" s="362">
        <f t="shared" si="97"/>
        <v>1</v>
      </c>
      <c r="T664" s="368">
        <v>1</v>
      </c>
      <c r="U664" s="368"/>
      <c r="V664" s="368"/>
      <c r="W664" s="368"/>
      <c r="X664" s="364">
        <f t="shared" si="96"/>
        <v>1</v>
      </c>
      <c r="Y664" s="393"/>
      <c r="Z664" s="498">
        <f t="shared" si="103"/>
        <v>0</v>
      </c>
      <c r="AA664" s="368"/>
      <c r="AB664" s="368"/>
      <c r="AC664" s="368"/>
      <c r="AD664" s="368"/>
      <c r="AE664" s="365">
        <f t="shared" si="104"/>
        <v>0</v>
      </c>
      <c r="AF664" s="262"/>
      <c r="AG664" s="457"/>
      <c r="AH664" s="264"/>
    </row>
    <row r="665" spans="1:34" ht="30.75" thickBot="1" x14ac:dyDescent="0.3">
      <c r="A665" s="458"/>
      <c r="B665" s="470" t="s">
        <v>1493</v>
      </c>
      <c r="C665" s="463" t="s">
        <v>335</v>
      </c>
      <c r="D665" s="449" t="s">
        <v>431</v>
      </c>
      <c r="E665" s="262"/>
      <c r="F665" s="470" t="s">
        <v>1505</v>
      </c>
      <c r="G665" s="387" t="e">
        <f>VLOOKUP(A665,'Feature Summary'!$A$7:$C$3944,3,FALSE)</f>
        <v>#N/A</v>
      </c>
      <c r="H665" s="447" t="s">
        <v>1506</v>
      </c>
      <c r="I665" s="488" t="s">
        <v>264</v>
      </c>
      <c r="J665" s="480" t="s">
        <v>1504</v>
      </c>
      <c r="K665" s="263">
        <v>1</v>
      </c>
      <c r="L665" s="391">
        <v>1</v>
      </c>
      <c r="M665" s="399" t="s">
        <v>33</v>
      </c>
      <c r="N665" s="475">
        <v>1</v>
      </c>
      <c r="O665" s="391">
        <v>1</v>
      </c>
      <c r="P665" s="496">
        <f t="shared" si="105"/>
        <v>1</v>
      </c>
      <c r="Q665" s="445" t="s">
        <v>52</v>
      </c>
      <c r="R665" s="391">
        <v>1</v>
      </c>
      <c r="S665" s="362">
        <f t="shared" si="97"/>
        <v>1</v>
      </c>
      <c r="T665" s="368">
        <v>1</v>
      </c>
      <c r="U665" s="368"/>
      <c r="V665" s="368"/>
      <c r="W665" s="368"/>
      <c r="X665" s="364">
        <f t="shared" si="96"/>
        <v>1</v>
      </c>
      <c r="Y665" s="393"/>
      <c r="Z665" s="498">
        <f t="shared" si="103"/>
        <v>0</v>
      </c>
      <c r="AA665" s="368"/>
      <c r="AB665" s="368"/>
      <c r="AC665" s="368"/>
      <c r="AD665" s="368"/>
      <c r="AE665" s="365">
        <f t="shared" si="104"/>
        <v>0</v>
      </c>
      <c r="AF665" s="262"/>
      <c r="AG665" s="457"/>
      <c r="AH665" s="264"/>
    </row>
    <row r="666" spans="1:34" ht="30.75" thickBot="1" x14ac:dyDescent="0.3">
      <c r="A666" s="458"/>
      <c r="B666" s="470" t="s">
        <v>1493</v>
      </c>
      <c r="C666" s="463" t="s">
        <v>335</v>
      </c>
      <c r="D666" s="449" t="s">
        <v>431</v>
      </c>
      <c r="E666" s="262"/>
      <c r="F666" s="470" t="s">
        <v>1507</v>
      </c>
      <c r="G666" s="387" t="e">
        <f>VLOOKUP(A666,'Feature Summary'!$A$7:$C$3944,3,FALSE)</f>
        <v>#N/A</v>
      </c>
      <c r="H666" s="447" t="s">
        <v>1508</v>
      </c>
      <c r="I666" s="488" t="s">
        <v>264</v>
      </c>
      <c r="J666" s="480" t="s">
        <v>1509</v>
      </c>
      <c r="K666" s="263">
        <v>1</v>
      </c>
      <c r="L666" s="391">
        <v>1</v>
      </c>
      <c r="M666" s="399" t="s">
        <v>33</v>
      </c>
      <c r="N666" s="475">
        <v>1</v>
      </c>
      <c r="O666" s="391">
        <v>1</v>
      </c>
      <c r="P666" s="496">
        <f>IF((O666=0),0,(O666/L666))</f>
        <v>1</v>
      </c>
      <c r="Q666" s="445" t="s">
        <v>52</v>
      </c>
      <c r="R666" s="391">
        <v>1</v>
      </c>
      <c r="S666" s="362">
        <f t="shared" si="97"/>
        <v>1</v>
      </c>
      <c r="T666" s="368">
        <v>1</v>
      </c>
      <c r="U666" s="368"/>
      <c r="V666" s="368"/>
      <c r="W666" s="368"/>
      <c r="X666" s="364">
        <f t="shared" si="96"/>
        <v>1</v>
      </c>
      <c r="Y666" s="393"/>
      <c r="Z666" s="498">
        <f t="shared" si="103"/>
        <v>0</v>
      </c>
      <c r="AA666" s="368"/>
      <c r="AB666" s="368"/>
      <c r="AC666" s="368"/>
      <c r="AD666" s="368"/>
      <c r="AE666" s="365">
        <f t="shared" si="104"/>
        <v>0</v>
      </c>
      <c r="AF666" s="262"/>
      <c r="AG666" s="457"/>
      <c r="AH666" s="264"/>
    </row>
    <row r="667" spans="1:34" ht="30.75" thickBot="1" x14ac:dyDescent="0.3">
      <c r="A667" s="458"/>
      <c r="B667" s="470" t="s">
        <v>1493</v>
      </c>
      <c r="C667" s="463" t="s">
        <v>335</v>
      </c>
      <c r="D667" s="449" t="s">
        <v>431</v>
      </c>
      <c r="E667" s="262"/>
      <c r="F667" s="470" t="s">
        <v>1510</v>
      </c>
      <c r="G667" s="387" t="e">
        <f>VLOOKUP(A667,'Feature Summary'!$A$7:$C$3944,3,FALSE)</f>
        <v>#N/A</v>
      </c>
      <c r="H667" s="447" t="s">
        <v>1511</v>
      </c>
      <c r="I667" s="488" t="s">
        <v>264</v>
      </c>
      <c r="J667" s="480" t="s">
        <v>1504</v>
      </c>
      <c r="K667" s="263">
        <v>1</v>
      </c>
      <c r="L667" s="391">
        <v>1</v>
      </c>
      <c r="M667" s="399" t="s">
        <v>33</v>
      </c>
      <c r="N667" s="475">
        <v>1</v>
      </c>
      <c r="O667" s="391">
        <v>1</v>
      </c>
      <c r="P667" s="496">
        <f>IF((O667=0),0,(O667/L667))</f>
        <v>1</v>
      </c>
      <c r="Q667" s="445" t="s">
        <v>52</v>
      </c>
      <c r="R667" s="391">
        <v>1</v>
      </c>
      <c r="S667" s="362">
        <f t="shared" si="97"/>
        <v>1</v>
      </c>
      <c r="T667" s="368">
        <v>1</v>
      </c>
      <c r="U667" s="368"/>
      <c r="V667" s="368"/>
      <c r="W667" s="368"/>
      <c r="X667" s="364">
        <f t="shared" ref="X667:X731" si="106">IF((S667=0),0,((T667+U667)/S667*100%))</f>
        <v>1</v>
      </c>
      <c r="Y667" s="393"/>
      <c r="Z667" s="498">
        <f t="shared" si="103"/>
        <v>0</v>
      </c>
      <c r="AA667" s="368"/>
      <c r="AB667" s="368"/>
      <c r="AC667" s="368"/>
      <c r="AD667" s="368"/>
      <c r="AE667" s="365">
        <f t="shared" si="104"/>
        <v>0</v>
      </c>
      <c r="AF667" s="262"/>
      <c r="AG667" s="457"/>
      <c r="AH667" s="264"/>
    </row>
    <row r="668" spans="1:34" ht="33.75" customHeight="1" thickBot="1" x14ac:dyDescent="0.3">
      <c r="A668" s="458"/>
      <c r="B668" s="470" t="s">
        <v>1493</v>
      </c>
      <c r="C668" s="463"/>
      <c r="D668" s="449" t="s">
        <v>431</v>
      </c>
      <c r="E668" s="262"/>
      <c r="F668" s="470" t="s">
        <v>1494</v>
      </c>
      <c r="G668" s="387" t="e">
        <f>VLOOKUP(A668,'Feature Summary'!$A$7:$C$3944,3,FALSE)</f>
        <v>#N/A</v>
      </c>
      <c r="H668" s="447" t="s">
        <v>1512</v>
      </c>
      <c r="I668" s="447"/>
      <c r="J668" s="480" t="s">
        <v>1513</v>
      </c>
      <c r="K668" s="263"/>
      <c r="L668" s="391"/>
      <c r="M668" s="399" t="s">
        <v>33</v>
      </c>
      <c r="N668" s="475">
        <v>1</v>
      </c>
      <c r="O668" s="391"/>
      <c r="P668" s="496">
        <f t="shared" ref="P668:P672" si="107">IF((O668=0),0,(O668/L668))</f>
        <v>0</v>
      </c>
      <c r="Q668" s="445" t="s">
        <v>52</v>
      </c>
      <c r="R668" s="391"/>
      <c r="S668" s="362">
        <f t="shared" ref="S668:S732" si="108">SUM(T668:W668)</f>
        <v>0</v>
      </c>
      <c r="T668" s="368"/>
      <c r="U668" s="368"/>
      <c r="V668" s="368"/>
      <c r="W668" s="368"/>
      <c r="X668" s="364">
        <f t="shared" si="106"/>
        <v>0</v>
      </c>
      <c r="Y668" s="393"/>
      <c r="Z668" s="498">
        <f t="shared" si="103"/>
        <v>0</v>
      </c>
      <c r="AA668" s="368"/>
      <c r="AB668" s="368"/>
      <c r="AC668" s="368"/>
      <c r="AD668" s="368"/>
      <c r="AE668" s="365">
        <f t="shared" si="104"/>
        <v>0</v>
      </c>
      <c r="AF668" s="558"/>
      <c r="AG668" s="457"/>
      <c r="AH668" s="264"/>
    </row>
    <row r="669" spans="1:34" ht="27.75" customHeight="1" thickBot="1" x14ac:dyDescent="0.3">
      <c r="A669" s="458"/>
      <c r="B669" s="470" t="s">
        <v>1493</v>
      </c>
      <c r="C669" s="463"/>
      <c r="D669" s="449" t="s">
        <v>431</v>
      </c>
      <c r="E669" s="262"/>
      <c r="F669" s="470" t="s">
        <v>1497</v>
      </c>
      <c r="G669" s="387" t="e">
        <f>VLOOKUP(A669,'Feature Summary'!$A$7:$C$3944,3,FALSE)</f>
        <v>#N/A</v>
      </c>
      <c r="H669" s="447" t="s">
        <v>1514</v>
      </c>
      <c r="I669" s="447"/>
      <c r="J669" s="480" t="s">
        <v>1513</v>
      </c>
      <c r="K669" s="263"/>
      <c r="L669" s="391"/>
      <c r="M669" s="399" t="s">
        <v>33</v>
      </c>
      <c r="N669" s="475">
        <v>1</v>
      </c>
      <c r="O669" s="391"/>
      <c r="P669" s="496">
        <f t="shared" si="107"/>
        <v>0</v>
      </c>
      <c r="Q669" s="445" t="s">
        <v>52</v>
      </c>
      <c r="R669" s="391"/>
      <c r="S669" s="362">
        <f t="shared" si="108"/>
        <v>0</v>
      </c>
      <c r="T669" s="368"/>
      <c r="U669" s="368"/>
      <c r="V669" s="368"/>
      <c r="W669" s="368"/>
      <c r="X669" s="364">
        <f t="shared" si="106"/>
        <v>0</v>
      </c>
      <c r="Y669" s="393"/>
      <c r="Z669" s="498">
        <f t="shared" si="103"/>
        <v>0</v>
      </c>
      <c r="AA669" s="368"/>
      <c r="AB669" s="368"/>
      <c r="AC669" s="368"/>
      <c r="AD669" s="368"/>
      <c r="AE669" s="365">
        <f t="shared" si="104"/>
        <v>0</v>
      </c>
      <c r="AF669" s="558"/>
      <c r="AG669" s="457"/>
      <c r="AH669" s="264"/>
    </row>
    <row r="670" spans="1:34" ht="33" customHeight="1" thickBot="1" x14ac:dyDescent="0.3">
      <c r="A670" s="458"/>
      <c r="B670" s="470" t="s">
        <v>1493</v>
      </c>
      <c r="C670" s="463"/>
      <c r="D670" s="449" t="s">
        <v>431</v>
      </c>
      <c r="E670" s="262"/>
      <c r="F670" s="470" t="s">
        <v>1499</v>
      </c>
      <c r="G670" s="387" t="e">
        <f>VLOOKUP(A670,'Feature Summary'!$A$7:$C$3944,3,FALSE)</f>
        <v>#N/A</v>
      </c>
      <c r="H670" s="447" t="s">
        <v>1515</v>
      </c>
      <c r="I670" s="447"/>
      <c r="J670" s="480" t="s">
        <v>1516</v>
      </c>
      <c r="K670" s="263"/>
      <c r="L670" s="391"/>
      <c r="M670" s="399" t="s">
        <v>33</v>
      </c>
      <c r="N670" s="475">
        <v>1</v>
      </c>
      <c r="O670" s="391"/>
      <c r="P670" s="496">
        <f t="shared" si="107"/>
        <v>0</v>
      </c>
      <c r="Q670" s="445" t="s">
        <v>52</v>
      </c>
      <c r="R670" s="391"/>
      <c r="S670" s="362">
        <f t="shared" si="108"/>
        <v>0</v>
      </c>
      <c r="T670" s="368"/>
      <c r="U670" s="368"/>
      <c r="V670" s="368"/>
      <c r="W670" s="368"/>
      <c r="X670" s="364">
        <f t="shared" si="106"/>
        <v>0</v>
      </c>
      <c r="Y670" s="393"/>
      <c r="Z670" s="498">
        <f t="shared" si="103"/>
        <v>0</v>
      </c>
      <c r="AA670" s="368"/>
      <c r="AB670" s="368"/>
      <c r="AC670" s="368"/>
      <c r="AD670" s="368"/>
      <c r="AE670" s="365">
        <f t="shared" si="104"/>
        <v>0</v>
      </c>
      <c r="AF670" s="558"/>
      <c r="AG670" s="457"/>
      <c r="AH670" s="264"/>
    </row>
    <row r="671" spans="1:34" ht="33" customHeight="1" thickBot="1" x14ac:dyDescent="0.3">
      <c r="A671" s="458"/>
      <c r="B671" s="470" t="s">
        <v>1493</v>
      </c>
      <c r="C671" s="463"/>
      <c r="D671" s="449" t="s">
        <v>431</v>
      </c>
      <c r="E671" s="262"/>
      <c r="F671" s="470" t="s">
        <v>1502</v>
      </c>
      <c r="G671" s="387" t="e">
        <f>VLOOKUP(A671,'Feature Summary'!$A$7:$C$3944,3,FALSE)</f>
        <v>#N/A</v>
      </c>
      <c r="H671" s="447" t="s">
        <v>1517</v>
      </c>
      <c r="I671" s="447"/>
      <c r="J671" s="480" t="s">
        <v>1513</v>
      </c>
      <c r="K671" s="263"/>
      <c r="L671" s="391"/>
      <c r="M671" s="399" t="s">
        <v>33</v>
      </c>
      <c r="N671" s="475">
        <v>1</v>
      </c>
      <c r="O671" s="391"/>
      <c r="P671" s="496">
        <f t="shared" si="107"/>
        <v>0</v>
      </c>
      <c r="Q671" s="445" t="s">
        <v>52</v>
      </c>
      <c r="R671" s="391"/>
      <c r="S671" s="362">
        <f t="shared" si="108"/>
        <v>0</v>
      </c>
      <c r="T671" s="368"/>
      <c r="U671" s="368"/>
      <c r="V671" s="368"/>
      <c r="W671" s="368"/>
      <c r="X671" s="364">
        <f t="shared" si="106"/>
        <v>0</v>
      </c>
      <c r="Y671" s="393"/>
      <c r="Z671" s="498">
        <f t="shared" si="103"/>
        <v>0</v>
      </c>
      <c r="AA671" s="368"/>
      <c r="AB671" s="368"/>
      <c r="AC671" s="368"/>
      <c r="AD671" s="368"/>
      <c r="AE671" s="365">
        <f t="shared" si="104"/>
        <v>0</v>
      </c>
      <c r="AF671" s="558"/>
      <c r="AG671" s="457"/>
      <c r="AH671" s="264"/>
    </row>
    <row r="672" spans="1:34" ht="37.5" customHeight="1" thickBot="1" x14ac:dyDescent="0.3">
      <c r="A672" s="458"/>
      <c r="B672" s="470" t="s">
        <v>1493</v>
      </c>
      <c r="C672" s="463"/>
      <c r="D672" s="449" t="s">
        <v>431</v>
      </c>
      <c r="E672" s="262"/>
      <c r="F672" s="470" t="s">
        <v>1505</v>
      </c>
      <c r="G672" s="387" t="e">
        <f>VLOOKUP(A672,'Feature Summary'!$A$7:$C$3944,3,FALSE)</f>
        <v>#N/A</v>
      </c>
      <c r="H672" s="447" t="s">
        <v>1518</v>
      </c>
      <c r="I672" s="447"/>
      <c r="J672" s="480" t="s">
        <v>1513</v>
      </c>
      <c r="K672" s="263"/>
      <c r="L672" s="391"/>
      <c r="M672" s="399" t="s">
        <v>33</v>
      </c>
      <c r="N672" s="475">
        <v>1</v>
      </c>
      <c r="O672" s="391"/>
      <c r="P672" s="496">
        <f t="shared" si="107"/>
        <v>0</v>
      </c>
      <c r="Q672" s="445" t="s">
        <v>52</v>
      </c>
      <c r="R672" s="391"/>
      <c r="S672" s="362">
        <f t="shared" si="108"/>
        <v>0</v>
      </c>
      <c r="T672" s="368"/>
      <c r="U672" s="368"/>
      <c r="V672" s="368"/>
      <c r="W672" s="368"/>
      <c r="X672" s="364">
        <f t="shared" si="106"/>
        <v>0</v>
      </c>
      <c r="Y672" s="393"/>
      <c r="Z672" s="498">
        <f t="shared" si="103"/>
        <v>0</v>
      </c>
      <c r="AA672" s="368"/>
      <c r="AB672" s="368"/>
      <c r="AC672" s="368"/>
      <c r="AD672" s="368"/>
      <c r="AE672" s="365">
        <f t="shared" si="104"/>
        <v>0</v>
      </c>
      <c r="AF672" s="558"/>
      <c r="AG672" s="457"/>
      <c r="AH672" s="264"/>
    </row>
    <row r="673" spans="1:34" ht="37.5" customHeight="1" thickBot="1" x14ac:dyDescent="0.3">
      <c r="A673" s="458"/>
      <c r="B673" s="470" t="s">
        <v>1493</v>
      </c>
      <c r="C673" s="463"/>
      <c r="D673" s="449" t="s">
        <v>431</v>
      </c>
      <c r="E673" s="262"/>
      <c r="F673" s="470" t="s">
        <v>1507</v>
      </c>
      <c r="G673" s="387" t="e">
        <f>VLOOKUP(A673,'Feature Summary'!$A$7:$C$3944,3,FALSE)</f>
        <v>#N/A</v>
      </c>
      <c r="H673" s="447" t="s">
        <v>1519</v>
      </c>
      <c r="I673" s="447"/>
      <c r="J673" s="480" t="s">
        <v>1516</v>
      </c>
      <c r="K673" s="263"/>
      <c r="L673" s="391"/>
      <c r="M673" s="399" t="s">
        <v>33</v>
      </c>
      <c r="N673" s="475">
        <v>1</v>
      </c>
      <c r="O673" s="391"/>
      <c r="P673" s="496">
        <f>IF((O673=0),0,(O673/L673))</f>
        <v>0</v>
      </c>
      <c r="Q673" s="445" t="s">
        <v>52</v>
      </c>
      <c r="R673" s="391"/>
      <c r="S673" s="362">
        <f t="shared" si="108"/>
        <v>0</v>
      </c>
      <c r="T673" s="368"/>
      <c r="U673" s="368"/>
      <c r="V673" s="368"/>
      <c r="W673" s="368"/>
      <c r="X673" s="364">
        <f t="shared" si="106"/>
        <v>0</v>
      </c>
      <c r="Y673" s="393"/>
      <c r="Z673" s="498">
        <f t="shared" si="103"/>
        <v>0</v>
      </c>
      <c r="AA673" s="368"/>
      <c r="AB673" s="368"/>
      <c r="AC673" s="368"/>
      <c r="AD673" s="368"/>
      <c r="AE673" s="365">
        <f t="shared" si="104"/>
        <v>0</v>
      </c>
      <c r="AF673" s="558"/>
      <c r="AG673" s="457"/>
      <c r="AH673" s="264"/>
    </row>
    <row r="674" spans="1:34" ht="30.75" thickBot="1" x14ac:dyDescent="0.3">
      <c r="A674" s="458"/>
      <c r="B674" s="470" t="s">
        <v>1493</v>
      </c>
      <c r="C674" s="463"/>
      <c r="D674" s="449" t="s">
        <v>431</v>
      </c>
      <c r="E674" s="262"/>
      <c r="F674" s="470" t="s">
        <v>1510</v>
      </c>
      <c r="G674" s="387" t="e">
        <f>VLOOKUP(A674,'Feature Summary'!$A$7:$C$3944,3,FALSE)</f>
        <v>#N/A</v>
      </c>
      <c r="H674" s="447" t="s">
        <v>1520</v>
      </c>
      <c r="I674" s="447"/>
      <c r="J674" s="480" t="s">
        <v>1513</v>
      </c>
      <c r="K674" s="263"/>
      <c r="L674" s="391"/>
      <c r="M674" s="399" t="s">
        <v>33</v>
      </c>
      <c r="N674" s="475">
        <v>1</v>
      </c>
      <c r="O674" s="391"/>
      <c r="P674" s="496">
        <f t="shared" ref="P674:P705" si="109">IF((O674=0),0,(O674/L674))</f>
        <v>0</v>
      </c>
      <c r="Q674" s="445" t="s">
        <v>52</v>
      </c>
      <c r="R674" s="391"/>
      <c r="S674" s="362">
        <f t="shared" si="108"/>
        <v>0</v>
      </c>
      <c r="T674" s="368"/>
      <c r="U674" s="368"/>
      <c r="V674" s="368"/>
      <c r="W674" s="368"/>
      <c r="X674" s="364">
        <f t="shared" si="106"/>
        <v>0</v>
      </c>
      <c r="Y674" s="393"/>
      <c r="Z674" s="498">
        <f t="shared" si="103"/>
        <v>0</v>
      </c>
      <c r="AA674" s="368"/>
      <c r="AB674" s="368"/>
      <c r="AC674" s="368"/>
      <c r="AD674" s="368"/>
      <c r="AE674" s="365">
        <f t="shared" si="104"/>
        <v>0</v>
      </c>
      <c r="AF674" s="262"/>
      <c r="AG674" s="457"/>
      <c r="AH674" s="264"/>
    </row>
    <row r="675" spans="1:34" ht="36" customHeight="1" thickBot="1" x14ac:dyDescent="0.3">
      <c r="A675" s="458"/>
      <c r="B675" s="470" t="s">
        <v>1493</v>
      </c>
      <c r="C675" s="463"/>
      <c r="D675" s="449" t="s">
        <v>431</v>
      </c>
      <c r="E675" s="262"/>
      <c r="F675" s="470" t="s">
        <v>1494</v>
      </c>
      <c r="G675" s="387" t="e">
        <f>VLOOKUP(A675,'Feature Summary'!$A$7:$C$3944,3,FALSE)</f>
        <v>#N/A</v>
      </c>
      <c r="H675" s="447" t="s">
        <v>1521</v>
      </c>
      <c r="I675" s="447"/>
      <c r="J675" s="480" t="s">
        <v>1522</v>
      </c>
      <c r="K675" s="263"/>
      <c r="L675" s="391"/>
      <c r="M675" s="399" t="s">
        <v>33</v>
      </c>
      <c r="N675" s="475">
        <v>1</v>
      </c>
      <c r="O675" s="391"/>
      <c r="P675" s="496">
        <f t="shared" si="109"/>
        <v>0</v>
      </c>
      <c r="Q675" s="445" t="s">
        <v>52</v>
      </c>
      <c r="R675" s="391"/>
      <c r="S675" s="362">
        <f t="shared" si="108"/>
        <v>0</v>
      </c>
      <c r="T675" s="368"/>
      <c r="U675" s="368"/>
      <c r="V675" s="368"/>
      <c r="W675" s="368"/>
      <c r="X675" s="364">
        <f t="shared" si="106"/>
        <v>0</v>
      </c>
      <c r="Y675" s="393"/>
      <c r="Z675" s="498">
        <f t="shared" si="103"/>
        <v>0</v>
      </c>
      <c r="AA675" s="368"/>
      <c r="AB675" s="368"/>
      <c r="AC675" s="368"/>
      <c r="AD675" s="368"/>
      <c r="AE675" s="365">
        <f t="shared" si="104"/>
        <v>0</v>
      </c>
      <c r="AF675" s="558"/>
      <c r="AG675" s="457"/>
      <c r="AH675" s="264"/>
    </row>
    <row r="676" spans="1:34" ht="28.5" customHeight="1" thickBot="1" x14ac:dyDescent="0.3">
      <c r="A676" s="458"/>
      <c r="B676" s="470" t="s">
        <v>1493</v>
      </c>
      <c r="C676" s="463"/>
      <c r="D676" s="449" t="s">
        <v>431</v>
      </c>
      <c r="E676" s="262"/>
      <c r="F676" s="470" t="s">
        <v>1497</v>
      </c>
      <c r="G676" s="387" t="e">
        <f>VLOOKUP(A676,'Feature Summary'!$A$7:$C$3944,3,FALSE)</f>
        <v>#N/A</v>
      </c>
      <c r="H676" s="447" t="s">
        <v>1523</v>
      </c>
      <c r="I676" s="447"/>
      <c r="J676" s="480" t="s">
        <v>1522</v>
      </c>
      <c r="K676" s="263"/>
      <c r="L676" s="391"/>
      <c r="M676" s="399" t="s">
        <v>33</v>
      </c>
      <c r="N676" s="475">
        <v>1</v>
      </c>
      <c r="O676" s="391"/>
      <c r="P676" s="496">
        <f t="shared" si="109"/>
        <v>0</v>
      </c>
      <c r="Q676" s="445" t="s">
        <v>52</v>
      </c>
      <c r="R676" s="391"/>
      <c r="S676" s="362">
        <f t="shared" si="108"/>
        <v>0</v>
      </c>
      <c r="T676" s="368"/>
      <c r="U676" s="368"/>
      <c r="V676" s="368"/>
      <c r="W676" s="368"/>
      <c r="X676" s="364">
        <f t="shared" si="106"/>
        <v>0</v>
      </c>
      <c r="Y676" s="393"/>
      <c r="Z676" s="498">
        <f t="shared" si="103"/>
        <v>0</v>
      </c>
      <c r="AA676" s="368"/>
      <c r="AB676" s="368"/>
      <c r="AC676" s="368"/>
      <c r="AD676" s="368"/>
      <c r="AE676" s="365">
        <f t="shared" si="104"/>
        <v>0</v>
      </c>
      <c r="AF676" s="558"/>
      <c r="AG676" s="457"/>
      <c r="AH676" s="264"/>
    </row>
    <row r="677" spans="1:34" ht="29.25" customHeight="1" thickBot="1" x14ac:dyDescent="0.3">
      <c r="A677" s="458"/>
      <c r="B677" s="470" t="s">
        <v>1493</v>
      </c>
      <c r="C677" s="463"/>
      <c r="D677" s="449" t="s">
        <v>431</v>
      </c>
      <c r="E677" s="262"/>
      <c r="F677" s="470" t="s">
        <v>1499</v>
      </c>
      <c r="G677" s="387" t="e">
        <f>VLOOKUP(A677,'Feature Summary'!$A$7:$C$3944,3,FALSE)</f>
        <v>#N/A</v>
      </c>
      <c r="H677" s="447" t="s">
        <v>1524</v>
      </c>
      <c r="I677" s="447"/>
      <c r="J677" s="480" t="s">
        <v>1525</v>
      </c>
      <c r="K677" s="263"/>
      <c r="L677" s="391"/>
      <c r="M677" s="399" t="s">
        <v>33</v>
      </c>
      <c r="N677" s="475">
        <v>1</v>
      </c>
      <c r="O677" s="391"/>
      <c r="P677" s="496">
        <f t="shared" si="109"/>
        <v>0</v>
      </c>
      <c r="Q677" s="445" t="s">
        <v>52</v>
      </c>
      <c r="R677" s="391"/>
      <c r="S677" s="362">
        <f t="shared" si="108"/>
        <v>0</v>
      </c>
      <c r="T677" s="368"/>
      <c r="U677" s="368"/>
      <c r="V677" s="368"/>
      <c r="W677" s="368"/>
      <c r="X677" s="364">
        <f t="shared" si="106"/>
        <v>0</v>
      </c>
      <c r="Y677" s="393"/>
      <c r="Z677" s="498">
        <f t="shared" si="103"/>
        <v>0</v>
      </c>
      <c r="AA677" s="368"/>
      <c r="AB677" s="368"/>
      <c r="AC677" s="368"/>
      <c r="AD677" s="368"/>
      <c r="AE677" s="365">
        <f t="shared" si="104"/>
        <v>0</v>
      </c>
      <c r="AF677" s="558"/>
      <c r="AG677" s="457"/>
      <c r="AH677" s="264"/>
    </row>
    <row r="678" spans="1:34" ht="28.5" customHeight="1" thickBot="1" x14ac:dyDescent="0.3">
      <c r="A678" s="458"/>
      <c r="B678" s="470" t="s">
        <v>1493</v>
      </c>
      <c r="C678" s="463"/>
      <c r="D678" s="449" t="s">
        <v>431</v>
      </c>
      <c r="E678" s="262"/>
      <c r="F678" s="470" t="s">
        <v>1502</v>
      </c>
      <c r="G678" s="387" t="e">
        <f>VLOOKUP(A678,'Feature Summary'!$A$7:$C$3944,3,FALSE)</f>
        <v>#N/A</v>
      </c>
      <c r="H678" s="447" t="s">
        <v>1526</v>
      </c>
      <c r="I678" s="447"/>
      <c r="J678" s="480" t="s">
        <v>1522</v>
      </c>
      <c r="K678" s="263"/>
      <c r="L678" s="391"/>
      <c r="M678" s="399" t="s">
        <v>33</v>
      </c>
      <c r="N678" s="475">
        <v>1</v>
      </c>
      <c r="O678" s="391"/>
      <c r="P678" s="496">
        <f t="shared" si="109"/>
        <v>0</v>
      </c>
      <c r="Q678" s="445" t="s">
        <v>52</v>
      </c>
      <c r="R678" s="391"/>
      <c r="S678" s="362">
        <f t="shared" si="108"/>
        <v>0</v>
      </c>
      <c r="T678" s="368"/>
      <c r="U678" s="368"/>
      <c r="V678" s="368"/>
      <c r="W678" s="368"/>
      <c r="X678" s="364">
        <f t="shared" si="106"/>
        <v>0</v>
      </c>
      <c r="Y678" s="393"/>
      <c r="Z678" s="498">
        <f t="shared" si="103"/>
        <v>0</v>
      </c>
      <c r="AA678" s="368"/>
      <c r="AB678" s="368"/>
      <c r="AC678" s="368"/>
      <c r="AD678" s="368"/>
      <c r="AE678" s="365">
        <f t="shared" si="104"/>
        <v>0</v>
      </c>
      <c r="AF678" s="558"/>
      <c r="AG678" s="457"/>
      <c r="AH678" s="264"/>
    </row>
    <row r="679" spans="1:34" ht="31.5" customHeight="1" thickBot="1" x14ac:dyDescent="0.3">
      <c r="A679" s="458"/>
      <c r="B679" s="470" t="s">
        <v>1493</v>
      </c>
      <c r="C679" s="463"/>
      <c r="D679" s="449" t="s">
        <v>431</v>
      </c>
      <c r="E679" s="262"/>
      <c r="F679" s="470" t="s">
        <v>1505</v>
      </c>
      <c r="G679" s="387" t="e">
        <f>VLOOKUP(A679,'Feature Summary'!$A$7:$C$3944,3,FALSE)</f>
        <v>#N/A</v>
      </c>
      <c r="H679" s="447" t="s">
        <v>1527</v>
      </c>
      <c r="I679" s="447"/>
      <c r="J679" s="480" t="s">
        <v>1522</v>
      </c>
      <c r="K679" s="263"/>
      <c r="L679" s="391"/>
      <c r="M679" s="399" t="s">
        <v>33</v>
      </c>
      <c r="N679" s="475">
        <v>1</v>
      </c>
      <c r="O679" s="391"/>
      <c r="P679" s="496">
        <f t="shared" si="109"/>
        <v>0</v>
      </c>
      <c r="Q679" s="445" t="s">
        <v>52</v>
      </c>
      <c r="R679" s="391"/>
      <c r="S679" s="362">
        <f t="shared" si="108"/>
        <v>0</v>
      </c>
      <c r="T679" s="368"/>
      <c r="U679" s="368"/>
      <c r="V679" s="368"/>
      <c r="W679" s="368"/>
      <c r="X679" s="364">
        <f t="shared" si="106"/>
        <v>0</v>
      </c>
      <c r="Y679" s="393"/>
      <c r="Z679" s="498">
        <f t="shared" si="103"/>
        <v>0</v>
      </c>
      <c r="AA679" s="368"/>
      <c r="AB679" s="368"/>
      <c r="AC679" s="368"/>
      <c r="AD679" s="368"/>
      <c r="AE679" s="365">
        <f t="shared" si="104"/>
        <v>0</v>
      </c>
      <c r="AF679" s="558"/>
      <c r="AG679" s="457"/>
      <c r="AH679" s="264"/>
    </row>
    <row r="680" spans="1:34" ht="34.5" customHeight="1" thickBot="1" x14ac:dyDescent="0.3">
      <c r="A680" s="458"/>
      <c r="B680" s="470" t="s">
        <v>1493</v>
      </c>
      <c r="C680" s="463"/>
      <c r="D680" s="449" t="s">
        <v>431</v>
      </c>
      <c r="E680" s="262"/>
      <c r="F680" s="470" t="s">
        <v>1507</v>
      </c>
      <c r="G680" s="387" t="e">
        <f>VLOOKUP(A680,'Feature Summary'!$A$7:$C$3944,3,FALSE)</f>
        <v>#N/A</v>
      </c>
      <c r="H680" s="447" t="s">
        <v>1528</v>
      </c>
      <c r="I680" s="447"/>
      <c r="J680" s="480" t="s">
        <v>1525</v>
      </c>
      <c r="K680" s="263"/>
      <c r="L680" s="391"/>
      <c r="M680" s="399" t="s">
        <v>33</v>
      </c>
      <c r="N680" s="475">
        <v>1</v>
      </c>
      <c r="O680" s="391"/>
      <c r="P680" s="496">
        <f t="shared" si="109"/>
        <v>0</v>
      </c>
      <c r="Q680" s="445" t="s">
        <v>52</v>
      </c>
      <c r="R680" s="391"/>
      <c r="S680" s="362">
        <f t="shared" si="108"/>
        <v>0</v>
      </c>
      <c r="T680" s="368"/>
      <c r="U680" s="368"/>
      <c r="V680" s="368"/>
      <c r="W680" s="368"/>
      <c r="X680" s="364">
        <f t="shared" si="106"/>
        <v>0</v>
      </c>
      <c r="Y680" s="393"/>
      <c r="Z680" s="498">
        <f t="shared" si="103"/>
        <v>0</v>
      </c>
      <c r="AA680" s="368"/>
      <c r="AB680" s="368"/>
      <c r="AC680" s="368"/>
      <c r="AD680" s="368"/>
      <c r="AE680" s="365">
        <f t="shared" si="104"/>
        <v>0</v>
      </c>
      <c r="AF680" s="558"/>
      <c r="AG680" s="457"/>
      <c r="AH680" s="264"/>
    </row>
    <row r="681" spans="1:34" ht="30.75" thickBot="1" x14ac:dyDescent="0.3">
      <c r="A681" s="458"/>
      <c r="B681" s="470" t="s">
        <v>1493</v>
      </c>
      <c r="C681" s="463"/>
      <c r="D681" s="449" t="s">
        <v>431</v>
      </c>
      <c r="E681" s="262"/>
      <c r="F681" s="470" t="s">
        <v>1510</v>
      </c>
      <c r="G681" s="387" t="e">
        <f>VLOOKUP(A681,'Feature Summary'!$A$7:$C$3944,3,FALSE)</f>
        <v>#N/A</v>
      </c>
      <c r="H681" s="447" t="s">
        <v>1529</v>
      </c>
      <c r="I681" s="447"/>
      <c r="J681" s="480" t="s">
        <v>1522</v>
      </c>
      <c r="K681" s="263"/>
      <c r="L681" s="391"/>
      <c r="M681" s="399" t="s">
        <v>33</v>
      </c>
      <c r="N681" s="475">
        <v>1</v>
      </c>
      <c r="O681" s="391"/>
      <c r="P681" s="496">
        <f t="shared" si="109"/>
        <v>0</v>
      </c>
      <c r="Q681" s="445" t="s">
        <v>52</v>
      </c>
      <c r="R681" s="391"/>
      <c r="S681" s="362">
        <f t="shared" si="108"/>
        <v>0</v>
      </c>
      <c r="T681" s="368"/>
      <c r="U681" s="368"/>
      <c r="V681" s="368"/>
      <c r="W681" s="368"/>
      <c r="X681" s="364">
        <f t="shared" si="106"/>
        <v>0</v>
      </c>
      <c r="Y681" s="393"/>
      <c r="Z681" s="498">
        <f t="shared" si="103"/>
        <v>0</v>
      </c>
      <c r="AA681" s="368"/>
      <c r="AB681" s="368"/>
      <c r="AC681" s="368"/>
      <c r="AD681" s="368"/>
      <c r="AE681" s="365">
        <f t="shared" si="104"/>
        <v>0</v>
      </c>
      <c r="AF681" s="262"/>
      <c r="AG681" s="457"/>
      <c r="AH681" s="264"/>
    </row>
    <row r="682" spans="1:34" ht="30.75" customHeight="1" thickBot="1" x14ac:dyDescent="0.3">
      <c r="A682" s="458"/>
      <c r="B682" s="470" t="s">
        <v>1493</v>
      </c>
      <c r="C682" s="463"/>
      <c r="D682" s="449" t="s">
        <v>431</v>
      </c>
      <c r="E682" s="262"/>
      <c r="F682" s="470" t="s">
        <v>1494</v>
      </c>
      <c r="G682" s="387" t="e">
        <f>VLOOKUP(A682,'Feature Summary'!$A$7:$C$3944,3,FALSE)</f>
        <v>#N/A</v>
      </c>
      <c r="H682" s="447" t="s">
        <v>1530</v>
      </c>
      <c r="I682" s="447"/>
      <c r="J682" s="480" t="s">
        <v>1531</v>
      </c>
      <c r="K682" s="263"/>
      <c r="L682" s="391"/>
      <c r="M682" s="399" t="s">
        <v>33</v>
      </c>
      <c r="N682" s="475">
        <v>1</v>
      </c>
      <c r="O682" s="391"/>
      <c r="P682" s="496">
        <f t="shared" si="109"/>
        <v>0</v>
      </c>
      <c r="Q682" s="445" t="s">
        <v>52</v>
      </c>
      <c r="R682" s="391"/>
      <c r="S682" s="362">
        <f t="shared" si="108"/>
        <v>0</v>
      </c>
      <c r="T682" s="368"/>
      <c r="U682" s="368"/>
      <c r="V682" s="368"/>
      <c r="W682" s="368"/>
      <c r="X682" s="364">
        <f t="shared" si="106"/>
        <v>0</v>
      </c>
      <c r="Y682" s="393"/>
      <c r="Z682" s="498">
        <f t="shared" si="103"/>
        <v>0</v>
      </c>
      <c r="AA682" s="368"/>
      <c r="AB682" s="368"/>
      <c r="AC682" s="368"/>
      <c r="AD682" s="368"/>
      <c r="AE682" s="365">
        <f t="shared" si="104"/>
        <v>0</v>
      </c>
      <c r="AF682" s="558"/>
      <c r="AG682" s="457"/>
      <c r="AH682" s="264"/>
    </row>
    <row r="683" spans="1:34" ht="37.5" customHeight="1" thickBot="1" x14ac:dyDescent="0.3">
      <c r="A683" s="458"/>
      <c r="B683" s="470" t="s">
        <v>1493</v>
      </c>
      <c r="C683" s="463"/>
      <c r="D683" s="449" t="s">
        <v>431</v>
      </c>
      <c r="E683" s="262"/>
      <c r="F683" s="470" t="s">
        <v>1497</v>
      </c>
      <c r="G683" s="387" t="e">
        <f>VLOOKUP(A683,'Feature Summary'!$A$7:$C$3944,3,FALSE)</f>
        <v>#N/A</v>
      </c>
      <c r="H683" s="447" t="s">
        <v>1532</v>
      </c>
      <c r="I683" s="447"/>
      <c r="J683" s="480" t="s">
        <v>1531</v>
      </c>
      <c r="K683" s="263"/>
      <c r="L683" s="391"/>
      <c r="M683" s="399" t="s">
        <v>33</v>
      </c>
      <c r="N683" s="475">
        <v>1</v>
      </c>
      <c r="O683" s="391"/>
      <c r="P683" s="496">
        <f t="shared" si="109"/>
        <v>0</v>
      </c>
      <c r="Q683" s="445" t="s">
        <v>52</v>
      </c>
      <c r="R683" s="391"/>
      <c r="S683" s="362">
        <f t="shared" si="108"/>
        <v>0</v>
      </c>
      <c r="T683" s="368"/>
      <c r="U683" s="368"/>
      <c r="V683" s="368"/>
      <c r="W683" s="368"/>
      <c r="X683" s="364">
        <f t="shared" si="106"/>
        <v>0</v>
      </c>
      <c r="Y683" s="393"/>
      <c r="Z683" s="498">
        <f t="shared" si="103"/>
        <v>0</v>
      </c>
      <c r="AA683" s="368"/>
      <c r="AB683" s="368"/>
      <c r="AC683" s="368"/>
      <c r="AD683" s="368"/>
      <c r="AE683" s="365">
        <f t="shared" si="104"/>
        <v>0</v>
      </c>
      <c r="AF683" s="558"/>
      <c r="AG683" s="457"/>
      <c r="AH683" s="264"/>
    </row>
    <row r="684" spans="1:34" ht="36.75" customHeight="1" thickBot="1" x14ac:dyDescent="0.3">
      <c r="A684" s="458"/>
      <c r="B684" s="470" t="s">
        <v>1493</v>
      </c>
      <c r="C684" s="463"/>
      <c r="D684" s="449" t="s">
        <v>431</v>
      </c>
      <c r="E684" s="262"/>
      <c r="F684" s="470" t="s">
        <v>1499</v>
      </c>
      <c r="G684" s="387" t="e">
        <f>VLOOKUP(A684,'Feature Summary'!$A$7:$C$3944,3,FALSE)</f>
        <v>#N/A</v>
      </c>
      <c r="H684" s="447" t="s">
        <v>1533</v>
      </c>
      <c r="I684" s="447"/>
      <c r="J684" s="480" t="s">
        <v>1534</v>
      </c>
      <c r="K684" s="263"/>
      <c r="L684" s="391"/>
      <c r="M684" s="399" t="s">
        <v>33</v>
      </c>
      <c r="N684" s="475">
        <v>1</v>
      </c>
      <c r="O684" s="391"/>
      <c r="P684" s="496">
        <f t="shared" si="109"/>
        <v>0</v>
      </c>
      <c r="Q684" s="445" t="s">
        <v>52</v>
      </c>
      <c r="R684" s="391"/>
      <c r="S684" s="362">
        <f t="shared" si="108"/>
        <v>0</v>
      </c>
      <c r="T684" s="368"/>
      <c r="U684" s="368"/>
      <c r="V684" s="368" t="s">
        <v>756</v>
      </c>
      <c r="W684" s="368"/>
      <c r="X684" s="364">
        <f t="shared" si="106"/>
        <v>0</v>
      </c>
      <c r="Y684" s="393"/>
      <c r="Z684" s="498">
        <f t="shared" si="103"/>
        <v>0</v>
      </c>
      <c r="AA684" s="368"/>
      <c r="AB684" s="368"/>
      <c r="AC684" s="368"/>
      <c r="AD684" s="368"/>
      <c r="AE684" s="365">
        <f t="shared" si="104"/>
        <v>0</v>
      </c>
      <c r="AF684" s="558"/>
      <c r="AG684" s="457"/>
      <c r="AH684" s="264"/>
    </row>
    <row r="685" spans="1:34" ht="35.25" customHeight="1" thickBot="1" x14ac:dyDescent="0.3">
      <c r="A685" s="458"/>
      <c r="B685" s="470" t="s">
        <v>1493</v>
      </c>
      <c r="C685" s="463"/>
      <c r="D685" s="449" t="s">
        <v>431</v>
      </c>
      <c r="E685" s="262"/>
      <c r="F685" s="470" t="s">
        <v>1502</v>
      </c>
      <c r="G685" s="387" t="e">
        <f>VLOOKUP(A685,'Feature Summary'!$A$7:$C$3944,3,FALSE)</f>
        <v>#N/A</v>
      </c>
      <c r="H685" s="447" t="s">
        <v>1535</v>
      </c>
      <c r="I685" s="447"/>
      <c r="J685" s="480" t="s">
        <v>1531</v>
      </c>
      <c r="K685" s="263"/>
      <c r="L685" s="391"/>
      <c r="M685" s="399" t="s">
        <v>33</v>
      </c>
      <c r="N685" s="475">
        <v>1</v>
      </c>
      <c r="O685" s="391"/>
      <c r="P685" s="496">
        <f t="shared" si="109"/>
        <v>0</v>
      </c>
      <c r="Q685" s="445" t="s">
        <v>52</v>
      </c>
      <c r="R685" s="391"/>
      <c r="S685" s="362">
        <f t="shared" si="108"/>
        <v>0</v>
      </c>
      <c r="T685" s="368"/>
      <c r="U685" s="368"/>
      <c r="V685" s="368"/>
      <c r="W685" s="368" t="s">
        <v>756</v>
      </c>
      <c r="X685" s="364">
        <f t="shared" si="106"/>
        <v>0</v>
      </c>
      <c r="Y685" s="393"/>
      <c r="Z685" s="498">
        <f t="shared" si="103"/>
        <v>0</v>
      </c>
      <c r="AA685" s="368"/>
      <c r="AB685" s="368"/>
      <c r="AC685" s="368"/>
      <c r="AD685" s="368"/>
      <c r="AE685" s="365">
        <f t="shared" si="104"/>
        <v>0</v>
      </c>
      <c r="AF685" s="558"/>
      <c r="AG685" s="457"/>
      <c r="AH685" s="264"/>
    </row>
    <row r="686" spans="1:34" ht="36" customHeight="1" thickBot="1" x14ac:dyDescent="0.3">
      <c r="A686" s="458"/>
      <c r="B686" s="470" t="s">
        <v>1493</v>
      </c>
      <c r="C686" s="463"/>
      <c r="D686" s="449" t="s">
        <v>431</v>
      </c>
      <c r="E686" s="262"/>
      <c r="F686" s="470" t="s">
        <v>1505</v>
      </c>
      <c r="G686" s="387" t="e">
        <f>VLOOKUP(A686,'Feature Summary'!$A$7:$C$3944,3,FALSE)</f>
        <v>#N/A</v>
      </c>
      <c r="H686" s="447" t="s">
        <v>1536</v>
      </c>
      <c r="I686" s="447"/>
      <c r="J686" s="480" t="s">
        <v>1531</v>
      </c>
      <c r="K686" s="263"/>
      <c r="L686" s="391"/>
      <c r="M686" s="399" t="s">
        <v>33</v>
      </c>
      <c r="N686" s="475">
        <v>1</v>
      </c>
      <c r="O686" s="391"/>
      <c r="P686" s="496">
        <f t="shared" si="109"/>
        <v>0</v>
      </c>
      <c r="Q686" s="445" t="s">
        <v>52</v>
      </c>
      <c r="R686" s="391"/>
      <c r="S686" s="362">
        <f t="shared" si="108"/>
        <v>0</v>
      </c>
      <c r="T686" s="368"/>
      <c r="U686" s="368"/>
      <c r="V686" s="368" t="s">
        <v>756</v>
      </c>
      <c r="W686" s="368"/>
      <c r="X686" s="364">
        <f t="shared" si="106"/>
        <v>0</v>
      </c>
      <c r="Y686" s="393"/>
      <c r="Z686" s="498">
        <f t="shared" si="103"/>
        <v>0</v>
      </c>
      <c r="AA686" s="368"/>
      <c r="AB686" s="368"/>
      <c r="AC686" s="368"/>
      <c r="AD686" s="368"/>
      <c r="AE686" s="365">
        <f t="shared" si="104"/>
        <v>0</v>
      </c>
      <c r="AF686" s="558"/>
      <c r="AG686" s="457"/>
      <c r="AH686" s="264"/>
    </row>
    <row r="687" spans="1:34" ht="37.5" customHeight="1" thickBot="1" x14ac:dyDescent="0.3">
      <c r="A687" s="458"/>
      <c r="B687" s="470" t="s">
        <v>1493</v>
      </c>
      <c r="C687" s="463"/>
      <c r="D687" s="449" t="s">
        <v>431</v>
      </c>
      <c r="E687" s="262"/>
      <c r="F687" s="470" t="s">
        <v>1507</v>
      </c>
      <c r="G687" s="387" t="e">
        <f>VLOOKUP(A687,'Feature Summary'!$A$7:$C$3944,3,FALSE)</f>
        <v>#N/A</v>
      </c>
      <c r="H687" s="447" t="s">
        <v>1537</v>
      </c>
      <c r="I687" s="447"/>
      <c r="J687" s="480" t="s">
        <v>1534</v>
      </c>
      <c r="K687" s="263"/>
      <c r="L687" s="391"/>
      <c r="M687" s="399" t="s">
        <v>33</v>
      </c>
      <c r="N687" s="475">
        <v>1</v>
      </c>
      <c r="O687" s="391"/>
      <c r="P687" s="496">
        <f t="shared" si="109"/>
        <v>0</v>
      </c>
      <c r="Q687" s="445" t="s">
        <v>52</v>
      </c>
      <c r="R687" s="391"/>
      <c r="S687" s="362">
        <f t="shared" si="108"/>
        <v>0</v>
      </c>
      <c r="T687" s="368"/>
      <c r="U687" s="368"/>
      <c r="V687" s="368" t="s">
        <v>756</v>
      </c>
      <c r="W687" s="368"/>
      <c r="X687" s="364">
        <f t="shared" si="106"/>
        <v>0</v>
      </c>
      <c r="Y687" s="393"/>
      <c r="Z687" s="498">
        <f t="shared" si="103"/>
        <v>0</v>
      </c>
      <c r="AA687" s="368"/>
      <c r="AB687" s="368"/>
      <c r="AC687" s="368"/>
      <c r="AD687" s="368"/>
      <c r="AE687" s="365">
        <f t="shared" si="104"/>
        <v>0</v>
      </c>
      <c r="AF687" s="558"/>
      <c r="AG687" s="457"/>
      <c r="AH687" s="264"/>
    </row>
    <row r="688" spans="1:34" ht="30.75" thickBot="1" x14ac:dyDescent="0.3">
      <c r="A688" s="458"/>
      <c r="B688" s="470" t="s">
        <v>1493</v>
      </c>
      <c r="C688" s="463"/>
      <c r="D688" s="449" t="s">
        <v>431</v>
      </c>
      <c r="E688" s="262"/>
      <c r="F688" s="470" t="s">
        <v>1510</v>
      </c>
      <c r="G688" s="387" t="e">
        <f>VLOOKUP(A688,'Feature Summary'!$A$7:$C$3944,3,FALSE)</f>
        <v>#N/A</v>
      </c>
      <c r="H688" s="447" t="s">
        <v>1538</v>
      </c>
      <c r="I688" s="447"/>
      <c r="J688" s="480" t="s">
        <v>1531</v>
      </c>
      <c r="K688" s="263"/>
      <c r="L688" s="391"/>
      <c r="M688" s="399" t="s">
        <v>33</v>
      </c>
      <c r="N688" s="475">
        <v>1</v>
      </c>
      <c r="O688" s="391"/>
      <c r="P688" s="496">
        <f t="shared" si="109"/>
        <v>0</v>
      </c>
      <c r="Q688" s="445" t="s">
        <v>52</v>
      </c>
      <c r="R688" s="391"/>
      <c r="S688" s="362">
        <f t="shared" si="108"/>
        <v>0</v>
      </c>
      <c r="T688" s="368"/>
      <c r="U688" s="368"/>
      <c r="V688" s="368" t="s">
        <v>756</v>
      </c>
      <c r="W688" s="368"/>
      <c r="X688" s="364">
        <f t="shared" si="106"/>
        <v>0</v>
      </c>
      <c r="Y688" s="393"/>
      <c r="Z688" s="498">
        <f t="shared" si="103"/>
        <v>0</v>
      </c>
      <c r="AA688" s="368"/>
      <c r="AB688" s="368"/>
      <c r="AC688" s="368"/>
      <c r="AD688" s="368"/>
      <c r="AE688" s="365">
        <f t="shared" si="104"/>
        <v>0</v>
      </c>
      <c r="AF688" s="262"/>
      <c r="AG688" s="457"/>
      <c r="AH688" s="264"/>
    </row>
    <row r="689" spans="1:34" ht="30.75" thickBot="1" x14ac:dyDescent="0.3">
      <c r="A689" s="458" t="s">
        <v>1539</v>
      </c>
      <c r="B689" s="470" t="s">
        <v>1540</v>
      </c>
      <c r="C689" s="463" t="s">
        <v>354</v>
      </c>
      <c r="D689" s="449" t="s">
        <v>431</v>
      </c>
      <c r="E689" s="262"/>
      <c r="F689" s="470" t="s">
        <v>1541</v>
      </c>
      <c r="G689" s="387" t="str">
        <f>VLOOKUP(A689,'Feature Summary'!$A$7:$C$3944,3,FALSE)</f>
        <v>P2</v>
      </c>
      <c r="H689" s="447" t="s">
        <v>1542</v>
      </c>
      <c r="I689" s="488" t="s">
        <v>264</v>
      </c>
      <c r="J689" s="480" t="s">
        <v>474</v>
      </c>
      <c r="K689" s="263">
        <v>1</v>
      </c>
      <c r="L689" s="391">
        <v>1</v>
      </c>
      <c r="M689" s="399" t="s">
        <v>33</v>
      </c>
      <c r="N689" s="475">
        <v>1</v>
      </c>
      <c r="O689" s="391">
        <v>1</v>
      </c>
      <c r="P689" s="496">
        <f t="shared" ref="P689" si="110">IF((O689=0),0,(O689/L689))</f>
        <v>1</v>
      </c>
      <c r="Q689" s="445" t="s">
        <v>52</v>
      </c>
      <c r="R689" s="391">
        <v>1</v>
      </c>
      <c r="S689" s="362">
        <f t="shared" ref="S689" si="111">SUM(T689:W689)</f>
        <v>1</v>
      </c>
      <c r="T689" s="368">
        <v>1</v>
      </c>
      <c r="U689" s="368"/>
      <c r="V689" s="368" t="s">
        <v>756</v>
      </c>
      <c r="W689" s="368"/>
      <c r="X689" s="364">
        <f t="shared" ref="X689" si="112">IF((S689=0),0,((T689+U689)/S689*100%))</f>
        <v>1</v>
      </c>
      <c r="Y689" s="393"/>
      <c r="Z689" s="498">
        <f t="shared" si="103"/>
        <v>0</v>
      </c>
      <c r="AA689" s="368"/>
      <c r="AB689" s="368"/>
      <c r="AC689" s="368"/>
      <c r="AD689" s="368"/>
      <c r="AE689" s="365">
        <f t="shared" si="104"/>
        <v>0</v>
      </c>
      <c r="AF689" s="262"/>
      <c r="AG689" s="457"/>
      <c r="AH689" s="264"/>
    </row>
    <row r="690" spans="1:34" ht="15.75" thickBot="1" x14ac:dyDescent="0.3">
      <c r="A690" s="458" t="s">
        <v>1543</v>
      </c>
      <c r="B690" s="463"/>
      <c r="C690" s="580" t="s">
        <v>335</v>
      </c>
      <c r="D690" s="449" t="s">
        <v>431</v>
      </c>
      <c r="E690" s="262"/>
      <c r="F690" s="447" t="s">
        <v>1544</v>
      </c>
      <c r="G690" s="387" t="e">
        <f>VLOOKUP(A690,'Feature Summary'!$A$7:$C$3944,3,FALSE)</f>
        <v>#N/A</v>
      </c>
      <c r="H690" s="447" t="s">
        <v>1545</v>
      </c>
      <c r="I690" s="488" t="s">
        <v>264</v>
      </c>
      <c r="J690" s="448" t="s">
        <v>281</v>
      </c>
      <c r="K690" s="263">
        <v>1</v>
      </c>
      <c r="L690" s="391">
        <v>1</v>
      </c>
      <c r="M690" s="399" t="s">
        <v>33</v>
      </c>
      <c r="N690" s="475">
        <v>1</v>
      </c>
      <c r="O690" s="391">
        <v>1</v>
      </c>
      <c r="P690" s="496">
        <f t="shared" si="109"/>
        <v>1</v>
      </c>
      <c r="Q690" s="445" t="s">
        <v>52</v>
      </c>
      <c r="R690" s="391">
        <v>1</v>
      </c>
      <c r="S690" s="362">
        <f t="shared" si="108"/>
        <v>1</v>
      </c>
      <c r="T690" s="368">
        <v>1</v>
      </c>
      <c r="U690" s="368"/>
      <c r="V690" s="368" t="s">
        <v>756</v>
      </c>
      <c r="W690" s="368"/>
      <c r="X690" s="364">
        <f t="shared" si="106"/>
        <v>1</v>
      </c>
      <c r="Y690" s="393"/>
      <c r="Z690" s="498">
        <f t="shared" si="103"/>
        <v>0</v>
      </c>
      <c r="AA690" s="368"/>
      <c r="AB690" s="368"/>
      <c r="AC690" s="368"/>
      <c r="AD690" s="368"/>
      <c r="AE690" s="365">
        <f t="shared" si="104"/>
        <v>0</v>
      </c>
      <c r="AF690" s="262"/>
      <c r="AG690" s="457"/>
      <c r="AH690" s="264"/>
    </row>
    <row r="691" spans="1:34" ht="30.75" thickBot="1" x14ac:dyDescent="0.3">
      <c r="A691" s="458"/>
      <c r="B691" s="463"/>
      <c r="C691" s="580"/>
      <c r="D691" s="449" t="s">
        <v>431</v>
      </c>
      <c r="E691" s="262"/>
      <c r="F691" s="447" t="s">
        <v>1544</v>
      </c>
      <c r="G691" s="387" t="e">
        <f>VLOOKUP(A691,'Feature Summary'!$A$7:$C$3944,3,FALSE)</f>
        <v>#N/A</v>
      </c>
      <c r="H691" s="447" t="s">
        <v>1546</v>
      </c>
      <c r="I691" s="447"/>
      <c r="J691" s="448" t="s">
        <v>328</v>
      </c>
      <c r="K691" s="263"/>
      <c r="L691" s="391"/>
      <c r="M691" s="399" t="s">
        <v>33</v>
      </c>
      <c r="N691" s="475">
        <v>1</v>
      </c>
      <c r="O691" s="391"/>
      <c r="P691" s="496">
        <f t="shared" si="109"/>
        <v>0</v>
      </c>
      <c r="Q691" s="445" t="s">
        <v>52</v>
      </c>
      <c r="R691" s="391"/>
      <c r="S691" s="362">
        <f t="shared" si="108"/>
        <v>0</v>
      </c>
      <c r="T691" s="368"/>
      <c r="U691" s="368"/>
      <c r="V691" s="368" t="s">
        <v>756</v>
      </c>
      <c r="W691" s="368"/>
      <c r="X691" s="364">
        <f t="shared" si="106"/>
        <v>0</v>
      </c>
      <c r="Y691" s="393"/>
      <c r="Z691" s="498">
        <f t="shared" si="103"/>
        <v>0</v>
      </c>
      <c r="AA691" s="368"/>
      <c r="AB691" s="368"/>
      <c r="AC691" s="368"/>
      <c r="AD691" s="368"/>
      <c r="AE691" s="365">
        <f t="shared" si="104"/>
        <v>0</v>
      </c>
      <c r="AF691" s="262"/>
      <c r="AG691" s="457"/>
      <c r="AH691" s="264"/>
    </row>
    <row r="692" spans="1:34" ht="15.75" thickBot="1" x14ac:dyDescent="0.3">
      <c r="A692" s="458"/>
      <c r="B692" s="463"/>
      <c r="C692" s="580"/>
      <c r="D692" s="449" t="s">
        <v>431</v>
      </c>
      <c r="E692" s="262"/>
      <c r="F692" s="447" t="s">
        <v>1544</v>
      </c>
      <c r="G692" s="387" t="e">
        <f>VLOOKUP(A692,'Feature Summary'!$A$7:$C$3944,3,FALSE)</f>
        <v>#N/A</v>
      </c>
      <c r="H692" s="447" t="s">
        <v>1547</v>
      </c>
      <c r="I692" s="447"/>
      <c r="J692" s="448" t="s">
        <v>297</v>
      </c>
      <c r="K692" s="263"/>
      <c r="L692" s="391"/>
      <c r="M692" s="399" t="s">
        <v>33</v>
      </c>
      <c r="N692" s="475">
        <v>1</v>
      </c>
      <c r="O692" s="391"/>
      <c r="P692" s="496">
        <f t="shared" si="109"/>
        <v>0</v>
      </c>
      <c r="Q692" s="445" t="s">
        <v>52</v>
      </c>
      <c r="R692" s="391"/>
      <c r="S692" s="362">
        <f t="shared" si="108"/>
        <v>0</v>
      </c>
      <c r="T692" s="368"/>
      <c r="U692" s="368"/>
      <c r="V692" s="368" t="s">
        <v>756</v>
      </c>
      <c r="W692" s="368"/>
      <c r="X692" s="364">
        <f t="shared" si="106"/>
        <v>0</v>
      </c>
      <c r="Y692" s="393"/>
      <c r="Z692" s="498">
        <f t="shared" si="103"/>
        <v>0</v>
      </c>
      <c r="AA692" s="368"/>
      <c r="AB692" s="368"/>
      <c r="AC692" s="368"/>
      <c r="AD692" s="368"/>
      <c r="AE692" s="365">
        <f t="shared" si="104"/>
        <v>0</v>
      </c>
      <c r="AF692" s="262"/>
      <c r="AG692" s="457"/>
      <c r="AH692" s="264"/>
    </row>
    <row r="693" spans="1:34" ht="15.75" thickBot="1" x14ac:dyDescent="0.3">
      <c r="A693" s="458" t="s">
        <v>1548</v>
      </c>
      <c r="B693" s="463"/>
      <c r="C693" s="580" t="s">
        <v>335</v>
      </c>
      <c r="D693" s="449" t="s">
        <v>431</v>
      </c>
      <c r="E693" s="262"/>
      <c r="F693" s="447" t="s">
        <v>1549</v>
      </c>
      <c r="G693" s="387" t="str">
        <f>VLOOKUP(A693,'Feature Summary'!$A$7:$C$3944,3,FALSE)</f>
        <v>P2</v>
      </c>
      <c r="H693" s="447" t="s">
        <v>1550</v>
      </c>
      <c r="I693" s="488" t="s">
        <v>264</v>
      </c>
      <c r="J693" s="448" t="s">
        <v>281</v>
      </c>
      <c r="K693" s="263">
        <v>1</v>
      </c>
      <c r="L693" s="391">
        <v>1</v>
      </c>
      <c r="M693" s="399" t="s">
        <v>33</v>
      </c>
      <c r="N693" s="475">
        <v>1</v>
      </c>
      <c r="O693" s="391">
        <v>1</v>
      </c>
      <c r="P693" s="496">
        <f t="shared" si="109"/>
        <v>1</v>
      </c>
      <c r="Q693" s="445" t="s">
        <v>52</v>
      </c>
      <c r="R693" s="391">
        <v>1</v>
      </c>
      <c r="S693" s="362">
        <f t="shared" si="108"/>
        <v>1</v>
      </c>
      <c r="T693" s="368">
        <v>1</v>
      </c>
      <c r="U693" s="368"/>
      <c r="V693" s="368" t="s">
        <v>756</v>
      </c>
      <c r="W693" s="368"/>
      <c r="X693" s="364">
        <f t="shared" si="106"/>
        <v>1</v>
      </c>
      <c r="Y693" s="393"/>
      <c r="Z693" s="498">
        <f t="shared" si="103"/>
        <v>0</v>
      </c>
      <c r="AA693" s="368"/>
      <c r="AB693" s="368"/>
      <c r="AC693" s="368"/>
      <c r="AD693" s="368"/>
      <c r="AE693" s="365">
        <f t="shared" si="104"/>
        <v>0</v>
      </c>
      <c r="AF693" s="262"/>
      <c r="AG693" s="457"/>
      <c r="AH693" s="264"/>
    </row>
    <row r="694" spans="1:34" ht="30.75" thickBot="1" x14ac:dyDescent="0.3">
      <c r="A694" s="458"/>
      <c r="B694" s="463"/>
      <c r="C694" s="580"/>
      <c r="D694" s="449" t="s">
        <v>431</v>
      </c>
      <c r="E694" s="262"/>
      <c r="F694" s="447" t="s">
        <v>1549</v>
      </c>
      <c r="G694" s="387" t="e">
        <f>VLOOKUP(A694,'Feature Summary'!$A$7:$C$3944,3,FALSE)</f>
        <v>#N/A</v>
      </c>
      <c r="H694" s="447" t="s">
        <v>1551</v>
      </c>
      <c r="I694" s="447"/>
      <c r="J694" s="448" t="s">
        <v>328</v>
      </c>
      <c r="K694" s="263"/>
      <c r="L694" s="391"/>
      <c r="M694" s="399" t="s">
        <v>33</v>
      </c>
      <c r="N694" s="475">
        <v>1</v>
      </c>
      <c r="O694" s="391"/>
      <c r="P694" s="496">
        <f t="shared" si="109"/>
        <v>0</v>
      </c>
      <c r="Q694" s="445" t="s">
        <v>52</v>
      </c>
      <c r="R694" s="391"/>
      <c r="S694" s="362">
        <f t="shared" si="108"/>
        <v>0</v>
      </c>
      <c r="T694" s="368"/>
      <c r="U694" s="368"/>
      <c r="V694" s="368" t="s">
        <v>756</v>
      </c>
      <c r="W694" s="368"/>
      <c r="X694" s="364">
        <f t="shared" si="106"/>
        <v>0</v>
      </c>
      <c r="Y694" s="393"/>
      <c r="Z694" s="498">
        <f t="shared" si="103"/>
        <v>0</v>
      </c>
      <c r="AA694" s="368"/>
      <c r="AB694" s="368"/>
      <c r="AC694" s="368"/>
      <c r="AD694" s="368"/>
      <c r="AE694" s="365">
        <f t="shared" si="104"/>
        <v>0</v>
      </c>
      <c r="AF694" s="262"/>
      <c r="AG694" s="457"/>
      <c r="AH694" s="264"/>
    </row>
    <row r="695" spans="1:34" ht="15.75" thickBot="1" x14ac:dyDescent="0.3">
      <c r="A695" s="458"/>
      <c r="B695" s="463"/>
      <c r="C695" s="580"/>
      <c r="D695" s="449" t="s">
        <v>431</v>
      </c>
      <c r="E695" s="262"/>
      <c r="F695" s="447" t="s">
        <v>1549</v>
      </c>
      <c r="G695" s="387" t="e">
        <f>VLOOKUP(A695,'Feature Summary'!$A$7:$C$3944,3,FALSE)</f>
        <v>#N/A</v>
      </c>
      <c r="H695" s="447" t="s">
        <v>1552</v>
      </c>
      <c r="I695" s="447"/>
      <c r="J695" s="448" t="s">
        <v>297</v>
      </c>
      <c r="K695" s="263"/>
      <c r="L695" s="391"/>
      <c r="M695" s="399" t="s">
        <v>33</v>
      </c>
      <c r="N695" s="475">
        <v>1</v>
      </c>
      <c r="O695" s="391"/>
      <c r="P695" s="496">
        <f t="shared" si="109"/>
        <v>0</v>
      </c>
      <c r="Q695" s="445" t="s">
        <v>52</v>
      </c>
      <c r="R695" s="391"/>
      <c r="S695" s="362">
        <f t="shared" si="108"/>
        <v>0</v>
      </c>
      <c r="T695" s="368"/>
      <c r="U695" s="368"/>
      <c r="V695" s="368"/>
      <c r="W695" s="368"/>
      <c r="X695" s="364">
        <f t="shared" si="106"/>
        <v>0</v>
      </c>
      <c r="Y695" s="393"/>
      <c r="Z695" s="498">
        <f t="shared" si="103"/>
        <v>0</v>
      </c>
      <c r="AA695" s="368"/>
      <c r="AB695" s="368"/>
      <c r="AC695" s="368"/>
      <c r="AD695" s="368"/>
      <c r="AE695" s="365">
        <f t="shared" si="104"/>
        <v>0</v>
      </c>
      <c r="AF695" s="262"/>
      <c r="AG695" s="457"/>
      <c r="AH695" s="264"/>
    </row>
    <row r="696" spans="1:34" ht="30.75" thickBot="1" x14ac:dyDescent="0.3">
      <c r="A696" s="474" t="s">
        <v>1553</v>
      </c>
      <c r="B696" s="470" t="s">
        <v>1554</v>
      </c>
      <c r="C696" s="580" t="s">
        <v>260</v>
      </c>
      <c r="D696" s="449" t="s">
        <v>431</v>
      </c>
      <c r="E696" s="262"/>
      <c r="F696" s="447" t="s">
        <v>1555</v>
      </c>
      <c r="G696" s="387" t="e">
        <f>VLOOKUP(A696,'Feature Summary'!$A$7:$C$3944,3,FALSE)</f>
        <v>#N/A</v>
      </c>
      <c r="H696" s="447" t="s">
        <v>1556</v>
      </c>
      <c r="I696" s="488" t="s">
        <v>264</v>
      </c>
      <c r="J696" s="448" t="s">
        <v>281</v>
      </c>
      <c r="K696" s="263">
        <v>1</v>
      </c>
      <c r="L696" s="391">
        <v>6</v>
      </c>
      <c r="M696" s="399" t="s">
        <v>33</v>
      </c>
      <c r="N696" s="475">
        <v>1</v>
      </c>
      <c r="O696" s="391">
        <v>6</v>
      </c>
      <c r="P696" s="496">
        <f t="shared" si="109"/>
        <v>1</v>
      </c>
      <c r="Q696" s="445" t="s">
        <v>52</v>
      </c>
      <c r="R696" s="391">
        <v>6</v>
      </c>
      <c r="S696" s="362">
        <f t="shared" si="108"/>
        <v>6</v>
      </c>
      <c r="T696" s="368">
        <v>6</v>
      </c>
      <c r="U696" s="368"/>
      <c r="V696" s="368"/>
      <c r="W696" s="368"/>
      <c r="X696" s="364">
        <f t="shared" si="106"/>
        <v>1</v>
      </c>
      <c r="Y696" s="393"/>
      <c r="Z696" s="498">
        <f t="shared" si="103"/>
        <v>0</v>
      </c>
      <c r="AA696" s="368"/>
      <c r="AB696" s="368"/>
      <c r="AC696" s="368"/>
      <c r="AD696" s="368"/>
      <c r="AE696" s="365">
        <f t="shared" si="104"/>
        <v>0</v>
      </c>
      <c r="AF696" s="262"/>
      <c r="AG696" s="457"/>
      <c r="AH696" s="264"/>
    </row>
    <row r="697" spans="1:34" ht="30.75" thickBot="1" x14ac:dyDescent="0.3">
      <c r="A697" s="474"/>
      <c r="B697" s="470" t="s">
        <v>1554</v>
      </c>
      <c r="C697" s="580"/>
      <c r="D697" s="449" t="s">
        <v>431</v>
      </c>
      <c r="E697" s="262"/>
      <c r="F697" s="447" t="s">
        <v>1555</v>
      </c>
      <c r="G697" s="387" t="e">
        <f>VLOOKUP(A697,'Feature Summary'!$A$7:$C$3944,3,FALSE)</f>
        <v>#N/A</v>
      </c>
      <c r="H697" s="447" t="s">
        <v>1557</v>
      </c>
      <c r="I697" s="447"/>
      <c r="J697" s="448" t="s">
        <v>297</v>
      </c>
      <c r="K697" s="263"/>
      <c r="L697" s="391"/>
      <c r="M697" s="399" t="s">
        <v>33</v>
      </c>
      <c r="N697" s="475">
        <v>1</v>
      </c>
      <c r="O697" s="391"/>
      <c r="P697" s="496">
        <f t="shared" si="109"/>
        <v>0</v>
      </c>
      <c r="Q697" s="445" t="s">
        <v>52</v>
      </c>
      <c r="R697" s="391"/>
      <c r="S697" s="362">
        <f t="shared" si="108"/>
        <v>0</v>
      </c>
      <c r="T697" s="368"/>
      <c r="U697" s="368"/>
      <c r="V697" s="368"/>
      <c r="W697" s="368"/>
      <c r="X697" s="364">
        <f t="shared" si="106"/>
        <v>0</v>
      </c>
      <c r="Y697" s="393"/>
      <c r="Z697" s="498">
        <f t="shared" si="103"/>
        <v>0</v>
      </c>
      <c r="AA697" s="368"/>
      <c r="AB697" s="368"/>
      <c r="AC697" s="368"/>
      <c r="AD697" s="368"/>
      <c r="AE697" s="365">
        <f t="shared" si="104"/>
        <v>0</v>
      </c>
      <c r="AF697" s="262"/>
      <c r="AG697" s="457"/>
      <c r="AH697" s="264"/>
    </row>
    <row r="698" spans="1:34" ht="15.75" thickBot="1" x14ac:dyDescent="0.3">
      <c r="A698" s="458" t="s">
        <v>1553</v>
      </c>
      <c r="B698" s="463"/>
      <c r="C698" s="580" t="s">
        <v>260</v>
      </c>
      <c r="D698" s="449" t="s">
        <v>431</v>
      </c>
      <c r="E698" s="262"/>
      <c r="F698" s="447" t="s">
        <v>1558</v>
      </c>
      <c r="G698" s="387" t="e">
        <f>VLOOKUP(A698,'Feature Summary'!$A$7:$C$3944,3,FALSE)</f>
        <v>#N/A</v>
      </c>
      <c r="H698" s="447" t="s">
        <v>1559</v>
      </c>
      <c r="I698" s="488" t="s">
        <v>264</v>
      </c>
      <c r="J698" s="448" t="s">
        <v>281</v>
      </c>
      <c r="K698" s="263">
        <v>1</v>
      </c>
      <c r="L698" s="391">
        <v>2</v>
      </c>
      <c r="M698" s="399" t="s">
        <v>33</v>
      </c>
      <c r="N698" s="475">
        <v>1</v>
      </c>
      <c r="O698" s="391">
        <v>2</v>
      </c>
      <c r="P698" s="496">
        <f t="shared" si="109"/>
        <v>1</v>
      </c>
      <c r="Q698" s="445" t="s">
        <v>52</v>
      </c>
      <c r="R698" s="391">
        <v>2</v>
      </c>
      <c r="S698" s="362">
        <f t="shared" si="108"/>
        <v>2</v>
      </c>
      <c r="T698" s="368">
        <v>2</v>
      </c>
      <c r="U698" s="368"/>
      <c r="V698" s="368"/>
      <c r="W698" s="368"/>
      <c r="X698" s="364">
        <f t="shared" si="106"/>
        <v>1</v>
      </c>
      <c r="Y698" s="393"/>
      <c r="Z698" s="498">
        <f t="shared" si="103"/>
        <v>0</v>
      </c>
      <c r="AA698" s="368"/>
      <c r="AB698" s="368"/>
      <c r="AC698" s="368"/>
      <c r="AD698" s="368"/>
      <c r="AE698" s="365">
        <f t="shared" si="104"/>
        <v>0</v>
      </c>
      <c r="AF698" s="262"/>
      <c r="AG698" s="457"/>
      <c r="AH698" s="264"/>
    </row>
    <row r="699" spans="1:34" ht="30.75" thickBot="1" x14ac:dyDescent="0.3">
      <c r="A699" s="458"/>
      <c r="B699" s="463"/>
      <c r="C699" s="580"/>
      <c r="D699" s="449" t="s">
        <v>431</v>
      </c>
      <c r="E699" s="262"/>
      <c r="F699" s="447" t="s">
        <v>1558</v>
      </c>
      <c r="G699" s="387" t="e">
        <f>VLOOKUP(A699,'Feature Summary'!$A$7:$C$3944,3,FALSE)</f>
        <v>#N/A</v>
      </c>
      <c r="H699" s="447" t="s">
        <v>1560</v>
      </c>
      <c r="I699" s="447"/>
      <c r="J699" s="448" t="s">
        <v>328</v>
      </c>
      <c r="K699" s="263"/>
      <c r="L699" s="391"/>
      <c r="M699" s="399" t="s">
        <v>33</v>
      </c>
      <c r="N699" s="475">
        <v>1</v>
      </c>
      <c r="O699" s="391"/>
      <c r="P699" s="496">
        <f t="shared" si="109"/>
        <v>0</v>
      </c>
      <c r="Q699" s="445" t="s">
        <v>52</v>
      </c>
      <c r="R699" s="391"/>
      <c r="S699" s="362">
        <f t="shared" si="108"/>
        <v>0</v>
      </c>
      <c r="T699" s="368"/>
      <c r="U699" s="368"/>
      <c r="V699" s="368"/>
      <c r="W699" s="368"/>
      <c r="X699" s="364">
        <f t="shared" si="106"/>
        <v>0</v>
      </c>
      <c r="Y699" s="393"/>
      <c r="Z699" s="498">
        <f t="shared" si="103"/>
        <v>0</v>
      </c>
      <c r="AA699" s="368"/>
      <c r="AB699" s="368"/>
      <c r="AC699" s="368"/>
      <c r="AD699" s="368"/>
      <c r="AE699" s="365">
        <f t="shared" si="104"/>
        <v>0</v>
      </c>
      <c r="AF699" s="262"/>
      <c r="AG699" s="457"/>
      <c r="AH699" s="264"/>
    </row>
    <row r="700" spans="1:34" ht="15.75" thickBot="1" x14ac:dyDescent="0.3">
      <c r="A700" s="458"/>
      <c r="B700" s="463"/>
      <c r="C700" s="580"/>
      <c r="D700" s="449" t="s">
        <v>431</v>
      </c>
      <c r="E700" s="262"/>
      <c r="F700" s="447" t="s">
        <v>1558</v>
      </c>
      <c r="G700" s="387" t="e">
        <f>VLOOKUP(A700,'Feature Summary'!$A$7:$C$3944,3,FALSE)</f>
        <v>#N/A</v>
      </c>
      <c r="H700" s="447" t="s">
        <v>1561</v>
      </c>
      <c r="I700" s="447"/>
      <c r="J700" s="448" t="s">
        <v>297</v>
      </c>
      <c r="K700" s="263"/>
      <c r="L700" s="391"/>
      <c r="M700" s="399" t="s">
        <v>33</v>
      </c>
      <c r="N700" s="475">
        <v>1</v>
      </c>
      <c r="O700" s="391"/>
      <c r="P700" s="496">
        <f t="shared" si="109"/>
        <v>0</v>
      </c>
      <c r="Q700" s="445" t="s">
        <v>52</v>
      </c>
      <c r="R700" s="391"/>
      <c r="S700" s="362">
        <f t="shared" si="108"/>
        <v>0</v>
      </c>
      <c r="T700" s="368"/>
      <c r="U700" s="368"/>
      <c r="V700" s="368"/>
      <c r="W700" s="368"/>
      <c r="X700" s="364">
        <f t="shared" si="106"/>
        <v>0</v>
      </c>
      <c r="Y700" s="393"/>
      <c r="Z700" s="498">
        <f t="shared" si="103"/>
        <v>0</v>
      </c>
      <c r="AA700" s="368"/>
      <c r="AB700" s="368"/>
      <c r="AC700" s="368"/>
      <c r="AD700" s="368"/>
      <c r="AE700" s="365">
        <f t="shared" si="104"/>
        <v>0</v>
      </c>
      <c r="AF700" s="262"/>
      <c r="AG700" s="457"/>
      <c r="AH700" s="264"/>
    </row>
    <row r="701" spans="1:34" ht="15.75" thickBot="1" x14ac:dyDescent="0.3">
      <c r="A701" s="458" t="s">
        <v>1548</v>
      </c>
      <c r="B701" s="463"/>
      <c r="C701" s="580" t="s">
        <v>335</v>
      </c>
      <c r="D701" s="449" t="s">
        <v>431</v>
      </c>
      <c r="E701" s="262"/>
      <c r="F701" s="447" t="s">
        <v>1562</v>
      </c>
      <c r="G701" s="387" t="str">
        <f>VLOOKUP(A701,'Feature Summary'!$A$7:$C$3944,3,FALSE)</f>
        <v>P2</v>
      </c>
      <c r="H701" s="447" t="s">
        <v>1563</v>
      </c>
      <c r="I701" s="488" t="s">
        <v>264</v>
      </c>
      <c r="J701" s="448" t="s">
        <v>1564</v>
      </c>
      <c r="K701" s="263">
        <v>1</v>
      </c>
      <c r="L701" s="391">
        <v>1</v>
      </c>
      <c r="M701" s="399" t="s">
        <v>33</v>
      </c>
      <c r="N701" s="475">
        <v>1</v>
      </c>
      <c r="O701" s="391">
        <v>1</v>
      </c>
      <c r="P701" s="496">
        <f t="shared" si="109"/>
        <v>1</v>
      </c>
      <c r="Q701" s="445" t="s">
        <v>52</v>
      </c>
      <c r="R701" s="391">
        <v>1</v>
      </c>
      <c r="S701" s="362">
        <f t="shared" si="108"/>
        <v>1</v>
      </c>
      <c r="T701" s="368">
        <v>1</v>
      </c>
      <c r="U701" s="368"/>
      <c r="V701" s="368"/>
      <c r="W701" s="368"/>
      <c r="X701" s="364">
        <f t="shared" si="106"/>
        <v>1</v>
      </c>
      <c r="Y701" s="393"/>
      <c r="Z701" s="498">
        <f t="shared" si="103"/>
        <v>0</v>
      </c>
      <c r="AA701" s="368"/>
      <c r="AB701" s="368"/>
      <c r="AC701" s="368"/>
      <c r="AD701" s="368"/>
      <c r="AE701" s="365">
        <f t="shared" si="104"/>
        <v>0</v>
      </c>
      <c r="AF701" s="262"/>
      <c r="AG701" s="457"/>
      <c r="AH701" s="264"/>
    </row>
    <row r="702" spans="1:34" ht="45.75" thickBot="1" x14ac:dyDescent="0.3">
      <c r="A702" s="458"/>
      <c r="B702" s="463"/>
      <c r="C702" s="580"/>
      <c r="D702" s="449" t="s">
        <v>431</v>
      </c>
      <c r="E702" s="262"/>
      <c r="F702" s="447" t="s">
        <v>1562</v>
      </c>
      <c r="G702" s="387" t="e">
        <f>VLOOKUP(A702,'Feature Summary'!$A$7:$C$3944,3,FALSE)</f>
        <v>#N/A</v>
      </c>
      <c r="H702" s="447" t="s">
        <v>1565</v>
      </c>
      <c r="I702" s="447"/>
      <c r="J702" s="448" t="s">
        <v>1566</v>
      </c>
      <c r="K702" s="263"/>
      <c r="L702" s="391"/>
      <c r="M702" s="399" t="s">
        <v>33</v>
      </c>
      <c r="N702" s="475">
        <v>1</v>
      </c>
      <c r="O702" s="391"/>
      <c r="P702" s="496">
        <f t="shared" si="109"/>
        <v>0</v>
      </c>
      <c r="Q702" s="445" t="s">
        <v>52</v>
      </c>
      <c r="R702" s="391"/>
      <c r="S702" s="362">
        <f t="shared" si="108"/>
        <v>0</v>
      </c>
      <c r="T702" s="368"/>
      <c r="U702" s="368"/>
      <c r="V702" s="368"/>
      <c r="W702" s="368"/>
      <c r="X702" s="364">
        <f t="shared" si="106"/>
        <v>0</v>
      </c>
      <c r="Y702" s="393"/>
      <c r="Z702" s="498">
        <f t="shared" si="103"/>
        <v>0</v>
      </c>
      <c r="AA702" s="368"/>
      <c r="AB702" s="368"/>
      <c r="AC702" s="368"/>
      <c r="AD702" s="368"/>
      <c r="AE702" s="365">
        <f t="shared" si="104"/>
        <v>0</v>
      </c>
      <c r="AF702" s="262"/>
      <c r="AG702" s="457"/>
      <c r="AH702" s="264"/>
    </row>
    <row r="703" spans="1:34" ht="15.75" thickBot="1" x14ac:dyDescent="0.3">
      <c r="A703" s="458"/>
      <c r="B703" s="463"/>
      <c r="C703" s="580"/>
      <c r="D703" s="449" t="s">
        <v>431</v>
      </c>
      <c r="E703" s="262"/>
      <c r="F703" s="447" t="s">
        <v>1562</v>
      </c>
      <c r="G703" s="387" t="e">
        <f>VLOOKUP(A703,'Feature Summary'!$A$7:$C$3944,3,FALSE)</f>
        <v>#N/A</v>
      </c>
      <c r="H703" s="447" t="s">
        <v>1567</v>
      </c>
      <c r="I703" s="447"/>
      <c r="J703" s="448" t="s">
        <v>297</v>
      </c>
      <c r="K703" s="263"/>
      <c r="L703" s="391"/>
      <c r="M703" s="399" t="s">
        <v>33</v>
      </c>
      <c r="N703" s="475">
        <v>1</v>
      </c>
      <c r="O703" s="391"/>
      <c r="P703" s="496">
        <f t="shared" si="109"/>
        <v>0</v>
      </c>
      <c r="Q703" s="445" t="s">
        <v>52</v>
      </c>
      <c r="R703" s="391"/>
      <c r="S703" s="362">
        <f t="shared" si="108"/>
        <v>0</v>
      </c>
      <c r="T703" s="368"/>
      <c r="U703" s="368"/>
      <c r="V703" s="368"/>
      <c r="W703" s="368"/>
      <c r="X703" s="364">
        <f t="shared" si="106"/>
        <v>0</v>
      </c>
      <c r="Y703" s="393"/>
      <c r="Z703" s="498">
        <f t="shared" si="103"/>
        <v>0</v>
      </c>
      <c r="AA703" s="368"/>
      <c r="AB703" s="368"/>
      <c r="AC703" s="368"/>
      <c r="AD703" s="368"/>
      <c r="AE703" s="365">
        <f t="shared" si="104"/>
        <v>0</v>
      </c>
      <c r="AF703" s="262"/>
      <c r="AG703" s="457"/>
      <c r="AH703" s="264"/>
    </row>
    <row r="704" spans="1:34" ht="30.75" thickBot="1" x14ac:dyDescent="0.3">
      <c r="A704" s="458"/>
      <c r="B704" s="463"/>
      <c r="C704" s="580"/>
      <c r="D704" s="449" t="s">
        <v>431</v>
      </c>
      <c r="E704" s="262"/>
      <c r="F704" s="447" t="s">
        <v>1562</v>
      </c>
      <c r="G704" s="387" t="e">
        <f>VLOOKUP(A704,'Feature Summary'!$A$7:$C$3944,3,FALSE)</f>
        <v>#N/A</v>
      </c>
      <c r="H704" s="447" t="s">
        <v>1568</v>
      </c>
      <c r="I704" s="447"/>
      <c r="J704" s="448" t="s">
        <v>295</v>
      </c>
      <c r="K704" s="263"/>
      <c r="L704" s="391"/>
      <c r="M704" s="399" t="s">
        <v>33</v>
      </c>
      <c r="N704" s="475">
        <v>1</v>
      </c>
      <c r="O704" s="391"/>
      <c r="P704" s="496">
        <f t="shared" si="109"/>
        <v>0</v>
      </c>
      <c r="Q704" s="445" t="s">
        <v>52</v>
      </c>
      <c r="R704" s="391"/>
      <c r="S704" s="362">
        <f t="shared" si="108"/>
        <v>0</v>
      </c>
      <c r="T704" s="368"/>
      <c r="U704" s="368"/>
      <c r="V704" s="368"/>
      <c r="W704" s="368"/>
      <c r="X704" s="364">
        <f t="shared" si="106"/>
        <v>0</v>
      </c>
      <c r="Y704" s="393"/>
      <c r="Z704" s="498">
        <f t="shared" si="103"/>
        <v>0</v>
      </c>
      <c r="AA704" s="368"/>
      <c r="AB704" s="368"/>
      <c r="AC704" s="368"/>
      <c r="AD704" s="368"/>
      <c r="AE704" s="365">
        <f t="shared" si="104"/>
        <v>0</v>
      </c>
      <c r="AF704" s="262"/>
      <c r="AG704" s="457"/>
      <c r="AH704" s="264"/>
    </row>
    <row r="705" spans="1:34" ht="15.75" thickBot="1" x14ac:dyDescent="0.3">
      <c r="A705" s="458" t="s">
        <v>1569</v>
      </c>
      <c r="B705" s="470" t="s">
        <v>1570</v>
      </c>
      <c r="C705" s="463" t="s">
        <v>354</v>
      </c>
      <c r="D705" s="449" t="s">
        <v>431</v>
      </c>
      <c r="E705" s="262"/>
      <c r="F705" s="470" t="s">
        <v>1571</v>
      </c>
      <c r="G705" s="387" t="str">
        <f>VLOOKUP(A705,'Feature Summary'!$A$7:$C$3944,3,FALSE)</f>
        <v>P2</v>
      </c>
      <c r="H705" s="447" t="s">
        <v>1572</v>
      </c>
      <c r="I705" s="488" t="s">
        <v>264</v>
      </c>
      <c r="J705" s="480" t="s">
        <v>1573</v>
      </c>
      <c r="K705" s="263">
        <v>1</v>
      </c>
      <c r="L705" s="391">
        <v>1</v>
      </c>
      <c r="M705" s="399" t="s">
        <v>33</v>
      </c>
      <c r="N705" s="475">
        <v>1</v>
      </c>
      <c r="O705" s="391">
        <v>1</v>
      </c>
      <c r="P705" s="496">
        <f t="shared" si="109"/>
        <v>1</v>
      </c>
      <c r="Q705" s="445" t="s">
        <v>52</v>
      </c>
      <c r="R705" s="391">
        <v>1</v>
      </c>
      <c r="S705" s="362">
        <f t="shared" si="108"/>
        <v>1</v>
      </c>
      <c r="T705" s="368">
        <v>1</v>
      </c>
      <c r="U705" s="368"/>
      <c r="V705" s="368"/>
      <c r="W705" s="368"/>
      <c r="X705" s="364">
        <f t="shared" si="106"/>
        <v>1</v>
      </c>
      <c r="Y705" s="393"/>
      <c r="Z705" s="498">
        <f t="shared" si="103"/>
        <v>0</v>
      </c>
      <c r="AA705" s="368"/>
      <c r="AB705" s="368"/>
      <c r="AC705" s="368"/>
      <c r="AD705" s="368"/>
      <c r="AE705" s="365">
        <f t="shared" si="104"/>
        <v>0</v>
      </c>
      <c r="AF705" s="558"/>
      <c r="AG705" s="457"/>
      <c r="AH705" s="264"/>
    </row>
    <row r="706" spans="1:34" ht="30.75" thickBot="1" x14ac:dyDescent="0.3">
      <c r="A706" s="458" t="s">
        <v>1569</v>
      </c>
      <c r="B706" s="470" t="s">
        <v>1570</v>
      </c>
      <c r="C706" s="463" t="s">
        <v>354</v>
      </c>
      <c r="D706" s="449" t="s">
        <v>431</v>
      </c>
      <c r="E706" s="262"/>
      <c r="F706" s="470" t="s">
        <v>1574</v>
      </c>
      <c r="G706" s="387" t="str">
        <f>VLOOKUP(A706,'Feature Summary'!$A$7:$C$3944,3,FALSE)</f>
        <v>P2</v>
      </c>
      <c r="H706" s="447" t="s">
        <v>1575</v>
      </c>
      <c r="I706" s="488" t="s">
        <v>264</v>
      </c>
      <c r="J706" s="480" t="s">
        <v>1576</v>
      </c>
      <c r="K706" s="263">
        <v>1</v>
      </c>
      <c r="L706" s="391">
        <v>1</v>
      </c>
      <c r="M706" s="399" t="s">
        <v>33</v>
      </c>
      <c r="N706" s="475">
        <v>1</v>
      </c>
      <c r="O706" s="391">
        <v>1</v>
      </c>
      <c r="P706" s="496">
        <f>IF((O706=0),0,(O706/L706))</f>
        <v>1</v>
      </c>
      <c r="Q706" s="445" t="s">
        <v>52</v>
      </c>
      <c r="R706" s="391">
        <v>1</v>
      </c>
      <c r="S706" s="362">
        <f t="shared" si="108"/>
        <v>1</v>
      </c>
      <c r="T706" s="368">
        <v>1</v>
      </c>
      <c r="U706" s="368"/>
      <c r="V706" s="368"/>
      <c r="W706" s="368"/>
      <c r="X706" s="364">
        <f t="shared" si="106"/>
        <v>1</v>
      </c>
      <c r="Y706" s="393"/>
      <c r="Z706" s="498">
        <f t="shared" si="103"/>
        <v>0</v>
      </c>
      <c r="AA706" s="368"/>
      <c r="AB706" s="368"/>
      <c r="AC706" s="368"/>
      <c r="AD706" s="368"/>
      <c r="AE706" s="365">
        <f t="shared" si="104"/>
        <v>0</v>
      </c>
      <c r="AF706" s="558"/>
      <c r="AG706" s="457"/>
      <c r="AH706" s="264"/>
    </row>
    <row r="707" spans="1:34" ht="30.75" thickBot="1" x14ac:dyDescent="0.3">
      <c r="A707" s="458" t="s">
        <v>1569</v>
      </c>
      <c r="B707" s="470" t="s">
        <v>1570</v>
      </c>
      <c r="C707" s="463" t="s">
        <v>354</v>
      </c>
      <c r="D707" s="449" t="s">
        <v>431</v>
      </c>
      <c r="E707" s="262"/>
      <c r="F707" s="470" t="s">
        <v>1577</v>
      </c>
      <c r="G707" s="387" t="str">
        <f>VLOOKUP(A707,'Feature Summary'!$A$7:$C$3944,3,FALSE)</f>
        <v>P2</v>
      </c>
      <c r="H707" s="447" t="s">
        <v>1578</v>
      </c>
      <c r="I707" s="488" t="s">
        <v>264</v>
      </c>
      <c r="J707" s="480" t="s">
        <v>1579</v>
      </c>
      <c r="K707" s="263">
        <v>1</v>
      </c>
      <c r="L707" s="391">
        <v>1</v>
      </c>
      <c r="M707" s="399" t="s">
        <v>33</v>
      </c>
      <c r="N707" s="475">
        <v>1</v>
      </c>
      <c r="O707" s="391">
        <v>1</v>
      </c>
      <c r="P707" s="496">
        <f>IF((O707=0),0,(O707/L707))</f>
        <v>1</v>
      </c>
      <c r="Q707" s="445" t="s">
        <v>52</v>
      </c>
      <c r="R707" s="391">
        <v>1</v>
      </c>
      <c r="S707" s="362">
        <f t="shared" si="108"/>
        <v>1</v>
      </c>
      <c r="T707" s="368">
        <v>1</v>
      </c>
      <c r="U707" s="368"/>
      <c r="V707" s="368"/>
      <c r="W707" s="368"/>
      <c r="X707" s="364">
        <f t="shared" si="106"/>
        <v>1</v>
      </c>
      <c r="Y707" s="393"/>
      <c r="Z707" s="498">
        <f t="shared" si="103"/>
        <v>0</v>
      </c>
      <c r="AA707" s="368"/>
      <c r="AB707" s="368"/>
      <c r="AC707" s="368"/>
      <c r="AD707" s="368"/>
      <c r="AE707" s="365">
        <f t="shared" si="104"/>
        <v>0</v>
      </c>
      <c r="AF707" s="262"/>
      <c r="AG707" s="457"/>
      <c r="AH707" s="264"/>
    </row>
    <row r="708" spans="1:34" ht="30.75" thickBot="1" x14ac:dyDescent="0.3">
      <c r="A708" s="458" t="s">
        <v>1569</v>
      </c>
      <c r="B708" s="470" t="s">
        <v>1570</v>
      </c>
      <c r="C708" s="463" t="s">
        <v>354</v>
      </c>
      <c r="D708" s="449" t="s">
        <v>431</v>
      </c>
      <c r="E708" s="262"/>
      <c r="F708" s="470" t="s">
        <v>1580</v>
      </c>
      <c r="G708" s="387" t="str">
        <f>VLOOKUP(A708,'Feature Summary'!$A$7:$C$3944,3,FALSE)</f>
        <v>P2</v>
      </c>
      <c r="H708" s="447" t="s">
        <v>1581</v>
      </c>
      <c r="I708" s="488" t="s">
        <v>264</v>
      </c>
      <c r="J708" s="480" t="s">
        <v>1576</v>
      </c>
      <c r="K708" s="263">
        <v>1</v>
      </c>
      <c r="L708" s="391">
        <v>1</v>
      </c>
      <c r="M708" s="399" t="s">
        <v>33</v>
      </c>
      <c r="N708" s="475">
        <v>1</v>
      </c>
      <c r="O708" s="391">
        <v>1</v>
      </c>
      <c r="P708" s="496">
        <f t="shared" ref="P708:P712" si="113">IF((O708=0),0,(O708/L708))</f>
        <v>1</v>
      </c>
      <c r="Q708" s="445" t="s">
        <v>52</v>
      </c>
      <c r="R708" s="391">
        <v>1</v>
      </c>
      <c r="S708" s="362">
        <f t="shared" si="108"/>
        <v>1</v>
      </c>
      <c r="T708" s="368">
        <v>1</v>
      </c>
      <c r="U708" s="368"/>
      <c r="V708" s="368"/>
      <c r="W708" s="368"/>
      <c r="X708" s="364">
        <f t="shared" si="106"/>
        <v>1</v>
      </c>
      <c r="Y708" s="393"/>
      <c r="Z708" s="498">
        <f t="shared" si="103"/>
        <v>0</v>
      </c>
      <c r="AA708" s="368"/>
      <c r="AB708" s="368"/>
      <c r="AC708" s="368"/>
      <c r="AD708" s="368"/>
      <c r="AE708" s="365">
        <f t="shared" si="104"/>
        <v>0</v>
      </c>
      <c r="AF708" s="558"/>
      <c r="AG708" s="457"/>
      <c r="AH708" s="264"/>
    </row>
    <row r="709" spans="1:34" ht="30.75" thickBot="1" x14ac:dyDescent="0.3">
      <c r="A709" s="458" t="s">
        <v>1569</v>
      </c>
      <c r="B709" s="470" t="s">
        <v>1570</v>
      </c>
      <c r="C709" s="463" t="s">
        <v>354</v>
      </c>
      <c r="D709" s="449" t="s">
        <v>431</v>
      </c>
      <c r="E709" s="262"/>
      <c r="F709" s="470" t="s">
        <v>1582</v>
      </c>
      <c r="G709" s="387" t="str">
        <f>VLOOKUP(A709,'Feature Summary'!$A$7:$C$3944,3,FALSE)</f>
        <v>P2</v>
      </c>
      <c r="H709" s="447" t="s">
        <v>1583</v>
      </c>
      <c r="I709" s="488" t="s">
        <v>264</v>
      </c>
      <c r="J709" s="480" t="s">
        <v>1579</v>
      </c>
      <c r="K709" s="263">
        <v>1</v>
      </c>
      <c r="L709" s="391">
        <v>1</v>
      </c>
      <c r="M709" s="399" t="s">
        <v>33</v>
      </c>
      <c r="N709" s="475">
        <v>1</v>
      </c>
      <c r="O709" s="391">
        <v>1</v>
      </c>
      <c r="P709" s="496">
        <f t="shared" si="113"/>
        <v>1</v>
      </c>
      <c r="Q709" s="445" t="s">
        <v>52</v>
      </c>
      <c r="R709" s="391">
        <v>1</v>
      </c>
      <c r="S709" s="362">
        <f t="shared" si="108"/>
        <v>1</v>
      </c>
      <c r="T709" s="368">
        <v>1</v>
      </c>
      <c r="U709" s="368"/>
      <c r="V709" s="368"/>
      <c r="W709" s="368"/>
      <c r="X709" s="364">
        <f t="shared" si="106"/>
        <v>1</v>
      </c>
      <c r="Y709" s="393"/>
      <c r="Z709" s="498">
        <f t="shared" si="103"/>
        <v>0</v>
      </c>
      <c r="AA709" s="368"/>
      <c r="AB709" s="368"/>
      <c r="AC709" s="368"/>
      <c r="AD709" s="368"/>
      <c r="AE709" s="365">
        <f t="shared" si="104"/>
        <v>0</v>
      </c>
      <c r="AF709" s="262"/>
      <c r="AG709" s="457"/>
      <c r="AH709" s="264"/>
    </row>
    <row r="710" spans="1:34" ht="30.75" thickBot="1" x14ac:dyDescent="0.3">
      <c r="A710" s="458" t="s">
        <v>1569</v>
      </c>
      <c r="B710" s="470" t="s">
        <v>1570</v>
      </c>
      <c r="C710" s="463" t="s">
        <v>354</v>
      </c>
      <c r="D710" s="449" t="s">
        <v>431</v>
      </c>
      <c r="E710" s="262"/>
      <c r="F710" s="470" t="s">
        <v>1584</v>
      </c>
      <c r="G710" s="387" t="str">
        <f>VLOOKUP(A710,'Feature Summary'!$A$7:$C$3944,3,FALSE)</f>
        <v>P2</v>
      </c>
      <c r="H710" s="447" t="s">
        <v>1585</v>
      </c>
      <c r="I710" s="488" t="s">
        <v>264</v>
      </c>
      <c r="J710" s="480" t="s">
        <v>1586</v>
      </c>
      <c r="K710" s="263">
        <v>1</v>
      </c>
      <c r="L710" s="391">
        <v>1</v>
      </c>
      <c r="M710" s="399" t="s">
        <v>33</v>
      </c>
      <c r="N710" s="475">
        <v>1</v>
      </c>
      <c r="O710" s="391">
        <v>1</v>
      </c>
      <c r="P710" s="496">
        <f t="shared" si="113"/>
        <v>1</v>
      </c>
      <c r="Q710" s="445" t="s">
        <v>52</v>
      </c>
      <c r="R710" s="391">
        <v>1</v>
      </c>
      <c r="S710" s="362">
        <f t="shared" si="108"/>
        <v>1</v>
      </c>
      <c r="T710" s="368">
        <v>1</v>
      </c>
      <c r="U710" s="368"/>
      <c r="V710" s="368"/>
      <c r="W710" s="368"/>
      <c r="X710" s="364">
        <f t="shared" si="106"/>
        <v>1</v>
      </c>
      <c r="Y710" s="393"/>
      <c r="Z710" s="498">
        <f t="shared" si="103"/>
        <v>0</v>
      </c>
      <c r="AA710" s="368"/>
      <c r="AB710" s="368"/>
      <c r="AC710" s="368"/>
      <c r="AD710" s="368"/>
      <c r="AE710" s="365">
        <f t="shared" si="104"/>
        <v>0</v>
      </c>
      <c r="AF710" s="558"/>
      <c r="AG710" s="457"/>
      <c r="AH710" s="264"/>
    </row>
    <row r="711" spans="1:34" ht="15.75" thickBot="1" x14ac:dyDescent="0.3">
      <c r="A711" s="458"/>
      <c r="B711" s="470" t="s">
        <v>1570</v>
      </c>
      <c r="C711" s="463" t="s">
        <v>354</v>
      </c>
      <c r="D711" s="449" t="s">
        <v>431</v>
      </c>
      <c r="E711" s="262"/>
      <c r="F711" s="470" t="s">
        <v>1587</v>
      </c>
      <c r="G711" s="387" t="e">
        <f>VLOOKUP(A711,'Feature Summary'!$A$7:$C$3944,3,FALSE)</f>
        <v>#N/A</v>
      </c>
      <c r="H711" s="447" t="s">
        <v>1588</v>
      </c>
      <c r="I711" s="488" t="s">
        <v>264</v>
      </c>
      <c r="J711" s="480" t="s">
        <v>1579</v>
      </c>
      <c r="K711" s="263">
        <v>1</v>
      </c>
      <c r="L711" s="391">
        <v>1</v>
      </c>
      <c r="M711" s="399" t="s">
        <v>33</v>
      </c>
      <c r="N711" s="475">
        <v>1</v>
      </c>
      <c r="O711" s="391">
        <v>1</v>
      </c>
      <c r="P711" s="496">
        <f t="shared" si="113"/>
        <v>1</v>
      </c>
      <c r="Q711" s="445" t="s">
        <v>52</v>
      </c>
      <c r="R711" s="391">
        <v>1</v>
      </c>
      <c r="S711" s="362">
        <f t="shared" si="108"/>
        <v>1</v>
      </c>
      <c r="T711" s="368">
        <v>1</v>
      </c>
      <c r="U711" s="368"/>
      <c r="V711" s="368"/>
      <c r="W711" s="368"/>
      <c r="X711" s="364">
        <f t="shared" si="106"/>
        <v>1</v>
      </c>
      <c r="Y711" s="393"/>
      <c r="Z711" s="498">
        <f t="shared" si="103"/>
        <v>0</v>
      </c>
      <c r="AA711" s="368"/>
      <c r="AB711" s="368"/>
      <c r="AC711" s="368"/>
      <c r="AD711" s="368"/>
      <c r="AE711" s="365">
        <f t="shared" si="104"/>
        <v>0</v>
      </c>
      <c r="AF711" s="558"/>
      <c r="AG711" s="457"/>
      <c r="AH711" s="264"/>
    </row>
    <row r="712" spans="1:34" ht="15.75" thickBot="1" x14ac:dyDescent="0.3">
      <c r="A712" s="458"/>
      <c r="B712" s="470" t="s">
        <v>1570</v>
      </c>
      <c r="C712" s="463" t="s">
        <v>354</v>
      </c>
      <c r="D712" s="449" t="s">
        <v>431</v>
      </c>
      <c r="E712" s="262"/>
      <c r="F712" s="470" t="s">
        <v>1589</v>
      </c>
      <c r="G712" s="387" t="e">
        <f>VLOOKUP(A712,'Feature Summary'!$A$7:$C$3944,3,FALSE)</f>
        <v>#N/A</v>
      </c>
      <c r="H712" s="447" t="s">
        <v>1590</v>
      </c>
      <c r="I712" s="488" t="s">
        <v>264</v>
      </c>
      <c r="J712" s="480" t="s">
        <v>1586</v>
      </c>
      <c r="K712" s="263">
        <v>1</v>
      </c>
      <c r="L712" s="391">
        <v>1</v>
      </c>
      <c r="M712" s="399" t="s">
        <v>33</v>
      </c>
      <c r="N712" s="475">
        <v>1</v>
      </c>
      <c r="O712" s="391">
        <v>1</v>
      </c>
      <c r="P712" s="496">
        <f t="shared" si="113"/>
        <v>1</v>
      </c>
      <c r="Q712" s="445" t="s">
        <v>52</v>
      </c>
      <c r="R712" s="391">
        <v>1</v>
      </c>
      <c r="S712" s="362">
        <f t="shared" si="108"/>
        <v>1</v>
      </c>
      <c r="T712" s="368">
        <v>1</v>
      </c>
      <c r="U712" s="368"/>
      <c r="V712" s="368"/>
      <c r="W712" s="368"/>
      <c r="X712" s="364">
        <f t="shared" si="106"/>
        <v>1</v>
      </c>
      <c r="Y712" s="393"/>
      <c r="Z712" s="498">
        <f t="shared" si="103"/>
        <v>0</v>
      </c>
      <c r="AA712" s="368"/>
      <c r="AB712" s="368"/>
      <c r="AC712" s="368"/>
      <c r="AD712" s="368"/>
      <c r="AE712" s="365">
        <f t="shared" si="104"/>
        <v>0</v>
      </c>
      <c r="AF712" s="558"/>
      <c r="AG712" s="457"/>
      <c r="AH712" s="264"/>
    </row>
    <row r="713" spans="1:34" ht="15.75" thickBot="1" x14ac:dyDescent="0.3">
      <c r="A713" s="458"/>
      <c r="B713" s="470" t="s">
        <v>1570</v>
      </c>
      <c r="C713" s="463" t="s">
        <v>354</v>
      </c>
      <c r="D713" s="449" t="s">
        <v>431</v>
      </c>
      <c r="E713" s="262"/>
      <c r="F713" s="470" t="s">
        <v>1591</v>
      </c>
      <c r="G713" s="387" t="e">
        <f>VLOOKUP(A713,'Feature Summary'!$A$7:$C$3944,3,FALSE)</f>
        <v>#N/A</v>
      </c>
      <c r="H713" s="447" t="s">
        <v>1592</v>
      </c>
      <c r="I713" s="488" t="s">
        <v>264</v>
      </c>
      <c r="J713" s="480" t="s">
        <v>1579</v>
      </c>
      <c r="K713" s="263">
        <v>1</v>
      </c>
      <c r="L713" s="391">
        <v>1</v>
      </c>
      <c r="M713" s="399" t="s">
        <v>33</v>
      </c>
      <c r="N713" s="475">
        <v>1</v>
      </c>
      <c r="O713" s="391">
        <v>1</v>
      </c>
      <c r="P713" s="496">
        <f>IF((O713=0),0,(O713/L713))</f>
        <v>1</v>
      </c>
      <c r="Q713" s="445" t="s">
        <v>52</v>
      </c>
      <c r="R713" s="391">
        <v>1</v>
      </c>
      <c r="S713" s="362">
        <f t="shared" si="108"/>
        <v>1</v>
      </c>
      <c r="T713" s="368">
        <v>1</v>
      </c>
      <c r="U713" s="368"/>
      <c r="V713" s="368"/>
      <c r="W713" s="368"/>
      <c r="X713" s="364">
        <f t="shared" si="106"/>
        <v>1</v>
      </c>
      <c r="Y713" s="393"/>
      <c r="Z713" s="498">
        <f t="shared" si="103"/>
        <v>0</v>
      </c>
      <c r="AA713" s="368"/>
      <c r="AB713" s="368"/>
      <c r="AC713" s="368"/>
      <c r="AD713" s="368"/>
      <c r="AE713" s="365">
        <f t="shared" si="104"/>
        <v>0</v>
      </c>
      <c r="AF713" s="262"/>
      <c r="AG713" s="457"/>
      <c r="AH713" s="264"/>
    </row>
    <row r="714" spans="1:34" ht="15.75" thickBot="1" x14ac:dyDescent="0.3">
      <c r="A714" s="458"/>
      <c r="B714" s="470" t="s">
        <v>1570</v>
      </c>
      <c r="C714" s="463" t="s">
        <v>354</v>
      </c>
      <c r="D714" s="449" t="s">
        <v>431</v>
      </c>
      <c r="E714" s="262"/>
      <c r="F714" s="470" t="s">
        <v>1593</v>
      </c>
      <c r="G714" s="387" t="e">
        <f>VLOOKUP(A714,'Feature Summary'!$A$7:$C$3944,3,FALSE)</f>
        <v>#N/A</v>
      </c>
      <c r="H714" s="447" t="s">
        <v>1594</v>
      </c>
      <c r="I714" s="488" t="s">
        <v>264</v>
      </c>
      <c r="J714" s="480" t="s">
        <v>1586</v>
      </c>
      <c r="K714" s="263">
        <v>1</v>
      </c>
      <c r="L714" s="391">
        <v>1</v>
      </c>
      <c r="M714" s="399" t="s">
        <v>33</v>
      </c>
      <c r="N714" s="475">
        <v>1</v>
      </c>
      <c r="O714" s="391">
        <v>1</v>
      </c>
      <c r="P714" s="496">
        <f t="shared" ref="P714:P743" si="114">IF((O714=0),0,(O714/L714))</f>
        <v>1</v>
      </c>
      <c r="Q714" s="445" t="s">
        <v>52</v>
      </c>
      <c r="R714" s="391">
        <v>1</v>
      </c>
      <c r="S714" s="362">
        <f t="shared" si="108"/>
        <v>1</v>
      </c>
      <c r="T714" s="368">
        <v>1</v>
      </c>
      <c r="U714" s="368"/>
      <c r="V714" s="368"/>
      <c r="W714" s="368"/>
      <c r="X714" s="364">
        <f t="shared" si="106"/>
        <v>1</v>
      </c>
      <c r="Y714" s="393"/>
      <c r="Z714" s="498">
        <f t="shared" ref="Z714:Z777" si="115">SUM(AA714:AD714)</f>
        <v>0</v>
      </c>
      <c r="AA714" s="368"/>
      <c r="AB714" s="368"/>
      <c r="AC714" s="368"/>
      <c r="AD714" s="368"/>
      <c r="AE714" s="365">
        <f t="shared" ref="AE714:AE777" si="116">IF((Z714=0),0,((AA714+AB714)/Z714*100%))</f>
        <v>0</v>
      </c>
      <c r="AF714" s="558"/>
      <c r="AG714" s="457"/>
      <c r="AH714" s="264"/>
    </row>
    <row r="715" spans="1:34" ht="15.75" thickBot="1" x14ac:dyDescent="0.3">
      <c r="A715" s="458"/>
      <c r="B715" s="470" t="s">
        <v>1570</v>
      </c>
      <c r="C715" s="463"/>
      <c r="D715" s="449" t="s">
        <v>431</v>
      </c>
      <c r="E715" s="262"/>
      <c r="F715" s="470" t="s">
        <v>1571</v>
      </c>
      <c r="G715" s="387" t="e">
        <f>VLOOKUP(A715,'Feature Summary'!$A$7:$C$3944,3,FALSE)</f>
        <v>#N/A</v>
      </c>
      <c r="H715" s="447" t="s">
        <v>1595</v>
      </c>
      <c r="I715" s="447"/>
      <c r="J715" s="480" t="s">
        <v>1596</v>
      </c>
      <c r="K715" s="263"/>
      <c r="L715" s="391"/>
      <c r="M715" s="399" t="s">
        <v>33</v>
      </c>
      <c r="N715" s="475">
        <v>1</v>
      </c>
      <c r="O715" s="391"/>
      <c r="P715" s="496">
        <f t="shared" si="114"/>
        <v>0</v>
      </c>
      <c r="Q715" s="445" t="s">
        <v>52</v>
      </c>
      <c r="R715" s="391"/>
      <c r="S715" s="362">
        <f t="shared" si="108"/>
        <v>0</v>
      </c>
      <c r="T715" s="368"/>
      <c r="U715" s="368"/>
      <c r="V715" s="368"/>
      <c r="W715" s="368"/>
      <c r="X715" s="364">
        <f t="shared" si="106"/>
        <v>0</v>
      </c>
      <c r="Y715" s="393"/>
      <c r="Z715" s="498">
        <f t="shared" si="115"/>
        <v>0</v>
      </c>
      <c r="AA715" s="368"/>
      <c r="AB715" s="368"/>
      <c r="AC715" s="368"/>
      <c r="AD715" s="368"/>
      <c r="AE715" s="365">
        <f t="shared" si="116"/>
        <v>0</v>
      </c>
      <c r="AF715" s="262"/>
      <c r="AG715" s="457"/>
      <c r="AH715" s="264"/>
    </row>
    <row r="716" spans="1:34" ht="30.75" thickBot="1" x14ac:dyDescent="0.3">
      <c r="A716" s="458"/>
      <c r="B716" s="470" t="s">
        <v>1570</v>
      </c>
      <c r="C716" s="463"/>
      <c r="D716" s="449" t="s">
        <v>431</v>
      </c>
      <c r="E716" s="262"/>
      <c r="F716" s="470" t="s">
        <v>1574</v>
      </c>
      <c r="G716" s="387" t="e">
        <f>VLOOKUP(A716,'Feature Summary'!$A$7:$C$3944,3,FALSE)</f>
        <v>#N/A</v>
      </c>
      <c r="H716" s="447" t="s">
        <v>1597</v>
      </c>
      <c r="I716" s="447"/>
      <c r="J716" s="480" t="s">
        <v>1598</v>
      </c>
      <c r="K716" s="263"/>
      <c r="L716" s="391"/>
      <c r="M716" s="399" t="s">
        <v>33</v>
      </c>
      <c r="N716" s="475">
        <v>1</v>
      </c>
      <c r="O716" s="391"/>
      <c r="P716" s="496">
        <f t="shared" si="114"/>
        <v>0</v>
      </c>
      <c r="Q716" s="445" t="s">
        <v>52</v>
      </c>
      <c r="R716" s="391"/>
      <c r="S716" s="362">
        <f t="shared" si="108"/>
        <v>0</v>
      </c>
      <c r="T716" s="368"/>
      <c r="U716" s="368"/>
      <c r="V716" s="368"/>
      <c r="W716" s="368"/>
      <c r="X716" s="364">
        <f t="shared" si="106"/>
        <v>0</v>
      </c>
      <c r="Y716" s="393"/>
      <c r="Z716" s="498">
        <f t="shared" si="115"/>
        <v>0</v>
      </c>
      <c r="AA716" s="368"/>
      <c r="AB716" s="368"/>
      <c r="AC716" s="368"/>
      <c r="AD716" s="368"/>
      <c r="AE716" s="365">
        <f t="shared" si="116"/>
        <v>0</v>
      </c>
      <c r="AF716" s="262"/>
      <c r="AG716" s="457"/>
      <c r="AH716" s="264"/>
    </row>
    <row r="717" spans="1:34" ht="30.75" thickBot="1" x14ac:dyDescent="0.3">
      <c r="A717" s="458"/>
      <c r="B717" s="470" t="s">
        <v>1570</v>
      </c>
      <c r="C717" s="463"/>
      <c r="D717" s="449" t="s">
        <v>431</v>
      </c>
      <c r="E717" s="262"/>
      <c r="F717" s="470" t="s">
        <v>1577</v>
      </c>
      <c r="G717" s="387" t="e">
        <f>VLOOKUP(A717,'Feature Summary'!$A$7:$C$3944,3,FALSE)</f>
        <v>#N/A</v>
      </c>
      <c r="H717" s="447" t="s">
        <v>1599</v>
      </c>
      <c r="I717" s="447"/>
      <c r="J717" s="480" t="s">
        <v>1596</v>
      </c>
      <c r="K717" s="263"/>
      <c r="L717" s="391"/>
      <c r="M717" s="399" t="s">
        <v>33</v>
      </c>
      <c r="N717" s="475">
        <v>1</v>
      </c>
      <c r="O717" s="391"/>
      <c r="P717" s="496">
        <f t="shared" si="114"/>
        <v>0</v>
      </c>
      <c r="Q717" s="445" t="s">
        <v>52</v>
      </c>
      <c r="R717" s="391"/>
      <c r="S717" s="362">
        <f t="shared" si="108"/>
        <v>0</v>
      </c>
      <c r="T717" s="368"/>
      <c r="U717" s="368"/>
      <c r="V717" s="368"/>
      <c r="W717" s="368"/>
      <c r="X717" s="364">
        <f t="shared" si="106"/>
        <v>0</v>
      </c>
      <c r="Y717" s="393"/>
      <c r="Z717" s="498">
        <f t="shared" si="115"/>
        <v>0</v>
      </c>
      <c r="AA717" s="368"/>
      <c r="AB717" s="368"/>
      <c r="AC717" s="368"/>
      <c r="AD717" s="368"/>
      <c r="AE717" s="365">
        <f t="shared" si="116"/>
        <v>0</v>
      </c>
      <c r="AF717" s="262"/>
      <c r="AG717" s="457"/>
      <c r="AH717" s="264"/>
    </row>
    <row r="718" spans="1:34" ht="30.75" thickBot="1" x14ac:dyDescent="0.3">
      <c r="A718" s="458"/>
      <c r="B718" s="470" t="s">
        <v>1570</v>
      </c>
      <c r="C718" s="463"/>
      <c r="D718" s="449" t="s">
        <v>431</v>
      </c>
      <c r="E718" s="262"/>
      <c r="F718" s="470" t="s">
        <v>1580</v>
      </c>
      <c r="G718" s="387" t="e">
        <f>VLOOKUP(A718,'Feature Summary'!$A$7:$C$3944,3,FALSE)</f>
        <v>#N/A</v>
      </c>
      <c r="H718" s="447" t="s">
        <v>1600</v>
      </c>
      <c r="I718" s="447"/>
      <c r="J718" s="480" t="s">
        <v>1598</v>
      </c>
      <c r="K718" s="263"/>
      <c r="L718" s="391"/>
      <c r="M718" s="399" t="s">
        <v>33</v>
      </c>
      <c r="N718" s="475">
        <v>1</v>
      </c>
      <c r="O718" s="391"/>
      <c r="P718" s="496">
        <f t="shared" si="114"/>
        <v>0</v>
      </c>
      <c r="Q718" s="445" t="s">
        <v>52</v>
      </c>
      <c r="R718" s="391"/>
      <c r="S718" s="362">
        <f t="shared" si="108"/>
        <v>0</v>
      </c>
      <c r="T718" s="368"/>
      <c r="U718" s="368"/>
      <c r="V718" s="368"/>
      <c r="W718" s="368"/>
      <c r="X718" s="364">
        <f t="shared" si="106"/>
        <v>0</v>
      </c>
      <c r="Y718" s="393"/>
      <c r="Z718" s="498">
        <f t="shared" si="115"/>
        <v>0</v>
      </c>
      <c r="AA718" s="368"/>
      <c r="AB718" s="368"/>
      <c r="AC718" s="368"/>
      <c r="AD718" s="368"/>
      <c r="AE718" s="365">
        <f t="shared" si="116"/>
        <v>0</v>
      </c>
      <c r="AF718" s="262"/>
      <c r="AG718" s="457"/>
      <c r="AH718" s="264"/>
    </row>
    <row r="719" spans="1:34" ht="30.75" thickBot="1" x14ac:dyDescent="0.3">
      <c r="A719" s="458"/>
      <c r="B719" s="470" t="s">
        <v>1570</v>
      </c>
      <c r="C719" s="463"/>
      <c r="D719" s="449" t="s">
        <v>431</v>
      </c>
      <c r="E719" s="262"/>
      <c r="F719" s="470" t="s">
        <v>1582</v>
      </c>
      <c r="G719" s="387" t="e">
        <f>VLOOKUP(A719,'Feature Summary'!$A$7:$C$3944,3,FALSE)</f>
        <v>#N/A</v>
      </c>
      <c r="H719" s="447" t="s">
        <v>1601</v>
      </c>
      <c r="I719" s="447"/>
      <c r="J719" s="480" t="s">
        <v>1596</v>
      </c>
      <c r="K719" s="263"/>
      <c r="L719" s="391"/>
      <c r="M719" s="399" t="s">
        <v>33</v>
      </c>
      <c r="N719" s="475">
        <v>1</v>
      </c>
      <c r="O719" s="391"/>
      <c r="P719" s="496">
        <f t="shared" si="114"/>
        <v>0</v>
      </c>
      <c r="Q719" s="445" t="s">
        <v>52</v>
      </c>
      <c r="R719" s="391"/>
      <c r="S719" s="362">
        <f t="shared" si="108"/>
        <v>0</v>
      </c>
      <c r="T719" s="368"/>
      <c r="U719" s="368"/>
      <c r="V719" s="368"/>
      <c r="W719" s="368"/>
      <c r="X719" s="364">
        <f t="shared" si="106"/>
        <v>0</v>
      </c>
      <c r="Y719" s="393"/>
      <c r="Z719" s="498">
        <f t="shared" si="115"/>
        <v>0</v>
      </c>
      <c r="AA719" s="368"/>
      <c r="AB719" s="368"/>
      <c r="AC719" s="368"/>
      <c r="AD719" s="368"/>
      <c r="AE719" s="365">
        <f t="shared" si="116"/>
        <v>0</v>
      </c>
      <c r="AF719" s="262"/>
      <c r="AG719" s="457"/>
      <c r="AH719" s="264"/>
    </row>
    <row r="720" spans="1:34" ht="30.75" thickBot="1" x14ac:dyDescent="0.3">
      <c r="A720" s="458"/>
      <c r="B720" s="470" t="s">
        <v>1570</v>
      </c>
      <c r="C720" s="463" t="s">
        <v>44</v>
      </c>
      <c r="D720" s="449" t="s">
        <v>431</v>
      </c>
      <c r="E720" s="262"/>
      <c r="F720" s="470" t="s">
        <v>1584</v>
      </c>
      <c r="G720" s="387" t="e">
        <f>VLOOKUP(A720,'Feature Summary'!$A$7:$C$3944,3,FALSE)</f>
        <v>#N/A</v>
      </c>
      <c r="H720" s="447" t="s">
        <v>1602</v>
      </c>
      <c r="I720" s="447"/>
      <c r="J720" s="480" t="s">
        <v>1598</v>
      </c>
      <c r="K720" s="263"/>
      <c r="L720" s="391"/>
      <c r="M720" s="399" t="s">
        <v>33</v>
      </c>
      <c r="N720" s="475">
        <v>1</v>
      </c>
      <c r="O720" s="391"/>
      <c r="P720" s="496">
        <f t="shared" si="114"/>
        <v>0</v>
      </c>
      <c r="Q720" s="445" t="s">
        <v>52</v>
      </c>
      <c r="R720" s="391"/>
      <c r="S720" s="362">
        <f t="shared" si="108"/>
        <v>0</v>
      </c>
      <c r="T720" s="368"/>
      <c r="U720" s="368"/>
      <c r="V720" s="368"/>
      <c r="W720" s="368"/>
      <c r="X720" s="364">
        <f t="shared" si="106"/>
        <v>0</v>
      </c>
      <c r="Y720" s="393"/>
      <c r="Z720" s="498">
        <f t="shared" si="115"/>
        <v>0</v>
      </c>
      <c r="AA720" s="368"/>
      <c r="AB720" s="368"/>
      <c r="AC720" s="368"/>
      <c r="AD720" s="368"/>
      <c r="AE720" s="365">
        <f t="shared" si="116"/>
        <v>0</v>
      </c>
      <c r="AF720" s="262"/>
      <c r="AG720" s="457"/>
      <c r="AH720" s="264"/>
    </row>
    <row r="721" spans="1:34" ht="15.75" thickBot="1" x14ac:dyDescent="0.3">
      <c r="A721" s="458"/>
      <c r="B721" s="470" t="s">
        <v>1570</v>
      </c>
      <c r="C721" s="463" t="s">
        <v>44</v>
      </c>
      <c r="D721" s="449" t="s">
        <v>431</v>
      </c>
      <c r="E721" s="262"/>
      <c r="F721" s="470" t="s">
        <v>1587</v>
      </c>
      <c r="G721" s="387" t="e">
        <f>VLOOKUP(A721,'Feature Summary'!$A$7:$C$3944,3,FALSE)</f>
        <v>#N/A</v>
      </c>
      <c r="H721" s="447" t="s">
        <v>1603</v>
      </c>
      <c r="I721" s="447"/>
      <c r="J721" s="480" t="s">
        <v>1596</v>
      </c>
      <c r="K721" s="263"/>
      <c r="L721" s="391"/>
      <c r="M721" s="399" t="s">
        <v>33</v>
      </c>
      <c r="N721" s="475">
        <v>1</v>
      </c>
      <c r="O721" s="391"/>
      <c r="P721" s="496">
        <f t="shared" si="114"/>
        <v>0</v>
      </c>
      <c r="Q721" s="445" t="s">
        <v>52</v>
      </c>
      <c r="R721" s="391"/>
      <c r="S721" s="362">
        <f t="shared" si="108"/>
        <v>0</v>
      </c>
      <c r="T721" s="368"/>
      <c r="U721" s="368"/>
      <c r="V721" s="368"/>
      <c r="W721" s="368"/>
      <c r="X721" s="364">
        <f t="shared" si="106"/>
        <v>0</v>
      </c>
      <c r="Y721" s="393"/>
      <c r="Z721" s="498">
        <f t="shared" si="115"/>
        <v>0</v>
      </c>
      <c r="AA721" s="368"/>
      <c r="AB721" s="368"/>
      <c r="AC721" s="368"/>
      <c r="AD721" s="368"/>
      <c r="AE721" s="365">
        <f t="shared" si="116"/>
        <v>0</v>
      </c>
      <c r="AF721" s="262"/>
      <c r="AG721" s="457"/>
      <c r="AH721" s="264"/>
    </row>
    <row r="722" spans="1:34" ht="15.75" thickBot="1" x14ac:dyDescent="0.3">
      <c r="A722" s="458"/>
      <c r="B722" s="470" t="s">
        <v>1570</v>
      </c>
      <c r="C722" s="463" t="s">
        <v>44</v>
      </c>
      <c r="D722" s="449" t="s">
        <v>431</v>
      </c>
      <c r="E722" s="262"/>
      <c r="F722" s="470" t="s">
        <v>1589</v>
      </c>
      <c r="G722" s="387" t="e">
        <f>VLOOKUP(A722,'Feature Summary'!$A$7:$C$3944,3,FALSE)</f>
        <v>#N/A</v>
      </c>
      <c r="H722" s="447" t="s">
        <v>1604</v>
      </c>
      <c r="I722" s="447"/>
      <c r="J722" s="480" t="s">
        <v>1598</v>
      </c>
      <c r="K722" s="263"/>
      <c r="L722" s="391"/>
      <c r="M722" s="399" t="s">
        <v>33</v>
      </c>
      <c r="N722" s="475">
        <v>1</v>
      </c>
      <c r="O722" s="391"/>
      <c r="P722" s="496">
        <f t="shared" si="114"/>
        <v>0</v>
      </c>
      <c r="Q722" s="445" t="s">
        <v>52</v>
      </c>
      <c r="R722" s="391"/>
      <c r="S722" s="362">
        <f t="shared" si="108"/>
        <v>0</v>
      </c>
      <c r="T722" s="368"/>
      <c r="U722" s="368"/>
      <c r="V722" s="368"/>
      <c r="W722" s="368"/>
      <c r="X722" s="364">
        <f t="shared" si="106"/>
        <v>0</v>
      </c>
      <c r="Y722" s="393"/>
      <c r="Z722" s="498">
        <f t="shared" si="115"/>
        <v>0</v>
      </c>
      <c r="AA722" s="368"/>
      <c r="AB722" s="368"/>
      <c r="AC722" s="368"/>
      <c r="AD722" s="368"/>
      <c r="AE722" s="365">
        <f t="shared" si="116"/>
        <v>0</v>
      </c>
      <c r="AF722" s="262"/>
      <c r="AG722" s="457"/>
      <c r="AH722" s="264"/>
    </row>
    <row r="723" spans="1:34" ht="15.75" thickBot="1" x14ac:dyDescent="0.3">
      <c r="A723" s="458"/>
      <c r="B723" s="470" t="s">
        <v>1570</v>
      </c>
      <c r="C723" s="463" t="s">
        <v>44</v>
      </c>
      <c r="D723" s="449" t="s">
        <v>431</v>
      </c>
      <c r="E723" s="262"/>
      <c r="F723" s="470" t="s">
        <v>1591</v>
      </c>
      <c r="G723" s="387" t="e">
        <f>VLOOKUP(A723,'Feature Summary'!$A$7:$C$3944,3,FALSE)</f>
        <v>#N/A</v>
      </c>
      <c r="H723" s="447" t="s">
        <v>1605</v>
      </c>
      <c r="I723" s="447"/>
      <c r="J723" s="480" t="s">
        <v>1596</v>
      </c>
      <c r="K723" s="263"/>
      <c r="L723" s="391"/>
      <c r="M723" s="399" t="s">
        <v>33</v>
      </c>
      <c r="N723" s="475">
        <v>1</v>
      </c>
      <c r="O723" s="391"/>
      <c r="P723" s="496">
        <f t="shared" si="114"/>
        <v>0</v>
      </c>
      <c r="Q723" s="445" t="s">
        <v>52</v>
      </c>
      <c r="R723" s="391"/>
      <c r="S723" s="362">
        <f t="shared" si="108"/>
        <v>0</v>
      </c>
      <c r="T723" s="368"/>
      <c r="U723" s="368"/>
      <c r="V723" s="368"/>
      <c r="W723" s="368"/>
      <c r="X723" s="364">
        <f t="shared" si="106"/>
        <v>0</v>
      </c>
      <c r="Y723" s="393"/>
      <c r="Z723" s="498">
        <f t="shared" si="115"/>
        <v>0</v>
      </c>
      <c r="AA723" s="368"/>
      <c r="AB723" s="368"/>
      <c r="AC723" s="368"/>
      <c r="AD723" s="368"/>
      <c r="AE723" s="365">
        <f t="shared" si="116"/>
        <v>0</v>
      </c>
      <c r="AF723" s="262"/>
      <c r="AG723" s="457"/>
      <c r="AH723" s="264"/>
    </row>
    <row r="724" spans="1:34" ht="15.75" thickBot="1" x14ac:dyDescent="0.3">
      <c r="A724" s="458"/>
      <c r="B724" s="470" t="s">
        <v>1570</v>
      </c>
      <c r="C724" s="463" t="s">
        <v>44</v>
      </c>
      <c r="D724" s="449" t="s">
        <v>431</v>
      </c>
      <c r="E724" s="262"/>
      <c r="F724" s="470" t="s">
        <v>1593</v>
      </c>
      <c r="G724" s="387" t="e">
        <f>VLOOKUP(A724,'Feature Summary'!$A$7:$C$3944,3,FALSE)</f>
        <v>#N/A</v>
      </c>
      <c r="H724" s="447" t="s">
        <v>1606</v>
      </c>
      <c r="I724" s="447"/>
      <c r="J724" s="480" t="s">
        <v>1598</v>
      </c>
      <c r="K724" s="263"/>
      <c r="L724" s="391"/>
      <c r="M724" s="399" t="s">
        <v>33</v>
      </c>
      <c r="N724" s="475">
        <v>1</v>
      </c>
      <c r="O724" s="391"/>
      <c r="P724" s="496">
        <f t="shared" si="114"/>
        <v>0</v>
      </c>
      <c r="Q724" s="445" t="s">
        <v>52</v>
      </c>
      <c r="R724" s="391"/>
      <c r="S724" s="362">
        <f t="shared" si="108"/>
        <v>0</v>
      </c>
      <c r="T724" s="368"/>
      <c r="U724" s="368"/>
      <c r="V724" s="368"/>
      <c r="W724" s="368"/>
      <c r="X724" s="364">
        <f t="shared" si="106"/>
        <v>0</v>
      </c>
      <c r="Y724" s="393"/>
      <c r="Z724" s="498">
        <f t="shared" si="115"/>
        <v>0</v>
      </c>
      <c r="AA724" s="368"/>
      <c r="AB724" s="368"/>
      <c r="AC724" s="368"/>
      <c r="AD724" s="368"/>
      <c r="AE724" s="365">
        <f t="shared" si="116"/>
        <v>0</v>
      </c>
      <c r="AF724" s="262"/>
      <c r="AG724" s="457"/>
      <c r="AH724" s="264"/>
    </row>
    <row r="725" spans="1:34" ht="30.75" thickBot="1" x14ac:dyDescent="0.3">
      <c r="A725" s="458" t="s">
        <v>1607</v>
      </c>
      <c r="B725" s="447" t="s">
        <v>1608</v>
      </c>
      <c r="C725" s="463" t="s">
        <v>260</v>
      </c>
      <c r="D725" s="449" t="s">
        <v>431</v>
      </c>
      <c r="E725" s="262"/>
      <c r="F725" s="470" t="s">
        <v>1609</v>
      </c>
      <c r="G725" s="387" t="e">
        <f>VLOOKUP(A725,'Feature Summary'!$A$7:$C$3944,3,FALSE)</f>
        <v>#N/A</v>
      </c>
      <c r="H725" s="447" t="s">
        <v>1610</v>
      </c>
      <c r="I725" s="488" t="s">
        <v>264</v>
      </c>
      <c r="J725" s="448" t="s">
        <v>1611</v>
      </c>
      <c r="K725" s="263">
        <v>1</v>
      </c>
      <c r="L725" s="391">
        <v>32</v>
      </c>
      <c r="M725" s="399" t="s">
        <v>33</v>
      </c>
      <c r="N725" s="475">
        <v>1</v>
      </c>
      <c r="O725" s="391">
        <v>0</v>
      </c>
      <c r="P725" s="496">
        <f t="shared" si="114"/>
        <v>0</v>
      </c>
      <c r="Q725" s="445" t="s">
        <v>52</v>
      </c>
      <c r="R725" s="391">
        <v>32</v>
      </c>
      <c r="S725" s="362">
        <f t="shared" si="108"/>
        <v>32</v>
      </c>
      <c r="T725" s="368">
        <v>32</v>
      </c>
      <c r="U725" s="368"/>
      <c r="V725" s="368"/>
      <c r="W725" s="368"/>
      <c r="X725" s="364">
        <f t="shared" si="106"/>
        <v>1</v>
      </c>
      <c r="Y725" s="393"/>
      <c r="Z725" s="498">
        <f t="shared" si="115"/>
        <v>0</v>
      </c>
      <c r="AA725" s="368"/>
      <c r="AB725" s="368"/>
      <c r="AC725" s="368"/>
      <c r="AD725" s="368"/>
      <c r="AE725" s="365">
        <f t="shared" si="116"/>
        <v>0</v>
      </c>
      <c r="AF725" s="558"/>
      <c r="AG725" s="457"/>
      <c r="AH725" s="264"/>
    </row>
    <row r="726" spans="1:34" ht="138.75" customHeight="1" thickBot="1" x14ac:dyDescent="0.3">
      <c r="A726" s="458"/>
      <c r="B726" s="447" t="s">
        <v>1608</v>
      </c>
      <c r="C726" s="463" t="s">
        <v>44</v>
      </c>
      <c r="D726" s="449" t="s">
        <v>431</v>
      </c>
      <c r="E726" s="262"/>
      <c r="F726" s="470" t="s">
        <v>1609</v>
      </c>
      <c r="G726" s="387" t="e">
        <f>VLOOKUP(A726,'Feature Summary'!$A$7:$C$3944,3,FALSE)</f>
        <v>#N/A</v>
      </c>
      <c r="H726" s="447" t="s">
        <v>1612</v>
      </c>
      <c r="I726" s="447"/>
      <c r="J726" s="448" t="s">
        <v>1613</v>
      </c>
      <c r="K726" s="263"/>
      <c r="L726" s="391"/>
      <c r="M726" s="399" t="s">
        <v>33</v>
      </c>
      <c r="N726" s="475">
        <v>1</v>
      </c>
      <c r="O726" s="391"/>
      <c r="P726" s="496">
        <f t="shared" si="114"/>
        <v>0</v>
      </c>
      <c r="Q726" s="445" t="s">
        <v>52</v>
      </c>
      <c r="R726" s="391"/>
      <c r="S726" s="362">
        <f t="shared" si="108"/>
        <v>0</v>
      </c>
      <c r="T726" s="368"/>
      <c r="U726" s="368"/>
      <c r="V726" s="368"/>
      <c r="W726" s="368"/>
      <c r="X726" s="364">
        <f t="shared" si="106"/>
        <v>0</v>
      </c>
      <c r="Y726" s="393"/>
      <c r="Z726" s="498">
        <f t="shared" si="115"/>
        <v>0</v>
      </c>
      <c r="AA726" s="368"/>
      <c r="AB726" s="368"/>
      <c r="AC726" s="368"/>
      <c r="AD726" s="368"/>
      <c r="AE726" s="365">
        <f t="shared" si="116"/>
        <v>0</v>
      </c>
      <c r="AF726" s="558"/>
      <c r="AG726" s="457"/>
      <c r="AH726" s="264"/>
    </row>
    <row r="727" spans="1:34" ht="45.75" thickBot="1" x14ac:dyDescent="0.3">
      <c r="A727" s="458"/>
      <c r="B727" s="447" t="s">
        <v>1608</v>
      </c>
      <c r="C727" s="463" t="s">
        <v>44</v>
      </c>
      <c r="D727" s="449" t="s">
        <v>431</v>
      </c>
      <c r="E727" s="262"/>
      <c r="F727" s="470" t="s">
        <v>1609</v>
      </c>
      <c r="G727" s="387" t="e">
        <f>VLOOKUP(A727,'Feature Summary'!$A$7:$C$3944,3,FALSE)</f>
        <v>#N/A</v>
      </c>
      <c r="H727" s="447" t="s">
        <v>1614</v>
      </c>
      <c r="I727" s="447"/>
      <c r="J727" s="448" t="s">
        <v>1615</v>
      </c>
      <c r="K727" s="263"/>
      <c r="L727" s="391"/>
      <c r="M727" s="399" t="s">
        <v>33</v>
      </c>
      <c r="N727" s="475">
        <v>1</v>
      </c>
      <c r="O727" s="391"/>
      <c r="P727" s="496">
        <f t="shared" si="114"/>
        <v>0</v>
      </c>
      <c r="Q727" s="445" t="s">
        <v>52</v>
      </c>
      <c r="R727" s="391"/>
      <c r="S727" s="362">
        <f t="shared" si="108"/>
        <v>0</v>
      </c>
      <c r="T727" s="368"/>
      <c r="U727" s="368"/>
      <c r="V727" s="368"/>
      <c r="W727" s="368"/>
      <c r="X727" s="364">
        <f t="shared" si="106"/>
        <v>0</v>
      </c>
      <c r="Y727" s="393"/>
      <c r="Z727" s="498">
        <f t="shared" si="115"/>
        <v>0</v>
      </c>
      <c r="AA727" s="368"/>
      <c r="AB727" s="368"/>
      <c r="AC727" s="368"/>
      <c r="AD727" s="368"/>
      <c r="AE727" s="365">
        <f t="shared" si="116"/>
        <v>0</v>
      </c>
      <c r="AF727" s="262"/>
      <c r="AG727" s="457"/>
      <c r="AH727" s="264"/>
    </row>
    <row r="728" spans="1:34" ht="45.75" thickBot="1" x14ac:dyDescent="0.3">
      <c r="A728" s="458"/>
      <c r="B728" s="447" t="s">
        <v>1608</v>
      </c>
      <c r="C728" s="463" t="s">
        <v>44</v>
      </c>
      <c r="D728" s="449" t="s">
        <v>431</v>
      </c>
      <c r="E728" s="262"/>
      <c r="F728" s="470" t="s">
        <v>1609</v>
      </c>
      <c r="G728" s="387" t="e">
        <f>VLOOKUP(A728,'Feature Summary'!$A$7:$C$3944,3,FALSE)</f>
        <v>#N/A</v>
      </c>
      <c r="H728" s="447" t="s">
        <v>1616</v>
      </c>
      <c r="I728" s="447"/>
      <c r="J728" s="448" t="s">
        <v>1617</v>
      </c>
      <c r="K728" s="263"/>
      <c r="L728" s="391"/>
      <c r="M728" s="399" t="s">
        <v>33</v>
      </c>
      <c r="N728" s="475">
        <v>1</v>
      </c>
      <c r="O728" s="391"/>
      <c r="P728" s="496">
        <f t="shared" si="114"/>
        <v>0</v>
      </c>
      <c r="Q728" s="445" t="s">
        <v>52</v>
      </c>
      <c r="R728" s="391"/>
      <c r="S728" s="362">
        <f t="shared" si="108"/>
        <v>0</v>
      </c>
      <c r="T728" s="368"/>
      <c r="U728" s="368"/>
      <c r="V728" s="368"/>
      <c r="W728" s="368"/>
      <c r="X728" s="364">
        <f t="shared" si="106"/>
        <v>0</v>
      </c>
      <c r="Y728" s="393"/>
      <c r="Z728" s="498">
        <f t="shared" si="115"/>
        <v>0</v>
      </c>
      <c r="AA728" s="368"/>
      <c r="AB728" s="368"/>
      <c r="AC728" s="368"/>
      <c r="AD728" s="368"/>
      <c r="AE728" s="365">
        <f t="shared" si="116"/>
        <v>0</v>
      </c>
      <c r="AF728" s="262"/>
      <c r="AG728" s="457"/>
      <c r="AH728" s="264"/>
    </row>
    <row r="729" spans="1:34" ht="30.75" thickBot="1" x14ac:dyDescent="0.3">
      <c r="A729" s="458" t="s">
        <v>1618</v>
      </c>
      <c r="B729" s="470" t="s">
        <v>1619</v>
      </c>
      <c r="C729" s="463" t="s">
        <v>651</v>
      </c>
      <c r="D729" s="449" t="s">
        <v>431</v>
      </c>
      <c r="E729" s="262"/>
      <c r="F729" s="447" t="s">
        <v>1620</v>
      </c>
      <c r="G729" s="387" t="e">
        <f>VLOOKUP(A729,'Feature Summary'!$A$7:$C$3944,3,FALSE)</f>
        <v>#N/A</v>
      </c>
      <c r="H729" s="447" t="s">
        <v>1621</v>
      </c>
      <c r="I729" s="488" t="s">
        <v>264</v>
      </c>
      <c r="J729" s="448" t="s">
        <v>281</v>
      </c>
      <c r="K729" s="263">
        <v>1</v>
      </c>
      <c r="L729" s="391">
        <v>16</v>
      </c>
      <c r="M729" s="399" t="s">
        <v>33</v>
      </c>
      <c r="N729" s="475">
        <v>1</v>
      </c>
      <c r="O729" s="391">
        <v>0</v>
      </c>
      <c r="P729" s="496">
        <f t="shared" si="114"/>
        <v>0</v>
      </c>
      <c r="Q729" s="445" t="s">
        <v>52</v>
      </c>
      <c r="R729" s="391">
        <v>16</v>
      </c>
      <c r="S729" s="362">
        <f t="shared" si="108"/>
        <v>16</v>
      </c>
      <c r="T729" s="368">
        <v>16</v>
      </c>
      <c r="U729" s="368"/>
      <c r="V729" s="368"/>
      <c r="W729" s="368"/>
      <c r="X729" s="364">
        <f t="shared" si="106"/>
        <v>1</v>
      </c>
      <c r="Y729" s="393"/>
      <c r="Z729" s="498">
        <f t="shared" si="115"/>
        <v>0</v>
      </c>
      <c r="AA729" s="368"/>
      <c r="AB729" s="368"/>
      <c r="AC729" s="368"/>
      <c r="AD729" s="368"/>
      <c r="AE729" s="365">
        <f t="shared" si="116"/>
        <v>0</v>
      </c>
      <c r="AF729" s="262"/>
      <c r="AG729" s="457"/>
      <c r="AH729" s="264"/>
    </row>
    <row r="730" spans="1:34" ht="30.75" thickBot="1" x14ac:dyDescent="0.3">
      <c r="A730" s="458"/>
      <c r="B730" s="470" t="s">
        <v>1619</v>
      </c>
      <c r="C730" s="463" t="s">
        <v>44</v>
      </c>
      <c r="D730" s="449" t="s">
        <v>431</v>
      </c>
      <c r="E730" s="262"/>
      <c r="F730" s="447" t="s">
        <v>1620</v>
      </c>
      <c r="G730" s="387" t="e">
        <f>VLOOKUP(A730,'Feature Summary'!$A$7:$C$3944,3,FALSE)</f>
        <v>#N/A</v>
      </c>
      <c r="H730" s="447" t="s">
        <v>1622</v>
      </c>
      <c r="I730" s="447"/>
      <c r="J730" s="448" t="s">
        <v>328</v>
      </c>
      <c r="K730" s="263"/>
      <c r="L730" s="391"/>
      <c r="M730" s="399" t="s">
        <v>33</v>
      </c>
      <c r="N730" s="475">
        <v>1</v>
      </c>
      <c r="O730" s="391"/>
      <c r="P730" s="496">
        <f t="shared" si="114"/>
        <v>0</v>
      </c>
      <c r="Q730" s="445" t="s">
        <v>52</v>
      </c>
      <c r="R730" s="391"/>
      <c r="S730" s="362">
        <f t="shared" si="108"/>
        <v>0</v>
      </c>
      <c r="T730" s="368"/>
      <c r="U730" s="368"/>
      <c r="V730" s="368"/>
      <c r="W730" s="368"/>
      <c r="X730" s="364">
        <f t="shared" si="106"/>
        <v>0</v>
      </c>
      <c r="Y730" s="393"/>
      <c r="Z730" s="498">
        <f t="shared" si="115"/>
        <v>0</v>
      </c>
      <c r="AA730" s="368"/>
      <c r="AB730" s="368"/>
      <c r="AC730" s="368"/>
      <c r="AD730" s="368"/>
      <c r="AE730" s="365">
        <f t="shared" si="116"/>
        <v>0</v>
      </c>
      <c r="AF730" s="558"/>
      <c r="AG730" s="457"/>
      <c r="AH730" s="264"/>
    </row>
    <row r="731" spans="1:34" ht="30.75" thickBot="1" x14ac:dyDescent="0.3">
      <c r="A731" s="458" t="s">
        <v>1618</v>
      </c>
      <c r="B731" s="470" t="s">
        <v>1619</v>
      </c>
      <c r="C731" s="463" t="s">
        <v>651</v>
      </c>
      <c r="D731" s="449" t="s">
        <v>431</v>
      </c>
      <c r="E731" s="262"/>
      <c r="F731" s="470" t="s">
        <v>1623</v>
      </c>
      <c r="G731" s="387" t="e">
        <f>VLOOKUP(A731,'Feature Summary'!$A$7:$C$3944,3,FALSE)</f>
        <v>#N/A</v>
      </c>
      <c r="H731" s="447" t="s">
        <v>1624</v>
      </c>
      <c r="I731" s="488" t="s">
        <v>264</v>
      </c>
      <c r="J731" s="448" t="s">
        <v>281</v>
      </c>
      <c r="K731" s="263">
        <v>1</v>
      </c>
      <c r="L731" s="391">
        <v>16</v>
      </c>
      <c r="M731" s="399" t="s">
        <v>33</v>
      </c>
      <c r="N731" s="475">
        <v>1</v>
      </c>
      <c r="O731" s="391">
        <v>0</v>
      </c>
      <c r="P731" s="496">
        <f t="shared" si="114"/>
        <v>0</v>
      </c>
      <c r="Q731" s="445" t="s">
        <v>52</v>
      </c>
      <c r="R731" s="391">
        <v>16</v>
      </c>
      <c r="S731" s="362">
        <f t="shared" si="108"/>
        <v>16</v>
      </c>
      <c r="T731" s="368">
        <v>16</v>
      </c>
      <c r="U731" s="368"/>
      <c r="V731" s="368"/>
      <c r="W731" s="368"/>
      <c r="X731" s="364">
        <f t="shared" si="106"/>
        <v>1</v>
      </c>
      <c r="Y731" s="393"/>
      <c r="Z731" s="498">
        <f t="shared" si="115"/>
        <v>0</v>
      </c>
      <c r="AA731" s="368"/>
      <c r="AB731" s="368"/>
      <c r="AC731" s="368"/>
      <c r="AD731" s="368"/>
      <c r="AE731" s="365">
        <f t="shared" si="116"/>
        <v>0</v>
      </c>
      <c r="AF731" s="262"/>
      <c r="AG731" s="457"/>
      <c r="AH731" s="264"/>
    </row>
    <row r="732" spans="1:34" ht="15.75" thickBot="1" x14ac:dyDescent="0.3">
      <c r="A732" s="458" t="s">
        <v>1618</v>
      </c>
      <c r="B732" s="470" t="s">
        <v>1619</v>
      </c>
      <c r="C732" s="463" t="s">
        <v>651</v>
      </c>
      <c r="D732" s="449" t="s">
        <v>431</v>
      </c>
      <c r="E732" s="262"/>
      <c r="F732" s="470" t="s">
        <v>1625</v>
      </c>
      <c r="G732" s="387" t="e">
        <f>VLOOKUP(A732,'Feature Summary'!$A$7:$C$3944,3,FALSE)</f>
        <v>#N/A</v>
      </c>
      <c r="H732" s="447" t="s">
        <v>1626</v>
      </c>
      <c r="I732" s="488" t="s">
        <v>264</v>
      </c>
      <c r="J732" s="448" t="s">
        <v>320</v>
      </c>
      <c r="K732" s="263">
        <v>1</v>
      </c>
      <c r="L732" s="391">
        <v>14</v>
      </c>
      <c r="M732" s="399" t="s">
        <v>33</v>
      </c>
      <c r="N732" s="475">
        <v>1</v>
      </c>
      <c r="O732" s="391">
        <v>0</v>
      </c>
      <c r="P732" s="496">
        <f t="shared" si="114"/>
        <v>0</v>
      </c>
      <c r="Q732" s="445" t="s">
        <v>52</v>
      </c>
      <c r="R732" s="391">
        <v>14</v>
      </c>
      <c r="S732" s="362">
        <f t="shared" si="108"/>
        <v>14</v>
      </c>
      <c r="T732" s="368">
        <v>14</v>
      </c>
      <c r="U732" s="368"/>
      <c r="V732" s="368"/>
      <c r="W732" s="368"/>
      <c r="X732" s="364">
        <f t="shared" ref="X732:X796" si="117">IF((S732=0),0,((T732+U732)/S732*100%))</f>
        <v>1</v>
      </c>
      <c r="Y732" s="393"/>
      <c r="Z732" s="498">
        <f t="shared" si="115"/>
        <v>0</v>
      </c>
      <c r="AA732" s="368"/>
      <c r="AB732" s="368"/>
      <c r="AC732" s="368"/>
      <c r="AD732" s="368"/>
      <c r="AE732" s="365">
        <f t="shared" si="116"/>
        <v>0</v>
      </c>
      <c r="AF732" s="262"/>
      <c r="AG732" s="457"/>
      <c r="AH732" s="264"/>
    </row>
    <row r="733" spans="1:34" ht="15.75" thickBot="1" x14ac:dyDescent="0.3">
      <c r="A733" s="458" t="s">
        <v>1627</v>
      </c>
      <c r="B733" s="470" t="s">
        <v>1619</v>
      </c>
      <c r="C733" s="463" t="s">
        <v>651</v>
      </c>
      <c r="D733" s="449" t="s">
        <v>431</v>
      </c>
      <c r="E733" s="262"/>
      <c r="F733" s="470" t="s">
        <v>1628</v>
      </c>
      <c r="G733" s="387" t="e">
        <f>VLOOKUP(A733,'Feature Summary'!$A$7:$C$3944,3,FALSE)</f>
        <v>#N/A</v>
      </c>
      <c r="H733" s="447" t="s">
        <v>1629</v>
      </c>
      <c r="I733" s="488" t="s">
        <v>264</v>
      </c>
      <c r="J733" s="448" t="s">
        <v>320</v>
      </c>
      <c r="K733" s="263">
        <v>1</v>
      </c>
      <c r="L733" s="391">
        <v>14</v>
      </c>
      <c r="M733" s="399" t="s">
        <v>33</v>
      </c>
      <c r="N733" s="475">
        <v>1</v>
      </c>
      <c r="O733" s="391">
        <v>0</v>
      </c>
      <c r="P733" s="496">
        <f t="shared" si="114"/>
        <v>0</v>
      </c>
      <c r="Q733" s="445" t="s">
        <v>52</v>
      </c>
      <c r="R733" s="391">
        <v>14</v>
      </c>
      <c r="S733" s="362">
        <f t="shared" ref="S733:S797" si="118">SUM(T733:W733)</f>
        <v>14</v>
      </c>
      <c r="T733" s="368">
        <v>14</v>
      </c>
      <c r="U733" s="368"/>
      <c r="V733" s="368"/>
      <c r="W733" s="368"/>
      <c r="X733" s="364">
        <f t="shared" si="117"/>
        <v>1</v>
      </c>
      <c r="Y733" s="393"/>
      <c r="Z733" s="498">
        <f t="shared" si="115"/>
        <v>0</v>
      </c>
      <c r="AA733" s="368"/>
      <c r="AB733" s="368"/>
      <c r="AC733" s="368"/>
      <c r="AD733" s="368"/>
      <c r="AE733" s="365">
        <f t="shared" si="116"/>
        <v>0</v>
      </c>
      <c r="AF733" s="262"/>
      <c r="AG733" s="457"/>
      <c r="AH733" s="264"/>
    </row>
    <row r="734" spans="1:34" ht="30.75" thickBot="1" x14ac:dyDescent="0.3">
      <c r="A734" s="458" t="s">
        <v>1618</v>
      </c>
      <c r="B734" s="470" t="s">
        <v>1619</v>
      </c>
      <c r="C734" s="463" t="s">
        <v>651</v>
      </c>
      <c r="D734" s="449" t="s">
        <v>431</v>
      </c>
      <c r="E734" s="262"/>
      <c r="F734" s="470" t="s">
        <v>1630</v>
      </c>
      <c r="G734" s="387" t="e">
        <f>VLOOKUP(A734,'Feature Summary'!$A$7:$C$3944,3,FALSE)</f>
        <v>#N/A</v>
      </c>
      <c r="H734" s="447" t="s">
        <v>1631</v>
      </c>
      <c r="I734" s="488" t="s">
        <v>264</v>
      </c>
      <c r="J734" s="476" t="s">
        <v>840</v>
      </c>
      <c r="K734" s="263">
        <v>1</v>
      </c>
      <c r="L734" s="391">
        <v>1</v>
      </c>
      <c r="M734" s="399" t="s">
        <v>33</v>
      </c>
      <c r="N734" s="475">
        <v>1</v>
      </c>
      <c r="O734" s="391">
        <v>1</v>
      </c>
      <c r="P734" s="496">
        <f t="shared" si="114"/>
        <v>1</v>
      </c>
      <c r="Q734" s="445" t="s">
        <v>52</v>
      </c>
      <c r="R734" s="391">
        <v>1</v>
      </c>
      <c r="S734" s="362">
        <f t="shared" si="118"/>
        <v>1</v>
      </c>
      <c r="T734" s="368">
        <v>1</v>
      </c>
      <c r="U734" s="368"/>
      <c r="V734" s="368"/>
      <c r="W734" s="368"/>
      <c r="X734" s="364">
        <f t="shared" si="117"/>
        <v>1</v>
      </c>
      <c r="Y734" s="393"/>
      <c r="Z734" s="498">
        <f t="shared" si="115"/>
        <v>0</v>
      </c>
      <c r="AA734" s="368"/>
      <c r="AB734" s="368"/>
      <c r="AC734" s="368"/>
      <c r="AD734" s="368"/>
      <c r="AE734" s="365">
        <f t="shared" si="116"/>
        <v>0</v>
      </c>
      <c r="AF734" s="262"/>
      <c r="AG734" s="457"/>
      <c r="AH734" s="264"/>
    </row>
    <row r="735" spans="1:34" ht="15.75" thickBot="1" x14ac:dyDescent="0.3">
      <c r="A735" s="458" t="s">
        <v>1618</v>
      </c>
      <c r="B735" s="470" t="s">
        <v>1619</v>
      </c>
      <c r="C735" s="463" t="s">
        <v>651</v>
      </c>
      <c r="D735" s="449" t="s">
        <v>431</v>
      </c>
      <c r="E735" s="262"/>
      <c r="F735" s="470" t="s">
        <v>1632</v>
      </c>
      <c r="G735" s="387" t="e">
        <f>VLOOKUP(A735,'Feature Summary'!$A$7:$C$3944,3,FALSE)</f>
        <v>#N/A</v>
      </c>
      <c r="H735" s="447" t="s">
        <v>1633</v>
      </c>
      <c r="I735" s="488" t="s">
        <v>264</v>
      </c>
      <c r="J735" s="476" t="s">
        <v>840</v>
      </c>
      <c r="K735" s="263">
        <v>1</v>
      </c>
      <c r="L735" s="391">
        <v>1</v>
      </c>
      <c r="M735" s="399" t="s">
        <v>33</v>
      </c>
      <c r="N735" s="475">
        <v>1</v>
      </c>
      <c r="O735" s="391">
        <v>1</v>
      </c>
      <c r="P735" s="496">
        <f t="shared" si="114"/>
        <v>1</v>
      </c>
      <c r="Q735" s="445" t="s">
        <v>52</v>
      </c>
      <c r="R735" s="391">
        <v>1</v>
      </c>
      <c r="S735" s="362">
        <f t="shared" si="118"/>
        <v>1</v>
      </c>
      <c r="T735" s="368">
        <v>1</v>
      </c>
      <c r="U735" s="368"/>
      <c r="V735" s="368"/>
      <c r="W735" s="368"/>
      <c r="X735" s="364">
        <f t="shared" si="117"/>
        <v>1</v>
      </c>
      <c r="Y735" s="393"/>
      <c r="Z735" s="498">
        <f t="shared" si="115"/>
        <v>0</v>
      </c>
      <c r="AA735" s="368"/>
      <c r="AB735" s="368"/>
      <c r="AC735" s="368"/>
      <c r="AD735" s="368"/>
      <c r="AE735" s="365">
        <f t="shared" si="116"/>
        <v>0</v>
      </c>
      <c r="AF735" s="262"/>
      <c r="AG735" s="457"/>
      <c r="AH735" s="264"/>
    </row>
    <row r="736" spans="1:34" ht="15.75" thickBot="1" x14ac:dyDescent="0.3">
      <c r="A736" s="458" t="s">
        <v>1618</v>
      </c>
      <c r="B736" s="470" t="s">
        <v>1619</v>
      </c>
      <c r="C736" s="463" t="s">
        <v>651</v>
      </c>
      <c r="D736" s="449" t="s">
        <v>431</v>
      </c>
      <c r="E736" s="262"/>
      <c r="F736" s="470" t="s">
        <v>1634</v>
      </c>
      <c r="G736" s="387" t="e">
        <f>VLOOKUP(A736,'Feature Summary'!$A$7:$C$3944,3,FALSE)</f>
        <v>#N/A</v>
      </c>
      <c r="H736" s="447" t="s">
        <v>1635</v>
      </c>
      <c r="I736" s="488" t="s">
        <v>264</v>
      </c>
      <c r="J736" s="448" t="s">
        <v>845</v>
      </c>
      <c r="K736" s="263">
        <v>1</v>
      </c>
      <c r="L736" s="391">
        <v>1</v>
      </c>
      <c r="M736" s="399" t="s">
        <v>33</v>
      </c>
      <c r="N736" s="475">
        <v>1</v>
      </c>
      <c r="O736" s="391">
        <v>1</v>
      </c>
      <c r="P736" s="496">
        <f t="shared" si="114"/>
        <v>1</v>
      </c>
      <c r="Q736" s="445" t="s">
        <v>52</v>
      </c>
      <c r="R736" s="391">
        <v>1</v>
      </c>
      <c r="S736" s="362">
        <f t="shared" si="118"/>
        <v>1</v>
      </c>
      <c r="T736" s="368">
        <v>1</v>
      </c>
      <c r="U736" s="368"/>
      <c r="V736" s="368"/>
      <c r="W736" s="368"/>
      <c r="X736" s="364">
        <f t="shared" si="117"/>
        <v>1</v>
      </c>
      <c r="Y736" s="393"/>
      <c r="Z736" s="498">
        <f t="shared" si="115"/>
        <v>0</v>
      </c>
      <c r="AA736" s="368"/>
      <c r="AB736" s="368"/>
      <c r="AC736" s="368"/>
      <c r="AD736" s="368"/>
      <c r="AE736" s="365">
        <f t="shared" si="116"/>
        <v>0</v>
      </c>
      <c r="AF736" s="262"/>
      <c r="AG736" s="457"/>
      <c r="AH736" s="264"/>
    </row>
    <row r="737" spans="1:34" ht="15.75" thickBot="1" x14ac:dyDescent="0.3">
      <c r="A737" s="458" t="s">
        <v>1618</v>
      </c>
      <c r="B737" s="470" t="s">
        <v>1619</v>
      </c>
      <c r="C737" s="463" t="s">
        <v>651</v>
      </c>
      <c r="D737" s="449" t="s">
        <v>431</v>
      </c>
      <c r="E737" s="262"/>
      <c r="F737" s="470" t="s">
        <v>1636</v>
      </c>
      <c r="G737" s="387" t="e">
        <f>VLOOKUP(A737,'Feature Summary'!$A$7:$C$3944,3,FALSE)</f>
        <v>#N/A</v>
      </c>
      <c r="H737" s="447" t="s">
        <v>1637</v>
      </c>
      <c r="I737" s="488" t="s">
        <v>264</v>
      </c>
      <c r="J737" s="448" t="s">
        <v>1638</v>
      </c>
      <c r="K737" s="263">
        <v>1</v>
      </c>
      <c r="L737" s="391">
        <v>1</v>
      </c>
      <c r="M737" s="399" t="s">
        <v>33</v>
      </c>
      <c r="N737" s="475">
        <v>1</v>
      </c>
      <c r="O737" s="391">
        <v>1</v>
      </c>
      <c r="P737" s="496">
        <f t="shared" si="114"/>
        <v>1</v>
      </c>
      <c r="Q737" s="445" t="s">
        <v>52</v>
      </c>
      <c r="R737" s="391">
        <v>1</v>
      </c>
      <c r="S737" s="362">
        <f t="shared" si="118"/>
        <v>1</v>
      </c>
      <c r="T737" s="368">
        <v>1</v>
      </c>
      <c r="U737" s="368"/>
      <c r="V737" s="368"/>
      <c r="W737" s="368"/>
      <c r="X737" s="364">
        <f t="shared" si="117"/>
        <v>1</v>
      </c>
      <c r="Y737" s="393"/>
      <c r="Z737" s="498">
        <f t="shared" si="115"/>
        <v>0</v>
      </c>
      <c r="AA737" s="368"/>
      <c r="AB737" s="368"/>
      <c r="AC737" s="368"/>
      <c r="AD737" s="368"/>
      <c r="AE737" s="365">
        <f t="shared" si="116"/>
        <v>0</v>
      </c>
      <c r="AF737" s="262"/>
      <c r="AG737" s="457"/>
      <c r="AH737" s="264"/>
    </row>
    <row r="738" spans="1:34" ht="30.75" thickBot="1" x14ac:dyDescent="0.3">
      <c r="A738" s="458" t="s">
        <v>1618</v>
      </c>
      <c r="B738" s="470" t="s">
        <v>1619</v>
      </c>
      <c r="C738" s="463" t="s">
        <v>651</v>
      </c>
      <c r="D738" s="449" t="s">
        <v>431</v>
      </c>
      <c r="E738" s="262"/>
      <c r="F738" s="447" t="s">
        <v>1639</v>
      </c>
      <c r="G738" s="387" t="e">
        <f>VLOOKUP(A738,'Feature Summary'!$A$7:$C$3944,3,FALSE)</f>
        <v>#N/A</v>
      </c>
      <c r="H738" s="447" t="s">
        <v>1640</v>
      </c>
      <c r="I738" s="488" t="s">
        <v>264</v>
      </c>
      <c r="J738" s="448" t="s">
        <v>281</v>
      </c>
      <c r="K738" s="263">
        <v>1</v>
      </c>
      <c r="L738" s="391">
        <v>1</v>
      </c>
      <c r="M738" s="399" t="s">
        <v>33</v>
      </c>
      <c r="N738" s="475">
        <v>1</v>
      </c>
      <c r="O738" s="391">
        <v>1</v>
      </c>
      <c r="P738" s="496">
        <f t="shared" si="114"/>
        <v>1</v>
      </c>
      <c r="Q738" s="445" t="s">
        <v>52</v>
      </c>
      <c r="R738" s="391">
        <v>1</v>
      </c>
      <c r="S738" s="362">
        <f t="shared" si="118"/>
        <v>1</v>
      </c>
      <c r="T738" s="368">
        <v>1</v>
      </c>
      <c r="U738" s="368"/>
      <c r="V738" s="368"/>
      <c r="W738" s="368"/>
      <c r="X738" s="364">
        <f t="shared" si="117"/>
        <v>1</v>
      </c>
      <c r="Y738" s="393"/>
      <c r="Z738" s="498">
        <f t="shared" si="115"/>
        <v>0</v>
      </c>
      <c r="AA738" s="368"/>
      <c r="AB738" s="368"/>
      <c r="AC738" s="368"/>
      <c r="AD738" s="368"/>
      <c r="AE738" s="365">
        <f t="shared" si="116"/>
        <v>0</v>
      </c>
      <c r="AF738" s="262"/>
      <c r="AG738" s="457"/>
      <c r="AH738" s="264"/>
    </row>
    <row r="739" spans="1:34" ht="30.75" thickBot="1" x14ac:dyDescent="0.3">
      <c r="A739" s="458" t="s">
        <v>1618</v>
      </c>
      <c r="B739" s="470" t="s">
        <v>1619</v>
      </c>
      <c r="C739" s="463" t="s">
        <v>651</v>
      </c>
      <c r="D739" s="449" t="s">
        <v>431</v>
      </c>
      <c r="E739" s="262"/>
      <c r="F739" s="447" t="s">
        <v>1641</v>
      </c>
      <c r="G739" s="387" t="e">
        <f>VLOOKUP(A739,'Feature Summary'!$A$7:$C$3944,3,FALSE)</f>
        <v>#N/A</v>
      </c>
      <c r="H739" s="447" t="s">
        <v>1642</v>
      </c>
      <c r="I739" s="488" t="s">
        <v>264</v>
      </c>
      <c r="J739" s="448" t="s">
        <v>281</v>
      </c>
      <c r="K739" s="263">
        <v>1</v>
      </c>
      <c r="L739" s="391">
        <v>1</v>
      </c>
      <c r="M739" s="399" t="s">
        <v>33</v>
      </c>
      <c r="N739" s="475">
        <v>1</v>
      </c>
      <c r="O739" s="391">
        <v>1</v>
      </c>
      <c r="P739" s="496">
        <f t="shared" si="114"/>
        <v>1</v>
      </c>
      <c r="Q739" s="445" t="s">
        <v>52</v>
      </c>
      <c r="R739" s="391">
        <v>1</v>
      </c>
      <c r="S739" s="362">
        <f t="shared" si="118"/>
        <v>1</v>
      </c>
      <c r="T739" s="368">
        <v>1</v>
      </c>
      <c r="U739" s="368"/>
      <c r="V739" s="368"/>
      <c r="W739" s="368"/>
      <c r="X739" s="364">
        <f t="shared" si="117"/>
        <v>1</v>
      </c>
      <c r="Y739" s="393"/>
      <c r="Z739" s="498">
        <f t="shared" si="115"/>
        <v>0</v>
      </c>
      <c r="AA739" s="368"/>
      <c r="AB739" s="368"/>
      <c r="AC739" s="368"/>
      <c r="AD739" s="368"/>
      <c r="AE739" s="365">
        <f t="shared" si="116"/>
        <v>0</v>
      </c>
      <c r="AF739" s="262"/>
      <c r="AG739" s="457"/>
      <c r="AH739" s="264"/>
    </row>
    <row r="740" spans="1:34" ht="30.75" thickBot="1" x14ac:dyDescent="0.3">
      <c r="A740" s="458" t="s">
        <v>1618</v>
      </c>
      <c r="B740" s="470" t="s">
        <v>1619</v>
      </c>
      <c r="C740" s="463" t="s">
        <v>651</v>
      </c>
      <c r="D740" s="449" t="s">
        <v>431</v>
      </c>
      <c r="E740" s="262"/>
      <c r="F740" s="470" t="s">
        <v>1643</v>
      </c>
      <c r="G740" s="387" t="e">
        <f>VLOOKUP(A740,'Feature Summary'!$A$7:$C$3944,3,FALSE)</f>
        <v>#N/A</v>
      </c>
      <c r="H740" s="447" t="s">
        <v>1644</v>
      </c>
      <c r="I740" s="488" t="s">
        <v>264</v>
      </c>
      <c r="J740" s="448" t="s">
        <v>281</v>
      </c>
      <c r="K740" s="263">
        <v>1</v>
      </c>
      <c r="L740" s="391">
        <v>1</v>
      </c>
      <c r="M740" s="399" t="s">
        <v>33</v>
      </c>
      <c r="N740" s="475">
        <v>1</v>
      </c>
      <c r="O740" s="391">
        <v>1</v>
      </c>
      <c r="P740" s="496">
        <f t="shared" si="114"/>
        <v>1</v>
      </c>
      <c r="Q740" s="445" t="s">
        <v>52</v>
      </c>
      <c r="R740" s="391">
        <v>1</v>
      </c>
      <c r="S740" s="362">
        <f t="shared" si="118"/>
        <v>1</v>
      </c>
      <c r="T740" s="368">
        <v>1</v>
      </c>
      <c r="U740" s="368"/>
      <c r="V740" s="368"/>
      <c r="W740" s="368"/>
      <c r="X740" s="364">
        <f t="shared" si="117"/>
        <v>1</v>
      </c>
      <c r="Y740" s="393"/>
      <c r="Z740" s="498">
        <f t="shared" si="115"/>
        <v>0</v>
      </c>
      <c r="AA740" s="368"/>
      <c r="AB740" s="368"/>
      <c r="AC740" s="368"/>
      <c r="AD740" s="368"/>
      <c r="AE740" s="365">
        <f t="shared" si="116"/>
        <v>0</v>
      </c>
      <c r="AF740" s="262"/>
      <c r="AG740" s="457"/>
      <c r="AH740" s="264"/>
    </row>
    <row r="741" spans="1:34" ht="30.75" thickBot="1" x14ac:dyDescent="0.3">
      <c r="A741" s="458" t="s">
        <v>1618</v>
      </c>
      <c r="B741" s="470" t="s">
        <v>1619</v>
      </c>
      <c r="C741" s="463" t="s">
        <v>651</v>
      </c>
      <c r="D741" s="449" t="s">
        <v>431</v>
      </c>
      <c r="E741" s="262"/>
      <c r="F741" s="470" t="s">
        <v>1645</v>
      </c>
      <c r="G741" s="387" t="e">
        <f>VLOOKUP(A741,'Feature Summary'!$A$7:$C$3944,3,FALSE)</f>
        <v>#N/A</v>
      </c>
      <c r="H741" s="447" t="s">
        <v>1646</v>
      </c>
      <c r="I741" s="488" t="s">
        <v>264</v>
      </c>
      <c r="J741" s="448" t="s">
        <v>281</v>
      </c>
      <c r="K741" s="263">
        <v>1</v>
      </c>
      <c r="L741" s="391">
        <v>1</v>
      </c>
      <c r="M741" s="399" t="s">
        <v>33</v>
      </c>
      <c r="N741" s="475">
        <v>1</v>
      </c>
      <c r="O741" s="391">
        <v>1</v>
      </c>
      <c r="P741" s="496">
        <f t="shared" si="114"/>
        <v>1</v>
      </c>
      <c r="Q741" s="445" t="s">
        <v>52</v>
      </c>
      <c r="R741" s="391">
        <v>1</v>
      </c>
      <c r="S741" s="362">
        <f t="shared" si="118"/>
        <v>1</v>
      </c>
      <c r="T741" s="368">
        <v>1</v>
      </c>
      <c r="U741" s="368"/>
      <c r="V741" s="368"/>
      <c r="W741" s="368"/>
      <c r="X741" s="364">
        <f t="shared" si="117"/>
        <v>1</v>
      </c>
      <c r="Y741" s="393"/>
      <c r="Z741" s="498">
        <f t="shared" si="115"/>
        <v>0</v>
      </c>
      <c r="AA741" s="368"/>
      <c r="AB741" s="368"/>
      <c r="AC741" s="368"/>
      <c r="AD741" s="368"/>
      <c r="AE741" s="365">
        <f t="shared" si="116"/>
        <v>0</v>
      </c>
      <c r="AF741" s="262"/>
      <c r="AG741" s="457"/>
      <c r="AH741" s="264"/>
    </row>
    <row r="742" spans="1:34" ht="30.75" thickBot="1" x14ac:dyDescent="0.3">
      <c r="A742" s="458" t="s">
        <v>1618</v>
      </c>
      <c r="B742" s="470" t="s">
        <v>1619</v>
      </c>
      <c r="C742" s="463" t="s">
        <v>651</v>
      </c>
      <c r="D742" s="449" t="s">
        <v>431</v>
      </c>
      <c r="E742" s="262"/>
      <c r="F742" s="470" t="s">
        <v>1647</v>
      </c>
      <c r="G742" s="387" t="e">
        <f>VLOOKUP(A742,'Feature Summary'!$A$7:$C$3944,3,FALSE)</f>
        <v>#N/A</v>
      </c>
      <c r="H742" s="447" t="s">
        <v>1648</v>
      </c>
      <c r="I742" s="488" t="s">
        <v>264</v>
      </c>
      <c r="J742" s="448" t="s">
        <v>320</v>
      </c>
      <c r="K742" s="263">
        <v>1</v>
      </c>
      <c r="L742" s="391">
        <v>1</v>
      </c>
      <c r="M742" s="399" t="s">
        <v>33</v>
      </c>
      <c r="N742" s="475">
        <v>1</v>
      </c>
      <c r="O742" s="391">
        <v>1</v>
      </c>
      <c r="P742" s="496">
        <f t="shared" si="114"/>
        <v>1</v>
      </c>
      <c r="Q742" s="445" t="s">
        <v>52</v>
      </c>
      <c r="R742" s="391">
        <v>1</v>
      </c>
      <c r="S742" s="362">
        <f t="shared" si="118"/>
        <v>1</v>
      </c>
      <c r="T742" s="368">
        <v>1</v>
      </c>
      <c r="U742" s="368"/>
      <c r="V742" s="368"/>
      <c r="W742" s="368"/>
      <c r="X742" s="364">
        <f t="shared" si="117"/>
        <v>1</v>
      </c>
      <c r="Y742" s="393"/>
      <c r="Z742" s="498">
        <f t="shared" si="115"/>
        <v>0</v>
      </c>
      <c r="AA742" s="368"/>
      <c r="AB742" s="368"/>
      <c r="AC742" s="368"/>
      <c r="AD742" s="368"/>
      <c r="AE742" s="365">
        <f t="shared" si="116"/>
        <v>0</v>
      </c>
      <c r="AF742" s="262"/>
      <c r="AG742" s="457"/>
      <c r="AH742" s="264"/>
    </row>
    <row r="743" spans="1:34" ht="30.75" thickBot="1" x14ac:dyDescent="0.3">
      <c r="A743" s="458" t="s">
        <v>1618</v>
      </c>
      <c r="B743" s="470" t="s">
        <v>1619</v>
      </c>
      <c r="C743" s="463" t="s">
        <v>651</v>
      </c>
      <c r="D743" s="449" t="s">
        <v>431</v>
      </c>
      <c r="E743" s="262"/>
      <c r="F743" s="470" t="s">
        <v>1649</v>
      </c>
      <c r="G743" s="387" t="e">
        <f>VLOOKUP(A743,'Feature Summary'!$A$7:$C$3944,3,FALSE)</f>
        <v>#N/A</v>
      </c>
      <c r="H743" s="447" t="s">
        <v>1650</v>
      </c>
      <c r="I743" s="488" t="s">
        <v>264</v>
      </c>
      <c r="J743" s="448" t="s">
        <v>320</v>
      </c>
      <c r="K743" s="263">
        <v>1</v>
      </c>
      <c r="L743" s="391">
        <v>1</v>
      </c>
      <c r="M743" s="399" t="s">
        <v>33</v>
      </c>
      <c r="N743" s="475">
        <v>1</v>
      </c>
      <c r="O743" s="391">
        <v>1</v>
      </c>
      <c r="P743" s="496">
        <f t="shared" si="114"/>
        <v>1</v>
      </c>
      <c r="Q743" s="445" t="s">
        <v>52</v>
      </c>
      <c r="R743" s="391">
        <v>1</v>
      </c>
      <c r="S743" s="362">
        <f t="shared" si="118"/>
        <v>1</v>
      </c>
      <c r="T743" s="368">
        <v>1</v>
      </c>
      <c r="U743" s="368"/>
      <c r="V743" s="368"/>
      <c r="W743" s="368"/>
      <c r="X743" s="364">
        <f t="shared" si="117"/>
        <v>1</v>
      </c>
      <c r="Y743" s="393"/>
      <c r="Z743" s="498">
        <f t="shared" si="115"/>
        <v>0</v>
      </c>
      <c r="AA743" s="368"/>
      <c r="AB743" s="368"/>
      <c r="AC743" s="368"/>
      <c r="AD743" s="368"/>
      <c r="AE743" s="365">
        <f t="shared" si="116"/>
        <v>0</v>
      </c>
      <c r="AF743" s="262"/>
      <c r="AG743" s="457"/>
      <c r="AH743" s="264"/>
    </row>
    <row r="744" spans="1:34" ht="30.75" thickBot="1" x14ac:dyDescent="0.3">
      <c r="A744" s="458" t="s">
        <v>1618</v>
      </c>
      <c r="B744" s="470" t="s">
        <v>1619</v>
      </c>
      <c r="C744" s="463" t="s">
        <v>651</v>
      </c>
      <c r="D744" s="449" t="s">
        <v>431</v>
      </c>
      <c r="E744" s="262"/>
      <c r="F744" s="470" t="s">
        <v>1651</v>
      </c>
      <c r="G744" s="387" t="e">
        <f>VLOOKUP(A744,'Feature Summary'!$A$7:$C$3944,3,FALSE)</f>
        <v>#N/A</v>
      </c>
      <c r="H744" s="447" t="s">
        <v>1652</v>
      </c>
      <c r="I744" s="488" t="s">
        <v>264</v>
      </c>
      <c r="J744" s="476" t="s">
        <v>840</v>
      </c>
      <c r="K744" s="263">
        <v>1</v>
      </c>
      <c r="L744" s="391">
        <v>1</v>
      </c>
      <c r="M744" s="399" t="s">
        <v>33</v>
      </c>
      <c r="N744" s="475">
        <v>1</v>
      </c>
      <c r="O744" s="391">
        <v>1</v>
      </c>
      <c r="P744" s="496">
        <f>IF((O744=0),0,(O744/L744))</f>
        <v>1</v>
      </c>
      <c r="Q744" s="445" t="s">
        <v>52</v>
      </c>
      <c r="R744" s="391">
        <v>1</v>
      </c>
      <c r="S744" s="362">
        <f t="shared" si="118"/>
        <v>1</v>
      </c>
      <c r="T744" s="368">
        <v>1</v>
      </c>
      <c r="U744" s="368"/>
      <c r="V744" s="368"/>
      <c r="W744" s="368"/>
      <c r="X744" s="364">
        <f t="shared" si="117"/>
        <v>1</v>
      </c>
      <c r="Y744" s="393"/>
      <c r="Z744" s="498">
        <f t="shared" si="115"/>
        <v>0</v>
      </c>
      <c r="AA744" s="368"/>
      <c r="AB744" s="368"/>
      <c r="AC744" s="368"/>
      <c r="AD744" s="368"/>
      <c r="AE744" s="365">
        <f t="shared" si="116"/>
        <v>0</v>
      </c>
      <c r="AF744" s="262"/>
      <c r="AG744" s="457"/>
      <c r="AH744" s="264"/>
    </row>
    <row r="745" spans="1:34" ht="30.75" thickBot="1" x14ac:dyDescent="0.3">
      <c r="A745" s="458" t="s">
        <v>1618</v>
      </c>
      <c r="B745" s="470" t="s">
        <v>1619</v>
      </c>
      <c r="C745" s="463" t="s">
        <v>651</v>
      </c>
      <c r="D745" s="449" t="s">
        <v>431</v>
      </c>
      <c r="E745" s="262"/>
      <c r="F745" s="470" t="s">
        <v>1653</v>
      </c>
      <c r="G745" s="387" t="e">
        <f>VLOOKUP(A745,'Feature Summary'!$A$7:$C$3944,3,FALSE)</f>
        <v>#N/A</v>
      </c>
      <c r="H745" s="447" t="s">
        <v>1654</v>
      </c>
      <c r="I745" s="488" t="s">
        <v>264</v>
      </c>
      <c r="J745" s="476" t="s">
        <v>840</v>
      </c>
      <c r="K745" s="263">
        <v>1</v>
      </c>
      <c r="L745" s="391">
        <v>1</v>
      </c>
      <c r="M745" s="399" t="s">
        <v>33</v>
      </c>
      <c r="N745" s="475">
        <v>1</v>
      </c>
      <c r="O745" s="391">
        <v>1</v>
      </c>
      <c r="P745" s="496">
        <f>IF((O745=0),0,(O745/L745))</f>
        <v>1</v>
      </c>
      <c r="Q745" s="445" t="s">
        <v>52</v>
      </c>
      <c r="R745" s="391">
        <v>1</v>
      </c>
      <c r="S745" s="362">
        <f t="shared" si="118"/>
        <v>1</v>
      </c>
      <c r="T745" s="368">
        <v>1</v>
      </c>
      <c r="U745" s="368"/>
      <c r="V745" s="368"/>
      <c r="W745" s="368"/>
      <c r="X745" s="364">
        <f t="shared" si="117"/>
        <v>1</v>
      </c>
      <c r="Y745" s="393"/>
      <c r="Z745" s="498">
        <f t="shared" si="115"/>
        <v>0</v>
      </c>
      <c r="AA745" s="368"/>
      <c r="AB745" s="368"/>
      <c r="AC745" s="368"/>
      <c r="AD745" s="368"/>
      <c r="AE745" s="365">
        <f t="shared" si="116"/>
        <v>0</v>
      </c>
      <c r="AF745" s="262"/>
      <c r="AG745" s="457"/>
      <c r="AH745" s="264"/>
    </row>
    <row r="746" spans="1:34" ht="30.75" thickBot="1" x14ac:dyDescent="0.3">
      <c r="A746" s="458"/>
      <c r="B746" s="470" t="s">
        <v>1619</v>
      </c>
      <c r="C746" s="463" t="s">
        <v>44</v>
      </c>
      <c r="D746" s="449" t="s">
        <v>431</v>
      </c>
      <c r="E746" s="262"/>
      <c r="F746" s="447" t="s">
        <v>1620</v>
      </c>
      <c r="G746" s="387" t="e">
        <f>VLOOKUP(A746,'Feature Summary'!$A$7:$C$3944,3,FALSE)</f>
        <v>#N/A</v>
      </c>
      <c r="H746" s="447" t="s">
        <v>1655</v>
      </c>
      <c r="I746" s="447"/>
      <c r="J746" s="448" t="s">
        <v>297</v>
      </c>
      <c r="K746" s="263"/>
      <c r="L746" s="391"/>
      <c r="M746" s="399" t="s">
        <v>33</v>
      </c>
      <c r="N746" s="475">
        <v>1</v>
      </c>
      <c r="O746" s="391"/>
      <c r="P746" s="496">
        <f t="shared" ref="P746:P750" si="119">IF((O746=0),0,(O746/L746))</f>
        <v>0</v>
      </c>
      <c r="Q746" s="445" t="s">
        <v>52</v>
      </c>
      <c r="R746" s="391"/>
      <c r="S746" s="362">
        <f t="shared" si="118"/>
        <v>0</v>
      </c>
      <c r="T746" s="368"/>
      <c r="U746" s="368"/>
      <c r="V746" s="368"/>
      <c r="W746" s="368"/>
      <c r="X746" s="364">
        <f t="shared" si="117"/>
        <v>0</v>
      </c>
      <c r="Y746" s="393"/>
      <c r="Z746" s="498">
        <f t="shared" si="115"/>
        <v>0</v>
      </c>
      <c r="AA746" s="368"/>
      <c r="AB746" s="368"/>
      <c r="AC746" s="368"/>
      <c r="AD746" s="368"/>
      <c r="AE746" s="365">
        <f t="shared" si="116"/>
        <v>0</v>
      </c>
      <c r="AF746" s="262"/>
      <c r="AG746" s="457"/>
      <c r="AH746" s="264"/>
    </row>
    <row r="747" spans="1:34" ht="30.75" thickBot="1" x14ac:dyDescent="0.3">
      <c r="A747" s="458"/>
      <c r="B747" s="470" t="s">
        <v>1619</v>
      </c>
      <c r="C747" s="463" t="s">
        <v>44</v>
      </c>
      <c r="D747" s="449" t="s">
        <v>431</v>
      </c>
      <c r="E747" s="262"/>
      <c r="F747" s="470" t="s">
        <v>1623</v>
      </c>
      <c r="G747" s="387" t="e">
        <f>VLOOKUP(A747,'Feature Summary'!$A$7:$C$3944,3,FALSE)</f>
        <v>#N/A</v>
      </c>
      <c r="H747" s="447" t="s">
        <v>1656</v>
      </c>
      <c r="I747" s="447"/>
      <c r="J747" s="448" t="s">
        <v>328</v>
      </c>
      <c r="K747" s="263"/>
      <c r="L747" s="391"/>
      <c r="M747" s="399" t="s">
        <v>33</v>
      </c>
      <c r="N747" s="475">
        <v>1</v>
      </c>
      <c r="O747" s="391"/>
      <c r="P747" s="496">
        <f t="shared" si="119"/>
        <v>0</v>
      </c>
      <c r="Q747" s="445" t="s">
        <v>52</v>
      </c>
      <c r="R747" s="391"/>
      <c r="S747" s="362">
        <f t="shared" si="118"/>
        <v>0</v>
      </c>
      <c r="T747" s="368"/>
      <c r="U747" s="368"/>
      <c r="V747" s="368"/>
      <c r="W747" s="368"/>
      <c r="X747" s="364">
        <f t="shared" si="117"/>
        <v>0</v>
      </c>
      <c r="Y747" s="393"/>
      <c r="Z747" s="498">
        <f t="shared" si="115"/>
        <v>0</v>
      </c>
      <c r="AA747" s="368"/>
      <c r="AB747" s="368"/>
      <c r="AC747" s="368"/>
      <c r="AD747" s="368"/>
      <c r="AE747" s="365">
        <f t="shared" si="116"/>
        <v>0</v>
      </c>
      <c r="AF747" s="262"/>
      <c r="AG747" s="457"/>
      <c r="AH747" s="264"/>
    </row>
    <row r="748" spans="1:34" ht="30.75" thickBot="1" x14ac:dyDescent="0.3">
      <c r="A748" s="458"/>
      <c r="B748" s="470" t="s">
        <v>1619</v>
      </c>
      <c r="C748" s="463" t="s">
        <v>44</v>
      </c>
      <c r="D748" s="449" t="s">
        <v>431</v>
      </c>
      <c r="E748" s="262"/>
      <c r="F748" s="470" t="s">
        <v>1623</v>
      </c>
      <c r="G748" s="387" t="e">
        <f>VLOOKUP(A748,'Feature Summary'!$A$7:$C$3944,3,FALSE)</f>
        <v>#N/A</v>
      </c>
      <c r="H748" s="447" t="s">
        <v>1657</v>
      </c>
      <c r="I748" s="447"/>
      <c r="J748" s="448" t="s">
        <v>297</v>
      </c>
      <c r="K748" s="263"/>
      <c r="L748" s="391"/>
      <c r="M748" s="399" t="s">
        <v>33</v>
      </c>
      <c r="N748" s="475">
        <v>1</v>
      </c>
      <c r="O748" s="391"/>
      <c r="P748" s="496">
        <f t="shared" si="119"/>
        <v>0</v>
      </c>
      <c r="Q748" s="445" t="s">
        <v>52</v>
      </c>
      <c r="R748" s="391"/>
      <c r="S748" s="362">
        <f t="shared" si="118"/>
        <v>0</v>
      </c>
      <c r="T748" s="368"/>
      <c r="U748" s="368"/>
      <c r="V748" s="368"/>
      <c r="W748" s="368"/>
      <c r="X748" s="364">
        <f t="shared" si="117"/>
        <v>0</v>
      </c>
      <c r="Y748" s="393"/>
      <c r="Z748" s="498">
        <f t="shared" si="115"/>
        <v>0</v>
      </c>
      <c r="AA748" s="368"/>
      <c r="AB748" s="368"/>
      <c r="AC748" s="368"/>
      <c r="AD748" s="368"/>
      <c r="AE748" s="365">
        <f t="shared" si="116"/>
        <v>0</v>
      </c>
      <c r="AF748" s="262"/>
      <c r="AG748" s="457"/>
      <c r="AH748" s="264"/>
    </row>
    <row r="749" spans="1:34" ht="30.75" thickBot="1" x14ac:dyDescent="0.3">
      <c r="A749" s="458"/>
      <c r="B749" s="470" t="s">
        <v>1619</v>
      </c>
      <c r="C749" s="463" t="s">
        <v>44</v>
      </c>
      <c r="D749" s="449" t="s">
        <v>431</v>
      </c>
      <c r="E749" s="262"/>
      <c r="F749" s="470" t="s">
        <v>1623</v>
      </c>
      <c r="G749" s="387" t="e">
        <f>VLOOKUP(A749,'Feature Summary'!$A$7:$C$3944,3,FALSE)</f>
        <v>#N/A</v>
      </c>
      <c r="H749" s="447" t="s">
        <v>1658</v>
      </c>
      <c r="I749" s="447"/>
      <c r="J749" s="448" t="s">
        <v>303</v>
      </c>
      <c r="K749" s="263"/>
      <c r="L749" s="391"/>
      <c r="M749" s="399" t="s">
        <v>33</v>
      </c>
      <c r="N749" s="475">
        <v>1</v>
      </c>
      <c r="O749" s="391"/>
      <c r="P749" s="496">
        <f t="shared" si="119"/>
        <v>0</v>
      </c>
      <c r="Q749" s="445" t="s">
        <v>52</v>
      </c>
      <c r="R749" s="391"/>
      <c r="S749" s="362">
        <f t="shared" si="118"/>
        <v>0</v>
      </c>
      <c r="T749" s="368"/>
      <c r="U749" s="368"/>
      <c r="V749" s="368"/>
      <c r="W749" s="368"/>
      <c r="X749" s="364">
        <f t="shared" si="117"/>
        <v>0</v>
      </c>
      <c r="Y749" s="393"/>
      <c r="Z749" s="498">
        <f t="shared" si="115"/>
        <v>0</v>
      </c>
      <c r="AA749" s="368"/>
      <c r="AB749" s="368"/>
      <c r="AC749" s="368"/>
      <c r="AD749" s="368"/>
      <c r="AE749" s="365">
        <f t="shared" si="116"/>
        <v>0</v>
      </c>
      <c r="AF749" s="262"/>
      <c r="AG749" s="457"/>
      <c r="AH749" s="264"/>
    </row>
    <row r="750" spans="1:34" ht="189.75" customHeight="1" thickBot="1" x14ac:dyDescent="0.3">
      <c r="A750" s="458"/>
      <c r="B750" s="470" t="s">
        <v>1619</v>
      </c>
      <c r="C750" s="463" t="s">
        <v>44</v>
      </c>
      <c r="D750" s="449" t="s">
        <v>431</v>
      </c>
      <c r="E750" s="262"/>
      <c r="F750" s="470" t="s">
        <v>1625</v>
      </c>
      <c r="G750" s="387" t="e">
        <f>VLOOKUP(A750,'Feature Summary'!$A$7:$C$3944,3,FALSE)</f>
        <v>#N/A</v>
      </c>
      <c r="H750" s="447" t="s">
        <v>1659</v>
      </c>
      <c r="I750" s="447"/>
      <c r="J750" s="448" t="s">
        <v>328</v>
      </c>
      <c r="K750" s="263"/>
      <c r="L750" s="391"/>
      <c r="M750" s="399" t="s">
        <v>33</v>
      </c>
      <c r="N750" s="475">
        <v>1</v>
      </c>
      <c r="O750" s="391"/>
      <c r="P750" s="496">
        <f t="shared" si="119"/>
        <v>0</v>
      </c>
      <c r="Q750" s="445" t="s">
        <v>52</v>
      </c>
      <c r="R750" s="391"/>
      <c r="S750" s="362">
        <f t="shared" si="118"/>
        <v>0</v>
      </c>
      <c r="T750" s="368"/>
      <c r="U750" s="368"/>
      <c r="V750" s="368"/>
      <c r="W750" s="368"/>
      <c r="X750" s="364">
        <f t="shared" si="117"/>
        <v>0</v>
      </c>
      <c r="Y750" s="393"/>
      <c r="Z750" s="498">
        <f t="shared" si="115"/>
        <v>0</v>
      </c>
      <c r="AA750" s="368"/>
      <c r="AB750" s="368"/>
      <c r="AC750" s="368"/>
      <c r="AD750" s="368"/>
      <c r="AE750" s="365">
        <f t="shared" si="116"/>
        <v>0</v>
      </c>
      <c r="AF750" s="558"/>
      <c r="AG750" s="457"/>
      <c r="AH750" s="264"/>
    </row>
    <row r="751" spans="1:34" ht="15.75" thickBot="1" x14ac:dyDescent="0.3">
      <c r="A751" s="458"/>
      <c r="B751" s="470" t="s">
        <v>1619</v>
      </c>
      <c r="C751" s="463" t="s">
        <v>44</v>
      </c>
      <c r="D751" s="449" t="s">
        <v>431</v>
      </c>
      <c r="E751" s="262"/>
      <c r="F751" s="470" t="s">
        <v>1625</v>
      </c>
      <c r="G751" s="387" t="e">
        <f>VLOOKUP(A751,'Feature Summary'!$A$7:$C$3944,3,FALSE)</f>
        <v>#N/A</v>
      </c>
      <c r="H751" s="447" t="s">
        <v>1660</v>
      </c>
      <c r="I751" s="447"/>
      <c r="J751" s="448" t="s">
        <v>297</v>
      </c>
      <c r="K751" s="263"/>
      <c r="L751" s="391"/>
      <c r="M751" s="399" t="s">
        <v>33</v>
      </c>
      <c r="N751" s="475">
        <v>1</v>
      </c>
      <c r="O751" s="391"/>
      <c r="P751" s="496">
        <f>IF((O751=0),0,(O751/L751))</f>
        <v>0</v>
      </c>
      <c r="Q751" s="445" t="s">
        <v>52</v>
      </c>
      <c r="R751" s="391"/>
      <c r="S751" s="362">
        <f t="shared" si="118"/>
        <v>0</v>
      </c>
      <c r="T751" s="368"/>
      <c r="U751" s="368"/>
      <c r="V751" s="368"/>
      <c r="W751" s="368"/>
      <c r="X751" s="364">
        <f t="shared" si="117"/>
        <v>0</v>
      </c>
      <c r="Y751" s="393"/>
      <c r="Z751" s="498">
        <f t="shared" si="115"/>
        <v>0</v>
      </c>
      <c r="AA751" s="368"/>
      <c r="AB751" s="368"/>
      <c r="AC751" s="368"/>
      <c r="AD751" s="368"/>
      <c r="AE751" s="365">
        <f t="shared" si="116"/>
        <v>0</v>
      </c>
      <c r="AF751" s="262"/>
      <c r="AG751" s="457"/>
      <c r="AH751" s="264"/>
    </row>
    <row r="752" spans="1:34" ht="30.75" thickBot="1" x14ac:dyDescent="0.3">
      <c r="A752" s="458"/>
      <c r="B752" s="470" t="s">
        <v>1619</v>
      </c>
      <c r="C752" s="463" t="s">
        <v>44</v>
      </c>
      <c r="D752" s="449" t="s">
        <v>431</v>
      </c>
      <c r="E752" s="262"/>
      <c r="F752" s="470" t="s">
        <v>1625</v>
      </c>
      <c r="G752" s="387" t="e">
        <f>VLOOKUP(A752,'Feature Summary'!$A$7:$C$3944,3,FALSE)</f>
        <v>#N/A</v>
      </c>
      <c r="H752" s="447" t="s">
        <v>1661</v>
      </c>
      <c r="I752" s="447"/>
      <c r="J752" s="448" t="s">
        <v>303</v>
      </c>
      <c r="K752" s="263"/>
      <c r="L752" s="391"/>
      <c r="M752" s="399" t="s">
        <v>33</v>
      </c>
      <c r="N752" s="475">
        <v>1</v>
      </c>
      <c r="O752" s="391"/>
      <c r="P752" s="496">
        <f t="shared" ref="P752:P783" si="120">IF((O752=0),0,(O752/L752))</f>
        <v>0</v>
      </c>
      <c r="Q752" s="445" t="s">
        <v>52</v>
      </c>
      <c r="R752" s="391"/>
      <c r="S752" s="362">
        <f t="shared" si="118"/>
        <v>0</v>
      </c>
      <c r="T752" s="368"/>
      <c r="U752" s="368"/>
      <c r="V752" s="368"/>
      <c r="W752" s="368"/>
      <c r="X752" s="364">
        <f t="shared" si="117"/>
        <v>0</v>
      </c>
      <c r="Y752" s="393"/>
      <c r="Z752" s="498">
        <f t="shared" si="115"/>
        <v>0</v>
      </c>
      <c r="AA752" s="368"/>
      <c r="AB752" s="368"/>
      <c r="AC752" s="368"/>
      <c r="AD752" s="368"/>
      <c r="AE752" s="365">
        <f t="shared" si="116"/>
        <v>0</v>
      </c>
      <c r="AF752" s="262"/>
      <c r="AG752" s="457"/>
      <c r="AH752" s="264"/>
    </row>
    <row r="753" spans="1:34" ht="30.75" thickBot="1" x14ac:dyDescent="0.3">
      <c r="A753" s="458"/>
      <c r="B753" s="470" t="s">
        <v>1619</v>
      </c>
      <c r="C753" s="463" t="s">
        <v>44</v>
      </c>
      <c r="D753" s="449" t="s">
        <v>431</v>
      </c>
      <c r="E753" s="262"/>
      <c r="F753" s="470" t="s">
        <v>1628</v>
      </c>
      <c r="G753" s="387" t="e">
        <f>VLOOKUP(A753,'Feature Summary'!$A$7:$C$3944,3,FALSE)</f>
        <v>#N/A</v>
      </c>
      <c r="H753" s="447" t="s">
        <v>1662</v>
      </c>
      <c r="I753" s="447"/>
      <c r="J753" s="448" t="s">
        <v>328</v>
      </c>
      <c r="K753" s="263"/>
      <c r="L753" s="391"/>
      <c r="M753" s="399" t="s">
        <v>33</v>
      </c>
      <c r="N753" s="475">
        <v>1</v>
      </c>
      <c r="O753" s="391"/>
      <c r="P753" s="496">
        <f t="shared" si="120"/>
        <v>0</v>
      </c>
      <c r="Q753" s="445" t="s">
        <v>52</v>
      </c>
      <c r="R753" s="391"/>
      <c r="S753" s="362">
        <f t="shared" si="118"/>
        <v>0</v>
      </c>
      <c r="T753" s="368"/>
      <c r="U753" s="368"/>
      <c r="V753" s="368"/>
      <c r="W753" s="368"/>
      <c r="X753" s="364">
        <f t="shared" si="117"/>
        <v>0</v>
      </c>
      <c r="Y753" s="393"/>
      <c r="Z753" s="498">
        <f t="shared" si="115"/>
        <v>0</v>
      </c>
      <c r="AA753" s="368"/>
      <c r="AB753" s="368"/>
      <c r="AC753" s="368"/>
      <c r="AD753" s="368"/>
      <c r="AE753" s="365">
        <f t="shared" si="116"/>
        <v>0</v>
      </c>
      <c r="AF753" s="262"/>
      <c r="AG753" s="457"/>
      <c r="AH753" s="264"/>
    </row>
    <row r="754" spans="1:34" ht="15.75" thickBot="1" x14ac:dyDescent="0.3">
      <c r="A754" s="458"/>
      <c r="B754" s="470" t="s">
        <v>1619</v>
      </c>
      <c r="C754" s="463" t="s">
        <v>44</v>
      </c>
      <c r="D754" s="449" t="s">
        <v>431</v>
      </c>
      <c r="E754" s="262"/>
      <c r="F754" s="470" t="s">
        <v>1628</v>
      </c>
      <c r="G754" s="387" t="e">
        <f>VLOOKUP(A754,'Feature Summary'!$A$7:$C$3944,3,FALSE)</f>
        <v>#N/A</v>
      </c>
      <c r="H754" s="447" t="s">
        <v>1663</v>
      </c>
      <c r="I754" s="447"/>
      <c r="J754" s="448" t="s">
        <v>297</v>
      </c>
      <c r="K754" s="263"/>
      <c r="L754" s="391"/>
      <c r="M754" s="399" t="s">
        <v>33</v>
      </c>
      <c r="N754" s="475">
        <v>1</v>
      </c>
      <c r="O754" s="391"/>
      <c r="P754" s="496">
        <f t="shared" si="120"/>
        <v>0</v>
      </c>
      <c r="Q754" s="445" t="s">
        <v>52</v>
      </c>
      <c r="R754" s="391"/>
      <c r="S754" s="362">
        <f t="shared" si="118"/>
        <v>0</v>
      </c>
      <c r="T754" s="368"/>
      <c r="U754" s="368"/>
      <c r="V754" s="368"/>
      <c r="W754" s="368"/>
      <c r="X754" s="364">
        <f t="shared" si="117"/>
        <v>0</v>
      </c>
      <c r="Y754" s="393"/>
      <c r="Z754" s="498">
        <f t="shared" si="115"/>
        <v>0</v>
      </c>
      <c r="AA754" s="368"/>
      <c r="AB754" s="368"/>
      <c r="AC754" s="368"/>
      <c r="AD754" s="368"/>
      <c r="AE754" s="365">
        <f t="shared" si="116"/>
        <v>0</v>
      </c>
      <c r="AF754" s="262"/>
      <c r="AG754" s="457"/>
      <c r="AH754" s="264"/>
    </row>
    <row r="755" spans="1:34" ht="30.75" thickBot="1" x14ac:dyDescent="0.3">
      <c r="A755" s="458"/>
      <c r="B755" s="470" t="s">
        <v>1619</v>
      </c>
      <c r="C755" s="463" t="s">
        <v>44</v>
      </c>
      <c r="D755" s="449" t="s">
        <v>431</v>
      </c>
      <c r="E755" s="262"/>
      <c r="F755" s="470" t="s">
        <v>1630</v>
      </c>
      <c r="G755" s="387" t="e">
        <f>VLOOKUP(A755,'Feature Summary'!$A$7:$C$3944,3,FALSE)</f>
        <v>#N/A</v>
      </c>
      <c r="H755" s="447" t="s">
        <v>1664</v>
      </c>
      <c r="I755" s="447"/>
      <c r="J755" s="476" t="s">
        <v>875</v>
      </c>
      <c r="K755" s="263"/>
      <c r="L755" s="391"/>
      <c r="M755" s="399" t="s">
        <v>33</v>
      </c>
      <c r="N755" s="475">
        <v>1</v>
      </c>
      <c r="O755" s="391"/>
      <c r="P755" s="496">
        <f t="shared" si="120"/>
        <v>0</v>
      </c>
      <c r="Q755" s="445" t="s">
        <v>52</v>
      </c>
      <c r="R755" s="391"/>
      <c r="S755" s="362">
        <f t="shared" si="118"/>
        <v>0</v>
      </c>
      <c r="T755" s="368"/>
      <c r="U755" s="368"/>
      <c r="V755" s="368"/>
      <c r="W755" s="368"/>
      <c r="X755" s="364">
        <f t="shared" si="117"/>
        <v>0</v>
      </c>
      <c r="Y755" s="393"/>
      <c r="Z755" s="498">
        <f t="shared" si="115"/>
        <v>0</v>
      </c>
      <c r="AA755" s="368"/>
      <c r="AB755" s="368"/>
      <c r="AC755" s="368"/>
      <c r="AD755" s="368"/>
      <c r="AE755" s="365">
        <f t="shared" si="116"/>
        <v>0</v>
      </c>
      <c r="AF755" s="262"/>
      <c r="AG755" s="457"/>
      <c r="AH755" s="264"/>
    </row>
    <row r="756" spans="1:34" ht="15.75" thickBot="1" x14ac:dyDescent="0.3">
      <c r="A756" s="458"/>
      <c r="B756" s="470" t="s">
        <v>1619</v>
      </c>
      <c r="C756" s="463" t="s">
        <v>44</v>
      </c>
      <c r="D756" s="449" t="s">
        <v>431</v>
      </c>
      <c r="E756" s="262"/>
      <c r="F756" s="470" t="s">
        <v>1665</v>
      </c>
      <c r="G756" s="387" t="e">
        <f>VLOOKUP(A756,'Feature Summary'!$A$7:$C$3944,3,FALSE)</f>
        <v>#N/A</v>
      </c>
      <c r="H756" s="447" t="s">
        <v>1666</v>
      </c>
      <c r="I756" s="447"/>
      <c r="J756" s="476" t="s">
        <v>875</v>
      </c>
      <c r="K756" s="263"/>
      <c r="L756" s="391"/>
      <c r="M756" s="399" t="s">
        <v>33</v>
      </c>
      <c r="N756" s="475">
        <v>1</v>
      </c>
      <c r="O756" s="391"/>
      <c r="P756" s="496">
        <f t="shared" si="120"/>
        <v>0</v>
      </c>
      <c r="Q756" s="445" t="s">
        <v>52</v>
      </c>
      <c r="R756" s="391"/>
      <c r="S756" s="362">
        <f t="shared" si="118"/>
        <v>0</v>
      </c>
      <c r="T756" s="368"/>
      <c r="U756" s="368"/>
      <c r="V756" s="368"/>
      <c r="W756" s="368"/>
      <c r="X756" s="364">
        <f t="shared" si="117"/>
        <v>0</v>
      </c>
      <c r="Y756" s="393"/>
      <c r="Z756" s="498">
        <f t="shared" si="115"/>
        <v>0</v>
      </c>
      <c r="AA756" s="368"/>
      <c r="AB756" s="368"/>
      <c r="AC756" s="368"/>
      <c r="AD756" s="368"/>
      <c r="AE756" s="365">
        <f t="shared" si="116"/>
        <v>0</v>
      </c>
      <c r="AF756" s="262"/>
      <c r="AG756" s="457"/>
      <c r="AH756" s="264"/>
    </row>
    <row r="757" spans="1:34" ht="30.75" thickBot="1" x14ac:dyDescent="0.3">
      <c r="A757" s="458"/>
      <c r="B757" s="470" t="s">
        <v>1619</v>
      </c>
      <c r="C757" s="463" t="s">
        <v>44</v>
      </c>
      <c r="D757" s="449" t="s">
        <v>431</v>
      </c>
      <c r="E757" s="262"/>
      <c r="F757" s="470" t="s">
        <v>1634</v>
      </c>
      <c r="G757" s="387" t="e">
        <f>VLOOKUP(A757,'Feature Summary'!$A$7:$C$3944,3,FALSE)</f>
        <v>#N/A</v>
      </c>
      <c r="H757" s="447" t="s">
        <v>1667</v>
      </c>
      <c r="I757" s="447"/>
      <c r="J757" s="448" t="s">
        <v>328</v>
      </c>
      <c r="K757" s="263"/>
      <c r="L757" s="391"/>
      <c r="M757" s="399" t="s">
        <v>33</v>
      </c>
      <c r="N757" s="475">
        <v>1</v>
      </c>
      <c r="O757" s="391"/>
      <c r="P757" s="496">
        <f t="shared" si="120"/>
        <v>0</v>
      </c>
      <c r="Q757" s="445" t="s">
        <v>52</v>
      </c>
      <c r="R757" s="391"/>
      <c r="S757" s="362">
        <f t="shared" si="118"/>
        <v>0</v>
      </c>
      <c r="T757" s="368"/>
      <c r="U757" s="368"/>
      <c r="V757" s="368"/>
      <c r="W757" s="368"/>
      <c r="X757" s="364">
        <f t="shared" si="117"/>
        <v>0</v>
      </c>
      <c r="Y757" s="393"/>
      <c r="Z757" s="498">
        <f t="shared" si="115"/>
        <v>0</v>
      </c>
      <c r="AA757" s="368"/>
      <c r="AB757" s="368"/>
      <c r="AC757" s="368"/>
      <c r="AD757" s="368"/>
      <c r="AE757" s="365">
        <f t="shared" si="116"/>
        <v>0</v>
      </c>
      <c r="AF757" s="262"/>
      <c r="AG757" s="457"/>
      <c r="AH757" s="264"/>
    </row>
    <row r="758" spans="1:34" ht="15.75" thickBot="1" x14ac:dyDescent="0.3">
      <c r="A758" s="458"/>
      <c r="B758" s="470" t="s">
        <v>1619</v>
      </c>
      <c r="C758" s="463" t="s">
        <v>44</v>
      </c>
      <c r="D758" s="449" t="s">
        <v>431</v>
      </c>
      <c r="E758" s="262"/>
      <c r="F758" s="470" t="s">
        <v>1634</v>
      </c>
      <c r="G758" s="387" t="e">
        <f>VLOOKUP(A758,'Feature Summary'!$A$7:$C$3944,3,FALSE)</f>
        <v>#N/A</v>
      </c>
      <c r="H758" s="447" t="s">
        <v>1668</v>
      </c>
      <c r="I758" s="447"/>
      <c r="J758" s="448" t="s">
        <v>297</v>
      </c>
      <c r="K758" s="263"/>
      <c r="L758" s="391"/>
      <c r="M758" s="399" t="s">
        <v>33</v>
      </c>
      <c r="N758" s="475">
        <v>1</v>
      </c>
      <c r="O758" s="391"/>
      <c r="P758" s="496">
        <f t="shared" si="120"/>
        <v>0</v>
      </c>
      <c r="Q758" s="445" t="s">
        <v>52</v>
      </c>
      <c r="R758" s="391"/>
      <c r="S758" s="362">
        <f t="shared" si="118"/>
        <v>0</v>
      </c>
      <c r="T758" s="368"/>
      <c r="U758" s="368"/>
      <c r="V758" s="368"/>
      <c r="W758" s="368"/>
      <c r="X758" s="364">
        <f t="shared" si="117"/>
        <v>0</v>
      </c>
      <c r="Y758" s="393"/>
      <c r="Z758" s="498">
        <f t="shared" si="115"/>
        <v>0</v>
      </c>
      <c r="AA758" s="368"/>
      <c r="AB758" s="368"/>
      <c r="AC758" s="368"/>
      <c r="AD758" s="368"/>
      <c r="AE758" s="365">
        <f t="shared" si="116"/>
        <v>0</v>
      </c>
      <c r="AF758" s="262"/>
      <c r="AG758" s="457"/>
      <c r="AH758" s="264"/>
    </row>
    <row r="759" spans="1:34" ht="30.75" thickBot="1" x14ac:dyDescent="0.3">
      <c r="A759" s="458"/>
      <c r="B759" s="470" t="s">
        <v>1619</v>
      </c>
      <c r="C759" s="463" t="s">
        <v>44</v>
      </c>
      <c r="D759" s="449" t="s">
        <v>431</v>
      </c>
      <c r="E759" s="262"/>
      <c r="F759" s="470" t="s">
        <v>1636</v>
      </c>
      <c r="G759" s="387" t="e">
        <f>VLOOKUP(A759,'Feature Summary'!$A$7:$C$3944,3,FALSE)</f>
        <v>#N/A</v>
      </c>
      <c r="H759" s="447" t="s">
        <v>1669</v>
      </c>
      <c r="I759" s="447"/>
      <c r="J759" s="448" t="s">
        <v>328</v>
      </c>
      <c r="K759" s="263"/>
      <c r="L759" s="391"/>
      <c r="M759" s="399" t="s">
        <v>33</v>
      </c>
      <c r="N759" s="475">
        <v>1</v>
      </c>
      <c r="O759" s="391"/>
      <c r="P759" s="496">
        <f t="shared" si="120"/>
        <v>0</v>
      </c>
      <c r="Q759" s="445" t="s">
        <v>52</v>
      </c>
      <c r="R759" s="391"/>
      <c r="S759" s="362">
        <f t="shared" si="118"/>
        <v>0</v>
      </c>
      <c r="T759" s="368"/>
      <c r="U759" s="368"/>
      <c r="V759" s="368"/>
      <c r="W759" s="368"/>
      <c r="X759" s="364">
        <f t="shared" si="117"/>
        <v>0</v>
      </c>
      <c r="Y759" s="393"/>
      <c r="Z759" s="498">
        <f t="shared" si="115"/>
        <v>0</v>
      </c>
      <c r="AA759" s="368"/>
      <c r="AB759" s="368"/>
      <c r="AC759" s="368"/>
      <c r="AD759" s="368"/>
      <c r="AE759" s="365">
        <f t="shared" si="116"/>
        <v>0</v>
      </c>
      <c r="AF759" s="262"/>
      <c r="AG759" s="457"/>
      <c r="AH759" s="264"/>
    </row>
    <row r="760" spans="1:34" ht="15.75" thickBot="1" x14ac:dyDescent="0.3">
      <c r="A760" s="458"/>
      <c r="B760" s="470" t="s">
        <v>1619</v>
      </c>
      <c r="C760" s="463" t="s">
        <v>44</v>
      </c>
      <c r="D760" s="449" t="s">
        <v>431</v>
      </c>
      <c r="E760" s="262"/>
      <c r="F760" s="470" t="s">
        <v>1636</v>
      </c>
      <c r="G760" s="387" t="e">
        <f>VLOOKUP(A760,'Feature Summary'!$A$7:$C$3944,3,FALSE)</f>
        <v>#N/A</v>
      </c>
      <c r="H760" s="447" t="s">
        <v>1670</v>
      </c>
      <c r="I760" s="447"/>
      <c r="J760" s="448" t="s">
        <v>297</v>
      </c>
      <c r="K760" s="263"/>
      <c r="L760" s="391"/>
      <c r="M760" s="399" t="s">
        <v>33</v>
      </c>
      <c r="N760" s="475">
        <v>1</v>
      </c>
      <c r="O760" s="391"/>
      <c r="P760" s="496">
        <f t="shared" si="120"/>
        <v>0</v>
      </c>
      <c r="Q760" s="445" t="s">
        <v>52</v>
      </c>
      <c r="R760" s="391"/>
      <c r="S760" s="362">
        <f t="shared" si="118"/>
        <v>0</v>
      </c>
      <c r="T760" s="368"/>
      <c r="U760" s="368"/>
      <c r="V760" s="368"/>
      <c r="W760" s="368"/>
      <c r="X760" s="364">
        <f t="shared" si="117"/>
        <v>0</v>
      </c>
      <c r="Y760" s="393"/>
      <c r="Z760" s="498">
        <f t="shared" si="115"/>
        <v>0</v>
      </c>
      <c r="AA760" s="368"/>
      <c r="AB760" s="368"/>
      <c r="AC760" s="368"/>
      <c r="AD760" s="368"/>
      <c r="AE760" s="365">
        <f t="shared" si="116"/>
        <v>0</v>
      </c>
      <c r="AF760" s="262"/>
      <c r="AG760" s="457"/>
      <c r="AH760" s="264"/>
    </row>
    <row r="761" spans="1:34" ht="30.75" thickBot="1" x14ac:dyDescent="0.3">
      <c r="A761" s="458"/>
      <c r="B761" s="470" t="s">
        <v>1619</v>
      </c>
      <c r="C761" s="463" t="s">
        <v>44</v>
      </c>
      <c r="D761" s="449" t="s">
        <v>431</v>
      </c>
      <c r="E761" s="262"/>
      <c r="F761" s="470" t="s">
        <v>1636</v>
      </c>
      <c r="G761" s="387" t="e">
        <f>VLOOKUP(A761,'Feature Summary'!$A$7:$C$3944,3,FALSE)</f>
        <v>#N/A</v>
      </c>
      <c r="H761" s="447" t="s">
        <v>1671</v>
      </c>
      <c r="I761" s="447"/>
      <c r="J761" s="448" t="s">
        <v>303</v>
      </c>
      <c r="K761" s="263"/>
      <c r="L761" s="391"/>
      <c r="M761" s="399" t="s">
        <v>33</v>
      </c>
      <c r="N761" s="475">
        <v>1</v>
      </c>
      <c r="O761" s="391"/>
      <c r="P761" s="496">
        <f t="shared" si="120"/>
        <v>0</v>
      </c>
      <c r="Q761" s="445" t="s">
        <v>52</v>
      </c>
      <c r="R761" s="391"/>
      <c r="S761" s="362">
        <f t="shared" si="118"/>
        <v>0</v>
      </c>
      <c r="T761" s="368"/>
      <c r="U761" s="368"/>
      <c r="V761" s="368"/>
      <c r="W761" s="368"/>
      <c r="X761" s="364">
        <f t="shared" si="117"/>
        <v>0</v>
      </c>
      <c r="Y761" s="393"/>
      <c r="Z761" s="498">
        <f t="shared" si="115"/>
        <v>0</v>
      </c>
      <c r="AA761" s="368"/>
      <c r="AB761" s="368"/>
      <c r="AC761" s="368"/>
      <c r="AD761" s="368"/>
      <c r="AE761" s="365">
        <f t="shared" si="116"/>
        <v>0</v>
      </c>
      <c r="AF761" s="262"/>
      <c r="AG761" s="457"/>
      <c r="AH761" s="264"/>
    </row>
    <row r="762" spans="1:34" ht="15.75" thickBot="1" x14ac:dyDescent="0.3">
      <c r="A762" s="458"/>
      <c r="B762" s="463"/>
      <c r="C762" s="463" t="s">
        <v>260</v>
      </c>
      <c r="D762" s="449" t="s">
        <v>431</v>
      </c>
      <c r="E762" s="262"/>
      <c r="F762" s="447" t="s">
        <v>1672</v>
      </c>
      <c r="G762" s="387" t="e">
        <f>VLOOKUP(A762,'Feature Summary'!$A$7:$C$3944,3,FALSE)</f>
        <v>#N/A</v>
      </c>
      <c r="H762" s="447" t="s">
        <v>1673</v>
      </c>
      <c r="I762" s="488" t="s">
        <v>264</v>
      </c>
      <c r="J762" s="448" t="s">
        <v>1224</v>
      </c>
      <c r="K762" s="263">
        <v>1</v>
      </c>
      <c r="L762" s="391">
        <v>1</v>
      </c>
      <c r="M762" s="399" t="s">
        <v>33</v>
      </c>
      <c r="N762" s="475">
        <v>1</v>
      </c>
      <c r="O762" s="391">
        <v>1</v>
      </c>
      <c r="P762" s="496">
        <f t="shared" si="120"/>
        <v>1</v>
      </c>
      <c r="Q762" s="445" t="s">
        <v>52</v>
      </c>
      <c r="R762" s="391">
        <v>1</v>
      </c>
      <c r="S762" s="362">
        <f t="shared" si="118"/>
        <v>1</v>
      </c>
      <c r="T762" s="368">
        <v>1</v>
      </c>
      <c r="U762" s="368"/>
      <c r="V762" s="368"/>
      <c r="W762" s="368"/>
      <c r="X762" s="364">
        <f t="shared" si="117"/>
        <v>1</v>
      </c>
      <c r="Y762" s="393"/>
      <c r="Z762" s="498">
        <f t="shared" si="115"/>
        <v>0</v>
      </c>
      <c r="AA762" s="368"/>
      <c r="AB762" s="368"/>
      <c r="AC762" s="368"/>
      <c r="AD762" s="368"/>
      <c r="AE762" s="365">
        <f t="shared" si="116"/>
        <v>0</v>
      </c>
      <c r="AF762" s="558"/>
      <c r="AG762" s="457"/>
      <c r="AH762" s="264"/>
    </row>
    <row r="763" spans="1:34" ht="24" customHeight="1" thickBot="1" x14ac:dyDescent="0.3">
      <c r="A763" s="458"/>
      <c r="B763" s="463"/>
      <c r="C763" s="463" t="s">
        <v>44</v>
      </c>
      <c r="D763" s="449" t="s">
        <v>431</v>
      </c>
      <c r="E763" s="262"/>
      <c r="F763" s="447" t="s">
        <v>1672</v>
      </c>
      <c r="G763" s="387" t="e">
        <f>VLOOKUP(A763,'Feature Summary'!$A$7:$C$3944,3,FALSE)</f>
        <v>#N/A</v>
      </c>
      <c r="H763" s="447" t="s">
        <v>1674</v>
      </c>
      <c r="I763" s="447"/>
      <c r="J763" s="448" t="s">
        <v>1226</v>
      </c>
      <c r="K763" s="263"/>
      <c r="L763" s="391"/>
      <c r="M763" s="399" t="s">
        <v>33</v>
      </c>
      <c r="N763" s="475">
        <v>1</v>
      </c>
      <c r="O763" s="391"/>
      <c r="P763" s="496">
        <f t="shared" si="120"/>
        <v>0</v>
      </c>
      <c r="Q763" s="445" t="s">
        <v>52</v>
      </c>
      <c r="R763" s="391"/>
      <c r="S763" s="362">
        <f t="shared" si="118"/>
        <v>0</v>
      </c>
      <c r="T763" s="368"/>
      <c r="U763" s="368"/>
      <c r="V763" s="368"/>
      <c r="W763" s="368"/>
      <c r="X763" s="364">
        <f t="shared" si="117"/>
        <v>0</v>
      </c>
      <c r="Y763" s="393"/>
      <c r="Z763" s="498">
        <f t="shared" si="115"/>
        <v>0</v>
      </c>
      <c r="AA763" s="368"/>
      <c r="AB763" s="368"/>
      <c r="AC763" s="368"/>
      <c r="AD763" s="368"/>
      <c r="AE763" s="365">
        <f t="shared" si="116"/>
        <v>0</v>
      </c>
      <c r="AF763" s="558"/>
      <c r="AG763" s="457"/>
      <c r="AH763" s="264"/>
    </row>
    <row r="764" spans="1:34" ht="15.75" thickBot="1" x14ac:dyDescent="0.3">
      <c r="A764" s="458"/>
      <c r="B764" s="463"/>
      <c r="C764" s="463" t="s">
        <v>44</v>
      </c>
      <c r="D764" s="449" t="s">
        <v>431</v>
      </c>
      <c r="E764" s="262"/>
      <c r="F764" s="447" t="s">
        <v>1672</v>
      </c>
      <c r="G764" s="387" t="e">
        <f>VLOOKUP(A764,'Feature Summary'!$A$7:$C$3944,3,FALSE)</f>
        <v>#N/A</v>
      </c>
      <c r="H764" s="447" t="s">
        <v>1675</v>
      </c>
      <c r="I764" s="447"/>
      <c r="J764" s="448" t="s">
        <v>1228</v>
      </c>
      <c r="K764" s="263"/>
      <c r="L764" s="391"/>
      <c r="M764" s="399" t="s">
        <v>33</v>
      </c>
      <c r="N764" s="475">
        <v>1</v>
      </c>
      <c r="O764" s="391"/>
      <c r="P764" s="496">
        <f t="shared" si="120"/>
        <v>0</v>
      </c>
      <c r="Q764" s="445" t="s">
        <v>52</v>
      </c>
      <c r="R764" s="391"/>
      <c r="S764" s="362">
        <f t="shared" si="118"/>
        <v>0</v>
      </c>
      <c r="T764" s="368"/>
      <c r="U764" s="368"/>
      <c r="V764" s="368"/>
      <c r="W764" s="368"/>
      <c r="X764" s="364">
        <f t="shared" si="117"/>
        <v>0</v>
      </c>
      <c r="Y764" s="393"/>
      <c r="Z764" s="498">
        <f t="shared" si="115"/>
        <v>0</v>
      </c>
      <c r="AA764" s="368"/>
      <c r="AB764" s="368"/>
      <c r="AC764" s="368"/>
      <c r="AD764" s="368"/>
      <c r="AE764" s="365">
        <f t="shared" si="116"/>
        <v>0</v>
      </c>
      <c r="AF764" s="262"/>
      <c r="AG764" s="457"/>
      <c r="AH764" s="264"/>
    </row>
    <row r="765" spans="1:34" ht="56.25" customHeight="1" thickBot="1" x14ac:dyDescent="0.3">
      <c r="A765" s="458"/>
      <c r="B765" s="463"/>
      <c r="C765" s="463" t="s">
        <v>44</v>
      </c>
      <c r="D765" s="449" t="s">
        <v>431</v>
      </c>
      <c r="E765" s="262"/>
      <c r="F765" s="447" t="s">
        <v>1672</v>
      </c>
      <c r="G765" s="387" t="e">
        <f>VLOOKUP(A765,'Feature Summary'!$A$7:$C$3944,3,FALSE)</f>
        <v>#N/A</v>
      </c>
      <c r="H765" s="447" t="s">
        <v>1676</v>
      </c>
      <c r="I765" s="447"/>
      <c r="J765" s="448" t="s">
        <v>1677</v>
      </c>
      <c r="K765" s="263"/>
      <c r="L765" s="391"/>
      <c r="M765" s="399" t="s">
        <v>33</v>
      </c>
      <c r="N765" s="475">
        <v>1</v>
      </c>
      <c r="O765" s="391"/>
      <c r="P765" s="496">
        <f t="shared" si="120"/>
        <v>0</v>
      </c>
      <c r="Q765" s="445" t="s">
        <v>52</v>
      </c>
      <c r="R765" s="391"/>
      <c r="S765" s="362">
        <f t="shared" si="118"/>
        <v>0</v>
      </c>
      <c r="T765" s="368"/>
      <c r="U765" s="368"/>
      <c r="V765" s="368"/>
      <c r="W765" s="368" t="s">
        <v>756</v>
      </c>
      <c r="X765" s="364">
        <f t="shared" si="117"/>
        <v>0</v>
      </c>
      <c r="Y765" s="393"/>
      <c r="Z765" s="498">
        <f t="shared" si="115"/>
        <v>0</v>
      </c>
      <c r="AA765" s="368"/>
      <c r="AB765" s="368"/>
      <c r="AC765" s="368"/>
      <c r="AD765" s="368"/>
      <c r="AE765" s="365">
        <f t="shared" si="116"/>
        <v>0</v>
      </c>
      <c r="AF765" s="558"/>
      <c r="AG765" s="457"/>
      <c r="AH765" s="264"/>
    </row>
    <row r="766" spans="1:34" ht="15.75" thickBot="1" x14ac:dyDescent="0.3">
      <c r="A766" s="458" t="s">
        <v>1678</v>
      </c>
      <c r="B766" s="463"/>
      <c r="C766" s="463" t="s">
        <v>260</v>
      </c>
      <c r="D766" s="449" t="s">
        <v>431</v>
      </c>
      <c r="E766" s="262"/>
      <c r="F766" s="447" t="s">
        <v>1679</v>
      </c>
      <c r="G766" s="387" t="str">
        <f>VLOOKUP(A766,'Feature Summary'!$A$7:$C$3944,3,FALSE)</f>
        <v>P2</v>
      </c>
      <c r="H766" s="447" t="s">
        <v>1680</v>
      </c>
      <c r="I766" s="488" t="s">
        <v>264</v>
      </c>
      <c r="J766" s="448" t="s">
        <v>320</v>
      </c>
      <c r="K766" s="263">
        <v>1</v>
      </c>
      <c r="L766" s="391">
        <v>1</v>
      </c>
      <c r="M766" s="399" t="s">
        <v>33</v>
      </c>
      <c r="N766" s="475">
        <v>1</v>
      </c>
      <c r="O766" s="391">
        <v>1</v>
      </c>
      <c r="P766" s="496">
        <f t="shared" si="120"/>
        <v>1</v>
      </c>
      <c r="Q766" s="445" t="s">
        <v>52</v>
      </c>
      <c r="R766" s="391">
        <v>1</v>
      </c>
      <c r="S766" s="362">
        <f t="shared" si="118"/>
        <v>1</v>
      </c>
      <c r="T766" s="368">
        <v>1</v>
      </c>
      <c r="U766" s="368"/>
      <c r="V766" s="368"/>
      <c r="W766" s="368"/>
      <c r="X766" s="364">
        <f t="shared" si="117"/>
        <v>1</v>
      </c>
      <c r="Y766" s="393"/>
      <c r="Z766" s="498">
        <f t="shared" si="115"/>
        <v>0</v>
      </c>
      <c r="AA766" s="368"/>
      <c r="AB766" s="368"/>
      <c r="AC766" s="368"/>
      <c r="AD766" s="368"/>
      <c r="AE766" s="365">
        <f t="shared" si="116"/>
        <v>0</v>
      </c>
      <c r="AF766" s="262"/>
      <c r="AG766" s="457"/>
      <c r="AH766" s="264"/>
    </row>
    <row r="767" spans="1:34" ht="15.75" thickBot="1" x14ac:dyDescent="0.3">
      <c r="A767" s="458"/>
      <c r="B767" s="463"/>
      <c r="C767" s="463" t="s">
        <v>44</v>
      </c>
      <c r="D767" s="449" t="s">
        <v>431</v>
      </c>
      <c r="E767" s="262"/>
      <c r="F767" s="447" t="s">
        <v>1679</v>
      </c>
      <c r="G767" s="387" t="e">
        <f>VLOOKUP(A767,'Feature Summary'!$A$7:$C$3944,3,FALSE)</f>
        <v>#N/A</v>
      </c>
      <c r="H767" s="447" t="s">
        <v>1681</v>
      </c>
      <c r="I767" s="447"/>
      <c r="J767" s="448" t="s">
        <v>297</v>
      </c>
      <c r="K767" s="263"/>
      <c r="L767" s="391"/>
      <c r="M767" s="399" t="s">
        <v>33</v>
      </c>
      <c r="N767" s="475">
        <v>1</v>
      </c>
      <c r="O767" s="391"/>
      <c r="P767" s="496">
        <f t="shared" si="120"/>
        <v>0</v>
      </c>
      <c r="Q767" s="445" t="s">
        <v>52</v>
      </c>
      <c r="R767" s="391"/>
      <c r="S767" s="362">
        <f t="shared" si="118"/>
        <v>0</v>
      </c>
      <c r="T767" s="368"/>
      <c r="U767" s="368"/>
      <c r="V767" s="368"/>
      <c r="W767" s="368"/>
      <c r="X767" s="364">
        <f t="shared" si="117"/>
        <v>0</v>
      </c>
      <c r="Y767" s="393"/>
      <c r="Z767" s="498">
        <f t="shared" si="115"/>
        <v>0</v>
      </c>
      <c r="AA767" s="368"/>
      <c r="AB767" s="368"/>
      <c r="AC767" s="368"/>
      <c r="AD767" s="368"/>
      <c r="AE767" s="365">
        <f t="shared" si="116"/>
        <v>0</v>
      </c>
      <c r="AF767" s="262"/>
      <c r="AG767" s="457"/>
      <c r="AH767" s="264"/>
    </row>
    <row r="768" spans="1:34" ht="30.75" thickBot="1" x14ac:dyDescent="0.3">
      <c r="A768" s="458"/>
      <c r="B768" s="463"/>
      <c r="C768" s="463" t="s">
        <v>44</v>
      </c>
      <c r="D768" s="449" t="s">
        <v>431</v>
      </c>
      <c r="E768" s="262"/>
      <c r="F768" s="447" t="s">
        <v>1679</v>
      </c>
      <c r="G768" s="387" t="e">
        <f>VLOOKUP(A768,'Feature Summary'!$A$7:$C$3944,3,FALSE)</f>
        <v>#N/A</v>
      </c>
      <c r="H768" s="447" t="s">
        <v>1682</v>
      </c>
      <c r="I768" s="447"/>
      <c r="J768" s="448" t="s">
        <v>1683</v>
      </c>
      <c r="K768" s="263"/>
      <c r="L768" s="391"/>
      <c r="M768" s="399" t="s">
        <v>33</v>
      </c>
      <c r="N768" s="475">
        <v>1</v>
      </c>
      <c r="O768" s="391"/>
      <c r="P768" s="496">
        <f t="shared" si="120"/>
        <v>0</v>
      </c>
      <c r="Q768" s="445" t="s">
        <v>52</v>
      </c>
      <c r="R768" s="391"/>
      <c r="S768" s="362">
        <f t="shared" si="118"/>
        <v>0</v>
      </c>
      <c r="T768" s="368"/>
      <c r="U768" s="368"/>
      <c r="V768" s="368"/>
      <c r="W768" s="368"/>
      <c r="X768" s="364">
        <f t="shared" si="117"/>
        <v>0</v>
      </c>
      <c r="Y768" s="393"/>
      <c r="Z768" s="498">
        <f t="shared" si="115"/>
        <v>0</v>
      </c>
      <c r="AA768" s="368"/>
      <c r="AB768" s="368"/>
      <c r="AC768" s="368"/>
      <c r="AD768" s="368"/>
      <c r="AE768" s="365">
        <f t="shared" si="116"/>
        <v>0</v>
      </c>
      <c r="AF768" s="558"/>
      <c r="AG768" s="457"/>
      <c r="AH768" s="264"/>
    </row>
    <row r="769" spans="1:34" ht="45.75" thickBot="1" x14ac:dyDescent="0.3">
      <c r="A769" s="458" t="s">
        <v>1684</v>
      </c>
      <c r="B769" s="470" t="s">
        <v>1685</v>
      </c>
      <c r="C769" s="463" t="s">
        <v>354</v>
      </c>
      <c r="D769" s="449" t="s">
        <v>431</v>
      </c>
      <c r="E769" s="262"/>
      <c r="F769" s="447" t="s">
        <v>1686</v>
      </c>
      <c r="G769" s="387" t="e">
        <f>VLOOKUP(A769,'Feature Summary'!$A$7:$C$3944,3,FALSE)</f>
        <v>#N/A</v>
      </c>
      <c r="H769" s="447" t="s">
        <v>1687</v>
      </c>
      <c r="I769" s="488" t="s">
        <v>264</v>
      </c>
      <c r="J769" s="448" t="s">
        <v>1688</v>
      </c>
      <c r="K769" s="263">
        <v>1</v>
      </c>
      <c r="L769" s="391">
        <v>2</v>
      </c>
      <c r="M769" s="399" t="s">
        <v>33</v>
      </c>
      <c r="N769" s="475">
        <v>1</v>
      </c>
      <c r="O769" s="391">
        <v>2</v>
      </c>
      <c r="P769" s="496">
        <f t="shared" si="120"/>
        <v>1</v>
      </c>
      <c r="Q769" s="445" t="s">
        <v>52</v>
      </c>
      <c r="R769" s="391">
        <v>2</v>
      </c>
      <c r="S769" s="362">
        <f t="shared" si="118"/>
        <v>2</v>
      </c>
      <c r="T769" s="368">
        <v>2</v>
      </c>
      <c r="U769" s="368"/>
      <c r="V769" s="368"/>
      <c r="W769" s="368" t="s">
        <v>756</v>
      </c>
      <c r="X769" s="364">
        <f t="shared" si="117"/>
        <v>1</v>
      </c>
      <c r="Y769" s="393"/>
      <c r="Z769" s="498">
        <f t="shared" si="115"/>
        <v>0</v>
      </c>
      <c r="AA769" s="368"/>
      <c r="AB769" s="368"/>
      <c r="AC769" s="368"/>
      <c r="AD769" s="368"/>
      <c r="AE769" s="365">
        <f t="shared" si="116"/>
        <v>0</v>
      </c>
      <c r="AF769" s="558"/>
      <c r="AG769" s="457"/>
      <c r="AH769" s="264"/>
    </row>
    <row r="770" spans="1:34" ht="30.75" thickBot="1" x14ac:dyDescent="0.3">
      <c r="A770" s="458"/>
      <c r="B770" s="470" t="s">
        <v>1685</v>
      </c>
      <c r="C770" s="463" t="s">
        <v>44</v>
      </c>
      <c r="D770" s="449" t="s">
        <v>431</v>
      </c>
      <c r="E770" s="262"/>
      <c r="F770" s="447" t="s">
        <v>1686</v>
      </c>
      <c r="G770" s="387" t="e">
        <f>VLOOKUP(A770,'Feature Summary'!$A$7:$C$3944,3,FALSE)</f>
        <v>#N/A</v>
      </c>
      <c r="H770" s="447" t="s">
        <v>1689</v>
      </c>
      <c r="I770" s="447"/>
      <c r="J770" s="448" t="s">
        <v>1226</v>
      </c>
      <c r="K770" s="263"/>
      <c r="L770" s="391"/>
      <c r="M770" s="399" t="s">
        <v>33</v>
      </c>
      <c r="N770" s="475">
        <v>1</v>
      </c>
      <c r="O770" s="391"/>
      <c r="P770" s="496">
        <f t="shared" si="120"/>
        <v>0</v>
      </c>
      <c r="Q770" s="445" t="s">
        <v>52</v>
      </c>
      <c r="R770" s="391"/>
      <c r="S770" s="362">
        <f t="shared" si="118"/>
        <v>0</v>
      </c>
      <c r="T770" s="368"/>
      <c r="U770" s="368"/>
      <c r="V770" s="368"/>
      <c r="W770" s="368"/>
      <c r="X770" s="364">
        <f t="shared" si="117"/>
        <v>0</v>
      </c>
      <c r="Y770" s="393"/>
      <c r="Z770" s="498">
        <f t="shared" si="115"/>
        <v>0</v>
      </c>
      <c r="AA770" s="368"/>
      <c r="AB770" s="368"/>
      <c r="AC770" s="368"/>
      <c r="AD770" s="368"/>
      <c r="AE770" s="365">
        <f t="shared" si="116"/>
        <v>0</v>
      </c>
      <c r="AF770" s="262"/>
      <c r="AG770" s="457"/>
      <c r="AH770" s="264"/>
    </row>
    <row r="771" spans="1:34" ht="27" customHeight="1" thickBot="1" x14ac:dyDescent="0.3">
      <c r="A771" s="458"/>
      <c r="B771" s="470" t="s">
        <v>1685</v>
      </c>
      <c r="C771" s="463" t="s">
        <v>44</v>
      </c>
      <c r="D771" s="449" t="s">
        <v>431</v>
      </c>
      <c r="E771" s="262"/>
      <c r="F771" s="447" t="s">
        <v>1686</v>
      </c>
      <c r="G771" s="387" t="e">
        <f>VLOOKUP(A771,'Feature Summary'!$A$7:$C$3944,3,FALSE)</f>
        <v>#N/A</v>
      </c>
      <c r="H771" s="447" t="s">
        <v>1690</v>
      </c>
      <c r="I771" s="447"/>
      <c r="J771" s="448" t="s">
        <v>1677</v>
      </c>
      <c r="K771" s="263"/>
      <c r="L771" s="391"/>
      <c r="M771" s="399" t="s">
        <v>33</v>
      </c>
      <c r="N771" s="475">
        <v>1</v>
      </c>
      <c r="O771" s="391"/>
      <c r="P771" s="496">
        <f t="shared" si="120"/>
        <v>0</v>
      </c>
      <c r="Q771" s="445" t="s">
        <v>52</v>
      </c>
      <c r="R771" s="391"/>
      <c r="S771" s="362">
        <f t="shared" si="118"/>
        <v>0</v>
      </c>
      <c r="T771" s="368"/>
      <c r="U771" s="368"/>
      <c r="V771" s="368"/>
      <c r="W771" s="368"/>
      <c r="X771" s="364">
        <f t="shared" si="117"/>
        <v>0</v>
      </c>
      <c r="Y771" s="393"/>
      <c r="Z771" s="498">
        <f t="shared" si="115"/>
        <v>0</v>
      </c>
      <c r="AA771" s="368"/>
      <c r="AB771" s="368"/>
      <c r="AC771" s="368"/>
      <c r="AD771" s="368"/>
      <c r="AE771" s="365">
        <f t="shared" si="116"/>
        <v>0</v>
      </c>
      <c r="AF771" s="558"/>
      <c r="AG771" s="457"/>
      <c r="AH771" s="264"/>
    </row>
    <row r="772" spans="1:34" ht="30.75" thickBot="1" x14ac:dyDescent="0.3">
      <c r="A772" s="458"/>
      <c r="B772" s="470" t="s">
        <v>1685</v>
      </c>
      <c r="C772" s="463" t="s">
        <v>44</v>
      </c>
      <c r="D772" s="449" t="s">
        <v>431</v>
      </c>
      <c r="E772" s="262"/>
      <c r="F772" s="447" t="s">
        <v>1686</v>
      </c>
      <c r="G772" s="387" t="e">
        <f>VLOOKUP(A772,'Feature Summary'!$A$7:$C$3944,3,FALSE)</f>
        <v>#N/A</v>
      </c>
      <c r="H772" s="447" t="s">
        <v>1691</v>
      </c>
      <c r="I772" s="447"/>
      <c r="J772" s="448" t="s">
        <v>1228</v>
      </c>
      <c r="K772" s="263"/>
      <c r="L772" s="391"/>
      <c r="M772" s="399" t="s">
        <v>33</v>
      </c>
      <c r="N772" s="475">
        <v>1</v>
      </c>
      <c r="O772" s="391"/>
      <c r="P772" s="496">
        <f t="shared" si="120"/>
        <v>0</v>
      </c>
      <c r="Q772" s="445" t="s">
        <v>52</v>
      </c>
      <c r="R772" s="391"/>
      <c r="S772" s="362">
        <f t="shared" si="118"/>
        <v>0</v>
      </c>
      <c r="T772" s="368"/>
      <c r="U772" s="368"/>
      <c r="V772" s="368"/>
      <c r="W772" s="368"/>
      <c r="X772" s="364">
        <f t="shared" si="117"/>
        <v>0</v>
      </c>
      <c r="Y772" s="393"/>
      <c r="Z772" s="498">
        <f t="shared" si="115"/>
        <v>0</v>
      </c>
      <c r="AA772" s="368"/>
      <c r="AB772" s="368"/>
      <c r="AC772" s="368"/>
      <c r="AD772" s="368"/>
      <c r="AE772" s="365">
        <f t="shared" si="116"/>
        <v>0</v>
      </c>
      <c r="AF772" s="262"/>
      <c r="AG772" s="457"/>
      <c r="AH772" s="264"/>
    </row>
    <row r="773" spans="1:34" ht="30.75" thickBot="1" x14ac:dyDescent="0.3">
      <c r="A773" s="458"/>
      <c r="B773" s="470" t="s">
        <v>1685</v>
      </c>
      <c r="C773" s="463" t="s">
        <v>44</v>
      </c>
      <c r="D773" s="449" t="s">
        <v>431</v>
      </c>
      <c r="E773" s="262"/>
      <c r="F773" s="447" t="s">
        <v>1686</v>
      </c>
      <c r="G773" s="387" t="e">
        <f>VLOOKUP(A773,'Feature Summary'!$A$7:$C$3944,3,FALSE)</f>
        <v>#N/A</v>
      </c>
      <c r="H773" s="447" t="s">
        <v>1692</v>
      </c>
      <c r="I773" s="447"/>
      <c r="J773" s="448" t="s">
        <v>1432</v>
      </c>
      <c r="K773" s="263"/>
      <c r="L773" s="391"/>
      <c r="M773" s="399" t="s">
        <v>33</v>
      </c>
      <c r="N773" s="475">
        <v>1</v>
      </c>
      <c r="O773" s="391"/>
      <c r="P773" s="496">
        <f t="shared" si="120"/>
        <v>0</v>
      </c>
      <c r="Q773" s="445" t="s">
        <v>52</v>
      </c>
      <c r="R773" s="391"/>
      <c r="S773" s="362">
        <f t="shared" si="118"/>
        <v>0</v>
      </c>
      <c r="T773" s="368"/>
      <c r="U773" s="368"/>
      <c r="V773" s="368"/>
      <c r="W773" s="368"/>
      <c r="X773" s="364">
        <f t="shared" si="117"/>
        <v>0</v>
      </c>
      <c r="Y773" s="393"/>
      <c r="Z773" s="498">
        <f t="shared" si="115"/>
        <v>0</v>
      </c>
      <c r="AA773" s="368"/>
      <c r="AB773" s="368"/>
      <c r="AC773" s="368"/>
      <c r="AD773" s="368"/>
      <c r="AE773" s="365">
        <f t="shared" si="116"/>
        <v>0</v>
      </c>
      <c r="AF773" s="262"/>
      <c r="AG773" s="457"/>
      <c r="AH773" s="264"/>
    </row>
    <row r="774" spans="1:34" ht="30.75" thickBot="1" x14ac:dyDescent="0.3">
      <c r="A774" s="458" t="s">
        <v>1693</v>
      </c>
      <c r="B774" s="470" t="s">
        <v>1685</v>
      </c>
      <c r="C774" s="463" t="s">
        <v>354</v>
      </c>
      <c r="D774" s="449" t="s">
        <v>431</v>
      </c>
      <c r="E774" s="262"/>
      <c r="F774" s="447" t="s">
        <v>1694</v>
      </c>
      <c r="G774" s="387" t="e">
        <f>VLOOKUP(A774,'Feature Summary'!$A$7:$C$3944,3,FALSE)</f>
        <v>#N/A</v>
      </c>
      <c r="H774" s="447" t="s">
        <v>1695</v>
      </c>
      <c r="I774" s="488" t="s">
        <v>264</v>
      </c>
      <c r="J774" s="448" t="s">
        <v>1224</v>
      </c>
      <c r="K774" s="263">
        <v>1</v>
      </c>
      <c r="L774" s="391">
        <v>2</v>
      </c>
      <c r="M774" s="399" t="s">
        <v>33</v>
      </c>
      <c r="N774" s="475">
        <v>1</v>
      </c>
      <c r="O774" s="391">
        <v>2</v>
      </c>
      <c r="P774" s="496">
        <f t="shared" si="120"/>
        <v>1</v>
      </c>
      <c r="Q774" s="445" t="s">
        <v>52</v>
      </c>
      <c r="R774" s="391">
        <v>2</v>
      </c>
      <c r="S774" s="362">
        <f t="shared" si="118"/>
        <v>2</v>
      </c>
      <c r="T774" s="368">
        <v>2</v>
      </c>
      <c r="U774" s="368"/>
      <c r="V774" s="368"/>
      <c r="W774" s="368"/>
      <c r="X774" s="364">
        <f t="shared" si="117"/>
        <v>1</v>
      </c>
      <c r="Y774" s="393"/>
      <c r="Z774" s="498">
        <f t="shared" si="115"/>
        <v>0</v>
      </c>
      <c r="AA774" s="368"/>
      <c r="AB774" s="368"/>
      <c r="AC774" s="368"/>
      <c r="AD774" s="368"/>
      <c r="AE774" s="365">
        <f t="shared" si="116"/>
        <v>0</v>
      </c>
      <c r="AF774" s="558"/>
      <c r="AG774" s="457"/>
      <c r="AH774" s="264"/>
    </row>
    <row r="775" spans="1:34" ht="30.75" thickBot="1" x14ac:dyDescent="0.3">
      <c r="A775" s="458"/>
      <c r="B775" s="470" t="s">
        <v>1685</v>
      </c>
      <c r="C775" s="463" t="s">
        <v>44</v>
      </c>
      <c r="D775" s="449" t="s">
        <v>431</v>
      </c>
      <c r="E775" s="262"/>
      <c r="F775" s="447" t="s">
        <v>1694</v>
      </c>
      <c r="G775" s="387" t="e">
        <f>VLOOKUP(A775,'Feature Summary'!$A$7:$C$3944,3,FALSE)</f>
        <v>#N/A</v>
      </c>
      <c r="H775" s="447" t="s">
        <v>1696</v>
      </c>
      <c r="I775" s="447"/>
      <c r="J775" s="448" t="s">
        <v>1226</v>
      </c>
      <c r="K775" s="263"/>
      <c r="L775" s="391"/>
      <c r="M775" s="399" t="s">
        <v>33</v>
      </c>
      <c r="N775" s="475">
        <v>1</v>
      </c>
      <c r="O775" s="391"/>
      <c r="P775" s="496">
        <f t="shared" si="120"/>
        <v>0</v>
      </c>
      <c r="Q775" s="445" t="s">
        <v>52</v>
      </c>
      <c r="R775" s="391"/>
      <c r="S775" s="362">
        <f t="shared" si="118"/>
        <v>0</v>
      </c>
      <c r="T775" s="368"/>
      <c r="U775" s="368"/>
      <c r="V775" s="368"/>
      <c r="W775" s="368"/>
      <c r="X775" s="364">
        <f t="shared" si="117"/>
        <v>0</v>
      </c>
      <c r="Y775" s="393"/>
      <c r="Z775" s="498">
        <f t="shared" si="115"/>
        <v>0</v>
      </c>
      <c r="AA775" s="368"/>
      <c r="AB775" s="368"/>
      <c r="AC775" s="368"/>
      <c r="AD775" s="368"/>
      <c r="AE775" s="365">
        <f t="shared" si="116"/>
        <v>0</v>
      </c>
      <c r="AF775" s="262"/>
      <c r="AG775" s="457"/>
      <c r="AH775" s="264"/>
    </row>
    <row r="776" spans="1:34" ht="42.75" customHeight="1" thickBot="1" x14ac:dyDescent="0.3">
      <c r="A776" s="458"/>
      <c r="B776" s="470" t="s">
        <v>1685</v>
      </c>
      <c r="C776" s="463" t="s">
        <v>44</v>
      </c>
      <c r="D776" s="449" t="s">
        <v>431</v>
      </c>
      <c r="E776" s="262"/>
      <c r="F776" s="447" t="s">
        <v>1694</v>
      </c>
      <c r="G776" s="387" t="e">
        <f>VLOOKUP(A776,'Feature Summary'!$A$7:$C$3944,3,FALSE)</f>
        <v>#N/A</v>
      </c>
      <c r="H776" s="447" t="s">
        <v>1697</v>
      </c>
      <c r="I776" s="447"/>
      <c r="J776" s="448" t="s">
        <v>1677</v>
      </c>
      <c r="K776" s="263"/>
      <c r="L776" s="391"/>
      <c r="M776" s="399" t="s">
        <v>33</v>
      </c>
      <c r="N776" s="475">
        <v>1</v>
      </c>
      <c r="O776" s="391"/>
      <c r="P776" s="496">
        <f t="shared" si="120"/>
        <v>0</v>
      </c>
      <c r="Q776" s="445" t="s">
        <v>52</v>
      </c>
      <c r="R776" s="391"/>
      <c r="S776" s="362">
        <f t="shared" si="118"/>
        <v>0</v>
      </c>
      <c r="T776" s="368"/>
      <c r="U776" s="368"/>
      <c r="V776" s="368"/>
      <c r="W776" s="368"/>
      <c r="X776" s="364">
        <f t="shared" si="117"/>
        <v>0</v>
      </c>
      <c r="Y776" s="393"/>
      <c r="Z776" s="498">
        <f t="shared" si="115"/>
        <v>0</v>
      </c>
      <c r="AA776" s="368"/>
      <c r="AB776" s="368"/>
      <c r="AC776" s="368"/>
      <c r="AD776" s="368"/>
      <c r="AE776" s="365">
        <f t="shared" si="116"/>
        <v>0</v>
      </c>
      <c r="AF776" s="558"/>
      <c r="AG776" s="457"/>
      <c r="AH776" s="264"/>
    </row>
    <row r="777" spans="1:34" ht="30.75" thickBot="1" x14ac:dyDescent="0.3">
      <c r="A777" s="458"/>
      <c r="B777" s="470" t="s">
        <v>1685</v>
      </c>
      <c r="C777" s="463" t="s">
        <v>44</v>
      </c>
      <c r="D777" s="449" t="s">
        <v>431</v>
      </c>
      <c r="E777" s="262"/>
      <c r="F777" s="447" t="s">
        <v>1694</v>
      </c>
      <c r="G777" s="387" t="e">
        <f>VLOOKUP(A777,'Feature Summary'!$A$7:$C$3944,3,FALSE)</f>
        <v>#N/A</v>
      </c>
      <c r="H777" s="447" t="s">
        <v>1698</v>
      </c>
      <c r="I777" s="447"/>
      <c r="J777" s="448" t="s">
        <v>1228</v>
      </c>
      <c r="K777" s="263"/>
      <c r="L777" s="391"/>
      <c r="M777" s="399" t="s">
        <v>33</v>
      </c>
      <c r="N777" s="475">
        <v>1</v>
      </c>
      <c r="O777" s="391"/>
      <c r="P777" s="496">
        <f t="shared" si="120"/>
        <v>0</v>
      </c>
      <c r="Q777" s="445" t="s">
        <v>52</v>
      </c>
      <c r="R777" s="391"/>
      <c r="S777" s="362">
        <f t="shared" si="118"/>
        <v>0</v>
      </c>
      <c r="T777" s="368"/>
      <c r="U777" s="368"/>
      <c r="V777" s="368"/>
      <c r="W777" s="368"/>
      <c r="X777" s="364">
        <f t="shared" si="117"/>
        <v>0</v>
      </c>
      <c r="Y777" s="393"/>
      <c r="Z777" s="498">
        <f t="shared" si="115"/>
        <v>0</v>
      </c>
      <c r="AA777" s="368"/>
      <c r="AB777" s="368"/>
      <c r="AC777" s="368"/>
      <c r="AD777" s="368"/>
      <c r="AE777" s="365">
        <f t="shared" si="116"/>
        <v>0</v>
      </c>
      <c r="AF777" s="262"/>
      <c r="AG777" s="457"/>
      <c r="AH777" s="264"/>
    </row>
    <row r="778" spans="1:34" ht="195.75" thickBot="1" x14ac:dyDescent="0.3">
      <c r="A778" s="458"/>
      <c r="B778" s="470" t="s">
        <v>1685</v>
      </c>
      <c r="C778" s="463" t="s">
        <v>354</v>
      </c>
      <c r="D778" s="449" t="s">
        <v>431</v>
      </c>
      <c r="E778" s="262"/>
      <c r="F778" s="447" t="s">
        <v>1686</v>
      </c>
      <c r="G778" s="387" t="e">
        <f>VLOOKUP(A778,'Feature Summary'!$A$7:$C$3944,3,FALSE)</f>
        <v>#N/A</v>
      </c>
      <c r="H778" s="447" t="s">
        <v>1699</v>
      </c>
      <c r="I778" s="488" t="s">
        <v>288</v>
      </c>
      <c r="J778" s="448" t="s">
        <v>1700</v>
      </c>
      <c r="K778" s="263"/>
      <c r="L778" s="391">
        <v>1</v>
      </c>
      <c r="M778" s="399" t="s">
        <v>33</v>
      </c>
      <c r="N778" s="475">
        <v>1</v>
      </c>
      <c r="O778" s="391">
        <v>0.5</v>
      </c>
      <c r="P778" s="496">
        <f t="shared" ref="P778" si="121">IF((O778=0),0,(O778/L778))</f>
        <v>0.5</v>
      </c>
      <c r="Q778" s="445" t="s">
        <v>52</v>
      </c>
      <c r="R778" s="391">
        <v>1</v>
      </c>
      <c r="S778" s="362">
        <f t="shared" ref="S778" si="122">SUM(T778:W778)</f>
        <v>0</v>
      </c>
      <c r="T778" s="368"/>
      <c r="U778" s="368"/>
      <c r="V778" s="368"/>
      <c r="W778" s="368"/>
      <c r="X778" s="364">
        <f t="shared" ref="X778" si="123">IF((S778=0),0,((T778+U778)/S778*100%))</f>
        <v>0</v>
      </c>
      <c r="Y778" s="393"/>
      <c r="Z778" s="498">
        <f>SUM(AA778:AD778)</f>
        <v>0</v>
      </c>
      <c r="AA778" s="368"/>
      <c r="AB778" s="368"/>
      <c r="AC778" s="368"/>
      <c r="AD778" s="368"/>
      <c r="AE778" s="365">
        <f t="shared" ref="AE778:AE841" si="124">IF((Z778=0),0,((AA778+AB778)/Z778*100%))</f>
        <v>0</v>
      </c>
      <c r="AF778" s="262"/>
      <c r="AG778" s="457"/>
      <c r="AH778" s="264"/>
    </row>
    <row r="779" spans="1:34" ht="15" customHeight="1" thickBot="1" x14ac:dyDescent="0.3">
      <c r="A779" s="458"/>
      <c r="B779" s="463"/>
      <c r="C779" s="463" t="s">
        <v>260</v>
      </c>
      <c r="D779" s="449" t="s">
        <v>431</v>
      </c>
      <c r="E779" s="262"/>
      <c r="F779" s="447" t="s">
        <v>1701</v>
      </c>
      <c r="G779" s="387" t="e">
        <f>VLOOKUP(A779,'Feature Summary'!$A$7:$C$3944,3,FALSE)</f>
        <v>#N/A</v>
      </c>
      <c r="H779" s="447" t="s">
        <v>1702</v>
      </c>
      <c r="I779" s="488" t="s">
        <v>264</v>
      </c>
      <c r="J779" s="448" t="s">
        <v>1224</v>
      </c>
      <c r="K779" s="263">
        <v>1</v>
      </c>
      <c r="L779" s="391">
        <v>2</v>
      </c>
      <c r="M779" s="399" t="s">
        <v>33</v>
      </c>
      <c r="N779" s="475">
        <v>1</v>
      </c>
      <c r="O779" s="391">
        <v>2</v>
      </c>
      <c r="P779" s="496">
        <f t="shared" si="120"/>
        <v>1</v>
      </c>
      <c r="Q779" s="445" t="s">
        <v>52</v>
      </c>
      <c r="R779" s="391">
        <v>2</v>
      </c>
      <c r="S779" s="362">
        <f t="shared" si="118"/>
        <v>2</v>
      </c>
      <c r="T779" s="368">
        <v>2</v>
      </c>
      <c r="U779" s="368"/>
      <c r="V779" s="368"/>
      <c r="W779" s="368"/>
      <c r="X779" s="364">
        <f t="shared" si="117"/>
        <v>1</v>
      </c>
      <c r="Y779" s="393"/>
      <c r="Z779" s="498">
        <f t="shared" ref="Z779:Z841" si="125">SUM(AA779:AD779)</f>
        <v>0</v>
      </c>
      <c r="AA779" s="368"/>
      <c r="AB779" s="368"/>
      <c r="AC779" s="368"/>
      <c r="AD779" s="368"/>
      <c r="AE779" s="365">
        <f t="shared" si="124"/>
        <v>0</v>
      </c>
      <c r="AF779" s="558"/>
      <c r="AG779" s="457"/>
      <c r="AH779" s="264"/>
    </row>
    <row r="780" spans="1:34" ht="30.75" thickBot="1" x14ac:dyDescent="0.3">
      <c r="A780" s="458"/>
      <c r="B780" s="463"/>
      <c r="C780" s="463" t="s">
        <v>44</v>
      </c>
      <c r="D780" s="449" t="s">
        <v>431</v>
      </c>
      <c r="E780" s="262"/>
      <c r="F780" s="447" t="s">
        <v>1701</v>
      </c>
      <c r="G780" s="387" t="e">
        <f>VLOOKUP(A780,'Feature Summary'!$A$7:$C$3944,3,FALSE)</f>
        <v>#N/A</v>
      </c>
      <c r="H780" s="447" t="s">
        <v>1703</v>
      </c>
      <c r="I780" s="447"/>
      <c r="J780" s="448" t="s">
        <v>328</v>
      </c>
      <c r="K780" s="263"/>
      <c r="L780" s="391"/>
      <c r="M780" s="399" t="s">
        <v>33</v>
      </c>
      <c r="N780" s="475">
        <v>1</v>
      </c>
      <c r="O780" s="391"/>
      <c r="P780" s="496">
        <f t="shared" si="120"/>
        <v>0</v>
      </c>
      <c r="Q780" s="445" t="s">
        <v>52</v>
      </c>
      <c r="R780" s="391"/>
      <c r="S780" s="362">
        <f t="shared" si="118"/>
        <v>0</v>
      </c>
      <c r="T780" s="368"/>
      <c r="U780" s="368"/>
      <c r="V780" s="368"/>
      <c r="W780" s="368"/>
      <c r="X780" s="364">
        <f t="shared" si="117"/>
        <v>0</v>
      </c>
      <c r="Y780" s="393"/>
      <c r="Z780" s="498">
        <f t="shared" si="125"/>
        <v>0</v>
      </c>
      <c r="AA780" s="368"/>
      <c r="AB780" s="368"/>
      <c r="AC780" s="368"/>
      <c r="AD780" s="368"/>
      <c r="AE780" s="365">
        <f t="shared" si="124"/>
        <v>0</v>
      </c>
      <c r="AF780" s="262"/>
      <c r="AG780" s="457"/>
      <c r="AH780" s="264"/>
    </row>
    <row r="781" spans="1:34" ht="33" customHeight="1" thickBot="1" x14ac:dyDescent="0.3">
      <c r="A781" s="458"/>
      <c r="B781" s="463"/>
      <c r="C781" s="463" t="s">
        <v>44</v>
      </c>
      <c r="D781" s="449" t="s">
        <v>431</v>
      </c>
      <c r="E781" s="262"/>
      <c r="F781" s="447" t="s">
        <v>1701</v>
      </c>
      <c r="G781" s="387" t="e">
        <f>VLOOKUP(A781,'Feature Summary'!$A$7:$C$3944,3,FALSE)</f>
        <v>#N/A</v>
      </c>
      <c r="H781" s="447" t="s">
        <v>1704</v>
      </c>
      <c r="I781" s="447"/>
      <c r="J781" s="448" t="s">
        <v>1683</v>
      </c>
      <c r="K781" s="263"/>
      <c r="L781" s="391"/>
      <c r="M781" s="399" t="s">
        <v>33</v>
      </c>
      <c r="N781" s="475">
        <v>1</v>
      </c>
      <c r="O781" s="391"/>
      <c r="P781" s="496">
        <f t="shared" si="120"/>
        <v>0</v>
      </c>
      <c r="Q781" s="445" t="s">
        <v>52</v>
      </c>
      <c r="R781" s="391"/>
      <c r="S781" s="362">
        <f t="shared" si="118"/>
        <v>0</v>
      </c>
      <c r="T781" s="368"/>
      <c r="U781" s="368"/>
      <c r="V781" s="368"/>
      <c r="W781" s="368"/>
      <c r="X781" s="364">
        <f t="shared" si="117"/>
        <v>0</v>
      </c>
      <c r="Y781" s="393"/>
      <c r="Z781" s="498">
        <f t="shared" si="125"/>
        <v>0</v>
      </c>
      <c r="AA781" s="368"/>
      <c r="AB781" s="368"/>
      <c r="AC781" s="368"/>
      <c r="AD781" s="368"/>
      <c r="AE781" s="365">
        <f t="shared" si="124"/>
        <v>0</v>
      </c>
      <c r="AF781" s="558"/>
      <c r="AG781" s="457"/>
      <c r="AH781" s="264"/>
    </row>
    <row r="782" spans="1:34" ht="15.75" thickBot="1" x14ac:dyDescent="0.3">
      <c r="A782" s="458"/>
      <c r="B782" s="463"/>
      <c r="C782" s="463" t="s">
        <v>44</v>
      </c>
      <c r="D782" s="449" t="s">
        <v>431</v>
      </c>
      <c r="E782" s="262"/>
      <c r="F782" s="447" t="s">
        <v>1701</v>
      </c>
      <c r="G782" s="387" t="e">
        <f>VLOOKUP(A782,'Feature Summary'!$A$7:$C$3944,3,FALSE)</f>
        <v>#N/A</v>
      </c>
      <c r="H782" s="447" t="s">
        <v>1705</v>
      </c>
      <c r="I782" s="447"/>
      <c r="J782" s="448" t="s">
        <v>297</v>
      </c>
      <c r="K782" s="263"/>
      <c r="L782" s="391"/>
      <c r="M782" s="399" t="s">
        <v>33</v>
      </c>
      <c r="N782" s="475">
        <v>1</v>
      </c>
      <c r="O782" s="391"/>
      <c r="P782" s="496">
        <f t="shared" si="120"/>
        <v>0</v>
      </c>
      <c r="Q782" s="445" t="s">
        <v>52</v>
      </c>
      <c r="R782" s="391"/>
      <c r="S782" s="362">
        <f t="shared" si="118"/>
        <v>0</v>
      </c>
      <c r="T782" s="368"/>
      <c r="U782" s="368"/>
      <c r="V782" s="368"/>
      <c r="W782" s="368"/>
      <c r="X782" s="364">
        <f t="shared" si="117"/>
        <v>0</v>
      </c>
      <c r="Y782" s="393"/>
      <c r="Z782" s="498">
        <f t="shared" si="125"/>
        <v>0</v>
      </c>
      <c r="AA782" s="368"/>
      <c r="AB782" s="368"/>
      <c r="AC782" s="368"/>
      <c r="AD782" s="368"/>
      <c r="AE782" s="365">
        <f t="shared" si="124"/>
        <v>0</v>
      </c>
      <c r="AF782" s="262"/>
      <c r="AG782" s="457"/>
      <c r="AH782" s="264"/>
    </row>
    <row r="783" spans="1:34" ht="30.75" thickBot="1" x14ac:dyDescent="0.3">
      <c r="A783" s="458"/>
      <c r="B783" s="463"/>
      <c r="C783" s="463" t="s">
        <v>44</v>
      </c>
      <c r="D783" s="449" t="s">
        <v>431</v>
      </c>
      <c r="E783" s="262"/>
      <c r="F783" s="447" t="s">
        <v>1701</v>
      </c>
      <c r="G783" s="387" t="e">
        <f>VLOOKUP(A783,'Feature Summary'!$A$7:$C$3944,3,FALSE)</f>
        <v>#N/A</v>
      </c>
      <c r="H783" s="447" t="s">
        <v>1706</v>
      </c>
      <c r="I783" s="447"/>
      <c r="J783" s="448" t="s">
        <v>303</v>
      </c>
      <c r="K783" s="263"/>
      <c r="L783" s="391"/>
      <c r="M783" s="399" t="s">
        <v>33</v>
      </c>
      <c r="N783" s="475">
        <v>1</v>
      </c>
      <c r="O783" s="391"/>
      <c r="P783" s="496">
        <f t="shared" si="120"/>
        <v>0</v>
      </c>
      <c r="Q783" s="445" t="s">
        <v>52</v>
      </c>
      <c r="R783" s="391"/>
      <c r="S783" s="362">
        <f t="shared" si="118"/>
        <v>0</v>
      </c>
      <c r="T783" s="368"/>
      <c r="U783" s="368"/>
      <c r="V783" s="368"/>
      <c r="W783" s="368"/>
      <c r="X783" s="364">
        <f t="shared" si="117"/>
        <v>0</v>
      </c>
      <c r="Y783" s="393"/>
      <c r="Z783" s="498">
        <f t="shared" si="125"/>
        <v>0</v>
      </c>
      <c r="AA783" s="368"/>
      <c r="AB783" s="368"/>
      <c r="AC783" s="368"/>
      <c r="AD783" s="368"/>
      <c r="AE783" s="365">
        <f t="shared" si="124"/>
        <v>0</v>
      </c>
      <c r="AF783" s="262"/>
      <c r="AG783" s="457"/>
      <c r="AH783" s="264"/>
    </row>
    <row r="784" spans="1:34" ht="15.75" thickBot="1" x14ac:dyDescent="0.3">
      <c r="A784" s="458" t="s">
        <v>1678</v>
      </c>
      <c r="B784" s="463"/>
      <c r="C784" s="463" t="s">
        <v>260</v>
      </c>
      <c r="D784" s="449" t="s">
        <v>431</v>
      </c>
      <c r="E784" s="262"/>
      <c r="F784" s="447" t="s">
        <v>1707</v>
      </c>
      <c r="G784" s="387" t="str">
        <f>VLOOKUP(A784,'Feature Summary'!$A$7:$C$3944,3,FALSE)</f>
        <v>P2</v>
      </c>
      <c r="H784" s="447" t="s">
        <v>1708</v>
      </c>
      <c r="I784" s="488" t="s">
        <v>264</v>
      </c>
      <c r="J784" s="448" t="s">
        <v>1224</v>
      </c>
      <c r="K784" s="263">
        <v>1</v>
      </c>
      <c r="L784" s="391">
        <v>2</v>
      </c>
      <c r="M784" s="399" t="s">
        <v>33</v>
      </c>
      <c r="N784" s="475">
        <v>1</v>
      </c>
      <c r="O784" s="391">
        <v>2</v>
      </c>
      <c r="P784" s="496">
        <f>IF((O784=0),0,(O784/L784))</f>
        <v>1</v>
      </c>
      <c r="Q784" s="445" t="s">
        <v>52</v>
      </c>
      <c r="R784" s="391">
        <v>2</v>
      </c>
      <c r="S784" s="362">
        <f t="shared" si="118"/>
        <v>2</v>
      </c>
      <c r="T784" s="368">
        <v>2</v>
      </c>
      <c r="U784" s="368"/>
      <c r="V784" s="368"/>
      <c r="W784" s="368"/>
      <c r="X784" s="364">
        <f t="shared" si="117"/>
        <v>1</v>
      </c>
      <c r="Y784" s="393"/>
      <c r="Z784" s="498">
        <f t="shared" si="125"/>
        <v>0</v>
      </c>
      <c r="AA784" s="368"/>
      <c r="AB784" s="368"/>
      <c r="AC784" s="368"/>
      <c r="AD784" s="368"/>
      <c r="AE784" s="365">
        <f t="shared" si="124"/>
        <v>0</v>
      </c>
      <c r="AF784" s="558"/>
      <c r="AG784" s="457"/>
      <c r="AH784" s="264"/>
    </row>
    <row r="785" spans="1:34" ht="30.75" thickBot="1" x14ac:dyDescent="0.3">
      <c r="A785" s="458"/>
      <c r="B785" s="463"/>
      <c r="C785" s="463" t="s">
        <v>44</v>
      </c>
      <c r="D785" s="449" t="s">
        <v>431</v>
      </c>
      <c r="E785" s="262"/>
      <c r="F785" s="447" t="s">
        <v>1707</v>
      </c>
      <c r="G785" s="387" t="e">
        <f>VLOOKUP(A785,'Feature Summary'!$A$7:$C$3944,3,FALSE)</f>
        <v>#N/A</v>
      </c>
      <c r="H785" s="447" t="s">
        <v>1709</v>
      </c>
      <c r="I785" s="447"/>
      <c r="J785" s="448" t="s">
        <v>328</v>
      </c>
      <c r="K785" s="263"/>
      <c r="L785" s="391"/>
      <c r="M785" s="399" t="s">
        <v>33</v>
      </c>
      <c r="N785" s="475">
        <v>1</v>
      </c>
      <c r="O785" s="391"/>
      <c r="P785" s="496">
        <f>IF((O785=0),0,(O785/L785))</f>
        <v>0</v>
      </c>
      <c r="Q785" s="445" t="s">
        <v>52</v>
      </c>
      <c r="R785" s="391"/>
      <c r="S785" s="362">
        <f t="shared" si="118"/>
        <v>0</v>
      </c>
      <c r="T785" s="368"/>
      <c r="U785" s="368"/>
      <c r="V785" s="368"/>
      <c r="W785" s="368"/>
      <c r="X785" s="364">
        <f t="shared" si="117"/>
        <v>0</v>
      </c>
      <c r="Y785" s="393"/>
      <c r="Z785" s="498">
        <f t="shared" si="125"/>
        <v>0</v>
      </c>
      <c r="AA785" s="368"/>
      <c r="AB785" s="368"/>
      <c r="AC785" s="368"/>
      <c r="AD785" s="368"/>
      <c r="AE785" s="365">
        <f t="shared" si="124"/>
        <v>0</v>
      </c>
      <c r="AF785" s="262"/>
      <c r="AG785" s="457"/>
      <c r="AH785" s="264"/>
    </row>
    <row r="786" spans="1:34" ht="30.75" thickBot="1" x14ac:dyDescent="0.3">
      <c r="A786" s="458"/>
      <c r="B786" s="463"/>
      <c r="C786" s="463" t="s">
        <v>44</v>
      </c>
      <c r="D786" s="449" t="s">
        <v>431</v>
      </c>
      <c r="E786" s="262"/>
      <c r="F786" s="447" t="s">
        <v>1707</v>
      </c>
      <c r="G786" s="387" t="e">
        <f>VLOOKUP(A786,'Feature Summary'!$A$7:$C$3944,3,FALSE)</f>
        <v>#N/A</v>
      </c>
      <c r="H786" s="447" t="s">
        <v>1710</v>
      </c>
      <c r="I786" s="447"/>
      <c r="J786" s="448" t="s">
        <v>1683</v>
      </c>
      <c r="K786" s="263"/>
      <c r="L786" s="391"/>
      <c r="M786" s="399" t="s">
        <v>33</v>
      </c>
      <c r="N786" s="475">
        <v>1</v>
      </c>
      <c r="O786" s="391"/>
      <c r="P786" s="496">
        <f t="shared" ref="P786:P790" si="126">IF((O786=0),0,(O786/L786))</f>
        <v>0</v>
      </c>
      <c r="Q786" s="445" t="s">
        <v>52</v>
      </c>
      <c r="R786" s="391"/>
      <c r="S786" s="362">
        <f t="shared" si="118"/>
        <v>0</v>
      </c>
      <c r="T786" s="368"/>
      <c r="U786" s="368"/>
      <c r="V786" s="368"/>
      <c r="W786" s="368"/>
      <c r="X786" s="364">
        <f t="shared" si="117"/>
        <v>0</v>
      </c>
      <c r="Y786" s="393"/>
      <c r="Z786" s="498">
        <f t="shared" si="125"/>
        <v>0</v>
      </c>
      <c r="AA786" s="368"/>
      <c r="AB786" s="368"/>
      <c r="AC786" s="368"/>
      <c r="AD786" s="368"/>
      <c r="AE786" s="365">
        <f t="shared" si="124"/>
        <v>0</v>
      </c>
      <c r="AF786" s="558"/>
      <c r="AG786" s="457"/>
      <c r="AH786" s="264"/>
    </row>
    <row r="787" spans="1:34" ht="15.75" thickBot="1" x14ac:dyDescent="0.3">
      <c r="A787" s="458"/>
      <c r="B787" s="463"/>
      <c r="C787" s="463" t="s">
        <v>44</v>
      </c>
      <c r="D787" s="449" t="s">
        <v>431</v>
      </c>
      <c r="E787" s="262"/>
      <c r="F787" s="447" t="s">
        <v>1707</v>
      </c>
      <c r="G787" s="387" t="e">
        <f>VLOOKUP(A787,'Feature Summary'!$A$7:$C$3944,3,FALSE)</f>
        <v>#N/A</v>
      </c>
      <c r="H787" s="447" t="s">
        <v>1711</v>
      </c>
      <c r="I787" s="447"/>
      <c r="J787" s="448" t="s">
        <v>297</v>
      </c>
      <c r="K787" s="263"/>
      <c r="L787" s="391"/>
      <c r="M787" s="399" t="s">
        <v>33</v>
      </c>
      <c r="N787" s="475">
        <v>1</v>
      </c>
      <c r="O787" s="391"/>
      <c r="P787" s="496">
        <f t="shared" si="126"/>
        <v>0</v>
      </c>
      <c r="Q787" s="445" t="s">
        <v>52</v>
      </c>
      <c r="R787" s="391"/>
      <c r="S787" s="362">
        <f t="shared" si="118"/>
        <v>0</v>
      </c>
      <c r="T787" s="368"/>
      <c r="U787" s="368"/>
      <c r="V787" s="368"/>
      <c r="W787" s="368"/>
      <c r="X787" s="364">
        <f t="shared" si="117"/>
        <v>0</v>
      </c>
      <c r="Y787" s="393"/>
      <c r="Z787" s="498">
        <f t="shared" si="125"/>
        <v>0</v>
      </c>
      <c r="AA787" s="368"/>
      <c r="AB787" s="368"/>
      <c r="AC787" s="368"/>
      <c r="AD787" s="368"/>
      <c r="AE787" s="365">
        <f t="shared" si="124"/>
        <v>0</v>
      </c>
      <c r="AF787" s="558"/>
      <c r="AG787" s="457"/>
      <c r="AH787" s="264"/>
    </row>
    <row r="788" spans="1:34" ht="30.75" thickBot="1" x14ac:dyDescent="0.3">
      <c r="A788" s="458" t="s">
        <v>1712</v>
      </c>
      <c r="B788" s="470" t="s">
        <v>1685</v>
      </c>
      <c r="C788" s="463" t="s">
        <v>354</v>
      </c>
      <c r="D788" s="449" t="s">
        <v>431</v>
      </c>
      <c r="E788" s="262"/>
      <c r="F788" s="447" t="s">
        <v>1713</v>
      </c>
      <c r="G788" s="387" t="e">
        <f>VLOOKUP(A788,'Feature Summary'!$A$7:$C$3944,3,FALSE)</f>
        <v>#N/A</v>
      </c>
      <c r="H788" s="447" t="s">
        <v>1714</v>
      </c>
      <c r="I788" s="488" t="s">
        <v>264</v>
      </c>
      <c r="J788" s="448" t="s">
        <v>1224</v>
      </c>
      <c r="K788" s="263">
        <v>1</v>
      </c>
      <c r="L788" s="391">
        <v>4</v>
      </c>
      <c r="M788" s="399" t="s">
        <v>33</v>
      </c>
      <c r="N788" s="475">
        <v>1</v>
      </c>
      <c r="O788" s="391">
        <v>4</v>
      </c>
      <c r="P788" s="496">
        <f t="shared" si="126"/>
        <v>1</v>
      </c>
      <c r="Q788" s="445" t="s">
        <v>52</v>
      </c>
      <c r="R788" s="391">
        <v>4</v>
      </c>
      <c r="S788" s="362">
        <f t="shared" si="118"/>
        <v>4</v>
      </c>
      <c r="T788" s="368">
        <v>4</v>
      </c>
      <c r="U788" s="368"/>
      <c r="V788" s="368"/>
      <c r="W788" s="368"/>
      <c r="X788" s="364">
        <f t="shared" si="117"/>
        <v>1</v>
      </c>
      <c r="Y788" s="393"/>
      <c r="Z788" s="498">
        <f t="shared" si="125"/>
        <v>0</v>
      </c>
      <c r="AA788" s="368"/>
      <c r="AB788" s="368"/>
      <c r="AC788" s="368"/>
      <c r="AD788" s="368"/>
      <c r="AE788" s="365">
        <f t="shared" si="124"/>
        <v>0</v>
      </c>
      <c r="AF788" s="558"/>
      <c r="AG788" s="457"/>
      <c r="AH788" s="264"/>
    </row>
    <row r="789" spans="1:34" ht="30.75" thickBot="1" x14ac:dyDescent="0.3">
      <c r="A789" s="458"/>
      <c r="B789" s="470" t="s">
        <v>1685</v>
      </c>
      <c r="C789" s="463" t="s">
        <v>44</v>
      </c>
      <c r="D789" s="449" t="s">
        <v>431</v>
      </c>
      <c r="E789" s="262"/>
      <c r="F789" s="447" t="s">
        <v>1713</v>
      </c>
      <c r="G789" s="387" t="e">
        <f>VLOOKUP(A789,'Feature Summary'!$A$7:$C$3944,3,FALSE)</f>
        <v>#N/A</v>
      </c>
      <c r="H789" s="447" t="s">
        <v>1715</v>
      </c>
      <c r="I789" s="447"/>
      <c r="J789" s="448" t="s">
        <v>328</v>
      </c>
      <c r="K789" s="263"/>
      <c r="L789" s="391"/>
      <c r="M789" s="399" t="s">
        <v>33</v>
      </c>
      <c r="N789" s="475">
        <v>1</v>
      </c>
      <c r="O789" s="391"/>
      <c r="P789" s="496">
        <f t="shared" si="126"/>
        <v>0</v>
      </c>
      <c r="Q789" s="445" t="s">
        <v>52</v>
      </c>
      <c r="R789" s="391"/>
      <c r="S789" s="362">
        <f t="shared" si="118"/>
        <v>0</v>
      </c>
      <c r="T789" s="368"/>
      <c r="U789" s="368"/>
      <c r="V789" s="368"/>
      <c r="W789" s="368"/>
      <c r="X789" s="364">
        <f t="shared" si="117"/>
        <v>0</v>
      </c>
      <c r="Y789" s="393"/>
      <c r="Z789" s="498">
        <f t="shared" si="125"/>
        <v>0</v>
      </c>
      <c r="AA789" s="368"/>
      <c r="AB789" s="368"/>
      <c r="AC789" s="368"/>
      <c r="AD789" s="368"/>
      <c r="AE789" s="365">
        <f t="shared" si="124"/>
        <v>0</v>
      </c>
      <c r="AF789" s="262"/>
      <c r="AG789" s="457"/>
      <c r="AH789" s="264"/>
    </row>
    <row r="790" spans="1:34" ht="51" customHeight="1" thickBot="1" x14ac:dyDescent="0.3">
      <c r="A790" s="458"/>
      <c r="B790" s="470" t="s">
        <v>1685</v>
      </c>
      <c r="C790" s="463" t="s">
        <v>44</v>
      </c>
      <c r="D790" s="449" t="s">
        <v>431</v>
      </c>
      <c r="E790" s="262"/>
      <c r="F790" s="447" t="s">
        <v>1713</v>
      </c>
      <c r="G790" s="387" t="e">
        <f>VLOOKUP(A790,'Feature Summary'!$A$7:$C$3944,3,FALSE)</f>
        <v>#N/A</v>
      </c>
      <c r="H790" s="447" t="s">
        <v>1716</v>
      </c>
      <c r="I790" s="447"/>
      <c r="J790" s="448" t="s">
        <v>1683</v>
      </c>
      <c r="K790" s="263"/>
      <c r="L790" s="391"/>
      <c r="M790" s="399" t="s">
        <v>33</v>
      </c>
      <c r="N790" s="475">
        <v>1</v>
      </c>
      <c r="O790" s="391"/>
      <c r="P790" s="496">
        <f t="shared" si="126"/>
        <v>0</v>
      </c>
      <c r="Q790" s="445" t="s">
        <v>52</v>
      </c>
      <c r="R790" s="391"/>
      <c r="S790" s="362">
        <f t="shared" si="118"/>
        <v>0</v>
      </c>
      <c r="T790" s="368"/>
      <c r="U790" s="368"/>
      <c r="V790" s="368"/>
      <c r="W790" s="368"/>
      <c r="X790" s="364">
        <f t="shared" si="117"/>
        <v>0</v>
      </c>
      <c r="Y790" s="393"/>
      <c r="Z790" s="498">
        <f t="shared" si="125"/>
        <v>0</v>
      </c>
      <c r="AA790" s="368"/>
      <c r="AB790" s="368"/>
      <c r="AC790" s="368"/>
      <c r="AD790" s="368"/>
      <c r="AE790" s="365">
        <f t="shared" si="124"/>
        <v>0</v>
      </c>
      <c r="AF790" s="558"/>
      <c r="AG790" s="457"/>
      <c r="AH790" s="264"/>
    </row>
    <row r="791" spans="1:34" ht="30.75" thickBot="1" x14ac:dyDescent="0.3">
      <c r="A791" s="458"/>
      <c r="B791" s="470" t="s">
        <v>1685</v>
      </c>
      <c r="C791" s="463" t="s">
        <v>44</v>
      </c>
      <c r="D791" s="449" t="s">
        <v>431</v>
      </c>
      <c r="E791" s="262"/>
      <c r="F791" s="447" t="s">
        <v>1713</v>
      </c>
      <c r="G791" s="387" t="e">
        <f>VLOOKUP(A791,'Feature Summary'!$A$7:$C$3944,3,FALSE)</f>
        <v>#N/A</v>
      </c>
      <c r="H791" s="447" t="s">
        <v>1717</v>
      </c>
      <c r="I791" s="447"/>
      <c r="J791" s="448" t="s">
        <v>297</v>
      </c>
      <c r="K791" s="263"/>
      <c r="L791" s="391"/>
      <c r="M791" s="399" t="s">
        <v>33</v>
      </c>
      <c r="N791" s="475">
        <v>1</v>
      </c>
      <c r="O791" s="391"/>
      <c r="P791" s="496">
        <f>IF((O791=0),0,(O791/L791))</f>
        <v>0</v>
      </c>
      <c r="Q791" s="445" t="s">
        <v>52</v>
      </c>
      <c r="R791" s="391"/>
      <c r="S791" s="362">
        <f t="shared" si="118"/>
        <v>0</v>
      </c>
      <c r="T791" s="368"/>
      <c r="U791" s="368"/>
      <c r="V791" s="368"/>
      <c r="W791" s="368"/>
      <c r="X791" s="364">
        <f t="shared" si="117"/>
        <v>0</v>
      </c>
      <c r="Y791" s="393"/>
      <c r="Z791" s="498">
        <f t="shared" si="125"/>
        <v>0</v>
      </c>
      <c r="AA791" s="368"/>
      <c r="AB791" s="368"/>
      <c r="AC791" s="368"/>
      <c r="AD791" s="368"/>
      <c r="AE791" s="365">
        <f t="shared" si="124"/>
        <v>0</v>
      </c>
      <c r="AF791" s="558"/>
      <c r="AG791" s="457"/>
      <c r="AH791" s="264"/>
    </row>
    <row r="792" spans="1:34" ht="15.75" thickBot="1" x14ac:dyDescent="0.3">
      <c r="A792" s="458"/>
      <c r="B792" s="463"/>
      <c r="C792" s="463" t="s">
        <v>260</v>
      </c>
      <c r="D792" s="449" t="s">
        <v>431</v>
      </c>
      <c r="E792" s="262"/>
      <c r="F792" s="447" t="s">
        <v>1718</v>
      </c>
      <c r="G792" s="387" t="e">
        <f>VLOOKUP(A792,'Feature Summary'!$A$7:$C$3944,3,FALSE)</f>
        <v>#N/A</v>
      </c>
      <c r="H792" s="447" t="s">
        <v>1719</v>
      </c>
      <c r="I792" s="488" t="s">
        <v>264</v>
      </c>
      <c r="J792" s="448" t="s">
        <v>1224</v>
      </c>
      <c r="K792" s="263">
        <v>1</v>
      </c>
      <c r="L792" s="391">
        <v>2</v>
      </c>
      <c r="M792" s="399" t="s">
        <v>33</v>
      </c>
      <c r="N792" s="475">
        <v>1</v>
      </c>
      <c r="O792" s="391">
        <v>2</v>
      </c>
      <c r="P792" s="496">
        <f t="shared" ref="P792:P852" si="127">IF((O792=0),0,(O792/L792))</f>
        <v>1</v>
      </c>
      <c r="Q792" s="445" t="s">
        <v>52</v>
      </c>
      <c r="R792" s="391">
        <v>2</v>
      </c>
      <c r="S792" s="362">
        <f t="shared" si="118"/>
        <v>2</v>
      </c>
      <c r="T792" s="368">
        <v>2</v>
      </c>
      <c r="U792" s="368"/>
      <c r="V792" s="368"/>
      <c r="W792" s="368"/>
      <c r="X792" s="364">
        <f t="shared" si="117"/>
        <v>1</v>
      </c>
      <c r="Y792" s="393"/>
      <c r="Z792" s="498">
        <f t="shared" si="125"/>
        <v>0</v>
      </c>
      <c r="AA792" s="368"/>
      <c r="AB792" s="368"/>
      <c r="AC792" s="368"/>
      <c r="AD792" s="368"/>
      <c r="AE792" s="365">
        <f t="shared" si="124"/>
        <v>0</v>
      </c>
      <c r="AF792" s="558"/>
      <c r="AG792" s="457"/>
      <c r="AH792" s="264"/>
    </row>
    <row r="793" spans="1:34" ht="39" customHeight="1" thickBot="1" x14ac:dyDescent="0.3">
      <c r="A793" s="458"/>
      <c r="B793" s="463"/>
      <c r="C793" s="463" t="s">
        <v>44</v>
      </c>
      <c r="D793" s="449" t="s">
        <v>431</v>
      </c>
      <c r="E793" s="262"/>
      <c r="F793" s="447" t="s">
        <v>1718</v>
      </c>
      <c r="G793" s="387" t="e">
        <f>VLOOKUP(A793,'Feature Summary'!$A$7:$C$3944,3,FALSE)</f>
        <v>#N/A</v>
      </c>
      <c r="H793" s="447" t="s">
        <v>1720</v>
      </c>
      <c r="I793" s="447"/>
      <c r="J793" s="448" t="s">
        <v>1226</v>
      </c>
      <c r="K793" s="263"/>
      <c r="L793" s="391"/>
      <c r="M793" s="399" t="s">
        <v>33</v>
      </c>
      <c r="N793" s="475">
        <v>1</v>
      </c>
      <c r="O793" s="391"/>
      <c r="P793" s="496">
        <f t="shared" si="127"/>
        <v>0</v>
      </c>
      <c r="Q793" s="445" t="s">
        <v>52</v>
      </c>
      <c r="R793" s="391"/>
      <c r="S793" s="362">
        <f t="shared" si="118"/>
        <v>0</v>
      </c>
      <c r="T793" s="368"/>
      <c r="U793" s="368"/>
      <c r="V793" s="368"/>
      <c r="W793" s="368"/>
      <c r="X793" s="364">
        <f t="shared" si="117"/>
        <v>0</v>
      </c>
      <c r="Y793" s="393"/>
      <c r="Z793" s="498">
        <f t="shared" si="125"/>
        <v>0</v>
      </c>
      <c r="AA793" s="368"/>
      <c r="AB793" s="368"/>
      <c r="AC793" s="368"/>
      <c r="AD793" s="368"/>
      <c r="AE793" s="365">
        <f t="shared" si="124"/>
        <v>0</v>
      </c>
      <c r="AF793" s="558"/>
      <c r="AG793" s="457"/>
      <c r="AH793" s="264"/>
    </row>
    <row r="794" spans="1:34" ht="30.75" thickBot="1" x14ac:dyDescent="0.3">
      <c r="A794" s="458"/>
      <c r="B794" s="463"/>
      <c r="C794" s="463" t="s">
        <v>44</v>
      </c>
      <c r="D794" s="449" t="s">
        <v>431</v>
      </c>
      <c r="E794" s="262"/>
      <c r="F794" s="447" t="s">
        <v>1718</v>
      </c>
      <c r="G794" s="387" t="e">
        <f>VLOOKUP(A794,'Feature Summary'!$A$7:$C$3944,3,FALSE)</f>
        <v>#N/A</v>
      </c>
      <c r="H794" s="447" t="s">
        <v>1721</v>
      </c>
      <c r="I794" s="447"/>
      <c r="J794" s="448" t="s">
        <v>1722</v>
      </c>
      <c r="K794" s="263"/>
      <c r="L794" s="391"/>
      <c r="M794" s="399" t="s">
        <v>33</v>
      </c>
      <c r="N794" s="475">
        <v>1</v>
      </c>
      <c r="O794" s="391"/>
      <c r="P794" s="496">
        <f t="shared" si="127"/>
        <v>0</v>
      </c>
      <c r="Q794" s="445" t="s">
        <v>52</v>
      </c>
      <c r="R794" s="391"/>
      <c r="S794" s="362">
        <f t="shared" si="118"/>
        <v>0</v>
      </c>
      <c r="T794" s="368"/>
      <c r="U794" s="368"/>
      <c r="V794" s="368"/>
      <c r="W794" s="368"/>
      <c r="X794" s="364">
        <f t="shared" si="117"/>
        <v>0</v>
      </c>
      <c r="Y794" s="393"/>
      <c r="Z794" s="498">
        <f t="shared" si="125"/>
        <v>0</v>
      </c>
      <c r="AA794" s="368"/>
      <c r="AB794" s="368"/>
      <c r="AC794" s="368"/>
      <c r="AD794" s="368"/>
      <c r="AE794" s="365">
        <f t="shared" si="124"/>
        <v>0</v>
      </c>
      <c r="AF794" s="262"/>
      <c r="AG794" s="457"/>
      <c r="AH794" s="264"/>
    </row>
    <row r="795" spans="1:34" ht="15.75" thickBot="1" x14ac:dyDescent="0.3">
      <c r="A795" s="458"/>
      <c r="B795" s="463"/>
      <c r="C795" s="463" t="s">
        <v>44</v>
      </c>
      <c r="D795" s="449" t="s">
        <v>431</v>
      </c>
      <c r="E795" s="262"/>
      <c r="F795" s="447" t="s">
        <v>1718</v>
      </c>
      <c r="G795" s="387" t="e">
        <f>VLOOKUP(A795,'Feature Summary'!$A$7:$C$3944,3,FALSE)</f>
        <v>#N/A</v>
      </c>
      <c r="H795" s="447" t="s">
        <v>1723</v>
      </c>
      <c r="I795" s="447"/>
      <c r="J795" s="448" t="s">
        <v>1228</v>
      </c>
      <c r="K795" s="263"/>
      <c r="L795" s="391"/>
      <c r="M795" s="399" t="s">
        <v>33</v>
      </c>
      <c r="N795" s="475">
        <v>1</v>
      </c>
      <c r="O795" s="391"/>
      <c r="P795" s="496">
        <f t="shared" si="127"/>
        <v>0</v>
      </c>
      <c r="Q795" s="445" t="s">
        <v>52</v>
      </c>
      <c r="R795" s="391"/>
      <c r="S795" s="362">
        <f t="shared" si="118"/>
        <v>0</v>
      </c>
      <c r="T795" s="368"/>
      <c r="U795" s="368"/>
      <c r="V795" s="368"/>
      <c r="W795" s="368"/>
      <c r="X795" s="364">
        <f t="shared" si="117"/>
        <v>0</v>
      </c>
      <c r="Y795" s="393"/>
      <c r="Z795" s="498">
        <f t="shared" si="125"/>
        <v>0</v>
      </c>
      <c r="AA795" s="368"/>
      <c r="AB795" s="368"/>
      <c r="AC795" s="368"/>
      <c r="AD795" s="368"/>
      <c r="AE795" s="365">
        <f t="shared" si="124"/>
        <v>0</v>
      </c>
      <c r="AF795" s="262"/>
      <c r="AG795" s="457"/>
      <c r="AH795" s="264"/>
    </row>
    <row r="796" spans="1:34" ht="30.75" thickBot="1" x14ac:dyDescent="0.3">
      <c r="A796" s="458" t="s">
        <v>1724</v>
      </c>
      <c r="B796" s="470" t="s">
        <v>1725</v>
      </c>
      <c r="C796" s="463" t="s">
        <v>354</v>
      </c>
      <c r="D796" s="449" t="s">
        <v>431</v>
      </c>
      <c r="E796" s="262"/>
      <c r="F796" s="447" t="s">
        <v>1726</v>
      </c>
      <c r="G796" s="387" t="e">
        <f>VLOOKUP(A796,'Feature Summary'!$A$7:$C$3944,3,FALSE)</f>
        <v>#N/A</v>
      </c>
      <c r="H796" s="447" t="s">
        <v>1727</v>
      </c>
      <c r="I796" s="488" t="s">
        <v>264</v>
      </c>
      <c r="J796" s="448" t="s">
        <v>1728</v>
      </c>
      <c r="K796" s="263">
        <v>1</v>
      </c>
      <c r="L796" s="391">
        <v>5</v>
      </c>
      <c r="M796" s="399" t="s">
        <v>33</v>
      </c>
      <c r="N796" s="475">
        <v>1</v>
      </c>
      <c r="O796" s="391">
        <v>5</v>
      </c>
      <c r="P796" s="496">
        <f t="shared" si="127"/>
        <v>1</v>
      </c>
      <c r="Q796" s="445" t="s">
        <v>52</v>
      </c>
      <c r="R796" s="391">
        <v>5</v>
      </c>
      <c r="S796" s="362">
        <f t="shared" si="118"/>
        <v>5</v>
      </c>
      <c r="T796" s="368">
        <v>5</v>
      </c>
      <c r="U796" s="368"/>
      <c r="V796" s="368"/>
      <c r="W796" s="368"/>
      <c r="X796" s="364">
        <f t="shared" si="117"/>
        <v>1</v>
      </c>
      <c r="Y796" s="393"/>
      <c r="Z796" s="498">
        <f t="shared" si="125"/>
        <v>0</v>
      </c>
      <c r="AA796" s="368"/>
      <c r="AB796" s="368"/>
      <c r="AC796" s="368"/>
      <c r="AD796" s="368"/>
      <c r="AE796" s="365">
        <f t="shared" si="124"/>
        <v>0</v>
      </c>
      <c r="AF796" s="558"/>
      <c r="AG796" s="457"/>
      <c r="AH796" s="264"/>
    </row>
    <row r="797" spans="1:34" ht="30.75" thickBot="1" x14ac:dyDescent="0.3">
      <c r="A797" s="458"/>
      <c r="B797" s="470" t="s">
        <v>1725</v>
      </c>
      <c r="C797" s="463" t="s">
        <v>44</v>
      </c>
      <c r="D797" s="449" t="s">
        <v>431</v>
      </c>
      <c r="E797" s="262"/>
      <c r="F797" s="447" t="s">
        <v>1726</v>
      </c>
      <c r="G797" s="387" t="e">
        <f>VLOOKUP(A797,'Feature Summary'!$A$7:$C$3944,3,FALSE)</f>
        <v>#N/A</v>
      </c>
      <c r="H797" s="447" t="s">
        <v>1729</v>
      </c>
      <c r="I797" s="447"/>
      <c r="J797" s="448" t="s">
        <v>1730</v>
      </c>
      <c r="K797" s="263"/>
      <c r="L797" s="391"/>
      <c r="M797" s="399" t="s">
        <v>33</v>
      </c>
      <c r="N797" s="475">
        <v>1</v>
      </c>
      <c r="O797" s="391"/>
      <c r="P797" s="496">
        <f t="shared" si="127"/>
        <v>0</v>
      </c>
      <c r="Q797" s="445" t="s">
        <v>52</v>
      </c>
      <c r="R797" s="391"/>
      <c r="S797" s="362">
        <f t="shared" si="118"/>
        <v>0</v>
      </c>
      <c r="T797" s="368"/>
      <c r="U797" s="368"/>
      <c r="V797" s="368"/>
      <c r="W797" s="368"/>
      <c r="X797" s="364">
        <f t="shared" ref="X797:X859" si="128">IF((S797=0),0,((T797+U797)/S797*100%))</f>
        <v>0</v>
      </c>
      <c r="Y797" s="393"/>
      <c r="Z797" s="498">
        <f t="shared" si="125"/>
        <v>0</v>
      </c>
      <c r="AA797" s="368"/>
      <c r="AB797" s="368"/>
      <c r="AC797" s="368"/>
      <c r="AD797" s="368"/>
      <c r="AE797" s="365">
        <f t="shared" si="124"/>
        <v>0</v>
      </c>
      <c r="AF797" s="262"/>
      <c r="AG797" s="457"/>
      <c r="AH797" s="264"/>
    </row>
    <row r="798" spans="1:34" ht="39.75" customHeight="1" thickBot="1" x14ac:dyDescent="0.3">
      <c r="A798" s="458"/>
      <c r="B798" s="470" t="s">
        <v>1725</v>
      </c>
      <c r="C798" s="463" t="s">
        <v>44</v>
      </c>
      <c r="D798" s="449" t="s">
        <v>431</v>
      </c>
      <c r="E798" s="262"/>
      <c r="F798" s="447" t="s">
        <v>1726</v>
      </c>
      <c r="G798" s="387" t="e">
        <f>VLOOKUP(A798,'Feature Summary'!$A$7:$C$3944,3,FALSE)</f>
        <v>#N/A</v>
      </c>
      <c r="H798" s="447" t="s">
        <v>1731</v>
      </c>
      <c r="I798" s="447"/>
      <c r="J798" s="448" t="s">
        <v>1732</v>
      </c>
      <c r="K798" s="263"/>
      <c r="L798" s="391"/>
      <c r="M798" s="399" t="s">
        <v>33</v>
      </c>
      <c r="N798" s="475">
        <v>1</v>
      </c>
      <c r="O798" s="391"/>
      <c r="P798" s="496">
        <f t="shared" si="127"/>
        <v>0</v>
      </c>
      <c r="Q798" s="445" t="s">
        <v>52</v>
      </c>
      <c r="R798" s="391"/>
      <c r="S798" s="362">
        <f t="shared" ref="S798:S860" si="129">SUM(T798:W798)</f>
        <v>0</v>
      </c>
      <c r="T798" s="368"/>
      <c r="U798" s="368"/>
      <c r="V798" s="368"/>
      <c r="W798" s="368"/>
      <c r="X798" s="364">
        <f t="shared" si="128"/>
        <v>0</v>
      </c>
      <c r="Y798" s="393"/>
      <c r="Z798" s="498">
        <f t="shared" si="125"/>
        <v>0</v>
      </c>
      <c r="AA798" s="368"/>
      <c r="AB798" s="368"/>
      <c r="AC798" s="368"/>
      <c r="AD798" s="368"/>
      <c r="AE798" s="365">
        <f t="shared" si="124"/>
        <v>0</v>
      </c>
      <c r="AF798" s="558"/>
      <c r="AG798" s="457"/>
      <c r="AH798" s="264"/>
    </row>
    <row r="799" spans="1:34" ht="30.75" thickBot="1" x14ac:dyDescent="0.3">
      <c r="A799" s="458"/>
      <c r="B799" s="470" t="s">
        <v>1725</v>
      </c>
      <c r="C799" s="463" t="s">
        <v>44</v>
      </c>
      <c r="D799" s="449" t="s">
        <v>431</v>
      </c>
      <c r="E799" s="262"/>
      <c r="F799" s="447" t="s">
        <v>1726</v>
      </c>
      <c r="G799" s="387" t="e">
        <f>VLOOKUP(A799,'Feature Summary'!$A$7:$C$3944,3,FALSE)</f>
        <v>#N/A</v>
      </c>
      <c r="H799" s="447" t="s">
        <v>1733</v>
      </c>
      <c r="I799" s="447"/>
      <c r="J799" s="448" t="s">
        <v>1734</v>
      </c>
      <c r="K799" s="263"/>
      <c r="L799" s="391"/>
      <c r="M799" s="399" t="s">
        <v>33</v>
      </c>
      <c r="N799" s="475">
        <v>1</v>
      </c>
      <c r="O799" s="391"/>
      <c r="P799" s="496">
        <f t="shared" si="127"/>
        <v>0</v>
      </c>
      <c r="Q799" s="445" t="s">
        <v>52</v>
      </c>
      <c r="R799" s="391"/>
      <c r="S799" s="362">
        <f t="shared" si="129"/>
        <v>0</v>
      </c>
      <c r="T799" s="368"/>
      <c r="U799" s="368"/>
      <c r="V799" s="368"/>
      <c r="W799" s="368"/>
      <c r="X799" s="364">
        <f t="shared" si="128"/>
        <v>0</v>
      </c>
      <c r="Y799" s="393"/>
      <c r="Z799" s="498">
        <f t="shared" si="125"/>
        <v>0</v>
      </c>
      <c r="AA799" s="368"/>
      <c r="AB799" s="368"/>
      <c r="AC799" s="368"/>
      <c r="AD799" s="368"/>
      <c r="AE799" s="365">
        <f t="shared" si="124"/>
        <v>0</v>
      </c>
      <c r="AF799" s="262"/>
      <c r="AG799" s="457"/>
      <c r="AH799" s="264"/>
    </row>
    <row r="800" spans="1:34" ht="30.75" thickBot="1" x14ac:dyDescent="0.3">
      <c r="A800" s="458"/>
      <c r="B800" s="463"/>
      <c r="C800" s="463" t="s">
        <v>354</v>
      </c>
      <c r="D800" s="449" t="s">
        <v>431</v>
      </c>
      <c r="E800" s="262"/>
      <c r="F800" s="447" t="s">
        <v>1735</v>
      </c>
      <c r="G800" s="387" t="e">
        <f>VLOOKUP(A800,'Feature Summary'!$A$7:$C$3944,3,FALSE)</f>
        <v>#N/A</v>
      </c>
      <c r="H800" s="447" t="s">
        <v>1736</v>
      </c>
      <c r="I800" s="488" t="s">
        <v>264</v>
      </c>
      <c r="J800" s="448" t="s">
        <v>1224</v>
      </c>
      <c r="K800" s="263">
        <v>1</v>
      </c>
      <c r="L800" s="391">
        <v>3</v>
      </c>
      <c r="M800" s="399" t="s">
        <v>33</v>
      </c>
      <c r="N800" s="475">
        <v>1</v>
      </c>
      <c r="O800" s="391">
        <v>3</v>
      </c>
      <c r="P800" s="496">
        <f t="shared" si="127"/>
        <v>1</v>
      </c>
      <c r="Q800" s="445" t="s">
        <v>52</v>
      </c>
      <c r="R800" s="391">
        <v>3</v>
      </c>
      <c r="S800" s="362">
        <f t="shared" si="129"/>
        <v>3</v>
      </c>
      <c r="T800" s="368">
        <v>3</v>
      </c>
      <c r="U800" s="368"/>
      <c r="V800" s="368"/>
      <c r="W800" s="368"/>
      <c r="X800" s="364">
        <f t="shared" si="128"/>
        <v>1</v>
      </c>
      <c r="Y800" s="393"/>
      <c r="Z800" s="498">
        <f t="shared" si="125"/>
        <v>0</v>
      </c>
      <c r="AA800" s="368"/>
      <c r="AB800" s="368"/>
      <c r="AC800" s="368"/>
      <c r="AD800" s="368"/>
      <c r="AE800" s="365">
        <f t="shared" si="124"/>
        <v>0</v>
      </c>
      <c r="AF800" s="558"/>
      <c r="AG800" s="457"/>
      <c r="AH800" s="264"/>
    </row>
    <row r="801" spans="1:34" ht="30.75" thickBot="1" x14ac:dyDescent="0.3">
      <c r="A801" s="458"/>
      <c r="B801" s="463"/>
      <c r="C801" s="463" t="s">
        <v>44</v>
      </c>
      <c r="D801" s="449" t="s">
        <v>431</v>
      </c>
      <c r="E801" s="262"/>
      <c r="F801" s="447" t="s">
        <v>1735</v>
      </c>
      <c r="G801" s="387" t="e">
        <f>VLOOKUP(A801,'Feature Summary'!$A$7:$C$3944,3,FALSE)</f>
        <v>#N/A</v>
      </c>
      <c r="H801" s="447" t="s">
        <v>1737</v>
      </c>
      <c r="I801" s="447"/>
      <c r="J801" s="448" t="s">
        <v>328</v>
      </c>
      <c r="K801" s="263"/>
      <c r="L801" s="391"/>
      <c r="M801" s="399" t="s">
        <v>33</v>
      </c>
      <c r="N801" s="475">
        <v>1</v>
      </c>
      <c r="O801" s="391"/>
      <c r="P801" s="496">
        <f t="shared" si="127"/>
        <v>0</v>
      </c>
      <c r="Q801" s="445" t="s">
        <v>52</v>
      </c>
      <c r="R801" s="391"/>
      <c r="S801" s="362">
        <f t="shared" si="129"/>
        <v>0</v>
      </c>
      <c r="T801" s="368"/>
      <c r="U801" s="368"/>
      <c r="V801" s="368"/>
      <c r="W801" s="368"/>
      <c r="X801" s="364">
        <f t="shared" si="128"/>
        <v>0</v>
      </c>
      <c r="Y801" s="393"/>
      <c r="Z801" s="498">
        <f t="shared" si="125"/>
        <v>0</v>
      </c>
      <c r="AA801" s="368"/>
      <c r="AB801" s="368"/>
      <c r="AC801" s="368"/>
      <c r="AD801" s="368"/>
      <c r="AE801" s="365">
        <f t="shared" si="124"/>
        <v>0</v>
      </c>
      <c r="AF801" s="262"/>
      <c r="AG801" s="457"/>
      <c r="AH801" s="264"/>
    </row>
    <row r="802" spans="1:34" ht="30.75" thickBot="1" x14ac:dyDescent="0.3">
      <c r="A802" s="458"/>
      <c r="B802" s="463"/>
      <c r="C802" s="463" t="s">
        <v>44</v>
      </c>
      <c r="D802" s="449" t="s">
        <v>431</v>
      </c>
      <c r="E802" s="262"/>
      <c r="F802" s="447" t="s">
        <v>1735</v>
      </c>
      <c r="G802" s="387" t="e">
        <f>VLOOKUP(A802,'Feature Summary'!$A$7:$C$3944,3,FALSE)</f>
        <v>#N/A</v>
      </c>
      <c r="H802" s="447" t="s">
        <v>1738</v>
      </c>
      <c r="I802" s="447"/>
      <c r="J802" s="448" t="s">
        <v>1683</v>
      </c>
      <c r="K802" s="263"/>
      <c r="L802" s="391"/>
      <c r="M802" s="399" t="s">
        <v>33</v>
      </c>
      <c r="N802" s="475">
        <v>1</v>
      </c>
      <c r="O802" s="391"/>
      <c r="P802" s="496">
        <f t="shared" si="127"/>
        <v>0</v>
      </c>
      <c r="Q802" s="445" t="s">
        <v>52</v>
      </c>
      <c r="R802" s="391"/>
      <c r="S802" s="362">
        <f t="shared" si="129"/>
        <v>0</v>
      </c>
      <c r="T802" s="368"/>
      <c r="U802" s="368"/>
      <c r="V802" s="368"/>
      <c r="W802" s="368"/>
      <c r="X802" s="364">
        <f t="shared" si="128"/>
        <v>0</v>
      </c>
      <c r="Y802" s="393"/>
      <c r="Z802" s="498">
        <f t="shared" si="125"/>
        <v>0</v>
      </c>
      <c r="AA802" s="368"/>
      <c r="AB802" s="368"/>
      <c r="AC802" s="368"/>
      <c r="AD802" s="368"/>
      <c r="AE802" s="365">
        <f t="shared" si="124"/>
        <v>0</v>
      </c>
      <c r="AF802" s="262"/>
      <c r="AG802" s="457"/>
      <c r="AH802" s="264"/>
    </row>
    <row r="803" spans="1:34" ht="30.75" thickBot="1" x14ac:dyDescent="0.3">
      <c r="A803" s="458"/>
      <c r="B803" s="463"/>
      <c r="C803" s="463" t="s">
        <v>44</v>
      </c>
      <c r="D803" s="449" t="s">
        <v>431</v>
      </c>
      <c r="E803" s="262"/>
      <c r="F803" s="447" t="s">
        <v>1735</v>
      </c>
      <c r="G803" s="387" t="e">
        <f>VLOOKUP(A803,'Feature Summary'!$A$7:$C$3944,3,FALSE)</f>
        <v>#N/A</v>
      </c>
      <c r="H803" s="447" t="s">
        <v>1739</v>
      </c>
      <c r="I803" s="447"/>
      <c r="J803" s="448" t="s">
        <v>297</v>
      </c>
      <c r="K803" s="263"/>
      <c r="L803" s="391"/>
      <c r="M803" s="399" t="s">
        <v>33</v>
      </c>
      <c r="N803" s="475">
        <v>1</v>
      </c>
      <c r="O803" s="391"/>
      <c r="P803" s="496">
        <f t="shared" si="127"/>
        <v>0</v>
      </c>
      <c r="Q803" s="445" t="s">
        <v>52</v>
      </c>
      <c r="R803" s="391"/>
      <c r="S803" s="362">
        <f t="shared" si="129"/>
        <v>0</v>
      </c>
      <c r="T803" s="368"/>
      <c r="U803" s="368"/>
      <c r="V803" s="368"/>
      <c r="W803" s="368"/>
      <c r="X803" s="364">
        <f t="shared" si="128"/>
        <v>0</v>
      </c>
      <c r="Y803" s="393"/>
      <c r="Z803" s="498">
        <f t="shared" si="125"/>
        <v>0</v>
      </c>
      <c r="AA803" s="368"/>
      <c r="AB803" s="368"/>
      <c r="AC803" s="368"/>
      <c r="AD803" s="368"/>
      <c r="AE803" s="365">
        <f t="shared" si="124"/>
        <v>0</v>
      </c>
      <c r="AF803" s="262"/>
      <c r="AG803" s="457"/>
      <c r="AH803" s="264"/>
    </row>
    <row r="804" spans="1:34" ht="15.75" thickBot="1" x14ac:dyDescent="0.3">
      <c r="A804" s="458" t="s">
        <v>1740</v>
      </c>
      <c r="B804" s="447" t="s">
        <v>1116</v>
      </c>
      <c r="C804" s="580" t="s">
        <v>651</v>
      </c>
      <c r="D804" s="449" t="s">
        <v>431</v>
      </c>
      <c r="E804" s="262"/>
      <c r="F804" s="447" t="s">
        <v>1741</v>
      </c>
      <c r="G804" s="387" t="str">
        <f>VLOOKUP(A804,'Feature Summary'!$A$7:$C$3944,3,FALSE)</f>
        <v>P2</v>
      </c>
      <c r="H804" s="447" t="s">
        <v>1742</v>
      </c>
      <c r="I804" s="488" t="s">
        <v>264</v>
      </c>
      <c r="J804" s="448" t="s">
        <v>281</v>
      </c>
      <c r="K804" s="263">
        <v>1</v>
      </c>
      <c r="L804" s="391">
        <v>2</v>
      </c>
      <c r="M804" s="399" t="s">
        <v>33</v>
      </c>
      <c r="N804" s="475">
        <v>1</v>
      </c>
      <c r="O804" s="391">
        <v>2</v>
      </c>
      <c r="P804" s="496">
        <f t="shared" si="127"/>
        <v>1</v>
      </c>
      <c r="Q804" s="445" t="s">
        <v>52</v>
      </c>
      <c r="R804" s="391">
        <v>2</v>
      </c>
      <c r="S804" s="362">
        <f t="shared" si="129"/>
        <v>2</v>
      </c>
      <c r="T804" s="368">
        <v>2</v>
      </c>
      <c r="U804" s="368"/>
      <c r="V804" s="368"/>
      <c r="W804" s="368"/>
      <c r="X804" s="364">
        <f t="shared" si="128"/>
        <v>1</v>
      </c>
      <c r="Y804" s="393"/>
      <c r="Z804" s="498">
        <f t="shared" si="125"/>
        <v>0</v>
      </c>
      <c r="AA804" s="368"/>
      <c r="AB804" s="368"/>
      <c r="AC804" s="368"/>
      <c r="AD804" s="368"/>
      <c r="AE804" s="365">
        <f t="shared" si="124"/>
        <v>0</v>
      </c>
      <c r="AF804" s="262"/>
      <c r="AG804" s="457"/>
      <c r="AH804" s="264"/>
    </row>
    <row r="805" spans="1:34" ht="30.75" thickBot="1" x14ac:dyDescent="0.3">
      <c r="A805" s="458"/>
      <c r="B805" s="447" t="s">
        <v>1116</v>
      </c>
      <c r="C805" s="463" t="s">
        <v>44</v>
      </c>
      <c r="D805" s="449" t="s">
        <v>431</v>
      </c>
      <c r="E805" s="262"/>
      <c r="F805" s="447" t="s">
        <v>1741</v>
      </c>
      <c r="G805" s="387" t="e">
        <f>VLOOKUP(A805,'Feature Summary'!$A$7:$C$3944,3,FALSE)</f>
        <v>#N/A</v>
      </c>
      <c r="H805" s="447" t="s">
        <v>1743</v>
      </c>
      <c r="I805" s="447"/>
      <c r="J805" s="448" t="s">
        <v>328</v>
      </c>
      <c r="K805" s="263"/>
      <c r="L805" s="391"/>
      <c r="M805" s="399" t="s">
        <v>33</v>
      </c>
      <c r="N805" s="475">
        <v>1</v>
      </c>
      <c r="O805" s="391"/>
      <c r="P805" s="496">
        <f t="shared" si="127"/>
        <v>0</v>
      </c>
      <c r="Q805" s="445" t="s">
        <v>52</v>
      </c>
      <c r="R805" s="391"/>
      <c r="S805" s="362">
        <f t="shared" si="129"/>
        <v>0</v>
      </c>
      <c r="T805" s="368"/>
      <c r="U805" s="368"/>
      <c r="V805" s="368"/>
      <c r="W805" s="368"/>
      <c r="X805" s="364">
        <f t="shared" si="128"/>
        <v>0</v>
      </c>
      <c r="Y805" s="393"/>
      <c r="Z805" s="498">
        <f t="shared" si="125"/>
        <v>0</v>
      </c>
      <c r="AA805" s="368"/>
      <c r="AB805" s="368"/>
      <c r="AC805" s="368"/>
      <c r="AD805" s="368"/>
      <c r="AE805" s="365">
        <f t="shared" si="124"/>
        <v>0</v>
      </c>
      <c r="AF805" s="262"/>
      <c r="AG805" s="457"/>
      <c r="AH805" s="264"/>
    </row>
    <row r="806" spans="1:34" ht="15.75" thickBot="1" x14ac:dyDescent="0.3">
      <c r="A806" s="458"/>
      <c r="B806" s="447" t="s">
        <v>1116</v>
      </c>
      <c r="C806" s="463" t="s">
        <v>44</v>
      </c>
      <c r="D806" s="449" t="s">
        <v>431</v>
      </c>
      <c r="E806" s="262"/>
      <c r="F806" s="447" t="s">
        <v>1741</v>
      </c>
      <c r="G806" s="387" t="e">
        <f>VLOOKUP(A806,'Feature Summary'!$A$7:$C$3944,3,FALSE)</f>
        <v>#N/A</v>
      </c>
      <c r="H806" s="447" t="s">
        <v>1744</v>
      </c>
      <c r="I806" s="447"/>
      <c r="J806" s="448" t="s">
        <v>297</v>
      </c>
      <c r="K806" s="263"/>
      <c r="L806" s="391"/>
      <c r="M806" s="399" t="s">
        <v>33</v>
      </c>
      <c r="N806" s="475">
        <v>1</v>
      </c>
      <c r="O806" s="391"/>
      <c r="P806" s="496">
        <f t="shared" si="127"/>
        <v>0</v>
      </c>
      <c r="Q806" s="445" t="s">
        <v>52</v>
      </c>
      <c r="R806" s="391"/>
      <c r="S806" s="362">
        <f t="shared" si="129"/>
        <v>0</v>
      </c>
      <c r="T806" s="368"/>
      <c r="U806" s="368"/>
      <c r="V806" s="368"/>
      <c r="W806" s="368"/>
      <c r="X806" s="364">
        <f t="shared" si="128"/>
        <v>0</v>
      </c>
      <c r="Y806" s="393"/>
      <c r="Z806" s="498">
        <f t="shared" si="125"/>
        <v>0</v>
      </c>
      <c r="AA806" s="368"/>
      <c r="AB806" s="368"/>
      <c r="AC806" s="368"/>
      <c r="AD806" s="368"/>
      <c r="AE806" s="365">
        <f t="shared" si="124"/>
        <v>0</v>
      </c>
      <c r="AF806" s="262"/>
      <c r="AG806" s="457"/>
      <c r="AH806" s="264"/>
    </row>
    <row r="807" spans="1:34" ht="15.75" thickBot="1" x14ac:dyDescent="0.3">
      <c r="A807" s="458"/>
      <c r="B807" s="447" t="s">
        <v>1111</v>
      </c>
      <c r="C807" s="580" t="s">
        <v>651</v>
      </c>
      <c r="D807" s="449" t="s">
        <v>431</v>
      </c>
      <c r="E807" s="262"/>
      <c r="F807" s="447" t="s">
        <v>1745</v>
      </c>
      <c r="G807" s="387" t="e">
        <f>VLOOKUP(A807,'Feature Summary'!$A$7:$C$3944,3,FALSE)</f>
        <v>#N/A</v>
      </c>
      <c r="H807" s="447" t="s">
        <v>1746</v>
      </c>
      <c r="I807" s="488" t="s">
        <v>264</v>
      </c>
      <c r="J807" s="448" t="s">
        <v>281</v>
      </c>
      <c r="K807" s="263">
        <v>1</v>
      </c>
      <c r="L807" s="391">
        <v>1</v>
      </c>
      <c r="M807" s="399" t="s">
        <v>33</v>
      </c>
      <c r="N807" s="475">
        <v>1</v>
      </c>
      <c r="O807" s="391">
        <v>1</v>
      </c>
      <c r="P807" s="496">
        <f t="shared" si="127"/>
        <v>1</v>
      </c>
      <c r="Q807" s="445" t="s">
        <v>52</v>
      </c>
      <c r="R807" s="391">
        <v>1</v>
      </c>
      <c r="S807" s="362">
        <f t="shared" si="129"/>
        <v>1</v>
      </c>
      <c r="T807" s="368">
        <v>1</v>
      </c>
      <c r="U807" s="368"/>
      <c r="V807" s="368"/>
      <c r="W807" s="368"/>
      <c r="X807" s="364">
        <f t="shared" si="128"/>
        <v>1</v>
      </c>
      <c r="Y807" s="393"/>
      <c r="Z807" s="498">
        <f t="shared" si="125"/>
        <v>0</v>
      </c>
      <c r="AA807" s="368"/>
      <c r="AB807" s="368"/>
      <c r="AC807" s="368"/>
      <c r="AD807" s="368"/>
      <c r="AE807" s="365">
        <f t="shared" si="124"/>
        <v>0</v>
      </c>
      <c r="AF807" s="262"/>
      <c r="AG807" s="457"/>
      <c r="AH807" s="264"/>
    </row>
    <row r="808" spans="1:34" ht="15.75" thickBot="1" x14ac:dyDescent="0.3">
      <c r="A808" s="458"/>
      <c r="B808" s="447" t="s">
        <v>1111</v>
      </c>
      <c r="C808" s="463" t="s">
        <v>44</v>
      </c>
      <c r="D808" s="449" t="s">
        <v>431</v>
      </c>
      <c r="E808" s="262"/>
      <c r="F808" s="447" t="s">
        <v>1745</v>
      </c>
      <c r="G808" s="387" t="e">
        <f>VLOOKUP(A808,'Feature Summary'!$A$7:$C$3944,3,FALSE)</f>
        <v>#N/A</v>
      </c>
      <c r="H808" s="447" t="s">
        <v>1747</v>
      </c>
      <c r="I808" s="447"/>
      <c r="J808" s="448" t="s">
        <v>297</v>
      </c>
      <c r="K808" s="263"/>
      <c r="L808" s="391"/>
      <c r="M808" s="399" t="s">
        <v>33</v>
      </c>
      <c r="N808" s="475">
        <v>1</v>
      </c>
      <c r="O808" s="391"/>
      <c r="P808" s="496">
        <f t="shared" si="127"/>
        <v>0</v>
      </c>
      <c r="Q808" s="445" t="s">
        <v>52</v>
      </c>
      <c r="R808" s="391"/>
      <c r="S808" s="362">
        <f t="shared" si="129"/>
        <v>0</v>
      </c>
      <c r="T808" s="368"/>
      <c r="U808" s="368"/>
      <c r="V808" s="368"/>
      <c r="W808" s="368"/>
      <c r="X808" s="364">
        <f t="shared" si="128"/>
        <v>0</v>
      </c>
      <c r="Y808" s="393"/>
      <c r="Z808" s="498">
        <f t="shared" si="125"/>
        <v>0</v>
      </c>
      <c r="AA808" s="368"/>
      <c r="AB808" s="368"/>
      <c r="AC808" s="368"/>
      <c r="AD808" s="368"/>
      <c r="AE808" s="365">
        <f t="shared" si="124"/>
        <v>0</v>
      </c>
      <c r="AF808" s="262"/>
      <c r="AG808" s="457"/>
      <c r="AH808" s="264"/>
    </row>
    <row r="809" spans="1:34" ht="15.75" thickBot="1" x14ac:dyDescent="0.3">
      <c r="A809" s="458"/>
      <c r="B809" s="463"/>
      <c r="C809" s="580" t="s">
        <v>651</v>
      </c>
      <c r="D809" s="449" t="s">
        <v>431</v>
      </c>
      <c r="E809" s="262"/>
      <c r="F809" s="447" t="s">
        <v>1748</v>
      </c>
      <c r="G809" s="387" t="e">
        <f>VLOOKUP(A809,'Feature Summary'!$A$7:$C$3944,3,FALSE)</f>
        <v>#N/A</v>
      </c>
      <c r="H809" s="447" t="s">
        <v>1749</v>
      </c>
      <c r="I809" s="488" t="s">
        <v>264</v>
      </c>
      <c r="J809" s="448" t="s">
        <v>281</v>
      </c>
      <c r="K809" s="263">
        <v>1</v>
      </c>
      <c r="L809" s="391">
        <v>1</v>
      </c>
      <c r="M809" s="399" t="s">
        <v>33</v>
      </c>
      <c r="N809" s="475">
        <v>1</v>
      </c>
      <c r="O809" s="391">
        <v>1</v>
      </c>
      <c r="P809" s="496">
        <f t="shared" si="127"/>
        <v>1</v>
      </c>
      <c r="Q809" s="445" t="s">
        <v>52</v>
      </c>
      <c r="R809" s="391">
        <v>1</v>
      </c>
      <c r="S809" s="362">
        <f t="shared" si="129"/>
        <v>1</v>
      </c>
      <c r="T809" s="368">
        <v>1</v>
      </c>
      <c r="U809" s="368"/>
      <c r="V809" s="368"/>
      <c r="W809" s="368"/>
      <c r="X809" s="364">
        <f t="shared" si="128"/>
        <v>1</v>
      </c>
      <c r="Y809" s="393"/>
      <c r="Z809" s="498">
        <f t="shared" si="125"/>
        <v>0</v>
      </c>
      <c r="AA809" s="368"/>
      <c r="AB809" s="368"/>
      <c r="AC809" s="368"/>
      <c r="AD809" s="368"/>
      <c r="AE809" s="365">
        <f t="shared" si="124"/>
        <v>0</v>
      </c>
      <c r="AF809" s="262"/>
      <c r="AG809" s="457"/>
      <c r="AH809" s="264"/>
    </row>
    <row r="810" spans="1:34" ht="30.75" thickBot="1" x14ac:dyDescent="0.3">
      <c r="A810" s="458"/>
      <c r="B810" s="463"/>
      <c r="C810" s="463" t="s">
        <v>44</v>
      </c>
      <c r="D810" s="449" t="s">
        <v>431</v>
      </c>
      <c r="E810" s="262"/>
      <c r="F810" s="447" t="s">
        <v>1748</v>
      </c>
      <c r="G810" s="387" t="e">
        <f>VLOOKUP(A810,'Feature Summary'!$A$7:$C$3944,3,FALSE)</f>
        <v>#N/A</v>
      </c>
      <c r="H810" s="447" t="s">
        <v>1750</v>
      </c>
      <c r="I810" s="447"/>
      <c r="J810" s="448" t="s">
        <v>328</v>
      </c>
      <c r="K810" s="263"/>
      <c r="L810" s="391"/>
      <c r="M810" s="399" t="s">
        <v>33</v>
      </c>
      <c r="N810" s="475">
        <v>1</v>
      </c>
      <c r="O810" s="391"/>
      <c r="P810" s="496">
        <f t="shared" si="127"/>
        <v>0</v>
      </c>
      <c r="Q810" s="445" t="s">
        <v>52</v>
      </c>
      <c r="R810" s="391"/>
      <c r="S810" s="362">
        <f t="shared" si="129"/>
        <v>0</v>
      </c>
      <c r="T810" s="368"/>
      <c r="U810" s="368"/>
      <c r="V810" s="368"/>
      <c r="W810" s="368"/>
      <c r="X810" s="364">
        <f t="shared" si="128"/>
        <v>0</v>
      </c>
      <c r="Y810" s="393"/>
      <c r="Z810" s="498">
        <f t="shared" si="125"/>
        <v>0</v>
      </c>
      <c r="AA810" s="368"/>
      <c r="AB810" s="368"/>
      <c r="AC810" s="368"/>
      <c r="AD810" s="368"/>
      <c r="AE810" s="365">
        <f t="shared" si="124"/>
        <v>0</v>
      </c>
      <c r="AF810" s="262"/>
      <c r="AG810" s="457"/>
      <c r="AH810" s="264"/>
    </row>
    <row r="811" spans="1:34" ht="15.75" thickBot="1" x14ac:dyDescent="0.3">
      <c r="A811" s="458"/>
      <c r="B811" s="463"/>
      <c r="C811" s="463" t="s">
        <v>44</v>
      </c>
      <c r="D811" s="449" t="s">
        <v>431</v>
      </c>
      <c r="E811" s="262"/>
      <c r="F811" s="447" t="s">
        <v>1748</v>
      </c>
      <c r="G811" s="387" t="e">
        <f>VLOOKUP(A811,'Feature Summary'!$A$7:$C$3944,3,FALSE)</f>
        <v>#N/A</v>
      </c>
      <c r="H811" s="447" t="s">
        <v>1751</v>
      </c>
      <c r="I811" s="447"/>
      <c r="J811" s="448" t="s">
        <v>297</v>
      </c>
      <c r="K811" s="263"/>
      <c r="L811" s="391"/>
      <c r="M811" s="399" t="s">
        <v>33</v>
      </c>
      <c r="N811" s="475">
        <v>1</v>
      </c>
      <c r="O811" s="391"/>
      <c r="P811" s="496">
        <f t="shared" si="127"/>
        <v>0</v>
      </c>
      <c r="Q811" s="445" t="s">
        <v>52</v>
      </c>
      <c r="R811" s="391"/>
      <c r="S811" s="362">
        <f t="shared" si="129"/>
        <v>0</v>
      </c>
      <c r="T811" s="368"/>
      <c r="U811" s="368"/>
      <c r="V811" s="368"/>
      <c r="W811" s="368"/>
      <c r="X811" s="364">
        <f t="shared" si="128"/>
        <v>0</v>
      </c>
      <c r="Y811" s="393"/>
      <c r="Z811" s="498">
        <f t="shared" si="125"/>
        <v>0</v>
      </c>
      <c r="AA811" s="368"/>
      <c r="AB811" s="368"/>
      <c r="AC811" s="368"/>
      <c r="AD811" s="368"/>
      <c r="AE811" s="365">
        <f t="shared" si="124"/>
        <v>0</v>
      </c>
      <c r="AF811" s="262"/>
      <c r="AG811" s="457"/>
      <c r="AH811" s="264"/>
    </row>
    <row r="812" spans="1:34" ht="15.75" thickBot="1" x14ac:dyDescent="0.3">
      <c r="A812" s="458"/>
      <c r="B812" s="463"/>
      <c r="C812" s="580" t="s">
        <v>651</v>
      </c>
      <c r="D812" s="449" t="s">
        <v>431</v>
      </c>
      <c r="E812" s="262"/>
      <c r="F812" s="447" t="s">
        <v>1752</v>
      </c>
      <c r="G812" s="387" t="e">
        <f>VLOOKUP(A812,'Feature Summary'!$A$7:$C$3944,3,FALSE)</f>
        <v>#N/A</v>
      </c>
      <c r="H812" s="447" t="s">
        <v>1753</v>
      </c>
      <c r="I812" s="488" t="s">
        <v>264</v>
      </c>
      <c r="J812" s="448" t="s">
        <v>281</v>
      </c>
      <c r="K812" s="263">
        <v>1</v>
      </c>
      <c r="L812" s="391">
        <v>2</v>
      </c>
      <c r="M812" s="399" t="s">
        <v>33</v>
      </c>
      <c r="N812" s="475">
        <v>1</v>
      </c>
      <c r="O812" s="391">
        <v>2</v>
      </c>
      <c r="P812" s="496">
        <f t="shared" si="127"/>
        <v>1</v>
      </c>
      <c r="Q812" s="445" t="s">
        <v>52</v>
      </c>
      <c r="R812" s="391">
        <v>2</v>
      </c>
      <c r="S812" s="362">
        <f t="shared" si="129"/>
        <v>2</v>
      </c>
      <c r="T812" s="368">
        <v>2</v>
      </c>
      <c r="U812" s="368"/>
      <c r="V812" s="368"/>
      <c r="W812" s="368"/>
      <c r="X812" s="364">
        <f t="shared" si="128"/>
        <v>1</v>
      </c>
      <c r="Y812" s="393"/>
      <c r="Z812" s="498">
        <f t="shared" si="125"/>
        <v>0</v>
      </c>
      <c r="AA812" s="368"/>
      <c r="AB812" s="368"/>
      <c r="AC812" s="368"/>
      <c r="AD812" s="368"/>
      <c r="AE812" s="365">
        <f t="shared" si="124"/>
        <v>0</v>
      </c>
      <c r="AF812" s="558"/>
      <c r="AG812" s="457"/>
      <c r="AH812" s="264"/>
    </row>
    <row r="813" spans="1:34" ht="30.75" thickBot="1" x14ac:dyDescent="0.3">
      <c r="A813" s="458"/>
      <c r="B813" s="463"/>
      <c r="C813" s="463" t="s">
        <v>44</v>
      </c>
      <c r="D813" s="449" t="s">
        <v>431</v>
      </c>
      <c r="E813" s="262"/>
      <c r="F813" s="447" t="s">
        <v>1752</v>
      </c>
      <c r="G813" s="387" t="e">
        <f>VLOOKUP(A813,'Feature Summary'!$A$7:$C$3944,3,FALSE)</f>
        <v>#N/A</v>
      </c>
      <c r="H813" s="447" t="s">
        <v>1754</v>
      </c>
      <c r="I813" s="447"/>
      <c r="J813" s="448" t="s">
        <v>328</v>
      </c>
      <c r="K813" s="263"/>
      <c r="L813" s="391"/>
      <c r="M813" s="399" t="s">
        <v>33</v>
      </c>
      <c r="N813" s="475">
        <v>1</v>
      </c>
      <c r="O813" s="391"/>
      <c r="P813" s="496">
        <f t="shared" si="127"/>
        <v>0</v>
      </c>
      <c r="Q813" s="445" t="s">
        <v>52</v>
      </c>
      <c r="R813" s="391"/>
      <c r="S813" s="362">
        <f t="shared" si="129"/>
        <v>0</v>
      </c>
      <c r="T813" s="368"/>
      <c r="U813" s="368"/>
      <c r="V813" s="368"/>
      <c r="W813" s="368"/>
      <c r="X813" s="364">
        <f t="shared" si="128"/>
        <v>0</v>
      </c>
      <c r="Y813" s="393"/>
      <c r="Z813" s="498">
        <f t="shared" si="125"/>
        <v>0</v>
      </c>
      <c r="AA813" s="368"/>
      <c r="AB813" s="368"/>
      <c r="AC813" s="368"/>
      <c r="AD813" s="368"/>
      <c r="AE813" s="365">
        <f t="shared" si="124"/>
        <v>0</v>
      </c>
      <c r="AF813" s="262"/>
      <c r="AG813" s="457"/>
      <c r="AH813" s="264"/>
    </row>
    <row r="814" spans="1:34" ht="15.75" thickBot="1" x14ac:dyDescent="0.3">
      <c r="A814" s="458"/>
      <c r="B814" s="463"/>
      <c r="C814" s="463" t="s">
        <v>44</v>
      </c>
      <c r="D814" s="449" t="s">
        <v>431</v>
      </c>
      <c r="E814" s="262"/>
      <c r="F814" s="447" t="s">
        <v>1752</v>
      </c>
      <c r="G814" s="387" t="e">
        <f>VLOOKUP(A814,'Feature Summary'!$A$7:$C$3944,3,FALSE)</f>
        <v>#N/A</v>
      </c>
      <c r="H814" s="447" t="s">
        <v>1755</v>
      </c>
      <c r="I814" s="447"/>
      <c r="J814" s="448" t="s">
        <v>297</v>
      </c>
      <c r="K814" s="263"/>
      <c r="L814" s="391"/>
      <c r="M814" s="399" t="s">
        <v>33</v>
      </c>
      <c r="N814" s="475">
        <v>1</v>
      </c>
      <c r="O814" s="391"/>
      <c r="P814" s="496">
        <f t="shared" si="127"/>
        <v>0</v>
      </c>
      <c r="Q814" s="445" t="s">
        <v>52</v>
      </c>
      <c r="R814" s="391"/>
      <c r="S814" s="362">
        <f t="shared" si="129"/>
        <v>0</v>
      </c>
      <c r="T814" s="368"/>
      <c r="U814" s="368"/>
      <c r="V814" s="368"/>
      <c r="W814" s="368"/>
      <c r="X814" s="364">
        <f t="shared" si="128"/>
        <v>0</v>
      </c>
      <c r="Y814" s="393"/>
      <c r="Z814" s="498">
        <f t="shared" si="125"/>
        <v>0</v>
      </c>
      <c r="AA814" s="368"/>
      <c r="AB814" s="368"/>
      <c r="AC814" s="368"/>
      <c r="AD814" s="368"/>
      <c r="AE814" s="365">
        <f t="shared" si="124"/>
        <v>0</v>
      </c>
      <c r="AF814" s="262"/>
      <c r="AG814" s="457"/>
      <c r="AH814" s="264"/>
    </row>
    <row r="815" spans="1:34" ht="15.75" thickBot="1" x14ac:dyDescent="0.3">
      <c r="A815" s="474"/>
      <c r="B815" s="447" t="s">
        <v>1111</v>
      </c>
      <c r="C815" s="580" t="s">
        <v>651</v>
      </c>
      <c r="D815" s="449" t="s">
        <v>431</v>
      </c>
      <c r="E815" s="262"/>
      <c r="F815" s="447" t="s">
        <v>1756</v>
      </c>
      <c r="G815" s="387" t="e">
        <f>VLOOKUP(A815,'Feature Summary'!$A$7:$C$3944,3,FALSE)</f>
        <v>#N/A</v>
      </c>
      <c r="H815" s="447" t="s">
        <v>1757</v>
      </c>
      <c r="I815" s="488" t="s">
        <v>264</v>
      </c>
      <c r="J815" s="448" t="s">
        <v>1221</v>
      </c>
      <c r="K815" s="263">
        <v>1</v>
      </c>
      <c r="L815" s="391">
        <v>1</v>
      </c>
      <c r="M815" s="399" t="s">
        <v>33</v>
      </c>
      <c r="N815" s="475">
        <v>1</v>
      </c>
      <c r="O815" s="391">
        <v>1</v>
      </c>
      <c r="P815" s="496">
        <f t="shared" si="127"/>
        <v>1</v>
      </c>
      <c r="Q815" s="445" t="s">
        <v>52</v>
      </c>
      <c r="R815" s="391">
        <v>1</v>
      </c>
      <c r="S815" s="362">
        <f t="shared" si="129"/>
        <v>1</v>
      </c>
      <c r="T815" s="368">
        <v>1</v>
      </c>
      <c r="U815" s="368"/>
      <c r="V815" s="368"/>
      <c r="W815" s="368"/>
      <c r="X815" s="364">
        <f t="shared" si="128"/>
        <v>1</v>
      </c>
      <c r="Y815" s="393"/>
      <c r="Z815" s="498">
        <f t="shared" si="125"/>
        <v>0</v>
      </c>
      <c r="AA815" s="368"/>
      <c r="AB815" s="368"/>
      <c r="AC815" s="368"/>
      <c r="AD815" s="368"/>
      <c r="AE815" s="365">
        <f t="shared" si="124"/>
        <v>0</v>
      </c>
      <c r="AF815" s="262"/>
      <c r="AG815" s="457"/>
      <c r="AH815" s="264"/>
    </row>
    <row r="816" spans="1:34" ht="30.75" thickBot="1" x14ac:dyDescent="0.3">
      <c r="A816" s="474"/>
      <c r="B816" s="447" t="s">
        <v>1111</v>
      </c>
      <c r="C816" s="463" t="s">
        <v>44</v>
      </c>
      <c r="D816" s="449" t="s">
        <v>431</v>
      </c>
      <c r="E816" s="262"/>
      <c r="F816" s="447" t="s">
        <v>1756</v>
      </c>
      <c r="G816" s="387" t="e">
        <f>VLOOKUP(A816,'Feature Summary'!$A$7:$C$3944,3,FALSE)</f>
        <v>#N/A</v>
      </c>
      <c r="H816" s="447" t="s">
        <v>1758</v>
      </c>
      <c r="I816" s="447"/>
      <c r="J816" s="448" t="s">
        <v>328</v>
      </c>
      <c r="K816" s="263"/>
      <c r="L816" s="391"/>
      <c r="M816" s="399" t="s">
        <v>33</v>
      </c>
      <c r="N816" s="475">
        <v>1</v>
      </c>
      <c r="O816" s="391"/>
      <c r="P816" s="496">
        <f t="shared" si="127"/>
        <v>0</v>
      </c>
      <c r="Q816" s="445" t="s">
        <v>52</v>
      </c>
      <c r="R816" s="391"/>
      <c r="S816" s="362">
        <f t="shared" si="129"/>
        <v>0</v>
      </c>
      <c r="T816" s="368"/>
      <c r="U816" s="368"/>
      <c r="V816" s="368"/>
      <c r="W816" s="368"/>
      <c r="X816" s="364">
        <f t="shared" si="128"/>
        <v>0</v>
      </c>
      <c r="Y816" s="393"/>
      <c r="Z816" s="498">
        <f t="shared" si="125"/>
        <v>0</v>
      </c>
      <c r="AA816" s="368"/>
      <c r="AB816" s="368"/>
      <c r="AC816" s="368"/>
      <c r="AD816" s="368"/>
      <c r="AE816" s="365">
        <f t="shared" si="124"/>
        <v>0</v>
      </c>
      <c r="AF816" s="262"/>
      <c r="AG816" s="457"/>
      <c r="AH816" s="264"/>
    </row>
    <row r="817" spans="1:34" ht="15.75" thickBot="1" x14ac:dyDescent="0.3">
      <c r="A817" s="474"/>
      <c r="B817" s="447" t="s">
        <v>1111</v>
      </c>
      <c r="C817" s="463" t="s">
        <v>44</v>
      </c>
      <c r="D817" s="449" t="s">
        <v>431</v>
      </c>
      <c r="E817" s="262"/>
      <c r="F817" s="447" t="s">
        <v>1756</v>
      </c>
      <c r="G817" s="387" t="e">
        <f>VLOOKUP(A817,'Feature Summary'!$A$7:$C$3944,3,FALSE)</f>
        <v>#N/A</v>
      </c>
      <c r="H817" s="447" t="s">
        <v>1759</v>
      </c>
      <c r="I817" s="447"/>
      <c r="J817" s="448" t="s">
        <v>297</v>
      </c>
      <c r="K817" s="263"/>
      <c r="L817" s="391"/>
      <c r="M817" s="399" t="s">
        <v>33</v>
      </c>
      <c r="N817" s="475">
        <v>1</v>
      </c>
      <c r="O817" s="391"/>
      <c r="P817" s="496">
        <f t="shared" si="127"/>
        <v>0</v>
      </c>
      <c r="Q817" s="445" t="s">
        <v>52</v>
      </c>
      <c r="R817" s="391"/>
      <c r="S817" s="362">
        <f t="shared" si="129"/>
        <v>0</v>
      </c>
      <c r="T817" s="368"/>
      <c r="U817" s="368"/>
      <c r="V817" s="368"/>
      <c r="W817" s="368"/>
      <c r="X817" s="364">
        <f t="shared" si="128"/>
        <v>0</v>
      </c>
      <c r="Y817" s="393"/>
      <c r="Z817" s="498">
        <f t="shared" si="125"/>
        <v>0</v>
      </c>
      <c r="AA817" s="368"/>
      <c r="AB817" s="368"/>
      <c r="AC817" s="368"/>
      <c r="AD817" s="368"/>
      <c r="AE817" s="365">
        <f t="shared" si="124"/>
        <v>0</v>
      </c>
      <c r="AF817" s="262"/>
      <c r="AG817" s="457"/>
      <c r="AH817" s="264"/>
    </row>
    <row r="818" spans="1:34" ht="15.75" thickBot="1" x14ac:dyDescent="0.3">
      <c r="A818" s="458" t="s">
        <v>1740</v>
      </c>
      <c r="B818" s="447" t="s">
        <v>1116</v>
      </c>
      <c r="C818" s="580" t="s">
        <v>651</v>
      </c>
      <c r="D818" s="449" t="s">
        <v>431</v>
      </c>
      <c r="E818" s="262"/>
      <c r="F818" s="447" t="s">
        <v>1760</v>
      </c>
      <c r="G818" s="387" t="str">
        <f>VLOOKUP(A818,'Feature Summary'!$A$7:$C$3944,3,FALSE)</f>
        <v>P2</v>
      </c>
      <c r="H818" s="447" t="s">
        <v>1761</v>
      </c>
      <c r="I818" s="488" t="s">
        <v>264</v>
      </c>
      <c r="J818" s="448" t="s">
        <v>281</v>
      </c>
      <c r="K818" s="263">
        <v>1</v>
      </c>
      <c r="L818" s="391">
        <v>2</v>
      </c>
      <c r="M818" s="399" t="s">
        <v>33</v>
      </c>
      <c r="N818" s="475">
        <v>1</v>
      </c>
      <c r="O818" s="391">
        <v>2</v>
      </c>
      <c r="P818" s="496">
        <f t="shared" si="127"/>
        <v>1</v>
      </c>
      <c r="Q818" s="445" t="s">
        <v>52</v>
      </c>
      <c r="R818" s="391">
        <v>2</v>
      </c>
      <c r="S818" s="362">
        <f t="shared" si="129"/>
        <v>2</v>
      </c>
      <c r="T818" s="368">
        <v>2</v>
      </c>
      <c r="U818" s="368"/>
      <c r="V818" s="368"/>
      <c r="W818" s="368"/>
      <c r="X818" s="364">
        <f t="shared" si="128"/>
        <v>1</v>
      </c>
      <c r="Y818" s="393"/>
      <c r="Z818" s="498">
        <f t="shared" si="125"/>
        <v>0</v>
      </c>
      <c r="AA818" s="368"/>
      <c r="AB818" s="368"/>
      <c r="AC818" s="368"/>
      <c r="AD818" s="368"/>
      <c r="AE818" s="365">
        <f t="shared" si="124"/>
        <v>0</v>
      </c>
      <c r="AF818" s="262"/>
      <c r="AG818" s="457"/>
      <c r="AH818" s="264"/>
    </row>
    <row r="819" spans="1:34" ht="30.75" thickBot="1" x14ac:dyDescent="0.3">
      <c r="A819" s="458"/>
      <c r="B819" s="447" t="s">
        <v>1116</v>
      </c>
      <c r="C819" s="463" t="s">
        <v>44</v>
      </c>
      <c r="D819" s="449" t="s">
        <v>431</v>
      </c>
      <c r="E819" s="262"/>
      <c r="F819" s="447" t="s">
        <v>1760</v>
      </c>
      <c r="G819" s="387" t="e">
        <f>VLOOKUP(A819,'Feature Summary'!$A$7:$C$3944,3,FALSE)</f>
        <v>#N/A</v>
      </c>
      <c r="H819" s="447" t="s">
        <v>1762</v>
      </c>
      <c r="I819" s="447"/>
      <c r="J819" s="448" t="s">
        <v>328</v>
      </c>
      <c r="K819" s="263"/>
      <c r="L819" s="391"/>
      <c r="M819" s="399" t="s">
        <v>33</v>
      </c>
      <c r="N819" s="475">
        <v>1</v>
      </c>
      <c r="O819" s="391"/>
      <c r="P819" s="496">
        <f t="shared" si="127"/>
        <v>0</v>
      </c>
      <c r="Q819" s="445" t="s">
        <v>52</v>
      </c>
      <c r="R819" s="391"/>
      <c r="S819" s="362">
        <f t="shared" si="129"/>
        <v>0</v>
      </c>
      <c r="T819" s="368"/>
      <c r="U819" s="368"/>
      <c r="V819" s="368"/>
      <c r="W819" s="368"/>
      <c r="X819" s="364">
        <f t="shared" si="128"/>
        <v>0</v>
      </c>
      <c r="Y819" s="393"/>
      <c r="Z819" s="498">
        <f t="shared" si="125"/>
        <v>0</v>
      </c>
      <c r="AA819" s="368"/>
      <c r="AB819" s="368"/>
      <c r="AC819" s="368"/>
      <c r="AD819" s="368"/>
      <c r="AE819" s="365">
        <f t="shared" si="124"/>
        <v>0</v>
      </c>
      <c r="AF819" s="262"/>
      <c r="AG819" s="457"/>
      <c r="AH819" s="264"/>
    </row>
    <row r="820" spans="1:34" ht="15.75" thickBot="1" x14ac:dyDescent="0.3">
      <c r="A820" s="458"/>
      <c r="B820" s="447" t="s">
        <v>1116</v>
      </c>
      <c r="C820" s="463" t="s">
        <v>44</v>
      </c>
      <c r="D820" s="449" t="s">
        <v>431</v>
      </c>
      <c r="E820" s="262"/>
      <c r="F820" s="447" t="s">
        <v>1760</v>
      </c>
      <c r="G820" s="387" t="e">
        <f>VLOOKUP(A820,'Feature Summary'!$A$7:$C$3944,3,FALSE)</f>
        <v>#N/A</v>
      </c>
      <c r="H820" s="447" t="s">
        <v>1763</v>
      </c>
      <c r="I820" s="447"/>
      <c r="J820" s="448" t="s">
        <v>297</v>
      </c>
      <c r="K820" s="263"/>
      <c r="L820" s="391"/>
      <c r="M820" s="399" t="s">
        <v>33</v>
      </c>
      <c r="N820" s="475">
        <v>1</v>
      </c>
      <c r="O820" s="391"/>
      <c r="P820" s="496">
        <f t="shared" si="127"/>
        <v>0</v>
      </c>
      <c r="Q820" s="445" t="s">
        <v>52</v>
      </c>
      <c r="R820" s="391"/>
      <c r="S820" s="362">
        <f t="shared" si="129"/>
        <v>0</v>
      </c>
      <c r="T820" s="368"/>
      <c r="U820" s="368"/>
      <c r="V820" s="368"/>
      <c r="W820" s="368"/>
      <c r="X820" s="364">
        <f t="shared" si="128"/>
        <v>0</v>
      </c>
      <c r="Y820" s="393"/>
      <c r="Z820" s="498">
        <f t="shared" si="125"/>
        <v>0</v>
      </c>
      <c r="AA820" s="368"/>
      <c r="AB820" s="368"/>
      <c r="AC820" s="368"/>
      <c r="AD820" s="368"/>
      <c r="AE820" s="365">
        <f t="shared" si="124"/>
        <v>0</v>
      </c>
      <c r="AF820" s="262"/>
      <c r="AG820" s="457"/>
      <c r="AH820" s="264"/>
    </row>
    <row r="821" spans="1:34" ht="15.75" thickBot="1" x14ac:dyDescent="0.3">
      <c r="A821" s="458" t="s">
        <v>1764</v>
      </c>
      <c r="B821" s="463"/>
      <c r="C821" s="580" t="s">
        <v>651</v>
      </c>
      <c r="D821" s="449" t="s">
        <v>431</v>
      </c>
      <c r="E821" s="262"/>
      <c r="F821" s="447" t="s">
        <v>1765</v>
      </c>
      <c r="G821" s="387" t="e">
        <f>VLOOKUP(A821,'Feature Summary'!$A$7:$C$3944,3,FALSE)</f>
        <v>#N/A</v>
      </c>
      <c r="H821" s="447" t="s">
        <v>1766</v>
      </c>
      <c r="I821" s="488" t="s">
        <v>264</v>
      </c>
      <c r="J821" s="448" t="s">
        <v>281</v>
      </c>
      <c r="K821" s="263">
        <v>1</v>
      </c>
      <c r="L821" s="391">
        <v>1</v>
      </c>
      <c r="M821" s="399" t="s">
        <v>33</v>
      </c>
      <c r="N821" s="475">
        <v>1</v>
      </c>
      <c r="O821" s="391">
        <v>1</v>
      </c>
      <c r="P821" s="496">
        <f t="shared" si="127"/>
        <v>1</v>
      </c>
      <c r="Q821" s="445" t="s">
        <v>52</v>
      </c>
      <c r="R821" s="391">
        <v>1</v>
      </c>
      <c r="S821" s="362">
        <f t="shared" si="129"/>
        <v>1</v>
      </c>
      <c r="T821" s="368">
        <v>1</v>
      </c>
      <c r="U821" s="368"/>
      <c r="V821" s="368"/>
      <c r="W821" s="368"/>
      <c r="X821" s="364">
        <f t="shared" si="128"/>
        <v>1</v>
      </c>
      <c r="Y821" s="393"/>
      <c r="Z821" s="498">
        <f t="shared" si="125"/>
        <v>0</v>
      </c>
      <c r="AA821" s="368"/>
      <c r="AB821" s="368"/>
      <c r="AC821" s="368"/>
      <c r="AD821" s="368"/>
      <c r="AE821" s="365">
        <f t="shared" si="124"/>
        <v>0</v>
      </c>
      <c r="AF821" s="262"/>
      <c r="AG821" s="457"/>
      <c r="AH821" s="264"/>
    </row>
    <row r="822" spans="1:34" ht="30.75" thickBot="1" x14ac:dyDescent="0.3">
      <c r="A822" s="458"/>
      <c r="B822" s="463"/>
      <c r="C822" s="463" t="s">
        <v>44</v>
      </c>
      <c r="D822" s="449" t="s">
        <v>431</v>
      </c>
      <c r="E822" s="262"/>
      <c r="F822" s="447" t="s">
        <v>1765</v>
      </c>
      <c r="G822" s="387" t="e">
        <f>VLOOKUP(A822,'Feature Summary'!$A$7:$C$3944,3,FALSE)</f>
        <v>#N/A</v>
      </c>
      <c r="H822" s="447" t="s">
        <v>1767</v>
      </c>
      <c r="I822" s="447"/>
      <c r="J822" s="448" t="s">
        <v>328</v>
      </c>
      <c r="K822" s="263"/>
      <c r="L822" s="391"/>
      <c r="M822" s="399" t="s">
        <v>33</v>
      </c>
      <c r="N822" s="475">
        <v>1</v>
      </c>
      <c r="O822" s="391"/>
      <c r="P822" s="496">
        <f t="shared" si="127"/>
        <v>0</v>
      </c>
      <c r="Q822" s="445" t="s">
        <v>52</v>
      </c>
      <c r="R822" s="391"/>
      <c r="S822" s="362">
        <f t="shared" si="129"/>
        <v>0</v>
      </c>
      <c r="T822" s="368"/>
      <c r="U822" s="368"/>
      <c r="V822" s="368"/>
      <c r="W822" s="368"/>
      <c r="X822" s="364">
        <f t="shared" si="128"/>
        <v>0</v>
      </c>
      <c r="Y822" s="393"/>
      <c r="Z822" s="498">
        <f t="shared" si="125"/>
        <v>0</v>
      </c>
      <c r="AA822" s="368"/>
      <c r="AB822" s="368"/>
      <c r="AC822" s="368"/>
      <c r="AD822" s="368"/>
      <c r="AE822" s="365">
        <f t="shared" si="124"/>
        <v>0</v>
      </c>
      <c r="AF822" s="262"/>
      <c r="AG822" s="457"/>
      <c r="AH822" s="264"/>
    </row>
    <row r="823" spans="1:34" ht="15.75" thickBot="1" x14ac:dyDescent="0.3">
      <c r="A823" s="458"/>
      <c r="B823" s="463"/>
      <c r="C823" s="463" t="s">
        <v>44</v>
      </c>
      <c r="D823" s="449" t="s">
        <v>431</v>
      </c>
      <c r="E823" s="262"/>
      <c r="F823" s="447" t="s">
        <v>1765</v>
      </c>
      <c r="G823" s="387" t="e">
        <f>VLOOKUP(A823,'Feature Summary'!$A$7:$C$3944,3,FALSE)</f>
        <v>#N/A</v>
      </c>
      <c r="H823" s="447" t="s">
        <v>1768</v>
      </c>
      <c r="I823" s="447"/>
      <c r="J823" s="448" t="s">
        <v>297</v>
      </c>
      <c r="K823" s="263"/>
      <c r="L823" s="391"/>
      <c r="M823" s="399" t="s">
        <v>33</v>
      </c>
      <c r="N823" s="475">
        <v>1</v>
      </c>
      <c r="O823" s="391"/>
      <c r="P823" s="496">
        <f t="shared" si="127"/>
        <v>0</v>
      </c>
      <c r="Q823" s="445" t="s">
        <v>52</v>
      </c>
      <c r="R823" s="391"/>
      <c r="S823" s="362">
        <f t="shared" si="129"/>
        <v>0</v>
      </c>
      <c r="T823" s="368"/>
      <c r="U823" s="368"/>
      <c r="V823" s="368"/>
      <c r="W823" s="368"/>
      <c r="X823" s="364">
        <f t="shared" si="128"/>
        <v>0</v>
      </c>
      <c r="Y823" s="393"/>
      <c r="Z823" s="498">
        <f t="shared" si="125"/>
        <v>0</v>
      </c>
      <c r="AA823" s="368"/>
      <c r="AB823" s="368"/>
      <c r="AC823" s="368"/>
      <c r="AD823" s="368"/>
      <c r="AE823" s="365">
        <f t="shared" si="124"/>
        <v>0</v>
      </c>
      <c r="AF823" s="262"/>
      <c r="AG823" s="457"/>
      <c r="AH823" s="264"/>
    </row>
    <row r="824" spans="1:34" ht="15.75" thickBot="1" x14ac:dyDescent="0.3">
      <c r="A824" s="458"/>
      <c r="B824" s="463"/>
      <c r="C824" s="580" t="s">
        <v>651</v>
      </c>
      <c r="D824" s="449" t="s">
        <v>431</v>
      </c>
      <c r="E824" s="262"/>
      <c r="F824" s="447" t="s">
        <v>1769</v>
      </c>
      <c r="G824" s="387" t="e">
        <f>VLOOKUP(A824,'Feature Summary'!$A$7:$C$3944,3,FALSE)</f>
        <v>#N/A</v>
      </c>
      <c r="H824" s="447" t="s">
        <v>1770</v>
      </c>
      <c r="I824" s="488" t="s">
        <v>264</v>
      </c>
      <c r="J824" s="448" t="s">
        <v>281</v>
      </c>
      <c r="K824" s="263">
        <v>1</v>
      </c>
      <c r="L824" s="391">
        <v>1</v>
      </c>
      <c r="M824" s="399" t="s">
        <v>33</v>
      </c>
      <c r="N824" s="475">
        <v>1</v>
      </c>
      <c r="O824" s="391">
        <v>1</v>
      </c>
      <c r="P824" s="496">
        <f t="shared" si="127"/>
        <v>1</v>
      </c>
      <c r="Q824" s="445" t="s">
        <v>52</v>
      </c>
      <c r="R824" s="391">
        <v>1</v>
      </c>
      <c r="S824" s="362">
        <f t="shared" si="129"/>
        <v>1</v>
      </c>
      <c r="T824" s="368">
        <v>1</v>
      </c>
      <c r="U824" s="368"/>
      <c r="V824" s="368"/>
      <c r="W824" s="368"/>
      <c r="X824" s="364">
        <f t="shared" si="128"/>
        <v>1</v>
      </c>
      <c r="Y824" s="393"/>
      <c r="Z824" s="498">
        <f t="shared" si="125"/>
        <v>0</v>
      </c>
      <c r="AA824" s="368"/>
      <c r="AB824" s="368"/>
      <c r="AC824" s="368"/>
      <c r="AD824" s="368"/>
      <c r="AE824" s="365">
        <f t="shared" si="124"/>
        <v>0</v>
      </c>
      <c r="AF824" s="262"/>
      <c r="AG824" s="457"/>
      <c r="AH824" s="264"/>
    </row>
    <row r="825" spans="1:34" ht="30.75" thickBot="1" x14ac:dyDescent="0.3">
      <c r="A825" s="458"/>
      <c r="B825" s="463"/>
      <c r="C825" s="463" t="s">
        <v>44</v>
      </c>
      <c r="D825" s="449" t="s">
        <v>431</v>
      </c>
      <c r="E825" s="262"/>
      <c r="F825" s="447" t="s">
        <v>1769</v>
      </c>
      <c r="G825" s="387" t="e">
        <f>VLOOKUP(A825,'Feature Summary'!$A$7:$C$3944,3,FALSE)</f>
        <v>#N/A</v>
      </c>
      <c r="H825" s="447" t="s">
        <v>1771</v>
      </c>
      <c r="I825" s="447"/>
      <c r="J825" s="448" t="s">
        <v>328</v>
      </c>
      <c r="K825" s="263"/>
      <c r="L825" s="391"/>
      <c r="M825" s="399" t="s">
        <v>33</v>
      </c>
      <c r="N825" s="475">
        <v>1</v>
      </c>
      <c r="O825" s="391"/>
      <c r="P825" s="496">
        <f t="shared" si="127"/>
        <v>0</v>
      </c>
      <c r="Q825" s="445" t="s">
        <v>52</v>
      </c>
      <c r="R825" s="391"/>
      <c r="S825" s="362">
        <f t="shared" si="129"/>
        <v>0</v>
      </c>
      <c r="T825" s="368"/>
      <c r="U825" s="368"/>
      <c r="V825" s="368"/>
      <c r="W825" s="368"/>
      <c r="X825" s="364">
        <f t="shared" si="128"/>
        <v>0</v>
      </c>
      <c r="Y825" s="393"/>
      <c r="Z825" s="498">
        <f t="shared" si="125"/>
        <v>0</v>
      </c>
      <c r="AA825" s="368"/>
      <c r="AB825" s="368"/>
      <c r="AC825" s="368"/>
      <c r="AD825" s="368"/>
      <c r="AE825" s="365">
        <f t="shared" si="124"/>
        <v>0</v>
      </c>
      <c r="AF825" s="262"/>
      <c r="AG825" s="457"/>
      <c r="AH825" s="264"/>
    </row>
    <row r="826" spans="1:34" ht="15.75" thickBot="1" x14ac:dyDescent="0.3">
      <c r="A826" s="458"/>
      <c r="B826" s="463"/>
      <c r="C826" s="463" t="s">
        <v>44</v>
      </c>
      <c r="D826" s="449" t="s">
        <v>431</v>
      </c>
      <c r="E826" s="262"/>
      <c r="F826" s="447" t="s">
        <v>1769</v>
      </c>
      <c r="G826" s="387" t="e">
        <f>VLOOKUP(A826,'Feature Summary'!$A$7:$C$3944,3,FALSE)</f>
        <v>#N/A</v>
      </c>
      <c r="H826" s="447" t="s">
        <v>1772</v>
      </c>
      <c r="I826" s="447"/>
      <c r="J826" s="448" t="s">
        <v>297</v>
      </c>
      <c r="K826" s="263"/>
      <c r="L826" s="391"/>
      <c r="M826" s="399" t="s">
        <v>33</v>
      </c>
      <c r="N826" s="475">
        <v>1</v>
      </c>
      <c r="O826" s="391"/>
      <c r="P826" s="496">
        <f t="shared" si="127"/>
        <v>0</v>
      </c>
      <c r="Q826" s="445" t="s">
        <v>52</v>
      </c>
      <c r="R826" s="391"/>
      <c r="S826" s="362">
        <f t="shared" si="129"/>
        <v>0</v>
      </c>
      <c r="T826" s="368"/>
      <c r="U826" s="368"/>
      <c r="V826" s="368"/>
      <c r="W826" s="368"/>
      <c r="X826" s="364">
        <f t="shared" si="128"/>
        <v>0</v>
      </c>
      <c r="Y826" s="393"/>
      <c r="Z826" s="498">
        <f t="shared" si="125"/>
        <v>0</v>
      </c>
      <c r="AA826" s="368"/>
      <c r="AB826" s="368"/>
      <c r="AC826" s="368"/>
      <c r="AD826" s="368"/>
      <c r="AE826" s="365">
        <f t="shared" si="124"/>
        <v>0</v>
      </c>
      <c r="AF826" s="262"/>
      <c r="AG826" s="457"/>
      <c r="AH826" s="264"/>
    </row>
    <row r="827" spans="1:34" ht="30.75" thickBot="1" x14ac:dyDescent="0.3">
      <c r="A827" s="458" t="s">
        <v>1231</v>
      </c>
      <c r="B827" s="447" t="s">
        <v>1773</v>
      </c>
      <c r="C827" s="580" t="s">
        <v>651</v>
      </c>
      <c r="D827" s="449" t="s">
        <v>431</v>
      </c>
      <c r="E827" s="262"/>
      <c r="F827" s="447" t="s">
        <v>1774</v>
      </c>
      <c r="G827" s="387" t="str">
        <f>VLOOKUP(A827,'Feature Summary'!$A$7:$C$3944,3,FALSE)</f>
        <v>P2</v>
      </c>
      <c r="H827" s="447" t="s">
        <v>1775</v>
      </c>
      <c r="I827" s="488" t="s">
        <v>264</v>
      </c>
      <c r="J827" s="448" t="s">
        <v>1088</v>
      </c>
      <c r="K827" s="263">
        <v>1</v>
      </c>
      <c r="L827" s="391">
        <v>1</v>
      </c>
      <c r="M827" s="399" t="s">
        <v>33</v>
      </c>
      <c r="N827" s="475">
        <v>1</v>
      </c>
      <c r="O827" s="391">
        <v>1</v>
      </c>
      <c r="P827" s="496">
        <f t="shared" si="127"/>
        <v>1</v>
      </c>
      <c r="Q827" s="445" t="s">
        <v>52</v>
      </c>
      <c r="R827" s="391">
        <v>1</v>
      </c>
      <c r="S827" s="362">
        <f t="shared" si="129"/>
        <v>1</v>
      </c>
      <c r="T827" s="368">
        <v>1</v>
      </c>
      <c r="U827" s="368"/>
      <c r="V827" s="368"/>
      <c r="W827" s="368"/>
      <c r="X827" s="364">
        <f t="shared" si="128"/>
        <v>1</v>
      </c>
      <c r="Y827" s="393"/>
      <c r="Z827" s="498">
        <f t="shared" si="125"/>
        <v>0</v>
      </c>
      <c r="AA827" s="368"/>
      <c r="AB827" s="368"/>
      <c r="AC827" s="368"/>
      <c r="AD827" s="368"/>
      <c r="AE827" s="365">
        <f t="shared" si="124"/>
        <v>0</v>
      </c>
      <c r="AF827" s="262"/>
      <c r="AG827" s="457"/>
      <c r="AH827" s="264"/>
    </row>
    <row r="828" spans="1:34" ht="30.75" thickBot="1" x14ac:dyDescent="0.3">
      <c r="A828" s="458"/>
      <c r="B828" s="447" t="s">
        <v>1773</v>
      </c>
      <c r="C828" s="463" t="s">
        <v>44</v>
      </c>
      <c r="D828" s="449" t="s">
        <v>431</v>
      </c>
      <c r="E828" s="262"/>
      <c r="F828" s="447" t="s">
        <v>1774</v>
      </c>
      <c r="G828" s="387" t="e">
        <f>VLOOKUP(A828,'Feature Summary'!$A$7:$C$3944,3,FALSE)</f>
        <v>#N/A</v>
      </c>
      <c r="H828" s="447" t="s">
        <v>1776</v>
      </c>
      <c r="I828" s="447"/>
      <c r="J828" s="448" t="s">
        <v>297</v>
      </c>
      <c r="K828" s="263"/>
      <c r="L828" s="391"/>
      <c r="M828" s="399" t="s">
        <v>33</v>
      </c>
      <c r="N828" s="475">
        <v>1</v>
      </c>
      <c r="O828" s="391"/>
      <c r="P828" s="496">
        <f t="shared" si="127"/>
        <v>0</v>
      </c>
      <c r="Q828" s="445" t="s">
        <v>52</v>
      </c>
      <c r="R828" s="391"/>
      <c r="S828" s="362">
        <f t="shared" si="129"/>
        <v>0</v>
      </c>
      <c r="T828" s="368"/>
      <c r="U828" s="368"/>
      <c r="V828" s="368"/>
      <c r="W828" s="368"/>
      <c r="X828" s="364">
        <f t="shared" si="128"/>
        <v>0</v>
      </c>
      <c r="Y828" s="393"/>
      <c r="Z828" s="498">
        <f t="shared" si="125"/>
        <v>0</v>
      </c>
      <c r="AA828" s="368"/>
      <c r="AB828" s="368"/>
      <c r="AC828" s="368"/>
      <c r="AD828" s="368"/>
      <c r="AE828" s="365">
        <f t="shared" si="124"/>
        <v>0</v>
      </c>
      <c r="AF828" s="262"/>
      <c r="AG828" s="457"/>
      <c r="AH828" s="264"/>
    </row>
    <row r="829" spans="1:34" ht="15.75" thickBot="1" x14ac:dyDescent="0.3">
      <c r="A829" s="474" t="s">
        <v>1740</v>
      </c>
      <c r="B829" s="447" t="s">
        <v>1116</v>
      </c>
      <c r="C829" s="580" t="s">
        <v>651</v>
      </c>
      <c r="D829" s="449" t="s">
        <v>431</v>
      </c>
      <c r="E829" s="262"/>
      <c r="F829" s="447" t="s">
        <v>1777</v>
      </c>
      <c r="G829" s="387" t="str">
        <f>VLOOKUP(A829,'Feature Summary'!$A$7:$C$3944,3,FALSE)</f>
        <v>P2</v>
      </c>
      <c r="H829" s="447" t="s">
        <v>1778</v>
      </c>
      <c r="I829" s="488" t="s">
        <v>264</v>
      </c>
      <c r="J829" s="448" t="s">
        <v>281</v>
      </c>
      <c r="K829" s="263">
        <v>1</v>
      </c>
      <c r="L829" s="391">
        <v>1</v>
      </c>
      <c r="M829" s="399" t="s">
        <v>33</v>
      </c>
      <c r="N829" s="475">
        <v>1</v>
      </c>
      <c r="O829" s="391">
        <v>1</v>
      </c>
      <c r="P829" s="496">
        <f t="shared" si="127"/>
        <v>1</v>
      </c>
      <c r="Q829" s="445" t="s">
        <v>52</v>
      </c>
      <c r="R829" s="391">
        <v>1</v>
      </c>
      <c r="S829" s="362">
        <f t="shared" si="129"/>
        <v>1</v>
      </c>
      <c r="T829" s="368">
        <v>1</v>
      </c>
      <c r="U829" s="368"/>
      <c r="V829" s="368"/>
      <c r="W829" s="368"/>
      <c r="X829" s="364">
        <f t="shared" si="128"/>
        <v>1</v>
      </c>
      <c r="Y829" s="393"/>
      <c r="Z829" s="498">
        <f t="shared" si="125"/>
        <v>0</v>
      </c>
      <c r="AA829" s="368"/>
      <c r="AB829" s="368"/>
      <c r="AC829" s="368"/>
      <c r="AD829" s="368"/>
      <c r="AE829" s="365">
        <f t="shared" si="124"/>
        <v>0</v>
      </c>
      <c r="AF829" s="558"/>
      <c r="AG829" s="457"/>
      <c r="AH829" s="264"/>
    </row>
    <row r="830" spans="1:34" ht="30.75" thickBot="1" x14ac:dyDescent="0.3">
      <c r="A830" s="474"/>
      <c r="B830" s="447" t="s">
        <v>1116</v>
      </c>
      <c r="C830" s="463" t="s">
        <v>44</v>
      </c>
      <c r="D830" s="449" t="s">
        <v>431</v>
      </c>
      <c r="E830" s="262"/>
      <c r="F830" s="447" t="s">
        <v>1777</v>
      </c>
      <c r="G830" s="387" t="e">
        <f>VLOOKUP(A830,'Feature Summary'!$A$7:$C$3944,3,FALSE)</f>
        <v>#N/A</v>
      </c>
      <c r="H830" s="447" t="s">
        <v>1779</v>
      </c>
      <c r="I830" s="447"/>
      <c r="J830" s="448" t="s">
        <v>328</v>
      </c>
      <c r="K830" s="263"/>
      <c r="L830" s="391"/>
      <c r="M830" s="399" t="s">
        <v>33</v>
      </c>
      <c r="N830" s="475">
        <v>1</v>
      </c>
      <c r="O830" s="391"/>
      <c r="P830" s="496">
        <f t="shared" si="127"/>
        <v>0</v>
      </c>
      <c r="Q830" s="445" t="s">
        <v>52</v>
      </c>
      <c r="R830" s="391"/>
      <c r="S830" s="362">
        <f t="shared" si="129"/>
        <v>0</v>
      </c>
      <c r="T830" s="368"/>
      <c r="U830" s="368"/>
      <c r="V830" s="368"/>
      <c r="W830" s="368"/>
      <c r="X830" s="364">
        <f t="shared" si="128"/>
        <v>0</v>
      </c>
      <c r="Y830" s="393"/>
      <c r="Z830" s="498">
        <f t="shared" si="125"/>
        <v>0</v>
      </c>
      <c r="AA830" s="368"/>
      <c r="AB830" s="368"/>
      <c r="AC830" s="368"/>
      <c r="AD830" s="368"/>
      <c r="AE830" s="365">
        <f t="shared" si="124"/>
        <v>0</v>
      </c>
      <c r="AF830" s="262"/>
      <c r="AG830" s="457"/>
      <c r="AH830" s="264"/>
    </row>
    <row r="831" spans="1:34" ht="15.75" thickBot="1" x14ac:dyDescent="0.3">
      <c r="A831" s="474"/>
      <c r="B831" s="447" t="s">
        <v>1116</v>
      </c>
      <c r="C831" s="463" t="s">
        <v>44</v>
      </c>
      <c r="D831" s="449" t="s">
        <v>431</v>
      </c>
      <c r="E831" s="262"/>
      <c r="F831" s="447" t="s">
        <v>1777</v>
      </c>
      <c r="G831" s="387" t="e">
        <f>VLOOKUP(A831,'Feature Summary'!$A$7:$C$3944,3,FALSE)</f>
        <v>#N/A</v>
      </c>
      <c r="H831" s="447" t="s">
        <v>1780</v>
      </c>
      <c r="I831" s="447"/>
      <c r="J831" s="448" t="s">
        <v>297</v>
      </c>
      <c r="K831" s="263"/>
      <c r="L831" s="391"/>
      <c r="M831" s="399" t="s">
        <v>33</v>
      </c>
      <c r="N831" s="475">
        <v>1</v>
      </c>
      <c r="O831" s="391"/>
      <c r="P831" s="496">
        <f t="shared" si="127"/>
        <v>0</v>
      </c>
      <c r="Q831" s="445" t="s">
        <v>52</v>
      </c>
      <c r="R831" s="391"/>
      <c r="S831" s="362">
        <f t="shared" si="129"/>
        <v>0</v>
      </c>
      <c r="T831" s="368"/>
      <c r="U831" s="368"/>
      <c r="V831" s="368"/>
      <c r="W831" s="368"/>
      <c r="X831" s="364">
        <f t="shared" si="128"/>
        <v>0</v>
      </c>
      <c r="Y831" s="393"/>
      <c r="Z831" s="498">
        <f t="shared" si="125"/>
        <v>0</v>
      </c>
      <c r="AA831" s="368"/>
      <c r="AB831" s="368"/>
      <c r="AC831" s="368"/>
      <c r="AD831" s="368"/>
      <c r="AE831" s="365">
        <f t="shared" si="124"/>
        <v>0</v>
      </c>
      <c r="AF831" s="262"/>
      <c r="AG831" s="457"/>
      <c r="AH831" s="264"/>
    </row>
    <row r="832" spans="1:34" ht="30.75" thickBot="1" x14ac:dyDescent="0.3">
      <c r="A832" s="474"/>
      <c r="B832" s="447" t="s">
        <v>1116</v>
      </c>
      <c r="C832" s="463" t="s">
        <v>44</v>
      </c>
      <c r="D832" s="449" t="s">
        <v>431</v>
      </c>
      <c r="E832" s="262"/>
      <c r="F832" s="447" t="s">
        <v>1777</v>
      </c>
      <c r="G832" s="387" t="e">
        <f>VLOOKUP(A832,'Feature Summary'!$A$7:$C$3944,3,FALSE)</f>
        <v>#N/A</v>
      </c>
      <c r="H832" s="447" t="s">
        <v>1781</v>
      </c>
      <c r="I832" s="447"/>
      <c r="J832" s="448" t="s">
        <v>295</v>
      </c>
      <c r="K832" s="263"/>
      <c r="L832" s="391"/>
      <c r="M832" s="399" t="s">
        <v>33</v>
      </c>
      <c r="N832" s="475">
        <v>1</v>
      </c>
      <c r="O832" s="391"/>
      <c r="P832" s="496">
        <f t="shared" si="127"/>
        <v>0</v>
      </c>
      <c r="Q832" s="445" t="s">
        <v>52</v>
      </c>
      <c r="R832" s="391"/>
      <c r="S832" s="362">
        <f t="shared" si="129"/>
        <v>0</v>
      </c>
      <c r="T832" s="368"/>
      <c r="U832" s="368"/>
      <c r="V832" s="368"/>
      <c r="W832" s="368"/>
      <c r="X832" s="364">
        <f t="shared" si="128"/>
        <v>0</v>
      </c>
      <c r="Y832" s="393"/>
      <c r="Z832" s="498">
        <f t="shared" si="125"/>
        <v>0</v>
      </c>
      <c r="AA832" s="368"/>
      <c r="AB832" s="368"/>
      <c r="AC832" s="368"/>
      <c r="AD832" s="368"/>
      <c r="AE832" s="365">
        <f t="shared" si="124"/>
        <v>0</v>
      </c>
      <c r="AF832" s="262"/>
      <c r="AG832" s="457"/>
      <c r="AH832" s="264"/>
    </row>
    <row r="833" spans="1:34" ht="15.75" thickBot="1" x14ac:dyDescent="0.3">
      <c r="A833" s="458"/>
      <c r="B833" s="463"/>
      <c r="C833" s="580" t="s">
        <v>651</v>
      </c>
      <c r="D833" s="449" t="s">
        <v>431</v>
      </c>
      <c r="E833" s="262"/>
      <c r="F833" s="447" t="s">
        <v>1782</v>
      </c>
      <c r="G833" s="387" t="e">
        <f>VLOOKUP(A833,'Feature Summary'!$A$7:$C$3944,3,FALSE)</f>
        <v>#N/A</v>
      </c>
      <c r="H833" s="447" t="s">
        <v>1783</v>
      </c>
      <c r="I833" s="488" t="s">
        <v>264</v>
      </c>
      <c r="J833" s="448" t="s">
        <v>281</v>
      </c>
      <c r="K833" s="263">
        <v>1</v>
      </c>
      <c r="L833" s="391">
        <v>1</v>
      </c>
      <c r="M833" s="399" t="s">
        <v>33</v>
      </c>
      <c r="N833" s="475">
        <v>1</v>
      </c>
      <c r="O833" s="391">
        <v>1</v>
      </c>
      <c r="P833" s="496">
        <f t="shared" si="127"/>
        <v>1</v>
      </c>
      <c r="Q833" s="445" t="s">
        <v>52</v>
      </c>
      <c r="R833" s="391">
        <v>1</v>
      </c>
      <c r="S833" s="362">
        <f t="shared" si="129"/>
        <v>1</v>
      </c>
      <c r="T833" s="368">
        <v>1</v>
      </c>
      <c r="U833" s="368"/>
      <c r="V833" s="368"/>
      <c r="W833" s="368"/>
      <c r="X833" s="364">
        <f t="shared" si="128"/>
        <v>1</v>
      </c>
      <c r="Y833" s="393"/>
      <c r="Z833" s="498">
        <f t="shared" si="125"/>
        <v>0</v>
      </c>
      <c r="AA833" s="368"/>
      <c r="AB833" s="368"/>
      <c r="AC833" s="368"/>
      <c r="AD833" s="368"/>
      <c r="AE833" s="365">
        <f t="shared" si="124"/>
        <v>0</v>
      </c>
      <c r="AF833" s="558"/>
      <c r="AG833" s="457"/>
      <c r="AH833" s="264"/>
    </row>
    <row r="834" spans="1:34" ht="30.75" thickBot="1" x14ac:dyDescent="0.3">
      <c r="A834" s="458"/>
      <c r="B834" s="463"/>
      <c r="C834" s="463" t="s">
        <v>44</v>
      </c>
      <c r="D834" s="449" t="s">
        <v>431</v>
      </c>
      <c r="E834" s="262"/>
      <c r="F834" s="447" t="s">
        <v>1782</v>
      </c>
      <c r="G834" s="387" t="e">
        <f>VLOOKUP(A834,'Feature Summary'!$A$7:$C$3944,3,FALSE)</f>
        <v>#N/A</v>
      </c>
      <c r="H834" s="447" t="s">
        <v>1784</v>
      </c>
      <c r="I834" s="447"/>
      <c r="J834" s="448" t="s">
        <v>295</v>
      </c>
      <c r="K834" s="263"/>
      <c r="L834" s="391"/>
      <c r="M834" s="399" t="s">
        <v>33</v>
      </c>
      <c r="N834" s="475">
        <v>1</v>
      </c>
      <c r="O834" s="391"/>
      <c r="P834" s="496">
        <f t="shared" si="127"/>
        <v>0</v>
      </c>
      <c r="Q834" s="445" t="s">
        <v>52</v>
      </c>
      <c r="R834" s="391"/>
      <c r="S834" s="362">
        <f t="shared" si="129"/>
        <v>0</v>
      </c>
      <c r="T834" s="368"/>
      <c r="U834" s="368"/>
      <c r="V834" s="368"/>
      <c r="W834" s="368"/>
      <c r="X834" s="364">
        <f t="shared" si="128"/>
        <v>0</v>
      </c>
      <c r="Y834" s="393"/>
      <c r="Z834" s="498">
        <f t="shared" si="125"/>
        <v>0</v>
      </c>
      <c r="AA834" s="368"/>
      <c r="AB834" s="368"/>
      <c r="AC834" s="368"/>
      <c r="AD834" s="368"/>
      <c r="AE834" s="365">
        <f t="shared" si="124"/>
        <v>0</v>
      </c>
      <c r="AF834" s="262"/>
      <c r="AG834" s="457"/>
      <c r="AH834" s="264"/>
    </row>
    <row r="835" spans="1:34" ht="30.75" thickBot="1" x14ac:dyDescent="0.3">
      <c r="A835" s="458"/>
      <c r="B835" s="463"/>
      <c r="C835" s="463" t="s">
        <v>44</v>
      </c>
      <c r="D835" s="449" t="s">
        <v>431</v>
      </c>
      <c r="E835" s="262"/>
      <c r="F835" s="447" t="s">
        <v>1782</v>
      </c>
      <c r="G835" s="387" t="e">
        <f>VLOOKUP(A835,'Feature Summary'!$A$7:$C$3944,3,FALSE)</f>
        <v>#N/A</v>
      </c>
      <c r="H835" s="447" t="s">
        <v>1785</v>
      </c>
      <c r="I835" s="447"/>
      <c r="J835" s="448" t="s">
        <v>328</v>
      </c>
      <c r="K835" s="263"/>
      <c r="L835" s="391"/>
      <c r="M835" s="399" t="s">
        <v>33</v>
      </c>
      <c r="N835" s="475">
        <v>1</v>
      </c>
      <c r="O835" s="391"/>
      <c r="P835" s="496">
        <f t="shared" si="127"/>
        <v>0</v>
      </c>
      <c r="Q835" s="445" t="s">
        <v>52</v>
      </c>
      <c r="R835" s="391"/>
      <c r="S835" s="362">
        <f t="shared" si="129"/>
        <v>0</v>
      </c>
      <c r="T835" s="368"/>
      <c r="U835" s="368"/>
      <c r="V835" s="368"/>
      <c r="W835" s="368"/>
      <c r="X835" s="364">
        <f t="shared" si="128"/>
        <v>0</v>
      </c>
      <c r="Y835" s="393"/>
      <c r="Z835" s="498">
        <f t="shared" si="125"/>
        <v>0</v>
      </c>
      <c r="AA835" s="368"/>
      <c r="AB835" s="368"/>
      <c r="AC835" s="368"/>
      <c r="AD835" s="368"/>
      <c r="AE835" s="365">
        <f t="shared" si="124"/>
        <v>0</v>
      </c>
      <c r="AF835" s="262"/>
      <c r="AG835" s="457"/>
      <c r="AH835" s="264"/>
    </row>
    <row r="836" spans="1:34" ht="15.75" thickBot="1" x14ac:dyDescent="0.3">
      <c r="A836" s="458"/>
      <c r="B836" s="463"/>
      <c r="C836" s="463" t="s">
        <v>44</v>
      </c>
      <c r="D836" s="449" t="s">
        <v>431</v>
      </c>
      <c r="E836" s="262"/>
      <c r="F836" s="447" t="s">
        <v>1782</v>
      </c>
      <c r="G836" s="387" t="e">
        <f>VLOOKUP(A836,'Feature Summary'!$A$7:$C$3944,3,FALSE)</f>
        <v>#N/A</v>
      </c>
      <c r="H836" s="447" t="s">
        <v>1786</v>
      </c>
      <c r="I836" s="447"/>
      <c r="J836" s="448" t="s">
        <v>297</v>
      </c>
      <c r="K836" s="263"/>
      <c r="L836" s="391"/>
      <c r="M836" s="399" t="s">
        <v>33</v>
      </c>
      <c r="N836" s="475">
        <v>1</v>
      </c>
      <c r="O836" s="391"/>
      <c r="P836" s="496">
        <f t="shared" si="127"/>
        <v>0</v>
      </c>
      <c r="Q836" s="445" t="s">
        <v>52</v>
      </c>
      <c r="R836" s="391"/>
      <c r="S836" s="362">
        <f t="shared" si="129"/>
        <v>0</v>
      </c>
      <c r="T836" s="368"/>
      <c r="U836" s="368"/>
      <c r="V836" s="368"/>
      <c r="W836" s="368"/>
      <c r="X836" s="364">
        <f t="shared" si="128"/>
        <v>0</v>
      </c>
      <c r="Y836" s="393"/>
      <c r="Z836" s="498">
        <f t="shared" si="125"/>
        <v>0</v>
      </c>
      <c r="AA836" s="368"/>
      <c r="AB836" s="368"/>
      <c r="AC836" s="368"/>
      <c r="AD836" s="368"/>
      <c r="AE836" s="365">
        <f t="shared" si="124"/>
        <v>0</v>
      </c>
      <c r="AF836" s="262"/>
      <c r="AG836" s="457"/>
      <c r="AH836" s="264"/>
    </row>
    <row r="837" spans="1:34" ht="15.75" thickBot="1" x14ac:dyDescent="0.3">
      <c r="A837" s="474"/>
      <c r="B837" s="447"/>
      <c r="C837" s="463" t="s">
        <v>651</v>
      </c>
      <c r="D837" s="449" t="s">
        <v>431</v>
      </c>
      <c r="E837" s="262"/>
      <c r="F837" s="447" t="s">
        <v>1787</v>
      </c>
      <c r="G837" s="387" t="e">
        <f>VLOOKUP(A837,'Feature Summary'!$A$7:$C$3944,3,FALSE)</f>
        <v>#N/A</v>
      </c>
      <c r="H837" s="447" t="s">
        <v>1788</v>
      </c>
      <c r="I837" s="488" t="s">
        <v>264</v>
      </c>
      <c r="J837" s="448" t="s">
        <v>1789</v>
      </c>
      <c r="K837" s="263">
        <v>1</v>
      </c>
      <c r="L837" s="391">
        <v>8</v>
      </c>
      <c r="M837" s="399" t="s">
        <v>33</v>
      </c>
      <c r="N837" s="475">
        <v>1</v>
      </c>
      <c r="O837" s="391">
        <v>0</v>
      </c>
      <c r="P837" s="496">
        <f t="shared" si="127"/>
        <v>0</v>
      </c>
      <c r="Q837" s="445" t="s">
        <v>52</v>
      </c>
      <c r="R837" s="391">
        <v>8</v>
      </c>
      <c r="S837" s="362">
        <f t="shared" si="129"/>
        <v>8</v>
      </c>
      <c r="T837" s="368">
        <v>8</v>
      </c>
      <c r="U837" s="368"/>
      <c r="V837" s="368"/>
      <c r="W837" s="368"/>
      <c r="X837" s="364">
        <f t="shared" si="128"/>
        <v>1</v>
      </c>
      <c r="Y837" s="599"/>
      <c r="Z837" s="498">
        <f t="shared" si="125"/>
        <v>0</v>
      </c>
      <c r="AA837" s="368"/>
      <c r="AB837" s="368"/>
      <c r="AC837" s="368"/>
      <c r="AD837" s="368"/>
      <c r="AE837" s="365">
        <f t="shared" si="124"/>
        <v>0</v>
      </c>
      <c r="AF837" s="558"/>
      <c r="AG837" s="457"/>
      <c r="AH837" s="264"/>
    </row>
    <row r="838" spans="1:34" ht="60.75" thickBot="1" x14ac:dyDescent="0.3">
      <c r="A838" s="474"/>
      <c r="B838" s="447"/>
      <c r="C838" s="463" t="s">
        <v>651</v>
      </c>
      <c r="D838" s="449" t="s">
        <v>431</v>
      </c>
      <c r="E838" s="262"/>
      <c r="F838" s="447" t="s">
        <v>1787</v>
      </c>
      <c r="G838" s="387" t="e">
        <f>VLOOKUP(A838,'Feature Summary'!$A$7:$C$3944,3,FALSE)</f>
        <v>#N/A</v>
      </c>
      <c r="H838" s="447" t="s">
        <v>1790</v>
      </c>
      <c r="I838" s="488" t="s">
        <v>264</v>
      </c>
      <c r="J838" s="448" t="s">
        <v>1791</v>
      </c>
      <c r="K838" s="263">
        <v>1</v>
      </c>
      <c r="L838" s="391">
        <v>4</v>
      </c>
      <c r="M838" s="399" t="s">
        <v>33</v>
      </c>
      <c r="N838" s="475">
        <v>1</v>
      </c>
      <c r="O838" s="391">
        <v>4</v>
      </c>
      <c r="P838" s="496">
        <f t="shared" si="127"/>
        <v>1</v>
      </c>
      <c r="Q838" s="445" t="s">
        <v>52</v>
      </c>
      <c r="R838" s="391">
        <v>4</v>
      </c>
      <c r="S838" s="362">
        <f t="shared" si="129"/>
        <v>4</v>
      </c>
      <c r="T838" s="368">
        <v>4</v>
      </c>
      <c r="U838" s="368"/>
      <c r="V838" s="368"/>
      <c r="W838" s="368"/>
      <c r="X838" s="364">
        <f t="shared" si="128"/>
        <v>1</v>
      </c>
      <c r="Y838" s="393"/>
      <c r="Z838" s="498">
        <f t="shared" si="125"/>
        <v>0</v>
      </c>
      <c r="AA838" s="368"/>
      <c r="AB838" s="368"/>
      <c r="AC838" s="368"/>
      <c r="AD838" s="368"/>
      <c r="AE838" s="365">
        <f t="shared" si="124"/>
        <v>0</v>
      </c>
      <c r="AF838" s="558"/>
      <c r="AG838" s="457"/>
      <c r="AH838" s="264"/>
    </row>
    <row r="839" spans="1:34" ht="45.75" thickBot="1" x14ac:dyDescent="0.3">
      <c r="A839" s="474" t="s">
        <v>1792</v>
      </c>
      <c r="B839" s="463"/>
      <c r="C839" s="580" t="s">
        <v>372</v>
      </c>
      <c r="D839" s="449" t="s">
        <v>431</v>
      </c>
      <c r="E839" s="262"/>
      <c r="F839" s="447" t="s">
        <v>1793</v>
      </c>
      <c r="G839" s="387" t="e">
        <f>VLOOKUP(A839,'Feature Summary'!$A$7:$C$3944,3,FALSE)</f>
        <v>#N/A</v>
      </c>
      <c r="H839" s="447" t="s">
        <v>1794</v>
      </c>
      <c r="I839" s="488" t="s">
        <v>264</v>
      </c>
      <c r="J839" s="448" t="s">
        <v>320</v>
      </c>
      <c r="K839" s="263">
        <v>1</v>
      </c>
      <c r="L839" s="391">
        <v>4</v>
      </c>
      <c r="M839" s="399" t="s">
        <v>33</v>
      </c>
      <c r="N839" s="475">
        <v>1</v>
      </c>
      <c r="O839" s="391">
        <v>4</v>
      </c>
      <c r="P839" s="496">
        <f t="shared" si="127"/>
        <v>1</v>
      </c>
      <c r="Q839" s="445" t="s">
        <v>52</v>
      </c>
      <c r="R839" s="391">
        <v>4</v>
      </c>
      <c r="S839" s="362">
        <f t="shared" si="129"/>
        <v>4</v>
      </c>
      <c r="T839" s="368">
        <v>4</v>
      </c>
      <c r="U839" s="368"/>
      <c r="V839" s="368"/>
      <c r="W839" s="368">
        <v>0</v>
      </c>
      <c r="X839" s="364">
        <f t="shared" si="128"/>
        <v>1</v>
      </c>
      <c r="Y839" s="393"/>
      <c r="Z839" s="498">
        <f t="shared" si="125"/>
        <v>0</v>
      </c>
      <c r="AA839" s="368"/>
      <c r="AB839" s="368"/>
      <c r="AC839" s="368"/>
      <c r="AD839" s="368"/>
      <c r="AE839" s="365">
        <f t="shared" si="124"/>
        <v>0</v>
      </c>
      <c r="AF839" s="558"/>
      <c r="AG839" s="457"/>
      <c r="AH839" s="264"/>
    </row>
    <row r="840" spans="1:34" ht="30.75" thickBot="1" x14ac:dyDescent="0.3">
      <c r="A840" s="474"/>
      <c r="B840" s="463"/>
      <c r="C840" s="463" t="s">
        <v>44</v>
      </c>
      <c r="D840" s="449" t="s">
        <v>431</v>
      </c>
      <c r="E840" s="262"/>
      <c r="F840" s="447" t="s">
        <v>1793</v>
      </c>
      <c r="G840" s="387" t="e">
        <f>VLOOKUP(A840,'Feature Summary'!$A$7:$C$3944,3,FALSE)</f>
        <v>#N/A</v>
      </c>
      <c r="H840" s="447" t="s">
        <v>1795</v>
      </c>
      <c r="I840" s="447"/>
      <c r="J840" s="448" t="s">
        <v>328</v>
      </c>
      <c r="K840" s="263"/>
      <c r="L840" s="391"/>
      <c r="M840" s="399" t="s">
        <v>33</v>
      </c>
      <c r="N840" s="475">
        <v>1</v>
      </c>
      <c r="O840" s="391"/>
      <c r="P840" s="496">
        <f t="shared" si="127"/>
        <v>0</v>
      </c>
      <c r="Q840" s="445" t="s">
        <v>52</v>
      </c>
      <c r="R840" s="391"/>
      <c r="S840" s="362">
        <f t="shared" si="129"/>
        <v>0</v>
      </c>
      <c r="T840" s="368"/>
      <c r="U840" s="368"/>
      <c r="V840" s="368"/>
      <c r="W840" s="368"/>
      <c r="X840" s="364">
        <f t="shared" si="128"/>
        <v>0</v>
      </c>
      <c r="Y840" s="393"/>
      <c r="Z840" s="498">
        <f t="shared" si="125"/>
        <v>0</v>
      </c>
      <c r="AA840" s="368"/>
      <c r="AB840" s="368"/>
      <c r="AC840" s="368"/>
      <c r="AD840" s="368"/>
      <c r="AE840" s="365">
        <f t="shared" si="124"/>
        <v>0</v>
      </c>
      <c r="AF840" s="262"/>
      <c r="AG840" s="457"/>
      <c r="AH840" s="264"/>
    </row>
    <row r="841" spans="1:34" ht="15.75" thickBot="1" x14ac:dyDescent="0.3">
      <c r="A841" s="474"/>
      <c r="B841" s="463"/>
      <c r="C841" s="463" t="s">
        <v>44</v>
      </c>
      <c r="D841" s="449" t="s">
        <v>431</v>
      </c>
      <c r="E841" s="262"/>
      <c r="F841" s="447" t="s">
        <v>1793</v>
      </c>
      <c r="G841" s="387" t="e">
        <f>VLOOKUP(A841,'Feature Summary'!$A$7:$C$3944,3,FALSE)</f>
        <v>#N/A</v>
      </c>
      <c r="H841" s="447" t="s">
        <v>1796</v>
      </c>
      <c r="I841" s="447"/>
      <c r="J841" s="448" t="s">
        <v>297</v>
      </c>
      <c r="K841" s="263"/>
      <c r="L841" s="391"/>
      <c r="M841" s="399" t="s">
        <v>33</v>
      </c>
      <c r="N841" s="475">
        <v>1</v>
      </c>
      <c r="O841" s="391"/>
      <c r="P841" s="496">
        <f t="shared" si="127"/>
        <v>0</v>
      </c>
      <c r="Q841" s="445" t="s">
        <v>52</v>
      </c>
      <c r="R841" s="391"/>
      <c r="S841" s="362">
        <f t="shared" si="129"/>
        <v>0</v>
      </c>
      <c r="T841" s="368"/>
      <c r="U841" s="368"/>
      <c r="V841" s="368"/>
      <c r="W841" s="368"/>
      <c r="X841" s="364">
        <f t="shared" si="128"/>
        <v>0</v>
      </c>
      <c r="Y841" s="393"/>
      <c r="Z841" s="498">
        <f t="shared" si="125"/>
        <v>0</v>
      </c>
      <c r="AA841" s="368"/>
      <c r="AB841" s="368"/>
      <c r="AC841" s="368"/>
      <c r="AD841" s="368"/>
      <c r="AE841" s="365">
        <f t="shared" si="124"/>
        <v>0</v>
      </c>
      <c r="AF841" s="262"/>
      <c r="AG841" s="457"/>
      <c r="AH841" s="264"/>
    </row>
    <row r="842" spans="1:34" ht="45.75" thickBot="1" x14ac:dyDescent="0.3">
      <c r="A842" s="474" t="s">
        <v>1797</v>
      </c>
      <c r="B842" s="447" t="s">
        <v>1798</v>
      </c>
      <c r="C842" s="580" t="s">
        <v>335</v>
      </c>
      <c r="D842" s="449" t="s">
        <v>431</v>
      </c>
      <c r="E842" s="262"/>
      <c r="F842" s="447" t="s">
        <v>1799</v>
      </c>
      <c r="G842" s="387" t="e">
        <f>VLOOKUP(A842,'Feature Summary'!$A$7:$C$3944,3,FALSE)</f>
        <v>#N/A</v>
      </c>
      <c r="H842" s="447" t="s">
        <v>1800</v>
      </c>
      <c r="I842" s="488" t="s">
        <v>264</v>
      </c>
      <c r="J842" s="448" t="s">
        <v>1801</v>
      </c>
      <c r="K842" s="263">
        <v>1</v>
      </c>
      <c r="L842" s="391">
        <v>1</v>
      </c>
      <c r="M842" s="399" t="s">
        <v>33</v>
      </c>
      <c r="N842" s="475">
        <v>1</v>
      </c>
      <c r="O842" s="391">
        <v>1</v>
      </c>
      <c r="P842" s="496">
        <f t="shared" si="127"/>
        <v>1</v>
      </c>
      <c r="Q842" s="445" t="s">
        <v>52</v>
      </c>
      <c r="R842" s="391">
        <v>1</v>
      </c>
      <c r="S842" s="362">
        <f t="shared" si="129"/>
        <v>1</v>
      </c>
      <c r="T842" s="368">
        <v>1</v>
      </c>
      <c r="U842" s="368"/>
      <c r="V842" s="368"/>
      <c r="W842" s="368"/>
      <c r="X842" s="364">
        <f t="shared" si="128"/>
        <v>1</v>
      </c>
      <c r="Y842" s="393"/>
      <c r="Z842" s="498">
        <f t="shared" ref="Z842:Z905" si="130">SUM(AA842:AD842)</f>
        <v>0</v>
      </c>
      <c r="AA842" s="368"/>
      <c r="AB842" s="368"/>
      <c r="AC842" s="368"/>
      <c r="AD842" s="368"/>
      <c r="AE842" s="365">
        <f t="shared" ref="AE842:AE905" si="131">IF((Z842=0),0,((AA842+AB842)/Z842*100%))</f>
        <v>0</v>
      </c>
      <c r="AF842" s="262"/>
      <c r="AG842" s="457"/>
      <c r="AH842" s="264"/>
    </row>
    <row r="843" spans="1:34" ht="30.75" thickBot="1" x14ac:dyDescent="0.3">
      <c r="A843" s="474"/>
      <c r="B843" s="447" t="s">
        <v>1798</v>
      </c>
      <c r="C843" s="463" t="s">
        <v>44</v>
      </c>
      <c r="D843" s="449" t="s">
        <v>431</v>
      </c>
      <c r="E843" s="262"/>
      <c r="F843" s="447" t="s">
        <v>1799</v>
      </c>
      <c r="G843" s="387" t="e">
        <f>VLOOKUP(A843,'Feature Summary'!$A$7:$C$3944,3,FALSE)</f>
        <v>#N/A</v>
      </c>
      <c r="H843" s="447" t="s">
        <v>1802</v>
      </c>
      <c r="I843" s="447"/>
      <c r="J843" s="448" t="s">
        <v>328</v>
      </c>
      <c r="K843" s="263"/>
      <c r="L843" s="391"/>
      <c r="M843" s="399" t="s">
        <v>33</v>
      </c>
      <c r="N843" s="475">
        <v>1</v>
      </c>
      <c r="O843" s="391"/>
      <c r="P843" s="496">
        <f t="shared" si="127"/>
        <v>0</v>
      </c>
      <c r="Q843" s="445" t="s">
        <v>52</v>
      </c>
      <c r="R843" s="391"/>
      <c r="S843" s="362">
        <f t="shared" si="129"/>
        <v>0</v>
      </c>
      <c r="T843" s="368"/>
      <c r="U843" s="368"/>
      <c r="V843" s="368"/>
      <c r="W843" s="368"/>
      <c r="X843" s="364">
        <f t="shared" si="128"/>
        <v>0</v>
      </c>
      <c r="Y843" s="393"/>
      <c r="Z843" s="498">
        <f t="shared" si="130"/>
        <v>0</v>
      </c>
      <c r="AA843" s="368"/>
      <c r="AB843" s="368"/>
      <c r="AC843" s="368"/>
      <c r="AD843" s="368"/>
      <c r="AE843" s="365">
        <f t="shared" si="131"/>
        <v>0</v>
      </c>
      <c r="AF843" s="262"/>
      <c r="AG843" s="457"/>
      <c r="AH843" s="264"/>
    </row>
    <row r="844" spans="1:34" ht="30.75" thickBot="1" x14ac:dyDescent="0.3">
      <c r="A844" s="474"/>
      <c r="B844" s="447" t="s">
        <v>1798</v>
      </c>
      <c r="C844" s="463" t="s">
        <v>44</v>
      </c>
      <c r="D844" s="449" t="s">
        <v>431</v>
      </c>
      <c r="E844" s="262"/>
      <c r="F844" s="447" t="s">
        <v>1799</v>
      </c>
      <c r="G844" s="387" t="e">
        <f>VLOOKUP(A844,'Feature Summary'!$A$7:$C$3944,3,FALSE)</f>
        <v>#N/A</v>
      </c>
      <c r="H844" s="447" t="s">
        <v>1803</v>
      </c>
      <c r="I844" s="447"/>
      <c r="J844" s="448" t="s">
        <v>297</v>
      </c>
      <c r="K844" s="263"/>
      <c r="L844" s="391"/>
      <c r="M844" s="399" t="s">
        <v>33</v>
      </c>
      <c r="N844" s="475">
        <v>1</v>
      </c>
      <c r="O844" s="391"/>
      <c r="P844" s="496">
        <f t="shared" si="127"/>
        <v>0</v>
      </c>
      <c r="Q844" s="445" t="s">
        <v>52</v>
      </c>
      <c r="R844" s="391"/>
      <c r="S844" s="362">
        <f t="shared" si="129"/>
        <v>0</v>
      </c>
      <c r="T844" s="368"/>
      <c r="U844" s="368"/>
      <c r="V844" s="368"/>
      <c r="W844" s="368"/>
      <c r="X844" s="364">
        <f t="shared" si="128"/>
        <v>0</v>
      </c>
      <c r="Y844" s="393"/>
      <c r="Z844" s="498">
        <f t="shared" si="130"/>
        <v>0</v>
      </c>
      <c r="AA844" s="368"/>
      <c r="AB844" s="368"/>
      <c r="AC844" s="368"/>
      <c r="AD844" s="368"/>
      <c r="AE844" s="365">
        <f t="shared" si="131"/>
        <v>0</v>
      </c>
      <c r="AF844" s="262"/>
      <c r="AG844" s="457"/>
      <c r="AH844" s="264"/>
    </row>
    <row r="845" spans="1:34" ht="45.75" thickBot="1" x14ac:dyDescent="0.3">
      <c r="A845" s="474" t="s">
        <v>1804</v>
      </c>
      <c r="B845" s="447" t="s">
        <v>1805</v>
      </c>
      <c r="C845" s="580" t="s">
        <v>335</v>
      </c>
      <c r="D845" s="449" t="s">
        <v>431</v>
      </c>
      <c r="E845" s="262"/>
      <c r="F845" s="470" t="s">
        <v>1806</v>
      </c>
      <c r="G845" s="387" t="e">
        <f>VLOOKUP(A845,'Feature Summary'!$A$7:$C$3944,3,FALSE)</f>
        <v>#N/A</v>
      </c>
      <c r="H845" s="447" t="s">
        <v>1807</v>
      </c>
      <c r="I845" s="488" t="s">
        <v>264</v>
      </c>
      <c r="J845" s="448" t="s">
        <v>320</v>
      </c>
      <c r="K845" s="263">
        <v>1</v>
      </c>
      <c r="L845" s="391">
        <v>1</v>
      </c>
      <c r="M845" s="399" t="s">
        <v>33</v>
      </c>
      <c r="N845" s="475">
        <v>1</v>
      </c>
      <c r="O845" s="391">
        <v>1</v>
      </c>
      <c r="P845" s="496">
        <f t="shared" si="127"/>
        <v>1</v>
      </c>
      <c r="Q845" s="445" t="s">
        <v>52</v>
      </c>
      <c r="R845" s="391">
        <v>1</v>
      </c>
      <c r="S845" s="362">
        <f t="shared" si="129"/>
        <v>1</v>
      </c>
      <c r="T845" s="368">
        <v>1</v>
      </c>
      <c r="U845" s="368"/>
      <c r="V845" s="368"/>
      <c r="W845" s="368"/>
      <c r="X845" s="364">
        <f t="shared" si="128"/>
        <v>1</v>
      </c>
      <c r="Y845" s="393"/>
      <c r="Z845" s="498">
        <f t="shared" si="130"/>
        <v>0</v>
      </c>
      <c r="AA845" s="368"/>
      <c r="AB845" s="368"/>
      <c r="AC845" s="368"/>
      <c r="AD845" s="368"/>
      <c r="AE845" s="365">
        <f t="shared" si="131"/>
        <v>0</v>
      </c>
      <c r="AF845" s="558"/>
      <c r="AG845" s="457"/>
      <c r="AH845" s="264"/>
    </row>
    <row r="846" spans="1:34" ht="30.75" thickBot="1" x14ac:dyDescent="0.3">
      <c r="A846" s="474"/>
      <c r="B846" s="447" t="s">
        <v>1805</v>
      </c>
      <c r="C846" s="463" t="s">
        <v>44</v>
      </c>
      <c r="D846" s="449" t="s">
        <v>431</v>
      </c>
      <c r="E846" s="262"/>
      <c r="F846" s="470" t="s">
        <v>1806</v>
      </c>
      <c r="G846" s="387" t="e">
        <f>VLOOKUP(A846,'Feature Summary'!$A$7:$C$3944,3,FALSE)</f>
        <v>#N/A</v>
      </c>
      <c r="H846" s="447" t="s">
        <v>1808</v>
      </c>
      <c r="I846" s="447"/>
      <c r="J846" s="448" t="s">
        <v>328</v>
      </c>
      <c r="K846" s="263"/>
      <c r="L846" s="391"/>
      <c r="M846" s="399" t="s">
        <v>33</v>
      </c>
      <c r="N846" s="475">
        <v>1</v>
      </c>
      <c r="O846" s="391"/>
      <c r="P846" s="496">
        <f t="shared" si="127"/>
        <v>0</v>
      </c>
      <c r="Q846" s="445" t="s">
        <v>52</v>
      </c>
      <c r="R846" s="391"/>
      <c r="S846" s="362">
        <f t="shared" si="129"/>
        <v>0</v>
      </c>
      <c r="T846" s="368"/>
      <c r="U846" s="368"/>
      <c r="V846" s="368"/>
      <c r="W846" s="368"/>
      <c r="X846" s="364">
        <f t="shared" si="128"/>
        <v>0</v>
      </c>
      <c r="Y846" s="393"/>
      <c r="Z846" s="498">
        <f t="shared" si="130"/>
        <v>0</v>
      </c>
      <c r="AA846" s="368"/>
      <c r="AB846" s="368"/>
      <c r="AC846" s="368"/>
      <c r="AD846" s="368"/>
      <c r="AE846" s="365">
        <f t="shared" si="131"/>
        <v>0</v>
      </c>
      <c r="AF846" s="262"/>
      <c r="AG846" s="457"/>
      <c r="AH846" s="264"/>
    </row>
    <row r="847" spans="1:34" ht="15.75" thickBot="1" x14ac:dyDescent="0.3">
      <c r="A847" s="474"/>
      <c r="B847" s="447" t="s">
        <v>1805</v>
      </c>
      <c r="C847" s="463" t="s">
        <v>44</v>
      </c>
      <c r="D847" s="449" t="s">
        <v>431</v>
      </c>
      <c r="E847" s="262"/>
      <c r="F847" s="470" t="s">
        <v>1806</v>
      </c>
      <c r="G847" s="387" t="e">
        <f>VLOOKUP(A847,'Feature Summary'!$A$7:$C$3944,3,FALSE)</f>
        <v>#N/A</v>
      </c>
      <c r="H847" s="447" t="s">
        <v>1809</v>
      </c>
      <c r="I847" s="447"/>
      <c r="J847" s="448" t="s">
        <v>297</v>
      </c>
      <c r="K847" s="263"/>
      <c r="L847" s="391"/>
      <c r="M847" s="399" t="s">
        <v>33</v>
      </c>
      <c r="N847" s="475">
        <v>1</v>
      </c>
      <c r="O847" s="391"/>
      <c r="P847" s="496">
        <f t="shared" si="127"/>
        <v>0</v>
      </c>
      <c r="Q847" s="445" t="s">
        <v>52</v>
      </c>
      <c r="R847" s="391"/>
      <c r="S847" s="362">
        <f t="shared" si="129"/>
        <v>0</v>
      </c>
      <c r="T847" s="368"/>
      <c r="U847" s="368"/>
      <c r="V847" s="368"/>
      <c r="W847" s="368"/>
      <c r="X847" s="364">
        <f t="shared" si="128"/>
        <v>0</v>
      </c>
      <c r="Y847" s="393"/>
      <c r="Z847" s="498">
        <f t="shared" si="130"/>
        <v>0</v>
      </c>
      <c r="AA847" s="368"/>
      <c r="AB847" s="368"/>
      <c r="AC847" s="368"/>
      <c r="AD847" s="368"/>
      <c r="AE847" s="365">
        <f t="shared" si="131"/>
        <v>0</v>
      </c>
      <c r="AF847" s="262"/>
      <c r="AG847" s="457"/>
      <c r="AH847" s="264"/>
    </row>
    <row r="848" spans="1:34" ht="15.75" thickBot="1" x14ac:dyDescent="0.3">
      <c r="A848" s="474" t="s">
        <v>1810</v>
      </c>
      <c r="B848" s="447" t="s">
        <v>1805</v>
      </c>
      <c r="C848" s="580" t="s">
        <v>335</v>
      </c>
      <c r="D848" s="449" t="s">
        <v>431</v>
      </c>
      <c r="E848" s="262"/>
      <c r="F848" s="470" t="s">
        <v>1811</v>
      </c>
      <c r="G848" s="387" t="str">
        <f>VLOOKUP(A848,'Feature Summary'!$A$7:$C$3944,3,FALSE)</f>
        <v>P2</v>
      </c>
      <c r="H848" s="447" t="s">
        <v>1812</v>
      </c>
      <c r="I848" s="488" t="s">
        <v>264</v>
      </c>
      <c r="J848" s="448" t="s">
        <v>320</v>
      </c>
      <c r="K848" s="263">
        <v>1</v>
      </c>
      <c r="L848" s="391">
        <v>1</v>
      </c>
      <c r="M848" s="399" t="s">
        <v>33</v>
      </c>
      <c r="N848" s="475">
        <v>1</v>
      </c>
      <c r="O848" s="391">
        <v>1</v>
      </c>
      <c r="P848" s="496">
        <f t="shared" si="127"/>
        <v>1</v>
      </c>
      <c r="Q848" s="445" t="s">
        <v>52</v>
      </c>
      <c r="R848" s="391">
        <v>1</v>
      </c>
      <c r="S848" s="362">
        <f t="shared" si="129"/>
        <v>1</v>
      </c>
      <c r="T848" s="368">
        <v>1</v>
      </c>
      <c r="U848" s="368"/>
      <c r="V848" s="368"/>
      <c r="W848" s="368"/>
      <c r="X848" s="364">
        <f t="shared" si="128"/>
        <v>1</v>
      </c>
      <c r="Y848" s="393"/>
      <c r="Z848" s="498">
        <f t="shared" si="130"/>
        <v>0</v>
      </c>
      <c r="AA848" s="368"/>
      <c r="AB848" s="368"/>
      <c r="AC848" s="368"/>
      <c r="AD848" s="368"/>
      <c r="AE848" s="365">
        <f t="shared" si="131"/>
        <v>0</v>
      </c>
      <c r="AF848" s="558"/>
      <c r="AG848" s="457"/>
      <c r="AH848" s="264"/>
    </row>
    <row r="849" spans="1:34" ht="30.75" thickBot="1" x14ac:dyDescent="0.3">
      <c r="A849" s="474"/>
      <c r="B849" s="447" t="s">
        <v>1805</v>
      </c>
      <c r="C849" s="463" t="s">
        <v>44</v>
      </c>
      <c r="D849" s="449" t="s">
        <v>431</v>
      </c>
      <c r="E849" s="262"/>
      <c r="F849" s="470" t="s">
        <v>1811</v>
      </c>
      <c r="G849" s="387" t="e">
        <f>VLOOKUP(A849,'Feature Summary'!$A$7:$C$3944,3,FALSE)</f>
        <v>#N/A</v>
      </c>
      <c r="H849" s="447" t="s">
        <v>1813</v>
      </c>
      <c r="I849" s="447"/>
      <c r="J849" s="448" t="s">
        <v>328</v>
      </c>
      <c r="K849" s="263"/>
      <c r="L849" s="391"/>
      <c r="M849" s="399" t="s">
        <v>33</v>
      </c>
      <c r="N849" s="475">
        <v>1</v>
      </c>
      <c r="O849" s="391"/>
      <c r="P849" s="496">
        <f t="shared" si="127"/>
        <v>0</v>
      </c>
      <c r="Q849" s="445" t="s">
        <v>52</v>
      </c>
      <c r="R849" s="391"/>
      <c r="S849" s="362">
        <f t="shared" si="129"/>
        <v>0</v>
      </c>
      <c r="T849" s="368"/>
      <c r="U849" s="368"/>
      <c r="V849" s="368"/>
      <c r="W849" s="368"/>
      <c r="X849" s="364">
        <f t="shared" si="128"/>
        <v>0</v>
      </c>
      <c r="Y849" s="393"/>
      <c r="Z849" s="498">
        <f t="shared" si="130"/>
        <v>0</v>
      </c>
      <c r="AA849" s="368"/>
      <c r="AB849" s="368"/>
      <c r="AC849" s="368"/>
      <c r="AD849" s="368"/>
      <c r="AE849" s="365">
        <f t="shared" si="131"/>
        <v>0</v>
      </c>
      <c r="AF849" s="262"/>
      <c r="AG849" s="457"/>
      <c r="AH849" s="264"/>
    </row>
    <row r="850" spans="1:34" ht="15.75" thickBot="1" x14ac:dyDescent="0.3">
      <c r="A850" s="474"/>
      <c r="B850" s="447" t="s">
        <v>1805</v>
      </c>
      <c r="C850" s="463" t="s">
        <v>44</v>
      </c>
      <c r="D850" s="449" t="s">
        <v>431</v>
      </c>
      <c r="E850" s="262"/>
      <c r="F850" s="470" t="s">
        <v>1811</v>
      </c>
      <c r="G850" s="387" t="e">
        <f>VLOOKUP(A850,'Feature Summary'!$A$7:$C$3944,3,FALSE)</f>
        <v>#N/A</v>
      </c>
      <c r="H850" s="447" t="s">
        <v>1814</v>
      </c>
      <c r="I850" s="447"/>
      <c r="J850" s="448" t="s">
        <v>297</v>
      </c>
      <c r="K850" s="263"/>
      <c r="L850" s="391"/>
      <c r="M850" s="399" t="s">
        <v>33</v>
      </c>
      <c r="N850" s="475">
        <v>1</v>
      </c>
      <c r="O850" s="391"/>
      <c r="P850" s="496">
        <f t="shared" si="127"/>
        <v>0</v>
      </c>
      <c r="Q850" s="445" t="s">
        <v>52</v>
      </c>
      <c r="R850" s="391"/>
      <c r="S850" s="362">
        <f t="shared" si="129"/>
        <v>0</v>
      </c>
      <c r="T850" s="368"/>
      <c r="U850" s="368"/>
      <c r="V850" s="368"/>
      <c r="W850" s="368"/>
      <c r="X850" s="364">
        <f t="shared" si="128"/>
        <v>0</v>
      </c>
      <c r="Y850" s="393"/>
      <c r="Z850" s="498">
        <f t="shared" si="130"/>
        <v>0</v>
      </c>
      <c r="AA850" s="368"/>
      <c r="AB850" s="368"/>
      <c r="AC850" s="368"/>
      <c r="AD850" s="368"/>
      <c r="AE850" s="365">
        <f t="shared" si="131"/>
        <v>0</v>
      </c>
      <c r="AF850" s="262"/>
      <c r="AG850" s="457"/>
      <c r="AH850" s="264"/>
    </row>
    <row r="851" spans="1:34" ht="30.75" thickBot="1" x14ac:dyDescent="0.3">
      <c r="A851" s="474"/>
      <c r="B851" s="447" t="s">
        <v>1815</v>
      </c>
      <c r="C851" s="463" t="s">
        <v>260</v>
      </c>
      <c r="D851" s="449" t="s">
        <v>431</v>
      </c>
      <c r="E851" s="262"/>
      <c r="F851" s="470" t="s">
        <v>1816</v>
      </c>
      <c r="G851" s="387" t="e">
        <f>VLOOKUP(A851,'Feature Summary'!$A$7:$C$3944,3,FALSE)</f>
        <v>#N/A</v>
      </c>
      <c r="H851" s="447" t="s">
        <v>1817</v>
      </c>
      <c r="I851" s="488" t="s">
        <v>264</v>
      </c>
      <c r="J851" s="448" t="s">
        <v>320</v>
      </c>
      <c r="K851" s="263">
        <v>1</v>
      </c>
      <c r="L851" s="391">
        <v>16</v>
      </c>
      <c r="M851" s="399" t="s">
        <v>33</v>
      </c>
      <c r="N851" s="475">
        <v>1</v>
      </c>
      <c r="O851" s="391">
        <v>0</v>
      </c>
      <c r="P851" s="496">
        <f t="shared" si="127"/>
        <v>0</v>
      </c>
      <c r="Q851" s="445" t="s">
        <v>52</v>
      </c>
      <c r="R851" s="391">
        <v>16</v>
      </c>
      <c r="S851" s="362">
        <f t="shared" si="129"/>
        <v>16</v>
      </c>
      <c r="T851" s="368"/>
      <c r="U851" s="368">
        <v>16</v>
      </c>
      <c r="V851" s="368"/>
      <c r="W851" s="368"/>
      <c r="X851" s="364">
        <f t="shared" si="128"/>
        <v>1</v>
      </c>
      <c r="Y851" s="393"/>
      <c r="Z851" s="498">
        <f t="shared" si="130"/>
        <v>0</v>
      </c>
      <c r="AA851" s="368"/>
      <c r="AB851" s="368"/>
      <c r="AC851" s="368"/>
      <c r="AD851" s="368"/>
      <c r="AE851" s="365">
        <f t="shared" si="131"/>
        <v>0</v>
      </c>
      <c r="AF851" s="558"/>
      <c r="AG851" s="457"/>
      <c r="AH851" s="264"/>
    </row>
    <row r="852" spans="1:34" ht="30.75" thickBot="1" x14ac:dyDescent="0.3">
      <c r="A852" s="474"/>
      <c r="B852" s="447" t="s">
        <v>1815</v>
      </c>
      <c r="C852" s="463" t="s">
        <v>44</v>
      </c>
      <c r="D852" s="449" t="s">
        <v>431</v>
      </c>
      <c r="E852" s="262"/>
      <c r="F852" s="470" t="s">
        <v>1816</v>
      </c>
      <c r="G852" s="387" t="e">
        <f>VLOOKUP(A852,'Feature Summary'!$A$7:$C$3944,3,FALSE)</f>
        <v>#N/A</v>
      </c>
      <c r="H852" s="447" t="s">
        <v>1818</v>
      </c>
      <c r="I852" s="447"/>
      <c r="J852" s="448" t="s">
        <v>297</v>
      </c>
      <c r="K852" s="263"/>
      <c r="L852" s="391"/>
      <c r="M852" s="399" t="s">
        <v>33</v>
      </c>
      <c r="N852" s="475">
        <v>1</v>
      </c>
      <c r="O852" s="391"/>
      <c r="P852" s="496">
        <f t="shared" si="127"/>
        <v>0</v>
      </c>
      <c r="Q852" s="445" t="s">
        <v>52</v>
      </c>
      <c r="R852" s="391"/>
      <c r="S852" s="362">
        <f t="shared" si="129"/>
        <v>0</v>
      </c>
      <c r="T852" s="368"/>
      <c r="U852" s="368"/>
      <c r="V852" s="368"/>
      <c r="W852" s="368"/>
      <c r="X852" s="364">
        <f t="shared" si="128"/>
        <v>0</v>
      </c>
      <c r="Y852" s="393"/>
      <c r="Z852" s="498">
        <f t="shared" si="130"/>
        <v>0</v>
      </c>
      <c r="AA852" s="368"/>
      <c r="AB852" s="368"/>
      <c r="AC852" s="368"/>
      <c r="AD852" s="368"/>
      <c r="AE852" s="365">
        <f t="shared" si="131"/>
        <v>0</v>
      </c>
      <c r="AF852" s="558"/>
      <c r="AG852" s="457"/>
      <c r="AH852" s="264"/>
    </row>
    <row r="853" spans="1:34" ht="30.75" thickBot="1" x14ac:dyDescent="0.3">
      <c r="A853" s="474"/>
      <c r="B853" s="447" t="s">
        <v>1815</v>
      </c>
      <c r="C853" s="463" t="s">
        <v>44</v>
      </c>
      <c r="D853" s="449" t="s">
        <v>431</v>
      </c>
      <c r="E853" s="262"/>
      <c r="F853" s="470" t="s">
        <v>1816</v>
      </c>
      <c r="G853" s="387" t="e">
        <f>VLOOKUP(A853,'Feature Summary'!$A$7:$C$3944,3,FALSE)</f>
        <v>#N/A</v>
      </c>
      <c r="H853" s="447" t="s">
        <v>1819</v>
      </c>
      <c r="I853" s="447"/>
      <c r="J853" s="448" t="s">
        <v>295</v>
      </c>
      <c r="K853" s="263"/>
      <c r="L853" s="391"/>
      <c r="M853" s="399" t="s">
        <v>33</v>
      </c>
      <c r="N853" s="475">
        <v>1</v>
      </c>
      <c r="O853" s="391"/>
      <c r="P853" s="496">
        <f>IF((O853=0),0,(O853/L853))</f>
        <v>0</v>
      </c>
      <c r="Q853" s="445" t="s">
        <v>52</v>
      </c>
      <c r="R853" s="391"/>
      <c r="S853" s="362">
        <f t="shared" si="129"/>
        <v>0</v>
      </c>
      <c r="T853" s="368"/>
      <c r="U853" s="368"/>
      <c r="V853" s="368"/>
      <c r="W853" s="368"/>
      <c r="X853" s="364">
        <f t="shared" si="128"/>
        <v>0</v>
      </c>
      <c r="Y853" s="393"/>
      <c r="Z853" s="498">
        <f t="shared" si="130"/>
        <v>0</v>
      </c>
      <c r="AA853" s="368"/>
      <c r="AB853" s="368"/>
      <c r="AC853" s="368"/>
      <c r="AD853" s="368"/>
      <c r="AE853" s="365">
        <f t="shared" si="131"/>
        <v>0</v>
      </c>
      <c r="AF853" s="558"/>
      <c r="AG853" s="457"/>
      <c r="AH853" s="264"/>
    </row>
    <row r="854" spans="1:34" ht="30.75" thickBot="1" x14ac:dyDescent="0.3">
      <c r="A854" s="474"/>
      <c r="B854" s="463"/>
      <c r="C854" s="463" t="s">
        <v>44</v>
      </c>
      <c r="D854" s="449" t="s">
        <v>431</v>
      </c>
      <c r="E854" s="262"/>
      <c r="F854" s="470" t="s">
        <v>1041</v>
      </c>
      <c r="G854" s="387" t="e">
        <f>VLOOKUP(A854,'Feature Summary'!$A$7:$C$3944,3,FALSE)</f>
        <v>#N/A</v>
      </c>
      <c r="H854" s="447" t="s">
        <v>1820</v>
      </c>
      <c r="I854" s="447"/>
      <c r="J854" s="448" t="s">
        <v>297</v>
      </c>
      <c r="K854" s="263"/>
      <c r="L854" s="391"/>
      <c r="M854" s="399" t="s">
        <v>33</v>
      </c>
      <c r="N854" s="475">
        <v>1</v>
      </c>
      <c r="O854" s="391"/>
      <c r="P854" s="496">
        <f t="shared" ref="P854:P896" si="132">IF((O854=0),0,(O854/L854))</f>
        <v>0</v>
      </c>
      <c r="Q854" s="445" t="s">
        <v>52</v>
      </c>
      <c r="R854" s="391"/>
      <c r="S854" s="362">
        <f t="shared" si="129"/>
        <v>0</v>
      </c>
      <c r="T854" s="368"/>
      <c r="U854" s="368"/>
      <c r="V854" s="368"/>
      <c r="W854" s="368"/>
      <c r="X854" s="364">
        <f t="shared" si="128"/>
        <v>0</v>
      </c>
      <c r="Y854" s="393"/>
      <c r="Z854" s="498">
        <f t="shared" si="130"/>
        <v>0</v>
      </c>
      <c r="AA854" s="368"/>
      <c r="AB854" s="368"/>
      <c r="AC854" s="368"/>
      <c r="AD854" s="368"/>
      <c r="AE854" s="365">
        <f t="shared" si="131"/>
        <v>0</v>
      </c>
      <c r="AF854" s="262"/>
      <c r="AG854" s="457"/>
      <c r="AH854" s="264"/>
    </row>
    <row r="855" spans="1:34" ht="30.75" thickBot="1" x14ac:dyDescent="0.3">
      <c r="A855" s="474"/>
      <c r="B855" s="463"/>
      <c r="C855" s="463" t="s">
        <v>44</v>
      </c>
      <c r="D855" s="449" t="s">
        <v>431</v>
      </c>
      <c r="E855" s="262"/>
      <c r="F855" s="470" t="s">
        <v>1041</v>
      </c>
      <c r="G855" s="387" t="e">
        <f>VLOOKUP(A855,'Feature Summary'!$A$7:$C$3944,3,FALSE)</f>
        <v>#N/A</v>
      </c>
      <c r="H855" s="447" t="s">
        <v>1821</v>
      </c>
      <c r="I855" s="447"/>
      <c r="J855" s="448" t="s">
        <v>295</v>
      </c>
      <c r="K855" s="263"/>
      <c r="L855" s="391"/>
      <c r="M855" s="399" t="s">
        <v>33</v>
      </c>
      <c r="N855" s="475">
        <v>1</v>
      </c>
      <c r="O855" s="391"/>
      <c r="P855" s="496">
        <f t="shared" si="132"/>
        <v>0</v>
      </c>
      <c r="Q855" s="445" t="s">
        <v>52</v>
      </c>
      <c r="R855" s="391"/>
      <c r="S855" s="362">
        <f t="shared" si="129"/>
        <v>0</v>
      </c>
      <c r="T855" s="368"/>
      <c r="U855" s="368"/>
      <c r="V855" s="368"/>
      <c r="W855" s="368"/>
      <c r="X855" s="364">
        <f t="shared" si="128"/>
        <v>0</v>
      </c>
      <c r="Y855" s="393"/>
      <c r="Z855" s="498">
        <f t="shared" si="130"/>
        <v>0</v>
      </c>
      <c r="AA855" s="368"/>
      <c r="AB855" s="368"/>
      <c r="AC855" s="368"/>
      <c r="AD855" s="368"/>
      <c r="AE855" s="365">
        <f t="shared" si="131"/>
        <v>0</v>
      </c>
      <c r="AF855" s="262"/>
      <c r="AG855" s="457"/>
      <c r="AH855" s="264"/>
    </row>
    <row r="856" spans="1:34" ht="15.75" thickBot="1" x14ac:dyDescent="0.3">
      <c r="A856" s="474" t="s">
        <v>1822</v>
      </c>
      <c r="B856" s="447" t="s">
        <v>1823</v>
      </c>
      <c r="C856" s="580" t="s">
        <v>651</v>
      </c>
      <c r="D856" s="449" t="s">
        <v>431</v>
      </c>
      <c r="E856" s="262"/>
      <c r="F856" s="447" t="s">
        <v>1824</v>
      </c>
      <c r="G856" s="387" t="str">
        <f>VLOOKUP(A856,'Feature Summary'!$A$7:$C$3944,3,FALSE)</f>
        <v>P2</v>
      </c>
      <c r="H856" s="447" t="s">
        <v>1825</v>
      </c>
      <c r="I856" s="488" t="s">
        <v>264</v>
      </c>
      <c r="J856" s="448" t="s">
        <v>320</v>
      </c>
      <c r="K856" s="263">
        <v>1</v>
      </c>
      <c r="L856" s="391">
        <v>2</v>
      </c>
      <c r="M856" s="399" t="s">
        <v>33</v>
      </c>
      <c r="N856" s="475">
        <v>1</v>
      </c>
      <c r="O856" s="391">
        <v>2</v>
      </c>
      <c r="P856" s="496">
        <f t="shared" ref="P856" si="133">IF((O856=0),0,(O856/L856))</f>
        <v>1</v>
      </c>
      <c r="Q856" s="445" t="s">
        <v>52</v>
      </c>
      <c r="R856" s="391">
        <v>2</v>
      </c>
      <c r="S856" s="362">
        <f t="shared" si="129"/>
        <v>2</v>
      </c>
      <c r="T856" s="368">
        <v>2</v>
      </c>
      <c r="U856" s="368"/>
      <c r="V856" s="368"/>
      <c r="W856" s="368"/>
      <c r="X856" s="364">
        <f t="shared" si="128"/>
        <v>1</v>
      </c>
      <c r="Y856" s="393"/>
      <c r="Z856" s="498">
        <f t="shared" si="130"/>
        <v>0</v>
      </c>
      <c r="AA856" s="368"/>
      <c r="AB856" s="368"/>
      <c r="AC856" s="368"/>
      <c r="AD856" s="368"/>
      <c r="AE856" s="365">
        <f t="shared" si="131"/>
        <v>0</v>
      </c>
      <c r="AF856" s="558"/>
      <c r="AG856" s="457"/>
      <c r="AH856" s="264"/>
    </row>
    <row r="857" spans="1:34" ht="15.75" thickBot="1" x14ac:dyDescent="0.3">
      <c r="A857" s="474" t="s">
        <v>1822</v>
      </c>
      <c r="B857" s="447" t="s">
        <v>1823</v>
      </c>
      <c r="C857" s="580" t="s">
        <v>651</v>
      </c>
      <c r="D857" s="449" t="s">
        <v>431</v>
      </c>
      <c r="E857" s="262"/>
      <c r="F857" s="447" t="s">
        <v>1824</v>
      </c>
      <c r="G857" s="387" t="str">
        <f>VLOOKUP(A857,'Feature Summary'!$A$7:$C$3944,3,FALSE)</f>
        <v>P2</v>
      </c>
      <c r="H857" s="447" t="s">
        <v>1826</v>
      </c>
      <c r="I857" s="488" t="s">
        <v>264</v>
      </c>
      <c r="J857" s="448" t="s">
        <v>840</v>
      </c>
      <c r="K857" s="263">
        <v>1</v>
      </c>
      <c r="L857" s="391">
        <v>1</v>
      </c>
      <c r="M857" s="399" t="s">
        <v>33</v>
      </c>
      <c r="N857" s="475">
        <v>1</v>
      </c>
      <c r="O857" s="391">
        <v>1</v>
      </c>
      <c r="P857" s="496">
        <f t="shared" si="132"/>
        <v>1</v>
      </c>
      <c r="Q857" s="445" t="s">
        <v>52</v>
      </c>
      <c r="R857" s="391">
        <v>1</v>
      </c>
      <c r="S857" s="362">
        <f t="shared" si="129"/>
        <v>1</v>
      </c>
      <c r="T857" s="368">
        <v>1</v>
      </c>
      <c r="U857" s="368"/>
      <c r="V857" s="368"/>
      <c r="W857" s="368"/>
      <c r="X857" s="364">
        <f t="shared" si="128"/>
        <v>1</v>
      </c>
      <c r="Y857" s="393"/>
      <c r="Z857" s="498">
        <f t="shared" si="130"/>
        <v>0</v>
      </c>
      <c r="AA857" s="368"/>
      <c r="AB857" s="368"/>
      <c r="AC857" s="368"/>
      <c r="AD857" s="368"/>
      <c r="AE857" s="365">
        <f t="shared" si="131"/>
        <v>0</v>
      </c>
      <c r="AF857" s="558"/>
      <c r="AG857" s="457"/>
      <c r="AH857" s="264"/>
    </row>
    <row r="858" spans="1:34" ht="28.5" customHeight="1" thickBot="1" x14ac:dyDescent="0.3">
      <c r="A858" s="474"/>
      <c r="B858" s="447" t="s">
        <v>1823</v>
      </c>
      <c r="C858" s="463" t="s">
        <v>44</v>
      </c>
      <c r="D858" s="449" t="s">
        <v>431</v>
      </c>
      <c r="E858" s="262"/>
      <c r="F858" s="447" t="s">
        <v>1824</v>
      </c>
      <c r="G858" s="387" t="e">
        <f>VLOOKUP(A858,'Feature Summary'!$A$7:$C$3944,3,FALSE)</f>
        <v>#N/A</v>
      </c>
      <c r="H858" s="447" t="s">
        <v>1827</v>
      </c>
      <c r="I858" s="447"/>
      <c r="J858" s="448" t="s">
        <v>328</v>
      </c>
      <c r="K858" s="263"/>
      <c r="L858" s="391"/>
      <c r="M858" s="399" t="s">
        <v>33</v>
      </c>
      <c r="N858" s="475">
        <v>1</v>
      </c>
      <c r="O858" s="391"/>
      <c r="P858" s="496">
        <f t="shared" si="132"/>
        <v>0</v>
      </c>
      <c r="Q858" s="445" t="s">
        <v>52</v>
      </c>
      <c r="R858" s="391"/>
      <c r="S858" s="362">
        <f t="shared" si="129"/>
        <v>0</v>
      </c>
      <c r="T858" s="368"/>
      <c r="U858" s="368"/>
      <c r="V858" s="368"/>
      <c r="W858" s="368"/>
      <c r="X858" s="364">
        <f t="shared" si="128"/>
        <v>0</v>
      </c>
      <c r="Y858" s="393"/>
      <c r="Z858" s="498">
        <f t="shared" si="130"/>
        <v>0</v>
      </c>
      <c r="AA858" s="368"/>
      <c r="AB858" s="368"/>
      <c r="AC858" s="368"/>
      <c r="AD858" s="368"/>
      <c r="AE858" s="365">
        <f t="shared" si="131"/>
        <v>0</v>
      </c>
      <c r="AF858" s="558"/>
      <c r="AG858" s="457"/>
      <c r="AH858" s="264"/>
    </row>
    <row r="859" spans="1:34" ht="26.25" customHeight="1" thickBot="1" x14ac:dyDescent="0.3">
      <c r="A859" s="474"/>
      <c r="B859" s="447" t="s">
        <v>1823</v>
      </c>
      <c r="C859" s="463" t="s">
        <v>44</v>
      </c>
      <c r="D859" s="449" t="s">
        <v>431</v>
      </c>
      <c r="E859" s="262"/>
      <c r="F859" s="447" t="s">
        <v>1824</v>
      </c>
      <c r="G859" s="387" t="e">
        <f>VLOOKUP(A859,'Feature Summary'!$A$7:$C$3944,3,FALSE)</f>
        <v>#N/A</v>
      </c>
      <c r="H859" s="447" t="s">
        <v>1828</v>
      </c>
      <c r="I859" s="447"/>
      <c r="J859" s="448" t="s">
        <v>297</v>
      </c>
      <c r="K859" s="263"/>
      <c r="L859" s="391"/>
      <c r="M859" s="399" t="s">
        <v>33</v>
      </c>
      <c r="N859" s="475">
        <v>1</v>
      </c>
      <c r="O859" s="391"/>
      <c r="P859" s="496">
        <f t="shared" si="132"/>
        <v>0</v>
      </c>
      <c r="Q859" s="445" t="s">
        <v>52</v>
      </c>
      <c r="R859" s="391"/>
      <c r="S859" s="362">
        <f t="shared" si="129"/>
        <v>0</v>
      </c>
      <c r="T859" s="368"/>
      <c r="U859" s="368"/>
      <c r="V859" s="368"/>
      <c r="W859" s="368"/>
      <c r="X859" s="364">
        <f t="shared" si="128"/>
        <v>0</v>
      </c>
      <c r="Y859" s="393"/>
      <c r="Z859" s="498">
        <f t="shared" si="130"/>
        <v>0</v>
      </c>
      <c r="AA859" s="368"/>
      <c r="AB859" s="368"/>
      <c r="AC859" s="368"/>
      <c r="AD859" s="368"/>
      <c r="AE859" s="365">
        <f t="shared" si="131"/>
        <v>0</v>
      </c>
      <c r="AF859" s="558"/>
      <c r="AG859" s="457"/>
      <c r="AH859" s="264"/>
    </row>
    <row r="860" spans="1:34" ht="30.75" thickBot="1" x14ac:dyDescent="0.3">
      <c r="A860" s="474"/>
      <c r="B860" s="447" t="s">
        <v>1823</v>
      </c>
      <c r="C860" s="463" t="s">
        <v>44</v>
      </c>
      <c r="D860" s="449" t="s">
        <v>431</v>
      </c>
      <c r="E860" s="262"/>
      <c r="F860" s="447" t="s">
        <v>1824</v>
      </c>
      <c r="G860" s="387" t="e">
        <f>VLOOKUP(A860,'Feature Summary'!$A$7:$C$3944,3,FALSE)</f>
        <v>#N/A</v>
      </c>
      <c r="H860" s="447" t="s">
        <v>1829</v>
      </c>
      <c r="I860" s="447"/>
      <c r="J860" s="448" t="s">
        <v>303</v>
      </c>
      <c r="K860" s="263"/>
      <c r="L860" s="391"/>
      <c r="M860" s="399" t="s">
        <v>33</v>
      </c>
      <c r="N860" s="475">
        <v>1</v>
      </c>
      <c r="O860" s="391"/>
      <c r="P860" s="496">
        <f t="shared" si="132"/>
        <v>0</v>
      </c>
      <c r="Q860" s="445" t="s">
        <v>52</v>
      </c>
      <c r="R860" s="391"/>
      <c r="S860" s="362">
        <f t="shared" si="129"/>
        <v>0</v>
      </c>
      <c r="T860" s="368"/>
      <c r="U860" s="368"/>
      <c r="V860" s="368"/>
      <c r="W860" s="368"/>
      <c r="X860" s="364">
        <f t="shared" ref="X860:X930" si="134">IF((S860=0),0,((T860+U860)/S860*100%))</f>
        <v>0</v>
      </c>
      <c r="Y860" s="393"/>
      <c r="Z860" s="498">
        <f t="shared" si="130"/>
        <v>0</v>
      </c>
      <c r="AA860" s="368"/>
      <c r="AB860" s="368"/>
      <c r="AC860" s="368"/>
      <c r="AD860" s="368"/>
      <c r="AE860" s="365">
        <f t="shared" si="131"/>
        <v>0</v>
      </c>
      <c r="AF860" s="262"/>
      <c r="AG860" s="457"/>
      <c r="AH860" s="264"/>
    </row>
    <row r="861" spans="1:34" ht="45.75" thickBot="1" x14ac:dyDescent="0.3">
      <c r="A861" s="474" t="s">
        <v>1830</v>
      </c>
      <c r="B861" s="447" t="s">
        <v>1831</v>
      </c>
      <c r="C861" s="580" t="s">
        <v>445</v>
      </c>
      <c r="D861" s="449" t="s">
        <v>431</v>
      </c>
      <c r="E861" s="262"/>
      <c r="F861" s="470" t="s">
        <v>1832</v>
      </c>
      <c r="G861" s="387" t="str">
        <f>VLOOKUP(A861,'Feature Summary'!$A$7:$C$3944,3,FALSE)</f>
        <v>P2</v>
      </c>
      <c r="H861" s="447" t="s">
        <v>1833</v>
      </c>
      <c r="I861" s="488" t="s">
        <v>264</v>
      </c>
      <c r="J861" s="448" t="s">
        <v>320</v>
      </c>
      <c r="K861" s="263">
        <v>1</v>
      </c>
      <c r="L861" s="391">
        <v>2</v>
      </c>
      <c r="M861" s="399" t="s">
        <v>33</v>
      </c>
      <c r="N861" s="475">
        <v>1</v>
      </c>
      <c r="O861" s="391">
        <v>2</v>
      </c>
      <c r="P861" s="496">
        <f t="shared" si="132"/>
        <v>1</v>
      </c>
      <c r="Q861" s="445" t="s">
        <v>52</v>
      </c>
      <c r="R861" s="391">
        <v>2</v>
      </c>
      <c r="S861" s="362">
        <f t="shared" ref="S861:S932" si="135">SUM(T861:W861)</f>
        <v>2</v>
      </c>
      <c r="T861" s="368">
        <v>2</v>
      </c>
      <c r="U861" s="368"/>
      <c r="V861" s="368"/>
      <c r="W861" s="368"/>
      <c r="X861" s="364">
        <f t="shared" si="134"/>
        <v>1</v>
      </c>
      <c r="Y861" s="393"/>
      <c r="Z861" s="498">
        <f t="shared" si="130"/>
        <v>0</v>
      </c>
      <c r="AA861" s="368"/>
      <c r="AB861" s="368"/>
      <c r="AC861" s="368"/>
      <c r="AD861" s="368"/>
      <c r="AE861" s="365">
        <f t="shared" si="131"/>
        <v>0</v>
      </c>
      <c r="AF861" s="558"/>
      <c r="AG861" s="457"/>
      <c r="AH861" s="264"/>
    </row>
    <row r="862" spans="1:34" ht="45.75" thickBot="1" x14ac:dyDescent="0.3">
      <c r="A862" s="474"/>
      <c r="B862" s="447" t="s">
        <v>1831</v>
      </c>
      <c r="C862" s="463" t="s">
        <v>44</v>
      </c>
      <c r="D862" s="449" t="s">
        <v>431</v>
      </c>
      <c r="E862" s="262"/>
      <c r="F862" s="470" t="s">
        <v>1832</v>
      </c>
      <c r="G862" s="387" t="e">
        <f>VLOOKUP(A862,'Feature Summary'!$A$7:$C$3944,3,FALSE)</f>
        <v>#N/A</v>
      </c>
      <c r="H862" s="447" t="s">
        <v>1834</v>
      </c>
      <c r="I862" s="447"/>
      <c r="J862" s="448" t="s">
        <v>328</v>
      </c>
      <c r="K862" s="263"/>
      <c r="L862" s="391"/>
      <c r="M862" s="399" t="s">
        <v>33</v>
      </c>
      <c r="N862" s="475">
        <v>1</v>
      </c>
      <c r="O862" s="391"/>
      <c r="P862" s="496">
        <f t="shared" si="132"/>
        <v>0</v>
      </c>
      <c r="Q862" s="445" t="s">
        <v>52</v>
      </c>
      <c r="R862" s="391"/>
      <c r="S862" s="362">
        <f t="shared" si="135"/>
        <v>0</v>
      </c>
      <c r="T862" s="368"/>
      <c r="U862" s="368"/>
      <c r="V862" s="368"/>
      <c r="W862" s="368"/>
      <c r="X862" s="364">
        <f t="shared" si="134"/>
        <v>0</v>
      </c>
      <c r="Y862" s="393"/>
      <c r="Z862" s="498">
        <f t="shared" si="130"/>
        <v>0</v>
      </c>
      <c r="AA862" s="368"/>
      <c r="AB862" s="368"/>
      <c r="AC862" s="368"/>
      <c r="AD862" s="368"/>
      <c r="AE862" s="365">
        <f t="shared" si="131"/>
        <v>0</v>
      </c>
      <c r="AF862" s="262"/>
      <c r="AG862" s="457"/>
      <c r="AH862" s="264"/>
    </row>
    <row r="863" spans="1:34" ht="45.75" thickBot="1" x14ac:dyDescent="0.3">
      <c r="A863" s="474"/>
      <c r="B863" s="447" t="s">
        <v>1831</v>
      </c>
      <c r="C863" s="463" t="s">
        <v>44</v>
      </c>
      <c r="D863" s="449" t="s">
        <v>431</v>
      </c>
      <c r="E863" s="262"/>
      <c r="F863" s="470" t="s">
        <v>1832</v>
      </c>
      <c r="G863" s="387" t="e">
        <f>VLOOKUP(A863,'Feature Summary'!$A$7:$C$3944,3,FALSE)</f>
        <v>#N/A</v>
      </c>
      <c r="H863" s="447" t="s">
        <v>1835</v>
      </c>
      <c r="I863" s="447"/>
      <c r="J863" s="448" t="s">
        <v>297</v>
      </c>
      <c r="K863" s="263"/>
      <c r="L863" s="391"/>
      <c r="M863" s="399" t="s">
        <v>33</v>
      </c>
      <c r="N863" s="475">
        <v>1</v>
      </c>
      <c r="O863" s="391"/>
      <c r="P863" s="496">
        <f t="shared" si="132"/>
        <v>0</v>
      </c>
      <c r="Q863" s="445" t="s">
        <v>52</v>
      </c>
      <c r="R863" s="391"/>
      <c r="S863" s="362">
        <f t="shared" si="135"/>
        <v>0</v>
      </c>
      <c r="T863" s="368"/>
      <c r="U863" s="368"/>
      <c r="V863" s="368"/>
      <c r="W863" s="368"/>
      <c r="X863" s="364">
        <f t="shared" si="134"/>
        <v>0</v>
      </c>
      <c r="Y863" s="393"/>
      <c r="Z863" s="498">
        <f t="shared" si="130"/>
        <v>0</v>
      </c>
      <c r="AA863" s="368"/>
      <c r="AB863" s="368"/>
      <c r="AC863" s="368"/>
      <c r="AD863" s="368"/>
      <c r="AE863" s="365">
        <f t="shared" si="131"/>
        <v>0</v>
      </c>
      <c r="AF863" s="262"/>
      <c r="AG863" s="457"/>
      <c r="AH863" s="264"/>
    </row>
    <row r="864" spans="1:34" ht="45.75" thickBot="1" x14ac:dyDescent="0.3">
      <c r="A864" s="474" t="s">
        <v>1836</v>
      </c>
      <c r="B864" s="447" t="s">
        <v>1837</v>
      </c>
      <c r="C864" s="580" t="s">
        <v>445</v>
      </c>
      <c r="D864" s="449" t="s">
        <v>431</v>
      </c>
      <c r="E864" s="262"/>
      <c r="F864" s="470" t="s">
        <v>1838</v>
      </c>
      <c r="G864" s="387" t="str">
        <f>VLOOKUP(A864,'Feature Summary'!$A$7:$C$3944,3,FALSE)</f>
        <v>P2</v>
      </c>
      <c r="H864" s="447" t="s">
        <v>1839</v>
      </c>
      <c r="I864" s="488" t="s">
        <v>264</v>
      </c>
      <c r="J864" s="448" t="s">
        <v>1840</v>
      </c>
      <c r="K864" s="263">
        <v>1</v>
      </c>
      <c r="L864" s="391">
        <v>2</v>
      </c>
      <c r="M864" s="399" t="s">
        <v>33</v>
      </c>
      <c r="N864" s="475">
        <v>1</v>
      </c>
      <c r="O864" s="391">
        <v>2</v>
      </c>
      <c r="P864" s="496">
        <f t="shared" si="132"/>
        <v>1</v>
      </c>
      <c r="Q864" s="445" t="s">
        <v>52</v>
      </c>
      <c r="R864" s="391">
        <v>2</v>
      </c>
      <c r="S864" s="362">
        <f t="shared" si="135"/>
        <v>2</v>
      </c>
      <c r="T864" s="368">
        <v>2</v>
      </c>
      <c r="U864" s="368"/>
      <c r="V864" s="368"/>
      <c r="W864" s="368"/>
      <c r="X864" s="364">
        <f t="shared" si="134"/>
        <v>1</v>
      </c>
      <c r="Y864" s="393"/>
      <c r="Z864" s="498">
        <f t="shared" si="130"/>
        <v>0</v>
      </c>
      <c r="AA864" s="368"/>
      <c r="AB864" s="368"/>
      <c r="AC864" s="368"/>
      <c r="AD864" s="368"/>
      <c r="AE864" s="365">
        <f t="shared" si="131"/>
        <v>0</v>
      </c>
      <c r="AF864" s="558"/>
      <c r="AG864" s="457"/>
      <c r="AH864" s="264"/>
    </row>
    <row r="865" spans="1:34" ht="45.75" thickBot="1" x14ac:dyDescent="0.3">
      <c r="A865" s="474"/>
      <c r="B865" s="447" t="s">
        <v>1837</v>
      </c>
      <c r="C865" s="463" t="s">
        <v>44</v>
      </c>
      <c r="D865" s="449" t="s">
        <v>431</v>
      </c>
      <c r="E865" s="262"/>
      <c r="F865" s="470" t="s">
        <v>1838</v>
      </c>
      <c r="G865" s="387" t="e">
        <f>VLOOKUP(A865,'Feature Summary'!$A$7:$C$3944,3,FALSE)</f>
        <v>#N/A</v>
      </c>
      <c r="H865" s="447" t="s">
        <v>1841</v>
      </c>
      <c r="I865" s="447"/>
      <c r="J865" s="448" t="s">
        <v>1842</v>
      </c>
      <c r="K865" s="263"/>
      <c r="L865" s="391"/>
      <c r="M865" s="399" t="s">
        <v>33</v>
      </c>
      <c r="N865" s="475">
        <v>1</v>
      </c>
      <c r="O865" s="391"/>
      <c r="P865" s="496">
        <f t="shared" si="132"/>
        <v>0</v>
      </c>
      <c r="Q865" s="445" t="s">
        <v>52</v>
      </c>
      <c r="R865" s="391"/>
      <c r="S865" s="362">
        <f t="shared" si="135"/>
        <v>0</v>
      </c>
      <c r="T865" s="368"/>
      <c r="U865" s="368"/>
      <c r="V865" s="368"/>
      <c r="W865" s="368"/>
      <c r="X865" s="364">
        <f t="shared" si="134"/>
        <v>0</v>
      </c>
      <c r="Y865" s="393"/>
      <c r="Z865" s="498">
        <f t="shared" si="130"/>
        <v>0</v>
      </c>
      <c r="AA865" s="368"/>
      <c r="AB865" s="368"/>
      <c r="AC865" s="368"/>
      <c r="AD865" s="368"/>
      <c r="AE865" s="365">
        <f t="shared" si="131"/>
        <v>0</v>
      </c>
      <c r="AF865" s="558"/>
      <c r="AG865" s="457"/>
      <c r="AH865" s="264"/>
    </row>
    <row r="866" spans="1:34" ht="45.75" thickBot="1" x14ac:dyDescent="0.3">
      <c r="A866" s="474"/>
      <c r="B866" s="447" t="s">
        <v>1837</v>
      </c>
      <c r="C866" s="463" t="s">
        <v>44</v>
      </c>
      <c r="D866" s="449" t="s">
        <v>431</v>
      </c>
      <c r="E866" s="262"/>
      <c r="F866" s="470" t="s">
        <v>1838</v>
      </c>
      <c r="G866" s="387" t="e">
        <f>VLOOKUP(A866,'Feature Summary'!$A$7:$C$3944,3,FALSE)</f>
        <v>#N/A</v>
      </c>
      <c r="H866" s="447" t="s">
        <v>1843</v>
      </c>
      <c r="I866" s="447"/>
      <c r="J866" s="448" t="s">
        <v>328</v>
      </c>
      <c r="K866" s="263"/>
      <c r="L866" s="391"/>
      <c r="M866" s="399" t="s">
        <v>33</v>
      </c>
      <c r="N866" s="475">
        <v>1</v>
      </c>
      <c r="O866" s="391"/>
      <c r="P866" s="496">
        <f t="shared" si="132"/>
        <v>0</v>
      </c>
      <c r="Q866" s="445" t="s">
        <v>52</v>
      </c>
      <c r="R866" s="391"/>
      <c r="S866" s="362">
        <f t="shared" si="135"/>
        <v>0</v>
      </c>
      <c r="T866" s="368"/>
      <c r="U866" s="368"/>
      <c r="V866" s="368"/>
      <c r="W866" s="368"/>
      <c r="X866" s="364">
        <f t="shared" si="134"/>
        <v>0</v>
      </c>
      <c r="Y866" s="393"/>
      <c r="Z866" s="498">
        <f t="shared" si="130"/>
        <v>0</v>
      </c>
      <c r="AA866" s="368"/>
      <c r="AB866" s="368"/>
      <c r="AC866" s="368"/>
      <c r="AD866" s="368"/>
      <c r="AE866" s="365">
        <f t="shared" si="131"/>
        <v>0</v>
      </c>
      <c r="AF866" s="558"/>
      <c r="AG866" s="457"/>
      <c r="AH866" s="264"/>
    </row>
    <row r="867" spans="1:34" ht="45.75" thickBot="1" x14ac:dyDescent="0.3">
      <c r="A867" s="474"/>
      <c r="B867" s="447" t="s">
        <v>1837</v>
      </c>
      <c r="C867" s="463" t="s">
        <v>44</v>
      </c>
      <c r="D867" s="449" t="s">
        <v>431</v>
      </c>
      <c r="E867" s="262"/>
      <c r="F867" s="470" t="s">
        <v>1838</v>
      </c>
      <c r="G867" s="387" t="e">
        <f>VLOOKUP(A867,'Feature Summary'!$A$7:$C$3944,3,FALSE)</f>
        <v>#N/A</v>
      </c>
      <c r="H867" s="447" t="s">
        <v>1844</v>
      </c>
      <c r="I867" s="447"/>
      <c r="J867" s="448" t="s">
        <v>297</v>
      </c>
      <c r="K867" s="263"/>
      <c r="L867" s="391"/>
      <c r="M867" s="399" t="s">
        <v>33</v>
      </c>
      <c r="N867" s="475">
        <v>1</v>
      </c>
      <c r="O867" s="391"/>
      <c r="P867" s="496">
        <f t="shared" si="132"/>
        <v>0</v>
      </c>
      <c r="Q867" s="445" t="s">
        <v>52</v>
      </c>
      <c r="R867" s="391"/>
      <c r="S867" s="362">
        <f t="shared" si="135"/>
        <v>0</v>
      </c>
      <c r="T867" s="368"/>
      <c r="U867" s="368"/>
      <c r="V867" s="368"/>
      <c r="W867" s="368"/>
      <c r="X867" s="364">
        <f t="shared" si="134"/>
        <v>0</v>
      </c>
      <c r="Y867" s="393"/>
      <c r="Z867" s="498">
        <f t="shared" si="130"/>
        <v>0</v>
      </c>
      <c r="AA867" s="368"/>
      <c r="AB867" s="368"/>
      <c r="AC867" s="368"/>
      <c r="AD867" s="368"/>
      <c r="AE867" s="365">
        <f t="shared" si="131"/>
        <v>0</v>
      </c>
      <c r="AF867" s="558"/>
      <c r="AG867" s="457"/>
      <c r="AH867" s="264"/>
    </row>
    <row r="868" spans="1:34" ht="150.75" thickBot="1" x14ac:dyDescent="0.3">
      <c r="A868" s="474" t="s">
        <v>1845</v>
      </c>
      <c r="B868" s="447" t="s">
        <v>1846</v>
      </c>
      <c r="C868" s="580" t="s">
        <v>651</v>
      </c>
      <c r="D868" s="449" t="s">
        <v>431</v>
      </c>
      <c r="E868" s="262"/>
      <c r="F868" s="447" t="s">
        <v>1847</v>
      </c>
      <c r="G868" s="387" t="str">
        <f>VLOOKUP(A868,'Feature Summary'!$A$7:$C$3944,3,FALSE)</f>
        <v>P2</v>
      </c>
      <c r="H868" s="447" t="s">
        <v>1848</v>
      </c>
      <c r="I868" s="488" t="s">
        <v>264</v>
      </c>
      <c r="J868" s="448" t="s">
        <v>1849</v>
      </c>
      <c r="K868" s="263">
        <v>1</v>
      </c>
      <c r="L868" s="391">
        <v>18</v>
      </c>
      <c r="M868" s="399" t="s">
        <v>33</v>
      </c>
      <c r="N868" s="475">
        <v>1</v>
      </c>
      <c r="O868" s="391">
        <v>0</v>
      </c>
      <c r="P868" s="496">
        <f t="shared" si="132"/>
        <v>0</v>
      </c>
      <c r="Q868" s="445" t="s">
        <v>52</v>
      </c>
      <c r="R868" s="391">
        <v>18</v>
      </c>
      <c r="S868" s="362">
        <f t="shared" si="135"/>
        <v>18</v>
      </c>
      <c r="T868" s="368">
        <v>18</v>
      </c>
      <c r="U868" s="368"/>
      <c r="V868" s="368"/>
      <c r="W868" s="368"/>
      <c r="X868" s="364">
        <f t="shared" si="134"/>
        <v>1</v>
      </c>
      <c r="Y868" s="393"/>
      <c r="Z868" s="498">
        <f t="shared" si="130"/>
        <v>0</v>
      </c>
      <c r="AA868" s="368"/>
      <c r="AB868" s="368"/>
      <c r="AC868" s="368"/>
      <c r="AD868" s="368"/>
      <c r="AE868" s="365">
        <f t="shared" si="131"/>
        <v>0</v>
      </c>
      <c r="AF868" s="558"/>
      <c r="AG868" s="457"/>
      <c r="AH868" s="264"/>
    </row>
    <row r="869" spans="1:34" ht="60.75" thickBot="1" x14ac:dyDescent="0.3">
      <c r="A869" s="474"/>
      <c r="B869" s="447" t="s">
        <v>1846</v>
      </c>
      <c r="C869" s="463" t="s">
        <v>44</v>
      </c>
      <c r="D869" s="449" t="s">
        <v>431</v>
      </c>
      <c r="E869" s="262"/>
      <c r="F869" s="447" t="s">
        <v>1847</v>
      </c>
      <c r="G869" s="387" t="e">
        <f>VLOOKUP(A869,'Feature Summary'!$A$7:$C$3944,3,FALSE)</f>
        <v>#N/A</v>
      </c>
      <c r="H869" s="447" t="s">
        <v>1850</v>
      </c>
      <c r="I869" s="447"/>
      <c r="J869" s="448" t="s">
        <v>1851</v>
      </c>
      <c r="K869" s="263"/>
      <c r="L869" s="391"/>
      <c r="M869" s="399" t="s">
        <v>33</v>
      </c>
      <c r="N869" s="475">
        <v>1</v>
      </c>
      <c r="O869" s="391"/>
      <c r="P869" s="496">
        <f t="shared" si="132"/>
        <v>0</v>
      </c>
      <c r="Q869" s="445" t="s">
        <v>52</v>
      </c>
      <c r="R869" s="391"/>
      <c r="S869" s="362">
        <f t="shared" si="135"/>
        <v>0</v>
      </c>
      <c r="T869" s="368"/>
      <c r="U869" s="368"/>
      <c r="V869" s="368"/>
      <c r="W869" s="368"/>
      <c r="X869" s="364">
        <f t="shared" si="134"/>
        <v>0</v>
      </c>
      <c r="Y869" s="393"/>
      <c r="Z869" s="498">
        <f t="shared" si="130"/>
        <v>0</v>
      </c>
      <c r="AA869" s="368"/>
      <c r="AB869" s="368"/>
      <c r="AC869" s="368"/>
      <c r="AD869" s="368"/>
      <c r="AE869" s="365">
        <f t="shared" si="131"/>
        <v>0</v>
      </c>
      <c r="AF869" s="558"/>
      <c r="AG869" s="457"/>
      <c r="AH869" s="264"/>
    </row>
    <row r="870" spans="1:34" ht="30.75" thickBot="1" x14ac:dyDescent="0.3">
      <c r="A870" s="474" t="s">
        <v>1852</v>
      </c>
      <c r="B870" s="447" t="s">
        <v>1853</v>
      </c>
      <c r="C870" s="463" t="s">
        <v>354</v>
      </c>
      <c r="D870" s="449" t="s">
        <v>431</v>
      </c>
      <c r="E870" s="262"/>
      <c r="F870" s="447" t="s">
        <v>1854</v>
      </c>
      <c r="G870" s="387" t="str">
        <f>VLOOKUP(A870,'Feature Summary'!$A$7:$C$3944,3,FALSE)</f>
        <v>P2</v>
      </c>
      <c r="H870" s="447" t="s">
        <v>1855</v>
      </c>
      <c r="I870" s="488" t="s">
        <v>264</v>
      </c>
      <c r="J870" s="448" t="s">
        <v>1169</v>
      </c>
      <c r="K870" s="263">
        <v>6</v>
      </c>
      <c r="L870" s="391">
        <v>2</v>
      </c>
      <c r="M870" s="399" t="s">
        <v>33</v>
      </c>
      <c r="N870" s="475">
        <v>1</v>
      </c>
      <c r="O870" s="391">
        <v>2</v>
      </c>
      <c r="P870" s="496">
        <f t="shared" ref="P870:P871" si="136">IF((O870=0),0,(O870/L870))</f>
        <v>1</v>
      </c>
      <c r="Q870" s="445" t="s">
        <v>52</v>
      </c>
      <c r="R870" s="391">
        <v>2</v>
      </c>
      <c r="S870" s="362">
        <f t="shared" ref="S870" si="137">SUM(T870:W870)</f>
        <v>2</v>
      </c>
      <c r="T870" s="368">
        <v>2</v>
      </c>
      <c r="U870" s="368"/>
      <c r="V870" s="368"/>
      <c r="W870" s="368"/>
      <c r="X870" s="364">
        <f t="shared" ref="X870:X871" si="138">IF((S870=0),0,((T870+U870)/S870*100%))</f>
        <v>1</v>
      </c>
      <c r="Y870" s="393"/>
      <c r="Z870" s="498">
        <f t="shared" si="130"/>
        <v>0</v>
      </c>
      <c r="AA870" s="368"/>
      <c r="AB870" s="368"/>
      <c r="AC870" s="368"/>
      <c r="AD870" s="368"/>
      <c r="AE870" s="365">
        <f t="shared" si="131"/>
        <v>0</v>
      </c>
      <c r="AF870" s="558"/>
      <c r="AG870" s="457"/>
      <c r="AH870" s="264"/>
    </row>
    <row r="871" spans="1:34" ht="15.75" thickBot="1" x14ac:dyDescent="0.3">
      <c r="A871" s="474"/>
      <c r="B871" s="463" t="s">
        <v>259</v>
      </c>
      <c r="C871" s="463" t="s">
        <v>655</v>
      </c>
      <c r="D871" s="449" t="s">
        <v>1856</v>
      </c>
      <c r="E871" s="262"/>
      <c r="F871" s="447" t="s">
        <v>1857</v>
      </c>
      <c r="G871" s="387" t="e">
        <f>VLOOKUP(A871,'Feature Summary'!$A$7:$C$3944,3,FALSE)</f>
        <v>#N/A</v>
      </c>
      <c r="H871" s="447" t="s">
        <v>1858</v>
      </c>
      <c r="I871" s="488" t="s">
        <v>288</v>
      </c>
      <c r="J871" s="448" t="s">
        <v>1859</v>
      </c>
      <c r="K871" s="263">
        <v>2</v>
      </c>
      <c r="L871" s="391">
        <v>1</v>
      </c>
      <c r="M871" s="399" t="s">
        <v>33</v>
      </c>
      <c r="N871" s="475">
        <v>1</v>
      </c>
      <c r="O871" s="391">
        <v>0.5</v>
      </c>
      <c r="P871" s="496">
        <f t="shared" si="136"/>
        <v>0.5</v>
      </c>
      <c r="Q871" s="445" t="s">
        <v>52</v>
      </c>
      <c r="R871" s="391">
        <v>1</v>
      </c>
      <c r="S871" s="362">
        <f t="shared" ref="S871" si="139">SUM(T871:W871)</f>
        <v>1</v>
      </c>
      <c r="T871" s="368">
        <v>1</v>
      </c>
      <c r="U871" s="368"/>
      <c r="V871" s="368"/>
      <c r="W871" s="368"/>
      <c r="X871" s="364">
        <f t="shared" si="138"/>
        <v>1</v>
      </c>
      <c r="Y871" s="393"/>
      <c r="Z871" s="498">
        <f t="shared" si="130"/>
        <v>0</v>
      </c>
      <c r="AA871" s="368"/>
      <c r="AB871" s="368"/>
      <c r="AC871" s="368"/>
      <c r="AD871" s="368"/>
      <c r="AE871" s="365">
        <f t="shared" si="131"/>
        <v>0</v>
      </c>
      <c r="AF871" s="558"/>
      <c r="AG871" s="457"/>
      <c r="AH871" s="264"/>
    </row>
    <row r="872" spans="1:34" ht="75.75" thickBot="1" x14ac:dyDescent="0.3">
      <c r="A872" s="474" t="s">
        <v>1860</v>
      </c>
      <c r="B872" s="463" t="s">
        <v>259</v>
      </c>
      <c r="C872" s="463" t="s">
        <v>655</v>
      </c>
      <c r="D872" s="449" t="s">
        <v>1856</v>
      </c>
      <c r="E872" s="262"/>
      <c r="F872" s="447" t="s">
        <v>1857</v>
      </c>
      <c r="G872" s="387" t="e">
        <f>VLOOKUP(A872,'Feature Summary'!$A$7:$C$3944,3,FALSE)</f>
        <v>#N/A</v>
      </c>
      <c r="H872" s="447" t="s">
        <v>1861</v>
      </c>
      <c r="I872" s="488" t="s">
        <v>264</v>
      </c>
      <c r="J872" s="448" t="s">
        <v>1859</v>
      </c>
      <c r="K872" s="263">
        <v>1</v>
      </c>
      <c r="L872" s="391">
        <v>18</v>
      </c>
      <c r="M872" s="399" t="s">
        <v>33</v>
      </c>
      <c r="N872" s="475">
        <v>1</v>
      </c>
      <c r="O872" s="391">
        <v>0</v>
      </c>
      <c r="P872" s="496">
        <f t="shared" si="132"/>
        <v>0</v>
      </c>
      <c r="Q872" s="445" t="s">
        <v>52</v>
      </c>
      <c r="R872" s="391">
        <v>18</v>
      </c>
      <c r="S872" s="362">
        <f t="shared" si="135"/>
        <v>18</v>
      </c>
      <c r="T872" s="368">
        <v>18</v>
      </c>
      <c r="U872" s="368"/>
      <c r="V872" s="368"/>
      <c r="W872" s="368"/>
      <c r="X872" s="364">
        <f t="shared" si="134"/>
        <v>1</v>
      </c>
      <c r="Y872" s="393"/>
      <c r="Z872" s="498">
        <f t="shared" si="130"/>
        <v>0</v>
      </c>
      <c r="AA872" s="368"/>
      <c r="AB872" s="368"/>
      <c r="AC872" s="368"/>
      <c r="AD872" s="368"/>
      <c r="AE872" s="365">
        <f t="shared" si="131"/>
        <v>0</v>
      </c>
      <c r="AF872" s="558"/>
      <c r="AG872" s="457"/>
      <c r="AH872" s="264"/>
    </row>
    <row r="873" spans="1:34" ht="45.75" thickBot="1" x14ac:dyDescent="0.3">
      <c r="A873" s="474" t="s">
        <v>1862</v>
      </c>
      <c r="B873" s="463" t="s">
        <v>259</v>
      </c>
      <c r="C873" s="463" t="s">
        <v>445</v>
      </c>
      <c r="D873" s="449" t="s">
        <v>1856</v>
      </c>
      <c r="E873" s="262"/>
      <c r="F873" s="447" t="s">
        <v>1863</v>
      </c>
      <c r="G873" s="387" t="e">
        <f>VLOOKUP(A873,'Feature Summary'!$A$7:$C$3944,3,FALSE)</f>
        <v>#N/A</v>
      </c>
      <c r="H873" s="447" t="s">
        <v>1864</v>
      </c>
      <c r="I873" s="488" t="s">
        <v>264</v>
      </c>
      <c r="J873" s="448" t="s">
        <v>1865</v>
      </c>
      <c r="K873" s="263">
        <v>1</v>
      </c>
      <c r="L873" s="391">
        <v>1</v>
      </c>
      <c r="M873" s="399" t="s">
        <v>33</v>
      </c>
      <c r="N873" s="475">
        <v>1</v>
      </c>
      <c r="O873" s="391">
        <v>1</v>
      </c>
      <c r="P873" s="496">
        <f t="shared" si="132"/>
        <v>1</v>
      </c>
      <c r="Q873" s="445" t="s">
        <v>52</v>
      </c>
      <c r="R873" s="391">
        <v>1</v>
      </c>
      <c r="S873" s="362">
        <f t="shared" si="135"/>
        <v>1</v>
      </c>
      <c r="T873" s="368">
        <v>1</v>
      </c>
      <c r="U873" s="368"/>
      <c r="V873" s="368"/>
      <c r="W873" s="368"/>
      <c r="X873" s="364">
        <f t="shared" si="134"/>
        <v>1</v>
      </c>
      <c r="Y873" s="393"/>
      <c r="Z873" s="498">
        <f t="shared" si="130"/>
        <v>0</v>
      </c>
      <c r="AA873" s="368"/>
      <c r="AB873" s="368"/>
      <c r="AC873" s="368"/>
      <c r="AD873" s="368"/>
      <c r="AE873" s="365">
        <f t="shared" si="131"/>
        <v>0</v>
      </c>
      <c r="AF873" s="558"/>
      <c r="AG873" s="457"/>
      <c r="AH873" s="264"/>
    </row>
    <row r="874" spans="1:34" ht="14.65" customHeight="1" thickBot="1" x14ac:dyDescent="0.3">
      <c r="A874" s="474"/>
      <c r="B874" s="463" t="s">
        <v>259</v>
      </c>
      <c r="C874" s="463" t="s">
        <v>44</v>
      </c>
      <c r="D874" s="449" t="s">
        <v>431</v>
      </c>
      <c r="E874" s="262"/>
      <c r="F874" s="447" t="s">
        <v>1857</v>
      </c>
      <c r="G874" s="387" t="e">
        <f>VLOOKUP(A874,'Feature Summary'!$A$7:$C$3944,3,FALSE)</f>
        <v>#N/A</v>
      </c>
      <c r="H874" s="447" t="s">
        <v>1866</v>
      </c>
      <c r="I874" s="447"/>
      <c r="J874" s="448" t="s">
        <v>1867</v>
      </c>
      <c r="K874" s="263"/>
      <c r="L874" s="391"/>
      <c r="M874" s="399" t="s">
        <v>33</v>
      </c>
      <c r="N874" s="475">
        <v>1</v>
      </c>
      <c r="O874" s="391"/>
      <c r="P874" s="496">
        <f t="shared" si="132"/>
        <v>0</v>
      </c>
      <c r="Q874" s="445" t="s">
        <v>52</v>
      </c>
      <c r="R874" s="391"/>
      <c r="S874" s="362">
        <f t="shared" si="135"/>
        <v>0</v>
      </c>
      <c r="T874" s="368"/>
      <c r="U874" s="368"/>
      <c r="V874" s="368"/>
      <c r="W874" s="368"/>
      <c r="X874" s="364">
        <f t="shared" si="134"/>
        <v>0</v>
      </c>
      <c r="Y874" s="393"/>
      <c r="Z874" s="498">
        <f t="shared" si="130"/>
        <v>0</v>
      </c>
      <c r="AA874" s="368"/>
      <c r="AB874" s="368"/>
      <c r="AC874" s="368"/>
      <c r="AD874" s="368"/>
      <c r="AE874" s="365">
        <f t="shared" si="131"/>
        <v>0</v>
      </c>
      <c r="AF874" s="262"/>
      <c r="AG874" s="457"/>
      <c r="AH874" s="264"/>
    </row>
    <row r="875" spans="1:34" ht="30.75" thickBot="1" x14ac:dyDescent="0.3">
      <c r="A875" s="474"/>
      <c r="B875" s="463" t="s">
        <v>259</v>
      </c>
      <c r="C875" s="463" t="s">
        <v>44</v>
      </c>
      <c r="D875" s="449" t="s">
        <v>431</v>
      </c>
      <c r="E875" s="262"/>
      <c r="F875" s="447" t="s">
        <v>1857</v>
      </c>
      <c r="G875" s="387" t="e">
        <f>VLOOKUP(A875,'Feature Summary'!$A$7:$C$3944,3,FALSE)</f>
        <v>#N/A</v>
      </c>
      <c r="H875" s="447" t="s">
        <v>1868</v>
      </c>
      <c r="I875" s="447"/>
      <c r="J875" s="448" t="s">
        <v>1869</v>
      </c>
      <c r="K875" s="263"/>
      <c r="L875" s="391"/>
      <c r="M875" s="399" t="s">
        <v>33</v>
      </c>
      <c r="N875" s="475">
        <v>1</v>
      </c>
      <c r="O875" s="391"/>
      <c r="P875" s="496">
        <f t="shared" si="132"/>
        <v>0</v>
      </c>
      <c r="Q875" s="445" t="s">
        <v>52</v>
      </c>
      <c r="R875" s="391"/>
      <c r="S875" s="362">
        <f t="shared" si="135"/>
        <v>0</v>
      </c>
      <c r="T875" s="368"/>
      <c r="U875" s="368"/>
      <c r="V875" s="368"/>
      <c r="W875" s="368"/>
      <c r="X875" s="364">
        <f t="shared" si="134"/>
        <v>0</v>
      </c>
      <c r="Y875" s="393"/>
      <c r="Z875" s="498">
        <f t="shared" si="130"/>
        <v>0</v>
      </c>
      <c r="AA875" s="368"/>
      <c r="AB875" s="368"/>
      <c r="AC875" s="368"/>
      <c r="AD875" s="368"/>
      <c r="AE875" s="365">
        <f t="shared" si="131"/>
        <v>0</v>
      </c>
      <c r="AF875" s="262"/>
      <c r="AG875" s="457"/>
      <c r="AH875" s="264"/>
    </row>
    <row r="876" spans="1:34" ht="30.75" thickBot="1" x14ac:dyDescent="0.3">
      <c r="A876" s="474" t="s">
        <v>1870</v>
      </c>
      <c r="B876" s="447" t="s">
        <v>1245</v>
      </c>
      <c r="C876" s="463" t="s">
        <v>655</v>
      </c>
      <c r="D876" s="449" t="s">
        <v>1856</v>
      </c>
      <c r="E876" s="262"/>
      <c r="F876" s="447" t="s">
        <v>1871</v>
      </c>
      <c r="G876" s="387" t="e">
        <f>VLOOKUP(A876,'Feature Summary'!$A$7:$C$3944,3,FALSE)</f>
        <v>#N/A</v>
      </c>
      <c r="H876" s="447" t="s">
        <v>1872</v>
      </c>
      <c r="I876" s="488" t="s">
        <v>264</v>
      </c>
      <c r="J876" s="448" t="s">
        <v>1873</v>
      </c>
      <c r="K876" s="263">
        <v>1</v>
      </c>
      <c r="L876" s="391">
        <v>18</v>
      </c>
      <c r="M876" s="399" t="s">
        <v>33</v>
      </c>
      <c r="N876" s="475">
        <v>1</v>
      </c>
      <c r="O876" s="391">
        <v>0</v>
      </c>
      <c r="P876" s="496">
        <f t="shared" si="132"/>
        <v>0</v>
      </c>
      <c r="Q876" s="445" t="s">
        <v>52</v>
      </c>
      <c r="R876" s="391">
        <v>18</v>
      </c>
      <c r="S876" s="362">
        <f t="shared" si="135"/>
        <v>18</v>
      </c>
      <c r="T876" s="368">
        <v>18</v>
      </c>
      <c r="U876" s="368"/>
      <c r="V876" s="368"/>
      <c r="W876" s="368"/>
      <c r="X876" s="364">
        <f t="shared" si="134"/>
        <v>1</v>
      </c>
      <c r="Y876" s="393"/>
      <c r="Z876" s="498">
        <f t="shared" si="130"/>
        <v>0</v>
      </c>
      <c r="AA876" s="368"/>
      <c r="AB876" s="368"/>
      <c r="AC876" s="368"/>
      <c r="AD876" s="368"/>
      <c r="AE876" s="365">
        <f t="shared" si="131"/>
        <v>0</v>
      </c>
      <c r="AF876" s="558"/>
      <c r="AG876" s="457"/>
      <c r="AH876" s="264"/>
    </row>
    <row r="877" spans="1:34" ht="30.75" thickBot="1" x14ac:dyDescent="0.3">
      <c r="A877" s="474"/>
      <c r="B877" s="447" t="s">
        <v>1245</v>
      </c>
      <c r="C877" s="463" t="s">
        <v>655</v>
      </c>
      <c r="D877" s="449" t="s">
        <v>1856</v>
      </c>
      <c r="E877" s="262"/>
      <c r="F877" s="447" t="s">
        <v>1871</v>
      </c>
      <c r="G877" s="387" t="e">
        <f>VLOOKUP(A877,'Feature Summary'!$A$7:$C$3944,3,FALSE)</f>
        <v>#N/A</v>
      </c>
      <c r="H877" s="447" t="s">
        <v>1874</v>
      </c>
      <c r="I877" s="488" t="s">
        <v>288</v>
      </c>
      <c r="J877" s="448" t="s">
        <v>1873</v>
      </c>
      <c r="K877" s="263">
        <v>2</v>
      </c>
      <c r="L877" s="391">
        <v>1</v>
      </c>
      <c r="M877" s="399" t="s">
        <v>33</v>
      </c>
      <c r="N877" s="475">
        <v>1</v>
      </c>
      <c r="O877" s="391">
        <v>0.5</v>
      </c>
      <c r="P877" s="496">
        <f t="shared" ref="P877:P878" si="140">IF((O877=0),0,(O877/L877))</f>
        <v>0.5</v>
      </c>
      <c r="Q877" s="445" t="s">
        <v>52</v>
      </c>
      <c r="R877" s="391">
        <v>1</v>
      </c>
      <c r="S877" s="362">
        <f t="shared" ref="S877:S878" si="141">SUM(T877:W877)</f>
        <v>1</v>
      </c>
      <c r="T877" s="368">
        <v>1</v>
      </c>
      <c r="U877" s="368"/>
      <c r="V877" s="368"/>
      <c r="W877" s="368"/>
      <c r="X877" s="364">
        <f t="shared" ref="X877:X878" si="142">IF((S877=0),0,((T877+U877)/S877*100%))</f>
        <v>1</v>
      </c>
      <c r="Y877" s="393"/>
      <c r="Z877" s="498">
        <f t="shared" si="130"/>
        <v>0</v>
      </c>
      <c r="AA877" s="368"/>
      <c r="AB877" s="368"/>
      <c r="AC877" s="368"/>
      <c r="AD877" s="368"/>
      <c r="AE877" s="365">
        <f t="shared" si="131"/>
        <v>0</v>
      </c>
      <c r="AF877" s="262"/>
      <c r="AG877" s="457"/>
      <c r="AH877" s="264"/>
    </row>
    <row r="878" spans="1:34" ht="30.75" thickBot="1" x14ac:dyDescent="0.3">
      <c r="A878" s="474"/>
      <c r="B878" s="447" t="s">
        <v>1245</v>
      </c>
      <c r="C878" s="463" t="s">
        <v>655</v>
      </c>
      <c r="D878" s="449" t="s">
        <v>1856</v>
      </c>
      <c r="E878" s="262"/>
      <c r="F878" s="447" t="s">
        <v>1871</v>
      </c>
      <c r="G878" s="387" t="e">
        <f>VLOOKUP(A878,'Feature Summary'!$A$7:$C$3944,3,FALSE)</f>
        <v>#N/A</v>
      </c>
      <c r="H878" s="447" t="s">
        <v>1875</v>
      </c>
      <c r="I878" s="488" t="s">
        <v>288</v>
      </c>
      <c r="J878" s="448" t="s">
        <v>1873</v>
      </c>
      <c r="K878" s="263">
        <v>2</v>
      </c>
      <c r="L878" s="391">
        <v>1</v>
      </c>
      <c r="M878" s="399" t="s">
        <v>33</v>
      </c>
      <c r="N878" s="475">
        <v>1</v>
      </c>
      <c r="O878" s="391">
        <v>0.5</v>
      </c>
      <c r="P878" s="496">
        <f t="shared" si="140"/>
        <v>0.5</v>
      </c>
      <c r="Q878" s="445" t="s">
        <v>52</v>
      </c>
      <c r="R878" s="391">
        <v>1</v>
      </c>
      <c r="S878" s="362">
        <f t="shared" si="141"/>
        <v>1</v>
      </c>
      <c r="T878" s="368">
        <v>1</v>
      </c>
      <c r="U878" s="368"/>
      <c r="V878" s="368"/>
      <c r="W878" s="368"/>
      <c r="X878" s="364">
        <f t="shared" si="142"/>
        <v>1</v>
      </c>
      <c r="Y878" s="393"/>
      <c r="Z878" s="498">
        <f t="shared" si="130"/>
        <v>0</v>
      </c>
      <c r="AA878" s="368"/>
      <c r="AB878" s="368"/>
      <c r="AC878" s="368"/>
      <c r="AD878" s="368"/>
      <c r="AE878" s="365">
        <f t="shared" si="131"/>
        <v>0</v>
      </c>
      <c r="AF878" s="262"/>
      <c r="AG878" s="457"/>
      <c r="AH878" s="264"/>
    </row>
    <row r="879" spans="1:34" ht="45.75" thickBot="1" x14ac:dyDescent="0.3">
      <c r="A879" s="474" t="s">
        <v>1876</v>
      </c>
      <c r="B879" s="463" t="s">
        <v>259</v>
      </c>
      <c r="C879" s="463" t="s">
        <v>655</v>
      </c>
      <c r="D879" s="449" t="s">
        <v>1856</v>
      </c>
      <c r="E879" s="262"/>
      <c r="F879" s="447" t="s">
        <v>1863</v>
      </c>
      <c r="G879" s="387" t="str">
        <f>VLOOKUP(A879,'Feature Summary'!$A$7:$C$3944,3,FALSE)</f>
        <v>P2</v>
      </c>
      <c r="H879" s="447" t="s">
        <v>1877</v>
      </c>
      <c r="I879" s="488" t="s">
        <v>264</v>
      </c>
      <c r="J879" s="448" t="s">
        <v>1878</v>
      </c>
      <c r="K879" s="263">
        <v>1</v>
      </c>
      <c r="L879" s="391">
        <v>1</v>
      </c>
      <c r="M879" s="399" t="s">
        <v>33</v>
      </c>
      <c r="N879" s="475">
        <v>1</v>
      </c>
      <c r="O879" s="391">
        <v>1</v>
      </c>
      <c r="P879" s="496">
        <f t="shared" si="132"/>
        <v>1</v>
      </c>
      <c r="Q879" s="445" t="s">
        <v>52</v>
      </c>
      <c r="R879" s="391">
        <v>1</v>
      </c>
      <c r="S879" s="362">
        <f t="shared" si="135"/>
        <v>1</v>
      </c>
      <c r="T879" s="368">
        <v>1</v>
      </c>
      <c r="U879" s="368"/>
      <c r="V879" s="368"/>
      <c r="W879" s="368"/>
      <c r="X879" s="364">
        <f t="shared" si="134"/>
        <v>1</v>
      </c>
      <c r="Y879" s="393"/>
      <c r="Z879" s="498">
        <f t="shared" si="130"/>
        <v>0</v>
      </c>
      <c r="AA879" s="368"/>
      <c r="AB879" s="368"/>
      <c r="AC879" s="368"/>
      <c r="AD879" s="368"/>
      <c r="AE879" s="365">
        <f t="shared" si="131"/>
        <v>0</v>
      </c>
      <c r="AF879" s="558"/>
      <c r="AG879" s="457"/>
      <c r="AH879" s="264"/>
    </row>
    <row r="880" spans="1:34" ht="14.65" customHeight="1" thickBot="1" x14ac:dyDescent="0.3">
      <c r="A880" s="474"/>
      <c r="B880" s="447" t="s">
        <v>1245</v>
      </c>
      <c r="C880" s="463" t="s">
        <v>44</v>
      </c>
      <c r="D880" s="449" t="s">
        <v>431</v>
      </c>
      <c r="E880" s="262"/>
      <c r="F880" s="447" t="s">
        <v>1871</v>
      </c>
      <c r="G880" s="387" t="e">
        <f>VLOOKUP(A880,'Feature Summary'!$A$7:$C$3944,3,FALSE)</f>
        <v>#N/A</v>
      </c>
      <c r="H880" s="447" t="s">
        <v>1879</v>
      </c>
      <c r="I880" s="447"/>
      <c r="J880" s="448" t="s">
        <v>1880</v>
      </c>
      <c r="K880" s="263"/>
      <c r="L880" s="391"/>
      <c r="M880" s="399" t="s">
        <v>33</v>
      </c>
      <c r="N880" s="475">
        <v>1</v>
      </c>
      <c r="O880" s="391"/>
      <c r="P880" s="496">
        <f t="shared" si="132"/>
        <v>0</v>
      </c>
      <c r="Q880" s="445" t="s">
        <v>52</v>
      </c>
      <c r="R880" s="391"/>
      <c r="S880" s="362">
        <f t="shared" si="135"/>
        <v>0</v>
      </c>
      <c r="T880" s="368"/>
      <c r="U880" s="368"/>
      <c r="V880" s="368"/>
      <c r="W880" s="368"/>
      <c r="X880" s="364">
        <f t="shared" si="134"/>
        <v>0</v>
      </c>
      <c r="Y880" s="393"/>
      <c r="Z880" s="498">
        <f t="shared" si="130"/>
        <v>0</v>
      </c>
      <c r="AA880" s="368"/>
      <c r="AB880" s="368"/>
      <c r="AC880" s="368"/>
      <c r="AD880" s="368"/>
      <c r="AE880" s="365">
        <f t="shared" si="131"/>
        <v>0</v>
      </c>
      <c r="AF880" s="262"/>
      <c r="AG880" s="457"/>
      <c r="AH880" s="264"/>
    </row>
    <row r="881" spans="1:34" ht="14.65" customHeight="1" thickBot="1" x14ac:dyDescent="0.3">
      <c r="A881" s="474" t="s">
        <v>1678</v>
      </c>
      <c r="B881" s="447"/>
      <c r="C881" s="463" t="s">
        <v>655</v>
      </c>
      <c r="D881" s="449" t="s">
        <v>1856</v>
      </c>
      <c r="E881" s="262"/>
      <c r="F881" s="447" t="s">
        <v>1881</v>
      </c>
      <c r="G881" s="387" t="str">
        <f>VLOOKUP(A881,'Feature Summary'!$A$7:$C$3944,3,FALSE)</f>
        <v>P2</v>
      </c>
      <c r="H881" s="447" t="s">
        <v>1882</v>
      </c>
      <c r="I881" s="488" t="s">
        <v>264</v>
      </c>
      <c r="J881" s="448" t="s">
        <v>1873</v>
      </c>
      <c r="K881" s="263">
        <v>1</v>
      </c>
      <c r="L881" s="391">
        <v>1</v>
      </c>
      <c r="M881" s="399" t="s">
        <v>33</v>
      </c>
      <c r="N881" s="475">
        <v>1</v>
      </c>
      <c r="O881" s="391">
        <v>1</v>
      </c>
      <c r="P881" s="496">
        <f t="shared" si="132"/>
        <v>1</v>
      </c>
      <c r="Q881" s="445" t="s">
        <v>52</v>
      </c>
      <c r="R881" s="391">
        <v>1</v>
      </c>
      <c r="S881" s="362">
        <f t="shared" si="135"/>
        <v>1</v>
      </c>
      <c r="T881" s="368">
        <v>1</v>
      </c>
      <c r="U881" s="368"/>
      <c r="V881" s="368"/>
      <c r="W881" s="368"/>
      <c r="X881" s="364">
        <f t="shared" si="134"/>
        <v>1</v>
      </c>
      <c r="Y881" s="393"/>
      <c r="Z881" s="498">
        <f t="shared" si="130"/>
        <v>0</v>
      </c>
      <c r="AA881" s="368"/>
      <c r="AB881" s="368"/>
      <c r="AC881" s="368"/>
      <c r="AD881" s="368"/>
      <c r="AE881" s="365">
        <f t="shared" si="131"/>
        <v>0</v>
      </c>
      <c r="AF881" s="262"/>
      <c r="AG881" s="457"/>
      <c r="AH881" s="264"/>
    </row>
    <row r="882" spans="1:34" ht="14.65" customHeight="1" thickBot="1" x14ac:dyDescent="0.3">
      <c r="A882" s="474" t="s">
        <v>1678</v>
      </c>
      <c r="B882" s="447"/>
      <c r="C882" s="463" t="s">
        <v>655</v>
      </c>
      <c r="D882" s="449" t="s">
        <v>1856</v>
      </c>
      <c r="E882" s="262"/>
      <c r="F882" s="447" t="s">
        <v>1883</v>
      </c>
      <c r="G882" s="387" t="str">
        <f>VLOOKUP(A882,'Feature Summary'!$A$7:$C$3944,3,FALSE)</f>
        <v>P2</v>
      </c>
      <c r="H882" s="447" t="s">
        <v>1884</v>
      </c>
      <c r="I882" s="488" t="s">
        <v>264</v>
      </c>
      <c r="J882" s="448" t="s">
        <v>1873</v>
      </c>
      <c r="K882" s="263">
        <v>1</v>
      </c>
      <c r="L882" s="391">
        <v>1</v>
      </c>
      <c r="M882" s="399" t="s">
        <v>33</v>
      </c>
      <c r="N882" s="475">
        <v>1</v>
      </c>
      <c r="O882" s="391">
        <v>1</v>
      </c>
      <c r="P882" s="496">
        <f t="shared" si="132"/>
        <v>1</v>
      </c>
      <c r="Q882" s="445" t="s">
        <v>52</v>
      </c>
      <c r="R882" s="391">
        <v>1</v>
      </c>
      <c r="S882" s="362">
        <f t="shared" si="135"/>
        <v>1</v>
      </c>
      <c r="T882" s="368">
        <v>1</v>
      </c>
      <c r="U882" s="368"/>
      <c r="V882" s="368"/>
      <c r="W882" s="368"/>
      <c r="X882" s="364">
        <f t="shared" si="134"/>
        <v>1</v>
      </c>
      <c r="Y882" s="393"/>
      <c r="Z882" s="498">
        <f t="shared" si="130"/>
        <v>0</v>
      </c>
      <c r="AA882" s="368"/>
      <c r="AB882" s="368"/>
      <c r="AC882" s="368"/>
      <c r="AD882" s="368"/>
      <c r="AE882" s="365">
        <f t="shared" si="131"/>
        <v>0</v>
      </c>
      <c r="AF882" s="262"/>
      <c r="AG882" s="457"/>
      <c r="AH882" s="264"/>
    </row>
    <row r="883" spans="1:34" ht="14.65" customHeight="1" thickBot="1" x14ac:dyDescent="0.3">
      <c r="A883" s="474" t="s">
        <v>1678</v>
      </c>
      <c r="B883" s="447"/>
      <c r="C883" s="463" t="s">
        <v>655</v>
      </c>
      <c r="D883" s="449" t="s">
        <v>1856</v>
      </c>
      <c r="E883" s="262"/>
      <c r="F883" s="447" t="s">
        <v>1885</v>
      </c>
      <c r="G883" s="387" t="str">
        <f>VLOOKUP(A883,'Feature Summary'!$A$7:$C$3944,3,FALSE)</f>
        <v>P2</v>
      </c>
      <c r="H883" s="447" t="s">
        <v>1886</v>
      </c>
      <c r="I883" s="488" t="s">
        <v>264</v>
      </c>
      <c r="J883" s="448" t="s">
        <v>1873</v>
      </c>
      <c r="K883" s="263">
        <v>1</v>
      </c>
      <c r="L883" s="391">
        <v>1</v>
      </c>
      <c r="M883" s="399" t="s">
        <v>33</v>
      </c>
      <c r="N883" s="475">
        <v>1</v>
      </c>
      <c r="O883" s="391">
        <v>1</v>
      </c>
      <c r="P883" s="496">
        <f t="shared" si="132"/>
        <v>1</v>
      </c>
      <c r="Q883" s="445" t="s">
        <v>52</v>
      </c>
      <c r="R883" s="391">
        <v>1</v>
      </c>
      <c r="S883" s="362">
        <f t="shared" si="135"/>
        <v>1</v>
      </c>
      <c r="T883" s="368">
        <v>1</v>
      </c>
      <c r="U883" s="368"/>
      <c r="V883" s="368"/>
      <c r="W883" s="368"/>
      <c r="X883" s="364">
        <f t="shared" si="134"/>
        <v>1</v>
      </c>
      <c r="Y883" s="393"/>
      <c r="Z883" s="498">
        <f t="shared" si="130"/>
        <v>0</v>
      </c>
      <c r="AA883" s="368"/>
      <c r="AB883" s="368"/>
      <c r="AC883" s="368"/>
      <c r="AD883" s="368"/>
      <c r="AE883" s="365">
        <f t="shared" si="131"/>
        <v>0</v>
      </c>
      <c r="AF883" s="262"/>
      <c r="AG883" s="457"/>
      <c r="AH883" s="264"/>
    </row>
    <row r="884" spans="1:34" ht="14.65" customHeight="1" thickBot="1" x14ac:dyDescent="0.3">
      <c r="A884" s="474" t="s">
        <v>1678</v>
      </c>
      <c r="B884" s="447"/>
      <c r="C884" s="463" t="s">
        <v>655</v>
      </c>
      <c r="D884" s="449" t="s">
        <v>1856</v>
      </c>
      <c r="E884" s="262"/>
      <c r="F884" s="447" t="s">
        <v>1887</v>
      </c>
      <c r="G884" s="387" t="str">
        <f>VLOOKUP(A884,'Feature Summary'!$A$7:$C$3944,3,FALSE)</f>
        <v>P2</v>
      </c>
      <c r="H884" s="447" t="s">
        <v>1888</v>
      </c>
      <c r="I884" s="488" t="s">
        <v>264</v>
      </c>
      <c r="J884" s="448" t="s">
        <v>1873</v>
      </c>
      <c r="K884" s="263">
        <v>1</v>
      </c>
      <c r="L884" s="391">
        <v>1</v>
      </c>
      <c r="M884" s="399" t="s">
        <v>33</v>
      </c>
      <c r="N884" s="475">
        <v>1</v>
      </c>
      <c r="O884" s="391">
        <v>1</v>
      </c>
      <c r="P884" s="496">
        <f t="shared" si="132"/>
        <v>1</v>
      </c>
      <c r="Q884" s="445" t="s">
        <v>52</v>
      </c>
      <c r="R884" s="391">
        <v>1</v>
      </c>
      <c r="S884" s="362">
        <f t="shared" si="135"/>
        <v>1</v>
      </c>
      <c r="T884" s="368">
        <v>1</v>
      </c>
      <c r="U884" s="368"/>
      <c r="V884" s="368"/>
      <c r="W884" s="368"/>
      <c r="X884" s="364">
        <f t="shared" si="134"/>
        <v>1</v>
      </c>
      <c r="Y884" s="393"/>
      <c r="Z884" s="498">
        <f t="shared" si="130"/>
        <v>0</v>
      </c>
      <c r="AA884" s="368"/>
      <c r="AB884" s="368"/>
      <c r="AC884" s="368"/>
      <c r="AD884" s="368"/>
      <c r="AE884" s="365">
        <f t="shared" si="131"/>
        <v>0</v>
      </c>
      <c r="AF884" s="262"/>
      <c r="AG884" s="457"/>
      <c r="AH884" s="264"/>
    </row>
    <row r="885" spans="1:34" ht="14.65" customHeight="1" thickBot="1" x14ac:dyDescent="0.3">
      <c r="A885" s="474" t="s">
        <v>1678</v>
      </c>
      <c r="B885" s="447"/>
      <c r="C885" s="463" t="s">
        <v>655</v>
      </c>
      <c r="D885" s="449" t="s">
        <v>1856</v>
      </c>
      <c r="E885" s="262"/>
      <c r="F885" s="447" t="s">
        <v>1889</v>
      </c>
      <c r="G885" s="387" t="str">
        <f>VLOOKUP(A885,'Feature Summary'!$A$7:$C$3944,3,FALSE)</f>
        <v>P2</v>
      </c>
      <c r="H885" s="447" t="s">
        <v>1890</v>
      </c>
      <c r="I885" s="488" t="s">
        <v>264</v>
      </c>
      <c r="J885" s="448" t="s">
        <v>1873</v>
      </c>
      <c r="K885" s="263">
        <v>1</v>
      </c>
      <c r="L885" s="391">
        <v>1</v>
      </c>
      <c r="M885" s="399" t="s">
        <v>33</v>
      </c>
      <c r="N885" s="475">
        <v>1</v>
      </c>
      <c r="O885" s="391">
        <v>1</v>
      </c>
      <c r="P885" s="496">
        <f t="shared" si="132"/>
        <v>1</v>
      </c>
      <c r="Q885" s="445" t="s">
        <v>52</v>
      </c>
      <c r="R885" s="391">
        <v>1</v>
      </c>
      <c r="S885" s="362">
        <f t="shared" si="135"/>
        <v>1</v>
      </c>
      <c r="T885" s="368">
        <v>1</v>
      </c>
      <c r="U885" s="368"/>
      <c r="V885" s="368"/>
      <c r="W885" s="368"/>
      <c r="X885" s="364">
        <f t="shared" si="134"/>
        <v>1</v>
      </c>
      <c r="Y885" s="393"/>
      <c r="Z885" s="498">
        <f t="shared" si="130"/>
        <v>0</v>
      </c>
      <c r="AA885" s="368"/>
      <c r="AB885" s="368"/>
      <c r="AC885" s="368"/>
      <c r="AD885" s="368"/>
      <c r="AE885" s="365">
        <f t="shared" si="131"/>
        <v>0</v>
      </c>
      <c r="AF885" s="262"/>
      <c r="AG885" s="457"/>
      <c r="AH885" s="264"/>
    </row>
    <row r="886" spans="1:34" ht="29.1" customHeight="1" thickBot="1" x14ac:dyDescent="0.3">
      <c r="A886" s="474" t="s">
        <v>1678</v>
      </c>
      <c r="B886" s="447"/>
      <c r="C886" s="463" t="s">
        <v>655</v>
      </c>
      <c r="D886" s="449" t="s">
        <v>1856</v>
      </c>
      <c r="E886" s="262"/>
      <c r="F886" s="447" t="s">
        <v>1891</v>
      </c>
      <c r="G886" s="387" t="str">
        <f>VLOOKUP(A886,'Feature Summary'!$A$7:$C$3944,3,FALSE)</f>
        <v>P2</v>
      </c>
      <c r="H886" s="447" t="s">
        <v>1892</v>
      </c>
      <c r="I886" s="488" t="s">
        <v>264</v>
      </c>
      <c r="J886" s="448" t="s">
        <v>1873</v>
      </c>
      <c r="K886" s="263">
        <v>1</v>
      </c>
      <c r="L886" s="391">
        <v>1</v>
      </c>
      <c r="M886" s="399" t="s">
        <v>33</v>
      </c>
      <c r="N886" s="475">
        <v>1</v>
      </c>
      <c r="O886" s="391">
        <v>1</v>
      </c>
      <c r="P886" s="496">
        <f t="shared" si="132"/>
        <v>1</v>
      </c>
      <c r="Q886" s="445" t="s">
        <v>52</v>
      </c>
      <c r="R886" s="391">
        <v>1</v>
      </c>
      <c r="S886" s="362">
        <f t="shared" si="135"/>
        <v>1</v>
      </c>
      <c r="T886" s="368">
        <v>1</v>
      </c>
      <c r="U886" s="368"/>
      <c r="V886" s="368"/>
      <c r="W886" s="368"/>
      <c r="X886" s="364">
        <f t="shared" si="134"/>
        <v>1</v>
      </c>
      <c r="Y886" s="393"/>
      <c r="Z886" s="498">
        <f t="shared" si="130"/>
        <v>0</v>
      </c>
      <c r="AA886" s="368"/>
      <c r="AB886" s="368"/>
      <c r="AC886" s="368"/>
      <c r="AD886" s="368"/>
      <c r="AE886" s="365">
        <f t="shared" si="131"/>
        <v>0</v>
      </c>
      <c r="AF886" s="262"/>
      <c r="AG886" s="457"/>
      <c r="AH886" s="264"/>
    </row>
    <row r="887" spans="1:34" ht="14.65" customHeight="1" thickBot="1" x14ac:dyDescent="0.3">
      <c r="A887" s="474" t="s">
        <v>1893</v>
      </c>
      <c r="B887" s="447"/>
      <c r="C887" s="463" t="s">
        <v>655</v>
      </c>
      <c r="D887" s="449" t="s">
        <v>1856</v>
      </c>
      <c r="E887" s="262"/>
      <c r="F887" s="447" t="s">
        <v>1894</v>
      </c>
      <c r="G887" s="387" t="str">
        <f>VLOOKUP(A887,'Feature Summary'!$A$7:$C$3944,3,FALSE)</f>
        <v>P2</v>
      </c>
      <c r="H887" s="447" t="s">
        <v>1895</v>
      </c>
      <c r="I887" s="488" t="s">
        <v>264</v>
      </c>
      <c r="J887" s="448" t="s">
        <v>1873</v>
      </c>
      <c r="K887" s="263">
        <v>1</v>
      </c>
      <c r="L887" s="391">
        <v>3</v>
      </c>
      <c r="M887" s="399" t="s">
        <v>33</v>
      </c>
      <c r="N887" s="475">
        <v>1</v>
      </c>
      <c r="O887" s="391">
        <v>3</v>
      </c>
      <c r="P887" s="496">
        <f t="shared" si="132"/>
        <v>1</v>
      </c>
      <c r="Q887" s="445" t="s">
        <v>52</v>
      </c>
      <c r="R887" s="391">
        <v>3</v>
      </c>
      <c r="S887" s="362">
        <f t="shared" si="135"/>
        <v>3</v>
      </c>
      <c r="T887" s="368">
        <v>3</v>
      </c>
      <c r="U887" s="368"/>
      <c r="V887" s="368"/>
      <c r="W887" s="368"/>
      <c r="X887" s="364">
        <f t="shared" si="134"/>
        <v>1</v>
      </c>
      <c r="Y887" s="393"/>
      <c r="Z887" s="498">
        <f t="shared" si="130"/>
        <v>0</v>
      </c>
      <c r="AA887" s="368"/>
      <c r="AB887" s="368"/>
      <c r="AC887" s="368"/>
      <c r="AD887" s="368"/>
      <c r="AE887" s="365">
        <f t="shared" si="131"/>
        <v>0</v>
      </c>
      <c r="AF887" s="262"/>
      <c r="AG887" s="457"/>
      <c r="AH887" s="264"/>
    </row>
    <row r="888" spans="1:34" ht="14.65" customHeight="1" thickBot="1" x14ac:dyDescent="0.3">
      <c r="A888" s="474" t="s">
        <v>1893</v>
      </c>
      <c r="B888" s="447"/>
      <c r="C888" s="463" t="s">
        <v>655</v>
      </c>
      <c r="D888" s="449" t="s">
        <v>1856</v>
      </c>
      <c r="E888" s="262"/>
      <c r="F888" s="447" t="s">
        <v>1896</v>
      </c>
      <c r="G888" s="387" t="str">
        <f>VLOOKUP(A888,'Feature Summary'!$A$7:$C$3944,3,FALSE)</f>
        <v>P2</v>
      </c>
      <c r="H888" s="447" t="s">
        <v>1897</v>
      </c>
      <c r="I888" s="488" t="s">
        <v>264</v>
      </c>
      <c r="J888" s="448" t="s">
        <v>1898</v>
      </c>
      <c r="K888" s="263">
        <v>1</v>
      </c>
      <c r="L888" s="391">
        <v>1</v>
      </c>
      <c r="M888" s="399" t="s">
        <v>33</v>
      </c>
      <c r="N888" s="475">
        <v>1</v>
      </c>
      <c r="O888" s="391">
        <v>1</v>
      </c>
      <c r="P888" s="496">
        <f t="shared" si="132"/>
        <v>1</v>
      </c>
      <c r="Q888" s="445" t="s">
        <v>52</v>
      </c>
      <c r="R888" s="391">
        <v>1</v>
      </c>
      <c r="S888" s="362">
        <f t="shared" si="135"/>
        <v>1</v>
      </c>
      <c r="T888" s="368">
        <v>1</v>
      </c>
      <c r="U888" s="368"/>
      <c r="V888" s="368"/>
      <c r="W888" s="368"/>
      <c r="X888" s="364">
        <f t="shared" si="134"/>
        <v>1</v>
      </c>
      <c r="Y888" s="393"/>
      <c r="Z888" s="498">
        <f t="shared" si="130"/>
        <v>0</v>
      </c>
      <c r="AA888" s="368"/>
      <c r="AB888" s="368"/>
      <c r="AC888" s="368"/>
      <c r="AD888" s="368"/>
      <c r="AE888" s="365">
        <f t="shared" si="131"/>
        <v>0</v>
      </c>
      <c r="AF888" s="262"/>
      <c r="AG888" s="457"/>
      <c r="AH888" s="264"/>
    </row>
    <row r="889" spans="1:34" ht="30.75" thickBot="1" x14ac:dyDescent="0.3">
      <c r="A889" s="474" t="s">
        <v>1893</v>
      </c>
      <c r="B889" s="447"/>
      <c r="C889" s="463" t="s">
        <v>655</v>
      </c>
      <c r="D889" s="449" t="s">
        <v>1856</v>
      </c>
      <c r="E889" s="262"/>
      <c r="F889" s="447" t="s">
        <v>1899</v>
      </c>
      <c r="G889" s="387" t="str">
        <f>VLOOKUP(A889,'Feature Summary'!$A$7:$C$3944,3,FALSE)</f>
        <v>P2</v>
      </c>
      <c r="H889" s="447" t="s">
        <v>1900</v>
      </c>
      <c r="I889" s="488" t="s">
        <v>264</v>
      </c>
      <c r="J889" s="448" t="s">
        <v>1873</v>
      </c>
      <c r="K889" s="263">
        <v>1</v>
      </c>
      <c r="L889" s="391">
        <v>1</v>
      </c>
      <c r="M889" s="399" t="s">
        <v>33</v>
      </c>
      <c r="N889" s="475">
        <v>1</v>
      </c>
      <c r="O889" s="391">
        <v>1</v>
      </c>
      <c r="P889" s="496">
        <f t="shared" si="132"/>
        <v>1</v>
      </c>
      <c r="Q889" s="445" t="s">
        <v>52</v>
      </c>
      <c r="R889" s="391">
        <v>1</v>
      </c>
      <c r="S889" s="362">
        <f t="shared" si="135"/>
        <v>1</v>
      </c>
      <c r="T889" s="368">
        <v>1</v>
      </c>
      <c r="U889" s="368"/>
      <c r="V889" s="368"/>
      <c r="W889" s="368"/>
      <c r="X889" s="364">
        <f t="shared" si="134"/>
        <v>1</v>
      </c>
      <c r="Y889" s="393"/>
      <c r="Z889" s="498">
        <f t="shared" si="130"/>
        <v>0</v>
      </c>
      <c r="AA889" s="368"/>
      <c r="AB889" s="368"/>
      <c r="AC889" s="368"/>
      <c r="AD889" s="368"/>
      <c r="AE889" s="365">
        <f t="shared" si="131"/>
        <v>0</v>
      </c>
      <c r="AF889" s="262"/>
      <c r="AG889" s="457"/>
      <c r="AH889" s="264"/>
    </row>
    <row r="890" spans="1:34" ht="15.75" thickBot="1" x14ac:dyDescent="0.3">
      <c r="A890" s="474" t="s">
        <v>1893</v>
      </c>
      <c r="B890" s="447"/>
      <c r="C890" s="463" t="s">
        <v>655</v>
      </c>
      <c r="D890" s="449" t="s">
        <v>1856</v>
      </c>
      <c r="E890" s="262"/>
      <c r="F890" s="447" t="s">
        <v>1901</v>
      </c>
      <c r="G890" s="387" t="str">
        <f>VLOOKUP(A890,'Feature Summary'!$A$7:$C$3944,3,FALSE)</f>
        <v>P2</v>
      </c>
      <c r="H890" s="447" t="s">
        <v>1902</v>
      </c>
      <c r="I890" s="488" t="s">
        <v>264</v>
      </c>
      <c r="J890" s="448" t="s">
        <v>1873</v>
      </c>
      <c r="K890" s="263">
        <v>1</v>
      </c>
      <c r="L890" s="391">
        <v>1</v>
      </c>
      <c r="M890" s="399" t="s">
        <v>33</v>
      </c>
      <c r="N890" s="475">
        <v>1</v>
      </c>
      <c r="O890" s="391">
        <v>1</v>
      </c>
      <c r="P890" s="496">
        <f t="shared" si="132"/>
        <v>1</v>
      </c>
      <c r="Q890" s="445" t="s">
        <v>52</v>
      </c>
      <c r="R890" s="391">
        <v>1</v>
      </c>
      <c r="S890" s="362">
        <f t="shared" si="135"/>
        <v>1</v>
      </c>
      <c r="T890" s="368">
        <v>1</v>
      </c>
      <c r="U890" s="368"/>
      <c r="V890" s="368"/>
      <c r="W890" s="368"/>
      <c r="X890" s="364">
        <f t="shared" si="134"/>
        <v>1</v>
      </c>
      <c r="Y890" s="393"/>
      <c r="Z890" s="498">
        <f t="shared" si="130"/>
        <v>0</v>
      </c>
      <c r="AA890" s="368"/>
      <c r="AB890" s="368"/>
      <c r="AC890" s="368"/>
      <c r="AD890" s="368"/>
      <c r="AE890" s="365">
        <f t="shared" si="131"/>
        <v>0</v>
      </c>
      <c r="AF890" s="262"/>
      <c r="AG890" s="457"/>
      <c r="AH890" s="264"/>
    </row>
    <row r="891" spans="1:34" ht="15.75" thickBot="1" x14ac:dyDescent="0.3">
      <c r="A891" s="474" t="s">
        <v>1893</v>
      </c>
      <c r="B891" s="447"/>
      <c r="C891" s="463" t="s">
        <v>655</v>
      </c>
      <c r="D891" s="449" t="s">
        <v>1856</v>
      </c>
      <c r="E891" s="262"/>
      <c r="F891" s="447" t="s">
        <v>1903</v>
      </c>
      <c r="G891" s="387" t="str">
        <f>VLOOKUP(A891,'Feature Summary'!$A$7:$C$3944,3,FALSE)</f>
        <v>P2</v>
      </c>
      <c r="H891" s="447" t="s">
        <v>1904</v>
      </c>
      <c r="I891" s="488" t="s">
        <v>264</v>
      </c>
      <c r="J891" s="448" t="s">
        <v>1905</v>
      </c>
      <c r="K891" s="263">
        <v>1</v>
      </c>
      <c r="L891" s="391">
        <v>1</v>
      </c>
      <c r="M891" s="399" t="s">
        <v>33</v>
      </c>
      <c r="N891" s="475">
        <v>1</v>
      </c>
      <c r="O891" s="391">
        <v>1</v>
      </c>
      <c r="P891" s="496">
        <f t="shared" si="132"/>
        <v>1</v>
      </c>
      <c r="Q891" s="445" t="s">
        <v>52</v>
      </c>
      <c r="R891" s="391">
        <v>1</v>
      </c>
      <c r="S891" s="362">
        <f t="shared" si="135"/>
        <v>1</v>
      </c>
      <c r="T891" s="368">
        <v>1</v>
      </c>
      <c r="U891" s="368"/>
      <c r="V891" s="368"/>
      <c r="W891" s="368"/>
      <c r="X891" s="364">
        <f t="shared" si="134"/>
        <v>1</v>
      </c>
      <c r="Y891" s="393"/>
      <c r="Z891" s="498">
        <f t="shared" si="130"/>
        <v>0</v>
      </c>
      <c r="AA891" s="368"/>
      <c r="AB891" s="368"/>
      <c r="AC891" s="368"/>
      <c r="AD891" s="368"/>
      <c r="AE891" s="365">
        <f t="shared" si="131"/>
        <v>0</v>
      </c>
      <c r="AF891" s="262"/>
      <c r="AG891" s="457"/>
      <c r="AH891" s="264"/>
    </row>
    <row r="892" spans="1:34" ht="15.75" thickBot="1" x14ac:dyDescent="0.3">
      <c r="A892" s="474" t="s">
        <v>1893</v>
      </c>
      <c r="B892" s="447"/>
      <c r="C892" s="463" t="s">
        <v>655</v>
      </c>
      <c r="D892" s="449" t="s">
        <v>1856</v>
      </c>
      <c r="E892" s="262"/>
      <c r="F892" s="447" t="s">
        <v>1906</v>
      </c>
      <c r="G892" s="387" t="str">
        <f>VLOOKUP(A892,'Feature Summary'!$A$7:$C$3944,3,FALSE)</f>
        <v>P2</v>
      </c>
      <c r="H892" s="447" t="s">
        <v>1907</v>
      </c>
      <c r="I892" s="488" t="s">
        <v>264</v>
      </c>
      <c r="J892" s="448" t="s">
        <v>1908</v>
      </c>
      <c r="K892" s="263">
        <v>1</v>
      </c>
      <c r="L892" s="391">
        <v>1</v>
      </c>
      <c r="M892" s="399" t="s">
        <v>33</v>
      </c>
      <c r="N892" s="475">
        <v>1</v>
      </c>
      <c r="O892" s="391">
        <v>1</v>
      </c>
      <c r="P892" s="496">
        <f t="shared" si="132"/>
        <v>1</v>
      </c>
      <c r="Q892" s="445" t="s">
        <v>52</v>
      </c>
      <c r="R892" s="391">
        <v>1</v>
      </c>
      <c r="S892" s="362">
        <f t="shared" si="135"/>
        <v>1</v>
      </c>
      <c r="T892" s="368">
        <v>1</v>
      </c>
      <c r="U892" s="368"/>
      <c r="V892" s="368"/>
      <c r="W892" s="368"/>
      <c r="X892" s="364">
        <f t="shared" si="134"/>
        <v>1</v>
      </c>
      <c r="Y892" s="393"/>
      <c r="Z892" s="498">
        <f t="shared" si="130"/>
        <v>0</v>
      </c>
      <c r="AA892" s="368"/>
      <c r="AB892" s="368"/>
      <c r="AC892" s="368"/>
      <c r="AD892" s="368"/>
      <c r="AE892" s="365">
        <f t="shared" si="131"/>
        <v>0</v>
      </c>
      <c r="AF892" s="262"/>
      <c r="AG892" s="457"/>
      <c r="AH892" s="264"/>
    </row>
    <row r="893" spans="1:34" ht="15.75" thickBot="1" x14ac:dyDescent="0.3">
      <c r="A893" s="474" t="s">
        <v>1893</v>
      </c>
      <c r="B893" s="447"/>
      <c r="C893" s="463" t="s">
        <v>655</v>
      </c>
      <c r="D893" s="449" t="s">
        <v>1856</v>
      </c>
      <c r="E893" s="262"/>
      <c r="F893" s="447" t="s">
        <v>1909</v>
      </c>
      <c r="G893" s="387" t="str">
        <f>VLOOKUP(A893,'Feature Summary'!$A$7:$C$3944,3,FALSE)</f>
        <v>P2</v>
      </c>
      <c r="H893" s="447" t="s">
        <v>1910</v>
      </c>
      <c r="I893" s="488" t="s">
        <v>264</v>
      </c>
      <c r="J893" s="448" t="s">
        <v>1873</v>
      </c>
      <c r="K893" s="263">
        <v>1</v>
      </c>
      <c r="L893" s="391">
        <v>3</v>
      </c>
      <c r="M893" s="399" t="s">
        <v>33</v>
      </c>
      <c r="N893" s="475">
        <v>1</v>
      </c>
      <c r="O893" s="391">
        <v>3</v>
      </c>
      <c r="P893" s="496">
        <f t="shared" si="132"/>
        <v>1</v>
      </c>
      <c r="Q893" s="445" t="s">
        <v>52</v>
      </c>
      <c r="R893" s="391">
        <v>3</v>
      </c>
      <c r="S893" s="362">
        <f t="shared" si="135"/>
        <v>3</v>
      </c>
      <c r="T893" s="368">
        <v>3</v>
      </c>
      <c r="U893" s="368"/>
      <c r="V893" s="368"/>
      <c r="W893" s="368"/>
      <c r="X893" s="364">
        <f t="shared" si="134"/>
        <v>1</v>
      </c>
      <c r="Y893" s="393"/>
      <c r="Z893" s="498">
        <f t="shared" si="130"/>
        <v>0</v>
      </c>
      <c r="AA893" s="368"/>
      <c r="AB893" s="368"/>
      <c r="AC893" s="368"/>
      <c r="AD893" s="368"/>
      <c r="AE893" s="365">
        <f t="shared" si="131"/>
        <v>0</v>
      </c>
      <c r="AF893" s="262"/>
      <c r="AG893" s="457"/>
      <c r="AH893" s="264"/>
    </row>
    <row r="894" spans="1:34" ht="30.75" thickBot="1" x14ac:dyDescent="0.3">
      <c r="A894" s="474" t="s">
        <v>1893</v>
      </c>
      <c r="B894" s="447"/>
      <c r="C894" s="463" t="s">
        <v>655</v>
      </c>
      <c r="D894" s="449" t="s">
        <v>1856</v>
      </c>
      <c r="E894" s="262"/>
      <c r="F894" s="447" t="s">
        <v>1911</v>
      </c>
      <c r="G894" s="387" t="str">
        <f>VLOOKUP(A894,'Feature Summary'!$A$7:$C$3944,3,FALSE)</f>
        <v>P2</v>
      </c>
      <c r="H894" s="447" t="s">
        <v>1912</v>
      </c>
      <c r="I894" s="488" t="s">
        <v>264</v>
      </c>
      <c r="J894" s="448" t="s">
        <v>1898</v>
      </c>
      <c r="K894" s="263">
        <v>1</v>
      </c>
      <c r="L894" s="391">
        <v>1</v>
      </c>
      <c r="M894" s="399" t="s">
        <v>33</v>
      </c>
      <c r="N894" s="475">
        <v>1</v>
      </c>
      <c r="O894" s="391">
        <v>1</v>
      </c>
      <c r="P894" s="496">
        <f t="shared" si="132"/>
        <v>1</v>
      </c>
      <c r="Q894" s="445" t="s">
        <v>52</v>
      </c>
      <c r="R894" s="391">
        <v>1</v>
      </c>
      <c r="S894" s="362">
        <f t="shared" si="135"/>
        <v>1</v>
      </c>
      <c r="T894" s="368">
        <v>1</v>
      </c>
      <c r="U894" s="368"/>
      <c r="V894" s="368"/>
      <c r="W894" s="368"/>
      <c r="X894" s="364">
        <f t="shared" si="134"/>
        <v>1</v>
      </c>
      <c r="Y894" s="393"/>
      <c r="Z894" s="498">
        <f t="shared" si="130"/>
        <v>0</v>
      </c>
      <c r="AA894" s="368"/>
      <c r="AB894" s="368"/>
      <c r="AC894" s="368"/>
      <c r="AD894" s="368"/>
      <c r="AE894" s="365">
        <f t="shared" si="131"/>
        <v>0</v>
      </c>
      <c r="AF894" s="262"/>
      <c r="AG894" s="457"/>
      <c r="AH894" s="264"/>
    </row>
    <row r="895" spans="1:34" ht="30.75" thickBot="1" x14ac:dyDescent="0.3">
      <c r="A895" s="474" t="s">
        <v>1893</v>
      </c>
      <c r="B895" s="447"/>
      <c r="C895" s="463" t="s">
        <v>655</v>
      </c>
      <c r="D895" s="449" t="s">
        <v>1856</v>
      </c>
      <c r="E895" s="262"/>
      <c r="F895" s="447" t="s">
        <v>1913</v>
      </c>
      <c r="G895" s="387" t="str">
        <f>VLOOKUP(A895,'Feature Summary'!$A$7:$C$3944,3,FALSE)</f>
        <v>P2</v>
      </c>
      <c r="H895" s="447" t="s">
        <v>1914</v>
      </c>
      <c r="I895" s="488" t="s">
        <v>264</v>
      </c>
      <c r="J895" s="448" t="s">
        <v>1873</v>
      </c>
      <c r="K895" s="263">
        <v>1</v>
      </c>
      <c r="L895" s="391">
        <v>1</v>
      </c>
      <c r="M895" s="399" t="s">
        <v>33</v>
      </c>
      <c r="N895" s="475">
        <v>1</v>
      </c>
      <c r="O895" s="391">
        <v>1</v>
      </c>
      <c r="P895" s="496">
        <f t="shared" si="132"/>
        <v>1</v>
      </c>
      <c r="Q895" s="445" t="s">
        <v>52</v>
      </c>
      <c r="R895" s="391">
        <v>1</v>
      </c>
      <c r="S895" s="362">
        <f t="shared" si="135"/>
        <v>1</v>
      </c>
      <c r="T895" s="368">
        <v>1</v>
      </c>
      <c r="U895" s="368"/>
      <c r="V895" s="368"/>
      <c r="W895" s="368"/>
      <c r="X895" s="364">
        <f t="shared" si="134"/>
        <v>1</v>
      </c>
      <c r="Y895" s="393"/>
      <c r="Z895" s="498">
        <f t="shared" si="130"/>
        <v>0</v>
      </c>
      <c r="AA895" s="368"/>
      <c r="AB895" s="368"/>
      <c r="AC895" s="368"/>
      <c r="AD895" s="368"/>
      <c r="AE895" s="365">
        <f t="shared" si="131"/>
        <v>0</v>
      </c>
      <c r="AF895" s="262"/>
      <c r="AG895" s="457"/>
      <c r="AH895" s="264"/>
    </row>
    <row r="896" spans="1:34" ht="15.75" thickBot="1" x14ac:dyDescent="0.3">
      <c r="A896" s="474" t="s">
        <v>1893</v>
      </c>
      <c r="B896" s="447"/>
      <c r="C896" s="463" t="s">
        <v>655</v>
      </c>
      <c r="D896" s="449" t="s">
        <v>1856</v>
      </c>
      <c r="E896" s="262"/>
      <c r="F896" s="447" t="s">
        <v>1915</v>
      </c>
      <c r="G896" s="387" t="str">
        <f>VLOOKUP(A896,'Feature Summary'!$A$7:$C$3944,3,FALSE)</f>
        <v>P2</v>
      </c>
      <c r="H896" s="447" t="s">
        <v>1916</v>
      </c>
      <c r="I896" s="488" t="s">
        <v>264</v>
      </c>
      <c r="J896" s="448" t="s">
        <v>1873</v>
      </c>
      <c r="K896" s="263">
        <v>1</v>
      </c>
      <c r="L896" s="391">
        <v>1</v>
      </c>
      <c r="M896" s="399" t="s">
        <v>33</v>
      </c>
      <c r="N896" s="475">
        <v>1</v>
      </c>
      <c r="O896" s="391">
        <v>1</v>
      </c>
      <c r="P896" s="496">
        <f t="shared" si="132"/>
        <v>1</v>
      </c>
      <c r="Q896" s="445" t="s">
        <v>52</v>
      </c>
      <c r="R896" s="391">
        <v>1</v>
      </c>
      <c r="S896" s="362">
        <f t="shared" si="135"/>
        <v>1</v>
      </c>
      <c r="T896" s="368">
        <v>1</v>
      </c>
      <c r="U896" s="368"/>
      <c r="V896" s="368"/>
      <c r="W896" s="368"/>
      <c r="X896" s="364">
        <f t="shared" si="134"/>
        <v>1</v>
      </c>
      <c r="Y896" s="393"/>
      <c r="Z896" s="498">
        <f t="shared" si="130"/>
        <v>0</v>
      </c>
      <c r="AA896" s="368"/>
      <c r="AB896" s="368"/>
      <c r="AC896" s="368"/>
      <c r="AD896" s="368"/>
      <c r="AE896" s="365">
        <f t="shared" si="131"/>
        <v>0</v>
      </c>
      <c r="AF896" s="262"/>
      <c r="AG896" s="457"/>
      <c r="AH896" s="264"/>
    </row>
    <row r="897" spans="1:34" ht="15.75" thickBot="1" x14ac:dyDescent="0.3">
      <c r="A897" s="474" t="s">
        <v>1893</v>
      </c>
      <c r="B897" s="447"/>
      <c r="C897" s="463" t="s">
        <v>655</v>
      </c>
      <c r="D897" s="449" t="s">
        <v>1856</v>
      </c>
      <c r="E897" s="262"/>
      <c r="F897" s="470" t="s">
        <v>1917</v>
      </c>
      <c r="G897" s="387" t="str">
        <f>VLOOKUP(A897,'Feature Summary'!$A$7:$C$3944,3,FALSE)</f>
        <v>P2</v>
      </c>
      <c r="H897" s="447" t="s">
        <v>1918</v>
      </c>
      <c r="I897" s="488" t="s">
        <v>264</v>
      </c>
      <c r="J897" s="478" t="s">
        <v>1905</v>
      </c>
      <c r="K897" s="263">
        <v>1</v>
      </c>
      <c r="L897" s="391">
        <v>1</v>
      </c>
      <c r="M897" s="399" t="s">
        <v>33</v>
      </c>
      <c r="N897" s="475">
        <v>1</v>
      </c>
      <c r="O897" s="391">
        <v>1</v>
      </c>
      <c r="P897" s="496">
        <f>IF((O897=0),0,(O897/L897))</f>
        <v>1</v>
      </c>
      <c r="Q897" s="445" t="s">
        <v>52</v>
      </c>
      <c r="R897" s="391">
        <v>1</v>
      </c>
      <c r="S897" s="362">
        <f t="shared" si="135"/>
        <v>1</v>
      </c>
      <c r="T897" s="368">
        <v>1</v>
      </c>
      <c r="U897" s="368"/>
      <c r="V897" s="368"/>
      <c r="W897" s="368"/>
      <c r="X897" s="364">
        <f t="shared" si="134"/>
        <v>1</v>
      </c>
      <c r="Y897" s="393"/>
      <c r="Z897" s="498">
        <f t="shared" si="130"/>
        <v>0</v>
      </c>
      <c r="AA897" s="368"/>
      <c r="AB897" s="368"/>
      <c r="AC897" s="368"/>
      <c r="AD897" s="368"/>
      <c r="AE897" s="365">
        <f t="shared" si="131"/>
        <v>0</v>
      </c>
      <c r="AF897" s="262"/>
      <c r="AG897" s="457"/>
      <c r="AH897" s="264"/>
    </row>
    <row r="898" spans="1:34" ht="15.75" thickBot="1" x14ac:dyDescent="0.3">
      <c r="A898" s="474" t="s">
        <v>1893</v>
      </c>
      <c r="B898" s="447"/>
      <c r="C898" s="463" t="s">
        <v>655</v>
      </c>
      <c r="D898" s="449" t="s">
        <v>1856</v>
      </c>
      <c r="E898" s="262"/>
      <c r="F898" s="447" t="s">
        <v>1919</v>
      </c>
      <c r="G898" s="387" t="str">
        <f>VLOOKUP(A898,'Feature Summary'!$A$7:$C$3944,3,FALSE)</f>
        <v>P2</v>
      </c>
      <c r="H898" s="447" t="s">
        <v>1920</v>
      </c>
      <c r="I898" s="488" t="s">
        <v>264</v>
      </c>
      <c r="J898" s="448" t="s">
        <v>1908</v>
      </c>
      <c r="K898" s="263">
        <v>1</v>
      </c>
      <c r="L898" s="391">
        <v>1</v>
      </c>
      <c r="M898" s="399" t="s">
        <v>33</v>
      </c>
      <c r="N898" s="475">
        <v>1</v>
      </c>
      <c r="O898" s="391">
        <v>1</v>
      </c>
      <c r="P898" s="496">
        <f t="shared" ref="P898:P899" si="143">IF((O898=0),0,(O898/L898))</f>
        <v>1</v>
      </c>
      <c r="Q898" s="445" t="s">
        <v>52</v>
      </c>
      <c r="R898" s="391">
        <v>1</v>
      </c>
      <c r="S898" s="362">
        <f t="shared" si="135"/>
        <v>1</v>
      </c>
      <c r="T898" s="368">
        <v>1</v>
      </c>
      <c r="U898" s="368"/>
      <c r="V898" s="368"/>
      <c r="W898" s="368"/>
      <c r="X898" s="364">
        <f t="shared" si="134"/>
        <v>1</v>
      </c>
      <c r="Y898" s="393"/>
      <c r="Z898" s="498">
        <f t="shared" si="130"/>
        <v>0</v>
      </c>
      <c r="AA898" s="368"/>
      <c r="AB898" s="368"/>
      <c r="AC898" s="368"/>
      <c r="AD898" s="368"/>
      <c r="AE898" s="365">
        <f t="shared" si="131"/>
        <v>0</v>
      </c>
      <c r="AF898" s="262"/>
      <c r="AG898" s="457"/>
      <c r="AH898" s="264"/>
    </row>
    <row r="899" spans="1:34" ht="15.75" thickBot="1" x14ac:dyDescent="0.3">
      <c r="A899" s="474" t="s">
        <v>1893</v>
      </c>
      <c r="B899" s="447"/>
      <c r="C899" s="463" t="s">
        <v>655</v>
      </c>
      <c r="D899" s="449" t="s">
        <v>1856</v>
      </c>
      <c r="E899" s="262"/>
      <c r="F899" s="447" t="s">
        <v>1921</v>
      </c>
      <c r="G899" s="387" t="str">
        <f>VLOOKUP(A899,'Feature Summary'!$A$7:$C$3944,3,FALSE)</f>
        <v>P2</v>
      </c>
      <c r="H899" s="447" t="s">
        <v>1922</v>
      </c>
      <c r="I899" s="488" t="s">
        <v>264</v>
      </c>
      <c r="J899" s="448" t="s">
        <v>1923</v>
      </c>
      <c r="K899" s="263">
        <v>1</v>
      </c>
      <c r="L899" s="391">
        <v>3</v>
      </c>
      <c r="M899" s="399" t="s">
        <v>33</v>
      </c>
      <c r="N899" s="475">
        <v>1</v>
      </c>
      <c r="O899" s="391">
        <v>3</v>
      </c>
      <c r="P899" s="496">
        <f t="shared" si="143"/>
        <v>1</v>
      </c>
      <c r="Q899" s="445" t="s">
        <v>52</v>
      </c>
      <c r="R899" s="391">
        <v>3</v>
      </c>
      <c r="S899" s="362">
        <f t="shared" si="135"/>
        <v>3</v>
      </c>
      <c r="T899" s="368">
        <v>3</v>
      </c>
      <c r="U899" s="368"/>
      <c r="V899" s="368"/>
      <c r="W899" s="368"/>
      <c r="X899" s="364">
        <f t="shared" si="134"/>
        <v>1</v>
      </c>
      <c r="Y899" s="393"/>
      <c r="Z899" s="498">
        <f t="shared" si="130"/>
        <v>0</v>
      </c>
      <c r="AA899" s="368"/>
      <c r="AB899" s="368"/>
      <c r="AC899" s="368"/>
      <c r="AD899" s="368"/>
      <c r="AE899" s="365">
        <f t="shared" si="131"/>
        <v>0</v>
      </c>
      <c r="AF899" s="262"/>
      <c r="AG899" s="457"/>
      <c r="AH899" s="264"/>
    </row>
    <row r="900" spans="1:34" ht="30.75" thickBot="1" x14ac:dyDescent="0.3">
      <c r="A900" s="474" t="s">
        <v>1893</v>
      </c>
      <c r="B900" s="447"/>
      <c r="C900" s="463" t="s">
        <v>655</v>
      </c>
      <c r="D900" s="449" t="s">
        <v>1856</v>
      </c>
      <c r="E900" s="262"/>
      <c r="F900" s="447" t="s">
        <v>1924</v>
      </c>
      <c r="G900" s="387" t="str">
        <f>VLOOKUP(A900,'Feature Summary'!$A$7:$C$3944,3,FALSE)</f>
        <v>P2</v>
      </c>
      <c r="H900" s="447" t="s">
        <v>1925</v>
      </c>
      <c r="I900" s="488" t="s">
        <v>264</v>
      </c>
      <c r="J900" s="448" t="s">
        <v>1926</v>
      </c>
      <c r="K900" s="263">
        <v>1</v>
      </c>
      <c r="L900" s="391">
        <v>1</v>
      </c>
      <c r="M900" s="399" t="s">
        <v>33</v>
      </c>
      <c r="N900" s="475">
        <v>1</v>
      </c>
      <c r="O900" s="391">
        <v>1</v>
      </c>
      <c r="P900" s="496">
        <f>IF((O900=0),0,(O900/L900))</f>
        <v>1</v>
      </c>
      <c r="Q900" s="445" t="s">
        <v>52</v>
      </c>
      <c r="R900" s="391">
        <v>1</v>
      </c>
      <c r="S900" s="362">
        <f t="shared" si="135"/>
        <v>1</v>
      </c>
      <c r="T900" s="368">
        <v>1</v>
      </c>
      <c r="U900" s="368"/>
      <c r="V900" s="368"/>
      <c r="W900" s="368"/>
      <c r="X900" s="364">
        <f t="shared" si="134"/>
        <v>1</v>
      </c>
      <c r="Y900" s="393"/>
      <c r="Z900" s="498">
        <f t="shared" si="130"/>
        <v>0</v>
      </c>
      <c r="AA900" s="368"/>
      <c r="AB900" s="368"/>
      <c r="AC900" s="368"/>
      <c r="AD900" s="368"/>
      <c r="AE900" s="365">
        <f t="shared" si="131"/>
        <v>0</v>
      </c>
      <c r="AF900" s="262"/>
      <c r="AG900" s="457"/>
      <c r="AH900" s="264"/>
    </row>
    <row r="901" spans="1:34" ht="30.75" thickBot="1" x14ac:dyDescent="0.3">
      <c r="A901" s="474" t="s">
        <v>1893</v>
      </c>
      <c r="B901" s="447"/>
      <c r="C901" s="463" t="s">
        <v>655</v>
      </c>
      <c r="D901" s="449" t="s">
        <v>1856</v>
      </c>
      <c r="E901" s="262"/>
      <c r="F901" s="447" t="s">
        <v>1927</v>
      </c>
      <c r="G901" s="387" t="str">
        <f>VLOOKUP(A901,'Feature Summary'!$A$7:$C$3944,3,FALSE)</f>
        <v>P2</v>
      </c>
      <c r="H901" s="447" t="s">
        <v>1928</v>
      </c>
      <c r="I901" s="488" t="s">
        <v>264</v>
      </c>
      <c r="J901" s="448" t="s">
        <v>1926</v>
      </c>
      <c r="K901" s="263">
        <v>1</v>
      </c>
      <c r="L901" s="391">
        <v>1</v>
      </c>
      <c r="M901" s="399" t="s">
        <v>33</v>
      </c>
      <c r="N901" s="475">
        <v>1</v>
      </c>
      <c r="O901" s="391">
        <v>1</v>
      </c>
      <c r="P901" s="496">
        <f>IF((O901=0),0,(O901/L901))</f>
        <v>1</v>
      </c>
      <c r="Q901" s="445" t="s">
        <v>52</v>
      </c>
      <c r="R901" s="391">
        <v>1</v>
      </c>
      <c r="S901" s="362">
        <f t="shared" si="135"/>
        <v>1</v>
      </c>
      <c r="T901" s="368">
        <v>1</v>
      </c>
      <c r="U901" s="368"/>
      <c r="V901" s="368"/>
      <c r="W901" s="368"/>
      <c r="X901" s="364">
        <f t="shared" si="134"/>
        <v>1</v>
      </c>
      <c r="Y901" s="393"/>
      <c r="Z901" s="498">
        <f t="shared" si="130"/>
        <v>0</v>
      </c>
      <c r="AA901" s="368"/>
      <c r="AB901" s="368"/>
      <c r="AC901" s="368"/>
      <c r="AD901" s="368"/>
      <c r="AE901" s="365">
        <f t="shared" si="131"/>
        <v>0</v>
      </c>
      <c r="AF901" s="262"/>
      <c r="AG901" s="457"/>
      <c r="AH901" s="264"/>
    </row>
    <row r="902" spans="1:34" ht="15.75" thickBot="1" x14ac:dyDescent="0.3">
      <c r="A902" s="474" t="s">
        <v>1893</v>
      </c>
      <c r="B902" s="447"/>
      <c r="C902" s="463" t="s">
        <v>655</v>
      </c>
      <c r="D902" s="449" t="s">
        <v>1856</v>
      </c>
      <c r="E902" s="262"/>
      <c r="F902" s="447" t="s">
        <v>1929</v>
      </c>
      <c r="G902" s="387" t="str">
        <f>VLOOKUP(A902,'Feature Summary'!$A$7:$C$3944,3,FALSE)</f>
        <v>P2</v>
      </c>
      <c r="H902" s="447" t="s">
        <v>1930</v>
      </c>
      <c r="I902" s="488" t="s">
        <v>264</v>
      </c>
      <c r="J902" s="448" t="s">
        <v>1923</v>
      </c>
      <c r="K902" s="263">
        <v>1</v>
      </c>
      <c r="L902" s="391">
        <v>1</v>
      </c>
      <c r="M902" s="399" t="s">
        <v>33</v>
      </c>
      <c r="N902" s="475">
        <v>1</v>
      </c>
      <c r="O902" s="391">
        <v>1</v>
      </c>
      <c r="P902" s="496">
        <f t="shared" ref="P902:P906" si="144">IF((O902=0),0,(O902/L902))</f>
        <v>1</v>
      </c>
      <c r="Q902" s="445" t="s">
        <v>52</v>
      </c>
      <c r="R902" s="391">
        <v>1</v>
      </c>
      <c r="S902" s="362">
        <f t="shared" si="135"/>
        <v>1</v>
      </c>
      <c r="T902" s="368">
        <v>1</v>
      </c>
      <c r="U902" s="368"/>
      <c r="V902" s="368"/>
      <c r="W902" s="368"/>
      <c r="X902" s="364">
        <f t="shared" si="134"/>
        <v>1</v>
      </c>
      <c r="Y902" s="393"/>
      <c r="Z902" s="498">
        <f t="shared" si="130"/>
        <v>0</v>
      </c>
      <c r="AA902" s="368"/>
      <c r="AB902" s="368"/>
      <c r="AC902" s="368"/>
      <c r="AD902" s="368"/>
      <c r="AE902" s="365">
        <f t="shared" si="131"/>
        <v>0</v>
      </c>
      <c r="AF902" s="262"/>
      <c r="AG902" s="457"/>
      <c r="AH902" s="264"/>
    </row>
    <row r="903" spans="1:34" ht="15.75" thickBot="1" x14ac:dyDescent="0.3">
      <c r="A903" s="474"/>
      <c r="B903" s="447"/>
      <c r="C903" s="463" t="s">
        <v>655</v>
      </c>
      <c r="D903" s="449" t="s">
        <v>431</v>
      </c>
      <c r="E903" s="262"/>
      <c r="F903" s="447" t="s">
        <v>1931</v>
      </c>
      <c r="G903" s="387" t="e">
        <f>VLOOKUP(A903,'Feature Summary'!$A$7:$C$3944,3,FALSE)</f>
        <v>#N/A</v>
      </c>
      <c r="H903" s="447"/>
      <c r="I903" s="447"/>
      <c r="J903" s="448"/>
      <c r="K903" s="263"/>
      <c r="L903" s="391"/>
      <c r="M903" s="399" t="s">
        <v>33</v>
      </c>
      <c r="N903" s="475">
        <v>1</v>
      </c>
      <c r="O903" s="391"/>
      <c r="P903" s="496">
        <f t="shared" si="144"/>
        <v>0</v>
      </c>
      <c r="Q903" s="445" t="s">
        <v>52</v>
      </c>
      <c r="R903" s="391"/>
      <c r="S903" s="362">
        <f t="shared" si="135"/>
        <v>0</v>
      </c>
      <c r="T903" s="368"/>
      <c r="U903" s="368"/>
      <c r="V903" s="368"/>
      <c r="W903" s="368"/>
      <c r="X903" s="364">
        <f t="shared" si="134"/>
        <v>0</v>
      </c>
      <c r="Y903" s="393"/>
      <c r="Z903" s="498">
        <f t="shared" si="130"/>
        <v>0</v>
      </c>
      <c r="AA903" s="368"/>
      <c r="AB903" s="368"/>
      <c r="AC903" s="368"/>
      <c r="AD903" s="368"/>
      <c r="AE903" s="365">
        <f t="shared" si="131"/>
        <v>0</v>
      </c>
      <c r="AF903" s="262"/>
      <c r="AG903" s="457"/>
      <c r="AH903" s="264"/>
    </row>
    <row r="904" spans="1:34" ht="30.75" thickBot="1" x14ac:dyDescent="0.3">
      <c r="A904" s="474" t="s">
        <v>1893</v>
      </c>
      <c r="B904" s="447"/>
      <c r="C904" s="463" t="s">
        <v>655</v>
      </c>
      <c r="D904" s="449" t="s">
        <v>1856</v>
      </c>
      <c r="E904" s="262"/>
      <c r="F904" s="470" t="s">
        <v>1932</v>
      </c>
      <c r="G904" s="387" t="str">
        <f>VLOOKUP(A904,'Feature Summary'!$A$7:$C$3944,3,FALSE)</f>
        <v>P2</v>
      </c>
      <c r="H904" s="447" t="s">
        <v>1933</v>
      </c>
      <c r="I904" s="488" t="s">
        <v>264</v>
      </c>
      <c r="J904" s="478" t="s">
        <v>1934</v>
      </c>
      <c r="K904" s="263">
        <v>1</v>
      </c>
      <c r="L904" s="391">
        <v>1</v>
      </c>
      <c r="M904" s="399" t="s">
        <v>33</v>
      </c>
      <c r="N904" s="475">
        <v>1</v>
      </c>
      <c r="O904" s="391">
        <v>1</v>
      </c>
      <c r="P904" s="496">
        <f t="shared" si="144"/>
        <v>1</v>
      </c>
      <c r="Q904" s="445" t="s">
        <v>52</v>
      </c>
      <c r="R904" s="391">
        <v>1</v>
      </c>
      <c r="S904" s="362">
        <f t="shared" si="135"/>
        <v>1</v>
      </c>
      <c r="T904" s="368">
        <v>1</v>
      </c>
      <c r="U904" s="368"/>
      <c r="V904" s="368"/>
      <c r="W904" s="368"/>
      <c r="X904" s="364">
        <f t="shared" si="134"/>
        <v>1</v>
      </c>
      <c r="Y904" s="393"/>
      <c r="Z904" s="498">
        <f t="shared" si="130"/>
        <v>0</v>
      </c>
      <c r="AA904" s="368"/>
      <c r="AB904" s="368"/>
      <c r="AC904" s="368"/>
      <c r="AD904" s="368"/>
      <c r="AE904" s="365">
        <f t="shared" si="131"/>
        <v>0</v>
      </c>
      <c r="AF904" s="262"/>
      <c r="AG904" s="457"/>
      <c r="AH904" s="264"/>
    </row>
    <row r="905" spans="1:34" ht="15.75" thickBot="1" x14ac:dyDescent="0.3">
      <c r="A905" s="474" t="s">
        <v>1893</v>
      </c>
      <c r="B905" s="447"/>
      <c r="C905" s="463" t="s">
        <v>655</v>
      </c>
      <c r="D905" s="449" t="s">
        <v>1856</v>
      </c>
      <c r="E905" s="262"/>
      <c r="F905" s="447" t="s">
        <v>1935</v>
      </c>
      <c r="G905" s="387" t="str">
        <f>VLOOKUP(A905,'Feature Summary'!$A$7:$C$3944,3,FALSE)</f>
        <v>P2</v>
      </c>
      <c r="H905" s="447" t="s">
        <v>1936</v>
      </c>
      <c r="I905" s="488" t="s">
        <v>264</v>
      </c>
      <c r="J905" s="448" t="s">
        <v>1926</v>
      </c>
      <c r="K905" s="263">
        <v>1</v>
      </c>
      <c r="L905" s="391">
        <v>1</v>
      </c>
      <c r="M905" s="399" t="s">
        <v>33</v>
      </c>
      <c r="N905" s="475">
        <v>1</v>
      </c>
      <c r="O905" s="391">
        <v>1</v>
      </c>
      <c r="P905" s="496">
        <f t="shared" si="144"/>
        <v>1</v>
      </c>
      <c r="Q905" s="445" t="s">
        <v>52</v>
      </c>
      <c r="R905" s="391">
        <v>1</v>
      </c>
      <c r="S905" s="362">
        <f t="shared" si="135"/>
        <v>1</v>
      </c>
      <c r="T905" s="368">
        <v>1</v>
      </c>
      <c r="U905" s="368"/>
      <c r="V905" s="368"/>
      <c r="W905" s="368"/>
      <c r="X905" s="364">
        <f t="shared" si="134"/>
        <v>1</v>
      </c>
      <c r="Y905" s="599"/>
      <c r="Z905" s="498">
        <f t="shared" si="130"/>
        <v>0</v>
      </c>
      <c r="AA905" s="368"/>
      <c r="AB905" s="368"/>
      <c r="AC905" s="368"/>
      <c r="AD905" s="368"/>
      <c r="AE905" s="365">
        <f t="shared" si="131"/>
        <v>0</v>
      </c>
      <c r="AF905" s="262"/>
      <c r="AG905" s="457"/>
      <c r="AH905" s="264"/>
    </row>
    <row r="906" spans="1:34" ht="30.75" thickBot="1" x14ac:dyDescent="0.3">
      <c r="A906" s="474" t="s">
        <v>1893</v>
      </c>
      <c r="B906" s="447"/>
      <c r="C906" s="463" t="s">
        <v>655</v>
      </c>
      <c r="D906" s="449" t="s">
        <v>1856</v>
      </c>
      <c r="E906" s="262"/>
      <c r="F906" s="447" t="s">
        <v>1937</v>
      </c>
      <c r="G906" s="387" t="str">
        <f>VLOOKUP(A906,'Feature Summary'!$A$7:$C$3944,3,FALSE)</f>
        <v>P2</v>
      </c>
      <c r="H906" s="447" t="s">
        <v>1938</v>
      </c>
      <c r="I906" s="488" t="s">
        <v>264</v>
      </c>
      <c r="J906" s="448" t="s">
        <v>1939</v>
      </c>
      <c r="K906" s="263">
        <v>1</v>
      </c>
      <c r="L906" s="391">
        <v>1</v>
      </c>
      <c r="M906" s="399" t="s">
        <v>33</v>
      </c>
      <c r="N906" s="475">
        <v>1</v>
      </c>
      <c r="O906" s="391">
        <v>1</v>
      </c>
      <c r="P906" s="496">
        <f t="shared" si="144"/>
        <v>1</v>
      </c>
      <c r="Q906" s="445" t="s">
        <v>52</v>
      </c>
      <c r="R906" s="391">
        <v>1</v>
      </c>
      <c r="S906" s="362">
        <f t="shared" si="135"/>
        <v>1</v>
      </c>
      <c r="T906" s="368">
        <v>1</v>
      </c>
      <c r="U906" s="368"/>
      <c r="V906" s="368"/>
      <c r="W906" s="368"/>
      <c r="X906" s="364">
        <f t="shared" si="134"/>
        <v>1</v>
      </c>
      <c r="Y906" s="393"/>
      <c r="Z906" s="498">
        <f t="shared" ref="Z906:Z969" si="145">SUM(AA906:AD906)</f>
        <v>0</v>
      </c>
      <c r="AA906" s="368"/>
      <c r="AB906" s="368"/>
      <c r="AC906" s="368"/>
      <c r="AD906" s="368"/>
      <c r="AE906" s="365">
        <f t="shared" ref="AE906:AE969" si="146">IF((Z906=0),0,((AA906+AB906)/Z906*100%))</f>
        <v>0</v>
      </c>
      <c r="AF906" s="262"/>
      <c r="AG906" s="457"/>
      <c r="AH906" s="264"/>
    </row>
    <row r="907" spans="1:34" ht="30.75" thickBot="1" x14ac:dyDescent="0.3">
      <c r="A907" s="474" t="s">
        <v>1893</v>
      </c>
      <c r="B907" s="447"/>
      <c r="C907" s="463" t="s">
        <v>655</v>
      </c>
      <c r="D907" s="449" t="s">
        <v>1856</v>
      </c>
      <c r="E907" s="262"/>
      <c r="F907" s="447" t="s">
        <v>1937</v>
      </c>
      <c r="G907" s="387" t="str">
        <f>VLOOKUP(A907,'Feature Summary'!$A$7:$C$3944,3,FALSE)</f>
        <v>P2</v>
      </c>
      <c r="H907" s="447" t="s">
        <v>1940</v>
      </c>
      <c r="I907" s="488" t="s">
        <v>264</v>
      </c>
      <c r="J907" s="448" t="s">
        <v>1939</v>
      </c>
      <c r="K907" s="263">
        <v>1</v>
      </c>
      <c r="L907" s="391">
        <v>1</v>
      </c>
      <c r="M907" s="399" t="s">
        <v>33</v>
      </c>
      <c r="N907" s="475">
        <v>1</v>
      </c>
      <c r="O907" s="391">
        <v>1</v>
      </c>
      <c r="P907" s="496">
        <f>IF((O907=0),0,(O907/L907))</f>
        <v>1</v>
      </c>
      <c r="Q907" s="445" t="s">
        <v>52</v>
      </c>
      <c r="R907" s="391">
        <v>1</v>
      </c>
      <c r="S907" s="362">
        <f t="shared" si="135"/>
        <v>1</v>
      </c>
      <c r="T907" s="368">
        <v>1</v>
      </c>
      <c r="U907" s="368"/>
      <c r="V907" s="368"/>
      <c r="W907" s="368"/>
      <c r="X907" s="364">
        <f t="shared" si="134"/>
        <v>1</v>
      </c>
      <c r="Y907" s="393"/>
      <c r="Z907" s="498">
        <f t="shared" si="145"/>
        <v>0</v>
      </c>
      <c r="AA907" s="368"/>
      <c r="AB907" s="368"/>
      <c r="AC907" s="368"/>
      <c r="AD907" s="368"/>
      <c r="AE907" s="365">
        <f t="shared" si="146"/>
        <v>0</v>
      </c>
      <c r="AF907" s="262"/>
      <c r="AG907" s="457"/>
      <c r="AH907" s="264"/>
    </row>
    <row r="908" spans="1:34" ht="15.75" thickBot="1" x14ac:dyDescent="0.3">
      <c r="A908" s="474" t="s">
        <v>1893</v>
      </c>
      <c r="B908" s="447"/>
      <c r="C908" s="463" t="s">
        <v>655</v>
      </c>
      <c r="D908" s="449" t="s">
        <v>1856</v>
      </c>
      <c r="E908" s="262"/>
      <c r="F908" s="447" t="s">
        <v>1941</v>
      </c>
      <c r="G908" s="387" t="str">
        <f>VLOOKUP(A908,'Feature Summary'!$A$7:$C$3944,3,FALSE)</f>
        <v>P2</v>
      </c>
      <c r="H908" s="447" t="s">
        <v>1942</v>
      </c>
      <c r="I908" s="488" t="s">
        <v>264</v>
      </c>
      <c r="J908" s="478" t="s">
        <v>1873</v>
      </c>
      <c r="K908" s="263">
        <v>1</v>
      </c>
      <c r="L908" s="391">
        <v>1</v>
      </c>
      <c r="M908" s="399" t="s">
        <v>33</v>
      </c>
      <c r="N908" s="475">
        <v>1</v>
      </c>
      <c r="O908" s="391">
        <v>1</v>
      </c>
      <c r="P908" s="496">
        <f t="shared" ref="P908:P947" si="147">IF((O908=0),0,(O908/L908))</f>
        <v>1</v>
      </c>
      <c r="Q908" s="445" t="s">
        <v>52</v>
      </c>
      <c r="R908" s="391">
        <v>1</v>
      </c>
      <c r="S908" s="362">
        <f t="shared" si="135"/>
        <v>1</v>
      </c>
      <c r="T908" s="368">
        <v>1</v>
      </c>
      <c r="U908" s="368"/>
      <c r="V908" s="368"/>
      <c r="W908" s="368"/>
      <c r="X908" s="364">
        <f t="shared" si="134"/>
        <v>1</v>
      </c>
      <c r="Y908" s="393"/>
      <c r="Z908" s="498">
        <f t="shared" si="145"/>
        <v>0</v>
      </c>
      <c r="AA908" s="368"/>
      <c r="AB908" s="368"/>
      <c r="AC908" s="368"/>
      <c r="AD908" s="368"/>
      <c r="AE908" s="365">
        <f t="shared" si="146"/>
        <v>0</v>
      </c>
      <c r="AF908" s="262"/>
      <c r="AG908" s="457"/>
      <c r="AH908" s="264"/>
    </row>
    <row r="909" spans="1:34" ht="45.75" thickBot="1" x14ac:dyDescent="0.3">
      <c r="A909" s="474" t="s">
        <v>1943</v>
      </c>
      <c r="B909" s="447" t="s">
        <v>1944</v>
      </c>
      <c r="C909" s="463" t="s">
        <v>655</v>
      </c>
      <c r="D909" s="449" t="s">
        <v>1856</v>
      </c>
      <c r="E909" s="262"/>
      <c r="F909" s="447" t="s">
        <v>1945</v>
      </c>
      <c r="G909" s="387" t="e">
        <f>VLOOKUP(A909,'Feature Summary'!$A$7:$C$3944,3,FALSE)</f>
        <v>#N/A</v>
      </c>
      <c r="H909" s="447" t="s">
        <v>1946</v>
      </c>
      <c r="I909" s="488" t="s">
        <v>264</v>
      </c>
      <c r="J909" s="448" t="s">
        <v>1224</v>
      </c>
      <c r="K909" s="263">
        <v>1</v>
      </c>
      <c r="L909" s="391">
        <v>1</v>
      </c>
      <c r="M909" s="399" t="s">
        <v>33</v>
      </c>
      <c r="N909" s="475">
        <v>1</v>
      </c>
      <c r="O909" s="391">
        <v>1</v>
      </c>
      <c r="P909" s="496">
        <f t="shared" si="147"/>
        <v>1</v>
      </c>
      <c r="Q909" s="445" t="s">
        <v>52</v>
      </c>
      <c r="R909" s="391">
        <v>1</v>
      </c>
      <c r="S909" s="362">
        <f t="shared" si="135"/>
        <v>1</v>
      </c>
      <c r="T909" s="368">
        <v>1</v>
      </c>
      <c r="U909" s="368"/>
      <c r="V909" s="368"/>
      <c r="W909" s="368"/>
      <c r="X909" s="364">
        <f t="shared" si="134"/>
        <v>1</v>
      </c>
      <c r="Y909" s="393"/>
      <c r="Z909" s="498">
        <f t="shared" si="145"/>
        <v>0</v>
      </c>
      <c r="AA909" s="368"/>
      <c r="AB909" s="368"/>
      <c r="AC909" s="368"/>
      <c r="AD909" s="368"/>
      <c r="AE909" s="365">
        <f t="shared" si="146"/>
        <v>0</v>
      </c>
      <c r="AF909" s="262"/>
      <c r="AG909" s="457"/>
      <c r="AH909" s="264"/>
    </row>
    <row r="910" spans="1:34" ht="30.75" thickBot="1" x14ac:dyDescent="0.3">
      <c r="A910" s="474"/>
      <c r="B910" s="447" t="s">
        <v>1944</v>
      </c>
      <c r="C910" s="463" t="s">
        <v>655</v>
      </c>
      <c r="D910" s="449" t="s">
        <v>1856</v>
      </c>
      <c r="E910" s="262"/>
      <c r="F910" s="447" t="s">
        <v>1945</v>
      </c>
      <c r="G910" s="387" t="e">
        <f>VLOOKUP(A910,'Feature Summary'!$A$7:$C$3944,3,FALSE)</f>
        <v>#N/A</v>
      </c>
      <c r="H910" s="447" t="s">
        <v>1946</v>
      </c>
      <c r="I910" s="488" t="s">
        <v>288</v>
      </c>
      <c r="J910" s="448" t="s">
        <v>1224</v>
      </c>
      <c r="K910" s="263"/>
      <c r="L910" s="391"/>
      <c r="M910" s="399" t="s">
        <v>33</v>
      </c>
      <c r="N910" s="475">
        <v>1</v>
      </c>
      <c r="O910" s="391"/>
      <c r="P910" s="496">
        <f t="shared" ref="P910" si="148">IF((O910=0),0,(O910/L910))</f>
        <v>0</v>
      </c>
      <c r="Q910" s="445" t="s">
        <v>52</v>
      </c>
      <c r="R910" s="391"/>
      <c r="S910" s="362">
        <f t="shared" ref="S910" si="149">SUM(T910:W910)</f>
        <v>0</v>
      </c>
      <c r="T910" s="368"/>
      <c r="U910" s="368"/>
      <c r="V910" s="368"/>
      <c r="W910" s="368"/>
      <c r="X910" s="364">
        <f t="shared" ref="X910" si="150">IF((S910=0),0,((T910+U910)/S910*100%))</f>
        <v>0</v>
      </c>
      <c r="Y910" s="393"/>
      <c r="Z910" s="498">
        <f t="shared" si="145"/>
        <v>0</v>
      </c>
      <c r="AA910" s="368"/>
      <c r="AB910" s="368"/>
      <c r="AC910" s="368"/>
      <c r="AD910" s="368"/>
      <c r="AE910" s="365">
        <f t="shared" si="146"/>
        <v>0</v>
      </c>
      <c r="AF910" s="262"/>
      <c r="AG910" s="457"/>
      <c r="AH910" s="264"/>
    </row>
    <row r="911" spans="1:34" ht="30.75" thickBot="1" x14ac:dyDescent="0.3">
      <c r="A911" s="474" t="s">
        <v>1947</v>
      </c>
      <c r="B911" s="447"/>
      <c r="C911" s="463" t="s">
        <v>655</v>
      </c>
      <c r="D911" s="449" t="s">
        <v>1856</v>
      </c>
      <c r="E911" s="262"/>
      <c r="F911" s="447" t="s">
        <v>1948</v>
      </c>
      <c r="G911" s="387" t="e">
        <f>VLOOKUP(A911,'Feature Summary'!$A$7:$C$3944,3,FALSE)</f>
        <v>#N/A</v>
      </c>
      <c r="H911" s="447" t="s">
        <v>1949</v>
      </c>
      <c r="I911" s="488" t="s">
        <v>264</v>
      </c>
      <c r="J911" s="448" t="s">
        <v>1224</v>
      </c>
      <c r="K911" s="263">
        <v>1</v>
      </c>
      <c r="L911" s="391">
        <v>1</v>
      </c>
      <c r="M911" s="399" t="s">
        <v>33</v>
      </c>
      <c r="N911" s="475">
        <v>1</v>
      </c>
      <c r="O911" s="391">
        <v>1</v>
      </c>
      <c r="P911" s="496">
        <f t="shared" si="147"/>
        <v>1</v>
      </c>
      <c r="Q911" s="445" t="s">
        <v>52</v>
      </c>
      <c r="R911" s="391">
        <v>1</v>
      </c>
      <c r="S911" s="362">
        <f t="shared" si="135"/>
        <v>1</v>
      </c>
      <c r="T911" s="368">
        <v>1</v>
      </c>
      <c r="U911" s="368"/>
      <c r="V911" s="368"/>
      <c r="W911" s="368"/>
      <c r="X911" s="364">
        <f t="shared" si="134"/>
        <v>1</v>
      </c>
      <c r="Y911" s="393"/>
      <c r="Z911" s="498">
        <f t="shared" si="145"/>
        <v>0</v>
      </c>
      <c r="AA911" s="368"/>
      <c r="AB911" s="368"/>
      <c r="AC911" s="368"/>
      <c r="AD911" s="368"/>
      <c r="AE911" s="365">
        <f t="shared" si="146"/>
        <v>0</v>
      </c>
      <c r="AF911" s="262"/>
      <c r="AG911" s="457"/>
      <c r="AH911" s="264"/>
    </row>
    <row r="912" spans="1:34" ht="45.75" thickBot="1" x14ac:dyDescent="0.3">
      <c r="A912" s="474" t="s">
        <v>1950</v>
      </c>
      <c r="B912" s="447"/>
      <c r="C912" s="463" t="s">
        <v>655</v>
      </c>
      <c r="D912" s="449" t="s">
        <v>1856</v>
      </c>
      <c r="E912" s="262"/>
      <c r="F912" s="447" t="s">
        <v>1951</v>
      </c>
      <c r="G912" s="387" t="e">
        <f>VLOOKUP(A912,'Feature Summary'!$A$7:$C$3944,3,FALSE)</f>
        <v>#N/A</v>
      </c>
      <c r="H912" s="447" t="s">
        <v>1952</v>
      </c>
      <c r="I912" s="488" t="s">
        <v>264</v>
      </c>
      <c r="J912" s="448" t="s">
        <v>1224</v>
      </c>
      <c r="K912" s="263">
        <v>1</v>
      </c>
      <c r="L912" s="391">
        <v>1</v>
      </c>
      <c r="M912" s="399" t="s">
        <v>33</v>
      </c>
      <c r="N912" s="475">
        <v>1</v>
      </c>
      <c r="O912" s="391">
        <v>1</v>
      </c>
      <c r="P912" s="496">
        <f t="shared" si="147"/>
        <v>1</v>
      </c>
      <c r="Q912" s="445" t="s">
        <v>52</v>
      </c>
      <c r="R912" s="391">
        <v>1</v>
      </c>
      <c r="S912" s="362">
        <f t="shared" si="135"/>
        <v>1</v>
      </c>
      <c r="T912" s="368">
        <v>1</v>
      </c>
      <c r="U912" s="368"/>
      <c r="V912" s="368"/>
      <c r="W912" s="368"/>
      <c r="X912" s="364">
        <f t="shared" si="134"/>
        <v>1</v>
      </c>
      <c r="Y912" s="393"/>
      <c r="Z912" s="498">
        <f t="shared" si="145"/>
        <v>0</v>
      </c>
      <c r="AA912" s="368"/>
      <c r="AB912" s="368"/>
      <c r="AC912" s="368"/>
      <c r="AD912" s="368"/>
      <c r="AE912" s="365">
        <f t="shared" si="146"/>
        <v>0</v>
      </c>
      <c r="AF912" s="262"/>
      <c r="AG912" s="457"/>
      <c r="AH912" s="264"/>
    </row>
    <row r="913" spans="1:34" ht="45.75" thickBot="1" x14ac:dyDescent="0.3">
      <c r="A913" s="474" t="s">
        <v>1953</v>
      </c>
      <c r="B913" s="447"/>
      <c r="C913" s="463" t="s">
        <v>655</v>
      </c>
      <c r="D913" s="449" t="s">
        <v>1856</v>
      </c>
      <c r="E913" s="262"/>
      <c r="F913" s="447" t="s">
        <v>1954</v>
      </c>
      <c r="G913" s="387" t="e">
        <f>VLOOKUP(A913,'Feature Summary'!$A$7:$C$3944,3,FALSE)</f>
        <v>#N/A</v>
      </c>
      <c r="H913" s="447" t="s">
        <v>1955</v>
      </c>
      <c r="I913" s="488" t="s">
        <v>264</v>
      </c>
      <c r="J913" s="448" t="s">
        <v>1224</v>
      </c>
      <c r="K913" s="263">
        <v>1</v>
      </c>
      <c r="L913" s="391">
        <v>2</v>
      </c>
      <c r="M913" s="399" t="s">
        <v>33</v>
      </c>
      <c r="N913" s="475">
        <v>1</v>
      </c>
      <c r="O913" s="391">
        <v>2</v>
      </c>
      <c r="P913" s="496">
        <f t="shared" si="147"/>
        <v>1</v>
      </c>
      <c r="Q913" s="445" t="s">
        <v>52</v>
      </c>
      <c r="R913" s="391">
        <v>2</v>
      </c>
      <c r="S913" s="362">
        <f t="shared" si="135"/>
        <v>2</v>
      </c>
      <c r="T913" s="368">
        <v>2</v>
      </c>
      <c r="U913" s="368"/>
      <c r="V913" s="368"/>
      <c r="W913" s="368"/>
      <c r="X913" s="364">
        <f t="shared" si="134"/>
        <v>1</v>
      </c>
      <c r="Y913" s="393"/>
      <c r="Z913" s="498">
        <f t="shared" si="145"/>
        <v>0</v>
      </c>
      <c r="AA913" s="368"/>
      <c r="AB913" s="368"/>
      <c r="AC913" s="368"/>
      <c r="AD913" s="368"/>
      <c r="AE913" s="365">
        <f t="shared" si="146"/>
        <v>0</v>
      </c>
      <c r="AF913" s="262"/>
      <c r="AG913" s="457"/>
      <c r="AH913" s="264"/>
    </row>
    <row r="914" spans="1:34" ht="45.75" thickBot="1" x14ac:dyDescent="0.3">
      <c r="A914" s="474" t="s">
        <v>1956</v>
      </c>
      <c r="B914" s="447"/>
      <c r="C914" s="463" t="s">
        <v>655</v>
      </c>
      <c r="D914" s="449" t="s">
        <v>1856</v>
      </c>
      <c r="E914" s="262"/>
      <c r="F914" s="447" t="s">
        <v>1957</v>
      </c>
      <c r="G914" s="387" t="e">
        <f>VLOOKUP(A914,'Feature Summary'!$A$7:$C$3944,3,FALSE)</f>
        <v>#N/A</v>
      </c>
      <c r="H914" s="447" t="s">
        <v>1958</v>
      </c>
      <c r="I914" s="488" t="s">
        <v>264</v>
      </c>
      <c r="J914" s="448" t="s">
        <v>1224</v>
      </c>
      <c r="K914" s="263">
        <v>1</v>
      </c>
      <c r="L914" s="391">
        <v>1</v>
      </c>
      <c r="M914" s="399" t="s">
        <v>33</v>
      </c>
      <c r="N914" s="475">
        <v>1</v>
      </c>
      <c r="O914" s="391">
        <v>1</v>
      </c>
      <c r="P914" s="496">
        <f t="shared" si="147"/>
        <v>1</v>
      </c>
      <c r="Q914" s="445" t="s">
        <v>52</v>
      </c>
      <c r="R914" s="391">
        <v>1</v>
      </c>
      <c r="S914" s="362">
        <f t="shared" si="135"/>
        <v>1</v>
      </c>
      <c r="T914" s="368">
        <v>1</v>
      </c>
      <c r="U914" s="368"/>
      <c r="V914" s="368"/>
      <c r="W914" s="368"/>
      <c r="X914" s="364">
        <f t="shared" si="134"/>
        <v>1</v>
      </c>
      <c r="Y914" s="393"/>
      <c r="Z914" s="498">
        <f t="shared" si="145"/>
        <v>0</v>
      </c>
      <c r="AA914" s="368"/>
      <c r="AB914" s="368"/>
      <c r="AC914" s="368"/>
      <c r="AD914" s="368"/>
      <c r="AE914" s="365">
        <f t="shared" si="146"/>
        <v>0</v>
      </c>
      <c r="AF914" s="262"/>
      <c r="AG914" s="457"/>
      <c r="AH914" s="264"/>
    </row>
    <row r="915" spans="1:34" ht="30.75" thickBot="1" x14ac:dyDescent="0.3">
      <c r="A915" s="474"/>
      <c r="B915" s="447"/>
      <c r="C915" s="463" t="s">
        <v>655</v>
      </c>
      <c r="D915" s="449" t="s">
        <v>1856</v>
      </c>
      <c r="E915" s="262"/>
      <c r="F915" s="447" t="s">
        <v>1957</v>
      </c>
      <c r="G915" s="387" t="e">
        <f>VLOOKUP(A915,'Feature Summary'!$A$7:$C$3944,3,FALSE)</f>
        <v>#N/A</v>
      </c>
      <c r="H915" s="447" t="s">
        <v>1958</v>
      </c>
      <c r="I915" s="488" t="s">
        <v>288</v>
      </c>
      <c r="J915" s="448" t="s">
        <v>1224</v>
      </c>
      <c r="K915" s="263"/>
      <c r="L915" s="391"/>
      <c r="M915" s="399" t="s">
        <v>33</v>
      </c>
      <c r="N915" s="475">
        <v>1</v>
      </c>
      <c r="O915" s="391"/>
      <c r="P915" s="496">
        <f t="shared" ref="P915" si="151">IF((O915=0),0,(O915/L915))</f>
        <v>0</v>
      </c>
      <c r="Q915" s="445" t="s">
        <v>52</v>
      </c>
      <c r="R915" s="391"/>
      <c r="S915" s="362">
        <f t="shared" ref="S915" si="152">SUM(T915:W915)</f>
        <v>0</v>
      </c>
      <c r="T915" s="368"/>
      <c r="U915" s="368"/>
      <c r="V915" s="368"/>
      <c r="W915" s="368"/>
      <c r="X915" s="364">
        <f t="shared" ref="X915" si="153">IF((S915=0),0,((T915+U915)/S915*100%))</f>
        <v>0</v>
      </c>
      <c r="Y915" s="393"/>
      <c r="Z915" s="498">
        <f t="shared" si="145"/>
        <v>0</v>
      </c>
      <c r="AA915" s="368"/>
      <c r="AB915" s="368"/>
      <c r="AC915" s="368"/>
      <c r="AD915" s="368"/>
      <c r="AE915" s="365">
        <f t="shared" si="146"/>
        <v>0</v>
      </c>
      <c r="AF915" s="262"/>
      <c r="AG915" s="457"/>
      <c r="AH915" s="264"/>
    </row>
    <row r="916" spans="1:34" ht="30.75" thickBot="1" x14ac:dyDescent="0.3">
      <c r="A916" s="474" t="s">
        <v>1959</v>
      </c>
      <c r="B916" s="447"/>
      <c r="C916" s="463" t="s">
        <v>655</v>
      </c>
      <c r="D916" s="449" t="s">
        <v>1856</v>
      </c>
      <c r="E916" s="262"/>
      <c r="F916" s="447" t="s">
        <v>1960</v>
      </c>
      <c r="G916" s="387" t="e">
        <f>VLOOKUP(A916,'Feature Summary'!$A$7:$C$3944,3,FALSE)</f>
        <v>#N/A</v>
      </c>
      <c r="H916" s="447" t="s">
        <v>1961</v>
      </c>
      <c r="I916" s="488" t="s">
        <v>264</v>
      </c>
      <c r="J916" s="448" t="s">
        <v>1224</v>
      </c>
      <c r="K916" s="263">
        <v>1</v>
      </c>
      <c r="L916" s="391">
        <v>1</v>
      </c>
      <c r="M916" s="399" t="s">
        <v>33</v>
      </c>
      <c r="N916" s="475">
        <v>1</v>
      </c>
      <c r="O916" s="391">
        <v>1</v>
      </c>
      <c r="P916" s="496">
        <f t="shared" si="147"/>
        <v>1</v>
      </c>
      <c r="Q916" s="445" t="s">
        <v>52</v>
      </c>
      <c r="R916" s="391">
        <v>1</v>
      </c>
      <c r="S916" s="362">
        <f t="shared" si="135"/>
        <v>1</v>
      </c>
      <c r="T916" s="368">
        <v>1</v>
      </c>
      <c r="U916" s="368"/>
      <c r="V916" s="368"/>
      <c r="W916" s="368"/>
      <c r="X916" s="364">
        <f t="shared" si="134"/>
        <v>1</v>
      </c>
      <c r="Y916" s="393"/>
      <c r="Z916" s="498">
        <f t="shared" si="145"/>
        <v>0</v>
      </c>
      <c r="AA916" s="368"/>
      <c r="AB916" s="368"/>
      <c r="AC916" s="368"/>
      <c r="AD916" s="368"/>
      <c r="AE916" s="365">
        <f t="shared" si="146"/>
        <v>0</v>
      </c>
      <c r="AF916" s="262"/>
      <c r="AG916" s="457"/>
      <c r="AH916" s="264"/>
    </row>
    <row r="917" spans="1:34" ht="15.75" thickBot="1" x14ac:dyDescent="0.3">
      <c r="A917" s="474"/>
      <c r="B917" s="447"/>
      <c r="C917" s="463" t="s">
        <v>655</v>
      </c>
      <c r="D917" s="449" t="s">
        <v>1856</v>
      </c>
      <c r="E917" s="262"/>
      <c r="F917" s="447" t="s">
        <v>1960</v>
      </c>
      <c r="G917" s="387" t="e">
        <f>VLOOKUP(A917,'Feature Summary'!$A$7:$C$3944,3,FALSE)</f>
        <v>#N/A</v>
      </c>
      <c r="H917" s="447" t="s">
        <v>1961</v>
      </c>
      <c r="I917" s="488" t="s">
        <v>288</v>
      </c>
      <c r="J917" s="448" t="s">
        <v>1224</v>
      </c>
      <c r="K917" s="263"/>
      <c r="L917" s="391"/>
      <c r="M917" s="399" t="s">
        <v>33</v>
      </c>
      <c r="N917" s="475">
        <v>1</v>
      </c>
      <c r="O917" s="391"/>
      <c r="P917" s="496">
        <f t="shared" ref="P917" si="154">IF((O917=0),0,(O917/L917))</f>
        <v>0</v>
      </c>
      <c r="Q917" s="445" t="s">
        <v>52</v>
      </c>
      <c r="R917" s="391"/>
      <c r="S917" s="362">
        <f t="shared" ref="S917" si="155">SUM(T917:W917)</f>
        <v>0</v>
      </c>
      <c r="T917" s="368"/>
      <c r="U917" s="368"/>
      <c r="V917" s="368"/>
      <c r="W917" s="368"/>
      <c r="X917" s="364">
        <f t="shared" ref="X917" si="156">IF((S917=0),0,((T917+U917)/S917*100%))</f>
        <v>0</v>
      </c>
      <c r="Y917" s="393"/>
      <c r="Z917" s="498">
        <f t="shared" si="145"/>
        <v>0</v>
      </c>
      <c r="AA917" s="368"/>
      <c r="AB917" s="368"/>
      <c r="AC917" s="368"/>
      <c r="AD917" s="368"/>
      <c r="AE917" s="365">
        <f t="shared" si="146"/>
        <v>0</v>
      </c>
      <c r="AF917" s="262"/>
      <c r="AG917" s="457"/>
      <c r="AH917" s="264"/>
    </row>
    <row r="918" spans="1:34" ht="30.75" thickBot="1" x14ac:dyDescent="0.3">
      <c r="A918" s="474" t="s">
        <v>1962</v>
      </c>
      <c r="B918" s="447"/>
      <c r="C918" s="463" t="s">
        <v>655</v>
      </c>
      <c r="D918" s="449" t="s">
        <v>1856</v>
      </c>
      <c r="E918" s="262"/>
      <c r="F918" s="447" t="s">
        <v>1963</v>
      </c>
      <c r="G918" s="387" t="e">
        <f>VLOOKUP(A918,'Feature Summary'!$A$7:$C$3944,3,FALSE)</f>
        <v>#N/A</v>
      </c>
      <c r="H918" s="447" t="s">
        <v>1964</v>
      </c>
      <c r="I918" s="488" t="s">
        <v>264</v>
      </c>
      <c r="J918" s="448" t="s">
        <v>1224</v>
      </c>
      <c r="K918" s="263">
        <v>1</v>
      </c>
      <c r="L918" s="391">
        <v>1</v>
      </c>
      <c r="M918" s="399" t="s">
        <v>33</v>
      </c>
      <c r="N918" s="475">
        <v>1</v>
      </c>
      <c r="O918" s="391">
        <v>1</v>
      </c>
      <c r="P918" s="496">
        <f t="shared" si="147"/>
        <v>1</v>
      </c>
      <c r="Q918" s="445" t="s">
        <v>52</v>
      </c>
      <c r="R918" s="391">
        <v>1</v>
      </c>
      <c r="S918" s="362">
        <f t="shared" si="135"/>
        <v>1</v>
      </c>
      <c r="T918" s="368">
        <v>1</v>
      </c>
      <c r="U918" s="368"/>
      <c r="V918" s="368"/>
      <c r="W918" s="368"/>
      <c r="X918" s="364">
        <f t="shared" si="134"/>
        <v>1</v>
      </c>
      <c r="Y918" s="393"/>
      <c r="Z918" s="498">
        <f t="shared" si="145"/>
        <v>0</v>
      </c>
      <c r="AA918" s="368"/>
      <c r="AB918" s="368"/>
      <c r="AC918" s="368"/>
      <c r="AD918" s="368"/>
      <c r="AE918" s="365">
        <f t="shared" si="146"/>
        <v>0</v>
      </c>
      <c r="AF918" s="262"/>
      <c r="AG918" s="457"/>
      <c r="AH918" s="264"/>
    </row>
    <row r="919" spans="1:34" ht="30.75" thickBot="1" x14ac:dyDescent="0.3">
      <c r="A919" s="474" t="s">
        <v>1965</v>
      </c>
      <c r="B919" s="447"/>
      <c r="C919" s="463" t="s">
        <v>655</v>
      </c>
      <c r="D919" s="449" t="s">
        <v>1856</v>
      </c>
      <c r="E919" s="262"/>
      <c r="F919" s="447" t="s">
        <v>1966</v>
      </c>
      <c r="G919" s="387" t="e">
        <f>VLOOKUP(A919,'Feature Summary'!$A$7:$C$3944,3,FALSE)</f>
        <v>#N/A</v>
      </c>
      <c r="H919" s="447" t="s">
        <v>1967</v>
      </c>
      <c r="I919" s="488" t="s">
        <v>264</v>
      </c>
      <c r="J919" s="448" t="s">
        <v>1224</v>
      </c>
      <c r="K919" s="263">
        <v>1</v>
      </c>
      <c r="L919" s="391">
        <v>1</v>
      </c>
      <c r="M919" s="399" t="s">
        <v>33</v>
      </c>
      <c r="N919" s="475">
        <v>1</v>
      </c>
      <c r="O919" s="391">
        <v>1</v>
      </c>
      <c r="P919" s="496">
        <f t="shared" si="147"/>
        <v>1</v>
      </c>
      <c r="Q919" s="445" t="s">
        <v>52</v>
      </c>
      <c r="R919" s="391">
        <v>1</v>
      </c>
      <c r="S919" s="362">
        <f t="shared" si="135"/>
        <v>1</v>
      </c>
      <c r="T919" s="368">
        <v>1</v>
      </c>
      <c r="U919" s="368"/>
      <c r="V919" s="368"/>
      <c r="W919" s="368"/>
      <c r="X919" s="364">
        <f t="shared" si="134"/>
        <v>1</v>
      </c>
      <c r="Y919" s="393"/>
      <c r="Z919" s="498">
        <f t="shared" si="145"/>
        <v>0</v>
      </c>
      <c r="AA919" s="368"/>
      <c r="AB919" s="368"/>
      <c r="AC919" s="368"/>
      <c r="AD919" s="368"/>
      <c r="AE919" s="365">
        <f t="shared" si="146"/>
        <v>0</v>
      </c>
      <c r="AF919" s="262"/>
      <c r="AG919" s="457"/>
      <c r="AH919" s="264"/>
    </row>
    <row r="920" spans="1:34" ht="30.75" thickBot="1" x14ac:dyDescent="0.3">
      <c r="A920" s="474"/>
      <c r="B920" s="447" t="s">
        <v>1944</v>
      </c>
      <c r="C920" s="463" t="s">
        <v>44</v>
      </c>
      <c r="D920" s="449" t="s">
        <v>431</v>
      </c>
      <c r="E920" s="262"/>
      <c r="F920" s="447" t="s">
        <v>1945</v>
      </c>
      <c r="G920" s="387" t="e">
        <f>VLOOKUP(A920,'Feature Summary'!$A$7:$C$3944,3,FALSE)</f>
        <v>#N/A</v>
      </c>
      <c r="H920" s="447" t="s">
        <v>1968</v>
      </c>
      <c r="I920" s="447"/>
      <c r="J920" s="448" t="s">
        <v>1722</v>
      </c>
      <c r="K920" s="263"/>
      <c r="L920" s="391"/>
      <c r="M920" s="399" t="s">
        <v>33</v>
      </c>
      <c r="N920" s="475">
        <v>1</v>
      </c>
      <c r="O920" s="391"/>
      <c r="P920" s="496">
        <f t="shared" si="147"/>
        <v>0</v>
      </c>
      <c r="Q920" s="445" t="s">
        <v>52</v>
      </c>
      <c r="R920" s="391"/>
      <c r="S920" s="362">
        <f t="shared" si="135"/>
        <v>0</v>
      </c>
      <c r="T920" s="368"/>
      <c r="U920" s="368"/>
      <c r="V920" s="368"/>
      <c r="W920" s="368"/>
      <c r="X920" s="364">
        <f t="shared" si="134"/>
        <v>0</v>
      </c>
      <c r="Y920" s="393"/>
      <c r="Z920" s="498">
        <f t="shared" si="145"/>
        <v>0</v>
      </c>
      <c r="AA920" s="368"/>
      <c r="AB920" s="368"/>
      <c r="AC920" s="368"/>
      <c r="AD920" s="368"/>
      <c r="AE920" s="365">
        <f t="shared" si="146"/>
        <v>0</v>
      </c>
      <c r="AF920" s="262"/>
      <c r="AG920" s="457"/>
      <c r="AH920" s="264"/>
    </row>
    <row r="921" spans="1:34" ht="30.75" thickBot="1" x14ac:dyDescent="0.3">
      <c r="A921" s="474"/>
      <c r="B921" s="447"/>
      <c r="C921" s="463" t="s">
        <v>44</v>
      </c>
      <c r="D921" s="449" t="s">
        <v>431</v>
      </c>
      <c r="E921" s="262"/>
      <c r="F921" s="447" t="s">
        <v>1957</v>
      </c>
      <c r="G921" s="387" t="e">
        <f>VLOOKUP(A921,'Feature Summary'!$A$7:$C$3944,3,FALSE)</f>
        <v>#N/A</v>
      </c>
      <c r="H921" s="447" t="s">
        <v>1969</v>
      </c>
      <c r="I921" s="447"/>
      <c r="J921" s="448" t="s">
        <v>1722</v>
      </c>
      <c r="K921" s="263"/>
      <c r="L921" s="391"/>
      <c r="M921" s="399" t="s">
        <v>33</v>
      </c>
      <c r="N921" s="475">
        <v>1</v>
      </c>
      <c r="O921" s="391"/>
      <c r="P921" s="496">
        <f t="shared" si="147"/>
        <v>0</v>
      </c>
      <c r="Q921" s="445" t="s">
        <v>52</v>
      </c>
      <c r="R921" s="391"/>
      <c r="S921" s="362">
        <f t="shared" si="135"/>
        <v>0</v>
      </c>
      <c r="T921" s="368"/>
      <c r="U921" s="368"/>
      <c r="V921" s="368"/>
      <c r="W921" s="368"/>
      <c r="X921" s="364">
        <f t="shared" si="134"/>
        <v>0</v>
      </c>
      <c r="Y921" s="393"/>
      <c r="Z921" s="498">
        <f t="shared" si="145"/>
        <v>0</v>
      </c>
      <c r="AA921" s="368"/>
      <c r="AB921" s="368"/>
      <c r="AC921" s="368"/>
      <c r="AD921" s="368"/>
      <c r="AE921" s="365">
        <f t="shared" si="146"/>
        <v>0</v>
      </c>
      <c r="AF921" s="262"/>
      <c r="AG921" s="457"/>
      <c r="AH921" s="264"/>
    </row>
    <row r="922" spans="1:34" ht="30.75" thickBot="1" x14ac:dyDescent="0.3">
      <c r="A922" s="474"/>
      <c r="B922" s="447"/>
      <c r="C922" s="463" t="s">
        <v>44</v>
      </c>
      <c r="D922" s="449" t="s">
        <v>431</v>
      </c>
      <c r="E922" s="262"/>
      <c r="F922" s="447" t="s">
        <v>1960</v>
      </c>
      <c r="G922" s="387" t="e">
        <f>VLOOKUP(A922,'Feature Summary'!$A$7:$C$3944,3,FALSE)</f>
        <v>#N/A</v>
      </c>
      <c r="H922" s="447" t="s">
        <v>1970</v>
      </c>
      <c r="I922" s="447"/>
      <c r="J922" s="448" t="s">
        <v>1722</v>
      </c>
      <c r="K922" s="263"/>
      <c r="L922" s="391"/>
      <c r="M922" s="399" t="s">
        <v>33</v>
      </c>
      <c r="N922" s="475">
        <v>1</v>
      </c>
      <c r="O922" s="391"/>
      <c r="P922" s="496">
        <f t="shared" si="147"/>
        <v>0</v>
      </c>
      <c r="Q922" s="445" t="s">
        <v>52</v>
      </c>
      <c r="R922" s="391"/>
      <c r="S922" s="362">
        <f t="shared" si="135"/>
        <v>0</v>
      </c>
      <c r="T922" s="368"/>
      <c r="U922" s="368"/>
      <c r="V922" s="368"/>
      <c r="W922" s="368"/>
      <c r="X922" s="364">
        <f t="shared" si="134"/>
        <v>0</v>
      </c>
      <c r="Y922" s="393"/>
      <c r="Z922" s="498">
        <f t="shared" si="145"/>
        <v>0</v>
      </c>
      <c r="AA922" s="368"/>
      <c r="AB922" s="368"/>
      <c r="AC922" s="368"/>
      <c r="AD922" s="368"/>
      <c r="AE922" s="365">
        <f t="shared" si="146"/>
        <v>0</v>
      </c>
      <c r="AF922" s="262"/>
      <c r="AG922" s="457"/>
      <c r="AH922" s="264"/>
    </row>
    <row r="923" spans="1:34" ht="30.75" thickBot="1" x14ac:dyDescent="0.3">
      <c r="A923" s="474"/>
      <c r="B923" s="447"/>
      <c r="C923" s="463" t="s">
        <v>44</v>
      </c>
      <c r="D923" s="449" t="s">
        <v>431</v>
      </c>
      <c r="E923" s="262"/>
      <c r="F923" s="447" t="s">
        <v>1966</v>
      </c>
      <c r="G923" s="387" t="e">
        <f>VLOOKUP(A923,'Feature Summary'!$A$7:$C$3944,3,FALSE)</f>
        <v>#N/A</v>
      </c>
      <c r="H923" s="447" t="s">
        <v>1971</v>
      </c>
      <c r="I923" s="447"/>
      <c r="J923" s="448" t="s">
        <v>1722</v>
      </c>
      <c r="K923" s="263"/>
      <c r="L923" s="391"/>
      <c r="M923" s="399" t="s">
        <v>33</v>
      </c>
      <c r="N923" s="475">
        <v>1</v>
      </c>
      <c r="O923" s="391"/>
      <c r="P923" s="496">
        <f t="shared" si="147"/>
        <v>0</v>
      </c>
      <c r="Q923" s="445" t="s">
        <v>52</v>
      </c>
      <c r="R923" s="391"/>
      <c r="S923" s="362">
        <f t="shared" si="135"/>
        <v>0</v>
      </c>
      <c r="T923" s="368"/>
      <c r="U923" s="368"/>
      <c r="V923" s="368"/>
      <c r="W923" s="368"/>
      <c r="X923" s="364">
        <f t="shared" si="134"/>
        <v>0</v>
      </c>
      <c r="Y923" s="393"/>
      <c r="Z923" s="498">
        <f t="shared" si="145"/>
        <v>0</v>
      </c>
      <c r="AA923" s="368"/>
      <c r="AB923" s="368"/>
      <c r="AC923" s="368"/>
      <c r="AD923" s="368"/>
      <c r="AE923" s="365">
        <f t="shared" si="146"/>
        <v>0</v>
      </c>
      <c r="AF923" s="262"/>
      <c r="AG923" s="457"/>
      <c r="AH923" s="264"/>
    </row>
    <row r="924" spans="1:34" ht="30.75" thickBot="1" x14ac:dyDescent="0.3">
      <c r="A924" s="474"/>
      <c r="B924" s="447"/>
      <c r="C924" s="463" t="s">
        <v>655</v>
      </c>
      <c r="D924" s="449" t="s">
        <v>1856</v>
      </c>
      <c r="E924" s="262"/>
      <c r="F924" s="447" t="s">
        <v>1966</v>
      </c>
      <c r="G924" s="387" t="e">
        <f>VLOOKUP(A924,'Feature Summary'!$A$7:$C$3944,3,FALSE)</f>
        <v>#N/A</v>
      </c>
      <c r="H924" s="447" t="s">
        <v>1967</v>
      </c>
      <c r="I924" s="488" t="s">
        <v>288</v>
      </c>
      <c r="J924" s="448" t="s">
        <v>1224</v>
      </c>
      <c r="K924" s="263"/>
      <c r="L924" s="391"/>
      <c r="M924" s="399" t="s">
        <v>33</v>
      </c>
      <c r="N924" s="475">
        <v>1</v>
      </c>
      <c r="O924" s="391"/>
      <c r="P924" s="496">
        <f t="shared" ref="P924" si="157">IF((O924=0),0,(O924/L924))</f>
        <v>0</v>
      </c>
      <c r="Q924" s="445" t="s">
        <v>52</v>
      </c>
      <c r="R924" s="391"/>
      <c r="S924" s="362">
        <f t="shared" ref="S924" si="158">SUM(T924:W924)</f>
        <v>0</v>
      </c>
      <c r="T924" s="368"/>
      <c r="U924" s="368"/>
      <c r="V924" s="368"/>
      <c r="W924" s="368"/>
      <c r="X924" s="364">
        <f t="shared" ref="X924" si="159">IF((S924=0),0,((T924+U924)/S924*100%))</f>
        <v>0</v>
      </c>
      <c r="Y924" s="393"/>
      <c r="Z924" s="498">
        <f t="shared" si="145"/>
        <v>0</v>
      </c>
      <c r="AA924" s="368"/>
      <c r="AB924" s="368"/>
      <c r="AC924" s="368"/>
      <c r="AD924" s="368"/>
      <c r="AE924" s="365">
        <f t="shared" si="146"/>
        <v>0</v>
      </c>
      <c r="AF924" s="262"/>
      <c r="AG924" s="457"/>
      <c r="AH924" s="264"/>
    </row>
    <row r="925" spans="1:34" ht="30.75" thickBot="1" x14ac:dyDescent="0.3">
      <c r="A925" s="474" t="s">
        <v>1972</v>
      </c>
      <c r="B925" s="447"/>
      <c r="C925" s="463" t="s">
        <v>651</v>
      </c>
      <c r="D925" s="449" t="s">
        <v>1856</v>
      </c>
      <c r="E925" s="262"/>
      <c r="F925" s="447" t="s">
        <v>1973</v>
      </c>
      <c r="G925" s="387" t="e">
        <f>VLOOKUP(A925,'Feature Summary'!$A$7:$C$3944,3,FALSE)</f>
        <v>#N/A</v>
      </c>
      <c r="H925" s="447" t="s">
        <v>1974</v>
      </c>
      <c r="I925" s="488" t="s">
        <v>264</v>
      </c>
      <c r="J925" s="448" t="s">
        <v>1873</v>
      </c>
      <c r="K925" s="263">
        <v>1</v>
      </c>
      <c r="L925" s="391">
        <v>1</v>
      </c>
      <c r="M925" s="399" t="s">
        <v>33</v>
      </c>
      <c r="N925" s="475">
        <v>1</v>
      </c>
      <c r="O925" s="391">
        <v>1</v>
      </c>
      <c r="P925" s="496">
        <f t="shared" si="147"/>
        <v>1</v>
      </c>
      <c r="Q925" s="445" t="s">
        <v>52</v>
      </c>
      <c r="R925" s="391">
        <v>1</v>
      </c>
      <c r="S925" s="362">
        <f t="shared" si="135"/>
        <v>1</v>
      </c>
      <c r="T925" s="368">
        <v>1</v>
      </c>
      <c r="U925" s="368"/>
      <c r="V925" s="368"/>
      <c r="W925" s="368"/>
      <c r="X925" s="364">
        <f t="shared" si="134"/>
        <v>1</v>
      </c>
      <c r="Y925" s="393"/>
      <c r="Z925" s="498">
        <f t="shared" si="145"/>
        <v>0</v>
      </c>
      <c r="AA925" s="368"/>
      <c r="AB925" s="368"/>
      <c r="AC925" s="368"/>
      <c r="AD925" s="368"/>
      <c r="AE925" s="365">
        <f t="shared" si="146"/>
        <v>0</v>
      </c>
      <c r="AF925" s="558"/>
      <c r="AG925" s="457"/>
      <c r="AH925" s="264"/>
    </row>
    <row r="926" spans="1:34" ht="30.75" thickBot="1" x14ac:dyDescent="0.3">
      <c r="A926" s="474" t="s">
        <v>1972</v>
      </c>
      <c r="B926" s="447"/>
      <c r="C926" s="485" t="s">
        <v>651</v>
      </c>
      <c r="D926" s="449" t="s">
        <v>1856</v>
      </c>
      <c r="E926" s="262"/>
      <c r="F926" s="447" t="s">
        <v>1975</v>
      </c>
      <c r="G926" s="387" t="e">
        <f>VLOOKUP(A926,'Feature Summary'!$A$7:$C$3944,3,FALSE)</f>
        <v>#N/A</v>
      </c>
      <c r="H926" s="447" t="s">
        <v>1976</v>
      </c>
      <c r="I926" s="488" t="s">
        <v>264</v>
      </c>
      <c r="J926" s="448" t="s">
        <v>1873</v>
      </c>
      <c r="K926" s="263">
        <v>1</v>
      </c>
      <c r="L926" s="391">
        <v>1</v>
      </c>
      <c r="M926" s="399" t="s">
        <v>33</v>
      </c>
      <c r="N926" s="475">
        <v>1</v>
      </c>
      <c r="O926" s="391">
        <v>1</v>
      </c>
      <c r="P926" s="496">
        <f t="shared" si="147"/>
        <v>1</v>
      </c>
      <c r="Q926" s="445" t="s">
        <v>52</v>
      </c>
      <c r="R926" s="391">
        <v>1</v>
      </c>
      <c r="S926" s="362">
        <f t="shared" si="135"/>
        <v>1</v>
      </c>
      <c r="T926" s="368">
        <v>1</v>
      </c>
      <c r="U926" s="368"/>
      <c r="V926" s="368"/>
      <c r="W926" s="368"/>
      <c r="X926" s="364">
        <f t="shared" si="134"/>
        <v>1</v>
      </c>
      <c r="Y926" s="393"/>
      <c r="Z926" s="498">
        <f t="shared" si="145"/>
        <v>0</v>
      </c>
      <c r="AA926" s="368"/>
      <c r="AB926" s="368"/>
      <c r="AC926" s="368"/>
      <c r="AD926" s="368"/>
      <c r="AE926" s="365">
        <f t="shared" si="146"/>
        <v>0</v>
      </c>
      <c r="AF926" s="558"/>
      <c r="AG926" s="457"/>
      <c r="AH926" s="264"/>
    </row>
    <row r="927" spans="1:34" ht="30.75" thickBot="1" x14ac:dyDescent="0.3">
      <c r="A927" s="474" t="s">
        <v>1972</v>
      </c>
      <c r="B927" s="447"/>
      <c r="C927" s="463" t="s">
        <v>651</v>
      </c>
      <c r="D927" s="449" t="s">
        <v>1856</v>
      </c>
      <c r="E927" s="262"/>
      <c r="F927" s="447" t="s">
        <v>1977</v>
      </c>
      <c r="G927" s="387" t="e">
        <f>VLOOKUP(A927,'Feature Summary'!$A$7:$C$3944,3,FALSE)</f>
        <v>#N/A</v>
      </c>
      <c r="H927" s="447" t="s">
        <v>1978</v>
      </c>
      <c r="I927" s="488" t="s">
        <v>264</v>
      </c>
      <c r="J927" s="448" t="s">
        <v>1873</v>
      </c>
      <c r="K927" s="263">
        <v>1</v>
      </c>
      <c r="L927" s="391">
        <v>1</v>
      </c>
      <c r="M927" s="399" t="s">
        <v>33</v>
      </c>
      <c r="N927" s="475">
        <v>1</v>
      </c>
      <c r="O927" s="391">
        <v>1</v>
      </c>
      <c r="P927" s="496">
        <f t="shared" si="147"/>
        <v>1</v>
      </c>
      <c r="Q927" s="445" t="s">
        <v>52</v>
      </c>
      <c r="R927" s="391">
        <v>1</v>
      </c>
      <c r="S927" s="362">
        <f t="shared" si="135"/>
        <v>1</v>
      </c>
      <c r="T927" s="368">
        <v>1</v>
      </c>
      <c r="U927" s="368"/>
      <c r="V927" s="368"/>
      <c r="W927" s="368"/>
      <c r="X927" s="364">
        <f t="shared" si="134"/>
        <v>1</v>
      </c>
      <c r="Y927" s="393"/>
      <c r="Z927" s="498">
        <f t="shared" si="145"/>
        <v>0</v>
      </c>
      <c r="AA927" s="368"/>
      <c r="AB927" s="368"/>
      <c r="AC927" s="368"/>
      <c r="AD927" s="368"/>
      <c r="AE927" s="365">
        <f t="shared" si="146"/>
        <v>0</v>
      </c>
      <c r="AF927" s="558"/>
      <c r="AG927" s="457"/>
      <c r="AH927" s="264"/>
    </row>
    <row r="928" spans="1:34" ht="30.75" thickBot="1" x14ac:dyDescent="0.3">
      <c r="A928" s="474" t="s">
        <v>1972</v>
      </c>
      <c r="B928" s="447"/>
      <c r="C928" s="463" t="s">
        <v>651</v>
      </c>
      <c r="D928" s="449" t="s">
        <v>1856</v>
      </c>
      <c r="E928" s="262"/>
      <c r="F928" s="447" t="s">
        <v>1979</v>
      </c>
      <c r="G928" s="387" t="e">
        <f>VLOOKUP(A928,'Feature Summary'!$A$7:$C$3944,3,FALSE)</f>
        <v>#N/A</v>
      </c>
      <c r="H928" s="447" t="s">
        <v>1980</v>
      </c>
      <c r="I928" s="488" t="s">
        <v>264</v>
      </c>
      <c r="J928" s="448" t="s">
        <v>1873</v>
      </c>
      <c r="K928" s="263">
        <v>1</v>
      </c>
      <c r="L928" s="391">
        <v>1</v>
      </c>
      <c r="M928" s="399" t="s">
        <v>33</v>
      </c>
      <c r="N928" s="475">
        <v>1</v>
      </c>
      <c r="O928" s="391">
        <v>1</v>
      </c>
      <c r="P928" s="496">
        <f t="shared" si="147"/>
        <v>1</v>
      </c>
      <c r="Q928" s="445" t="s">
        <v>52</v>
      </c>
      <c r="R928" s="391">
        <v>1</v>
      </c>
      <c r="S928" s="362">
        <f t="shared" si="135"/>
        <v>1</v>
      </c>
      <c r="T928" s="368">
        <v>1</v>
      </c>
      <c r="U928" s="368"/>
      <c r="V928" s="368"/>
      <c r="W928" s="368"/>
      <c r="X928" s="364">
        <f t="shared" si="134"/>
        <v>1</v>
      </c>
      <c r="Y928" s="393"/>
      <c r="Z928" s="498">
        <f t="shared" si="145"/>
        <v>0</v>
      </c>
      <c r="AA928" s="368"/>
      <c r="AB928" s="368"/>
      <c r="AC928" s="368"/>
      <c r="AD928" s="368"/>
      <c r="AE928" s="365">
        <f t="shared" si="146"/>
        <v>0</v>
      </c>
      <c r="AF928" s="558"/>
      <c r="AG928" s="457"/>
      <c r="AH928" s="264"/>
    </row>
    <row r="929" spans="1:34" ht="15.75" thickBot="1" x14ac:dyDescent="0.3">
      <c r="A929" s="474"/>
      <c r="B929" s="447"/>
      <c r="C929" s="463" t="s">
        <v>655</v>
      </c>
      <c r="D929" s="449" t="s">
        <v>1856</v>
      </c>
      <c r="E929" s="262"/>
      <c r="F929" s="447" t="s">
        <v>1981</v>
      </c>
      <c r="G929" s="387" t="e">
        <f>VLOOKUP(A929,'Feature Summary'!$A$7:$C$3944,3,FALSE)</f>
        <v>#N/A</v>
      </c>
      <c r="H929" s="447" t="s">
        <v>1982</v>
      </c>
      <c r="I929" s="488" t="s">
        <v>264</v>
      </c>
      <c r="J929" s="448" t="s">
        <v>1873</v>
      </c>
      <c r="K929" s="263">
        <v>1</v>
      </c>
      <c r="L929" s="391">
        <v>8</v>
      </c>
      <c r="M929" s="399" t="s">
        <v>33</v>
      </c>
      <c r="N929" s="475">
        <v>1</v>
      </c>
      <c r="O929" s="391">
        <v>0</v>
      </c>
      <c r="P929" s="496">
        <f t="shared" si="147"/>
        <v>0</v>
      </c>
      <c r="Q929" s="445" t="s">
        <v>52</v>
      </c>
      <c r="R929" s="391">
        <v>8</v>
      </c>
      <c r="S929" s="362">
        <f t="shared" si="135"/>
        <v>8</v>
      </c>
      <c r="T929" s="368">
        <v>8</v>
      </c>
      <c r="U929" s="368"/>
      <c r="V929" s="368"/>
      <c r="W929" s="368"/>
      <c r="X929" s="364">
        <f t="shared" si="134"/>
        <v>1</v>
      </c>
      <c r="Y929" s="393"/>
      <c r="Z929" s="498">
        <f t="shared" si="145"/>
        <v>0</v>
      </c>
      <c r="AA929" s="368"/>
      <c r="AB929" s="368"/>
      <c r="AC929" s="368"/>
      <c r="AD929" s="368"/>
      <c r="AE929" s="365">
        <f t="shared" si="146"/>
        <v>0</v>
      </c>
      <c r="AF929" s="262"/>
      <c r="AG929" s="457"/>
      <c r="AH929" s="264"/>
    </row>
    <row r="930" spans="1:34" ht="30.75" thickBot="1" x14ac:dyDescent="0.3">
      <c r="A930" s="474"/>
      <c r="B930" s="447"/>
      <c r="C930" s="463" t="s">
        <v>44</v>
      </c>
      <c r="D930" s="449" t="s">
        <v>431</v>
      </c>
      <c r="E930" s="262"/>
      <c r="F930" s="447" t="s">
        <v>1981</v>
      </c>
      <c r="G930" s="387" t="e">
        <f>VLOOKUP(A930,'Feature Summary'!$A$7:$C$3944,3,FALSE)</f>
        <v>#N/A</v>
      </c>
      <c r="H930" s="447" t="s">
        <v>1983</v>
      </c>
      <c r="I930" s="447"/>
      <c r="J930" s="448" t="s">
        <v>1984</v>
      </c>
      <c r="K930" s="263"/>
      <c r="L930" s="391"/>
      <c r="M930" s="399" t="s">
        <v>33</v>
      </c>
      <c r="N930" s="475">
        <v>1</v>
      </c>
      <c r="O930" s="391"/>
      <c r="P930" s="496">
        <f t="shared" si="147"/>
        <v>0</v>
      </c>
      <c r="Q930" s="445" t="s">
        <v>52</v>
      </c>
      <c r="R930" s="391"/>
      <c r="S930" s="362">
        <f t="shared" si="135"/>
        <v>0</v>
      </c>
      <c r="T930" s="368"/>
      <c r="U930" s="368"/>
      <c r="V930" s="368"/>
      <c r="W930" s="368"/>
      <c r="X930" s="364">
        <f t="shared" si="134"/>
        <v>0</v>
      </c>
      <c r="Y930" s="393"/>
      <c r="Z930" s="498">
        <f t="shared" si="145"/>
        <v>0</v>
      </c>
      <c r="AA930" s="368"/>
      <c r="AB930" s="368"/>
      <c r="AC930" s="368"/>
      <c r="AD930" s="368"/>
      <c r="AE930" s="365">
        <f t="shared" si="146"/>
        <v>0</v>
      </c>
      <c r="AF930" s="262"/>
      <c r="AG930" s="457"/>
      <c r="AH930" s="264"/>
    </row>
    <row r="931" spans="1:34" ht="15.75" thickBot="1" x14ac:dyDescent="0.3">
      <c r="A931" s="474"/>
      <c r="B931" s="447"/>
      <c r="C931" s="463" t="s">
        <v>655</v>
      </c>
      <c r="D931" s="449" t="s">
        <v>1856</v>
      </c>
      <c r="E931" s="262"/>
      <c r="F931" s="447" t="s">
        <v>1981</v>
      </c>
      <c r="G931" s="387" t="e">
        <f>VLOOKUP(A931,'Feature Summary'!$A$7:$C$3944,3,FALSE)</f>
        <v>#N/A</v>
      </c>
      <c r="H931" s="447" t="s">
        <v>1985</v>
      </c>
      <c r="I931" s="488" t="s">
        <v>288</v>
      </c>
      <c r="J931" s="448" t="s">
        <v>1873</v>
      </c>
      <c r="K931" s="263">
        <v>2</v>
      </c>
      <c r="L931" s="391">
        <v>1</v>
      </c>
      <c r="M931" s="399" t="s">
        <v>33</v>
      </c>
      <c r="N931" s="475">
        <v>1</v>
      </c>
      <c r="O931" s="391">
        <v>0.5</v>
      </c>
      <c r="P931" s="496">
        <f t="shared" ref="P931" si="160">IF((O931=0),0,(O931/L931))</f>
        <v>0.5</v>
      </c>
      <c r="Q931" s="445" t="s">
        <v>45</v>
      </c>
      <c r="R931" s="391">
        <v>1</v>
      </c>
      <c r="S931" s="362">
        <f t="shared" ref="S931" si="161">SUM(T931:W931)</f>
        <v>1</v>
      </c>
      <c r="T931" s="368">
        <v>1</v>
      </c>
      <c r="U931" s="368"/>
      <c r="V931" s="368"/>
      <c r="W931" s="368"/>
      <c r="X931" s="364">
        <f t="shared" ref="X931" si="162">IF((S931=0),0,((T931+U931)/S931*100%))</f>
        <v>1</v>
      </c>
      <c r="Y931" s="393"/>
      <c r="Z931" s="498">
        <f t="shared" si="145"/>
        <v>0</v>
      </c>
      <c r="AA931" s="368"/>
      <c r="AB931" s="368"/>
      <c r="AC931" s="368"/>
      <c r="AD931" s="368"/>
      <c r="AE931" s="365">
        <f t="shared" si="146"/>
        <v>0</v>
      </c>
      <c r="AF931" s="262"/>
      <c r="AG931" s="457"/>
      <c r="AH931" s="264"/>
    </row>
    <row r="932" spans="1:34" ht="15.75" thickBot="1" x14ac:dyDescent="0.3">
      <c r="A932" s="474"/>
      <c r="B932" s="447"/>
      <c r="C932" s="463" t="s">
        <v>655</v>
      </c>
      <c r="D932" s="449" t="s">
        <v>1856</v>
      </c>
      <c r="E932" s="262"/>
      <c r="F932" s="447" t="s">
        <v>1986</v>
      </c>
      <c r="G932" s="387" t="e">
        <f>VLOOKUP(A932,'Feature Summary'!$A$7:$C$3944,3,FALSE)</f>
        <v>#N/A</v>
      </c>
      <c r="H932" s="447" t="s">
        <v>1987</v>
      </c>
      <c r="I932" s="488" t="s">
        <v>264</v>
      </c>
      <c r="J932" s="448" t="s">
        <v>1873</v>
      </c>
      <c r="K932" s="263">
        <v>1</v>
      </c>
      <c r="L932" s="391">
        <v>1</v>
      </c>
      <c r="M932" s="399" t="s">
        <v>33</v>
      </c>
      <c r="N932" s="475">
        <v>1</v>
      </c>
      <c r="O932" s="391">
        <v>1</v>
      </c>
      <c r="P932" s="496">
        <f t="shared" si="147"/>
        <v>1</v>
      </c>
      <c r="Q932" s="445" t="s">
        <v>52</v>
      </c>
      <c r="R932" s="391">
        <v>1</v>
      </c>
      <c r="S932" s="362">
        <f t="shared" si="135"/>
        <v>1</v>
      </c>
      <c r="T932" s="368">
        <v>1</v>
      </c>
      <c r="U932" s="368"/>
      <c r="V932" s="368"/>
      <c r="W932" s="368"/>
      <c r="X932" s="364">
        <f t="shared" ref="X932:X997" si="163">IF((S932=0),0,((T932+U932)/S932*100%))</f>
        <v>1</v>
      </c>
      <c r="Y932" s="393"/>
      <c r="Z932" s="498">
        <f t="shared" si="145"/>
        <v>0</v>
      </c>
      <c r="AA932" s="368"/>
      <c r="AB932" s="368"/>
      <c r="AC932" s="368"/>
      <c r="AD932" s="368"/>
      <c r="AE932" s="365">
        <f t="shared" si="146"/>
        <v>0</v>
      </c>
      <c r="AF932" s="262"/>
      <c r="AG932" s="457"/>
      <c r="AH932" s="264"/>
    </row>
    <row r="933" spans="1:34" ht="45.75" thickBot="1" x14ac:dyDescent="0.3">
      <c r="A933" s="474" t="s">
        <v>1988</v>
      </c>
      <c r="B933" s="470" t="s">
        <v>306</v>
      </c>
      <c r="C933" s="463" t="s">
        <v>655</v>
      </c>
      <c r="D933" s="449" t="s">
        <v>431</v>
      </c>
      <c r="E933" s="262"/>
      <c r="F933" s="447" t="s">
        <v>1989</v>
      </c>
      <c r="G933" s="387" t="e">
        <f>VLOOKUP(A933,'Feature Summary'!$A$7:$C$3944,3,FALSE)</f>
        <v>#N/A</v>
      </c>
      <c r="H933" s="447" t="s">
        <v>1990</v>
      </c>
      <c r="I933" s="488" t="s">
        <v>264</v>
      </c>
      <c r="J933" s="448" t="s">
        <v>1873</v>
      </c>
      <c r="K933" s="263">
        <v>1</v>
      </c>
      <c r="L933" s="391">
        <v>2</v>
      </c>
      <c r="M933" s="399" t="s">
        <v>33</v>
      </c>
      <c r="N933" s="475">
        <v>1</v>
      </c>
      <c r="O933" s="391">
        <v>2</v>
      </c>
      <c r="P933" s="496">
        <f t="shared" si="147"/>
        <v>1</v>
      </c>
      <c r="Q933" s="445" t="s">
        <v>52</v>
      </c>
      <c r="R933" s="391">
        <v>2</v>
      </c>
      <c r="S933" s="362">
        <f t="shared" ref="S933:S998" si="164">SUM(T933:W933)</f>
        <v>2</v>
      </c>
      <c r="T933" s="368">
        <v>2</v>
      </c>
      <c r="U933" s="368"/>
      <c r="V933" s="368"/>
      <c r="W933" s="368"/>
      <c r="X933" s="364">
        <f t="shared" si="163"/>
        <v>1</v>
      </c>
      <c r="Y933" s="393"/>
      <c r="Z933" s="498">
        <f t="shared" si="145"/>
        <v>0</v>
      </c>
      <c r="AA933" s="368"/>
      <c r="AB933" s="368"/>
      <c r="AC933" s="368"/>
      <c r="AD933" s="368"/>
      <c r="AE933" s="365">
        <f t="shared" si="146"/>
        <v>0</v>
      </c>
      <c r="AF933" s="262"/>
      <c r="AG933" s="457"/>
      <c r="AH933" s="264"/>
    </row>
    <row r="934" spans="1:34" ht="45.75" thickBot="1" x14ac:dyDescent="0.3">
      <c r="A934" s="490" t="s">
        <v>1988</v>
      </c>
      <c r="B934" s="617" t="s">
        <v>306</v>
      </c>
      <c r="C934" s="486" t="s">
        <v>655</v>
      </c>
      <c r="D934" s="559" t="s">
        <v>431</v>
      </c>
      <c r="E934" s="560"/>
      <c r="F934" s="473" t="s">
        <v>1989</v>
      </c>
      <c r="G934" s="561" t="e">
        <f>VLOOKUP(A934,'Feature Summary'!$A$7:$C$3944,3,FALSE)</f>
        <v>#N/A</v>
      </c>
      <c r="H934" s="473" t="s">
        <v>1991</v>
      </c>
      <c r="I934" s="488" t="s">
        <v>264</v>
      </c>
      <c r="J934" s="483" t="s">
        <v>1873</v>
      </c>
      <c r="K934" s="563"/>
      <c r="L934" s="487"/>
      <c r="M934" s="484" t="s">
        <v>33</v>
      </c>
      <c r="N934" s="565">
        <v>1</v>
      </c>
      <c r="O934" s="487"/>
      <c r="P934" s="566">
        <f t="shared" ref="P934" si="165">IF((O934=0),0,(O934/L934))</f>
        <v>0</v>
      </c>
      <c r="Q934" s="613" t="s">
        <v>52</v>
      </c>
      <c r="R934" s="487"/>
      <c r="S934" s="618">
        <f t="shared" si="164"/>
        <v>0</v>
      </c>
      <c r="T934" s="568"/>
      <c r="U934" s="568"/>
      <c r="V934" s="568"/>
      <c r="W934" s="568"/>
      <c r="X934" s="619">
        <f t="shared" si="163"/>
        <v>0</v>
      </c>
      <c r="Y934" s="569"/>
      <c r="Z934" s="498">
        <f t="shared" si="145"/>
        <v>0</v>
      </c>
      <c r="AA934" s="568"/>
      <c r="AB934" s="568"/>
      <c r="AC934" s="568"/>
      <c r="AD934" s="568"/>
      <c r="AE934" s="365">
        <f t="shared" si="146"/>
        <v>0</v>
      </c>
      <c r="AF934" s="560"/>
      <c r="AG934" s="570"/>
      <c r="AH934" s="571"/>
    </row>
    <row r="935" spans="1:34" ht="45.75" thickBot="1" x14ac:dyDescent="0.3">
      <c r="A935" s="490" t="s">
        <v>1988</v>
      </c>
      <c r="B935" s="617" t="s">
        <v>306</v>
      </c>
      <c r="C935" s="486" t="s">
        <v>655</v>
      </c>
      <c r="D935" s="559" t="s">
        <v>431</v>
      </c>
      <c r="E935" s="560"/>
      <c r="F935" s="617" t="s">
        <v>1992</v>
      </c>
      <c r="G935" s="561" t="e">
        <f>VLOOKUP(A935,'Feature Summary'!$A$7:$C$3944,3,FALSE)</f>
        <v>#N/A</v>
      </c>
      <c r="H935" s="473" t="s">
        <v>1993</v>
      </c>
      <c r="I935" s="488" t="s">
        <v>264</v>
      </c>
      <c r="J935" s="483" t="s">
        <v>1873</v>
      </c>
      <c r="K935" s="563"/>
      <c r="L935" s="487"/>
      <c r="M935" s="484" t="s">
        <v>33</v>
      </c>
      <c r="N935" s="565">
        <v>1</v>
      </c>
      <c r="O935" s="487"/>
      <c r="P935" s="566">
        <f t="shared" si="147"/>
        <v>0</v>
      </c>
      <c r="Q935" s="613" t="s">
        <v>52</v>
      </c>
      <c r="R935" s="487"/>
      <c r="S935" s="618">
        <f t="shared" si="164"/>
        <v>0</v>
      </c>
      <c r="T935" s="568"/>
      <c r="U935" s="568"/>
      <c r="V935" s="568"/>
      <c r="W935" s="568"/>
      <c r="X935" s="619">
        <f t="shared" si="163"/>
        <v>0</v>
      </c>
      <c r="Y935" s="569"/>
      <c r="Z935" s="498">
        <f t="shared" si="145"/>
        <v>0</v>
      </c>
      <c r="AA935" s="568"/>
      <c r="AB935" s="568"/>
      <c r="AC935" s="568"/>
      <c r="AD935" s="568"/>
      <c r="AE935" s="365">
        <f t="shared" si="146"/>
        <v>0</v>
      </c>
      <c r="AF935" s="560"/>
      <c r="AG935" s="570"/>
      <c r="AH935" s="264"/>
    </row>
    <row r="936" spans="1:34" ht="45.75" thickBot="1" x14ac:dyDescent="0.3">
      <c r="A936" s="474" t="s">
        <v>1988</v>
      </c>
      <c r="B936" s="470" t="s">
        <v>306</v>
      </c>
      <c r="C936" s="463" t="s">
        <v>655</v>
      </c>
      <c r="D936" s="449" t="s">
        <v>431</v>
      </c>
      <c r="E936" s="262"/>
      <c r="F936" s="472" t="s">
        <v>1994</v>
      </c>
      <c r="G936" s="387" t="e">
        <f>VLOOKUP(A936,'Feature Summary'!$A$7:$C$3944,3,FALSE)</f>
        <v>#N/A</v>
      </c>
      <c r="H936" s="447" t="s">
        <v>1995</v>
      </c>
      <c r="I936" s="488" t="s">
        <v>264</v>
      </c>
      <c r="J936" s="448" t="s">
        <v>1873</v>
      </c>
      <c r="K936" s="263">
        <v>1</v>
      </c>
      <c r="L936" s="391">
        <v>2</v>
      </c>
      <c r="M936" s="399" t="s">
        <v>33</v>
      </c>
      <c r="N936" s="475">
        <v>1</v>
      </c>
      <c r="O936" s="391">
        <v>2</v>
      </c>
      <c r="P936" s="496">
        <f t="shared" si="147"/>
        <v>1</v>
      </c>
      <c r="Q936" s="445" t="s">
        <v>52</v>
      </c>
      <c r="R936" s="391">
        <v>2</v>
      </c>
      <c r="S936" s="362">
        <f t="shared" si="164"/>
        <v>2</v>
      </c>
      <c r="T936" s="368">
        <v>2</v>
      </c>
      <c r="U936" s="368"/>
      <c r="V936" s="368"/>
      <c r="W936" s="368"/>
      <c r="X936" s="364">
        <f t="shared" si="163"/>
        <v>1</v>
      </c>
      <c r="Y936" s="393"/>
      <c r="Z936" s="498">
        <f t="shared" si="145"/>
        <v>0</v>
      </c>
      <c r="AA936" s="368"/>
      <c r="AB936" s="368"/>
      <c r="AC936" s="368"/>
      <c r="AD936" s="368"/>
      <c r="AE936" s="365">
        <f t="shared" si="146"/>
        <v>0</v>
      </c>
      <c r="AF936" s="262"/>
      <c r="AG936" s="457"/>
      <c r="AH936" s="264"/>
    </row>
    <row r="937" spans="1:34" ht="75.75" thickBot="1" x14ac:dyDescent="0.3">
      <c r="A937" s="474" t="s">
        <v>1996</v>
      </c>
      <c r="B937" s="470" t="s">
        <v>306</v>
      </c>
      <c r="C937" s="463" t="s">
        <v>655</v>
      </c>
      <c r="D937" s="449" t="s">
        <v>431</v>
      </c>
      <c r="E937" s="262"/>
      <c r="F937" s="447" t="s">
        <v>1997</v>
      </c>
      <c r="G937" s="387" t="e">
        <f>VLOOKUP(A937,'Feature Summary'!$A$7:$C$3944,3,FALSE)</f>
        <v>#N/A</v>
      </c>
      <c r="H937" s="447" t="s">
        <v>1998</v>
      </c>
      <c r="I937" s="488" t="s">
        <v>264</v>
      </c>
      <c r="J937" s="448" t="s">
        <v>1873</v>
      </c>
      <c r="K937" s="263">
        <v>1</v>
      </c>
      <c r="L937" s="391">
        <v>1</v>
      </c>
      <c r="M937" s="399" t="s">
        <v>33</v>
      </c>
      <c r="N937" s="475">
        <v>1</v>
      </c>
      <c r="O937" s="391">
        <v>1</v>
      </c>
      <c r="P937" s="496">
        <f t="shared" si="147"/>
        <v>1</v>
      </c>
      <c r="Q937" s="445" t="s">
        <v>52</v>
      </c>
      <c r="R937" s="391">
        <v>1</v>
      </c>
      <c r="S937" s="362">
        <f t="shared" si="164"/>
        <v>1</v>
      </c>
      <c r="T937" s="368">
        <v>1</v>
      </c>
      <c r="U937" s="368"/>
      <c r="V937" s="368"/>
      <c r="W937" s="368"/>
      <c r="X937" s="364">
        <f t="shared" si="163"/>
        <v>1</v>
      </c>
      <c r="Y937" s="393"/>
      <c r="Z937" s="498">
        <f t="shared" si="145"/>
        <v>0</v>
      </c>
      <c r="AA937" s="368"/>
      <c r="AB937" s="368"/>
      <c r="AC937" s="368"/>
      <c r="AD937" s="368"/>
      <c r="AE937" s="365">
        <f t="shared" si="146"/>
        <v>0</v>
      </c>
      <c r="AF937" s="262"/>
      <c r="AG937" s="457"/>
      <c r="AH937" s="264"/>
    </row>
    <row r="938" spans="1:34" ht="75.75" thickBot="1" x14ac:dyDescent="0.3">
      <c r="A938" s="490" t="s">
        <v>1996</v>
      </c>
      <c r="B938" s="617" t="s">
        <v>306</v>
      </c>
      <c r="C938" s="486" t="s">
        <v>655</v>
      </c>
      <c r="D938" s="559" t="s">
        <v>431</v>
      </c>
      <c r="E938" s="560"/>
      <c r="F938" s="473" t="s">
        <v>1997</v>
      </c>
      <c r="G938" s="561" t="e">
        <f>VLOOKUP(A938,'Feature Summary'!$A$7:$C$3944,3,FALSE)</f>
        <v>#N/A</v>
      </c>
      <c r="H938" s="473" t="s">
        <v>1999</v>
      </c>
      <c r="I938" s="488" t="s">
        <v>264</v>
      </c>
      <c r="J938" s="483" t="s">
        <v>1873</v>
      </c>
      <c r="K938" s="563"/>
      <c r="L938" s="487"/>
      <c r="M938" s="484" t="s">
        <v>33</v>
      </c>
      <c r="N938" s="565">
        <v>1</v>
      </c>
      <c r="O938" s="487"/>
      <c r="P938" s="566">
        <f t="shared" ref="P938" si="166">IF((O938=0),0,(O938/L938))</f>
        <v>0</v>
      </c>
      <c r="Q938" s="613" t="s">
        <v>52</v>
      </c>
      <c r="R938" s="487"/>
      <c r="S938" s="618">
        <f t="shared" si="164"/>
        <v>0</v>
      </c>
      <c r="T938" s="568"/>
      <c r="U938" s="568"/>
      <c r="V938" s="568"/>
      <c r="W938" s="568"/>
      <c r="X938" s="619">
        <f t="shared" si="163"/>
        <v>0</v>
      </c>
      <c r="Y938" s="569"/>
      <c r="Z938" s="498">
        <f t="shared" si="145"/>
        <v>0</v>
      </c>
      <c r="AA938" s="568"/>
      <c r="AB938" s="568"/>
      <c r="AC938" s="568"/>
      <c r="AD938" s="568"/>
      <c r="AE938" s="365">
        <f t="shared" si="146"/>
        <v>0</v>
      </c>
      <c r="AF938" s="560"/>
      <c r="AG938" s="570"/>
      <c r="AH938" s="571"/>
    </row>
    <row r="939" spans="1:34" ht="75.75" thickBot="1" x14ac:dyDescent="0.3">
      <c r="A939" s="490" t="s">
        <v>1996</v>
      </c>
      <c r="B939" s="617" t="s">
        <v>306</v>
      </c>
      <c r="C939" s="486" t="s">
        <v>655</v>
      </c>
      <c r="D939" s="559" t="s">
        <v>431</v>
      </c>
      <c r="E939" s="560"/>
      <c r="F939" s="617" t="s">
        <v>2000</v>
      </c>
      <c r="G939" s="561" t="e">
        <f>VLOOKUP(A939,'Feature Summary'!$A$7:$C$3944,3,FALSE)</f>
        <v>#N/A</v>
      </c>
      <c r="H939" s="473" t="s">
        <v>2001</v>
      </c>
      <c r="I939" s="488" t="s">
        <v>264</v>
      </c>
      <c r="J939" s="483" t="s">
        <v>1873</v>
      </c>
      <c r="K939" s="563"/>
      <c r="L939" s="487"/>
      <c r="M939" s="484" t="s">
        <v>33</v>
      </c>
      <c r="N939" s="565">
        <v>1</v>
      </c>
      <c r="O939" s="487"/>
      <c r="P939" s="566">
        <f t="shared" si="147"/>
        <v>0</v>
      </c>
      <c r="Q939" s="613" t="s">
        <v>52</v>
      </c>
      <c r="R939" s="487"/>
      <c r="S939" s="618">
        <f t="shared" si="164"/>
        <v>0</v>
      </c>
      <c r="T939" s="568"/>
      <c r="U939" s="568"/>
      <c r="V939" s="568"/>
      <c r="W939" s="568"/>
      <c r="X939" s="619">
        <f t="shared" si="163"/>
        <v>0</v>
      </c>
      <c r="Y939" s="569"/>
      <c r="Z939" s="498">
        <f t="shared" si="145"/>
        <v>0</v>
      </c>
      <c r="AA939" s="568"/>
      <c r="AB939" s="568"/>
      <c r="AC939" s="568"/>
      <c r="AD939" s="568"/>
      <c r="AE939" s="365">
        <f t="shared" si="146"/>
        <v>0</v>
      </c>
      <c r="AF939" s="560"/>
      <c r="AG939" s="570"/>
      <c r="AH939" s="571"/>
    </row>
    <row r="940" spans="1:34" ht="75.75" thickBot="1" x14ac:dyDescent="0.3">
      <c r="A940" s="474" t="s">
        <v>1996</v>
      </c>
      <c r="B940" s="470" t="s">
        <v>306</v>
      </c>
      <c r="C940" s="463" t="s">
        <v>655</v>
      </c>
      <c r="D940" s="449" t="s">
        <v>431</v>
      </c>
      <c r="E940" s="262"/>
      <c r="F940" s="472" t="s">
        <v>2002</v>
      </c>
      <c r="G940" s="387" t="e">
        <f>VLOOKUP(A940,'Feature Summary'!$A$7:$C$3944,3,FALSE)</f>
        <v>#N/A</v>
      </c>
      <c r="H940" s="447" t="s">
        <v>2003</v>
      </c>
      <c r="I940" s="488" t="s">
        <v>264</v>
      </c>
      <c r="J940" s="448" t="s">
        <v>1873</v>
      </c>
      <c r="K940" s="263">
        <v>1</v>
      </c>
      <c r="L940" s="391">
        <v>1</v>
      </c>
      <c r="M940" s="399" t="s">
        <v>33</v>
      </c>
      <c r="N940" s="475">
        <v>1</v>
      </c>
      <c r="O940" s="391">
        <v>1</v>
      </c>
      <c r="P940" s="496">
        <f t="shared" si="147"/>
        <v>1</v>
      </c>
      <c r="Q940" s="445" t="s">
        <v>52</v>
      </c>
      <c r="R940" s="391">
        <v>1</v>
      </c>
      <c r="S940" s="362">
        <f t="shared" si="164"/>
        <v>1</v>
      </c>
      <c r="T940" s="368">
        <v>1</v>
      </c>
      <c r="U940" s="368"/>
      <c r="V940" s="368"/>
      <c r="W940" s="368"/>
      <c r="X940" s="364">
        <f t="shared" si="163"/>
        <v>1</v>
      </c>
      <c r="Y940" s="393"/>
      <c r="Z940" s="498">
        <f t="shared" si="145"/>
        <v>0</v>
      </c>
      <c r="AA940" s="368"/>
      <c r="AB940" s="368"/>
      <c r="AC940" s="368"/>
      <c r="AD940" s="368"/>
      <c r="AE940" s="365">
        <f t="shared" si="146"/>
        <v>0</v>
      </c>
      <c r="AF940" s="262"/>
      <c r="AG940" s="457"/>
      <c r="AH940" s="264"/>
    </row>
    <row r="941" spans="1:34" ht="45.75" thickBot="1" x14ac:dyDescent="0.3">
      <c r="A941" s="474" t="s">
        <v>1988</v>
      </c>
      <c r="B941" s="470" t="s">
        <v>306</v>
      </c>
      <c r="C941" s="463" t="s">
        <v>655</v>
      </c>
      <c r="D941" s="449" t="s">
        <v>431</v>
      </c>
      <c r="E941" s="262"/>
      <c r="F941" s="447" t="s">
        <v>2004</v>
      </c>
      <c r="G941" s="387" t="e">
        <f>VLOOKUP(A941,'Feature Summary'!$A$7:$C$3944,3,FALSE)</f>
        <v>#N/A</v>
      </c>
      <c r="H941" s="447" t="s">
        <v>2005</v>
      </c>
      <c r="I941" s="488" t="s">
        <v>264</v>
      </c>
      <c r="J941" s="448" t="s">
        <v>1873</v>
      </c>
      <c r="K941" s="263">
        <v>1</v>
      </c>
      <c r="L941" s="391">
        <v>1</v>
      </c>
      <c r="M941" s="399" t="s">
        <v>33</v>
      </c>
      <c r="N941" s="475">
        <v>1</v>
      </c>
      <c r="O941" s="391">
        <v>1</v>
      </c>
      <c r="P941" s="496">
        <f t="shared" si="147"/>
        <v>1</v>
      </c>
      <c r="Q941" s="445" t="s">
        <v>52</v>
      </c>
      <c r="R941" s="391">
        <v>1</v>
      </c>
      <c r="S941" s="362">
        <f t="shared" si="164"/>
        <v>1</v>
      </c>
      <c r="T941" s="368">
        <v>1</v>
      </c>
      <c r="U941" s="368"/>
      <c r="V941" s="368"/>
      <c r="W941" s="368"/>
      <c r="X941" s="364">
        <f t="shared" si="163"/>
        <v>1</v>
      </c>
      <c r="Y941" s="393"/>
      <c r="Z941" s="498">
        <f t="shared" si="145"/>
        <v>0</v>
      </c>
      <c r="AA941" s="368"/>
      <c r="AB941" s="368"/>
      <c r="AC941" s="368"/>
      <c r="AD941" s="368"/>
      <c r="AE941" s="365">
        <f t="shared" si="146"/>
        <v>0</v>
      </c>
      <c r="AF941" s="262"/>
      <c r="AG941" s="457"/>
      <c r="AH941" s="264"/>
    </row>
    <row r="942" spans="1:34" ht="45.75" thickBot="1" x14ac:dyDescent="0.3">
      <c r="A942" s="490" t="s">
        <v>1988</v>
      </c>
      <c r="B942" s="617" t="s">
        <v>306</v>
      </c>
      <c r="C942" s="486" t="s">
        <v>655</v>
      </c>
      <c r="D942" s="559" t="s">
        <v>431</v>
      </c>
      <c r="E942" s="560"/>
      <c r="F942" s="473" t="s">
        <v>2004</v>
      </c>
      <c r="G942" s="561" t="e">
        <f>VLOOKUP(A942,'Feature Summary'!$A$7:$C$3944,3,FALSE)</f>
        <v>#N/A</v>
      </c>
      <c r="H942" s="473" t="s">
        <v>2006</v>
      </c>
      <c r="I942" s="488" t="s">
        <v>264</v>
      </c>
      <c r="J942" s="483" t="s">
        <v>1873</v>
      </c>
      <c r="K942" s="563"/>
      <c r="L942" s="487"/>
      <c r="M942" s="484" t="s">
        <v>33</v>
      </c>
      <c r="N942" s="565">
        <v>1</v>
      </c>
      <c r="O942" s="487"/>
      <c r="P942" s="566">
        <f t="shared" ref="P942" si="167">IF((O942=0),0,(O942/L942))</f>
        <v>0</v>
      </c>
      <c r="Q942" s="613" t="s">
        <v>52</v>
      </c>
      <c r="R942" s="487"/>
      <c r="S942" s="618">
        <f t="shared" si="164"/>
        <v>0</v>
      </c>
      <c r="T942" s="568"/>
      <c r="U942" s="568"/>
      <c r="V942" s="568"/>
      <c r="W942" s="568"/>
      <c r="X942" s="619">
        <f t="shared" si="163"/>
        <v>0</v>
      </c>
      <c r="Y942" s="569"/>
      <c r="Z942" s="498">
        <f t="shared" si="145"/>
        <v>0</v>
      </c>
      <c r="AA942" s="568"/>
      <c r="AB942" s="568"/>
      <c r="AC942" s="568"/>
      <c r="AD942" s="568"/>
      <c r="AE942" s="365">
        <f t="shared" si="146"/>
        <v>0</v>
      </c>
      <c r="AF942" s="560"/>
      <c r="AG942" s="570"/>
      <c r="AH942" s="571"/>
    </row>
    <row r="943" spans="1:34" ht="45.75" thickBot="1" x14ac:dyDescent="0.3">
      <c r="A943" s="490" t="s">
        <v>1988</v>
      </c>
      <c r="B943" s="617" t="s">
        <v>306</v>
      </c>
      <c r="C943" s="486" t="s">
        <v>655</v>
      </c>
      <c r="D943" s="559" t="s">
        <v>431</v>
      </c>
      <c r="E943" s="560"/>
      <c r="F943" s="617" t="s">
        <v>2007</v>
      </c>
      <c r="G943" s="561" t="e">
        <f>VLOOKUP(A943,'Feature Summary'!$A$7:$C$3944,3,FALSE)</f>
        <v>#N/A</v>
      </c>
      <c r="H943" s="473" t="s">
        <v>2008</v>
      </c>
      <c r="I943" s="488" t="s">
        <v>264</v>
      </c>
      <c r="J943" s="483" t="s">
        <v>1873</v>
      </c>
      <c r="K943" s="563"/>
      <c r="L943" s="487"/>
      <c r="M943" s="484" t="s">
        <v>33</v>
      </c>
      <c r="N943" s="565">
        <v>1</v>
      </c>
      <c r="O943" s="487"/>
      <c r="P943" s="566">
        <f t="shared" si="147"/>
        <v>0</v>
      </c>
      <c r="Q943" s="613" t="s">
        <v>52</v>
      </c>
      <c r="R943" s="487"/>
      <c r="S943" s="618">
        <f t="shared" si="164"/>
        <v>0</v>
      </c>
      <c r="T943" s="568"/>
      <c r="U943" s="568"/>
      <c r="V943" s="568"/>
      <c r="W943" s="568"/>
      <c r="X943" s="619">
        <f t="shared" si="163"/>
        <v>0</v>
      </c>
      <c r="Y943" s="569"/>
      <c r="Z943" s="498">
        <f t="shared" si="145"/>
        <v>0</v>
      </c>
      <c r="AA943" s="568"/>
      <c r="AB943" s="568"/>
      <c r="AC943" s="568"/>
      <c r="AD943" s="568"/>
      <c r="AE943" s="365">
        <f t="shared" si="146"/>
        <v>0</v>
      </c>
      <c r="AF943" s="560"/>
      <c r="AG943" s="570"/>
      <c r="AH943" s="571"/>
    </row>
    <row r="944" spans="1:34" ht="45.75" thickBot="1" x14ac:dyDescent="0.3">
      <c r="A944" s="474" t="s">
        <v>1988</v>
      </c>
      <c r="B944" s="470" t="s">
        <v>306</v>
      </c>
      <c r="C944" s="463" t="s">
        <v>655</v>
      </c>
      <c r="D944" s="449" t="s">
        <v>431</v>
      </c>
      <c r="E944" s="262"/>
      <c r="F944" s="472" t="s">
        <v>2009</v>
      </c>
      <c r="G944" s="387" t="e">
        <f>VLOOKUP(A944,'Feature Summary'!$A$7:$C$3944,3,FALSE)</f>
        <v>#N/A</v>
      </c>
      <c r="H944" s="447" t="s">
        <v>2010</v>
      </c>
      <c r="I944" s="488" t="s">
        <v>264</v>
      </c>
      <c r="J944" s="448" t="s">
        <v>1873</v>
      </c>
      <c r="K944" s="263">
        <v>1</v>
      </c>
      <c r="L944" s="391">
        <v>1</v>
      </c>
      <c r="M944" s="399" t="s">
        <v>33</v>
      </c>
      <c r="N944" s="475">
        <v>1</v>
      </c>
      <c r="O944" s="391">
        <v>1</v>
      </c>
      <c r="P944" s="496">
        <f t="shared" si="147"/>
        <v>1</v>
      </c>
      <c r="Q944" s="445" t="s">
        <v>52</v>
      </c>
      <c r="R944" s="391">
        <v>1</v>
      </c>
      <c r="S944" s="362">
        <f t="shared" si="164"/>
        <v>1</v>
      </c>
      <c r="T944" s="368">
        <v>1</v>
      </c>
      <c r="U944" s="368"/>
      <c r="V944" s="368"/>
      <c r="W944" s="368"/>
      <c r="X944" s="364">
        <f t="shared" si="163"/>
        <v>1</v>
      </c>
      <c r="Y944" s="393"/>
      <c r="Z944" s="498">
        <f t="shared" si="145"/>
        <v>0</v>
      </c>
      <c r="AA944" s="368"/>
      <c r="AB944" s="368"/>
      <c r="AC944" s="368"/>
      <c r="AD944" s="368"/>
      <c r="AE944" s="365">
        <f t="shared" si="146"/>
        <v>0</v>
      </c>
      <c r="AF944" s="262"/>
      <c r="AG944" s="457"/>
      <c r="AH944" s="264"/>
    </row>
    <row r="945" spans="1:34" ht="45.75" thickBot="1" x14ac:dyDescent="0.3">
      <c r="A945" s="474" t="s">
        <v>1988</v>
      </c>
      <c r="B945" s="470" t="s">
        <v>306</v>
      </c>
      <c r="C945" s="463" t="s">
        <v>655</v>
      </c>
      <c r="D945" s="449" t="s">
        <v>431</v>
      </c>
      <c r="E945" s="262"/>
      <c r="F945" s="447" t="s">
        <v>2011</v>
      </c>
      <c r="G945" s="387" t="e">
        <f>VLOOKUP(A945,'Feature Summary'!$A$7:$C$3944,3,FALSE)</f>
        <v>#N/A</v>
      </c>
      <c r="H945" s="447" t="s">
        <v>2012</v>
      </c>
      <c r="I945" s="488" t="s">
        <v>264</v>
      </c>
      <c r="J945" s="448" t="s">
        <v>1873</v>
      </c>
      <c r="K945" s="263">
        <v>1</v>
      </c>
      <c r="L945" s="391">
        <v>1</v>
      </c>
      <c r="M945" s="399" t="s">
        <v>33</v>
      </c>
      <c r="N945" s="475">
        <v>1</v>
      </c>
      <c r="O945" s="391">
        <v>1</v>
      </c>
      <c r="P945" s="496">
        <f t="shared" si="147"/>
        <v>1</v>
      </c>
      <c r="Q945" s="445" t="s">
        <v>52</v>
      </c>
      <c r="R945" s="391">
        <v>1</v>
      </c>
      <c r="S945" s="362">
        <f t="shared" si="164"/>
        <v>1</v>
      </c>
      <c r="T945" s="368">
        <v>1</v>
      </c>
      <c r="U945" s="368"/>
      <c r="V945" s="368"/>
      <c r="W945" s="368"/>
      <c r="X945" s="364">
        <f t="shared" si="163"/>
        <v>1</v>
      </c>
      <c r="Y945" s="393"/>
      <c r="Z945" s="498">
        <f t="shared" si="145"/>
        <v>0</v>
      </c>
      <c r="AA945" s="368"/>
      <c r="AB945" s="368"/>
      <c r="AC945" s="368"/>
      <c r="AD945" s="368"/>
      <c r="AE945" s="365">
        <f t="shared" si="146"/>
        <v>0</v>
      </c>
      <c r="AF945" s="262"/>
      <c r="AG945" s="457"/>
      <c r="AH945" s="264"/>
    </row>
    <row r="946" spans="1:34" ht="45.75" thickBot="1" x14ac:dyDescent="0.3">
      <c r="A946" s="490" t="s">
        <v>1988</v>
      </c>
      <c r="B946" s="617" t="s">
        <v>306</v>
      </c>
      <c r="C946" s="486" t="s">
        <v>655</v>
      </c>
      <c r="D946" s="559" t="s">
        <v>431</v>
      </c>
      <c r="E946" s="560"/>
      <c r="F946" s="473" t="s">
        <v>2011</v>
      </c>
      <c r="G946" s="561" t="e">
        <f>VLOOKUP(A946,'Feature Summary'!$A$7:$C$3944,3,FALSE)</f>
        <v>#N/A</v>
      </c>
      <c r="H946" s="473" t="s">
        <v>2013</v>
      </c>
      <c r="I946" s="488" t="s">
        <v>264</v>
      </c>
      <c r="J946" s="483" t="s">
        <v>1873</v>
      </c>
      <c r="K946" s="563"/>
      <c r="L946" s="487"/>
      <c r="M946" s="484" t="s">
        <v>33</v>
      </c>
      <c r="N946" s="565">
        <v>1</v>
      </c>
      <c r="O946" s="487"/>
      <c r="P946" s="566">
        <f t="shared" ref="P946" si="168">IF((O946=0),0,(O946/L946))</f>
        <v>0</v>
      </c>
      <c r="Q946" s="445" t="s">
        <v>52</v>
      </c>
      <c r="R946" s="487"/>
      <c r="S946" s="362">
        <f t="shared" si="164"/>
        <v>0</v>
      </c>
      <c r="T946" s="368"/>
      <c r="U946" s="368"/>
      <c r="V946" s="368"/>
      <c r="W946" s="368"/>
      <c r="X946" s="364">
        <f t="shared" si="163"/>
        <v>0</v>
      </c>
      <c r="Y946" s="393"/>
      <c r="Z946" s="498">
        <f t="shared" si="145"/>
        <v>0</v>
      </c>
      <c r="AA946" s="368"/>
      <c r="AB946" s="368"/>
      <c r="AC946" s="368"/>
      <c r="AD946" s="368"/>
      <c r="AE946" s="365">
        <f t="shared" si="146"/>
        <v>0</v>
      </c>
      <c r="AF946" s="262"/>
      <c r="AG946" s="457"/>
      <c r="AH946" s="264"/>
    </row>
    <row r="947" spans="1:34" ht="45.75" thickBot="1" x14ac:dyDescent="0.3">
      <c r="A947" s="490" t="s">
        <v>1988</v>
      </c>
      <c r="B947" s="617" t="s">
        <v>306</v>
      </c>
      <c r="C947" s="486" t="s">
        <v>655</v>
      </c>
      <c r="D947" s="559" t="s">
        <v>431</v>
      </c>
      <c r="E947" s="560"/>
      <c r="F947" s="617" t="s">
        <v>2014</v>
      </c>
      <c r="G947" s="561" t="e">
        <f>VLOOKUP(A947,'Feature Summary'!$A$7:$C$3944,3,FALSE)</f>
        <v>#N/A</v>
      </c>
      <c r="H947" s="473" t="s">
        <v>2015</v>
      </c>
      <c r="I947" s="488" t="s">
        <v>264</v>
      </c>
      <c r="J947" s="483" t="s">
        <v>1873</v>
      </c>
      <c r="K947" s="563"/>
      <c r="L947" s="487"/>
      <c r="M947" s="484" t="s">
        <v>33</v>
      </c>
      <c r="N947" s="565">
        <v>1</v>
      </c>
      <c r="O947" s="487"/>
      <c r="P947" s="566">
        <f t="shared" si="147"/>
        <v>0</v>
      </c>
      <c r="Q947" s="445" t="s">
        <v>52</v>
      </c>
      <c r="R947" s="487"/>
      <c r="S947" s="362">
        <f t="shared" si="164"/>
        <v>0</v>
      </c>
      <c r="T947" s="368"/>
      <c r="U947" s="368"/>
      <c r="V947" s="368"/>
      <c r="W947" s="368"/>
      <c r="X947" s="364">
        <f t="shared" si="163"/>
        <v>0</v>
      </c>
      <c r="Y947" s="393"/>
      <c r="Z947" s="498">
        <f t="shared" si="145"/>
        <v>0</v>
      </c>
      <c r="AA947" s="368"/>
      <c r="AB947" s="368"/>
      <c r="AC947" s="368"/>
      <c r="AD947" s="368"/>
      <c r="AE947" s="365">
        <f t="shared" si="146"/>
        <v>0</v>
      </c>
      <c r="AF947" s="262"/>
      <c r="AG947" s="457"/>
      <c r="AH947" s="264"/>
    </row>
    <row r="948" spans="1:34" ht="45.75" thickBot="1" x14ac:dyDescent="0.3">
      <c r="A948" s="474" t="s">
        <v>1988</v>
      </c>
      <c r="B948" s="470" t="s">
        <v>306</v>
      </c>
      <c r="C948" s="463" t="s">
        <v>655</v>
      </c>
      <c r="D948" s="449" t="s">
        <v>431</v>
      </c>
      <c r="E948" s="262"/>
      <c r="F948" s="472" t="s">
        <v>2016</v>
      </c>
      <c r="G948" s="387" t="e">
        <f>VLOOKUP(A948,'Feature Summary'!$A$7:$C$3944,3,FALSE)</f>
        <v>#N/A</v>
      </c>
      <c r="H948" s="447" t="s">
        <v>2017</v>
      </c>
      <c r="I948" s="488" t="s">
        <v>264</v>
      </c>
      <c r="J948" s="448" t="s">
        <v>1873</v>
      </c>
      <c r="K948" s="263">
        <v>1</v>
      </c>
      <c r="L948" s="391">
        <v>1</v>
      </c>
      <c r="M948" s="399" t="s">
        <v>33</v>
      </c>
      <c r="N948" s="475">
        <v>1</v>
      </c>
      <c r="O948" s="391">
        <v>1</v>
      </c>
      <c r="P948" s="496">
        <f>IF((O948=0),0,(O948/L948))</f>
        <v>1</v>
      </c>
      <c r="Q948" s="445" t="s">
        <v>52</v>
      </c>
      <c r="R948" s="391">
        <v>1</v>
      </c>
      <c r="S948" s="362">
        <f t="shared" si="164"/>
        <v>1</v>
      </c>
      <c r="T948" s="368">
        <v>1</v>
      </c>
      <c r="U948" s="368"/>
      <c r="V948" s="368"/>
      <c r="W948" s="368"/>
      <c r="X948" s="364">
        <f t="shared" si="163"/>
        <v>1</v>
      </c>
      <c r="Y948" s="393"/>
      <c r="Z948" s="498">
        <f t="shared" si="145"/>
        <v>0</v>
      </c>
      <c r="AA948" s="368"/>
      <c r="AB948" s="368"/>
      <c r="AC948" s="368"/>
      <c r="AD948" s="368"/>
      <c r="AE948" s="365">
        <f t="shared" si="146"/>
        <v>0</v>
      </c>
      <c r="AF948" s="262"/>
      <c r="AG948" s="457"/>
      <c r="AH948" s="264"/>
    </row>
    <row r="949" spans="1:34" ht="75.75" thickBot="1" x14ac:dyDescent="0.3">
      <c r="A949" s="474" t="s">
        <v>1996</v>
      </c>
      <c r="B949" s="470" t="s">
        <v>306</v>
      </c>
      <c r="C949" s="463" t="s">
        <v>655</v>
      </c>
      <c r="D949" s="449" t="s">
        <v>431</v>
      </c>
      <c r="E949" s="262"/>
      <c r="F949" s="447" t="s">
        <v>2018</v>
      </c>
      <c r="G949" s="387" t="e">
        <f>VLOOKUP(A949,'Feature Summary'!$A$7:$C$3944,3,FALSE)</f>
        <v>#N/A</v>
      </c>
      <c r="H949" s="447" t="s">
        <v>2019</v>
      </c>
      <c r="I949" s="488" t="s">
        <v>264</v>
      </c>
      <c r="J949" s="448" t="s">
        <v>1873</v>
      </c>
      <c r="K949" s="263">
        <v>1</v>
      </c>
      <c r="L949" s="391">
        <v>1</v>
      </c>
      <c r="M949" s="399" t="s">
        <v>33</v>
      </c>
      <c r="N949" s="475">
        <v>1</v>
      </c>
      <c r="O949" s="391">
        <v>1</v>
      </c>
      <c r="P949" s="496">
        <f>IF((O949=0),0,(O949/L949))</f>
        <v>1</v>
      </c>
      <c r="Q949" s="445" t="s">
        <v>52</v>
      </c>
      <c r="R949" s="391">
        <v>1</v>
      </c>
      <c r="S949" s="362">
        <f t="shared" si="164"/>
        <v>1</v>
      </c>
      <c r="T949" s="368">
        <v>1</v>
      </c>
      <c r="U949" s="368"/>
      <c r="V949" s="368"/>
      <c r="W949" s="368"/>
      <c r="X949" s="364">
        <f t="shared" si="163"/>
        <v>1</v>
      </c>
      <c r="Y949" s="393"/>
      <c r="Z949" s="498">
        <f t="shared" si="145"/>
        <v>0</v>
      </c>
      <c r="AA949" s="368"/>
      <c r="AB949" s="368"/>
      <c r="AC949" s="368"/>
      <c r="AD949" s="368"/>
      <c r="AE949" s="365">
        <f t="shared" si="146"/>
        <v>0</v>
      </c>
      <c r="AF949" s="262"/>
      <c r="AG949" s="457"/>
      <c r="AH949" s="264"/>
    </row>
    <row r="950" spans="1:34" ht="75.75" thickBot="1" x14ac:dyDescent="0.3">
      <c r="A950" s="490" t="s">
        <v>1996</v>
      </c>
      <c r="B950" s="617" t="s">
        <v>306</v>
      </c>
      <c r="C950" s="486" t="s">
        <v>655</v>
      </c>
      <c r="D950" s="559" t="s">
        <v>431</v>
      </c>
      <c r="E950" s="560"/>
      <c r="F950" s="473" t="s">
        <v>2018</v>
      </c>
      <c r="G950" s="561" t="e">
        <f>VLOOKUP(A950,'Feature Summary'!$A$7:$C$3944,3,FALSE)</f>
        <v>#N/A</v>
      </c>
      <c r="H950" s="473" t="s">
        <v>2020</v>
      </c>
      <c r="I950" s="488" t="s">
        <v>264</v>
      </c>
      <c r="J950" s="483" t="s">
        <v>1873</v>
      </c>
      <c r="K950" s="563"/>
      <c r="L950" s="487"/>
      <c r="M950" s="484" t="s">
        <v>33</v>
      </c>
      <c r="N950" s="565">
        <v>1</v>
      </c>
      <c r="O950" s="487"/>
      <c r="P950" s="566">
        <f>IF((O950=0),0,(O950/L950))</f>
        <v>0</v>
      </c>
      <c r="Q950" s="613" t="s">
        <v>52</v>
      </c>
      <c r="R950" s="487"/>
      <c r="S950" s="618">
        <f>SUM(T950:W950)</f>
        <v>0</v>
      </c>
      <c r="T950" s="568"/>
      <c r="U950" s="568"/>
      <c r="V950" s="568"/>
      <c r="W950" s="568"/>
      <c r="X950" s="619">
        <f>IF((S950=0),0,((T950+U950)/S950*100%))</f>
        <v>0</v>
      </c>
      <c r="Y950" s="569"/>
      <c r="Z950" s="498">
        <f t="shared" si="145"/>
        <v>0</v>
      </c>
      <c r="AA950" s="568"/>
      <c r="AB950" s="568"/>
      <c r="AC950" s="568"/>
      <c r="AD950" s="568"/>
      <c r="AE950" s="365">
        <f t="shared" si="146"/>
        <v>0</v>
      </c>
      <c r="AF950" s="560"/>
      <c r="AG950" s="570"/>
      <c r="AH950" s="571"/>
    </row>
    <row r="951" spans="1:34" ht="75.75" thickBot="1" x14ac:dyDescent="0.3">
      <c r="A951" s="490" t="s">
        <v>1996</v>
      </c>
      <c r="B951" s="617" t="s">
        <v>306</v>
      </c>
      <c r="C951" s="486" t="s">
        <v>655</v>
      </c>
      <c r="D951" s="559" t="s">
        <v>431</v>
      </c>
      <c r="E951" s="560"/>
      <c r="F951" s="617" t="s">
        <v>2021</v>
      </c>
      <c r="G951" s="561" t="e">
        <f>VLOOKUP(A951,'Feature Summary'!$A$7:$C$3944,3,FALSE)</f>
        <v>#N/A</v>
      </c>
      <c r="H951" s="473" t="s">
        <v>2022</v>
      </c>
      <c r="I951" s="488" t="s">
        <v>264</v>
      </c>
      <c r="J951" s="483" t="s">
        <v>1873</v>
      </c>
      <c r="K951" s="563"/>
      <c r="L951" s="487"/>
      <c r="M951" s="484" t="s">
        <v>33</v>
      </c>
      <c r="N951" s="565">
        <v>1</v>
      </c>
      <c r="O951" s="487"/>
      <c r="P951" s="566">
        <f t="shared" ref="P951:P956" si="169">IF((O951=0),0,(O951/L951))</f>
        <v>0</v>
      </c>
      <c r="Q951" s="613" t="s">
        <v>52</v>
      </c>
      <c r="R951" s="487"/>
      <c r="S951" s="618">
        <f t="shared" si="164"/>
        <v>0</v>
      </c>
      <c r="T951" s="568"/>
      <c r="U951" s="568"/>
      <c r="V951" s="568"/>
      <c r="W951" s="568"/>
      <c r="X951" s="619">
        <f t="shared" si="163"/>
        <v>0</v>
      </c>
      <c r="Y951" s="569"/>
      <c r="Z951" s="498">
        <f t="shared" si="145"/>
        <v>0</v>
      </c>
      <c r="AA951" s="568"/>
      <c r="AB951" s="568"/>
      <c r="AC951" s="568"/>
      <c r="AD951" s="568"/>
      <c r="AE951" s="365">
        <f t="shared" si="146"/>
        <v>0</v>
      </c>
      <c r="AF951" s="560"/>
      <c r="AG951" s="570"/>
      <c r="AH951" s="571"/>
    </row>
    <row r="952" spans="1:34" ht="75.75" thickBot="1" x14ac:dyDescent="0.3">
      <c r="A952" s="474" t="s">
        <v>1996</v>
      </c>
      <c r="B952" s="470" t="s">
        <v>306</v>
      </c>
      <c r="C952" s="463" t="s">
        <v>655</v>
      </c>
      <c r="D952" s="449" t="s">
        <v>431</v>
      </c>
      <c r="E952" s="262"/>
      <c r="F952" s="472" t="s">
        <v>2023</v>
      </c>
      <c r="G952" s="387" t="e">
        <f>VLOOKUP(A952,'Feature Summary'!$A$7:$C$3944,3,FALSE)</f>
        <v>#N/A</v>
      </c>
      <c r="H952" s="447" t="s">
        <v>2024</v>
      </c>
      <c r="I952" s="488" t="s">
        <v>264</v>
      </c>
      <c r="J952" s="448" t="s">
        <v>1873</v>
      </c>
      <c r="K952" s="263">
        <v>1</v>
      </c>
      <c r="L952" s="391">
        <v>1</v>
      </c>
      <c r="M952" s="399" t="s">
        <v>33</v>
      </c>
      <c r="N952" s="475">
        <v>1</v>
      </c>
      <c r="O952" s="391">
        <v>1</v>
      </c>
      <c r="P952" s="496">
        <f t="shared" si="169"/>
        <v>1</v>
      </c>
      <c r="Q952" s="445" t="s">
        <v>52</v>
      </c>
      <c r="R952" s="391">
        <v>1</v>
      </c>
      <c r="S952" s="362">
        <f t="shared" si="164"/>
        <v>1</v>
      </c>
      <c r="T952" s="368">
        <v>1</v>
      </c>
      <c r="U952" s="368"/>
      <c r="V952" s="368"/>
      <c r="W952" s="368"/>
      <c r="X952" s="364">
        <f t="shared" si="163"/>
        <v>1</v>
      </c>
      <c r="Y952" s="393"/>
      <c r="Z952" s="498">
        <f t="shared" si="145"/>
        <v>0</v>
      </c>
      <c r="AA952" s="368"/>
      <c r="AB952" s="368"/>
      <c r="AC952" s="368"/>
      <c r="AD952" s="368"/>
      <c r="AE952" s="365">
        <f t="shared" si="146"/>
        <v>0</v>
      </c>
      <c r="AF952" s="262"/>
      <c r="AG952" s="457"/>
      <c r="AH952" s="264"/>
    </row>
    <row r="953" spans="1:34" ht="45.75" thickBot="1" x14ac:dyDescent="0.3">
      <c r="A953" s="474" t="s">
        <v>1988</v>
      </c>
      <c r="B953" s="470" t="s">
        <v>306</v>
      </c>
      <c r="C953" s="463" t="s">
        <v>655</v>
      </c>
      <c r="D953" s="449" t="s">
        <v>431</v>
      </c>
      <c r="E953" s="262"/>
      <c r="F953" s="447" t="s">
        <v>2025</v>
      </c>
      <c r="G953" s="387" t="e">
        <f>VLOOKUP(A953,'Feature Summary'!$A$7:$C$3944,3,FALSE)</f>
        <v>#N/A</v>
      </c>
      <c r="H953" s="447" t="s">
        <v>2026</v>
      </c>
      <c r="I953" s="488" t="s">
        <v>264</v>
      </c>
      <c r="J953" s="448" t="s">
        <v>1873</v>
      </c>
      <c r="K953" s="263">
        <v>1</v>
      </c>
      <c r="L953" s="391">
        <v>2</v>
      </c>
      <c r="M953" s="399" t="s">
        <v>33</v>
      </c>
      <c r="N953" s="475">
        <v>1</v>
      </c>
      <c r="O953" s="391">
        <v>2</v>
      </c>
      <c r="P953" s="496">
        <f t="shared" si="169"/>
        <v>1</v>
      </c>
      <c r="Q953" s="445" t="s">
        <v>52</v>
      </c>
      <c r="R953" s="391">
        <v>2</v>
      </c>
      <c r="S953" s="362">
        <f t="shared" si="164"/>
        <v>2</v>
      </c>
      <c r="T953" s="368">
        <v>2</v>
      </c>
      <c r="U953" s="368"/>
      <c r="V953" s="368"/>
      <c r="W953" s="368"/>
      <c r="X953" s="364">
        <f t="shared" si="163"/>
        <v>1</v>
      </c>
      <c r="Y953" s="393"/>
      <c r="Z953" s="498">
        <f t="shared" si="145"/>
        <v>0</v>
      </c>
      <c r="AA953" s="368"/>
      <c r="AB953" s="368"/>
      <c r="AC953" s="368"/>
      <c r="AD953" s="368"/>
      <c r="AE953" s="365">
        <f t="shared" si="146"/>
        <v>0</v>
      </c>
      <c r="AF953" s="262"/>
      <c r="AG953" s="457"/>
      <c r="AH953" s="264"/>
    </row>
    <row r="954" spans="1:34" ht="45.75" thickBot="1" x14ac:dyDescent="0.3">
      <c r="A954" s="490" t="s">
        <v>1988</v>
      </c>
      <c r="B954" s="617" t="s">
        <v>306</v>
      </c>
      <c r="C954" s="486" t="s">
        <v>655</v>
      </c>
      <c r="D954" s="559" t="s">
        <v>431</v>
      </c>
      <c r="E954" s="560"/>
      <c r="F954" s="473" t="s">
        <v>2025</v>
      </c>
      <c r="G954" s="561" t="e">
        <f>VLOOKUP(A954,'Feature Summary'!$A$7:$C$3944,3,FALSE)</f>
        <v>#N/A</v>
      </c>
      <c r="H954" s="473" t="s">
        <v>2027</v>
      </c>
      <c r="I954" s="488" t="s">
        <v>264</v>
      </c>
      <c r="J954" s="483" t="s">
        <v>1873</v>
      </c>
      <c r="K954" s="563"/>
      <c r="L954" s="487"/>
      <c r="M954" s="484" t="s">
        <v>33</v>
      </c>
      <c r="N954" s="565">
        <v>1</v>
      </c>
      <c r="O954" s="487"/>
      <c r="P954" s="566">
        <f t="shared" ref="P954" si="170">IF((O954=0),0,(O954/L954))</f>
        <v>0</v>
      </c>
      <c r="Q954" s="613" t="s">
        <v>52</v>
      </c>
      <c r="R954" s="487"/>
      <c r="S954" s="618">
        <f t="shared" si="164"/>
        <v>0</v>
      </c>
      <c r="T954" s="568"/>
      <c r="U954" s="568"/>
      <c r="V954" s="568"/>
      <c r="W954" s="568"/>
      <c r="X954" s="619">
        <f t="shared" si="163"/>
        <v>0</v>
      </c>
      <c r="Y954" s="569"/>
      <c r="Z954" s="498">
        <f t="shared" si="145"/>
        <v>0</v>
      </c>
      <c r="AA954" s="568"/>
      <c r="AB954" s="568"/>
      <c r="AC954" s="568"/>
      <c r="AD954" s="568"/>
      <c r="AE954" s="365">
        <f t="shared" si="146"/>
        <v>0</v>
      </c>
      <c r="AF954" s="560"/>
      <c r="AG954" s="570"/>
      <c r="AH954" s="571"/>
    </row>
    <row r="955" spans="1:34" ht="45.75" thickBot="1" x14ac:dyDescent="0.3">
      <c r="A955" s="490" t="s">
        <v>1988</v>
      </c>
      <c r="B955" s="617" t="s">
        <v>306</v>
      </c>
      <c r="C955" s="486" t="s">
        <v>655</v>
      </c>
      <c r="D955" s="559" t="s">
        <v>431</v>
      </c>
      <c r="E955" s="560"/>
      <c r="F955" s="617" t="s">
        <v>2028</v>
      </c>
      <c r="G955" s="561" t="e">
        <f>VLOOKUP(A955,'Feature Summary'!$A$7:$C$3944,3,FALSE)</f>
        <v>#N/A</v>
      </c>
      <c r="H955" s="473" t="s">
        <v>2029</v>
      </c>
      <c r="I955" s="488" t="s">
        <v>264</v>
      </c>
      <c r="J955" s="483" t="s">
        <v>1873</v>
      </c>
      <c r="K955" s="563"/>
      <c r="L955" s="487"/>
      <c r="M955" s="484" t="s">
        <v>33</v>
      </c>
      <c r="N955" s="565">
        <v>1</v>
      </c>
      <c r="O955" s="487"/>
      <c r="P955" s="566">
        <f t="shared" si="169"/>
        <v>0</v>
      </c>
      <c r="Q955" s="613" t="s">
        <v>52</v>
      </c>
      <c r="R955" s="487"/>
      <c r="S955" s="618">
        <f t="shared" si="164"/>
        <v>0</v>
      </c>
      <c r="T955" s="568"/>
      <c r="U955" s="568"/>
      <c r="V955" s="568"/>
      <c r="W955" s="568"/>
      <c r="X955" s="619">
        <f t="shared" si="163"/>
        <v>0</v>
      </c>
      <c r="Y955" s="569"/>
      <c r="Z955" s="498">
        <f t="shared" si="145"/>
        <v>0</v>
      </c>
      <c r="AA955" s="568"/>
      <c r="AB955" s="568"/>
      <c r="AC955" s="568"/>
      <c r="AD955" s="568"/>
      <c r="AE955" s="365">
        <f t="shared" si="146"/>
        <v>0</v>
      </c>
      <c r="AF955" s="560"/>
      <c r="AG955" s="570"/>
      <c r="AH955" s="571"/>
    </row>
    <row r="956" spans="1:34" ht="45.75" thickBot="1" x14ac:dyDescent="0.3">
      <c r="A956" s="474" t="s">
        <v>1988</v>
      </c>
      <c r="B956" s="470" t="s">
        <v>306</v>
      </c>
      <c r="C956" s="463" t="s">
        <v>655</v>
      </c>
      <c r="D956" s="449" t="s">
        <v>431</v>
      </c>
      <c r="E956" s="262"/>
      <c r="F956" s="472" t="s">
        <v>2030</v>
      </c>
      <c r="G956" s="387" t="e">
        <f>VLOOKUP(A956,'Feature Summary'!$A$7:$C$3944,3,FALSE)</f>
        <v>#N/A</v>
      </c>
      <c r="H956" s="447" t="s">
        <v>2031</v>
      </c>
      <c r="I956" s="488" t="s">
        <v>264</v>
      </c>
      <c r="J956" s="448" t="s">
        <v>1873</v>
      </c>
      <c r="K956" s="263">
        <v>1</v>
      </c>
      <c r="L956" s="391">
        <v>2</v>
      </c>
      <c r="M956" s="399" t="s">
        <v>33</v>
      </c>
      <c r="N956" s="475">
        <v>1</v>
      </c>
      <c r="O956" s="391">
        <v>2</v>
      </c>
      <c r="P956" s="496">
        <f t="shared" si="169"/>
        <v>1</v>
      </c>
      <c r="Q956" s="445" t="s">
        <v>52</v>
      </c>
      <c r="R956" s="391">
        <v>2</v>
      </c>
      <c r="S956" s="362">
        <f t="shared" si="164"/>
        <v>2</v>
      </c>
      <c r="T956" s="368">
        <v>2</v>
      </c>
      <c r="U956" s="368"/>
      <c r="V956" s="368"/>
      <c r="W956" s="368"/>
      <c r="X956" s="364">
        <f t="shared" si="163"/>
        <v>1</v>
      </c>
      <c r="Y956" s="393"/>
      <c r="Z956" s="498">
        <f t="shared" si="145"/>
        <v>0</v>
      </c>
      <c r="AA956" s="368"/>
      <c r="AB956" s="368"/>
      <c r="AC956" s="368"/>
      <c r="AD956" s="368"/>
      <c r="AE956" s="365">
        <f t="shared" si="146"/>
        <v>0</v>
      </c>
      <c r="AF956" s="262"/>
      <c r="AG956" s="457"/>
      <c r="AH956" s="264"/>
    </row>
    <row r="957" spans="1:34" ht="15.75" thickBot="1" x14ac:dyDescent="0.3">
      <c r="A957" s="490"/>
      <c r="B957" s="473"/>
      <c r="C957" s="486"/>
      <c r="D957" s="449" t="s">
        <v>1856</v>
      </c>
      <c r="E957" s="262"/>
      <c r="F957" s="473" t="s">
        <v>2032</v>
      </c>
      <c r="G957" s="387" t="e">
        <f>VLOOKUP(A957,'Feature Summary'!$A$7:$C$3944,3,FALSE)</f>
        <v>#N/A</v>
      </c>
      <c r="H957" s="473" t="s">
        <v>2033</v>
      </c>
      <c r="I957" s="473"/>
      <c r="J957" s="483" t="s">
        <v>281</v>
      </c>
      <c r="K957" s="563"/>
      <c r="L957" s="487"/>
      <c r="M957" s="484" t="s">
        <v>33</v>
      </c>
      <c r="N957" s="475">
        <v>1</v>
      </c>
      <c r="O957" s="487"/>
      <c r="P957" s="496">
        <f>IF((O957=0),0,(O957/L957))</f>
        <v>0</v>
      </c>
      <c r="Q957" s="445" t="s">
        <v>52</v>
      </c>
      <c r="R957" s="487">
        <v>0</v>
      </c>
      <c r="S957" s="362">
        <f t="shared" si="164"/>
        <v>0</v>
      </c>
      <c r="T957" s="368"/>
      <c r="U957" s="368"/>
      <c r="V957" s="368"/>
      <c r="W957" s="368"/>
      <c r="X957" s="364">
        <f t="shared" si="163"/>
        <v>0</v>
      </c>
      <c r="Y957" s="393"/>
      <c r="Z957" s="498">
        <f t="shared" si="145"/>
        <v>0</v>
      </c>
      <c r="AA957" s="368"/>
      <c r="AB957" s="368"/>
      <c r="AC957" s="368"/>
      <c r="AD957" s="368"/>
      <c r="AE957" s="365">
        <f t="shared" si="146"/>
        <v>0</v>
      </c>
      <c r="AF957" s="262"/>
      <c r="AG957" s="457"/>
      <c r="AH957" s="264"/>
    </row>
    <row r="958" spans="1:34" ht="15.75" thickBot="1" x14ac:dyDescent="0.3">
      <c r="A958" s="458" t="s">
        <v>2034</v>
      </c>
      <c r="B958" s="470" t="s">
        <v>2035</v>
      </c>
      <c r="C958" s="463" t="s">
        <v>651</v>
      </c>
      <c r="D958" s="449" t="s">
        <v>1856</v>
      </c>
      <c r="E958" s="262"/>
      <c r="F958" s="447" t="s">
        <v>2036</v>
      </c>
      <c r="G958" s="387" t="str">
        <f>VLOOKUP(A958,'Feature Summary'!$A$7:$C$3944,3,FALSE)</f>
        <v>P2</v>
      </c>
      <c r="H958" s="447" t="s">
        <v>2037</v>
      </c>
      <c r="I958" s="488" t="s">
        <v>264</v>
      </c>
      <c r="J958" s="480" t="s">
        <v>2038</v>
      </c>
      <c r="K958" s="263">
        <v>1</v>
      </c>
      <c r="L958" s="391">
        <v>1</v>
      </c>
      <c r="M958" s="399" t="s">
        <v>33</v>
      </c>
      <c r="N958" s="475">
        <v>1</v>
      </c>
      <c r="O958" s="391">
        <v>1</v>
      </c>
      <c r="P958" s="496">
        <f t="shared" ref="P958:P989" si="171">IF((O958=0),0,(O958/L958))</f>
        <v>1</v>
      </c>
      <c r="Q958" s="445" t="s">
        <v>52</v>
      </c>
      <c r="R958" s="391">
        <v>1</v>
      </c>
      <c r="S958" s="362">
        <f t="shared" si="164"/>
        <v>1</v>
      </c>
      <c r="T958" s="368">
        <v>1</v>
      </c>
      <c r="U958" s="368"/>
      <c r="V958" s="368"/>
      <c r="W958" s="368"/>
      <c r="X958" s="364">
        <f t="shared" si="163"/>
        <v>1</v>
      </c>
      <c r="Y958" s="393"/>
      <c r="Z958" s="498">
        <f t="shared" si="145"/>
        <v>0</v>
      </c>
      <c r="AA958" s="368"/>
      <c r="AB958" s="368"/>
      <c r="AC958" s="368"/>
      <c r="AD958" s="368"/>
      <c r="AE958" s="365">
        <f t="shared" si="146"/>
        <v>0</v>
      </c>
      <c r="AF958" s="558"/>
      <c r="AG958" s="457"/>
      <c r="AH958" s="264"/>
    </row>
    <row r="959" spans="1:34" ht="15.75" thickBot="1" x14ac:dyDescent="0.3">
      <c r="A959" s="458" t="s">
        <v>2034</v>
      </c>
      <c r="B959" s="470" t="s">
        <v>2035</v>
      </c>
      <c r="C959" s="463" t="s">
        <v>651</v>
      </c>
      <c r="D959" s="449" t="s">
        <v>1856</v>
      </c>
      <c r="E959" s="262"/>
      <c r="F959" s="447" t="s">
        <v>2039</v>
      </c>
      <c r="G959" s="387" t="str">
        <f>VLOOKUP(A959,'Feature Summary'!$A$7:$C$3944,3,FALSE)</f>
        <v>P2</v>
      </c>
      <c r="H959" s="447" t="s">
        <v>2040</v>
      </c>
      <c r="I959" s="488" t="s">
        <v>264</v>
      </c>
      <c r="J959" s="480" t="s">
        <v>2038</v>
      </c>
      <c r="K959" s="263">
        <v>1</v>
      </c>
      <c r="L959" s="391">
        <v>1</v>
      </c>
      <c r="M959" s="399" t="s">
        <v>33</v>
      </c>
      <c r="N959" s="475">
        <v>1</v>
      </c>
      <c r="O959" s="391">
        <v>1</v>
      </c>
      <c r="P959" s="496">
        <f t="shared" si="171"/>
        <v>1</v>
      </c>
      <c r="Q959" s="445" t="s">
        <v>52</v>
      </c>
      <c r="R959" s="391">
        <v>1</v>
      </c>
      <c r="S959" s="362">
        <f t="shared" si="164"/>
        <v>1</v>
      </c>
      <c r="T959" s="368">
        <v>1</v>
      </c>
      <c r="U959" s="368"/>
      <c r="V959" s="368"/>
      <c r="W959" s="368"/>
      <c r="X959" s="364">
        <f t="shared" si="163"/>
        <v>1</v>
      </c>
      <c r="Y959" s="393"/>
      <c r="Z959" s="498">
        <f t="shared" si="145"/>
        <v>0</v>
      </c>
      <c r="AA959" s="368"/>
      <c r="AB959" s="368"/>
      <c r="AC959" s="368"/>
      <c r="AD959" s="368"/>
      <c r="AE959" s="365">
        <f t="shared" si="146"/>
        <v>0</v>
      </c>
      <c r="AF959" s="558"/>
      <c r="AG959" s="457"/>
      <c r="AH959" s="264"/>
    </row>
    <row r="960" spans="1:34" ht="30.75" thickBot="1" x14ac:dyDescent="0.3">
      <c r="A960" s="458" t="s">
        <v>2034</v>
      </c>
      <c r="B960" s="470" t="s">
        <v>2035</v>
      </c>
      <c r="C960" s="463" t="s">
        <v>651</v>
      </c>
      <c r="D960" s="449" t="s">
        <v>1856</v>
      </c>
      <c r="E960" s="262"/>
      <c r="F960" s="447" t="s">
        <v>2041</v>
      </c>
      <c r="G960" s="387" t="str">
        <f>VLOOKUP(A960,'Feature Summary'!$A$7:$C$3944,3,FALSE)</f>
        <v>P2</v>
      </c>
      <c r="H960" s="447" t="s">
        <v>2042</v>
      </c>
      <c r="I960" s="488" t="s">
        <v>264</v>
      </c>
      <c r="J960" s="480" t="s">
        <v>2038</v>
      </c>
      <c r="K960" s="263">
        <v>1</v>
      </c>
      <c r="L960" s="391">
        <v>1</v>
      </c>
      <c r="M960" s="399" t="s">
        <v>33</v>
      </c>
      <c r="N960" s="475">
        <v>1</v>
      </c>
      <c r="O960" s="391">
        <v>1</v>
      </c>
      <c r="P960" s="496">
        <f t="shared" si="171"/>
        <v>1</v>
      </c>
      <c r="Q960" s="445" t="s">
        <v>52</v>
      </c>
      <c r="R960" s="391">
        <v>1</v>
      </c>
      <c r="S960" s="362">
        <f t="shared" si="164"/>
        <v>1</v>
      </c>
      <c r="T960" s="368">
        <v>1</v>
      </c>
      <c r="U960" s="368"/>
      <c r="V960" s="368"/>
      <c r="W960" s="368"/>
      <c r="X960" s="364">
        <f t="shared" si="163"/>
        <v>1</v>
      </c>
      <c r="Y960" s="393"/>
      <c r="Z960" s="498">
        <f t="shared" si="145"/>
        <v>0</v>
      </c>
      <c r="AA960" s="368"/>
      <c r="AB960" s="368"/>
      <c r="AC960" s="368"/>
      <c r="AD960" s="368"/>
      <c r="AE960" s="365">
        <f t="shared" si="146"/>
        <v>0</v>
      </c>
      <c r="AF960" s="558"/>
      <c r="AG960" s="457"/>
      <c r="AH960" s="264"/>
    </row>
    <row r="961" spans="1:34" ht="15.75" thickBot="1" x14ac:dyDescent="0.3">
      <c r="A961" s="458" t="s">
        <v>2043</v>
      </c>
      <c r="B961" s="470" t="s">
        <v>2044</v>
      </c>
      <c r="C961" s="463" t="s">
        <v>651</v>
      </c>
      <c r="D961" s="449" t="s">
        <v>1856</v>
      </c>
      <c r="E961" s="262"/>
      <c r="F961" s="447" t="s">
        <v>2045</v>
      </c>
      <c r="G961" s="387" t="e">
        <f>VLOOKUP(A961,'Feature Summary'!$A$7:$C$3944,3,FALSE)</f>
        <v>#N/A</v>
      </c>
      <c r="H961" s="447" t="s">
        <v>2046</v>
      </c>
      <c r="I961" s="488" t="s">
        <v>264</v>
      </c>
      <c r="J961" s="448" t="s">
        <v>1873</v>
      </c>
      <c r="K961" s="263">
        <v>1</v>
      </c>
      <c r="L961" s="391">
        <v>3</v>
      </c>
      <c r="M961" s="399" t="s">
        <v>33</v>
      </c>
      <c r="N961" s="475">
        <v>1</v>
      </c>
      <c r="O961" s="391">
        <v>3</v>
      </c>
      <c r="P961" s="496">
        <f t="shared" si="171"/>
        <v>1</v>
      </c>
      <c r="Q961" s="445" t="s">
        <v>52</v>
      </c>
      <c r="R961" s="391">
        <v>3</v>
      </c>
      <c r="S961" s="362">
        <f t="shared" si="164"/>
        <v>3</v>
      </c>
      <c r="T961" s="368">
        <v>3</v>
      </c>
      <c r="U961" s="368"/>
      <c r="V961" s="368"/>
      <c r="W961" s="368"/>
      <c r="X961" s="364">
        <f t="shared" si="163"/>
        <v>1</v>
      </c>
      <c r="Y961" s="393"/>
      <c r="Z961" s="498">
        <f t="shared" si="145"/>
        <v>0</v>
      </c>
      <c r="AA961" s="368"/>
      <c r="AB961" s="368"/>
      <c r="AC961" s="368"/>
      <c r="AD961" s="368"/>
      <c r="AE961" s="365">
        <f t="shared" si="146"/>
        <v>0</v>
      </c>
      <c r="AF961" s="262"/>
      <c r="AG961" s="457"/>
      <c r="AH961" s="264"/>
    </row>
    <row r="962" spans="1:34" ht="45.75" thickBot="1" x14ac:dyDescent="0.3">
      <c r="A962" s="474" t="s">
        <v>2047</v>
      </c>
      <c r="B962" s="470" t="s">
        <v>2048</v>
      </c>
      <c r="C962" s="463" t="s">
        <v>655</v>
      </c>
      <c r="D962" s="449" t="s">
        <v>1856</v>
      </c>
      <c r="E962" s="262"/>
      <c r="F962" s="447" t="s">
        <v>2049</v>
      </c>
      <c r="G962" s="387" t="e">
        <f>VLOOKUP(A962,'Feature Summary'!$A$7:$C$3944,3,FALSE)</f>
        <v>#N/A</v>
      </c>
      <c r="H962" s="447" t="s">
        <v>2050</v>
      </c>
      <c r="I962" s="488" t="s">
        <v>264</v>
      </c>
      <c r="J962" s="480" t="s">
        <v>2051</v>
      </c>
      <c r="K962" s="263">
        <v>1</v>
      </c>
      <c r="L962" s="391">
        <v>1</v>
      </c>
      <c r="M962" s="399" t="s">
        <v>33</v>
      </c>
      <c r="N962" s="475">
        <v>1</v>
      </c>
      <c r="O962" s="391">
        <v>1</v>
      </c>
      <c r="P962" s="496">
        <f t="shared" si="171"/>
        <v>1</v>
      </c>
      <c r="Q962" s="445" t="s">
        <v>52</v>
      </c>
      <c r="R962" s="391">
        <v>1</v>
      </c>
      <c r="S962" s="362">
        <f t="shared" si="164"/>
        <v>1</v>
      </c>
      <c r="T962" s="368">
        <v>1</v>
      </c>
      <c r="U962" s="368"/>
      <c r="V962" s="368"/>
      <c r="W962" s="368"/>
      <c r="X962" s="364">
        <f t="shared" si="163"/>
        <v>1</v>
      </c>
      <c r="Y962" s="393"/>
      <c r="Z962" s="498">
        <f t="shared" si="145"/>
        <v>0</v>
      </c>
      <c r="AA962" s="368"/>
      <c r="AB962" s="368"/>
      <c r="AC962" s="368"/>
      <c r="AD962" s="368"/>
      <c r="AE962" s="365">
        <f t="shared" si="146"/>
        <v>0</v>
      </c>
      <c r="AF962" s="262"/>
      <c r="AG962" s="457"/>
      <c r="AH962" s="264"/>
    </row>
    <row r="963" spans="1:34" ht="15.75" thickBot="1" x14ac:dyDescent="0.3">
      <c r="A963" s="474"/>
      <c r="B963" s="470" t="s">
        <v>2048</v>
      </c>
      <c r="C963" s="463" t="s">
        <v>44</v>
      </c>
      <c r="D963" s="449" t="s">
        <v>1856</v>
      </c>
      <c r="E963" s="262"/>
      <c r="F963" s="447" t="s">
        <v>2049</v>
      </c>
      <c r="G963" s="387" t="e">
        <f>VLOOKUP(A963,'Feature Summary'!$A$7:$C$3944,3,FALSE)</f>
        <v>#N/A</v>
      </c>
      <c r="H963" s="447" t="s">
        <v>2052</v>
      </c>
      <c r="I963" s="447"/>
      <c r="J963" s="480" t="s">
        <v>2053</v>
      </c>
      <c r="K963" s="263"/>
      <c r="L963" s="391"/>
      <c r="M963" s="399" t="s">
        <v>33</v>
      </c>
      <c r="N963" s="475">
        <v>1</v>
      </c>
      <c r="O963" s="391"/>
      <c r="P963" s="496">
        <f t="shared" si="171"/>
        <v>0</v>
      </c>
      <c r="Q963" s="445" t="s">
        <v>52</v>
      </c>
      <c r="R963" s="391"/>
      <c r="S963" s="362">
        <f t="shared" si="164"/>
        <v>0</v>
      </c>
      <c r="T963" s="368"/>
      <c r="U963" s="368"/>
      <c r="V963" s="368"/>
      <c r="W963" s="368"/>
      <c r="X963" s="364">
        <f t="shared" si="163"/>
        <v>0</v>
      </c>
      <c r="Y963" s="393"/>
      <c r="Z963" s="498">
        <f t="shared" si="145"/>
        <v>0</v>
      </c>
      <c r="AA963" s="368"/>
      <c r="AB963" s="368"/>
      <c r="AC963" s="368"/>
      <c r="AD963" s="368"/>
      <c r="AE963" s="365">
        <f t="shared" si="146"/>
        <v>0</v>
      </c>
      <c r="AF963" s="262"/>
      <c r="AG963" s="457"/>
      <c r="AH963" s="264"/>
    </row>
    <row r="964" spans="1:34" ht="15.75" thickBot="1" x14ac:dyDescent="0.3">
      <c r="A964" s="474"/>
      <c r="B964" s="470" t="s">
        <v>2048</v>
      </c>
      <c r="C964" s="463" t="s">
        <v>44</v>
      </c>
      <c r="D964" s="449" t="s">
        <v>1856</v>
      </c>
      <c r="E964" s="262"/>
      <c r="F964" s="447" t="s">
        <v>2049</v>
      </c>
      <c r="G964" s="387" t="e">
        <f>VLOOKUP(A964,'Feature Summary'!$A$7:$C$3944,3,FALSE)</f>
        <v>#N/A</v>
      </c>
      <c r="H964" s="447" t="s">
        <v>2054</v>
      </c>
      <c r="I964" s="447"/>
      <c r="J964" s="480" t="s">
        <v>2055</v>
      </c>
      <c r="K964" s="263"/>
      <c r="L964" s="391"/>
      <c r="M964" s="399" t="s">
        <v>33</v>
      </c>
      <c r="N964" s="475">
        <v>1</v>
      </c>
      <c r="O964" s="391"/>
      <c r="P964" s="496">
        <f t="shared" si="171"/>
        <v>0</v>
      </c>
      <c r="Q964" s="445" t="s">
        <v>52</v>
      </c>
      <c r="R964" s="391"/>
      <c r="S964" s="362">
        <f t="shared" si="164"/>
        <v>0</v>
      </c>
      <c r="T964" s="368"/>
      <c r="U964" s="368"/>
      <c r="V964" s="368"/>
      <c r="W964" s="368"/>
      <c r="X964" s="364">
        <f t="shared" si="163"/>
        <v>0</v>
      </c>
      <c r="Y964" s="393"/>
      <c r="Z964" s="498">
        <f t="shared" si="145"/>
        <v>0</v>
      </c>
      <c r="AA964" s="368"/>
      <c r="AB964" s="368"/>
      <c r="AC964" s="368"/>
      <c r="AD964" s="368"/>
      <c r="AE964" s="365">
        <f t="shared" si="146"/>
        <v>0</v>
      </c>
      <c r="AF964" s="262"/>
      <c r="AG964" s="457"/>
      <c r="AH964" s="264"/>
    </row>
    <row r="965" spans="1:34" ht="45.75" thickBot="1" x14ac:dyDescent="0.3">
      <c r="A965" s="474" t="s">
        <v>2047</v>
      </c>
      <c r="B965" s="470" t="s">
        <v>2048</v>
      </c>
      <c r="C965" s="463" t="s">
        <v>655</v>
      </c>
      <c r="D965" s="449" t="s">
        <v>1856</v>
      </c>
      <c r="E965" s="262"/>
      <c r="F965" s="447" t="s">
        <v>2056</v>
      </c>
      <c r="G965" s="387" t="e">
        <f>VLOOKUP(A965,'Feature Summary'!$A$7:$C$3944,3,FALSE)</f>
        <v>#N/A</v>
      </c>
      <c r="H965" s="447" t="s">
        <v>2057</v>
      </c>
      <c r="I965" s="488" t="s">
        <v>264</v>
      </c>
      <c r="J965" s="480" t="s">
        <v>2051</v>
      </c>
      <c r="K965" s="263">
        <v>1</v>
      </c>
      <c r="L965" s="391">
        <v>1</v>
      </c>
      <c r="M965" s="399" t="s">
        <v>33</v>
      </c>
      <c r="N965" s="475">
        <v>1</v>
      </c>
      <c r="O965" s="391">
        <v>1</v>
      </c>
      <c r="P965" s="496">
        <f t="shared" si="171"/>
        <v>1</v>
      </c>
      <c r="Q965" s="445" t="s">
        <v>52</v>
      </c>
      <c r="R965" s="391">
        <v>1</v>
      </c>
      <c r="S965" s="362">
        <f t="shared" si="164"/>
        <v>1</v>
      </c>
      <c r="T965" s="368">
        <v>1</v>
      </c>
      <c r="U965" s="368"/>
      <c r="V965" s="368"/>
      <c r="W965" s="368"/>
      <c r="X965" s="364">
        <f t="shared" si="163"/>
        <v>1</v>
      </c>
      <c r="Y965" s="393"/>
      <c r="Z965" s="498">
        <f t="shared" si="145"/>
        <v>0</v>
      </c>
      <c r="AA965" s="368"/>
      <c r="AB965" s="368"/>
      <c r="AC965" s="368"/>
      <c r="AD965" s="368"/>
      <c r="AE965" s="365">
        <f t="shared" si="146"/>
        <v>0</v>
      </c>
      <c r="AF965" s="262"/>
      <c r="AG965" s="457"/>
      <c r="AH965" s="264"/>
    </row>
    <row r="966" spans="1:34" ht="15.75" thickBot="1" x14ac:dyDescent="0.3">
      <c r="A966" s="474"/>
      <c r="B966" s="470" t="s">
        <v>2048</v>
      </c>
      <c r="C966" s="463" t="s">
        <v>44</v>
      </c>
      <c r="D966" s="449" t="s">
        <v>1856</v>
      </c>
      <c r="E966" s="262"/>
      <c r="F966" s="447" t="s">
        <v>2056</v>
      </c>
      <c r="G966" s="387" t="e">
        <f>VLOOKUP(A966,'Feature Summary'!$A$7:$C$3944,3,FALSE)</f>
        <v>#N/A</v>
      </c>
      <c r="H966" s="447" t="s">
        <v>2058</v>
      </c>
      <c r="I966" s="447"/>
      <c r="J966" s="480" t="s">
        <v>2053</v>
      </c>
      <c r="K966" s="263"/>
      <c r="L966" s="391"/>
      <c r="M966" s="399" t="s">
        <v>33</v>
      </c>
      <c r="N966" s="475">
        <v>1</v>
      </c>
      <c r="O966" s="391"/>
      <c r="P966" s="496">
        <f t="shared" si="171"/>
        <v>0</v>
      </c>
      <c r="Q966" s="445" t="s">
        <v>52</v>
      </c>
      <c r="R966" s="391"/>
      <c r="S966" s="362">
        <f t="shared" si="164"/>
        <v>0</v>
      </c>
      <c r="T966" s="368"/>
      <c r="U966" s="368"/>
      <c r="V966" s="368"/>
      <c r="W966" s="368"/>
      <c r="X966" s="364">
        <f t="shared" si="163"/>
        <v>0</v>
      </c>
      <c r="Y966" s="393"/>
      <c r="Z966" s="498">
        <f t="shared" si="145"/>
        <v>0</v>
      </c>
      <c r="AA966" s="368"/>
      <c r="AB966" s="368"/>
      <c r="AC966" s="368"/>
      <c r="AD966" s="368"/>
      <c r="AE966" s="365">
        <f t="shared" si="146"/>
        <v>0</v>
      </c>
      <c r="AF966" s="262"/>
      <c r="AG966" s="457"/>
      <c r="AH966" s="264"/>
    </row>
    <row r="967" spans="1:34" ht="15.75" thickBot="1" x14ac:dyDescent="0.3">
      <c r="A967" s="474"/>
      <c r="B967" s="470" t="s">
        <v>2048</v>
      </c>
      <c r="C967" s="463" t="s">
        <v>44</v>
      </c>
      <c r="D967" s="449" t="s">
        <v>1856</v>
      </c>
      <c r="E967" s="262"/>
      <c r="F967" s="447" t="s">
        <v>2056</v>
      </c>
      <c r="G967" s="387" t="e">
        <f>VLOOKUP(A967,'Feature Summary'!$A$7:$C$3944,3,FALSE)</f>
        <v>#N/A</v>
      </c>
      <c r="H967" s="447" t="s">
        <v>2059</v>
      </c>
      <c r="I967" s="447"/>
      <c r="J967" s="480" t="s">
        <v>2055</v>
      </c>
      <c r="K967" s="263"/>
      <c r="L967" s="391"/>
      <c r="M967" s="399" t="s">
        <v>33</v>
      </c>
      <c r="N967" s="475">
        <v>1</v>
      </c>
      <c r="O967" s="391"/>
      <c r="P967" s="496">
        <f t="shared" si="171"/>
        <v>0</v>
      </c>
      <c r="Q967" s="445" t="s">
        <v>52</v>
      </c>
      <c r="R967" s="391"/>
      <c r="S967" s="362">
        <f t="shared" si="164"/>
        <v>0</v>
      </c>
      <c r="T967" s="368"/>
      <c r="U967" s="368"/>
      <c r="V967" s="368"/>
      <c r="W967" s="368"/>
      <c r="X967" s="364">
        <f t="shared" si="163"/>
        <v>0</v>
      </c>
      <c r="Y967" s="393"/>
      <c r="Z967" s="498">
        <f t="shared" si="145"/>
        <v>0</v>
      </c>
      <c r="AA967" s="368"/>
      <c r="AB967" s="368"/>
      <c r="AC967" s="368"/>
      <c r="AD967" s="368"/>
      <c r="AE967" s="365">
        <f t="shared" si="146"/>
        <v>0</v>
      </c>
      <c r="AF967" s="262"/>
      <c r="AG967" s="457"/>
      <c r="AH967" s="264"/>
    </row>
    <row r="968" spans="1:34" ht="45.75" thickBot="1" x14ac:dyDescent="0.3">
      <c r="A968" s="474" t="s">
        <v>2060</v>
      </c>
      <c r="B968" s="470" t="s">
        <v>2048</v>
      </c>
      <c r="C968" s="463" t="s">
        <v>655</v>
      </c>
      <c r="D968" s="449" t="s">
        <v>1856</v>
      </c>
      <c r="E968" s="262"/>
      <c r="F968" s="470" t="s">
        <v>2061</v>
      </c>
      <c r="G968" s="387" t="e">
        <f>VLOOKUP(A968,'Feature Summary'!$A$7:$C$3944,3,FALSE)</f>
        <v>#N/A</v>
      </c>
      <c r="H968" s="447" t="s">
        <v>2062</v>
      </c>
      <c r="I968" s="488" t="s">
        <v>264</v>
      </c>
      <c r="J968" s="480" t="s">
        <v>2051</v>
      </c>
      <c r="K968" s="263">
        <v>1</v>
      </c>
      <c r="L968" s="391">
        <v>1</v>
      </c>
      <c r="M968" s="399" t="s">
        <v>33</v>
      </c>
      <c r="N968" s="475">
        <v>1</v>
      </c>
      <c r="O968" s="391">
        <v>1</v>
      </c>
      <c r="P968" s="496">
        <f t="shared" si="171"/>
        <v>1</v>
      </c>
      <c r="Q968" s="445" t="s">
        <v>52</v>
      </c>
      <c r="R968" s="391">
        <v>1</v>
      </c>
      <c r="S968" s="362">
        <f t="shared" si="164"/>
        <v>1</v>
      </c>
      <c r="T968" s="368">
        <v>1</v>
      </c>
      <c r="U968" s="368"/>
      <c r="V968" s="368"/>
      <c r="W968" s="368"/>
      <c r="X968" s="364">
        <f t="shared" si="163"/>
        <v>1</v>
      </c>
      <c r="Y968" s="393"/>
      <c r="Z968" s="498">
        <f t="shared" si="145"/>
        <v>0</v>
      </c>
      <c r="AA968" s="368"/>
      <c r="AB968" s="368"/>
      <c r="AC968" s="368"/>
      <c r="AD968" s="368"/>
      <c r="AE968" s="365">
        <f t="shared" si="146"/>
        <v>0</v>
      </c>
      <c r="AF968" s="262"/>
      <c r="AG968" s="457"/>
      <c r="AH968" s="264"/>
    </row>
    <row r="969" spans="1:34" ht="15.75" thickBot="1" x14ac:dyDescent="0.3">
      <c r="A969" s="474"/>
      <c r="B969" s="470" t="s">
        <v>2048</v>
      </c>
      <c r="C969" s="463" t="s">
        <v>44</v>
      </c>
      <c r="D969" s="449" t="s">
        <v>1856</v>
      </c>
      <c r="E969" s="262"/>
      <c r="F969" s="470" t="s">
        <v>2061</v>
      </c>
      <c r="G969" s="387" t="e">
        <f>VLOOKUP(A969,'Feature Summary'!$A$7:$C$3944,3,FALSE)</f>
        <v>#N/A</v>
      </c>
      <c r="H969" s="447" t="s">
        <v>2063</v>
      </c>
      <c r="I969" s="447"/>
      <c r="J969" s="480" t="s">
        <v>2053</v>
      </c>
      <c r="K969" s="263"/>
      <c r="L969" s="391"/>
      <c r="M969" s="399" t="s">
        <v>33</v>
      </c>
      <c r="N969" s="475">
        <v>1</v>
      </c>
      <c r="O969" s="391"/>
      <c r="P969" s="496">
        <f t="shared" si="171"/>
        <v>0</v>
      </c>
      <c r="Q969" s="445" t="s">
        <v>52</v>
      </c>
      <c r="R969" s="391"/>
      <c r="S969" s="362">
        <f t="shared" si="164"/>
        <v>0</v>
      </c>
      <c r="T969" s="368"/>
      <c r="U969" s="368"/>
      <c r="V969" s="368"/>
      <c r="W969" s="368"/>
      <c r="X969" s="364">
        <f t="shared" si="163"/>
        <v>0</v>
      </c>
      <c r="Y969" s="393"/>
      <c r="Z969" s="498">
        <f t="shared" si="145"/>
        <v>0</v>
      </c>
      <c r="AA969" s="368"/>
      <c r="AB969" s="368"/>
      <c r="AC969" s="368"/>
      <c r="AD969" s="368"/>
      <c r="AE969" s="365">
        <f t="shared" si="146"/>
        <v>0</v>
      </c>
      <c r="AF969" s="262"/>
      <c r="AG969" s="457"/>
      <c r="AH969" s="264"/>
    </row>
    <row r="970" spans="1:34" ht="15.75" thickBot="1" x14ac:dyDescent="0.3">
      <c r="A970" s="474"/>
      <c r="B970" s="470" t="s">
        <v>2048</v>
      </c>
      <c r="C970" s="463" t="s">
        <v>44</v>
      </c>
      <c r="D970" s="449" t="s">
        <v>1856</v>
      </c>
      <c r="E970" s="262"/>
      <c r="F970" s="470" t="s">
        <v>2061</v>
      </c>
      <c r="G970" s="387" t="e">
        <f>VLOOKUP(A970,'Feature Summary'!$A$7:$C$3944,3,FALSE)</f>
        <v>#N/A</v>
      </c>
      <c r="H970" s="447" t="s">
        <v>2064</v>
      </c>
      <c r="I970" s="447"/>
      <c r="J970" s="480" t="s">
        <v>2055</v>
      </c>
      <c r="K970" s="263"/>
      <c r="L970" s="391"/>
      <c r="M970" s="399" t="s">
        <v>33</v>
      </c>
      <c r="N970" s="475">
        <v>1</v>
      </c>
      <c r="O970" s="391"/>
      <c r="P970" s="496">
        <f t="shared" si="171"/>
        <v>0</v>
      </c>
      <c r="Q970" s="445" t="s">
        <v>52</v>
      </c>
      <c r="R970" s="391"/>
      <c r="S970" s="362">
        <f t="shared" si="164"/>
        <v>0</v>
      </c>
      <c r="T970" s="368"/>
      <c r="U970" s="368"/>
      <c r="V970" s="368"/>
      <c r="W970" s="368"/>
      <c r="X970" s="364">
        <f t="shared" si="163"/>
        <v>0</v>
      </c>
      <c r="Y970" s="393"/>
      <c r="Z970" s="498">
        <f t="shared" ref="Z970:Z1031" si="172">SUM(AA970:AD970)</f>
        <v>0</v>
      </c>
      <c r="AA970" s="368"/>
      <c r="AB970" s="368"/>
      <c r="AC970" s="368"/>
      <c r="AD970" s="368"/>
      <c r="AE970" s="365">
        <f t="shared" ref="AE970:AE1031" si="173">IF((Z970=0),0,((AA970+AB970)/Z970*100%))</f>
        <v>0</v>
      </c>
      <c r="AF970" s="262"/>
      <c r="AG970" s="457"/>
      <c r="AH970" s="264"/>
    </row>
    <row r="971" spans="1:34" ht="75.75" thickBot="1" x14ac:dyDescent="0.3">
      <c r="A971" s="474" t="s">
        <v>2065</v>
      </c>
      <c r="B971" s="470" t="s">
        <v>2048</v>
      </c>
      <c r="C971" s="463" t="s">
        <v>655</v>
      </c>
      <c r="D971" s="449" t="s">
        <v>1856</v>
      </c>
      <c r="E971" s="262"/>
      <c r="F971" s="470" t="s">
        <v>2066</v>
      </c>
      <c r="G971" s="387" t="e">
        <f>VLOOKUP(A971,'Feature Summary'!$A$7:$C$3944,3,FALSE)</f>
        <v>#N/A</v>
      </c>
      <c r="H971" s="447" t="s">
        <v>2067</v>
      </c>
      <c r="I971" s="488" t="s">
        <v>264</v>
      </c>
      <c r="J971" s="480" t="s">
        <v>2051</v>
      </c>
      <c r="K971" s="263">
        <v>1</v>
      </c>
      <c r="L971" s="391">
        <v>1</v>
      </c>
      <c r="M971" s="399" t="s">
        <v>33</v>
      </c>
      <c r="N971" s="475">
        <v>1</v>
      </c>
      <c r="O971" s="391">
        <v>1</v>
      </c>
      <c r="P971" s="496">
        <f t="shared" si="171"/>
        <v>1</v>
      </c>
      <c r="Q971" s="445" t="s">
        <v>52</v>
      </c>
      <c r="R971" s="391">
        <v>1</v>
      </c>
      <c r="S971" s="362">
        <f t="shared" si="164"/>
        <v>1</v>
      </c>
      <c r="T971" s="368">
        <v>1</v>
      </c>
      <c r="U971" s="368"/>
      <c r="V971" s="368"/>
      <c r="W971" s="368"/>
      <c r="X971" s="364">
        <f t="shared" si="163"/>
        <v>1</v>
      </c>
      <c r="Y971" s="393"/>
      <c r="Z971" s="498">
        <f t="shared" si="172"/>
        <v>0</v>
      </c>
      <c r="AA971" s="368"/>
      <c r="AB971" s="368"/>
      <c r="AC971" s="368"/>
      <c r="AD971" s="368"/>
      <c r="AE971" s="365">
        <f t="shared" si="173"/>
        <v>0</v>
      </c>
      <c r="AF971" s="558"/>
      <c r="AG971" s="457"/>
      <c r="AH971" s="264"/>
    </row>
    <row r="972" spans="1:34" ht="30.75" thickBot="1" x14ac:dyDescent="0.3">
      <c r="A972" s="474"/>
      <c r="B972" s="470" t="s">
        <v>2048</v>
      </c>
      <c r="C972" s="463" t="s">
        <v>44</v>
      </c>
      <c r="D972" s="449" t="s">
        <v>1856</v>
      </c>
      <c r="E972" s="262"/>
      <c r="F972" s="470" t="s">
        <v>2066</v>
      </c>
      <c r="G972" s="387" t="e">
        <f>VLOOKUP(A972,'Feature Summary'!$A$7:$C$3944,3,FALSE)</f>
        <v>#N/A</v>
      </c>
      <c r="H972" s="447" t="s">
        <v>2068</v>
      </c>
      <c r="I972" s="447"/>
      <c r="J972" s="480" t="s">
        <v>2053</v>
      </c>
      <c r="K972" s="263"/>
      <c r="L972" s="391"/>
      <c r="M972" s="399" t="s">
        <v>33</v>
      </c>
      <c r="N972" s="475">
        <v>1</v>
      </c>
      <c r="O972" s="391"/>
      <c r="P972" s="496">
        <f t="shared" si="171"/>
        <v>0</v>
      </c>
      <c r="Q972" s="445" t="s">
        <v>52</v>
      </c>
      <c r="R972" s="391"/>
      <c r="S972" s="362">
        <f t="shared" si="164"/>
        <v>0</v>
      </c>
      <c r="T972" s="368"/>
      <c r="U972" s="368"/>
      <c r="V972" s="368"/>
      <c r="W972" s="368"/>
      <c r="X972" s="364">
        <f t="shared" si="163"/>
        <v>0</v>
      </c>
      <c r="Y972" s="393"/>
      <c r="Z972" s="498">
        <f t="shared" si="172"/>
        <v>0</v>
      </c>
      <c r="AA972" s="368"/>
      <c r="AB972" s="368"/>
      <c r="AC972" s="368"/>
      <c r="AD972" s="368"/>
      <c r="AE972" s="365">
        <f t="shared" si="173"/>
        <v>0</v>
      </c>
      <c r="AF972" s="262"/>
      <c r="AG972" s="457"/>
      <c r="AH972" s="264"/>
    </row>
    <row r="973" spans="1:34" ht="30.75" thickBot="1" x14ac:dyDescent="0.3">
      <c r="A973" s="474"/>
      <c r="B973" s="470" t="s">
        <v>2048</v>
      </c>
      <c r="C973" s="463" t="s">
        <v>44</v>
      </c>
      <c r="D973" s="449" t="s">
        <v>1856</v>
      </c>
      <c r="E973" s="262"/>
      <c r="F973" s="470" t="s">
        <v>2066</v>
      </c>
      <c r="G973" s="387" t="e">
        <f>VLOOKUP(A973,'Feature Summary'!$A$7:$C$3944,3,FALSE)</f>
        <v>#N/A</v>
      </c>
      <c r="H973" s="447" t="s">
        <v>2069</v>
      </c>
      <c r="I973" s="447"/>
      <c r="J973" s="480" t="s">
        <v>2055</v>
      </c>
      <c r="K973" s="263"/>
      <c r="L973" s="391"/>
      <c r="M973" s="399" t="s">
        <v>33</v>
      </c>
      <c r="N973" s="475">
        <v>1</v>
      </c>
      <c r="O973" s="391"/>
      <c r="P973" s="496">
        <f t="shared" si="171"/>
        <v>0</v>
      </c>
      <c r="Q973" s="445" t="s">
        <v>52</v>
      </c>
      <c r="R973" s="391"/>
      <c r="S973" s="362">
        <f t="shared" si="164"/>
        <v>0</v>
      </c>
      <c r="T973" s="368"/>
      <c r="U973" s="368"/>
      <c r="V973" s="368"/>
      <c r="W973" s="368"/>
      <c r="X973" s="364">
        <f t="shared" si="163"/>
        <v>0</v>
      </c>
      <c r="Y973" s="393"/>
      <c r="Z973" s="498">
        <f t="shared" si="172"/>
        <v>0</v>
      </c>
      <c r="AA973" s="368"/>
      <c r="AB973" s="368"/>
      <c r="AC973" s="368"/>
      <c r="AD973" s="368"/>
      <c r="AE973" s="365">
        <f t="shared" si="173"/>
        <v>0</v>
      </c>
      <c r="AF973" s="262"/>
      <c r="AG973" s="457"/>
      <c r="AH973" s="264"/>
    </row>
    <row r="974" spans="1:34" ht="45.75" thickBot="1" x14ac:dyDescent="0.3">
      <c r="A974" s="474" t="s">
        <v>2060</v>
      </c>
      <c r="B974" s="470" t="s">
        <v>2048</v>
      </c>
      <c r="C974" s="463" t="s">
        <v>655</v>
      </c>
      <c r="D974" s="449" t="s">
        <v>1856</v>
      </c>
      <c r="E974" s="262"/>
      <c r="F974" s="470" t="s">
        <v>2070</v>
      </c>
      <c r="G974" s="387" t="e">
        <f>VLOOKUP(A974,'Feature Summary'!$A$7:$C$3944,3,FALSE)</f>
        <v>#N/A</v>
      </c>
      <c r="H974" s="447" t="s">
        <v>2071</v>
      </c>
      <c r="I974" s="488" t="s">
        <v>264</v>
      </c>
      <c r="J974" s="480" t="s">
        <v>2072</v>
      </c>
      <c r="K974" s="263">
        <v>1</v>
      </c>
      <c r="L974" s="391">
        <v>1</v>
      </c>
      <c r="M974" s="399" t="s">
        <v>33</v>
      </c>
      <c r="N974" s="475">
        <v>1</v>
      </c>
      <c r="O974" s="391">
        <v>1</v>
      </c>
      <c r="P974" s="496">
        <f t="shared" si="171"/>
        <v>1</v>
      </c>
      <c r="Q974" s="445" t="s">
        <v>52</v>
      </c>
      <c r="R974" s="391">
        <v>1</v>
      </c>
      <c r="S974" s="362">
        <f t="shared" si="164"/>
        <v>1</v>
      </c>
      <c r="T974" s="368">
        <v>1</v>
      </c>
      <c r="U974" s="368"/>
      <c r="V974" s="368"/>
      <c r="W974" s="368"/>
      <c r="X974" s="364">
        <f t="shared" si="163"/>
        <v>1</v>
      </c>
      <c r="Y974" s="393"/>
      <c r="Z974" s="498">
        <f t="shared" si="172"/>
        <v>0</v>
      </c>
      <c r="AA974" s="368"/>
      <c r="AB974" s="368"/>
      <c r="AC974" s="368"/>
      <c r="AD974" s="368"/>
      <c r="AE974" s="365">
        <f t="shared" si="173"/>
        <v>0</v>
      </c>
      <c r="AF974" s="262"/>
      <c r="AG974" s="457"/>
      <c r="AH974" s="264"/>
    </row>
    <row r="975" spans="1:34" ht="15.75" thickBot="1" x14ac:dyDescent="0.3">
      <c r="A975" s="474"/>
      <c r="B975" s="470" t="s">
        <v>2048</v>
      </c>
      <c r="C975" s="463" t="s">
        <v>44</v>
      </c>
      <c r="D975" s="449" t="s">
        <v>1856</v>
      </c>
      <c r="E975" s="262"/>
      <c r="F975" s="470" t="s">
        <v>2070</v>
      </c>
      <c r="G975" s="387" t="e">
        <f>VLOOKUP(A975,'Feature Summary'!$A$7:$C$3944,3,FALSE)</f>
        <v>#N/A</v>
      </c>
      <c r="H975" s="447" t="s">
        <v>2073</v>
      </c>
      <c r="I975" s="447"/>
      <c r="J975" s="480" t="s">
        <v>2074</v>
      </c>
      <c r="K975" s="263"/>
      <c r="L975" s="391"/>
      <c r="M975" s="399" t="s">
        <v>33</v>
      </c>
      <c r="N975" s="475">
        <v>1</v>
      </c>
      <c r="O975" s="391"/>
      <c r="P975" s="496">
        <f t="shared" si="171"/>
        <v>0</v>
      </c>
      <c r="Q975" s="445" t="s">
        <v>52</v>
      </c>
      <c r="R975" s="391"/>
      <c r="S975" s="362">
        <f t="shared" si="164"/>
        <v>0</v>
      </c>
      <c r="T975" s="368"/>
      <c r="U975" s="368"/>
      <c r="V975" s="368"/>
      <c r="W975" s="368"/>
      <c r="X975" s="364">
        <f t="shared" si="163"/>
        <v>0</v>
      </c>
      <c r="Y975" s="393"/>
      <c r="Z975" s="498">
        <f t="shared" si="172"/>
        <v>0</v>
      </c>
      <c r="AA975" s="368"/>
      <c r="AB975" s="368"/>
      <c r="AC975" s="368"/>
      <c r="AD975" s="368"/>
      <c r="AE975" s="365">
        <f t="shared" si="173"/>
        <v>0</v>
      </c>
      <c r="AF975" s="262"/>
      <c r="AG975" s="457"/>
      <c r="AH975" s="264"/>
    </row>
    <row r="976" spans="1:34" ht="15.75" thickBot="1" x14ac:dyDescent="0.3">
      <c r="A976" s="474"/>
      <c r="B976" s="470" t="s">
        <v>2048</v>
      </c>
      <c r="C976" s="463" t="s">
        <v>44</v>
      </c>
      <c r="D976" s="449" t="s">
        <v>1856</v>
      </c>
      <c r="E976" s="262"/>
      <c r="F976" s="470" t="s">
        <v>2070</v>
      </c>
      <c r="G976" s="387" t="e">
        <f>VLOOKUP(A976,'Feature Summary'!$A$7:$C$3944,3,FALSE)</f>
        <v>#N/A</v>
      </c>
      <c r="H976" s="447" t="s">
        <v>2075</v>
      </c>
      <c r="I976" s="447"/>
      <c r="J976" s="480" t="s">
        <v>2076</v>
      </c>
      <c r="K976" s="263"/>
      <c r="L976" s="391"/>
      <c r="M976" s="399" t="s">
        <v>33</v>
      </c>
      <c r="N976" s="475">
        <v>1</v>
      </c>
      <c r="O976" s="391"/>
      <c r="P976" s="496">
        <f t="shared" si="171"/>
        <v>0</v>
      </c>
      <c r="Q976" s="445" t="s">
        <v>52</v>
      </c>
      <c r="R976" s="391"/>
      <c r="S976" s="362">
        <f t="shared" si="164"/>
        <v>0</v>
      </c>
      <c r="T976" s="368"/>
      <c r="U976" s="368"/>
      <c r="V976" s="368"/>
      <c r="W976" s="368"/>
      <c r="X976" s="364">
        <f t="shared" si="163"/>
        <v>0</v>
      </c>
      <c r="Y976" s="393"/>
      <c r="Z976" s="498">
        <f t="shared" si="172"/>
        <v>0</v>
      </c>
      <c r="AA976" s="368"/>
      <c r="AB976" s="368"/>
      <c r="AC976" s="368"/>
      <c r="AD976" s="368"/>
      <c r="AE976" s="365">
        <f t="shared" si="173"/>
        <v>0</v>
      </c>
      <c r="AF976" s="262"/>
      <c r="AG976" s="457"/>
      <c r="AH976" s="264"/>
    </row>
    <row r="977" spans="1:34" ht="45.75" thickBot="1" x14ac:dyDescent="0.3">
      <c r="A977" s="474" t="s">
        <v>2060</v>
      </c>
      <c r="B977" s="470" t="s">
        <v>2048</v>
      </c>
      <c r="C977" s="463" t="s">
        <v>655</v>
      </c>
      <c r="D977" s="449" t="s">
        <v>1856</v>
      </c>
      <c r="E977" s="262"/>
      <c r="F977" s="470" t="s">
        <v>2077</v>
      </c>
      <c r="G977" s="387" t="e">
        <f>VLOOKUP(A977,'Feature Summary'!$A$7:$C$3944,3,FALSE)</f>
        <v>#N/A</v>
      </c>
      <c r="H977" s="447" t="s">
        <v>2078</v>
      </c>
      <c r="I977" s="488" t="s">
        <v>264</v>
      </c>
      <c r="J977" s="480" t="s">
        <v>2072</v>
      </c>
      <c r="K977" s="263">
        <v>1</v>
      </c>
      <c r="L977" s="391">
        <v>1</v>
      </c>
      <c r="M977" s="399" t="s">
        <v>33</v>
      </c>
      <c r="N977" s="475">
        <v>1</v>
      </c>
      <c r="O977" s="391">
        <v>1</v>
      </c>
      <c r="P977" s="496">
        <f t="shared" si="171"/>
        <v>1</v>
      </c>
      <c r="Q977" s="445" t="s">
        <v>52</v>
      </c>
      <c r="R977" s="391">
        <v>1</v>
      </c>
      <c r="S977" s="362">
        <f t="shared" si="164"/>
        <v>1</v>
      </c>
      <c r="T977" s="368">
        <v>1</v>
      </c>
      <c r="U977" s="368"/>
      <c r="V977" s="368"/>
      <c r="W977" s="368"/>
      <c r="X977" s="364">
        <f t="shared" si="163"/>
        <v>1</v>
      </c>
      <c r="Y977" s="393"/>
      <c r="Z977" s="498">
        <f t="shared" si="172"/>
        <v>0</v>
      </c>
      <c r="AA977" s="368"/>
      <c r="AB977" s="368"/>
      <c r="AC977" s="368"/>
      <c r="AD977" s="368"/>
      <c r="AE977" s="365">
        <f t="shared" si="173"/>
        <v>0</v>
      </c>
      <c r="AF977" s="262"/>
      <c r="AG977" s="457"/>
      <c r="AH977" s="264"/>
    </row>
    <row r="978" spans="1:34" ht="15.75" thickBot="1" x14ac:dyDescent="0.3">
      <c r="A978" s="474"/>
      <c r="B978" s="470" t="s">
        <v>2048</v>
      </c>
      <c r="C978" s="463" t="s">
        <v>44</v>
      </c>
      <c r="D978" s="449" t="s">
        <v>1856</v>
      </c>
      <c r="E978" s="262"/>
      <c r="F978" s="470" t="s">
        <v>2077</v>
      </c>
      <c r="G978" s="387" t="e">
        <f>VLOOKUP(A978,'Feature Summary'!$A$7:$C$3944,3,FALSE)</f>
        <v>#N/A</v>
      </c>
      <c r="H978" s="447" t="s">
        <v>2079</v>
      </c>
      <c r="I978" s="447"/>
      <c r="J978" s="480" t="s">
        <v>2074</v>
      </c>
      <c r="K978" s="263"/>
      <c r="L978" s="391"/>
      <c r="M978" s="399" t="s">
        <v>33</v>
      </c>
      <c r="N978" s="475">
        <v>1</v>
      </c>
      <c r="O978" s="391"/>
      <c r="P978" s="496">
        <f t="shared" si="171"/>
        <v>0</v>
      </c>
      <c r="Q978" s="445" t="s">
        <v>52</v>
      </c>
      <c r="R978" s="391"/>
      <c r="S978" s="362">
        <f t="shared" si="164"/>
        <v>0</v>
      </c>
      <c r="T978" s="368"/>
      <c r="U978" s="368"/>
      <c r="V978" s="368"/>
      <c r="W978" s="368"/>
      <c r="X978" s="364">
        <f t="shared" si="163"/>
        <v>0</v>
      </c>
      <c r="Y978" s="393"/>
      <c r="Z978" s="498">
        <f t="shared" si="172"/>
        <v>0</v>
      </c>
      <c r="AA978" s="368"/>
      <c r="AB978" s="368"/>
      <c r="AC978" s="368"/>
      <c r="AD978" s="368"/>
      <c r="AE978" s="365">
        <f t="shared" si="173"/>
        <v>0</v>
      </c>
      <c r="AF978" s="262"/>
      <c r="AG978" s="457"/>
      <c r="AH978" s="264"/>
    </row>
    <row r="979" spans="1:34" ht="15.75" thickBot="1" x14ac:dyDescent="0.3">
      <c r="A979" s="474"/>
      <c r="B979" s="470" t="s">
        <v>2048</v>
      </c>
      <c r="C979" s="463" t="s">
        <v>44</v>
      </c>
      <c r="D979" s="449" t="s">
        <v>1856</v>
      </c>
      <c r="E979" s="262"/>
      <c r="F979" s="470" t="s">
        <v>2077</v>
      </c>
      <c r="G979" s="387" t="e">
        <f>VLOOKUP(A979,'Feature Summary'!$A$7:$C$3944,3,FALSE)</f>
        <v>#N/A</v>
      </c>
      <c r="H979" s="447" t="s">
        <v>2080</v>
      </c>
      <c r="I979" s="447"/>
      <c r="J979" s="480" t="s">
        <v>2076</v>
      </c>
      <c r="K979" s="263"/>
      <c r="L979" s="391"/>
      <c r="M979" s="399" t="s">
        <v>33</v>
      </c>
      <c r="N979" s="475">
        <v>1</v>
      </c>
      <c r="O979" s="391"/>
      <c r="P979" s="496">
        <f t="shared" si="171"/>
        <v>0</v>
      </c>
      <c r="Q979" s="445" t="s">
        <v>52</v>
      </c>
      <c r="R979" s="391"/>
      <c r="S979" s="362">
        <f t="shared" si="164"/>
        <v>0</v>
      </c>
      <c r="T979" s="368"/>
      <c r="U979" s="368"/>
      <c r="V979" s="368"/>
      <c r="W979" s="368"/>
      <c r="X979" s="364">
        <f t="shared" si="163"/>
        <v>0</v>
      </c>
      <c r="Y979" s="393"/>
      <c r="Z979" s="498">
        <f t="shared" si="172"/>
        <v>0</v>
      </c>
      <c r="AA979" s="368"/>
      <c r="AB979" s="368"/>
      <c r="AC979" s="368"/>
      <c r="AD979" s="368"/>
      <c r="AE979" s="365">
        <f t="shared" si="173"/>
        <v>0</v>
      </c>
      <c r="AF979" s="262"/>
      <c r="AG979" s="457"/>
      <c r="AH979" s="264"/>
    </row>
    <row r="980" spans="1:34" ht="75.75" thickBot="1" x14ac:dyDescent="0.3">
      <c r="A980" s="474"/>
      <c r="B980" s="470" t="s">
        <v>2048</v>
      </c>
      <c r="C980" s="463" t="s">
        <v>44</v>
      </c>
      <c r="D980" s="449" t="s">
        <v>1856</v>
      </c>
      <c r="E980" s="262"/>
      <c r="F980" s="470" t="s">
        <v>2077</v>
      </c>
      <c r="G980" s="387" t="e">
        <f>VLOOKUP(A980,'Feature Summary'!$A$7:$C$3944,3,FALSE)</f>
        <v>#N/A</v>
      </c>
      <c r="H980" s="447" t="s">
        <v>2081</v>
      </c>
      <c r="I980" s="447"/>
      <c r="J980" s="478" t="s">
        <v>2082</v>
      </c>
      <c r="K980" s="263"/>
      <c r="L980" s="391"/>
      <c r="M980" s="399" t="s">
        <v>33</v>
      </c>
      <c r="N980" s="475">
        <v>1</v>
      </c>
      <c r="O980" s="391"/>
      <c r="P980" s="496">
        <f t="shared" si="171"/>
        <v>0</v>
      </c>
      <c r="Q980" s="445" t="s">
        <v>52</v>
      </c>
      <c r="R980" s="391"/>
      <c r="S980" s="362">
        <f t="shared" si="164"/>
        <v>0</v>
      </c>
      <c r="T980" s="368"/>
      <c r="U980" s="588"/>
      <c r="V980" s="588"/>
      <c r="W980" s="588"/>
      <c r="X980" s="364">
        <f t="shared" si="163"/>
        <v>0</v>
      </c>
      <c r="Y980" s="393"/>
      <c r="Z980" s="498">
        <f t="shared" si="172"/>
        <v>0</v>
      </c>
      <c r="AA980" s="368"/>
      <c r="AB980" s="368"/>
      <c r="AC980" s="368"/>
      <c r="AD980" s="368"/>
      <c r="AE980" s="365">
        <f t="shared" si="173"/>
        <v>0</v>
      </c>
      <c r="AF980" s="262"/>
      <c r="AG980" s="457"/>
      <c r="AH980" s="264"/>
    </row>
    <row r="981" spans="1:34" ht="15.75" thickBot="1" x14ac:dyDescent="0.3">
      <c r="A981" s="474"/>
      <c r="B981" s="470" t="s">
        <v>2048</v>
      </c>
      <c r="C981" s="463" t="s">
        <v>655</v>
      </c>
      <c r="D981" s="449" t="s">
        <v>1856</v>
      </c>
      <c r="E981" s="262"/>
      <c r="F981" s="470" t="s">
        <v>2077</v>
      </c>
      <c r="G981" s="387" t="e">
        <f>VLOOKUP(A981,'Feature Summary'!$A$7:$C$3944,3,FALSE)</f>
        <v>#N/A</v>
      </c>
      <c r="H981" s="447" t="s">
        <v>2078</v>
      </c>
      <c r="I981" s="488" t="s">
        <v>288</v>
      </c>
      <c r="J981" s="480" t="s">
        <v>2072</v>
      </c>
      <c r="K981" s="263">
        <v>1</v>
      </c>
      <c r="L981" s="391">
        <v>1</v>
      </c>
      <c r="M981" s="399" t="s">
        <v>33</v>
      </c>
      <c r="N981" s="475">
        <v>1</v>
      </c>
      <c r="O981" s="391">
        <v>0.5</v>
      </c>
      <c r="P981" s="496">
        <f t="shared" ref="P981" si="174">IF((O981=0),0,(O981/L981))</f>
        <v>0.5</v>
      </c>
      <c r="Q981" s="445" t="s">
        <v>52</v>
      </c>
      <c r="R981" s="391">
        <v>1</v>
      </c>
      <c r="S981" s="362">
        <f t="shared" ref="S981" si="175">SUM(T981:W981)</f>
        <v>1</v>
      </c>
      <c r="T981" s="368">
        <v>1</v>
      </c>
      <c r="U981" s="368"/>
      <c r="V981" s="368"/>
      <c r="W981" s="368"/>
      <c r="X981" s="364">
        <f t="shared" ref="X981" si="176">IF((S981=0),0,((T981+U981)/S981*100%))</f>
        <v>1</v>
      </c>
      <c r="Y981" s="393"/>
      <c r="Z981" s="498">
        <f t="shared" si="172"/>
        <v>0</v>
      </c>
      <c r="AA981" s="368"/>
      <c r="AB981" s="368"/>
      <c r="AC981" s="368"/>
      <c r="AD981" s="368"/>
      <c r="AE981" s="365">
        <f t="shared" si="173"/>
        <v>0</v>
      </c>
      <c r="AF981" s="262"/>
      <c r="AG981" s="457"/>
      <c r="AH981" s="264"/>
    </row>
    <row r="982" spans="1:34" ht="45.75" thickBot="1" x14ac:dyDescent="0.3">
      <c r="A982" s="474" t="s">
        <v>2060</v>
      </c>
      <c r="B982" s="470" t="s">
        <v>2048</v>
      </c>
      <c r="C982" s="463" t="s">
        <v>655</v>
      </c>
      <c r="D982" s="449" t="s">
        <v>1856</v>
      </c>
      <c r="E982" s="262"/>
      <c r="F982" s="470" t="s">
        <v>2083</v>
      </c>
      <c r="G982" s="387" t="e">
        <f>VLOOKUP(A982,'Feature Summary'!$A$7:$C$3944,3,FALSE)</f>
        <v>#N/A</v>
      </c>
      <c r="H982" s="447" t="s">
        <v>2084</v>
      </c>
      <c r="I982" s="488" t="s">
        <v>264</v>
      </c>
      <c r="J982" s="480" t="s">
        <v>2072</v>
      </c>
      <c r="K982" s="263">
        <v>1</v>
      </c>
      <c r="L982" s="391">
        <v>1</v>
      </c>
      <c r="M982" s="399" t="s">
        <v>33</v>
      </c>
      <c r="N982" s="475">
        <v>1</v>
      </c>
      <c r="O982" s="391">
        <v>1</v>
      </c>
      <c r="P982" s="496">
        <f t="shared" si="171"/>
        <v>1</v>
      </c>
      <c r="Q982" s="445" t="s">
        <v>52</v>
      </c>
      <c r="R982" s="391">
        <v>1</v>
      </c>
      <c r="S982" s="362">
        <f t="shared" si="164"/>
        <v>1</v>
      </c>
      <c r="T982" s="368">
        <v>1</v>
      </c>
      <c r="U982" s="368"/>
      <c r="V982" s="368"/>
      <c r="W982" s="368"/>
      <c r="X982" s="364">
        <f t="shared" si="163"/>
        <v>1</v>
      </c>
      <c r="Y982" s="393"/>
      <c r="Z982" s="498">
        <f t="shared" si="172"/>
        <v>0</v>
      </c>
      <c r="AA982" s="368"/>
      <c r="AB982" s="368"/>
      <c r="AC982" s="368"/>
      <c r="AD982" s="368"/>
      <c r="AE982" s="365">
        <f t="shared" si="173"/>
        <v>0</v>
      </c>
      <c r="AF982" s="262"/>
      <c r="AG982" s="457"/>
      <c r="AH982" s="264"/>
    </row>
    <row r="983" spans="1:34" ht="15.75" thickBot="1" x14ac:dyDescent="0.3">
      <c r="A983" s="474"/>
      <c r="B983" s="470" t="s">
        <v>2048</v>
      </c>
      <c r="C983" s="463" t="s">
        <v>44</v>
      </c>
      <c r="D983" s="449" t="s">
        <v>1856</v>
      </c>
      <c r="E983" s="262"/>
      <c r="F983" s="470" t="s">
        <v>2083</v>
      </c>
      <c r="G983" s="387" t="e">
        <f>VLOOKUP(A983,'Feature Summary'!$A$7:$C$3944,3,FALSE)</f>
        <v>#N/A</v>
      </c>
      <c r="H983" s="447" t="s">
        <v>2085</v>
      </c>
      <c r="I983" s="447"/>
      <c r="J983" s="480" t="s">
        <v>2074</v>
      </c>
      <c r="K983" s="263"/>
      <c r="L983" s="391"/>
      <c r="M983" s="399" t="s">
        <v>33</v>
      </c>
      <c r="N983" s="475">
        <v>1</v>
      </c>
      <c r="O983" s="391"/>
      <c r="P983" s="496">
        <f t="shared" si="171"/>
        <v>0</v>
      </c>
      <c r="Q983" s="445" t="s">
        <v>52</v>
      </c>
      <c r="R983" s="391"/>
      <c r="S983" s="362">
        <f t="shared" si="164"/>
        <v>0</v>
      </c>
      <c r="T983" s="368"/>
      <c r="U983" s="368"/>
      <c r="V983" s="368"/>
      <c r="W983" s="368"/>
      <c r="X983" s="364">
        <f t="shared" si="163"/>
        <v>0</v>
      </c>
      <c r="Y983" s="393"/>
      <c r="Z983" s="498">
        <f t="shared" si="172"/>
        <v>0</v>
      </c>
      <c r="AA983" s="368"/>
      <c r="AB983" s="368"/>
      <c r="AC983" s="368"/>
      <c r="AD983" s="368"/>
      <c r="AE983" s="365">
        <f t="shared" si="173"/>
        <v>0</v>
      </c>
      <c r="AF983" s="262"/>
      <c r="AG983" s="457"/>
      <c r="AH983" s="264"/>
    </row>
    <row r="984" spans="1:34" ht="15.75" thickBot="1" x14ac:dyDescent="0.3">
      <c r="A984" s="474"/>
      <c r="B984" s="470" t="s">
        <v>2048</v>
      </c>
      <c r="C984" s="463" t="s">
        <v>44</v>
      </c>
      <c r="D984" s="449" t="s">
        <v>1856</v>
      </c>
      <c r="E984" s="262"/>
      <c r="F984" s="470" t="s">
        <v>2083</v>
      </c>
      <c r="G984" s="387" t="e">
        <f>VLOOKUP(A984,'Feature Summary'!$A$7:$C$3944,3,FALSE)</f>
        <v>#N/A</v>
      </c>
      <c r="H984" s="447" t="s">
        <v>2086</v>
      </c>
      <c r="I984" s="447"/>
      <c r="J984" s="480" t="s">
        <v>2076</v>
      </c>
      <c r="K984" s="263"/>
      <c r="L984" s="391"/>
      <c r="M984" s="399" t="s">
        <v>33</v>
      </c>
      <c r="N984" s="475">
        <v>1</v>
      </c>
      <c r="O984" s="391"/>
      <c r="P984" s="496">
        <f t="shared" si="171"/>
        <v>0</v>
      </c>
      <c r="Q984" s="445" t="s">
        <v>52</v>
      </c>
      <c r="R984" s="391"/>
      <c r="S984" s="362">
        <f t="shared" si="164"/>
        <v>0</v>
      </c>
      <c r="T984" s="368"/>
      <c r="U984" s="368"/>
      <c r="V984" s="368"/>
      <c r="W984" s="368"/>
      <c r="X984" s="364">
        <f t="shared" si="163"/>
        <v>0</v>
      </c>
      <c r="Y984" s="393"/>
      <c r="Z984" s="498">
        <f t="shared" si="172"/>
        <v>0</v>
      </c>
      <c r="AA984" s="368"/>
      <c r="AB984" s="368"/>
      <c r="AC984" s="368"/>
      <c r="AD984" s="368"/>
      <c r="AE984" s="365">
        <f t="shared" si="173"/>
        <v>0</v>
      </c>
      <c r="AF984" s="262"/>
      <c r="AG984" s="457"/>
      <c r="AH984" s="264"/>
    </row>
    <row r="985" spans="1:34" ht="75.75" thickBot="1" x14ac:dyDescent="0.3">
      <c r="A985" s="474" t="s">
        <v>2065</v>
      </c>
      <c r="B985" s="470" t="s">
        <v>2048</v>
      </c>
      <c r="C985" s="463" t="s">
        <v>655</v>
      </c>
      <c r="D985" s="449" t="s">
        <v>1856</v>
      </c>
      <c r="E985" s="262"/>
      <c r="F985" s="470" t="s">
        <v>2087</v>
      </c>
      <c r="G985" s="387" t="e">
        <f>VLOOKUP(A985,'Feature Summary'!$A$7:$C$3944,3,FALSE)</f>
        <v>#N/A</v>
      </c>
      <c r="H985" s="447" t="s">
        <v>2088</v>
      </c>
      <c r="I985" s="488" t="s">
        <v>264</v>
      </c>
      <c r="J985" s="480" t="s">
        <v>2072</v>
      </c>
      <c r="K985" s="263">
        <v>1</v>
      </c>
      <c r="L985" s="391">
        <v>1</v>
      </c>
      <c r="M985" s="399" t="s">
        <v>33</v>
      </c>
      <c r="N985" s="475">
        <v>1</v>
      </c>
      <c r="O985" s="391">
        <v>1</v>
      </c>
      <c r="P985" s="496">
        <f t="shared" si="171"/>
        <v>1</v>
      </c>
      <c r="Q985" s="445" t="s">
        <v>52</v>
      </c>
      <c r="R985" s="391">
        <v>1</v>
      </c>
      <c r="S985" s="362">
        <f t="shared" si="164"/>
        <v>1</v>
      </c>
      <c r="T985" s="368">
        <v>1</v>
      </c>
      <c r="U985" s="368"/>
      <c r="V985" s="368"/>
      <c r="W985" s="368"/>
      <c r="X985" s="364">
        <f t="shared" si="163"/>
        <v>1</v>
      </c>
      <c r="Y985" s="393"/>
      <c r="Z985" s="498">
        <f t="shared" si="172"/>
        <v>0</v>
      </c>
      <c r="AA985" s="368"/>
      <c r="AB985" s="368"/>
      <c r="AC985" s="368"/>
      <c r="AD985" s="368"/>
      <c r="AE985" s="365">
        <f t="shared" si="173"/>
        <v>0</v>
      </c>
      <c r="AF985" s="262"/>
      <c r="AG985" s="457"/>
      <c r="AH985" s="264"/>
    </row>
    <row r="986" spans="1:34" ht="30.75" thickBot="1" x14ac:dyDescent="0.3">
      <c r="A986" s="474"/>
      <c r="B986" s="470" t="s">
        <v>2048</v>
      </c>
      <c r="C986" s="463" t="s">
        <v>44</v>
      </c>
      <c r="D986" s="449" t="s">
        <v>1856</v>
      </c>
      <c r="E986" s="262"/>
      <c r="F986" s="470" t="s">
        <v>2087</v>
      </c>
      <c r="G986" s="387" t="e">
        <f>VLOOKUP(A986,'Feature Summary'!$A$7:$C$3944,3,FALSE)</f>
        <v>#N/A</v>
      </c>
      <c r="H986" s="447" t="s">
        <v>2089</v>
      </c>
      <c r="I986" s="447"/>
      <c r="J986" s="480" t="s">
        <v>2074</v>
      </c>
      <c r="K986" s="263"/>
      <c r="L986" s="391"/>
      <c r="M986" s="399" t="s">
        <v>33</v>
      </c>
      <c r="N986" s="475">
        <v>1</v>
      </c>
      <c r="O986" s="391"/>
      <c r="P986" s="496">
        <f t="shared" si="171"/>
        <v>0</v>
      </c>
      <c r="Q986" s="445" t="s">
        <v>52</v>
      </c>
      <c r="R986" s="391"/>
      <c r="S986" s="362">
        <f t="shared" si="164"/>
        <v>0</v>
      </c>
      <c r="T986" s="368"/>
      <c r="U986" s="368"/>
      <c r="V986" s="368"/>
      <c r="W986" s="368"/>
      <c r="X986" s="364">
        <f t="shared" si="163"/>
        <v>0</v>
      </c>
      <c r="Y986" s="393"/>
      <c r="Z986" s="498">
        <f t="shared" si="172"/>
        <v>0</v>
      </c>
      <c r="AA986" s="368"/>
      <c r="AB986" s="368"/>
      <c r="AC986" s="368"/>
      <c r="AD986" s="368"/>
      <c r="AE986" s="365">
        <f t="shared" si="173"/>
        <v>0</v>
      </c>
      <c r="AF986" s="262"/>
      <c r="AG986" s="457"/>
      <c r="AH986" s="264"/>
    </row>
    <row r="987" spans="1:34" ht="30.75" thickBot="1" x14ac:dyDescent="0.3">
      <c r="A987" s="474"/>
      <c r="B987" s="470" t="s">
        <v>2048</v>
      </c>
      <c r="C987" s="463" t="s">
        <v>44</v>
      </c>
      <c r="D987" s="449" t="s">
        <v>1856</v>
      </c>
      <c r="E987" s="262"/>
      <c r="F987" s="470" t="s">
        <v>2087</v>
      </c>
      <c r="G987" s="387" t="e">
        <f>VLOOKUP(A987,'Feature Summary'!$A$7:$C$3944,3,FALSE)</f>
        <v>#N/A</v>
      </c>
      <c r="H987" s="447" t="s">
        <v>2090</v>
      </c>
      <c r="I987" s="447"/>
      <c r="J987" s="480" t="s">
        <v>2076</v>
      </c>
      <c r="K987" s="263"/>
      <c r="L987" s="391"/>
      <c r="M987" s="399" t="s">
        <v>33</v>
      </c>
      <c r="N987" s="475">
        <v>1</v>
      </c>
      <c r="O987" s="391"/>
      <c r="P987" s="496">
        <f t="shared" si="171"/>
        <v>0</v>
      </c>
      <c r="Q987" s="445" t="s">
        <v>52</v>
      </c>
      <c r="R987" s="391"/>
      <c r="S987" s="362">
        <f t="shared" si="164"/>
        <v>0</v>
      </c>
      <c r="T987" s="368"/>
      <c r="U987" s="368"/>
      <c r="V987" s="368"/>
      <c r="W987" s="368"/>
      <c r="X987" s="364">
        <f t="shared" si="163"/>
        <v>0</v>
      </c>
      <c r="Y987" s="393"/>
      <c r="Z987" s="498">
        <f t="shared" si="172"/>
        <v>0</v>
      </c>
      <c r="AA987" s="368"/>
      <c r="AB987" s="368"/>
      <c r="AC987" s="368"/>
      <c r="AD987" s="368"/>
      <c r="AE987" s="365">
        <f t="shared" si="173"/>
        <v>0</v>
      </c>
      <c r="AF987" s="262"/>
      <c r="AG987" s="457"/>
      <c r="AH987" s="264"/>
    </row>
    <row r="988" spans="1:34" ht="45.75" thickBot="1" x14ac:dyDescent="0.3">
      <c r="A988" s="474" t="s">
        <v>2091</v>
      </c>
      <c r="B988" s="470" t="s">
        <v>2048</v>
      </c>
      <c r="C988" s="463" t="s">
        <v>655</v>
      </c>
      <c r="D988" s="449" t="s">
        <v>1856</v>
      </c>
      <c r="E988" s="262"/>
      <c r="F988" s="470" t="s">
        <v>2092</v>
      </c>
      <c r="G988" s="387" t="e">
        <f>VLOOKUP(A988,'Feature Summary'!$A$7:$C$3944,3,FALSE)</f>
        <v>#N/A</v>
      </c>
      <c r="H988" s="447" t="s">
        <v>2093</v>
      </c>
      <c r="I988" s="488" t="s">
        <v>264</v>
      </c>
      <c r="J988" s="480" t="s">
        <v>2051</v>
      </c>
      <c r="K988" s="263">
        <v>1</v>
      </c>
      <c r="L988" s="391">
        <v>1</v>
      </c>
      <c r="M988" s="399" t="s">
        <v>33</v>
      </c>
      <c r="N988" s="475">
        <v>1</v>
      </c>
      <c r="O988" s="391">
        <v>1</v>
      </c>
      <c r="P988" s="496">
        <f t="shared" si="171"/>
        <v>1</v>
      </c>
      <c r="Q988" s="445" t="s">
        <v>52</v>
      </c>
      <c r="R988" s="391">
        <v>1</v>
      </c>
      <c r="S988" s="362">
        <f t="shared" si="164"/>
        <v>1</v>
      </c>
      <c r="T988" s="368">
        <v>1</v>
      </c>
      <c r="U988" s="368"/>
      <c r="V988" s="368"/>
      <c r="W988" s="368"/>
      <c r="X988" s="364">
        <f t="shared" si="163"/>
        <v>1</v>
      </c>
      <c r="Y988" s="393"/>
      <c r="Z988" s="498">
        <f t="shared" si="172"/>
        <v>0</v>
      </c>
      <c r="AA988" s="368"/>
      <c r="AB988" s="368"/>
      <c r="AC988" s="368"/>
      <c r="AD988" s="368"/>
      <c r="AE988" s="365">
        <f t="shared" si="173"/>
        <v>0</v>
      </c>
      <c r="AF988" s="262"/>
      <c r="AG988" s="457"/>
      <c r="AH988" s="264"/>
    </row>
    <row r="989" spans="1:34" ht="15.75" thickBot="1" x14ac:dyDescent="0.3">
      <c r="A989" s="474"/>
      <c r="B989" s="470" t="s">
        <v>2048</v>
      </c>
      <c r="C989" s="463" t="s">
        <v>44</v>
      </c>
      <c r="D989" s="449" t="s">
        <v>1856</v>
      </c>
      <c r="E989" s="262"/>
      <c r="F989" s="470" t="s">
        <v>2092</v>
      </c>
      <c r="G989" s="387" t="e">
        <f>VLOOKUP(A989,'Feature Summary'!$A$7:$C$3944,3,FALSE)</f>
        <v>#N/A</v>
      </c>
      <c r="H989" s="447" t="s">
        <v>2094</v>
      </c>
      <c r="I989" s="447"/>
      <c r="J989" s="480" t="s">
        <v>2053</v>
      </c>
      <c r="K989" s="263"/>
      <c r="L989" s="391"/>
      <c r="M989" s="399" t="s">
        <v>33</v>
      </c>
      <c r="N989" s="475">
        <v>1</v>
      </c>
      <c r="O989" s="391"/>
      <c r="P989" s="496">
        <f t="shared" si="171"/>
        <v>0</v>
      </c>
      <c r="Q989" s="445" t="s">
        <v>52</v>
      </c>
      <c r="R989" s="391"/>
      <c r="S989" s="362">
        <f t="shared" si="164"/>
        <v>0</v>
      </c>
      <c r="T989" s="368"/>
      <c r="U989" s="368"/>
      <c r="V989" s="368"/>
      <c r="W989" s="368"/>
      <c r="X989" s="364">
        <f t="shared" si="163"/>
        <v>0</v>
      </c>
      <c r="Y989" s="393"/>
      <c r="Z989" s="498">
        <f t="shared" si="172"/>
        <v>0</v>
      </c>
      <c r="AA989" s="368"/>
      <c r="AB989" s="368"/>
      <c r="AC989" s="368"/>
      <c r="AD989" s="368"/>
      <c r="AE989" s="365">
        <f t="shared" si="173"/>
        <v>0</v>
      </c>
      <c r="AF989" s="262"/>
      <c r="AG989" s="457"/>
      <c r="AH989" s="264"/>
    </row>
    <row r="990" spans="1:34" ht="15.75" thickBot="1" x14ac:dyDescent="0.3">
      <c r="A990" s="474"/>
      <c r="B990" s="470" t="s">
        <v>2048</v>
      </c>
      <c r="C990" s="463" t="s">
        <v>44</v>
      </c>
      <c r="D990" s="449" t="s">
        <v>1856</v>
      </c>
      <c r="E990" s="262"/>
      <c r="F990" s="470" t="s">
        <v>2092</v>
      </c>
      <c r="G990" s="387" t="e">
        <f>VLOOKUP(A990,'Feature Summary'!$A$7:$C$3944,3,FALSE)</f>
        <v>#N/A</v>
      </c>
      <c r="H990" s="447" t="s">
        <v>2095</v>
      </c>
      <c r="I990" s="447"/>
      <c r="J990" s="480" t="s">
        <v>2055</v>
      </c>
      <c r="K990" s="263"/>
      <c r="L990" s="391"/>
      <c r="M990" s="399" t="s">
        <v>33</v>
      </c>
      <c r="N990" s="475">
        <v>1</v>
      </c>
      <c r="O990" s="391"/>
      <c r="P990" s="496">
        <f>IF((O990=0),0,(O990/L990))</f>
        <v>0</v>
      </c>
      <c r="Q990" s="445" t="s">
        <v>52</v>
      </c>
      <c r="R990" s="391"/>
      <c r="S990" s="362">
        <f t="shared" si="164"/>
        <v>0</v>
      </c>
      <c r="T990" s="368"/>
      <c r="U990" s="368"/>
      <c r="V990" s="368"/>
      <c r="W990" s="368"/>
      <c r="X990" s="364">
        <f t="shared" si="163"/>
        <v>0</v>
      </c>
      <c r="Y990" s="393"/>
      <c r="Z990" s="498">
        <f t="shared" si="172"/>
        <v>0</v>
      </c>
      <c r="AA990" s="368"/>
      <c r="AB990" s="368"/>
      <c r="AC990" s="368"/>
      <c r="AD990" s="368"/>
      <c r="AE990" s="365">
        <f t="shared" si="173"/>
        <v>0</v>
      </c>
      <c r="AF990" s="262"/>
      <c r="AG990" s="457"/>
      <c r="AH990" s="264"/>
    </row>
    <row r="991" spans="1:34" ht="75.75" thickBot="1" x14ac:dyDescent="0.3">
      <c r="A991" s="474"/>
      <c r="B991" s="470" t="s">
        <v>2048</v>
      </c>
      <c r="C991" s="463" t="s">
        <v>44</v>
      </c>
      <c r="D991" s="449" t="s">
        <v>1856</v>
      </c>
      <c r="E991" s="262"/>
      <c r="F991" s="470" t="s">
        <v>2092</v>
      </c>
      <c r="G991" s="387" t="e">
        <f>VLOOKUP(A991,'Feature Summary'!$A$7:$C$3944,3,FALSE)</f>
        <v>#N/A</v>
      </c>
      <c r="H991" s="447" t="s">
        <v>2096</v>
      </c>
      <c r="I991" s="447"/>
      <c r="J991" s="478" t="s">
        <v>2097</v>
      </c>
      <c r="K991" s="263"/>
      <c r="L991" s="391"/>
      <c r="M991" s="399" t="s">
        <v>33</v>
      </c>
      <c r="N991" s="475">
        <v>1</v>
      </c>
      <c r="O991" s="391"/>
      <c r="P991" s="496">
        <f>IF((O991=0),0,(O991/L991))</f>
        <v>0</v>
      </c>
      <c r="Q991" s="445" t="s">
        <v>52</v>
      </c>
      <c r="R991" s="391"/>
      <c r="S991" s="362">
        <f t="shared" si="164"/>
        <v>0</v>
      </c>
      <c r="T991" s="368"/>
      <c r="U991" s="368"/>
      <c r="V991" s="368"/>
      <c r="W991" s="368"/>
      <c r="X991" s="364">
        <f t="shared" si="163"/>
        <v>0</v>
      </c>
      <c r="Y991" s="393"/>
      <c r="Z991" s="498">
        <f t="shared" si="172"/>
        <v>0</v>
      </c>
      <c r="AA991" s="368"/>
      <c r="AB991" s="368"/>
      <c r="AC991" s="368"/>
      <c r="AD991" s="368"/>
      <c r="AE991" s="365">
        <f t="shared" si="173"/>
        <v>0</v>
      </c>
      <c r="AF991" s="262"/>
      <c r="AG991" s="457"/>
      <c r="AH991" s="264"/>
    </row>
    <row r="992" spans="1:34" ht="15.75" thickBot="1" x14ac:dyDescent="0.3">
      <c r="A992" s="474"/>
      <c r="B992" s="470" t="s">
        <v>2048</v>
      </c>
      <c r="C992" s="463" t="s">
        <v>655</v>
      </c>
      <c r="D992" s="449" t="s">
        <v>1856</v>
      </c>
      <c r="E992" s="262"/>
      <c r="F992" s="470" t="s">
        <v>2092</v>
      </c>
      <c r="G992" s="387" t="e">
        <f>VLOOKUP(A992,'Feature Summary'!$A$7:$C$3944,3,FALSE)</f>
        <v>#N/A</v>
      </c>
      <c r="H992" s="447" t="s">
        <v>2093</v>
      </c>
      <c r="I992" s="488" t="s">
        <v>288</v>
      </c>
      <c r="J992" s="480" t="s">
        <v>2051</v>
      </c>
      <c r="K992" s="263">
        <v>1</v>
      </c>
      <c r="L992" s="391">
        <v>1</v>
      </c>
      <c r="M992" s="399" t="s">
        <v>33</v>
      </c>
      <c r="N992" s="475">
        <v>1</v>
      </c>
      <c r="O992" s="391">
        <v>0.5</v>
      </c>
      <c r="P992" s="496">
        <f t="shared" ref="P992" si="177">IF((O992=0),0,(O992/L992))</f>
        <v>0.5</v>
      </c>
      <c r="Q992" s="445" t="s">
        <v>52</v>
      </c>
      <c r="R992" s="391">
        <v>1</v>
      </c>
      <c r="S992" s="362">
        <f t="shared" ref="S992" si="178">SUM(T992:W992)</f>
        <v>1</v>
      </c>
      <c r="T992" s="368">
        <v>1</v>
      </c>
      <c r="U992" s="368"/>
      <c r="V992" s="368"/>
      <c r="W992" s="368"/>
      <c r="X992" s="364">
        <f t="shared" ref="X992" si="179">IF((S992=0),0,((T992+U992)/S992*100%))</f>
        <v>1</v>
      </c>
      <c r="Y992" s="393"/>
      <c r="Z992" s="498">
        <f t="shared" si="172"/>
        <v>0</v>
      </c>
      <c r="AA992" s="368"/>
      <c r="AB992" s="368"/>
      <c r="AC992" s="368"/>
      <c r="AD992" s="368"/>
      <c r="AE992" s="365">
        <f t="shared" si="173"/>
        <v>0</v>
      </c>
      <c r="AF992" s="262"/>
      <c r="AG992" s="457"/>
      <c r="AH992" s="264"/>
    </row>
    <row r="993" spans="1:34" ht="45.75" thickBot="1" x14ac:dyDescent="0.3">
      <c r="A993" s="474" t="s">
        <v>2091</v>
      </c>
      <c r="B993" s="470" t="s">
        <v>2048</v>
      </c>
      <c r="C993" s="463" t="s">
        <v>655</v>
      </c>
      <c r="D993" s="449" t="s">
        <v>1856</v>
      </c>
      <c r="E993" s="262"/>
      <c r="F993" s="470" t="s">
        <v>2056</v>
      </c>
      <c r="G993" s="387" t="e">
        <f>VLOOKUP(A993,'Feature Summary'!$A$7:$C$3944,3,FALSE)</f>
        <v>#N/A</v>
      </c>
      <c r="H993" s="447" t="s">
        <v>2098</v>
      </c>
      <c r="I993" s="488" t="s">
        <v>264</v>
      </c>
      <c r="J993" s="480" t="s">
        <v>2051</v>
      </c>
      <c r="K993" s="263">
        <v>1</v>
      </c>
      <c r="L993" s="391">
        <v>1</v>
      </c>
      <c r="M993" s="399" t="s">
        <v>33</v>
      </c>
      <c r="N993" s="475">
        <v>1</v>
      </c>
      <c r="O993" s="391">
        <v>1</v>
      </c>
      <c r="P993" s="496">
        <f t="shared" ref="P993:P997" si="180">IF((O993=0),0,(O993/L993))</f>
        <v>1</v>
      </c>
      <c r="Q993" s="445" t="s">
        <v>52</v>
      </c>
      <c r="R993" s="391">
        <v>1</v>
      </c>
      <c r="S993" s="362">
        <f t="shared" si="164"/>
        <v>1</v>
      </c>
      <c r="T993" s="368">
        <v>1</v>
      </c>
      <c r="U993" s="368"/>
      <c r="V993" s="368"/>
      <c r="W993" s="368"/>
      <c r="X993" s="364">
        <f t="shared" si="163"/>
        <v>1</v>
      </c>
      <c r="Y993" s="393"/>
      <c r="Z993" s="498">
        <f t="shared" si="172"/>
        <v>0</v>
      </c>
      <c r="AA993" s="368"/>
      <c r="AB993" s="368"/>
      <c r="AC993" s="368"/>
      <c r="AD993" s="368"/>
      <c r="AE993" s="365">
        <f t="shared" si="173"/>
        <v>0</v>
      </c>
      <c r="AF993" s="262"/>
      <c r="AG993" s="457"/>
      <c r="AH993" s="264"/>
    </row>
    <row r="994" spans="1:34" ht="15.75" thickBot="1" x14ac:dyDescent="0.3">
      <c r="A994" s="474"/>
      <c r="B994" s="470" t="s">
        <v>2048</v>
      </c>
      <c r="C994" s="463" t="s">
        <v>44</v>
      </c>
      <c r="D994" s="449" t="s">
        <v>1856</v>
      </c>
      <c r="E994" s="262"/>
      <c r="F994" s="470" t="s">
        <v>2056</v>
      </c>
      <c r="G994" s="387" t="e">
        <f>VLOOKUP(A994,'Feature Summary'!$A$7:$C$3944,3,FALSE)</f>
        <v>#N/A</v>
      </c>
      <c r="H994" s="447" t="s">
        <v>2099</v>
      </c>
      <c r="I994" s="447"/>
      <c r="J994" s="480" t="s">
        <v>2053</v>
      </c>
      <c r="K994" s="263"/>
      <c r="L994" s="391"/>
      <c r="M994" s="399" t="s">
        <v>33</v>
      </c>
      <c r="N994" s="475">
        <v>1</v>
      </c>
      <c r="O994" s="391"/>
      <c r="P994" s="496">
        <f t="shared" si="180"/>
        <v>0</v>
      </c>
      <c r="Q994" s="445" t="s">
        <v>52</v>
      </c>
      <c r="R994" s="391"/>
      <c r="S994" s="362">
        <f t="shared" si="164"/>
        <v>0</v>
      </c>
      <c r="T994" s="368"/>
      <c r="U994" s="368"/>
      <c r="V994" s="368"/>
      <c r="W994" s="368"/>
      <c r="X994" s="364">
        <f t="shared" si="163"/>
        <v>0</v>
      </c>
      <c r="Y994" s="393"/>
      <c r="Z994" s="498">
        <f t="shared" si="172"/>
        <v>0</v>
      </c>
      <c r="AA994" s="368"/>
      <c r="AB994" s="368"/>
      <c r="AC994" s="368"/>
      <c r="AD994" s="368"/>
      <c r="AE994" s="365">
        <f t="shared" si="173"/>
        <v>0</v>
      </c>
      <c r="AF994" s="262"/>
      <c r="AG994" s="457"/>
      <c r="AH994" s="264"/>
    </row>
    <row r="995" spans="1:34" ht="15.75" thickBot="1" x14ac:dyDescent="0.3">
      <c r="A995" s="474"/>
      <c r="B995" s="470" t="s">
        <v>2048</v>
      </c>
      <c r="C995" s="463" t="s">
        <v>44</v>
      </c>
      <c r="D995" s="449" t="s">
        <v>1856</v>
      </c>
      <c r="E995" s="262"/>
      <c r="F995" s="470" t="s">
        <v>2056</v>
      </c>
      <c r="G995" s="387" t="e">
        <f>VLOOKUP(A995,'Feature Summary'!$A$7:$C$3944,3,FALSE)</f>
        <v>#N/A</v>
      </c>
      <c r="H995" s="447" t="s">
        <v>2100</v>
      </c>
      <c r="I995" s="447"/>
      <c r="J995" s="480" t="s">
        <v>2055</v>
      </c>
      <c r="K995" s="263"/>
      <c r="L995" s="391"/>
      <c r="M995" s="399" t="s">
        <v>33</v>
      </c>
      <c r="N995" s="475">
        <v>1</v>
      </c>
      <c r="O995" s="391"/>
      <c r="P995" s="496">
        <f t="shared" si="180"/>
        <v>0</v>
      </c>
      <c r="Q995" s="445" t="s">
        <v>52</v>
      </c>
      <c r="R995" s="391"/>
      <c r="S995" s="362">
        <f t="shared" si="164"/>
        <v>0</v>
      </c>
      <c r="T995" s="368"/>
      <c r="U995" s="368"/>
      <c r="V995" s="368"/>
      <c r="W995" s="368"/>
      <c r="X995" s="364">
        <f t="shared" si="163"/>
        <v>0</v>
      </c>
      <c r="Y995" s="393"/>
      <c r="Z995" s="498">
        <f t="shared" si="172"/>
        <v>0</v>
      </c>
      <c r="AA995" s="368"/>
      <c r="AB995" s="368"/>
      <c r="AC995" s="368"/>
      <c r="AD995" s="368"/>
      <c r="AE995" s="365">
        <f t="shared" si="173"/>
        <v>0</v>
      </c>
      <c r="AF995" s="262"/>
      <c r="AG995" s="457"/>
      <c r="AH995" s="264"/>
    </row>
    <row r="996" spans="1:34" ht="45.75" thickBot="1" x14ac:dyDescent="0.3">
      <c r="A996" s="474" t="s">
        <v>2091</v>
      </c>
      <c r="B996" s="470" t="s">
        <v>2048</v>
      </c>
      <c r="C996" s="463" t="s">
        <v>655</v>
      </c>
      <c r="D996" s="449" t="s">
        <v>1856</v>
      </c>
      <c r="E996" s="262"/>
      <c r="F996" s="470" t="s">
        <v>2061</v>
      </c>
      <c r="G996" s="387" t="e">
        <f>VLOOKUP(A996,'Feature Summary'!$A$7:$C$3944,3,FALSE)</f>
        <v>#N/A</v>
      </c>
      <c r="H996" s="447" t="s">
        <v>2101</v>
      </c>
      <c r="I996" s="488" t="s">
        <v>264</v>
      </c>
      <c r="J996" s="480" t="s">
        <v>2051</v>
      </c>
      <c r="K996" s="263">
        <v>1</v>
      </c>
      <c r="L996" s="391">
        <v>1</v>
      </c>
      <c r="M996" s="399" t="s">
        <v>33</v>
      </c>
      <c r="N996" s="475">
        <v>1</v>
      </c>
      <c r="O996" s="391">
        <v>1</v>
      </c>
      <c r="P996" s="496">
        <f t="shared" si="180"/>
        <v>1</v>
      </c>
      <c r="Q996" s="445" t="s">
        <v>52</v>
      </c>
      <c r="R996" s="391">
        <v>1</v>
      </c>
      <c r="S996" s="362">
        <f t="shared" si="164"/>
        <v>1</v>
      </c>
      <c r="T996" s="368">
        <v>1</v>
      </c>
      <c r="U996" s="368"/>
      <c r="V996" s="368"/>
      <c r="W996" s="368"/>
      <c r="X996" s="364">
        <f t="shared" si="163"/>
        <v>1</v>
      </c>
      <c r="Y996" s="393"/>
      <c r="Z996" s="498">
        <f t="shared" si="172"/>
        <v>0</v>
      </c>
      <c r="AA996" s="368"/>
      <c r="AB996" s="368"/>
      <c r="AC996" s="368"/>
      <c r="AD996" s="368"/>
      <c r="AE996" s="365">
        <f t="shared" si="173"/>
        <v>0</v>
      </c>
      <c r="AF996" s="262"/>
      <c r="AG996" s="457"/>
      <c r="AH996" s="264"/>
    </row>
    <row r="997" spans="1:34" ht="15.75" thickBot="1" x14ac:dyDescent="0.3">
      <c r="A997" s="474"/>
      <c r="B997" s="470" t="s">
        <v>2048</v>
      </c>
      <c r="C997" s="463" t="s">
        <v>44</v>
      </c>
      <c r="D997" s="449" t="s">
        <v>1856</v>
      </c>
      <c r="E997" s="262"/>
      <c r="F997" s="470" t="s">
        <v>2061</v>
      </c>
      <c r="G997" s="387" t="e">
        <f>VLOOKUP(A997,'Feature Summary'!$A$7:$C$3944,3,FALSE)</f>
        <v>#N/A</v>
      </c>
      <c r="H997" s="447" t="s">
        <v>2102</v>
      </c>
      <c r="I997" s="447"/>
      <c r="J997" s="480" t="s">
        <v>2053</v>
      </c>
      <c r="K997" s="263"/>
      <c r="L997" s="391"/>
      <c r="M997" s="399" t="s">
        <v>33</v>
      </c>
      <c r="N997" s="475">
        <v>1</v>
      </c>
      <c r="O997" s="391"/>
      <c r="P997" s="496">
        <f t="shared" si="180"/>
        <v>0</v>
      </c>
      <c r="Q997" s="445" t="s">
        <v>52</v>
      </c>
      <c r="R997" s="391"/>
      <c r="S997" s="362">
        <f t="shared" si="164"/>
        <v>0</v>
      </c>
      <c r="T997" s="368"/>
      <c r="U997" s="368"/>
      <c r="V997" s="368"/>
      <c r="W997" s="368"/>
      <c r="X997" s="364">
        <f t="shared" si="163"/>
        <v>0</v>
      </c>
      <c r="Y997" s="393"/>
      <c r="Z997" s="498">
        <f t="shared" si="172"/>
        <v>0</v>
      </c>
      <c r="AA997" s="368"/>
      <c r="AB997" s="368"/>
      <c r="AC997" s="368"/>
      <c r="AD997" s="368"/>
      <c r="AE997" s="365">
        <f t="shared" si="173"/>
        <v>0</v>
      </c>
      <c r="AF997" s="262"/>
      <c r="AG997" s="457"/>
      <c r="AH997" s="264"/>
    </row>
    <row r="998" spans="1:34" ht="15.75" thickBot="1" x14ac:dyDescent="0.3">
      <c r="A998" s="474"/>
      <c r="B998" s="470" t="s">
        <v>2048</v>
      </c>
      <c r="C998" s="463" t="s">
        <v>44</v>
      </c>
      <c r="D998" s="449" t="s">
        <v>1856</v>
      </c>
      <c r="E998" s="262"/>
      <c r="F998" s="470" t="s">
        <v>2061</v>
      </c>
      <c r="G998" s="387" t="e">
        <f>VLOOKUP(A998,'Feature Summary'!$A$7:$C$3944,3,FALSE)</f>
        <v>#N/A</v>
      </c>
      <c r="H998" s="447" t="s">
        <v>2103</v>
      </c>
      <c r="I998" s="447"/>
      <c r="J998" s="480" t="s">
        <v>2055</v>
      </c>
      <c r="K998" s="263"/>
      <c r="L998" s="391"/>
      <c r="M998" s="399" t="s">
        <v>33</v>
      </c>
      <c r="N998" s="475">
        <v>1</v>
      </c>
      <c r="O998" s="391"/>
      <c r="P998" s="496">
        <f>IF((O998=0),0,(O998/L998))</f>
        <v>0</v>
      </c>
      <c r="Q998" s="445" t="s">
        <v>52</v>
      </c>
      <c r="R998" s="391"/>
      <c r="S998" s="362">
        <f t="shared" si="164"/>
        <v>0</v>
      </c>
      <c r="T998" s="368"/>
      <c r="U998" s="368"/>
      <c r="V998" s="368"/>
      <c r="W998" s="368"/>
      <c r="X998" s="364">
        <f t="shared" ref="X998:X1065" si="181">IF((S998=0),0,((T998+U998)/S998*100%))</f>
        <v>0</v>
      </c>
      <c r="Y998" s="393"/>
      <c r="Z998" s="498">
        <f t="shared" si="172"/>
        <v>0</v>
      </c>
      <c r="AA998" s="368"/>
      <c r="AB998" s="368"/>
      <c r="AC998" s="368"/>
      <c r="AD998" s="368"/>
      <c r="AE998" s="365">
        <f t="shared" si="173"/>
        <v>0</v>
      </c>
      <c r="AF998" s="262"/>
      <c r="AG998" s="457"/>
      <c r="AH998" s="264"/>
    </row>
    <row r="999" spans="1:34" ht="45.75" thickBot="1" x14ac:dyDescent="0.3">
      <c r="A999" s="474" t="s">
        <v>2104</v>
      </c>
      <c r="B999" s="470" t="s">
        <v>2048</v>
      </c>
      <c r="C999" s="463" t="s">
        <v>655</v>
      </c>
      <c r="D999" s="449" t="s">
        <v>1856</v>
      </c>
      <c r="E999" s="262"/>
      <c r="F999" s="470" t="s">
        <v>2105</v>
      </c>
      <c r="G999" s="387" t="e">
        <f>VLOOKUP(A999,'Feature Summary'!$A$7:$C$3944,3,FALSE)</f>
        <v>#N/A</v>
      </c>
      <c r="H999" s="447" t="s">
        <v>2106</v>
      </c>
      <c r="I999" s="488" t="s">
        <v>264</v>
      </c>
      <c r="J999" s="480" t="s">
        <v>2051</v>
      </c>
      <c r="K999" s="263">
        <v>1</v>
      </c>
      <c r="L999" s="391">
        <v>1</v>
      </c>
      <c r="M999" s="399" t="s">
        <v>33</v>
      </c>
      <c r="N999" s="475">
        <v>1</v>
      </c>
      <c r="O999" s="391">
        <v>1</v>
      </c>
      <c r="P999" s="496">
        <f t="shared" ref="P999:P1033" si="182">IF((O999=0),0,(O999/L999))</f>
        <v>1</v>
      </c>
      <c r="Q999" s="445" t="s">
        <v>52</v>
      </c>
      <c r="R999" s="391">
        <v>1</v>
      </c>
      <c r="S999" s="362">
        <f t="shared" ref="S999:S1066" si="183">SUM(T999:W999)</f>
        <v>1</v>
      </c>
      <c r="T999" s="368">
        <v>1</v>
      </c>
      <c r="U999" s="368"/>
      <c r="V999" s="368"/>
      <c r="W999" s="368"/>
      <c r="X999" s="364">
        <f t="shared" si="181"/>
        <v>1</v>
      </c>
      <c r="Y999" s="393"/>
      <c r="Z999" s="498">
        <f t="shared" si="172"/>
        <v>0</v>
      </c>
      <c r="AA999" s="368"/>
      <c r="AB999" s="368"/>
      <c r="AC999" s="368"/>
      <c r="AD999" s="368"/>
      <c r="AE999" s="365">
        <f t="shared" si="173"/>
        <v>0</v>
      </c>
      <c r="AF999" s="558"/>
      <c r="AG999" s="457"/>
      <c r="AH999" s="264"/>
    </row>
    <row r="1000" spans="1:34" ht="30.75" thickBot="1" x14ac:dyDescent="0.3">
      <c r="A1000" s="474"/>
      <c r="B1000" s="470" t="s">
        <v>2048</v>
      </c>
      <c r="C1000" s="463" t="s">
        <v>44</v>
      </c>
      <c r="D1000" s="449" t="s">
        <v>1856</v>
      </c>
      <c r="E1000" s="262"/>
      <c r="F1000" s="470" t="s">
        <v>2105</v>
      </c>
      <c r="G1000" s="387" t="e">
        <f>VLOOKUP(A1000,'Feature Summary'!$A$7:$C$3944,3,FALSE)</f>
        <v>#N/A</v>
      </c>
      <c r="H1000" s="447" t="s">
        <v>2107</v>
      </c>
      <c r="I1000" s="447"/>
      <c r="J1000" s="480" t="s">
        <v>2053</v>
      </c>
      <c r="K1000" s="263"/>
      <c r="L1000" s="391"/>
      <c r="M1000" s="399" t="s">
        <v>33</v>
      </c>
      <c r="N1000" s="475">
        <v>1</v>
      </c>
      <c r="O1000" s="391"/>
      <c r="P1000" s="496">
        <f t="shared" si="182"/>
        <v>0</v>
      </c>
      <c r="Q1000" s="445" t="s">
        <v>52</v>
      </c>
      <c r="R1000" s="391"/>
      <c r="S1000" s="362">
        <f t="shared" si="183"/>
        <v>0</v>
      </c>
      <c r="T1000" s="368"/>
      <c r="U1000" s="368"/>
      <c r="V1000" s="368"/>
      <c r="W1000" s="368"/>
      <c r="X1000" s="364">
        <f t="shared" si="181"/>
        <v>0</v>
      </c>
      <c r="Y1000" s="393"/>
      <c r="Z1000" s="498">
        <f t="shared" si="172"/>
        <v>0</v>
      </c>
      <c r="AA1000" s="368"/>
      <c r="AB1000" s="368"/>
      <c r="AC1000" s="368"/>
      <c r="AD1000" s="368"/>
      <c r="AE1000" s="365">
        <f t="shared" si="173"/>
        <v>0</v>
      </c>
      <c r="AF1000" s="262"/>
      <c r="AG1000" s="457"/>
      <c r="AH1000" s="264"/>
    </row>
    <row r="1001" spans="1:34" ht="30.75" thickBot="1" x14ac:dyDescent="0.3">
      <c r="A1001" s="474"/>
      <c r="B1001" s="470" t="s">
        <v>2048</v>
      </c>
      <c r="C1001" s="463" t="s">
        <v>44</v>
      </c>
      <c r="D1001" s="449" t="s">
        <v>1856</v>
      </c>
      <c r="E1001" s="262"/>
      <c r="F1001" s="470" t="s">
        <v>2105</v>
      </c>
      <c r="G1001" s="387" t="e">
        <f>VLOOKUP(A1001,'Feature Summary'!$A$7:$C$3944,3,FALSE)</f>
        <v>#N/A</v>
      </c>
      <c r="H1001" s="447" t="s">
        <v>2108</v>
      </c>
      <c r="I1001" s="447"/>
      <c r="J1001" s="480" t="s">
        <v>2055</v>
      </c>
      <c r="K1001" s="263"/>
      <c r="L1001" s="391"/>
      <c r="M1001" s="399" t="s">
        <v>33</v>
      </c>
      <c r="N1001" s="475">
        <v>1</v>
      </c>
      <c r="O1001" s="391"/>
      <c r="P1001" s="496">
        <f t="shared" si="182"/>
        <v>0</v>
      </c>
      <c r="Q1001" s="445" t="s">
        <v>52</v>
      </c>
      <c r="R1001" s="391"/>
      <c r="S1001" s="362">
        <f t="shared" si="183"/>
        <v>0</v>
      </c>
      <c r="T1001" s="368"/>
      <c r="U1001" s="368"/>
      <c r="V1001" s="368"/>
      <c r="W1001" s="368"/>
      <c r="X1001" s="364">
        <f t="shared" si="181"/>
        <v>0</v>
      </c>
      <c r="Y1001" s="393"/>
      <c r="Z1001" s="498">
        <f t="shared" si="172"/>
        <v>0</v>
      </c>
      <c r="AA1001" s="368"/>
      <c r="AB1001" s="368"/>
      <c r="AC1001" s="368"/>
      <c r="AD1001" s="368"/>
      <c r="AE1001" s="365">
        <f t="shared" si="173"/>
        <v>0</v>
      </c>
      <c r="AF1001" s="262"/>
      <c r="AG1001" s="457"/>
      <c r="AH1001" s="264"/>
    </row>
    <row r="1002" spans="1:34" ht="45.75" thickBot="1" x14ac:dyDescent="0.3">
      <c r="A1002" s="474" t="s">
        <v>2091</v>
      </c>
      <c r="B1002" s="470" t="s">
        <v>2048</v>
      </c>
      <c r="C1002" s="463" t="s">
        <v>655</v>
      </c>
      <c r="D1002" s="449" t="s">
        <v>1856</v>
      </c>
      <c r="E1002" s="262"/>
      <c r="F1002" s="470" t="s">
        <v>2109</v>
      </c>
      <c r="G1002" s="387" t="e">
        <f>VLOOKUP(A1002,'Feature Summary'!$A$7:$C$3944,3,FALSE)</f>
        <v>#N/A</v>
      </c>
      <c r="H1002" s="447" t="s">
        <v>2110</v>
      </c>
      <c r="I1002" s="488" t="s">
        <v>264</v>
      </c>
      <c r="J1002" s="480" t="s">
        <v>2072</v>
      </c>
      <c r="K1002" s="263">
        <v>1</v>
      </c>
      <c r="L1002" s="391">
        <v>1</v>
      </c>
      <c r="M1002" s="399" t="s">
        <v>33</v>
      </c>
      <c r="N1002" s="475">
        <v>1</v>
      </c>
      <c r="O1002" s="391">
        <v>1</v>
      </c>
      <c r="P1002" s="496">
        <f t="shared" si="182"/>
        <v>1</v>
      </c>
      <c r="Q1002" s="445" t="s">
        <v>52</v>
      </c>
      <c r="R1002" s="391">
        <v>1</v>
      </c>
      <c r="S1002" s="362">
        <f t="shared" si="183"/>
        <v>1</v>
      </c>
      <c r="T1002" s="368">
        <v>1</v>
      </c>
      <c r="U1002" s="368"/>
      <c r="V1002" s="368"/>
      <c r="W1002" s="368"/>
      <c r="X1002" s="364">
        <f t="shared" si="181"/>
        <v>1</v>
      </c>
      <c r="Y1002" s="393"/>
      <c r="Z1002" s="498">
        <f t="shared" si="172"/>
        <v>0</v>
      </c>
      <c r="AA1002" s="368"/>
      <c r="AB1002" s="368"/>
      <c r="AC1002" s="368"/>
      <c r="AD1002" s="368"/>
      <c r="AE1002" s="365">
        <f t="shared" si="173"/>
        <v>0</v>
      </c>
      <c r="AF1002" s="262"/>
      <c r="AG1002" s="457"/>
      <c r="AH1002" s="264"/>
    </row>
    <row r="1003" spans="1:34" ht="15.75" thickBot="1" x14ac:dyDescent="0.3">
      <c r="A1003" s="474"/>
      <c r="B1003" s="470" t="s">
        <v>2048</v>
      </c>
      <c r="C1003" s="463" t="s">
        <v>44</v>
      </c>
      <c r="D1003" s="449" t="s">
        <v>1856</v>
      </c>
      <c r="E1003" s="262"/>
      <c r="F1003" s="470" t="s">
        <v>2109</v>
      </c>
      <c r="G1003" s="387" t="e">
        <f>VLOOKUP(A1003,'Feature Summary'!$A$7:$C$3944,3,FALSE)</f>
        <v>#N/A</v>
      </c>
      <c r="H1003" s="447" t="s">
        <v>2111</v>
      </c>
      <c r="I1003" s="447"/>
      <c r="J1003" s="480" t="s">
        <v>2074</v>
      </c>
      <c r="K1003" s="263"/>
      <c r="L1003" s="391"/>
      <c r="M1003" s="399" t="s">
        <v>33</v>
      </c>
      <c r="N1003" s="475">
        <v>1</v>
      </c>
      <c r="O1003" s="391"/>
      <c r="P1003" s="496">
        <f t="shared" si="182"/>
        <v>0</v>
      </c>
      <c r="Q1003" s="445" t="s">
        <v>52</v>
      </c>
      <c r="R1003" s="391"/>
      <c r="S1003" s="362">
        <f t="shared" si="183"/>
        <v>0</v>
      </c>
      <c r="T1003" s="368"/>
      <c r="U1003" s="368"/>
      <c r="V1003" s="368"/>
      <c r="W1003" s="368"/>
      <c r="X1003" s="364">
        <f t="shared" si="181"/>
        <v>0</v>
      </c>
      <c r="Y1003" s="393"/>
      <c r="Z1003" s="498">
        <f t="shared" si="172"/>
        <v>0</v>
      </c>
      <c r="AA1003" s="368"/>
      <c r="AB1003" s="368"/>
      <c r="AC1003" s="368"/>
      <c r="AD1003" s="368"/>
      <c r="AE1003" s="365">
        <f t="shared" si="173"/>
        <v>0</v>
      </c>
      <c r="AF1003" s="262"/>
      <c r="AG1003" s="457"/>
      <c r="AH1003" s="264"/>
    </row>
    <row r="1004" spans="1:34" ht="15.75" thickBot="1" x14ac:dyDescent="0.3">
      <c r="A1004" s="474"/>
      <c r="B1004" s="470" t="s">
        <v>2048</v>
      </c>
      <c r="C1004" s="463" t="s">
        <v>44</v>
      </c>
      <c r="D1004" s="449" t="s">
        <v>1856</v>
      </c>
      <c r="E1004" s="262"/>
      <c r="F1004" s="470" t="s">
        <v>2109</v>
      </c>
      <c r="G1004" s="387" t="e">
        <f>VLOOKUP(A1004,'Feature Summary'!$A$7:$C$3944,3,FALSE)</f>
        <v>#N/A</v>
      </c>
      <c r="H1004" s="447" t="s">
        <v>2112</v>
      </c>
      <c r="I1004" s="447"/>
      <c r="J1004" s="480" t="s">
        <v>2076</v>
      </c>
      <c r="K1004" s="263"/>
      <c r="L1004" s="391"/>
      <c r="M1004" s="399" t="s">
        <v>33</v>
      </c>
      <c r="N1004" s="475">
        <v>1</v>
      </c>
      <c r="O1004" s="391"/>
      <c r="P1004" s="496">
        <f t="shared" si="182"/>
        <v>0</v>
      </c>
      <c r="Q1004" s="445" t="s">
        <v>52</v>
      </c>
      <c r="R1004" s="391"/>
      <c r="S1004" s="362">
        <f t="shared" si="183"/>
        <v>0</v>
      </c>
      <c r="T1004" s="368"/>
      <c r="U1004" s="368"/>
      <c r="V1004" s="368"/>
      <c r="W1004" s="368"/>
      <c r="X1004" s="364">
        <f t="shared" si="181"/>
        <v>0</v>
      </c>
      <c r="Y1004" s="393"/>
      <c r="Z1004" s="498">
        <f t="shared" si="172"/>
        <v>0</v>
      </c>
      <c r="AA1004" s="368"/>
      <c r="AB1004" s="368"/>
      <c r="AC1004" s="368"/>
      <c r="AD1004" s="368"/>
      <c r="AE1004" s="365">
        <f t="shared" si="173"/>
        <v>0</v>
      </c>
      <c r="AF1004" s="262"/>
      <c r="AG1004" s="457"/>
      <c r="AH1004" s="264"/>
    </row>
    <row r="1005" spans="1:34" ht="75.75" thickBot="1" x14ac:dyDescent="0.3">
      <c r="A1005" s="474"/>
      <c r="B1005" s="470" t="s">
        <v>2048</v>
      </c>
      <c r="C1005" s="463" t="s">
        <v>44</v>
      </c>
      <c r="D1005" s="449" t="s">
        <v>1856</v>
      </c>
      <c r="E1005" s="262"/>
      <c r="F1005" s="470" t="s">
        <v>2109</v>
      </c>
      <c r="G1005" s="387" t="e">
        <f>VLOOKUP(A1005,'Feature Summary'!$A$7:$C$3944,3,FALSE)</f>
        <v>#N/A</v>
      </c>
      <c r="H1005" s="447" t="s">
        <v>2113</v>
      </c>
      <c r="I1005" s="447"/>
      <c r="J1005" s="478" t="s">
        <v>2082</v>
      </c>
      <c r="K1005" s="263"/>
      <c r="L1005" s="391"/>
      <c r="M1005" s="399" t="s">
        <v>33</v>
      </c>
      <c r="N1005" s="475">
        <v>1</v>
      </c>
      <c r="O1005" s="391"/>
      <c r="P1005" s="496">
        <f t="shared" si="182"/>
        <v>0</v>
      </c>
      <c r="Q1005" s="445" t="s">
        <v>52</v>
      </c>
      <c r="R1005" s="391"/>
      <c r="S1005" s="362">
        <f t="shared" si="183"/>
        <v>0</v>
      </c>
      <c r="T1005" s="368"/>
      <c r="U1005" s="368"/>
      <c r="V1005" s="368"/>
      <c r="W1005" s="368"/>
      <c r="X1005" s="364">
        <f t="shared" si="181"/>
        <v>0</v>
      </c>
      <c r="Y1005" s="393"/>
      <c r="Z1005" s="498">
        <f t="shared" si="172"/>
        <v>0</v>
      </c>
      <c r="AA1005" s="368"/>
      <c r="AB1005" s="368"/>
      <c r="AC1005" s="368"/>
      <c r="AD1005" s="368"/>
      <c r="AE1005" s="365">
        <f t="shared" si="173"/>
        <v>0</v>
      </c>
      <c r="AF1005" s="558"/>
      <c r="AG1005" s="457"/>
      <c r="AH1005" s="264"/>
    </row>
    <row r="1006" spans="1:34" ht="15.75" thickBot="1" x14ac:dyDescent="0.3">
      <c r="A1006" s="474"/>
      <c r="B1006" s="470" t="s">
        <v>2048</v>
      </c>
      <c r="C1006" s="463" t="s">
        <v>655</v>
      </c>
      <c r="D1006" s="449" t="s">
        <v>1856</v>
      </c>
      <c r="E1006" s="262"/>
      <c r="F1006" s="470" t="s">
        <v>2109</v>
      </c>
      <c r="G1006" s="387" t="e">
        <f>VLOOKUP(A1006,'Feature Summary'!$A$7:$C$3944,3,FALSE)</f>
        <v>#N/A</v>
      </c>
      <c r="H1006" s="447" t="s">
        <v>2110</v>
      </c>
      <c r="I1006" s="488" t="s">
        <v>288</v>
      </c>
      <c r="J1006" s="480" t="s">
        <v>2072</v>
      </c>
      <c r="K1006" s="263">
        <v>1</v>
      </c>
      <c r="L1006" s="391">
        <v>1</v>
      </c>
      <c r="M1006" s="399" t="s">
        <v>33</v>
      </c>
      <c r="N1006" s="475">
        <v>1</v>
      </c>
      <c r="O1006" s="391">
        <v>0.5</v>
      </c>
      <c r="P1006" s="496">
        <f t="shared" ref="P1006" si="184">IF((O1006=0),0,(O1006/L1006))</f>
        <v>0.5</v>
      </c>
      <c r="Q1006" s="445" t="s">
        <v>52</v>
      </c>
      <c r="R1006" s="391">
        <v>1</v>
      </c>
      <c r="S1006" s="362">
        <f t="shared" ref="S1006" si="185">SUM(T1006:W1006)</f>
        <v>1</v>
      </c>
      <c r="T1006" s="368">
        <v>1</v>
      </c>
      <c r="U1006" s="368"/>
      <c r="V1006" s="368"/>
      <c r="W1006" s="368"/>
      <c r="X1006" s="364">
        <f t="shared" ref="X1006" si="186">IF((S1006=0),0,((T1006+U1006)/S1006*100%))</f>
        <v>1</v>
      </c>
      <c r="Y1006" s="393"/>
      <c r="Z1006" s="498">
        <f t="shared" si="172"/>
        <v>0</v>
      </c>
      <c r="AA1006" s="368"/>
      <c r="AB1006" s="368"/>
      <c r="AC1006" s="368"/>
      <c r="AD1006" s="368"/>
      <c r="AE1006" s="365">
        <f t="shared" si="173"/>
        <v>0</v>
      </c>
      <c r="AF1006" s="558"/>
      <c r="AG1006" s="457"/>
      <c r="AH1006" s="264"/>
    </row>
    <row r="1007" spans="1:34" ht="45.75" thickBot="1" x14ac:dyDescent="0.3">
      <c r="A1007" s="474" t="s">
        <v>2091</v>
      </c>
      <c r="B1007" s="470" t="s">
        <v>2048</v>
      </c>
      <c r="C1007" s="463" t="s">
        <v>655</v>
      </c>
      <c r="D1007" s="449" t="s">
        <v>1856</v>
      </c>
      <c r="E1007" s="262"/>
      <c r="F1007" s="470" t="s">
        <v>2077</v>
      </c>
      <c r="G1007" s="387" t="e">
        <f>VLOOKUP(A1007,'Feature Summary'!$A$7:$C$3944,3,FALSE)</f>
        <v>#N/A</v>
      </c>
      <c r="H1007" s="447" t="s">
        <v>2114</v>
      </c>
      <c r="I1007" s="488" t="s">
        <v>264</v>
      </c>
      <c r="J1007" s="480" t="s">
        <v>2072</v>
      </c>
      <c r="K1007" s="263">
        <v>1</v>
      </c>
      <c r="L1007" s="391">
        <v>1</v>
      </c>
      <c r="M1007" s="399" t="s">
        <v>33</v>
      </c>
      <c r="N1007" s="475">
        <v>1</v>
      </c>
      <c r="O1007" s="391">
        <v>1</v>
      </c>
      <c r="P1007" s="496">
        <f t="shared" si="182"/>
        <v>1</v>
      </c>
      <c r="Q1007" s="445" t="s">
        <v>52</v>
      </c>
      <c r="R1007" s="391">
        <v>1</v>
      </c>
      <c r="S1007" s="362">
        <f t="shared" si="183"/>
        <v>1</v>
      </c>
      <c r="T1007" s="368">
        <v>1</v>
      </c>
      <c r="U1007" s="368"/>
      <c r="V1007" s="368"/>
      <c r="W1007" s="368"/>
      <c r="X1007" s="364">
        <f t="shared" si="181"/>
        <v>1</v>
      </c>
      <c r="Y1007" s="393"/>
      <c r="Z1007" s="498">
        <f t="shared" si="172"/>
        <v>0</v>
      </c>
      <c r="AA1007" s="368"/>
      <c r="AB1007" s="368"/>
      <c r="AC1007" s="368"/>
      <c r="AD1007" s="368"/>
      <c r="AE1007" s="365">
        <f t="shared" si="173"/>
        <v>0</v>
      </c>
      <c r="AF1007" s="262"/>
      <c r="AG1007" s="457"/>
      <c r="AH1007" s="264"/>
    </row>
    <row r="1008" spans="1:34" ht="15.75" thickBot="1" x14ac:dyDescent="0.3">
      <c r="A1008" s="474"/>
      <c r="B1008" s="470" t="s">
        <v>2048</v>
      </c>
      <c r="C1008" s="463" t="s">
        <v>44</v>
      </c>
      <c r="D1008" s="449" t="s">
        <v>1856</v>
      </c>
      <c r="E1008" s="262"/>
      <c r="F1008" s="470" t="s">
        <v>2077</v>
      </c>
      <c r="G1008" s="387" t="e">
        <f>VLOOKUP(A1008,'Feature Summary'!$A$7:$C$3944,3,FALSE)</f>
        <v>#N/A</v>
      </c>
      <c r="H1008" s="447" t="s">
        <v>2115</v>
      </c>
      <c r="I1008" s="447"/>
      <c r="J1008" s="480" t="s">
        <v>2074</v>
      </c>
      <c r="K1008" s="263"/>
      <c r="L1008" s="391"/>
      <c r="M1008" s="399" t="s">
        <v>33</v>
      </c>
      <c r="N1008" s="475">
        <v>1</v>
      </c>
      <c r="O1008" s="391"/>
      <c r="P1008" s="496">
        <f t="shared" si="182"/>
        <v>0</v>
      </c>
      <c r="Q1008" s="445" t="s">
        <v>52</v>
      </c>
      <c r="R1008" s="391"/>
      <c r="S1008" s="362">
        <f t="shared" si="183"/>
        <v>0</v>
      </c>
      <c r="T1008" s="368"/>
      <c r="U1008" s="368"/>
      <c r="V1008" s="368"/>
      <c r="W1008" s="368"/>
      <c r="X1008" s="364">
        <f t="shared" si="181"/>
        <v>0</v>
      </c>
      <c r="Y1008" s="393"/>
      <c r="Z1008" s="498">
        <f t="shared" si="172"/>
        <v>0</v>
      </c>
      <c r="AA1008" s="368"/>
      <c r="AB1008" s="368"/>
      <c r="AC1008" s="368"/>
      <c r="AD1008" s="368"/>
      <c r="AE1008" s="365">
        <f t="shared" si="173"/>
        <v>0</v>
      </c>
      <c r="AF1008" s="262"/>
      <c r="AG1008" s="457"/>
      <c r="AH1008" s="264"/>
    </row>
    <row r="1009" spans="1:34" ht="15.75" thickBot="1" x14ac:dyDescent="0.3">
      <c r="A1009" s="474"/>
      <c r="B1009" s="470" t="s">
        <v>2048</v>
      </c>
      <c r="C1009" s="463" t="s">
        <v>44</v>
      </c>
      <c r="D1009" s="449" t="s">
        <v>1856</v>
      </c>
      <c r="E1009" s="262"/>
      <c r="F1009" s="470" t="s">
        <v>2077</v>
      </c>
      <c r="G1009" s="387" t="e">
        <f>VLOOKUP(A1009,'Feature Summary'!$A$7:$C$3944,3,FALSE)</f>
        <v>#N/A</v>
      </c>
      <c r="H1009" s="447" t="s">
        <v>2116</v>
      </c>
      <c r="I1009" s="447"/>
      <c r="J1009" s="480" t="s">
        <v>2076</v>
      </c>
      <c r="K1009" s="263"/>
      <c r="L1009" s="391"/>
      <c r="M1009" s="399" t="s">
        <v>33</v>
      </c>
      <c r="N1009" s="475">
        <v>1</v>
      </c>
      <c r="O1009" s="391"/>
      <c r="P1009" s="496">
        <f t="shared" si="182"/>
        <v>0</v>
      </c>
      <c r="Q1009" s="445" t="s">
        <v>52</v>
      </c>
      <c r="R1009" s="391"/>
      <c r="S1009" s="362">
        <f t="shared" si="183"/>
        <v>0</v>
      </c>
      <c r="T1009" s="368"/>
      <c r="U1009" s="368"/>
      <c r="V1009" s="368"/>
      <c r="W1009" s="368"/>
      <c r="X1009" s="364">
        <f t="shared" si="181"/>
        <v>0</v>
      </c>
      <c r="Y1009" s="393"/>
      <c r="Z1009" s="498">
        <f t="shared" si="172"/>
        <v>0</v>
      </c>
      <c r="AA1009" s="368"/>
      <c r="AB1009" s="368"/>
      <c r="AC1009" s="368"/>
      <c r="AD1009" s="368"/>
      <c r="AE1009" s="365">
        <f t="shared" si="173"/>
        <v>0</v>
      </c>
      <c r="AF1009" s="262"/>
      <c r="AG1009" s="457"/>
      <c r="AH1009" s="264"/>
    </row>
    <row r="1010" spans="1:34" ht="45.75" thickBot="1" x14ac:dyDescent="0.3">
      <c r="A1010" s="474" t="s">
        <v>2091</v>
      </c>
      <c r="B1010" s="470" t="s">
        <v>2048</v>
      </c>
      <c r="C1010" s="463" t="s">
        <v>655</v>
      </c>
      <c r="D1010" s="449" t="s">
        <v>1856</v>
      </c>
      <c r="E1010" s="262"/>
      <c r="F1010" s="470" t="s">
        <v>2083</v>
      </c>
      <c r="G1010" s="387" t="e">
        <f>VLOOKUP(A1010,'Feature Summary'!$A$7:$C$3944,3,FALSE)</f>
        <v>#N/A</v>
      </c>
      <c r="H1010" s="447" t="s">
        <v>2117</v>
      </c>
      <c r="I1010" s="488" t="s">
        <v>264</v>
      </c>
      <c r="J1010" s="480" t="s">
        <v>2072</v>
      </c>
      <c r="K1010" s="263">
        <v>1</v>
      </c>
      <c r="L1010" s="391">
        <v>1</v>
      </c>
      <c r="M1010" s="399" t="s">
        <v>33</v>
      </c>
      <c r="N1010" s="475">
        <v>1</v>
      </c>
      <c r="O1010" s="391">
        <v>1</v>
      </c>
      <c r="P1010" s="496">
        <f t="shared" si="182"/>
        <v>1</v>
      </c>
      <c r="Q1010" s="445" t="s">
        <v>52</v>
      </c>
      <c r="R1010" s="391">
        <v>1</v>
      </c>
      <c r="S1010" s="362">
        <f t="shared" si="183"/>
        <v>1</v>
      </c>
      <c r="T1010" s="368">
        <v>1</v>
      </c>
      <c r="U1010" s="368"/>
      <c r="V1010" s="368"/>
      <c r="W1010" s="368"/>
      <c r="X1010" s="364">
        <f t="shared" si="181"/>
        <v>1</v>
      </c>
      <c r="Y1010" s="393"/>
      <c r="Z1010" s="498">
        <f t="shared" si="172"/>
        <v>0</v>
      </c>
      <c r="AA1010" s="368"/>
      <c r="AB1010" s="368"/>
      <c r="AC1010" s="368"/>
      <c r="AD1010" s="368"/>
      <c r="AE1010" s="365">
        <f t="shared" si="173"/>
        <v>0</v>
      </c>
      <c r="AF1010" s="262"/>
      <c r="AG1010" s="457"/>
      <c r="AH1010" s="264"/>
    </row>
    <row r="1011" spans="1:34" ht="15.75" thickBot="1" x14ac:dyDescent="0.3">
      <c r="A1011" s="474"/>
      <c r="B1011" s="470" t="s">
        <v>2048</v>
      </c>
      <c r="C1011" s="463" t="s">
        <v>44</v>
      </c>
      <c r="D1011" s="449" t="s">
        <v>1856</v>
      </c>
      <c r="E1011" s="262"/>
      <c r="F1011" s="470" t="s">
        <v>2083</v>
      </c>
      <c r="G1011" s="387" t="e">
        <f>VLOOKUP(A1011,'Feature Summary'!$A$7:$C$3944,3,FALSE)</f>
        <v>#N/A</v>
      </c>
      <c r="H1011" s="447" t="s">
        <v>2118</v>
      </c>
      <c r="I1011" s="447"/>
      <c r="J1011" s="480" t="s">
        <v>2074</v>
      </c>
      <c r="K1011" s="263"/>
      <c r="L1011" s="391"/>
      <c r="M1011" s="399" t="s">
        <v>33</v>
      </c>
      <c r="N1011" s="475">
        <v>1</v>
      </c>
      <c r="O1011" s="391"/>
      <c r="P1011" s="496">
        <f t="shared" si="182"/>
        <v>0</v>
      </c>
      <c r="Q1011" s="445" t="s">
        <v>52</v>
      </c>
      <c r="R1011" s="391"/>
      <c r="S1011" s="362">
        <f t="shared" si="183"/>
        <v>0</v>
      </c>
      <c r="T1011" s="368"/>
      <c r="U1011" s="368"/>
      <c r="V1011" s="368"/>
      <c r="W1011" s="368"/>
      <c r="X1011" s="364">
        <f t="shared" si="181"/>
        <v>0</v>
      </c>
      <c r="Y1011" s="393"/>
      <c r="Z1011" s="498">
        <f t="shared" si="172"/>
        <v>0</v>
      </c>
      <c r="AA1011" s="368"/>
      <c r="AB1011" s="368"/>
      <c r="AC1011" s="368"/>
      <c r="AD1011" s="368"/>
      <c r="AE1011" s="365">
        <f t="shared" si="173"/>
        <v>0</v>
      </c>
      <c r="AF1011" s="262"/>
      <c r="AG1011" s="457"/>
      <c r="AH1011" s="264"/>
    </row>
    <row r="1012" spans="1:34" ht="15.75" thickBot="1" x14ac:dyDescent="0.3">
      <c r="A1012" s="474"/>
      <c r="B1012" s="470" t="s">
        <v>2048</v>
      </c>
      <c r="C1012" s="463" t="s">
        <v>44</v>
      </c>
      <c r="D1012" s="449" t="s">
        <v>1856</v>
      </c>
      <c r="E1012" s="262"/>
      <c r="F1012" s="470" t="s">
        <v>2083</v>
      </c>
      <c r="G1012" s="387" t="e">
        <f>VLOOKUP(A1012,'Feature Summary'!$A$7:$C$3944,3,FALSE)</f>
        <v>#N/A</v>
      </c>
      <c r="H1012" s="447" t="s">
        <v>2119</v>
      </c>
      <c r="I1012" s="447"/>
      <c r="J1012" s="480" t="s">
        <v>2076</v>
      </c>
      <c r="K1012" s="263"/>
      <c r="L1012" s="391"/>
      <c r="M1012" s="399" t="s">
        <v>33</v>
      </c>
      <c r="N1012" s="475">
        <v>1</v>
      </c>
      <c r="O1012" s="391"/>
      <c r="P1012" s="496">
        <f t="shared" si="182"/>
        <v>0</v>
      </c>
      <c r="Q1012" s="445" t="s">
        <v>52</v>
      </c>
      <c r="R1012" s="391"/>
      <c r="S1012" s="362">
        <f t="shared" si="183"/>
        <v>0</v>
      </c>
      <c r="T1012" s="588"/>
      <c r="U1012" s="588"/>
      <c r="V1012" s="588"/>
      <c r="W1012" s="588"/>
      <c r="X1012" s="364">
        <f t="shared" si="181"/>
        <v>0</v>
      </c>
      <c r="Y1012" s="393"/>
      <c r="Z1012" s="498">
        <f t="shared" si="172"/>
        <v>0</v>
      </c>
      <c r="AA1012" s="368"/>
      <c r="AB1012" s="368"/>
      <c r="AC1012" s="368"/>
      <c r="AD1012" s="368"/>
      <c r="AE1012" s="365">
        <f t="shared" si="173"/>
        <v>0</v>
      </c>
      <c r="AF1012" s="262"/>
      <c r="AG1012" s="457"/>
      <c r="AH1012" s="264"/>
    </row>
    <row r="1013" spans="1:34" ht="45.75" thickBot="1" x14ac:dyDescent="0.3">
      <c r="A1013" s="474" t="s">
        <v>2104</v>
      </c>
      <c r="B1013" s="470" t="s">
        <v>2048</v>
      </c>
      <c r="C1013" s="463" t="s">
        <v>655</v>
      </c>
      <c r="D1013" s="449" t="s">
        <v>1856</v>
      </c>
      <c r="E1013" s="262"/>
      <c r="F1013" s="470" t="s">
        <v>2120</v>
      </c>
      <c r="G1013" s="387" t="e">
        <f>VLOOKUP(A1013,'Feature Summary'!$A$7:$C$3944,3,FALSE)</f>
        <v>#N/A</v>
      </c>
      <c r="H1013" s="447" t="s">
        <v>2121</v>
      </c>
      <c r="I1013" s="488" t="s">
        <v>264</v>
      </c>
      <c r="J1013" s="480" t="s">
        <v>2072</v>
      </c>
      <c r="K1013" s="263">
        <v>1</v>
      </c>
      <c r="L1013" s="391">
        <v>1</v>
      </c>
      <c r="M1013" s="399" t="s">
        <v>33</v>
      </c>
      <c r="N1013" s="475">
        <v>1</v>
      </c>
      <c r="O1013" s="391">
        <v>1</v>
      </c>
      <c r="P1013" s="496">
        <f t="shared" si="182"/>
        <v>1</v>
      </c>
      <c r="Q1013" s="445" t="s">
        <v>52</v>
      </c>
      <c r="R1013" s="391">
        <v>1</v>
      </c>
      <c r="S1013" s="362">
        <f t="shared" si="183"/>
        <v>1</v>
      </c>
      <c r="T1013" s="588">
        <v>1</v>
      </c>
      <c r="U1013" s="588"/>
      <c r="V1013" s="588"/>
      <c r="W1013" s="588"/>
      <c r="X1013" s="364">
        <f t="shared" si="181"/>
        <v>1</v>
      </c>
      <c r="Y1013" s="393"/>
      <c r="Z1013" s="498">
        <f t="shared" si="172"/>
        <v>0</v>
      </c>
      <c r="AA1013" s="368"/>
      <c r="AB1013" s="368"/>
      <c r="AC1013" s="368"/>
      <c r="AD1013" s="368"/>
      <c r="AE1013" s="365">
        <f t="shared" si="173"/>
        <v>0</v>
      </c>
      <c r="AF1013" s="262"/>
      <c r="AG1013" s="457"/>
      <c r="AH1013" s="264"/>
    </row>
    <row r="1014" spans="1:34" ht="30.75" thickBot="1" x14ac:dyDescent="0.3">
      <c r="A1014" s="474"/>
      <c r="B1014" s="470" t="s">
        <v>2048</v>
      </c>
      <c r="C1014" s="463" t="s">
        <v>44</v>
      </c>
      <c r="D1014" s="449" t="s">
        <v>1856</v>
      </c>
      <c r="E1014" s="262"/>
      <c r="F1014" s="470" t="s">
        <v>2120</v>
      </c>
      <c r="G1014" s="387" t="e">
        <f>VLOOKUP(A1014,'Feature Summary'!$A$7:$C$3944,3,FALSE)</f>
        <v>#N/A</v>
      </c>
      <c r="H1014" s="447" t="s">
        <v>2122</v>
      </c>
      <c r="I1014" s="447"/>
      <c r="J1014" s="480" t="s">
        <v>2074</v>
      </c>
      <c r="K1014" s="263"/>
      <c r="L1014" s="391"/>
      <c r="M1014" s="399" t="s">
        <v>33</v>
      </c>
      <c r="N1014" s="475">
        <v>1</v>
      </c>
      <c r="O1014" s="391"/>
      <c r="P1014" s="496">
        <f t="shared" si="182"/>
        <v>0</v>
      </c>
      <c r="Q1014" s="445" t="s">
        <v>52</v>
      </c>
      <c r="R1014" s="391"/>
      <c r="S1014" s="362">
        <f t="shared" si="183"/>
        <v>0</v>
      </c>
      <c r="T1014" s="588"/>
      <c r="U1014" s="588"/>
      <c r="V1014" s="588"/>
      <c r="W1014" s="588"/>
      <c r="X1014" s="364">
        <f t="shared" si="181"/>
        <v>0</v>
      </c>
      <c r="Y1014" s="393"/>
      <c r="Z1014" s="498">
        <f t="shared" si="172"/>
        <v>0</v>
      </c>
      <c r="AA1014" s="368"/>
      <c r="AB1014" s="368"/>
      <c r="AC1014" s="368"/>
      <c r="AD1014" s="368"/>
      <c r="AE1014" s="365">
        <f t="shared" si="173"/>
        <v>0</v>
      </c>
      <c r="AF1014" s="262"/>
      <c r="AG1014" s="457"/>
      <c r="AH1014" s="264"/>
    </row>
    <row r="1015" spans="1:34" ht="30.75" thickBot="1" x14ac:dyDescent="0.3">
      <c r="A1015" s="474"/>
      <c r="B1015" s="470" t="s">
        <v>2048</v>
      </c>
      <c r="C1015" s="463" t="s">
        <v>44</v>
      </c>
      <c r="D1015" s="449" t="s">
        <v>1856</v>
      </c>
      <c r="E1015" s="262"/>
      <c r="F1015" s="470" t="s">
        <v>2120</v>
      </c>
      <c r="G1015" s="387" t="e">
        <f>VLOOKUP(A1015,'Feature Summary'!$A$7:$C$3944,3,FALSE)</f>
        <v>#N/A</v>
      </c>
      <c r="H1015" s="447" t="s">
        <v>2123</v>
      </c>
      <c r="I1015" s="447"/>
      <c r="J1015" s="480" t="s">
        <v>2076</v>
      </c>
      <c r="K1015" s="263"/>
      <c r="L1015" s="391"/>
      <c r="M1015" s="399" t="s">
        <v>33</v>
      </c>
      <c r="N1015" s="475">
        <v>1</v>
      </c>
      <c r="O1015" s="391"/>
      <c r="P1015" s="496">
        <f t="shared" si="182"/>
        <v>0</v>
      </c>
      <c r="Q1015" s="445" t="s">
        <v>52</v>
      </c>
      <c r="R1015" s="391"/>
      <c r="S1015" s="362">
        <f t="shared" si="183"/>
        <v>0</v>
      </c>
      <c r="T1015" s="588"/>
      <c r="U1015" s="588"/>
      <c r="V1015" s="588"/>
      <c r="W1015" s="588"/>
      <c r="X1015" s="364">
        <f t="shared" si="181"/>
        <v>0</v>
      </c>
      <c r="Y1015" s="393"/>
      <c r="Z1015" s="498">
        <f t="shared" si="172"/>
        <v>0</v>
      </c>
      <c r="AA1015" s="368"/>
      <c r="AB1015" s="368"/>
      <c r="AC1015" s="368"/>
      <c r="AD1015" s="368"/>
      <c r="AE1015" s="365">
        <f t="shared" si="173"/>
        <v>0</v>
      </c>
      <c r="AF1015" s="558"/>
      <c r="AG1015" s="457"/>
      <c r="AH1015" s="264"/>
    </row>
    <row r="1016" spans="1:34" ht="60.75" thickBot="1" x14ac:dyDescent="0.3">
      <c r="A1016" s="474" t="s">
        <v>2124</v>
      </c>
      <c r="B1016" s="470" t="s">
        <v>2048</v>
      </c>
      <c r="C1016" s="463" t="s">
        <v>445</v>
      </c>
      <c r="D1016" s="449" t="s">
        <v>431</v>
      </c>
      <c r="E1016" s="262"/>
      <c r="F1016" s="470" t="s">
        <v>2125</v>
      </c>
      <c r="G1016" s="387" t="e">
        <f>VLOOKUP(A1016,'Feature Summary'!$A$7:$C$3944,3,FALSE)</f>
        <v>#N/A</v>
      </c>
      <c r="H1016" s="447" t="s">
        <v>2126</v>
      </c>
      <c r="I1016" s="488" t="s">
        <v>264</v>
      </c>
      <c r="J1016" s="480" t="s">
        <v>320</v>
      </c>
      <c r="K1016" s="263">
        <v>1</v>
      </c>
      <c r="L1016" s="391">
        <v>4</v>
      </c>
      <c r="M1016" s="399" t="s">
        <v>33</v>
      </c>
      <c r="N1016" s="475">
        <v>1</v>
      </c>
      <c r="O1016" s="391">
        <v>4</v>
      </c>
      <c r="P1016" s="496">
        <f t="shared" ref="P1016" si="187">IF((O1016=0),0,(O1016/L1016))</f>
        <v>1</v>
      </c>
      <c r="Q1016" s="445" t="s">
        <v>52</v>
      </c>
      <c r="R1016" s="391">
        <v>4</v>
      </c>
      <c r="S1016" s="362">
        <f t="shared" ref="S1016" si="188">SUM(T1016:W1016)</f>
        <v>4</v>
      </c>
      <c r="T1016" s="588">
        <v>4</v>
      </c>
      <c r="U1016" s="588"/>
      <c r="V1016" s="588"/>
      <c r="W1016" s="588"/>
      <c r="X1016" s="364">
        <f t="shared" ref="X1016" si="189">IF((S1016=0),0,((T1016+U1016)/S1016*100%))</f>
        <v>1</v>
      </c>
      <c r="Y1016" s="393"/>
      <c r="Z1016" s="498">
        <f t="shared" si="172"/>
        <v>0</v>
      </c>
      <c r="AA1016" s="368"/>
      <c r="AB1016" s="368"/>
      <c r="AC1016" s="368"/>
      <c r="AD1016" s="368"/>
      <c r="AE1016" s="365">
        <f t="shared" si="173"/>
        <v>0</v>
      </c>
      <c r="AF1016" s="558"/>
      <c r="AG1016" s="457"/>
      <c r="AH1016" s="264"/>
    </row>
    <row r="1017" spans="1:34" ht="30.75" thickBot="1" x14ac:dyDescent="0.3">
      <c r="A1017" s="474"/>
      <c r="B1017" s="470" t="s">
        <v>2127</v>
      </c>
      <c r="C1017" s="463" t="s">
        <v>372</v>
      </c>
      <c r="D1017" s="449" t="s">
        <v>1856</v>
      </c>
      <c r="E1017" s="262"/>
      <c r="F1017" s="470" t="s">
        <v>2128</v>
      </c>
      <c r="G1017" s="387"/>
      <c r="H1017" s="447" t="s">
        <v>2129</v>
      </c>
      <c r="I1017" s="488" t="s">
        <v>264</v>
      </c>
      <c r="J1017" s="480" t="s">
        <v>2130</v>
      </c>
      <c r="K1017" s="263">
        <v>1</v>
      </c>
      <c r="L1017" s="391">
        <v>1</v>
      </c>
      <c r="M1017" s="399" t="s">
        <v>33</v>
      </c>
      <c r="N1017" s="475">
        <v>1</v>
      </c>
      <c r="O1017" s="391">
        <v>1</v>
      </c>
      <c r="P1017" s="496">
        <f t="shared" ref="P1017" si="190">IF((O1017=0),0,(O1017/L1017))</f>
        <v>1</v>
      </c>
      <c r="Q1017" s="445" t="s">
        <v>52</v>
      </c>
      <c r="R1017" s="391">
        <v>1</v>
      </c>
      <c r="S1017" s="362">
        <f t="shared" ref="S1017" si="191">SUM(T1017:W1017)</f>
        <v>1</v>
      </c>
      <c r="T1017" s="588">
        <v>1</v>
      </c>
      <c r="U1017" s="588"/>
      <c r="V1017" s="588"/>
      <c r="W1017" s="588"/>
      <c r="X1017" s="364">
        <f t="shared" ref="X1017" si="192">IF((S1017=0),0,((T1017+U1017)/S1017*100%))</f>
        <v>1</v>
      </c>
      <c r="Y1017" s="393"/>
      <c r="Z1017" s="498">
        <f t="shared" si="172"/>
        <v>0</v>
      </c>
      <c r="AA1017" s="368"/>
      <c r="AB1017" s="368"/>
      <c r="AC1017" s="368"/>
      <c r="AD1017" s="368"/>
      <c r="AE1017" s="365">
        <f t="shared" si="173"/>
        <v>0</v>
      </c>
      <c r="AF1017" s="558"/>
      <c r="AG1017" s="457"/>
      <c r="AH1017" s="264"/>
    </row>
    <row r="1018" spans="1:34" ht="30.75" thickBot="1" x14ac:dyDescent="0.3">
      <c r="A1018" s="474" t="s">
        <v>2131</v>
      </c>
      <c r="B1018" s="470" t="s">
        <v>2132</v>
      </c>
      <c r="C1018" s="580" t="s">
        <v>335</v>
      </c>
      <c r="D1018" s="449" t="s">
        <v>261</v>
      </c>
      <c r="E1018" s="262"/>
      <c r="F1018" s="470" t="s">
        <v>2133</v>
      </c>
      <c r="G1018" s="387" t="str">
        <f>VLOOKUP(A1018,'Feature Summary'!$A$7:$C$3944,3,FALSE)</f>
        <v>P2</v>
      </c>
      <c r="H1018" s="447" t="s">
        <v>2134</v>
      </c>
      <c r="I1018" s="488" t="s">
        <v>264</v>
      </c>
      <c r="J1018" s="448" t="s">
        <v>320</v>
      </c>
      <c r="K1018" s="263">
        <v>1</v>
      </c>
      <c r="L1018" s="391">
        <v>1</v>
      </c>
      <c r="M1018" s="399" t="s">
        <v>33</v>
      </c>
      <c r="N1018" s="475">
        <v>1</v>
      </c>
      <c r="O1018" s="391">
        <v>1</v>
      </c>
      <c r="P1018" s="496">
        <f t="shared" si="182"/>
        <v>1</v>
      </c>
      <c r="Q1018" s="445" t="s">
        <v>52</v>
      </c>
      <c r="R1018" s="391">
        <v>1</v>
      </c>
      <c r="S1018" s="362">
        <f t="shared" si="183"/>
        <v>1</v>
      </c>
      <c r="T1018" s="588">
        <v>1</v>
      </c>
      <c r="U1018" s="588"/>
      <c r="V1018" s="588"/>
      <c r="W1018" s="588"/>
      <c r="X1018" s="364">
        <f t="shared" si="181"/>
        <v>1</v>
      </c>
      <c r="Y1018" s="393"/>
      <c r="Z1018" s="498">
        <f t="shared" si="172"/>
        <v>0</v>
      </c>
      <c r="AA1018" s="368"/>
      <c r="AB1018" s="368"/>
      <c r="AC1018" s="368"/>
      <c r="AD1018" s="368"/>
      <c r="AE1018" s="365">
        <f t="shared" si="173"/>
        <v>0</v>
      </c>
      <c r="AF1018" s="558"/>
      <c r="AG1018" s="457"/>
      <c r="AH1018" s="264"/>
    </row>
    <row r="1019" spans="1:34" ht="30.75" thickBot="1" x14ac:dyDescent="0.3">
      <c r="A1019" s="474" t="s">
        <v>2131</v>
      </c>
      <c r="B1019" s="593" t="s">
        <v>2135</v>
      </c>
      <c r="C1019" s="580" t="s">
        <v>335</v>
      </c>
      <c r="D1019" s="449" t="s">
        <v>261</v>
      </c>
      <c r="E1019" s="580"/>
      <c r="F1019" s="593" t="s">
        <v>2136</v>
      </c>
      <c r="G1019" s="201" t="str">
        <f>VLOOKUP(A1019,'Feature Summary'!$A$7:$C$3993,3,FALSE)</f>
        <v>P2</v>
      </c>
      <c r="H1019" s="447" t="s">
        <v>2137</v>
      </c>
      <c r="I1019" s="488" t="s">
        <v>264</v>
      </c>
      <c r="J1019" s="594" t="s">
        <v>2138</v>
      </c>
      <c r="K1019" s="263">
        <v>1</v>
      </c>
      <c r="L1019" s="390">
        <v>1</v>
      </c>
      <c r="M1019" s="399" t="s">
        <v>33</v>
      </c>
      <c r="N1019" s="585">
        <v>1</v>
      </c>
      <c r="O1019" s="586">
        <v>1</v>
      </c>
      <c r="P1019" s="587">
        <f t="shared" si="182"/>
        <v>1</v>
      </c>
      <c r="Q1019" s="445" t="s">
        <v>52</v>
      </c>
      <c r="R1019" s="390">
        <v>1</v>
      </c>
      <c r="S1019" s="362">
        <f t="shared" si="183"/>
        <v>1</v>
      </c>
      <c r="T1019" s="588">
        <v>1</v>
      </c>
      <c r="U1019" s="588"/>
      <c r="V1019" s="588"/>
      <c r="W1019" s="588"/>
      <c r="X1019" s="364">
        <f t="shared" si="181"/>
        <v>1</v>
      </c>
      <c r="Y1019" s="589"/>
      <c r="Z1019" s="498">
        <f t="shared" si="172"/>
        <v>0</v>
      </c>
      <c r="AA1019" s="368"/>
      <c r="AB1019" s="588"/>
      <c r="AC1019" s="588"/>
      <c r="AD1019" s="588"/>
      <c r="AE1019" s="365">
        <f t="shared" si="173"/>
        <v>0</v>
      </c>
      <c r="AF1019" s="584"/>
      <c r="AG1019" s="591"/>
      <c r="AH1019" s="592"/>
    </row>
    <row r="1020" spans="1:34" ht="15.75" thickBot="1" x14ac:dyDescent="0.3">
      <c r="A1020" s="458"/>
      <c r="B1020" s="470" t="s">
        <v>2139</v>
      </c>
      <c r="C1020" s="580" t="s">
        <v>335</v>
      </c>
      <c r="D1020" s="449" t="s">
        <v>261</v>
      </c>
      <c r="E1020" s="262"/>
      <c r="F1020" s="447" t="s">
        <v>2140</v>
      </c>
      <c r="G1020" s="387" t="e">
        <f>VLOOKUP(A1020,'Feature Summary'!$A$7:$C$3944,3,FALSE)</f>
        <v>#N/A</v>
      </c>
      <c r="H1020" s="447" t="s">
        <v>293</v>
      </c>
      <c r="I1020" s="488" t="s">
        <v>264</v>
      </c>
      <c r="J1020" s="448" t="s">
        <v>320</v>
      </c>
      <c r="K1020" s="263">
        <v>1</v>
      </c>
      <c r="L1020" s="391">
        <v>1</v>
      </c>
      <c r="M1020" s="399" t="s">
        <v>33</v>
      </c>
      <c r="N1020" s="475">
        <v>1</v>
      </c>
      <c r="O1020" s="391">
        <v>1</v>
      </c>
      <c r="P1020" s="496">
        <f t="shared" si="182"/>
        <v>1</v>
      </c>
      <c r="Q1020" s="445" t="s">
        <v>52</v>
      </c>
      <c r="R1020" s="391">
        <v>1</v>
      </c>
      <c r="S1020" s="362">
        <f t="shared" si="183"/>
        <v>1</v>
      </c>
      <c r="T1020" s="588">
        <v>1</v>
      </c>
      <c r="U1020" s="610"/>
      <c r="V1020" s="610"/>
      <c r="W1020" s="610"/>
      <c r="X1020" s="364">
        <f t="shared" si="181"/>
        <v>1</v>
      </c>
      <c r="Y1020" s="393"/>
      <c r="Z1020" s="498">
        <f t="shared" si="172"/>
        <v>0</v>
      </c>
      <c r="AA1020" s="368"/>
      <c r="AB1020" s="368"/>
      <c r="AC1020" s="368"/>
      <c r="AD1020" s="368"/>
      <c r="AE1020" s="365">
        <f t="shared" si="173"/>
        <v>0</v>
      </c>
      <c r="AF1020" s="262"/>
      <c r="AG1020" s="457"/>
      <c r="AH1020" s="264"/>
    </row>
    <row r="1021" spans="1:34" ht="30.75" thickBot="1" x14ac:dyDescent="0.3">
      <c r="A1021" s="474"/>
      <c r="B1021" s="470" t="s">
        <v>2141</v>
      </c>
      <c r="C1021" s="463" t="s">
        <v>655</v>
      </c>
      <c r="D1021" s="449" t="s">
        <v>431</v>
      </c>
      <c r="E1021" s="262"/>
      <c r="F1021" s="447" t="s">
        <v>2142</v>
      </c>
      <c r="G1021" s="387" t="e">
        <f>VLOOKUP(A1021,'Feature Summary'!$A$7:$C$3944,3,FALSE)</f>
        <v>#N/A</v>
      </c>
      <c r="H1021" s="447" t="s">
        <v>2143</v>
      </c>
      <c r="I1021" s="488" t="s">
        <v>264</v>
      </c>
      <c r="J1021" s="448" t="s">
        <v>2144</v>
      </c>
      <c r="K1021" s="263">
        <v>1</v>
      </c>
      <c r="L1021" s="391">
        <v>1</v>
      </c>
      <c r="M1021" s="399" t="s">
        <v>33</v>
      </c>
      <c r="N1021" s="475">
        <v>1</v>
      </c>
      <c r="O1021" s="391">
        <v>1</v>
      </c>
      <c r="P1021" s="496">
        <f t="shared" si="182"/>
        <v>1</v>
      </c>
      <c r="Q1021" s="445" t="s">
        <v>52</v>
      </c>
      <c r="R1021" s="391">
        <v>1</v>
      </c>
      <c r="S1021" s="362">
        <f t="shared" si="183"/>
        <v>1</v>
      </c>
      <c r="T1021" s="588">
        <v>1</v>
      </c>
      <c r="U1021" s="588"/>
      <c r="V1021" s="588"/>
      <c r="W1021" s="588"/>
      <c r="X1021" s="364">
        <f t="shared" si="181"/>
        <v>1</v>
      </c>
      <c r="Y1021" s="393"/>
      <c r="Z1021" s="498">
        <f t="shared" si="172"/>
        <v>0</v>
      </c>
      <c r="AA1021" s="368"/>
      <c r="AB1021" s="368"/>
      <c r="AC1021" s="368"/>
      <c r="AD1021" s="368"/>
      <c r="AE1021" s="365">
        <f t="shared" si="173"/>
        <v>0</v>
      </c>
      <c r="AF1021" s="262"/>
      <c r="AG1021" s="457"/>
      <c r="AH1021" s="264"/>
    </row>
    <row r="1022" spans="1:34" ht="60.75" thickBot="1" x14ac:dyDescent="0.3">
      <c r="A1022" s="474"/>
      <c r="B1022" s="470" t="s">
        <v>2145</v>
      </c>
      <c r="C1022" s="463" t="s">
        <v>655</v>
      </c>
      <c r="D1022" s="449" t="s">
        <v>431</v>
      </c>
      <c r="E1022" s="262"/>
      <c r="F1022" s="447" t="s">
        <v>2146</v>
      </c>
      <c r="G1022" s="387" t="e">
        <f>VLOOKUP(A1022,'Feature Summary'!$A$7:$C$3944,3,FALSE)</f>
        <v>#N/A</v>
      </c>
      <c r="H1022" s="447" t="s">
        <v>2147</v>
      </c>
      <c r="I1022" s="488" t="s">
        <v>264</v>
      </c>
      <c r="J1022" s="476" t="s">
        <v>2144</v>
      </c>
      <c r="K1022" s="263">
        <v>1</v>
      </c>
      <c r="L1022" s="390">
        <v>1</v>
      </c>
      <c r="M1022" s="399" t="s">
        <v>33</v>
      </c>
      <c r="N1022" s="475">
        <v>1</v>
      </c>
      <c r="O1022" s="390">
        <v>1</v>
      </c>
      <c r="P1022" s="496">
        <f t="shared" si="182"/>
        <v>1</v>
      </c>
      <c r="Q1022" s="445" t="s">
        <v>52</v>
      </c>
      <c r="R1022" s="390">
        <v>1</v>
      </c>
      <c r="S1022" s="362">
        <f t="shared" si="183"/>
        <v>1</v>
      </c>
      <c r="T1022" s="588">
        <v>1</v>
      </c>
      <c r="U1022" s="588"/>
      <c r="V1022" s="588"/>
      <c r="W1022" s="588"/>
      <c r="X1022" s="364">
        <f t="shared" si="181"/>
        <v>1</v>
      </c>
      <c r="Y1022" s="393"/>
      <c r="Z1022" s="498">
        <f t="shared" si="172"/>
        <v>0</v>
      </c>
      <c r="AA1022" s="368"/>
      <c r="AB1022" s="368"/>
      <c r="AC1022" s="368"/>
      <c r="AD1022" s="368"/>
      <c r="AE1022" s="365">
        <f t="shared" si="173"/>
        <v>0</v>
      </c>
      <c r="AF1022" s="262"/>
      <c r="AG1022" s="457"/>
      <c r="AH1022" s="264"/>
    </row>
    <row r="1023" spans="1:34" ht="45.75" thickBot="1" x14ac:dyDescent="0.3">
      <c r="A1023" s="474"/>
      <c r="B1023" s="470" t="s">
        <v>2148</v>
      </c>
      <c r="C1023" s="463" t="s">
        <v>655</v>
      </c>
      <c r="D1023" s="449" t="s">
        <v>261</v>
      </c>
      <c r="E1023" s="262"/>
      <c r="F1023" s="447" t="s">
        <v>2149</v>
      </c>
      <c r="G1023" s="387" t="e">
        <f>VLOOKUP(A1023,'Feature Summary'!$A$7:$C$3944,3,FALSE)</f>
        <v>#N/A</v>
      </c>
      <c r="H1023" s="447" t="s">
        <v>2093</v>
      </c>
      <c r="I1023" s="488" t="s">
        <v>264</v>
      </c>
      <c r="J1023" s="476" t="s">
        <v>2150</v>
      </c>
      <c r="K1023" s="263">
        <v>1</v>
      </c>
      <c r="L1023" s="390">
        <v>1</v>
      </c>
      <c r="M1023" s="399" t="s">
        <v>33</v>
      </c>
      <c r="N1023" s="475">
        <v>1</v>
      </c>
      <c r="O1023" s="390">
        <v>1</v>
      </c>
      <c r="P1023" s="496">
        <f t="shared" ref="P1023" si="193">IF((O1023=0),0,(O1023/L1023))</f>
        <v>1</v>
      </c>
      <c r="Q1023" s="445" t="s">
        <v>52</v>
      </c>
      <c r="R1023" s="390">
        <v>1</v>
      </c>
      <c r="S1023" s="362">
        <f t="shared" si="183"/>
        <v>1</v>
      </c>
      <c r="T1023" s="588">
        <v>1</v>
      </c>
      <c r="U1023" s="588"/>
      <c r="V1023" s="588"/>
      <c r="W1023" s="588"/>
      <c r="X1023" s="364">
        <f t="shared" si="181"/>
        <v>1</v>
      </c>
      <c r="Y1023" s="393"/>
      <c r="Z1023" s="498">
        <f t="shared" si="172"/>
        <v>0</v>
      </c>
      <c r="AA1023" s="368"/>
      <c r="AB1023" s="368"/>
      <c r="AC1023" s="368"/>
      <c r="AD1023" s="368"/>
      <c r="AE1023" s="365">
        <f t="shared" si="173"/>
        <v>0</v>
      </c>
      <c r="AF1023" s="262"/>
      <c r="AG1023" s="457"/>
      <c r="AH1023" s="264"/>
    </row>
    <row r="1024" spans="1:34" ht="45.75" thickBot="1" x14ac:dyDescent="0.3">
      <c r="A1024" s="474"/>
      <c r="B1024" s="470" t="s">
        <v>2148</v>
      </c>
      <c r="C1024" s="463" t="s">
        <v>655</v>
      </c>
      <c r="D1024" s="449" t="s">
        <v>261</v>
      </c>
      <c r="E1024" s="262"/>
      <c r="F1024" s="447" t="s">
        <v>2149</v>
      </c>
      <c r="G1024" s="387" t="e">
        <f>VLOOKUP(A1024,'Feature Summary'!$A$7:$C$3944,3,FALSE)</f>
        <v>#N/A</v>
      </c>
      <c r="H1024" s="447" t="s">
        <v>2110</v>
      </c>
      <c r="I1024" s="488" t="s">
        <v>264</v>
      </c>
      <c r="J1024" s="476" t="s">
        <v>2074</v>
      </c>
      <c r="K1024" s="263">
        <v>1</v>
      </c>
      <c r="L1024" s="390">
        <v>1</v>
      </c>
      <c r="M1024" s="399" t="s">
        <v>33</v>
      </c>
      <c r="N1024" s="475">
        <v>1</v>
      </c>
      <c r="O1024" s="390">
        <v>1</v>
      </c>
      <c r="P1024" s="496">
        <f t="shared" si="182"/>
        <v>1</v>
      </c>
      <c r="Q1024" s="445" t="s">
        <v>52</v>
      </c>
      <c r="R1024" s="390">
        <v>1</v>
      </c>
      <c r="S1024" s="362">
        <f t="shared" si="183"/>
        <v>1</v>
      </c>
      <c r="T1024" s="588">
        <v>1</v>
      </c>
      <c r="U1024" s="588"/>
      <c r="V1024" s="588"/>
      <c r="W1024" s="588"/>
      <c r="X1024" s="364">
        <f t="shared" si="181"/>
        <v>1</v>
      </c>
      <c r="Y1024" s="393"/>
      <c r="Z1024" s="498">
        <f t="shared" si="172"/>
        <v>0</v>
      </c>
      <c r="AA1024" s="368"/>
      <c r="AB1024" s="368"/>
      <c r="AC1024" s="368"/>
      <c r="AD1024" s="368"/>
      <c r="AE1024" s="365">
        <f t="shared" si="173"/>
        <v>0</v>
      </c>
      <c r="AF1024" s="262"/>
      <c r="AG1024" s="457"/>
      <c r="AH1024" s="264"/>
    </row>
    <row r="1025" spans="1:34" ht="15.75" thickBot="1" x14ac:dyDescent="0.3">
      <c r="A1025" s="458" t="s">
        <v>305</v>
      </c>
      <c r="B1025" s="447" t="s">
        <v>2151</v>
      </c>
      <c r="C1025" s="463" t="s">
        <v>445</v>
      </c>
      <c r="D1025" s="449" t="s">
        <v>261</v>
      </c>
      <c r="E1025" s="262"/>
      <c r="F1025" s="447" t="s">
        <v>2152</v>
      </c>
      <c r="G1025" s="387" t="str">
        <f>VLOOKUP(A1025,'Feature Summary'!$A$7:$C$3944,3,FALSE)</f>
        <v>P2</v>
      </c>
      <c r="H1025" s="447" t="s">
        <v>2153</v>
      </c>
      <c r="I1025" s="488" t="s">
        <v>264</v>
      </c>
      <c r="J1025" s="448" t="s">
        <v>450</v>
      </c>
      <c r="K1025" s="263">
        <v>1</v>
      </c>
      <c r="L1025" s="391">
        <v>1</v>
      </c>
      <c r="M1025" s="399" t="s">
        <v>33</v>
      </c>
      <c r="N1025" s="475">
        <v>1</v>
      </c>
      <c r="O1025" s="391">
        <v>1</v>
      </c>
      <c r="P1025" s="496">
        <f t="shared" si="182"/>
        <v>1</v>
      </c>
      <c r="Q1025" s="445" t="s">
        <v>52</v>
      </c>
      <c r="R1025" s="391">
        <v>1</v>
      </c>
      <c r="S1025" s="362">
        <f t="shared" si="183"/>
        <v>1</v>
      </c>
      <c r="T1025" s="588">
        <v>1</v>
      </c>
      <c r="U1025" s="588"/>
      <c r="V1025" s="588"/>
      <c r="W1025" s="588"/>
      <c r="X1025" s="364">
        <f t="shared" si="181"/>
        <v>1</v>
      </c>
      <c r="Y1025" s="393"/>
      <c r="Z1025" s="498">
        <f t="shared" si="172"/>
        <v>0</v>
      </c>
      <c r="AA1025" s="368"/>
      <c r="AB1025" s="368"/>
      <c r="AC1025" s="368"/>
      <c r="AD1025" s="368"/>
      <c r="AE1025" s="365">
        <f t="shared" si="173"/>
        <v>0</v>
      </c>
      <c r="AF1025" s="262"/>
      <c r="AG1025" s="457"/>
      <c r="AH1025" s="264"/>
    </row>
    <row r="1026" spans="1:34" ht="15.75" thickBot="1" x14ac:dyDescent="0.3">
      <c r="A1026" s="458" t="s">
        <v>2154</v>
      </c>
      <c r="B1026" s="447" t="s">
        <v>2155</v>
      </c>
      <c r="C1026" s="463" t="s">
        <v>445</v>
      </c>
      <c r="D1026" s="449" t="s">
        <v>431</v>
      </c>
      <c r="E1026" s="262"/>
      <c r="F1026" s="447" t="s">
        <v>2156</v>
      </c>
      <c r="G1026" s="387" t="e">
        <f>VLOOKUP(A1026,'Feature Summary'!$A$7:$C$3944,3,FALSE)</f>
        <v>#N/A</v>
      </c>
      <c r="H1026" s="447" t="s">
        <v>2157</v>
      </c>
      <c r="I1026" s="488" t="s">
        <v>264</v>
      </c>
      <c r="J1026" s="448" t="s">
        <v>1224</v>
      </c>
      <c r="K1026" s="263">
        <v>1</v>
      </c>
      <c r="L1026" s="391">
        <v>1</v>
      </c>
      <c r="M1026" s="399" t="s">
        <v>33</v>
      </c>
      <c r="N1026" s="475">
        <v>1</v>
      </c>
      <c r="O1026" s="391">
        <v>1</v>
      </c>
      <c r="P1026" s="496">
        <f t="shared" si="182"/>
        <v>1</v>
      </c>
      <c r="Q1026" s="445" t="s">
        <v>52</v>
      </c>
      <c r="R1026" s="391">
        <v>1</v>
      </c>
      <c r="S1026" s="362">
        <f t="shared" si="183"/>
        <v>1</v>
      </c>
      <c r="T1026" s="588">
        <v>1</v>
      </c>
      <c r="U1026" s="588"/>
      <c r="V1026" s="588"/>
      <c r="W1026" s="588"/>
      <c r="X1026" s="364">
        <f t="shared" si="181"/>
        <v>1</v>
      </c>
      <c r="Y1026" s="393"/>
      <c r="Z1026" s="498">
        <f t="shared" si="172"/>
        <v>0</v>
      </c>
      <c r="AA1026" s="368"/>
      <c r="AB1026" s="368"/>
      <c r="AC1026" s="368"/>
      <c r="AD1026" s="368"/>
      <c r="AE1026" s="365">
        <f t="shared" si="173"/>
        <v>0</v>
      </c>
      <c r="AF1026" s="558"/>
      <c r="AG1026" s="457"/>
      <c r="AH1026" s="264"/>
    </row>
    <row r="1027" spans="1:34" ht="15.75" thickBot="1" x14ac:dyDescent="0.3">
      <c r="A1027" s="474"/>
      <c r="B1027" s="463"/>
      <c r="C1027" s="463" t="s">
        <v>2158</v>
      </c>
      <c r="D1027" s="449" t="s">
        <v>1856</v>
      </c>
      <c r="E1027" s="262"/>
      <c r="F1027" s="447" t="s">
        <v>2159</v>
      </c>
      <c r="G1027" s="387" t="e">
        <f>VLOOKUP(A1027,'Feature Summary'!$A$7:$C$3944,3,FALSE)</f>
        <v>#N/A</v>
      </c>
      <c r="H1027" s="463" t="s">
        <v>2160</v>
      </c>
      <c r="I1027" s="488" t="s">
        <v>264</v>
      </c>
      <c r="J1027" s="476" t="s">
        <v>281</v>
      </c>
      <c r="K1027" s="263">
        <v>1</v>
      </c>
      <c r="L1027" s="390">
        <v>2</v>
      </c>
      <c r="M1027" s="399" t="s">
        <v>33</v>
      </c>
      <c r="N1027" s="475">
        <v>1</v>
      </c>
      <c r="O1027" s="390">
        <v>2</v>
      </c>
      <c r="P1027" s="496">
        <f t="shared" ref="P1027:P1028" si="194">IF((O1027=0),0,(O1027/L1027))</f>
        <v>1</v>
      </c>
      <c r="Q1027" s="445" t="s">
        <v>52</v>
      </c>
      <c r="R1027" s="390">
        <v>2</v>
      </c>
      <c r="S1027" s="362">
        <f t="shared" si="183"/>
        <v>2</v>
      </c>
      <c r="T1027" s="588">
        <v>2</v>
      </c>
      <c r="U1027" s="588"/>
      <c r="V1027" s="588"/>
      <c r="W1027" s="588"/>
      <c r="X1027" s="364">
        <f t="shared" si="181"/>
        <v>1</v>
      </c>
      <c r="Y1027" s="393"/>
      <c r="Z1027" s="498">
        <f t="shared" si="172"/>
        <v>0</v>
      </c>
      <c r="AA1027" s="368"/>
      <c r="AB1027" s="368"/>
      <c r="AC1027" s="368"/>
      <c r="AD1027" s="368"/>
      <c r="AE1027" s="365">
        <f t="shared" si="173"/>
        <v>0</v>
      </c>
      <c r="AF1027" s="262"/>
      <c r="AG1027" s="457"/>
      <c r="AH1027" s="264"/>
    </row>
    <row r="1028" spans="1:34" ht="15.75" thickBot="1" x14ac:dyDescent="0.3">
      <c r="A1028" s="474"/>
      <c r="B1028" s="463"/>
      <c r="C1028" s="463" t="s">
        <v>2158</v>
      </c>
      <c r="D1028" s="449" t="s">
        <v>1856</v>
      </c>
      <c r="E1028" s="262"/>
      <c r="F1028" s="447" t="s">
        <v>2159</v>
      </c>
      <c r="G1028" s="387" t="e">
        <f>VLOOKUP(A1028,'Feature Summary'!$A$7:$C$3944,3,FALSE)</f>
        <v>#N/A</v>
      </c>
      <c r="H1028" s="463" t="s">
        <v>2161</v>
      </c>
      <c r="I1028" s="488" t="s">
        <v>264</v>
      </c>
      <c r="J1028" s="476" t="s">
        <v>1147</v>
      </c>
      <c r="K1028" s="263">
        <v>1</v>
      </c>
      <c r="L1028" s="390">
        <v>3</v>
      </c>
      <c r="M1028" s="399" t="s">
        <v>33</v>
      </c>
      <c r="N1028" s="475">
        <v>1</v>
      </c>
      <c r="O1028" s="390">
        <v>3</v>
      </c>
      <c r="P1028" s="496">
        <f t="shared" si="194"/>
        <v>1</v>
      </c>
      <c r="Q1028" s="445" t="s">
        <v>52</v>
      </c>
      <c r="R1028" s="390">
        <v>3</v>
      </c>
      <c r="S1028" s="362">
        <f t="shared" si="183"/>
        <v>3</v>
      </c>
      <c r="T1028" s="588">
        <v>3</v>
      </c>
      <c r="U1028" s="588"/>
      <c r="V1028" s="588"/>
      <c r="W1028" s="588"/>
      <c r="X1028" s="364">
        <f t="shared" si="181"/>
        <v>1</v>
      </c>
      <c r="Y1028" s="393"/>
      <c r="Z1028" s="498">
        <f t="shared" si="172"/>
        <v>0</v>
      </c>
      <c r="AA1028" s="368"/>
      <c r="AB1028" s="368"/>
      <c r="AC1028" s="368"/>
      <c r="AD1028" s="368"/>
      <c r="AE1028" s="365">
        <f t="shared" si="173"/>
        <v>0</v>
      </c>
      <c r="AF1028" s="558"/>
      <c r="AG1028" s="457"/>
      <c r="AH1028" s="264"/>
    </row>
    <row r="1029" spans="1:34" ht="15.75" thickBot="1" x14ac:dyDescent="0.3">
      <c r="A1029" s="474"/>
      <c r="B1029" s="463"/>
      <c r="C1029" s="463" t="s">
        <v>2158</v>
      </c>
      <c r="D1029" s="449" t="s">
        <v>1856</v>
      </c>
      <c r="E1029" s="262"/>
      <c r="F1029" s="447" t="s">
        <v>2159</v>
      </c>
      <c r="G1029" s="387" t="e">
        <f>VLOOKUP(A1029,'Feature Summary'!$A$7:$C$3944,3,FALSE)</f>
        <v>#N/A</v>
      </c>
      <c r="H1029" s="463" t="s">
        <v>2162</v>
      </c>
      <c r="I1029" s="488" t="s">
        <v>264</v>
      </c>
      <c r="J1029" s="476" t="s">
        <v>2163</v>
      </c>
      <c r="K1029" s="263">
        <v>1</v>
      </c>
      <c r="L1029" s="390">
        <v>1</v>
      </c>
      <c r="M1029" s="399" t="s">
        <v>33</v>
      </c>
      <c r="N1029" s="475">
        <v>1</v>
      </c>
      <c r="O1029" s="390">
        <v>1</v>
      </c>
      <c r="P1029" s="496">
        <f t="shared" si="182"/>
        <v>1</v>
      </c>
      <c r="Q1029" s="445" t="s">
        <v>52</v>
      </c>
      <c r="R1029" s="390">
        <v>1</v>
      </c>
      <c r="S1029" s="362">
        <f t="shared" si="183"/>
        <v>1</v>
      </c>
      <c r="T1029" s="588">
        <v>1</v>
      </c>
      <c r="U1029" s="588"/>
      <c r="V1029" s="588"/>
      <c r="W1029" s="588"/>
      <c r="X1029" s="364">
        <f t="shared" si="181"/>
        <v>1</v>
      </c>
      <c r="Y1029" s="393"/>
      <c r="Z1029" s="498">
        <f t="shared" si="172"/>
        <v>0</v>
      </c>
      <c r="AA1029" s="368"/>
      <c r="AB1029" s="368"/>
      <c r="AC1029" s="368"/>
      <c r="AD1029" s="368"/>
      <c r="AE1029" s="365">
        <f t="shared" si="173"/>
        <v>0</v>
      </c>
      <c r="AF1029" s="262"/>
      <c r="AG1029" s="457"/>
      <c r="AH1029" s="264"/>
    </row>
    <row r="1030" spans="1:34" ht="15.75" thickBot="1" x14ac:dyDescent="0.3">
      <c r="A1030" s="474"/>
      <c r="B1030" s="463" t="s">
        <v>2164</v>
      </c>
      <c r="C1030" s="463" t="s">
        <v>655</v>
      </c>
      <c r="D1030" s="449" t="s">
        <v>1856</v>
      </c>
      <c r="E1030" s="262"/>
      <c r="F1030" s="447" t="s">
        <v>2165</v>
      </c>
      <c r="G1030" s="387" t="e">
        <f>VLOOKUP(A1030,'Feature Summary'!$A$7:$C$3944,3,FALSE)</f>
        <v>#N/A</v>
      </c>
      <c r="H1030" s="463" t="s">
        <v>2166</v>
      </c>
      <c r="I1030" s="488" t="s">
        <v>264</v>
      </c>
      <c r="J1030" s="476" t="s">
        <v>2167</v>
      </c>
      <c r="K1030" s="263">
        <v>1</v>
      </c>
      <c r="L1030" s="390">
        <v>1</v>
      </c>
      <c r="M1030" s="399" t="s">
        <v>33</v>
      </c>
      <c r="N1030" s="475">
        <v>1</v>
      </c>
      <c r="O1030" s="390">
        <v>1</v>
      </c>
      <c r="P1030" s="496">
        <f t="shared" si="182"/>
        <v>1</v>
      </c>
      <c r="Q1030" s="445" t="s">
        <v>52</v>
      </c>
      <c r="R1030" s="390">
        <v>1</v>
      </c>
      <c r="S1030" s="362">
        <f t="shared" si="183"/>
        <v>1</v>
      </c>
      <c r="T1030" s="588">
        <v>1</v>
      </c>
      <c r="U1030" s="588"/>
      <c r="V1030" s="588"/>
      <c r="W1030" s="588"/>
      <c r="X1030" s="364">
        <f t="shared" si="181"/>
        <v>1</v>
      </c>
      <c r="Y1030" s="393"/>
      <c r="Z1030" s="498">
        <f t="shared" si="172"/>
        <v>0</v>
      </c>
      <c r="AA1030" s="368"/>
      <c r="AB1030" s="368"/>
      <c r="AC1030" s="368"/>
      <c r="AD1030" s="368"/>
      <c r="AE1030" s="365">
        <f t="shared" si="173"/>
        <v>0</v>
      </c>
      <c r="AF1030" s="558"/>
      <c r="AG1030" s="457"/>
      <c r="AH1030" s="264"/>
    </row>
    <row r="1031" spans="1:34" ht="15.75" thickBot="1" x14ac:dyDescent="0.3">
      <c r="A1031" s="474"/>
      <c r="B1031" s="463" t="s">
        <v>2164</v>
      </c>
      <c r="C1031" s="463" t="s">
        <v>354</v>
      </c>
      <c r="D1031" s="449" t="s">
        <v>261</v>
      </c>
      <c r="E1031" s="262"/>
      <c r="F1031" s="463" t="s">
        <v>2168</v>
      </c>
      <c r="G1031" s="387" t="e">
        <f>VLOOKUP(A1031,'Feature Summary'!$A$7:$C$3944,3,FALSE)</f>
        <v>#N/A</v>
      </c>
      <c r="H1031" s="463" t="s">
        <v>900</v>
      </c>
      <c r="I1031" s="488" t="s">
        <v>264</v>
      </c>
      <c r="J1031" s="476" t="s">
        <v>2169</v>
      </c>
      <c r="K1031" s="263">
        <v>1</v>
      </c>
      <c r="L1031" s="390">
        <v>2</v>
      </c>
      <c r="M1031" s="399" t="s">
        <v>33</v>
      </c>
      <c r="N1031" s="475">
        <v>1</v>
      </c>
      <c r="O1031" s="390">
        <v>2</v>
      </c>
      <c r="P1031" s="496">
        <f t="shared" si="182"/>
        <v>1</v>
      </c>
      <c r="Q1031" s="445" t="s">
        <v>52</v>
      </c>
      <c r="R1031" s="390">
        <v>2</v>
      </c>
      <c r="S1031" s="362">
        <f t="shared" si="183"/>
        <v>2</v>
      </c>
      <c r="T1031" s="588">
        <v>2</v>
      </c>
      <c r="U1031" s="588"/>
      <c r="V1031" s="588"/>
      <c r="W1031" s="588"/>
      <c r="X1031" s="364">
        <f t="shared" si="181"/>
        <v>1</v>
      </c>
      <c r="Y1031" s="393"/>
      <c r="Z1031" s="498">
        <f t="shared" si="172"/>
        <v>0</v>
      </c>
      <c r="AA1031" s="368"/>
      <c r="AB1031" s="368"/>
      <c r="AC1031" s="368"/>
      <c r="AD1031" s="368"/>
      <c r="AE1031" s="365">
        <f t="shared" si="173"/>
        <v>0</v>
      </c>
      <c r="AF1031" s="558"/>
      <c r="AG1031" s="457"/>
      <c r="AH1031" s="264"/>
    </row>
    <row r="1032" spans="1:34" ht="15.75" thickBot="1" x14ac:dyDescent="0.3">
      <c r="A1032" s="474"/>
      <c r="B1032" s="463" t="s">
        <v>2164</v>
      </c>
      <c r="C1032" s="463" t="s">
        <v>354</v>
      </c>
      <c r="D1032" s="449" t="s">
        <v>431</v>
      </c>
      <c r="E1032" s="262"/>
      <c r="F1032" s="463" t="s">
        <v>2168</v>
      </c>
      <c r="G1032" s="387" t="e">
        <f>VLOOKUP(A1032,'Feature Summary'!$A$7:$C$3944,3,FALSE)</f>
        <v>#N/A</v>
      </c>
      <c r="H1032" s="463" t="s">
        <v>1687</v>
      </c>
      <c r="I1032" s="488" t="s">
        <v>264</v>
      </c>
      <c r="J1032" s="476" t="s">
        <v>2170</v>
      </c>
      <c r="K1032" s="263">
        <v>1</v>
      </c>
      <c r="L1032" s="390">
        <v>2</v>
      </c>
      <c r="M1032" s="399" t="s">
        <v>33</v>
      </c>
      <c r="N1032" s="475">
        <v>1</v>
      </c>
      <c r="O1032" s="390">
        <v>2</v>
      </c>
      <c r="P1032" s="496">
        <f t="shared" si="182"/>
        <v>1</v>
      </c>
      <c r="Q1032" s="445" t="s">
        <v>52</v>
      </c>
      <c r="R1032" s="390">
        <v>2</v>
      </c>
      <c r="S1032" s="362">
        <f t="shared" si="183"/>
        <v>2</v>
      </c>
      <c r="T1032" s="588">
        <v>2</v>
      </c>
      <c r="U1032" s="588"/>
      <c r="V1032" s="588"/>
      <c r="W1032" s="588"/>
      <c r="X1032" s="364">
        <f t="shared" si="181"/>
        <v>1</v>
      </c>
      <c r="Y1032" s="393"/>
      <c r="Z1032" s="498">
        <f t="shared" ref="Z1032:Z1060" si="195">SUM(AA1032:AD1032)</f>
        <v>0</v>
      </c>
      <c r="AA1032" s="368"/>
      <c r="AB1032" s="368"/>
      <c r="AC1032" s="368"/>
      <c r="AD1032" s="368"/>
      <c r="AE1032" s="365">
        <f t="shared" ref="AE1032:AE1084" si="196">IF((Z1032=0),0,((AA1032+AB1032)/Z1032*100%))</f>
        <v>0</v>
      </c>
      <c r="AF1032" s="558"/>
      <c r="AG1032" s="457"/>
      <c r="AH1032" s="264"/>
    </row>
    <row r="1033" spans="1:34" ht="15.75" thickBot="1" x14ac:dyDescent="0.3">
      <c r="A1033" s="474"/>
      <c r="B1033" s="463" t="s">
        <v>2164</v>
      </c>
      <c r="C1033" s="463" t="s">
        <v>260</v>
      </c>
      <c r="D1033" s="449" t="s">
        <v>261</v>
      </c>
      <c r="E1033" s="262"/>
      <c r="F1033" s="463" t="s">
        <v>2168</v>
      </c>
      <c r="G1033" s="387" t="e">
        <f>VLOOKUP(A1033,'Feature Summary'!$A$7:$C$3944,3,FALSE)</f>
        <v>#N/A</v>
      </c>
      <c r="H1033" s="463" t="s">
        <v>2171</v>
      </c>
      <c r="I1033" s="488" t="s">
        <v>264</v>
      </c>
      <c r="J1033" s="476" t="s">
        <v>2169</v>
      </c>
      <c r="K1033" s="263">
        <v>1</v>
      </c>
      <c r="L1033" s="390">
        <v>2</v>
      </c>
      <c r="M1033" s="399" t="s">
        <v>33</v>
      </c>
      <c r="N1033" s="475">
        <v>1</v>
      </c>
      <c r="O1033" s="390">
        <v>2</v>
      </c>
      <c r="P1033" s="496">
        <f t="shared" si="182"/>
        <v>1</v>
      </c>
      <c r="Q1033" s="445" t="s">
        <v>52</v>
      </c>
      <c r="R1033" s="390">
        <v>2</v>
      </c>
      <c r="S1033" s="362">
        <f t="shared" si="183"/>
        <v>2</v>
      </c>
      <c r="T1033" s="588">
        <v>2</v>
      </c>
      <c r="U1033" s="588"/>
      <c r="V1033" s="588"/>
      <c r="W1033" s="588"/>
      <c r="X1033" s="364">
        <f t="shared" si="181"/>
        <v>1</v>
      </c>
      <c r="Y1033" s="393"/>
      <c r="Z1033" s="498">
        <f t="shared" si="195"/>
        <v>0</v>
      </c>
      <c r="AA1033" s="368"/>
      <c r="AB1033" s="368"/>
      <c r="AC1033" s="368"/>
      <c r="AD1033" s="368"/>
      <c r="AE1033" s="365">
        <f t="shared" si="196"/>
        <v>0</v>
      </c>
      <c r="AF1033" s="262"/>
      <c r="AG1033" s="457"/>
      <c r="AH1033" s="264"/>
    </row>
    <row r="1034" spans="1:34" ht="15.75" thickBot="1" x14ac:dyDescent="0.3">
      <c r="A1034" s="474"/>
      <c r="B1034" s="463" t="s">
        <v>2164</v>
      </c>
      <c r="C1034" s="463" t="s">
        <v>260</v>
      </c>
      <c r="D1034" s="449" t="s">
        <v>431</v>
      </c>
      <c r="E1034" s="262"/>
      <c r="F1034" s="463" t="s">
        <v>2168</v>
      </c>
      <c r="G1034" s="387" t="e">
        <f>VLOOKUP(A1034,'Feature Summary'!$A$7:$C$3944,3,FALSE)</f>
        <v>#N/A</v>
      </c>
      <c r="H1034" s="463" t="s">
        <v>1702</v>
      </c>
      <c r="I1034" s="488" t="s">
        <v>264</v>
      </c>
      <c r="J1034" s="476" t="s">
        <v>2170</v>
      </c>
      <c r="K1034" s="263">
        <v>1</v>
      </c>
      <c r="L1034" s="390">
        <v>2</v>
      </c>
      <c r="M1034" s="399" t="s">
        <v>33</v>
      </c>
      <c r="N1034" s="475">
        <v>1</v>
      </c>
      <c r="O1034" s="390">
        <v>2</v>
      </c>
      <c r="P1034" s="496">
        <f>IF((O1034=0),0,(O1034/L1034))</f>
        <v>1</v>
      </c>
      <c r="Q1034" s="445" t="s">
        <v>52</v>
      </c>
      <c r="R1034" s="390">
        <v>2</v>
      </c>
      <c r="S1034" s="362">
        <f t="shared" si="183"/>
        <v>2</v>
      </c>
      <c r="T1034" s="588">
        <v>2</v>
      </c>
      <c r="U1034" s="588"/>
      <c r="V1034" s="588"/>
      <c r="W1034" s="588"/>
      <c r="X1034" s="364">
        <f t="shared" si="181"/>
        <v>1</v>
      </c>
      <c r="Y1034" s="393"/>
      <c r="Z1034" s="498">
        <f t="shared" si="195"/>
        <v>0</v>
      </c>
      <c r="AA1034" s="368"/>
      <c r="AB1034" s="368"/>
      <c r="AC1034" s="368"/>
      <c r="AD1034" s="368"/>
      <c r="AE1034" s="365">
        <f t="shared" si="196"/>
        <v>0</v>
      </c>
      <c r="AF1034" s="558"/>
      <c r="AG1034" s="457"/>
      <c r="AH1034" s="264"/>
    </row>
    <row r="1035" spans="1:34" ht="15.75" thickBot="1" x14ac:dyDescent="0.3">
      <c r="A1035" s="474"/>
      <c r="B1035" s="463" t="s">
        <v>2164</v>
      </c>
      <c r="C1035" s="463" t="s">
        <v>445</v>
      </c>
      <c r="D1035" s="449" t="s">
        <v>261</v>
      </c>
      <c r="E1035" s="262"/>
      <c r="F1035" s="463" t="s">
        <v>2172</v>
      </c>
      <c r="G1035" s="387" t="e">
        <f>VLOOKUP(A1035,'Feature Summary'!$A$7:$C$3944,3,FALSE)</f>
        <v>#N/A</v>
      </c>
      <c r="H1035" s="463" t="s">
        <v>2173</v>
      </c>
      <c r="I1035" s="488" t="s">
        <v>264</v>
      </c>
      <c r="J1035" s="476" t="s">
        <v>2169</v>
      </c>
      <c r="K1035" s="263">
        <v>1</v>
      </c>
      <c r="L1035" s="390">
        <v>2</v>
      </c>
      <c r="M1035" s="399" t="s">
        <v>33</v>
      </c>
      <c r="N1035" s="475">
        <v>1</v>
      </c>
      <c r="O1035" s="390">
        <v>2</v>
      </c>
      <c r="P1035" s="496">
        <f>IF((O1035=0),0,(O1035/L1035))</f>
        <v>1</v>
      </c>
      <c r="Q1035" s="445" t="s">
        <v>52</v>
      </c>
      <c r="R1035" s="390">
        <v>2</v>
      </c>
      <c r="S1035" s="362">
        <f t="shared" si="183"/>
        <v>2</v>
      </c>
      <c r="T1035" s="588">
        <v>2</v>
      </c>
      <c r="U1035" s="588"/>
      <c r="V1035" s="588"/>
      <c r="W1035" s="588"/>
      <c r="X1035" s="364">
        <f t="shared" si="181"/>
        <v>1</v>
      </c>
      <c r="Y1035" s="393"/>
      <c r="Z1035" s="498">
        <f t="shared" si="195"/>
        <v>0</v>
      </c>
      <c r="AA1035" s="368"/>
      <c r="AB1035" s="368"/>
      <c r="AC1035" s="368"/>
      <c r="AD1035" s="368"/>
      <c r="AE1035" s="365">
        <f t="shared" si="196"/>
        <v>0</v>
      </c>
      <c r="AF1035" s="262"/>
      <c r="AG1035" s="457"/>
      <c r="AH1035" s="264"/>
    </row>
    <row r="1036" spans="1:34" ht="15.75" thickBot="1" x14ac:dyDescent="0.3">
      <c r="A1036" s="474" t="s">
        <v>1244</v>
      </c>
      <c r="B1036" s="463" t="s">
        <v>2164</v>
      </c>
      <c r="C1036" s="463" t="s">
        <v>445</v>
      </c>
      <c r="D1036" s="449" t="s">
        <v>431</v>
      </c>
      <c r="E1036" s="262"/>
      <c r="F1036" s="463" t="s">
        <v>2172</v>
      </c>
      <c r="G1036" s="387" t="str">
        <f>VLOOKUP(A1036,'Feature Summary'!$A$7:$C$3944,3,FALSE)</f>
        <v>P2</v>
      </c>
      <c r="H1036" s="463" t="s">
        <v>2174</v>
      </c>
      <c r="I1036" s="488" t="s">
        <v>264</v>
      </c>
      <c r="J1036" s="476" t="s">
        <v>2175</v>
      </c>
      <c r="K1036" s="263">
        <v>1</v>
      </c>
      <c r="L1036" s="390">
        <v>2</v>
      </c>
      <c r="M1036" s="399" t="s">
        <v>33</v>
      </c>
      <c r="N1036" s="475">
        <v>1</v>
      </c>
      <c r="O1036" s="390">
        <v>2</v>
      </c>
      <c r="P1036" s="496">
        <f t="shared" ref="P1036:P1037" si="197">IF((O1036=0),0,(O1036/L1036))</f>
        <v>1</v>
      </c>
      <c r="Q1036" s="445" t="s">
        <v>52</v>
      </c>
      <c r="R1036" s="390">
        <v>2</v>
      </c>
      <c r="S1036" s="362">
        <f t="shared" si="183"/>
        <v>2</v>
      </c>
      <c r="T1036" s="588">
        <v>2</v>
      </c>
      <c r="U1036" s="588"/>
      <c r="V1036" s="588"/>
      <c r="W1036" s="588"/>
      <c r="X1036" s="364">
        <f t="shared" si="181"/>
        <v>1</v>
      </c>
      <c r="Y1036" s="393"/>
      <c r="Z1036" s="498">
        <f t="shared" si="195"/>
        <v>0</v>
      </c>
      <c r="AA1036" s="368"/>
      <c r="AB1036" s="368"/>
      <c r="AC1036" s="368"/>
      <c r="AD1036" s="368"/>
      <c r="AE1036" s="365">
        <f t="shared" si="196"/>
        <v>0</v>
      </c>
      <c r="AF1036" s="558"/>
      <c r="AG1036" s="457"/>
      <c r="AH1036" s="264"/>
    </row>
    <row r="1037" spans="1:34" ht="15.75" thickBot="1" x14ac:dyDescent="0.3">
      <c r="A1037" s="474"/>
      <c r="B1037" s="463" t="s">
        <v>2164</v>
      </c>
      <c r="C1037" s="463" t="s">
        <v>445</v>
      </c>
      <c r="D1037" s="449" t="s">
        <v>261</v>
      </c>
      <c r="E1037" s="262"/>
      <c r="F1037" s="463" t="s">
        <v>2172</v>
      </c>
      <c r="G1037" s="387" t="e">
        <f>VLOOKUP(A1037,'Feature Summary'!$A$7:$C$3944,3,FALSE)</f>
        <v>#N/A</v>
      </c>
      <c r="H1037" s="463" t="s">
        <v>2176</v>
      </c>
      <c r="I1037" s="488" t="s">
        <v>264</v>
      </c>
      <c r="J1037" s="476" t="s">
        <v>2169</v>
      </c>
      <c r="K1037" s="263">
        <v>1</v>
      </c>
      <c r="L1037" s="390">
        <v>2</v>
      </c>
      <c r="M1037" s="399" t="s">
        <v>33</v>
      </c>
      <c r="N1037" s="475">
        <v>1</v>
      </c>
      <c r="O1037" s="390">
        <v>2</v>
      </c>
      <c r="P1037" s="496">
        <f t="shared" si="197"/>
        <v>1</v>
      </c>
      <c r="Q1037" s="445" t="s">
        <v>52</v>
      </c>
      <c r="R1037" s="390">
        <v>2</v>
      </c>
      <c r="S1037" s="362">
        <f t="shared" si="183"/>
        <v>2</v>
      </c>
      <c r="T1037" s="368">
        <v>2</v>
      </c>
      <c r="U1037" s="368"/>
      <c r="V1037" s="368"/>
      <c r="W1037" s="368"/>
      <c r="X1037" s="364">
        <f t="shared" si="181"/>
        <v>1</v>
      </c>
      <c r="Y1037" s="393"/>
      <c r="Z1037" s="498">
        <f t="shared" si="195"/>
        <v>0</v>
      </c>
      <c r="AA1037" s="368"/>
      <c r="AB1037" s="368"/>
      <c r="AC1037" s="368"/>
      <c r="AD1037" s="368"/>
      <c r="AE1037" s="365">
        <f t="shared" si="196"/>
        <v>0</v>
      </c>
      <c r="AF1037" s="262"/>
      <c r="AG1037" s="457"/>
      <c r="AH1037" s="264"/>
    </row>
    <row r="1038" spans="1:34" ht="15.75" thickBot="1" x14ac:dyDescent="0.3">
      <c r="A1038" s="474"/>
      <c r="B1038" s="463" t="s">
        <v>2164</v>
      </c>
      <c r="C1038" s="463" t="s">
        <v>445</v>
      </c>
      <c r="D1038" s="449" t="s">
        <v>431</v>
      </c>
      <c r="E1038" s="262"/>
      <c r="F1038" s="463" t="s">
        <v>2172</v>
      </c>
      <c r="G1038" s="387" t="e">
        <f>VLOOKUP(A1038,'Feature Summary'!$A$7:$C$3944,3,FALSE)</f>
        <v>#N/A</v>
      </c>
      <c r="H1038" s="463" t="s">
        <v>1421</v>
      </c>
      <c r="I1038" s="488" t="s">
        <v>264</v>
      </c>
      <c r="J1038" s="476" t="s">
        <v>2177</v>
      </c>
      <c r="K1038" s="263">
        <v>1</v>
      </c>
      <c r="L1038" s="390">
        <v>2</v>
      </c>
      <c r="M1038" s="399" t="s">
        <v>33</v>
      </c>
      <c r="N1038" s="475">
        <v>1</v>
      </c>
      <c r="O1038" s="390">
        <v>2</v>
      </c>
      <c r="P1038" s="496">
        <f t="shared" ref="P1038:P1040" si="198">IF((O1038=0),0,(O1038/L1038))</f>
        <v>1</v>
      </c>
      <c r="Q1038" s="445" t="s">
        <v>52</v>
      </c>
      <c r="R1038" s="390">
        <v>2</v>
      </c>
      <c r="S1038" s="362">
        <f t="shared" si="183"/>
        <v>2</v>
      </c>
      <c r="T1038" s="390">
        <v>2</v>
      </c>
      <c r="U1038" s="368"/>
      <c r="V1038" s="368"/>
      <c r="W1038" s="368"/>
      <c r="X1038" s="364">
        <f t="shared" si="181"/>
        <v>1</v>
      </c>
      <c r="Y1038" s="393"/>
      <c r="Z1038" s="498">
        <f t="shared" si="195"/>
        <v>0</v>
      </c>
      <c r="AA1038" s="368"/>
      <c r="AB1038" s="368"/>
      <c r="AC1038" s="368"/>
      <c r="AD1038" s="368"/>
      <c r="AE1038" s="365">
        <f t="shared" si="196"/>
        <v>0</v>
      </c>
      <c r="AF1038" s="558"/>
      <c r="AG1038" s="457"/>
      <c r="AH1038" s="264"/>
    </row>
    <row r="1039" spans="1:34" ht="15.75" thickBot="1" x14ac:dyDescent="0.3">
      <c r="A1039" s="474"/>
      <c r="B1039" s="463" t="s">
        <v>2164</v>
      </c>
      <c r="C1039" s="463" t="s">
        <v>445</v>
      </c>
      <c r="D1039" s="449" t="s">
        <v>261</v>
      </c>
      <c r="E1039" s="262"/>
      <c r="F1039" s="463" t="s">
        <v>2172</v>
      </c>
      <c r="G1039" s="387" t="e">
        <f>VLOOKUP(A1039,'Feature Summary'!$A$7:$C$3944,3,FALSE)</f>
        <v>#N/A</v>
      </c>
      <c r="H1039" s="463" t="s">
        <v>2178</v>
      </c>
      <c r="I1039" s="488" t="s">
        <v>264</v>
      </c>
      <c r="J1039" s="476" t="s">
        <v>2169</v>
      </c>
      <c r="K1039" s="263">
        <v>1</v>
      </c>
      <c r="L1039" s="390">
        <v>8</v>
      </c>
      <c r="M1039" s="399" t="s">
        <v>33</v>
      </c>
      <c r="N1039" s="475">
        <v>1</v>
      </c>
      <c r="O1039" s="390">
        <v>0</v>
      </c>
      <c r="P1039" s="496">
        <f t="shared" si="198"/>
        <v>0</v>
      </c>
      <c r="Q1039" s="445" t="s">
        <v>52</v>
      </c>
      <c r="R1039" s="390">
        <v>8</v>
      </c>
      <c r="S1039" s="362">
        <f t="shared" si="183"/>
        <v>8</v>
      </c>
      <c r="T1039" s="390">
        <v>8</v>
      </c>
      <c r="U1039" s="368"/>
      <c r="V1039" s="368"/>
      <c r="W1039" s="368"/>
      <c r="X1039" s="364">
        <f t="shared" si="181"/>
        <v>1</v>
      </c>
      <c r="Y1039" s="393"/>
      <c r="Z1039" s="498">
        <f t="shared" si="195"/>
        <v>0</v>
      </c>
      <c r="AA1039" s="368"/>
      <c r="AB1039" s="368"/>
      <c r="AC1039" s="368"/>
      <c r="AD1039" s="368"/>
      <c r="AE1039" s="365">
        <f t="shared" si="196"/>
        <v>0</v>
      </c>
      <c r="AF1039" s="262"/>
      <c r="AG1039" s="457"/>
      <c r="AH1039" s="264"/>
    </row>
    <row r="1040" spans="1:34" ht="15.75" thickBot="1" x14ac:dyDescent="0.3">
      <c r="A1040" s="474"/>
      <c r="B1040" s="463" t="s">
        <v>2164</v>
      </c>
      <c r="C1040" s="463" t="s">
        <v>445</v>
      </c>
      <c r="D1040" s="449" t="s">
        <v>431</v>
      </c>
      <c r="E1040" s="262"/>
      <c r="F1040" s="463" t="s">
        <v>2172</v>
      </c>
      <c r="G1040" s="387" t="e">
        <f>VLOOKUP(A1040,'Feature Summary'!$A$7:$C$3944,3,FALSE)</f>
        <v>#N/A</v>
      </c>
      <c r="H1040" s="463" t="s">
        <v>1429</v>
      </c>
      <c r="I1040" s="488" t="s">
        <v>264</v>
      </c>
      <c r="J1040" s="476" t="s">
        <v>2177</v>
      </c>
      <c r="K1040" s="263">
        <v>1</v>
      </c>
      <c r="L1040" s="390">
        <v>8</v>
      </c>
      <c r="M1040" s="399" t="s">
        <v>33</v>
      </c>
      <c r="N1040" s="475">
        <v>1</v>
      </c>
      <c r="O1040" s="390">
        <v>0</v>
      </c>
      <c r="P1040" s="496">
        <f t="shared" si="198"/>
        <v>0</v>
      </c>
      <c r="Q1040" s="445" t="s">
        <v>52</v>
      </c>
      <c r="R1040" s="390">
        <v>8</v>
      </c>
      <c r="S1040" s="362">
        <f t="shared" si="183"/>
        <v>8</v>
      </c>
      <c r="T1040" s="390">
        <v>8</v>
      </c>
      <c r="U1040" s="368"/>
      <c r="V1040" s="368"/>
      <c r="W1040" s="368"/>
      <c r="X1040" s="364">
        <f t="shared" si="181"/>
        <v>1</v>
      </c>
      <c r="Y1040" s="393"/>
      <c r="Z1040" s="498">
        <f t="shared" si="195"/>
        <v>0</v>
      </c>
      <c r="AA1040" s="368"/>
      <c r="AB1040" s="368"/>
      <c r="AC1040" s="368"/>
      <c r="AD1040" s="368"/>
      <c r="AE1040" s="365">
        <f t="shared" si="196"/>
        <v>0</v>
      </c>
      <c r="AF1040" s="558"/>
      <c r="AG1040" s="457"/>
      <c r="AH1040" s="264"/>
    </row>
    <row r="1041" spans="1:34" ht="15.75" thickBot="1" x14ac:dyDescent="0.3">
      <c r="A1041" s="474"/>
      <c r="B1041" s="463" t="s">
        <v>2164</v>
      </c>
      <c r="C1041" s="463" t="s">
        <v>655</v>
      </c>
      <c r="D1041" s="449" t="s">
        <v>261</v>
      </c>
      <c r="E1041" s="262"/>
      <c r="F1041" s="463" t="s">
        <v>2179</v>
      </c>
      <c r="G1041" s="387" t="e">
        <f>VLOOKUP(A1041,'Feature Summary'!$A$7:$C$3944,3,FALSE)</f>
        <v>#N/A</v>
      </c>
      <c r="H1041" s="463" t="s">
        <v>2180</v>
      </c>
      <c r="I1041" s="488" t="s">
        <v>264</v>
      </c>
      <c r="J1041" s="476" t="s">
        <v>2167</v>
      </c>
      <c r="K1041" s="263">
        <v>1</v>
      </c>
      <c r="L1041" s="390">
        <v>15</v>
      </c>
      <c r="M1041" s="399" t="s">
        <v>33</v>
      </c>
      <c r="N1041" s="475">
        <v>1</v>
      </c>
      <c r="O1041" s="390">
        <v>0</v>
      </c>
      <c r="P1041" s="496">
        <f>IF((O1041=0),0,(O1041/L1041))</f>
        <v>0</v>
      </c>
      <c r="Q1041" s="445" t="s">
        <v>52</v>
      </c>
      <c r="R1041" s="390">
        <v>15</v>
      </c>
      <c r="S1041" s="362">
        <f t="shared" si="183"/>
        <v>15</v>
      </c>
      <c r="T1041" s="390">
        <v>15</v>
      </c>
      <c r="U1041" s="368"/>
      <c r="V1041" s="368"/>
      <c r="W1041" s="368"/>
      <c r="X1041" s="364">
        <f t="shared" si="181"/>
        <v>1</v>
      </c>
      <c r="Y1041" s="393"/>
      <c r="Z1041" s="498">
        <f t="shared" si="195"/>
        <v>0</v>
      </c>
      <c r="AA1041" s="368"/>
      <c r="AB1041" s="368"/>
      <c r="AC1041" s="368"/>
      <c r="AD1041" s="368"/>
      <c r="AE1041" s="365">
        <f t="shared" si="196"/>
        <v>0</v>
      </c>
      <c r="AF1041" s="262"/>
      <c r="AG1041" s="457"/>
      <c r="AH1041" s="264"/>
    </row>
    <row r="1042" spans="1:34" ht="15.75" thickBot="1" x14ac:dyDescent="0.3">
      <c r="A1042" s="474"/>
      <c r="B1042" s="463" t="s">
        <v>2164</v>
      </c>
      <c r="C1042" s="463" t="s">
        <v>655</v>
      </c>
      <c r="D1042" s="449" t="s">
        <v>431</v>
      </c>
      <c r="E1042" s="262"/>
      <c r="F1042" s="463" t="s">
        <v>2179</v>
      </c>
      <c r="G1042" s="387" t="e">
        <f>VLOOKUP(A1042,'Feature Summary'!$A$7:$C$3944,3,FALSE)</f>
        <v>#N/A</v>
      </c>
      <c r="H1042" s="463" t="s">
        <v>1100</v>
      </c>
      <c r="I1042" s="488" t="s">
        <v>264</v>
      </c>
      <c r="J1042" s="476" t="s">
        <v>2167</v>
      </c>
      <c r="K1042" s="263">
        <v>1</v>
      </c>
      <c r="L1042" s="390">
        <v>15</v>
      </c>
      <c r="M1042" s="399" t="s">
        <v>33</v>
      </c>
      <c r="N1042" s="475">
        <v>1</v>
      </c>
      <c r="O1042" s="390">
        <v>0</v>
      </c>
      <c r="P1042" s="496">
        <f t="shared" ref="P1042:P1046" si="199">IF((O1042=0),0,(O1042/L1042))</f>
        <v>0</v>
      </c>
      <c r="Q1042" s="445" t="s">
        <v>52</v>
      </c>
      <c r="R1042" s="390">
        <v>15</v>
      </c>
      <c r="S1042" s="362">
        <f t="shared" si="183"/>
        <v>15</v>
      </c>
      <c r="T1042" s="390">
        <v>15</v>
      </c>
      <c r="U1042" s="368"/>
      <c r="V1042" s="368"/>
      <c r="W1042" s="368"/>
      <c r="X1042" s="364">
        <f t="shared" si="181"/>
        <v>1</v>
      </c>
      <c r="Y1042" s="393"/>
      <c r="Z1042" s="498">
        <f t="shared" si="195"/>
        <v>0</v>
      </c>
      <c r="AA1042" s="368"/>
      <c r="AB1042" s="368"/>
      <c r="AC1042" s="368"/>
      <c r="AD1042" s="368"/>
      <c r="AE1042" s="365">
        <f t="shared" si="196"/>
        <v>0</v>
      </c>
      <c r="AF1042" s="262"/>
      <c r="AG1042" s="457"/>
      <c r="AH1042" s="264"/>
    </row>
    <row r="1043" spans="1:34" ht="15.75" thickBot="1" x14ac:dyDescent="0.3">
      <c r="A1043" s="474"/>
      <c r="B1043" s="463" t="s">
        <v>2164</v>
      </c>
      <c r="C1043" s="463" t="s">
        <v>655</v>
      </c>
      <c r="D1043" s="449" t="s">
        <v>261</v>
      </c>
      <c r="E1043" s="262"/>
      <c r="F1043" s="463" t="s">
        <v>2179</v>
      </c>
      <c r="G1043" s="387" t="e">
        <f>VLOOKUP(A1043,'Feature Summary'!$A$7:$C$3944,3,FALSE)</f>
        <v>#N/A</v>
      </c>
      <c r="H1043" s="463" t="s">
        <v>2181</v>
      </c>
      <c r="I1043" s="488" t="s">
        <v>264</v>
      </c>
      <c r="J1043" s="476" t="s">
        <v>2167</v>
      </c>
      <c r="K1043" s="263">
        <v>1</v>
      </c>
      <c r="L1043" s="390">
        <v>1</v>
      </c>
      <c r="M1043" s="399" t="s">
        <v>33</v>
      </c>
      <c r="N1043" s="475">
        <v>1</v>
      </c>
      <c r="O1043" s="390">
        <v>1</v>
      </c>
      <c r="P1043" s="496">
        <f t="shared" si="199"/>
        <v>1</v>
      </c>
      <c r="Q1043" s="445" t="s">
        <v>52</v>
      </c>
      <c r="R1043" s="390">
        <v>1</v>
      </c>
      <c r="S1043" s="362">
        <f t="shared" si="183"/>
        <v>1</v>
      </c>
      <c r="T1043" s="390">
        <v>1</v>
      </c>
      <c r="U1043" s="368"/>
      <c r="V1043" s="368"/>
      <c r="W1043" s="368"/>
      <c r="X1043" s="364">
        <f t="shared" si="181"/>
        <v>1</v>
      </c>
      <c r="Y1043" s="393"/>
      <c r="Z1043" s="498">
        <f t="shared" si="195"/>
        <v>0</v>
      </c>
      <c r="AA1043" s="368"/>
      <c r="AB1043" s="368"/>
      <c r="AC1043" s="368"/>
      <c r="AD1043" s="368"/>
      <c r="AE1043" s="365">
        <f t="shared" si="196"/>
        <v>0</v>
      </c>
      <c r="AF1043" s="558"/>
      <c r="AG1043" s="457"/>
      <c r="AH1043" s="264"/>
    </row>
    <row r="1044" spans="1:34" ht="15.75" thickBot="1" x14ac:dyDescent="0.3">
      <c r="A1044" s="474"/>
      <c r="B1044" s="463" t="s">
        <v>2164</v>
      </c>
      <c r="C1044" s="463" t="s">
        <v>655</v>
      </c>
      <c r="D1044" s="449" t="s">
        <v>431</v>
      </c>
      <c r="E1044" s="262"/>
      <c r="F1044" s="463" t="s">
        <v>2179</v>
      </c>
      <c r="G1044" s="387" t="e">
        <f>VLOOKUP(A1044,'Feature Summary'!$A$7:$C$3944,3,FALSE)</f>
        <v>#N/A</v>
      </c>
      <c r="H1044" s="463" t="s">
        <v>1550</v>
      </c>
      <c r="I1044" s="488" t="s">
        <v>264</v>
      </c>
      <c r="J1044" s="476" t="s">
        <v>2167</v>
      </c>
      <c r="K1044" s="263">
        <v>1</v>
      </c>
      <c r="L1044" s="390">
        <v>1</v>
      </c>
      <c r="M1044" s="399" t="s">
        <v>33</v>
      </c>
      <c r="N1044" s="475">
        <v>1</v>
      </c>
      <c r="O1044" s="390">
        <v>1</v>
      </c>
      <c r="P1044" s="496">
        <f t="shared" si="199"/>
        <v>1</v>
      </c>
      <c r="Q1044" s="445" t="s">
        <v>52</v>
      </c>
      <c r="R1044" s="390">
        <v>1</v>
      </c>
      <c r="S1044" s="362">
        <f t="shared" si="183"/>
        <v>1</v>
      </c>
      <c r="T1044" s="390">
        <v>1</v>
      </c>
      <c r="U1044" s="368"/>
      <c r="V1044" s="368"/>
      <c r="W1044" s="368"/>
      <c r="X1044" s="364">
        <f t="shared" si="181"/>
        <v>1</v>
      </c>
      <c r="Y1044" s="393"/>
      <c r="Z1044" s="498">
        <f t="shared" si="195"/>
        <v>0</v>
      </c>
      <c r="AA1044" s="368"/>
      <c r="AB1044" s="368"/>
      <c r="AC1044" s="368"/>
      <c r="AD1044" s="368"/>
      <c r="AE1044" s="365">
        <f t="shared" si="196"/>
        <v>0</v>
      </c>
      <c r="AF1044" s="262"/>
      <c r="AG1044" s="457"/>
      <c r="AH1044" s="264"/>
    </row>
    <row r="1045" spans="1:34" ht="15.75" thickBot="1" x14ac:dyDescent="0.3">
      <c r="A1045" s="474"/>
      <c r="B1045" s="463" t="s">
        <v>2164</v>
      </c>
      <c r="C1045" s="463" t="s">
        <v>655</v>
      </c>
      <c r="D1045" s="449" t="s">
        <v>261</v>
      </c>
      <c r="E1045" s="262"/>
      <c r="F1045" s="463" t="s">
        <v>2179</v>
      </c>
      <c r="G1045" s="387" t="e">
        <f>VLOOKUP(A1045,'Feature Summary'!$A$7:$C$3944,3,FALSE)</f>
        <v>#N/A</v>
      </c>
      <c r="H1045" s="463" t="s">
        <v>2182</v>
      </c>
      <c r="I1045" s="488" t="s">
        <v>264</v>
      </c>
      <c r="J1045" s="476" t="s">
        <v>2167</v>
      </c>
      <c r="K1045" s="263">
        <v>1</v>
      </c>
      <c r="L1045" s="390">
        <v>2</v>
      </c>
      <c r="M1045" s="399" t="s">
        <v>33</v>
      </c>
      <c r="N1045" s="475">
        <v>1</v>
      </c>
      <c r="O1045" s="390">
        <v>2</v>
      </c>
      <c r="P1045" s="496">
        <f t="shared" si="199"/>
        <v>1</v>
      </c>
      <c r="Q1045" s="445" t="s">
        <v>52</v>
      </c>
      <c r="R1045" s="390">
        <v>2</v>
      </c>
      <c r="S1045" s="362">
        <f t="shared" si="183"/>
        <v>2</v>
      </c>
      <c r="T1045" s="390">
        <v>2</v>
      </c>
      <c r="U1045" s="368"/>
      <c r="V1045" s="368"/>
      <c r="W1045" s="368"/>
      <c r="X1045" s="364">
        <f t="shared" si="181"/>
        <v>1</v>
      </c>
      <c r="Y1045" s="393"/>
      <c r="Z1045" s="498">
        <f t="shared" si="195"/>
        <v>0</v>
      </c>
      <c r="AA1045" s="368"/>
      <c r="AB1045" s="368"/>
      <c r="AC1045" s="368"/>
      <c r="AD1045" s="368"/>
      <c r="AE1045" s="365">
        <f t="shared" si="196"/>
        <v>0</v>
      </c>
      <c r="AF1045" s="262"/>
      <c r="AG1045" s="457"/>
      <c r="AH1045" s="264"/>
    </row>
    <row r="1046" spans="1:34" ht="15.75" thickBot="1" x14ac:dyDescent="0.3">
      <c r="A1046" s="474"/>
      <c r="B1046" s="463" t="s">
        <v>2164</v>
      </c>
      <c r="C1046" s="463" t="s">
        <v>655</v>
      </c>
      <c r="D1046" s="449" t="s">
        <v>431</v>
      </c>
      <c r="E1046" s="262"/>
      <c r="F1046" s="463" t="s">
        <v>2179</v>
      </c>
      <c r="G1046" s="387" t="e">
        <f>VLOOKUP(A1046,'Feature Summary'!$A$7:$C$3944,3,FALSE)</f>
        <v>#N/A</v>
      </c>
      <c r="H1046" s="463" t="s">
        <v>2183</v>
      </c>
      <c r="I1046" s="488" t="s">
        <v>264</v>
      </c>
      <c r="J1046" s="476" t="s">
        <v>2167</v>
      </c>
      <c r="K1046" s="263">
        <v>1</v>
      </c>
      <c r="L1046" s="390">
        <v>2</v>
      </c>
      <c r="M1046" s="399" t="s">
        <v>33</v>
      </c>
      <c r="N1046" s="475">
        <v>1</v>
      </c>
      <c r="O1046" s="390">
        <v>2</v>
      </c>
      <c r="P1046" s="496">
        <f t="shared" si="199"/>
        <v>1</v>
      </c>
      <c r="Q1046" s="445" t="s">
        <v>52</v>
      </c>
      <c r="R1046" s="390">
        <v>2</v>
      </c>
      <c r="S1046" s="362">
        <f t="shared" si="183"/>
        <v>2</v>
      </c>
      <c r="T1046" s="390">
        <v>2</v>
      </c>
      <c r="U1046" s="368"/>
      <c r="V1046" s="368"/>
      <c r="W1046" s="368"/>
      <c r="X1046" s="364">
        <f t="shared" si="181"/>
        <v>1</v>
      </c>
      <c r="Y1046" s="393"/>
      <c r="Z1046" s="498">
        <f t="shared" si="195"/>
        <v>0</v>
      </c>
      <c r="AA1046" s="368"/>
      <c r="AB1046" s="368"/>
      <c r="AC1046" s="368"/>
      <c r="AD1046" s="368"/>
      <c r="AE1046" s="365">
        <f t="shared" si="196"/>
        <v>0</v>
      </c>
      <c r="AF1046" s="262"/>
      <c r="AG1046" s="457"/>
      <c r="AH1046" s="264"/>
    </row>
    <row r="1047" spans="1:34" ht="15.75" thickBot="1" x14ac:dyDescent="0.3">
      <c r="A1047" s="474" t="s">
        <v>2184</v>
      </c>
      <c r="B1047" s="463"/>
      <c r="C1047" s="463" t="s">
        <v>655</v>
      </c>
      <c r="D1047" s="449" t="s">
        <v>431</v>
      </c>
      <c r="E1047" s="262"/>
      <c r="F1047" s="463" t="s">
        <v>2185</v>
      </c>
      <c r="G1047" s="387" t="str">
        <f>VLOOKUP(A1047,'Feature Summary'!$A$7:$C$3944,3,FALSE)</f>
        <v>P2</v>
      </c>
      <c r="H1047" s="463" t="s">
        <v>2186</v>
      </c>
      <c r="I1047" s="488" t="s">
        <v>264</v>
      </c>
      <c r="J1047" s="476" t="s">
        <v>281</v>
      </c>
      <c r="K1047" s="263">
        <v>1</v>
      </c>
      <c r="L1047" s="390">
        <v>4</v>
      </c>
      <c r="M1047" s="399" t="s">
        <v>33</v>
      </c>
      <c r="N1047" s="475">
        <v>1</v>
      </c>
      <c r="O1047" s="390">
        <v>4</v>
      </c>
      <c r="P1047" s="496">
        <f t="shared" ref="P1047" si="200">IF((O1047=0),0,(O1047/L1047))</f>
        <v>1</v>
      </c>
      <c r="Q1047" s="445" t="s">
        <v>52</v>
      </c>
      <c r="R1047" s="390">
        <v>4</v>
      </c>
      <c r="S1047" s="362">
        <f t="shared" si="183"/>
        <v>4</v>
      </c>
      <c r="T1047" s="390">
        <v>4</v>
      </c>
      <c r="U1047" s="368"/>
      <c r="V1047" s="368"/>
      <c r="W1047" s="368"/>
      <c r="X1047" s="364">
        <f t="shared" si="181"/>
        <v>1</v>
      </c>
      <c r="Y1047" s="393"/>
      <c r="Z1047" s="498">
        <f t="shared" si="195"/>
        <v>0</v>
      </c>
      <c r="AA1047" s="368"/>
      <c r="AB1047" s="368"/>
      <c r="AC1047" s="368"/>
      <c r="AD1047" s="368"/>
      <c r="AE1047" s="365">
        <f t="shared" si="196"/>
        <v>0</v>
      </c>
      <c r="AF1047" s="558"/>
      <c r="AG1047" s="457"/>
      <c r="AH1047" s="264"/>
    </row>
    <row r="1048" spans="1:34" ht="15.75" thickBot="1" x14ac:dyDescent="0.3">
      <c r="A1048" s="474"/>
      <c r="B1048" s="463"/>
      <c r="C1048" s="463" t="s">
        <v>44</v>
      </c>
      <c r="D1048" s="449"/>
      <c r="E1048" s="262"/>
      <c r="F1048" s="463" t="s">
        <v>2187</v>
      </c>
      <c r="G1048" s="387" t="e">
        <f>VLOOKUP(A1048,'Feature Summary'!$A$7:$C$3944,3,FALSE)</f>
        <v>#N/A</v>
      </c>
      <c r="H1048" s="463" t="s">
        <v>44</v>
      </c>
      <c r="I1048" s="463"/>
      <c r="J1048" s="476"/>
      <c r="K1048" s="263"/>
      <c r="L1048" s="390"/>
      <c r="M1048" s="399" t="s">
        <v>33</v>
      </c>
      <c r="N1048" s="475">
        <v>1</v>
      </c>
      <c r="O1048" s="390"/>
      <c r="P1048" s="496">
        <f t="shared" ref="P1048" si="201">IF((O1048=0),0,(O1048/L1048))</f>
        <v>0</v>
      </c>
      <c r="Q1048" s="445" t="s">
        <v>52</v>
      </c>
      <c r="R1048" s="390"/>
      <c r="S1048" s="362">
        <f t="shared" si="183"/>
        <v>0</v>
      </c>
      <c r="T1048" s="390"/>
      <c r="U1048" s="368"/>
      <c r="V1048" s="368"/>
      <c r="W1048" s="368"/>
      <c r="X1048" s="364">
        <f t="shared" si="181"/>
        <v>0</v>
      </c>
      <c r="Y1048" s="393"/>
      <c r="Z1048" s="498">
        <f t="shared" si="195"/>
        <v>0</v>
      </c>
      <c r="AA1048" s="368"/>
      <c r="AB1048" s="368"/>
      <c r="AC1048" s="368"/>
      <c r="AD1048" s="368"/>
      <c r="AE1048" s="365">
        <f t="shared" si="196"/>
        <v>0</v>
      </c>
      <c r="AF1048" s="262"/>
      <c r="AG1048" s="457"/>
      <c r="AH1048" s="264"/>
    </row>
    <row r="1049" spans="1:34" ht="15.75" thickBot="1" x14ac:dyDescent="0.3">
      <c r="A1049" s="474"/>
      <c r="B1049" s="463"/>
      <c r="C1049" s="463" t="s">
        <v>44</v>
      </c>
      <c r="D1049" s="449"/>
      <c r="E1049" s="262"/>
      <c r="F1049" s="463" t="s">
        <v>2188</v>
      </c>
      <c r="G1049" s="387" t="e">
        <f>VLOOKUP(A1049,'Feature Summary'!$A$7:$C$3944,3,FALSE)</f>
        <v>#N/A</v>
      </c>
      <c r="H1049" s="463" t="s">
        <v>44</v>
      </c>
      <c r="I1049" s="463"/>
      <c r="J1049" s="476"/>
      <c r="K1049" s="263"/>
      <c r="L1049" s="390"/>
      <c r="M1049" s="399" t="s">
        <v>33</v>
      </c>
      <c r="N1049" s="475">
        <v>1</v>
      </c>
      <c r="O1049" s="390"/>
      <c r="P1049" s="496">
        <f t="shared" ref="P1049:P1055" si="202">IF((O1049=0),0,(O1049/L1049))</f>
        <v>0</v>
      </c>
      <c r="Q1049" s="445" t="s">
        <v>52</v>
      </c>
      <c r="R1049" s="390"/>
      <c r="S1049" s="362">
        <f t="shared" si="183"/>
        <v>0</v>
      </c>
      <c r="T1049" s="390"/>
      <c r="U1049" s="368"/>
      <c r="V1049" s="368"/>
      <c r="W1049" s="368"/>
      <c r="X1049" s="364">
        <f t="shared" si="181"/>
        <v>0</v>
      </c>
      <c r="Y1049" s="393"/>
      <c r="Z1049" s="498">
        <f t="shared" si="195"/>
        <v>0</v>
      </c>
      <c r="AA1049" s="368"/>
      <c r="AB1049" s="368"/>
      <c r="AC1049" s="368"/>
      <c r="AD1049" s="368"/>
      <c r="AE1049" s="365">
        <f t="shared" si="196"/>
        <v>0</v>
      </c>
      <c r="AF1049" s="262"/>
      <c r="AG1049" s="457"/>
      <c r="AH1049" s="264"/>
    </row>
    <row r="1050" spans="1:34" ht="15.75" thickBot="1" x14ac:dyDescent="0.3">
      <c r="A1050" s="446" t="s">
        <v>2189</v>
      </c>
      <c r="B1050" s="470" t="s">
        <v>2190</v>
      </c>
      <c r="C1050" s="580" t="s">
        <v>335</v>
      </c>
      <c r="D1050" s="449" t="s">
        <v>261</v>
      </c>
      <c r="E1050" s="262"/>
      <c r="F1050" s="447" t="s">
        <v>2191</v>
      </c>
      <c r="G1050" s="387" t="str">
        <f>VLOOKUP(A1050,'Feature Summary'!$A$7:$C$3944,3,FALSE)</f>
        <v>P2</v>
      </c>
      <c r="H1050" s="447" t="s">
        <v>2192</v>
      </c>
      <c r="I1050" s="488" t="s">
        <v>264</v>
      </c>
      <c r="J1050" s="448" t="s">
        <v>1873</v>
      </c>
      <c r="K1050" s="263">
        <v>1</v>
      </c>
      <c r="L1050" s="391">
        <v>20</v>
      </c>
      <c r="M1050" s="399" t="s">
        <v>33</v>
      </c>
      <c r="N1050" s="475">
        <v>1</v>
      </c>
      <c r="O1050" s="391">
        <v>0</v>
      </c>
      <c r="P1050" s="496">
        <f t="shared" si="202"/>
        <v>0</v>
      </c>
      <c r="Q1050" s="445" t="s">
        <v>52</v>
      </c>
      <c r="R1050" s="391">
        <v>20</v>
      </c>
      <c r="S1050" s="362">
        <f>SUM(T1050:W1050)</f>
        <v>20</v>
      </c>
      <c r="T1050" s="391">
        <v>12</v>
      </c>
      <c r="U1050" s="368">
        <v>8</v>
      </c>
      <c r="V1050" s="368"/>
      <c r="W1050" s="368"/>
      <c r="X1050" s="364">
        <f t="shared" si="181"/>
        <v>1</v>
      </c>
      <c r="Y1050" s="393"/>
      <c r="Z1050" s="498">
        <f t="shared" si="195"/>
        <v>0</v>
      </c>
      <c r="AA1050" s="368"/>
      <c r="AB1050" s="368"/>
      <c r="AC1050" s="368"/>
      <c r="AD1050" s="368"/>
      <c r="AE1050" s="365">
        <f t="shared" si="196"/>
        <v>0</v>
      </c>
      <c r="AF1050" s="262"/>
      <c r="AG1050" s="457"/>
      <c r="AH1050" s="264"/>
    </row>
    <row r="1051" spans="1:34" ht="15.75" thickBot="1" x14ac:dyDescent="0.3">
      <c r="A1051" s="579" t="s">
        <v>2193</v>
      </c>
      <c r="B1051" s="580"/>
      <c r="C1051" s="580" t="s">
        <v>651</v>
      </c>
      <c r="D1051" s="581" t="s">
        <v>261</v>
      </c>
      <c r="E1051" s="580"/>
      <c r="F1051" s="584" t="s">
        <v>2194</v>
      </c>
      <c r="G1051" s="387" t="str">
        <f>VLOOKUP(A1051,'Feature Summary'!$A$7:$C$3944,3,FALSE)</f>
        <v>P2</v>
      </c>
      <c r="H1051" s="583" t="s">
        <v>2195</v>
      </c>
      <c r="I1051" s="488" t="s">
        <v>264</v>
      </c>
      <c r="J1051" s="615" t="s">
        <v>281</v>
      </c>
      <c r="K1051" s="581">
        <v>1</v>
      </c>
      <c r="L1051" s="581">
        <v>1</v>
      </c>
      <c r="M1051" s="399" t="s">
        <v>33</v>
      </c>
      <c r="N1051" s="585">
        <v>1</v>
      </c>
      <c r="O1051" s="586">
        <v>1</v>
      </c>
      <c r="P1051" s="587">
        <f t="shared" si="202"/>
        <v>1</v>
      </c>
      <c r="Q1051" s="445" t="s">
        <v>52</v>
      </c>
      <c r="R1051" s="581">
        <v>1</v>
      </c>
      <c r="S1051" s="362">
        <f t="shared" si="183"/>
        <v>1</v>
      </c>
      <c r="T1051" s="588">
        <v>1</v>
      </c>
      <c r="U1051" s="588"/>
      <c r="V1051" s="588"/>
      <c r="W1051" s="588"/>
      <c r="X1051" s="364">
        <f t="shared" si="181"/>
        <v>1</v>
      </c>
      <c r="Y1051" s="616"/>
      <c r="Z1051" s="498">
        <f t="shared" si="195"/>
        <v>0</v>
      </c>
      <c r="AA1051" s="588"/>
      <c r="AB1051" s="588"/>
      <c r="AC1051" s="588"/>
      <c r="AD1051" s="588"/>
      <c r="AE1051" s="365">
        <f t="shared" si="196"/>
        <v>0</v>
      </c>
      <c r="AF1051" s="558"/>
      <c r="AG1051" s="457"/>
      <c r="AH1051" s="592"/>
    </row>
    <row r="1052" spans="1:34" ht="15.75" thickBot="1" x14ac:dyDescent="0.3">
      <c r="A1052" s="579" t="s">
        <v>2193</v>
      </c>
      <c r="B1052" s="580"/>
      <c r="C1052" s="580" t="s">
        <v>651</v>
      </c>
      <c r="D1052" s="581" t="s">
        <v>261</v>
      </c>
      <c r="E1052" s="580"/>
      <c r="F1052" s="584" t="s">
        <v>2196</v>
      </c>
      <c r="G1052" s="387" t="str">
        <f>VLOOKUP(A1052,'Feature Summary'!$A$7:$C$3944,3,FALSE)</f>
        <v>P2</v>
      </c>
      <c r="H1052" s="583" t="s">
        <v>2197</v>
      </c>
      <c r="I1052" s="488" t="s">
        <v>264</v>
      </c>
      <c r="J1052" s="615" t="s">
        <v>309</v>
      </c>
      <c r="K1052" s="581">
        <v>1</v>
      </c>
      <c r="L1052" s="581">
        <v>1</v>
      </c>
      <c r="M1052" s="399" t="s">
        <v>33</v>
      </c>
      <c r="N1052" s="585">
        <v>1</v>
      </c>
      <c r="O1052" s="586">
        <v>1</v>
      </c>
      <c r="P1052" s="587">
        <f t="shared" ref="P1052" si="203">IF((O1052=0),0,(O1052/L1052))</f>
        <v>1</v>
      </c>
      <c r="Q1052" s="445" t="s">
        <v>52</v>
      </c>
      <c r="R1052" s="581">
        <v>1</v>
      </c>
      <c r="S1052" s="362">
        <f t="shared" ref="S1052" si="204">SUM(T1052:W1052)</f>
        <v>1</v>
      </c>
      <c r="T1052" s="588">
        <v>1</v>
      </c>
      <c r="U1052" s="588"/>
      <c r="V1052" s="588"/>
      <c r="W1052" s="588"/>
      <c r="X1052" s="364">
        <f t="shared" ref="X1052" si="205">IF((S1052=0),0,((T1052+U1052)/S1052*100%))</f>
        <v>1</v>
      </c>
      <c r="Y1052" s="616"/>
      <c r="Z1052" s="498">
        <f t="shared" ref="Z1052" si="206">SUM(AA1052:AD1052)</f>
        <v>0</v>
      </c>
      <c r="AA1052" s="588"/>
      <c r="AB1052" s="588"/>
      <c r="AC1052" s="588"/>
      <c r="AD1052" s="588"/>
      <c r="AE1052" s="365">
        <f t="shared" ref="AE1052" si="207">IF((Z1052=0),0,((AA1052+AB1052)/Z1052*100%))</f>
        <v>0</v>
      </c>
      <c r="AF1052" s="558"/>
      <c r="AG1052" s="457"/>
      <c r="AH1052" s="592"/>
    </row>
    <row r="1053" spans="1:34" ht="15.75" thickBot="1" x14ac:dyDescent="0.3">
      <c r="A1053" s="579" t="s">
        <v>2193</v>
      </c>
      <c r="B1053" s="580"/>
      <c r="C1053" s="580" t="s">
        <v>651</v>
      </c>
      <c r="D1053" s="581" t="s">
        <v>261</v>
      </c>
      <c r="E1053" s="580"/>
      <c r="F1053" s="584" t="s">
        <v>2198</v>
      </c>
      <c r="G1053" s="387" t="str">
        <f>VLOOKUP(A1053,'Feature Summary'!$A$7:$C$3944,3,FALSE)</f>
        <v>P2</v>
      </c>
      <c r="H1053" s="583" t="s">
        <v>2199</v>
      </c>
      <c r="I1053" s="488" t="s">
        <v>264</v>
      </c>
      <c r="J1053" s="615" t="s">
        <v>297</v>
      </c>
      <c r="K1053" s="581">
        <v>1</v>
      </c>
      <c r="L1053" s="581">
        <v>1</v>
      </c>
      <c r="M1053" s="399" t="s">
        <v>33</v>
      </c>
      <c r="N1053" s="585">
        <v>1</v>
      </c>
      <c r="O1053" s="586">
        <v>1</v>
      </c>
      <c r="P1053" s="587">
        <f t="shared" si="202"/>
        <v>1</v>
      </c>
      <c r="Q1053" s="445" t="s">
        <v>52</v>
      </c>
      <c r="R1053" s="581">
        <v>1</v>
      </c>
      <c r="S1053" s="362">
        <f t="shared" si="183"/>
        <v>1</v>
      </c>
      <c r="T1053" s="588">
        <v>1</v>
      </c>
      <c r="U1053" s="588"/>
      <c r="V1053" s="588"/>
      <c r="W1053" s="588"/>
      <c r="X1053" s="364">
        <f t="shared" si="181"/>
        <v>1</v>
      </c>
      <c r="Y1053" s="616"/>
      <c r="Z1053" s="498">
        <f t="shared" si="195"/>
        <v>0</v>
      </c>
      <c r="AA1053" s="588"/>
      <c r="AB1053" s="588"/>
      <c r="AC1053" s="588"/>
      <c r="AD1053" s="588"/>
      <c r="AE1053" s="365">
        <f t="shared" si="196"/>
        <v>0</v>
      </c>
      <c r="AF1053" s="558"/>
      <c r="AG1053" s="457"/>
      <c r="AH1053" s="592"/>
    </row>
    <row r="1054" spans="1:34" ht="15.75" thickBot="1" x14ac:dyDescent="0.3">
      <c r="A1054" s="579" t="s">
        <v>2200</v>
      </c>
      <c r="B1054" s="580"/>
      <c r="C1054" s="580" t="s">
        <v>651</v>
      </c>
      <c r="D1054" s="581" t="s">
        <v>431</v>
      </c>
      <c r="E1054" s="580"/>
      <c r="F1054" s="584" t="s">
        <v>2194</v>
      </c>
      <c r="G1054" s="387" t="str">
        <f>VLOOKUP(A1054,'Feature Summary'!$A$7:$C$3944,3,FALSE)</f>
        <v>P2</v>
      </c>
      <c r="H1054" s="583" t="s">
        <v>2201</v>
      </c>
      <c r="I1054" s="488" t="s">
        <v>264</v>
      </c>
      <c r="J1054" s="615" t="s">
        <v>2202</v>
      </c>
      <c r="K1054" s="581">
        <v>1</v>
      </c>
      <c r="L1054" s="581">
        <v>1</v>
      </c>
      <c r="M1054" s="399" t="s">
        <v>33</v>
      </c>
      <c r="N1054" s="585">
        <v>1</v>
      </c>
      <c r="O1054" s="586">
        <v>1</v>
      </c>
      <c r="P1054" s="587">
        <f t="shared" si="202"/>
        <v>1</v>
      </c>
      <c r="Q1054" s="445" t="s">
        <v>52</v>
      </c>
      <c r="R1054" s="581">
        <v>1</v>
      </c>
      <c r="S1054" s="362">
        <f t="shared" si="183"/>
        <v>1</v>
      </c>
      <c r="T1054" s="588">
        <v>1</v>
      </c>
      <c r="U1054" s="588"/>
      <c r="V1054" s="588"/>
      <c r="W1054" s="588"/>
      <c r="X1054" s="364">
        <f t="shared" si="181"/>
        <v>1</v>
      </c>
      <c r="Y1054" s="616"/>
      <c r="Z1054" s="498">
        <f t="shared" si="195"/>
        <v>0</v>
      </c>
      <c r="AA1054" s="588"/>
      <c r="AB1054" s="588"/>
      <c r="AC1054" s="588"/>
      <c r="AD1054" s="588"/>
      <c r="AE1054" s="365">
        <f t="shared" si="196"/>
        <v>0</v>
      </c>
      <c r="AF1054" s="558"/>
      <c r="AG1054" s="457"/>
      <c r="AH1054" s="592"/>
    </row>
    <row r="1055" spans="1:34" ht="15.75" thickBot="1" x14ac:dyDescent="0.3">
      <c r="A1055" s="579" t="s">
        <v>2200</v>
      </c>
      <c r="B1055" s="580"/>
      <c r="C1055" s="580" t="s">
        <v>651</v>
      </c>
      <c r="D1055" s="581" t="s">
        <v>431</v>
      </c>
      <c r="E1055" s="580"/>
      <c r="F1055" s="584" t="s">
        <v>2196</v>
      </c>
      <c r="G1055" s="387" t="str">
        <f>VLOOKUP(A1055,'Feature Summary'!$A$7:$C$3944,3,FALSE)</f>
        <v>P2</v>
      </c>
      <c r="H1055" s="583" t="s">
        <v>2203</v>
      </c>
      <c r="I1055" s="488" t="s">
        <v>264</v>
      </c>
      <c r="J1055" s="615" t="s">
        <v>309</v>
      </c>
      <c r="K1055" s="581">
        <v>1</v>
      </c>
      <c r="L1055" s="581">
        <v>1</v>
      </c>
      <c r="M1055" s="399" t="s">
        <v>33</v>
      </c>
      <c r="N1055" s="585">
        <v>1</v>
      </c>
      <c r="O1055" s="586">
        <v>1</v>
      </c>
      <c r="P1055" s="587">
        <f t="shared" si="202"/>
        <v>1</v>
      </c>
      <c r="Q1055" s="445" t="s">
        <v>52</v>
      </c>
      <c r="R1055" s="581">
        <v>1</v>
      </c>
      <c r="S1055" s="362">
        <f t="shared" si="183"/>
        <v>1</v>
      </c>
      <c r="T1055" s="588">
        <v>1</v>
      </c>
      <c r="U1055" s="588"/>
      <c r="V1055" s="588"/>
      <c r="W1055" s="588"/>
      <c r="X1055" s="364">
        <f t="shared" si="181"/>
        <v>1</v>
      </c>
      <c r="Y1055" s="616"/>
      <c r="Z1055" s="498">
        <f t="shared" si="195"/>
        <v>0</v>
      </c>
      <c r="AA1055" s="588"/>
      <c r="AB1055" s="588"/>
      <c r="AC1055" s="588"/>
      <c r="AD1055" s="588"/>
      <c r="AE1055" s="365">
        <f t="shared" si="196"/>
        <v>0</v>
      </c>
      <c r="AF1055" s="558"/>
      <c r="AG1055" s="457"/>
      <c r="AH1055" s="592"/>
    </row>
    <row r="1056" spans="1:34" ht="15.75" thickBot="1" x14ac:dyDescent="0.3">
      <c r="A1056" s="446"/>
      <c r="B1056" s="600" t="s">
        <v>2204</v>
      </c>
      <c r="C1056" s="601" t="s">
        <v>372</v>
      </c>
      <c r="D1056" s="602" t="s">
        <v>261</v>
      </c>
      <c r="E1056" s="601"/>
      <c r="F1056" s="600" t="s">
        <v>2205</v>
      </c>
      <c r="G1056" s="604" t="e">
        <f>VLOOKUP(A1056,'Feature Summary'!$A$7:$C$3993,3,FALSE)</f>
        <v>#N/A</v>
      </c>
      <c r="H1056" s="473" t="s">
        <v>2206</v>
      </c>
      <c r="I1056" s="488" t="s">
        <v>264</v>
      </c>
      <c r="J1056" s="605"/>
      <c r="K1056" s="563"/>
      <c r="L1056" s="574"/>
      <c r="M1056" s="399" t="s">
        <v>33</v>
      </c>
      <c r="N1056" s="607">
        <v>1</v>
      </c>
      <c r="O1056" s="608"/>
      <c r="P1056" s="609">
        <f>IF((O1056=0),0,(O1056/L1056))</f>
        <v>0</v>
      </c>
      <c r="Q1056" s="613" t="s">
        <v>52</v>
      </c>
      <c r="R1056" s="574"/>
      <c r="S1056" s="618">
        <f t="shared" si="183"/>
        <v>0</v>
      </c>
      <c r="T1056" s="610"/>
      <c r="U1056" s="610"/>
      <c r="V1056" s="610"/>
      <c r="W1056" s="610"/>
      <c r="X1056" s="619">
        <f t="shared" si="181"/>
        <v>0</v>
      </c>
      <c r="Y1056" s="611"/>
      <c r="Z1056" s="498">
        <f t="shared" si="195"/>
        <v>0</v>
      </c>
      <c r="AA1056" s="610"/>
      <c r="AB1056" s="610"/>
      <c r="AC1056" s="610"/>
      <c r="AD1056" s="610"/>
      <c r="AE1056" s="365">
        <f t="shared" si="196"/>
        <v>0</v>
      </c>
      <c r="AF1056" s="601"/>
      <c r="AG1056" s="612"/>
      <c r="AH1056" s="620"/>
    </row>
    <row r="1057" spans="1:34" ht="30.75" thickBot="1" x14ac:dyDescent="0.3">
      <c r="A1057" s="567"/>
      <c r="B1057" s="600" t="s">
        <v>2207</v>
      </c>
      <c r="C1057" s="601" t="s">
        <v>651</v>
      </c>
      <c r="D1057" s="602" t="s">
        <v>261</v>
      </c>
      <c r="E1057" s="601"/>
      <c r="F1057" s="603" t="s">
        <v>2208</v>
      </c>
      <c r="G1057" s="604" t="e">
        <f>VLOOKUP(A1057,'Feature Summary'!$A$7:$C$3993,3,FALSE)</f>
        <v>#N/A</v>
      </c>
      <c r="H1057" s="473" t="s">
        <v>2209</v>
      </c>
      <c r="I1057" s="473"/>
      <c r="J1057" s="605"/>
      <c r="K1057" s="563"/>
      <c r="L1057" s="574"/>
      <c r="M1057" s="606"/>
      <c r="N1057" s="607"/>
      <c r="O1057" s="608"/>
      <c r="P1057" s="609">
        <f t="shared" ref="P1057:P1084" si="208">IF((O1057=0),0,(O1057/L1057))</f>
        <v>0</v>
      </c>
      <c r="Q1057" s="445" t="s">
        <v>52</v>
      </c>
      <c r="R1057" s="574"/>
      <c r="S1057" s="362">
        <f t="shared" si="183"/>
        <v>0</v>
      </c>
      <c r="T1057" s="610"/>
      <c r="U1057" s="610"/>
      <c r="V1057" s="610"/>
      <c r="W1057" s="610"/>
      <c r="X1057" s="364">
        <f t="shared" si="181"/>
        <v>0</v>
      </c>
      <c r="Y1057" s="611"/>
      <c r="Z1057" s="498">
        <f t="shared" si="195"/>
        <v>0</v>
      </c>
      <c r="AA1057" s="610"/>
      <c r="AB1057" s="610"/>
      <c r="AC1057" s="610"/>
      <c r="AD1057" s="610"/>
      <c r="AE1057" s="365">
        <f t="shared" si="196"/>
        <v>0</v>
      </c>
      <c r="AF1057" s="601"/>
      <c r="AG1057" s="612"/>
      <c r="AH1057" s="596"/>
    </row>
    <row r="1058" spans="1:34" ht="15.75" thickBot="1" x14ac:dyDescent="0.3">
      <c r="A1058" s="270" t="s">
        <v>417</v>
      </c>
      <c r="B1058" s="593" t="s">
        <v>2210</v>
      </c>
      <c r="C1058" s="580"/>
      <c r="D1058" s="581" t="s">
        <v>261</v>
      </c>
      <c r="E1058" s="580"/>
      <c r="F1058" s="582" t="s">
        <v>2211</v>
      </c>
      <c r="G1058" s="201" t="str">
        <f>VLOOKUP(A1058,'Feature Summary'!$A$7:$C$3993,3,FALSE)</f>
        <v>P2</v>
      </c>
      <c r="H1058" s="583" t="s">
        <v>2212</v>
      </c>
      <c r="I1058" s="583"/>
      <c r="J1058" s="584"/>
      <c r="K1058" s="581"/>
      <c r="L1058" s="581"/>
      <c r="M1058" s="399" t="s">
        <v>33</v>
      </c>
      <c r="N1058" s="585">
        <v>1</v>
      </c>
      <c r="O1058" s="586"/>
      <c r="P1058" s="587">
        <f t="shared" si="208"/>
        <v>0</v>
      </c>
      <c r="Q1058" s="445" t="s">
        <v>52</v>
      </c>
      <c r="R1058" s="581"/>
      <c r="S1058" s="362">
        <f t="shared" si="183"/>
        <v>0</v>
      </c>
      <c r="T1058" s="588"/>
      <c r="U1058" s="588"/>
      <c r="V1058" s="588"/>
      <c r="W1058" s="588"/>
      <c r="X1058" s="364">
        <f t="shared" si="181"/>
        <v>0</v>
      </c>
      <c r="Y1058" s="589"/>
      <c r="Z1058" s="498">
        <f t="shared" si="195"/>
        <v>0</v>
      </c>
      <c r="AA1058" s="588"/>
      <c r="AB1058" s="588"/>
      <c r="AC1058" s="588"/>
      <c r="AD1058" s="588"/>
      <c r="AE1058" s="365">
        <f t="shared" si="196"/>
        <v>0</v>
      </c>
      <c r="AF1058" s="580"/>
      <c r="AG1058" s="591"/>
      <c r="AH1058" s="592"/>
    </row>
    <row r="1059" spans="1:34" ht="30.75" thickBot="1" x14ac:dyDescent="0.3">
      <c r="A1059" s="270" t="s">
        <v>2213</v>
      </c>
      <c r="B1059" s="593" t="s">
        <v>2214</v>
      </c>
      <c r="C1059" s="580" t="s">
        <v>260</v>
      </c>
      <c r="D1059" s="581" t="s">
        <v>261</v>
      </c>
      <c r="E1059" s="580"/>
      <c r="F1059" s="584" t="s">
        <v>2215</v>
      </c>
      <c r="G1059" s="201" t="str">
        <f>VLOOKUP(A1059,'Feature Summary'!$A$7:$C$3993,3,FALSE)</f>
        <v>P2</v>
      </c>
      <c r="H1059" s="583" t="s">
        <v>2216</v>
      </c>
      <c r="I1059" s="488" t="s">
        <v>264</v>
      </c>
      <c r="J1059" s="448" t="s">
        <v>320</v>
      </c>
      <c r="K1059" s="581">
        <v>6</v>
      </c>
      <c r="L1059" s="581">
        <v>4</v>
      </c>
      <c r="M1059" s="399" t="s">
        <v>33</v>
      </c>
      <c r="N1059" s="585">
        <v>1</v>
      </c>
      <c r="O1059" s="586">
        <v>4</v>
      </c>
      <c r="P1059" s="587">
        <f t="shared" ref="P1059:P1062" si="209">IF((O1059=0),0,(O1059/L1059))</f>
        <v>1</v>
      </c>
      <c r="Q1059" s="445" t="s">
        <v>52</v>
      </c>
      <c r="R1059" s="581">
        <v>4</v>
      </c>
      <c r="S1059" s="362">
        <v>4</v>
      </c>
      <c r="T1059" s="588">
        <v>4</v>
      </c>
      <c r="U1059" s="588"/>
      <c r="V1059" s="588"/>
      <c r="W1059" s="588"/>
      <c r="X1059" s="364">
        <f t="shared" ref="X1059:X1062" si="210">IF((S1059=0),0,((T1059+U1059)/S1059*100%))</f>
        <v>1</v>
      </c>
      <c r="Y1059" s="589"/>
      <c r="Z1059" s="498">
        <f t="shared" si="195"/>
        <v>0</v>
      </c>
      <c r="AA1059" s="588"/>
      <c r="AB1059" s="588"/>
      <c r="AC1059" s="588"/>
      <c r="AD1059" s="588"/>
      <c r="AE1059" s="365">
        <f t="shared" si="196"/>
        <v>0</v>
      </c>
      <c r="AF1059" s="584"/>
      <c r="AG1059" s="591"/>
      <c r="AH1059" s="592"/>
    </row>
    <row r="1060" spans="1:34" ht="30.75" thickBot="1" x14ac:dyDescent="0.3">
      <c r="A1060" s="270" t="s">
        <v>2213</v>
      </c>
      <c r="B1060" s="593" t="s">
        <v>2214</v>
      </c>
      <c r="C1060" s="580" t="s">
        <v>260</v>
      </c>
      <c r="D1060" s="581" t="s">
        <v>261</v>
      </c>
      <c r="E1060" s="580"/>
      <c r="F1060" s="584" t="s">
        <v>2215</v>
      </c>
      <c r="G1060" s="201" t="str">
        <f>VLOOKUP(A1060,'Feature Summary'!$A$7:$C$3993,3,FALSE)</f>
        <v>P2</v>
      </c>
      <c r="H1060" s="583" t="s">
        <v>2217</v>
      </c>
      <c r="I1060" s="488" t="s">
        <v>264</v>
      </c>
      <c r="J1060" s="448" t="s">
        <v>2218</v>
      </c>
      <c r="K1060" s="581">
        <v>6</v>
      </c>
      <c r="L1060" s="581">
        <v>2</v>
      </c>
      <c r="M1060" s="399" t="s">
        <v>33</v>
      </c>
      <c r="N1060" s="585">
        <v>1</v>
      </c>
      <c r="O1060" s="586">
        <v>2</v>
      </c>
      <c r="P1060" s="587">
        <f t="shared" si="209"/>
        <v>1</v>
      </c>
      <c r="Q1060" s="445" t="s">
        <v>52</v>
      </c>
      <c r="R1060" s="581">
        <v>2</v>
      </c>
      <c r="S1060" s="362">
        <v>2</v>
      </c>
      <c r="T1060" s="588">
        <v>2</v>
      </c>
      <c r="U1060" s="588"/>
      <c r="V1060" s="588"/>
      <c r="W1060" s="588"/>
      <c r="X1060" s="364">
        <f t="shared" si="210"/>
        <v>1</v>
      </c>
      <c r="Y1060" s="589"/>
      <c r="Z1060" s="498">
        <f t="shared" si="195"/>
        <v>0</v>
      </c>
      <c r="AA1060" s="588"/>
      <c r="AB1060" s="588"/>
      <c r="AC1060" s="588"/>
      <c r="AD1060" s="588"/>
      <c r="AE1060" s="365">
        <f t="shared" si="196"/>
        <v>0</v>
      </c>
      <c r="AF1060" s="580"/>
      <c r="AG1060" s="591"/>
      <c r="AH1060" s="592"/>
    </row>
    <row r="1061" spans="1:34" ht="30.75" thickBot="1" x14ac:dyDescent="0.3">
      <c r="A1061" s="270" t="s">
        <v>2213</v>
      </c>
      <c r="B1061" s="593" t="s">
        <v>2219</v>
      </c>
      <c r="C1061" s="580" t="s">
        <v>260</v>
      </c>
      <c r="D1061" s="581" t="s">
        <v>261</v>
      </c>
      <c r="E1061" s="580"/>
      <c r="F1061" s="584" t="s">
        <v>2220</v>
      </c>
      <c r="G1061" s="201" t="e">
        <f>VLOOKUP(A1061,'[1]Feature Summary'!$A$7:$C$4100,3,FALSE)</f>
        <v>#N/A</v>
      </c>
      <c r="H1061" s="583" t="s">
        <v>2221</v>
      </c>
      <c r="I1061" s="488" t="s">
        <v>264</v>
      </c>
      <c r="J1061" s="448" t="s">
        <v>320</v>
      </c>
      <c r="K1061" s="581">
        <v>6</v>
      </c>
      <c r="L1061" s="581">
        <v>7</v>
      </c>
      <c r="M1061" s="399" t="s">
        <v>33</v>
      </c>
      <c r="N1061" s="585">
        <v>1</v>
      </c>
      <c r="O1061" s="586">
        <v>0</v>
      </c>
      <c r="P1061" s="587">
        <f t="shared" si="209"/>
        <v>0</v>
      </c>
      <c r="Q1061" s="623"/>
      <c r="R1061" s="581">
        <v>7</v>
      </c>
      <c r="S1061" s="624">
        <f t="shared" ref="S1061" si="211">SUM(T1061:W1061)</f>
        <v>7</v>
      </c>
      <c r="T1061" s="588">
        <v>7</v>
      </c>
      <c r="U1061" s="588"/>
      <c r="V1061" s="588"/>
      <c r="W1061" s="588"/>
      <c r="X1061" s="625">
        <f t="shared" si="210"/>
        <v>1</v>
      </c>
      <c r="Y1061" s="589"/>
      <c r="Z1061" s="590">
        <f t="shared" ref="Z1061:Z1084" si="212">SUM(AA1061:AD1061)</f>
        <v>0</v>
      </c>
      <c r="AA1061" s="588"/>
      <c r="AB1061" s="588"/>
      <c r="AC1061" s="588"/>
      <c r="AD1061" s="588"/>
      <c r="AE1061" s="365">
        <f t="shared" si="196"/>
        <v>0</v>
      </c>
      <c r="AF1061" s="580"/>
      <c r="AG1061" s="591" t="e">
        <f>VLOOKUP(A1061,'[2]Feature Summary'!$A$7:$U$4081,21,FALSE)</f>
        <v>#N/A</v>
      </c>
      <c r="AH1061" s="596" t="s">
        <v>2222</v>
      </c>
    </row>
    <row r="1062" spans="1:34" ht="15.75" thickBot="1" x14ac:dyDescent="0.3">
      <c r="A1062" s="579" t="s">
        <v>2200</v>
      </c>
      <c r="B1062" s="580"/>
      <c r="C1062" s="580" t="s">
        <v>651</v>
      </c>
      <c r="D1062" s="581" t="s">
        <v>431</v>
      </c>
      <c r="E1062" s="580"/>
      <c r="F1062" s="584" t="s">
        <v>2198</v>
      </c>
      <c r="G1062" s="387" t="str">
        <f>VLOOKUP(A1062,'Feature Summary'!$A$7:$C$3944,3,FALSE)</f>
        <v>P2</v>
      </c>
      <c r="H1062" s="583" t="s">
        <v>2223</v>
      </c>
      <c r="I1062" s="488" t="s">
        <v>264</v>
      </c>
      <c r="J1062" s="615" t="s">
        <v>297</v>
      </c>
      <c r="K1062" s="581">
        <v>1</v>
      </c>
      <c r="L1062" s="581">
        <v>1</v>
      </c>
      <c r="M1062" s="399" t="s">
        <v>33</v>
      </c>
      <c r="N1062" s="585">
        <v>1</v>
      </c>
      <c r="O1062" s="586">
        <v>1</v>
      </c>
      <c r="P1062" s="587">
        <f t="shared" si="209"/>
        <v>1</v>
      </c>
      <c r="Q1062" s="445" t="s">
        <v>52</v>
      </c>
      <c r="R1062" s="581">
        <v>1</v>
      </c>
      <c r="S1062" s="362">
        <f t="shared" ref="S1062" si="213">SUM(T1062:W1062)</f>
        <v>1</v>
      </c>
      <c r="T1062" s="588">
        <v>1</v>
      </c>
      <c r="U1062" s="588"/>
      <c r="V1062" s="588"/>
      <c r="W1062" s="588"/>
      <c r="X1062" s="364">
        <f t="shared" si="210"/>
        <v>1</v>
      </c>
      <c r="Y1062" s="616"/>
      <c r="Z1062" s="498">
        <f t="shared" si="212"/>
        <v>0</v>
      </c>
      <c r="AA1062" s="588"/>
      <c r="AB1062" s="588"/>
      <c r="AC1062" s="588"/>
      <c r="AD1062" s="588"/>
      <c r="AE1062" s="365">
        <f t="shared" ref="AE1062" si="214">IF((Z1062=0),0,((AA1062+AB1062)/Z1062*100%))</f>
        <v>0</v>
      </c>
      <c r="AF1062" s="558"/>
      <c r="AG1062" s="457"/>
      <c r="AH1062" s="592"/>
    </row>
    <row r="1063" spans="1:34" ht="30.75" thickBot="1" x14ac:dyDescent="0.3">
      <c r="A1063" s="270" t="s">
        <v>2224</v>
      </c>
      <c r="B1063" s="593" t="s">
        <v>2214</v>
      </c>
      <c r="C1063" s="580" t="s">
        <v>260</v>
      </c>
      <c r="D1063" s="581" t="s">
        <v>431</v>
      </c>
      <c r="E1063" s="580"/>
      <c r="F1063" s="584" t="s">
        <v>2215</v>
      </c>
      <c r="G1063" s="201" t="e">
        <f>VLOOKUP(A1063,'Feature Summary'!$A$7:$C$3993,3,FALSE)</f>
        <v>#N/A</v>
      </c>
      <c r="H1063" s="583" t="s">
        <v>2225</v>
      </c>
      <c r="I1063" s="488" t="s">
        <v>264</v>
      </c>
      <c r="J1063" s="448" t="s">
        <v>320</v>
      </c>
      <c r="K1063" s="581">
        <v>6</v>
      </c>
      <c r="L1063" s="581">
        <v>4</v>
      </c>
      <c r="M1063" s="399" t="s">
        <v>33</v>
      </c>
      <c r="N1063" s="585">
        <v>1</v>
      </c>
      <c r="O1063" s="586">
        <v>4</v>
      </c>
      <c r="P1063" s="587">
        <f t="shared" si="208"/>
        <v>1</v>
      </c>
      <c r="Q1063" s="445" t="s">
        <v>52</v>
      </c>
      <c r="R1063" s="581">
        <v>4</v>
      </c>
      <c r="S1063" s="362">
        <v>4</v>
      </c>
      <c r="T1063" s="588">
        <v>4</v>
      </c>
      <c r="U1063" s="588"/>
      <c r="V1063" s="588"/>
      <c r="W1063" s="588"/>
      <c r="X1063" s="364">
        <f t="shared" si="181"/>
        <v>1</v>
      </c>
      <c r="Y1063" s="589"/>
      <c r="Z1063" s="590">
        <f t="shared" si="212"/>
        <v>0</v>
      </c>
      <c r="AA1063" s="588"/>
      <c r="AB1063" s="588"/>
      <c r="AC1063" s="588"/>
      <c r="AD1063" s="588"/>
      <c r="AE1063" s="365">
        <f t="shared" si="196"/>
        <v>0</v>
      </c>
      <c r="AF1063" s="584"/>
      <c r="AG1063" s="591"/>
      <c r="AH1063" s="592"/>
    </row>
    <row r="1064" spans="1:34" ht="30.75" thickBot="1" x14ac:dyDescent="0.3">
      <c r="A1064" s="270" t="s">
        <v>2224</v>
      </c>
      <c r="B1064" s="593" t="s">
        <v>2214</v>
      </c>
      <c r="C1064" s="580" t="s">
        <v>260</v>
      </c>
      <c r="D1064" s="581" t="s">
        <v>431</v>
      </c>
      <c r="E1064" s="580"/>
      <c r="F1064" s="584" t="s">
        <v>2215</v>
      </c>
      <c r="G1064" s="201" t="e">
        <f>VLOOKUP(A1064,'Feature Summary'!$A$7:$C$3993,3,FALSE)</f>
        <v>#N/A</v>
      </c>
      <c r="H1064" s="583" t="s">
        <v>2226</v>
      </c>
      <c r="I1064" s="488" t="s">
        <v>264</v>
      </c>
      <c r="J1064" s="448" t="s">
        <v>2218</v>
      </c>
      <c r="K1064" s="581">
        <v>6</v>
      </c>
      <c r="L1064" s="581">
        <v>2</v>
      </c>
      <c r="M1064" s="399" t="s">
        <v>33</v>
      </c>
      <c r="N1064" s="585">
        <v>1</v>
      </c>
      <c r="O1064" s="586">
        <v>2</v>
      </c>
      <c r="P1064" s="587">
        <f t="shared" si="208"/>
        <v>1</v>
      </c>
      <c r="Q1064" s="445" t="s">
        <v>52</v>
      </c>
      <c r="R1064" s="581">
        <v>2</v>
      </c>
      <c r="S1064" s="362">
        <v>2</v>
      </c>
      <c r="T1064" s="588">
        <v>2</v>
      </c>
      <c r="U1064" s="588"/>
      <c r="V1064" s="588"/>
      <c r="W1064" s="588"/>
      <c r="X1064" s="364">
        <f t="shared" si="181"/>
        <v>1</v>
      </c>
      <c r="Y1064" s="589"/>
      <c r="Z1064" s="590">
        <f t="shared" si="212"/>
        <v>0</v>
      </c>
      <c r="AA1064" s="588"/>
      <c r="AB1064" s="588"/>
      <c r="AC1064" s="588"/>
      <c r="AD1064" s="588"/>
      <c r="AE1064" s="365">
        <f t="shared" si="196"/>
        <v>0</v>
      </c>
      <c r="AF1064" s="584"/>
      <c r="AG1064" s="591"/>
      <c r="AH1064" s="592"/>
    </row>
    <row r="1065" spans="1:34" ht="15.75" thickBot="1" x14ac:dyDescent="0.3">
      <c r="A1065" s="270"/>
      <c r="B1065" s="593" t="s">
        <v>2227</v>
      </c>
      <c r="C1065" s="580"/>
      <c r="D1065" s="581" t="s">
        <v>261</v>
      </c>
      <c r="E1065" s="580"/>
      <c r="F1065" s="582" t="s">
        <v>2228</v>
      </c>
      <c r="G1065" s="201" t="e">
        <f>VLOOKUP(A1065,'Feature Summary'!$A$7:$C$3993,3,FALSE)</f>
        <v>#N/A</v>
      </c>
      <c r="H1065" s="583" t="s">
        <v>2229</v>
      </c>
      <c r="I1065" s="583"/>
      <c r="J1065" s="584"/>
      <c r="K1065" s="581"/>
      <c r="L1065" s="581"/>
      <c r="M1065" s="595" t="s">
        <v>33</v>
      </c>
      <c r="N1065" s="585">
        <v>1</v>
      </c>
      <c r="O1065" s="586"/>
      <c r="P1065" s="587">
        <f t="shared" si="208"/>
        <v>0</v>
      </c>
      <c r="Q1065" s="445" t="s">
        <v>52</v>
      </c>
      <c r="R1065" s="581"/>
      <c r="S1065" s="362">
        <f t="shared" si="183"/>
        <v>0</v>
      </c>
      <c r="T1065" s="588"/>
      <c r="U1065" s="588"/>
      <c r="V1065" s="588"/>
      <c r="W1065" s="588"/>
      <c r="X1065" s="364">
        <f t="shared" si="181"/>
        <v>0</v>
      </c>
      <c r="Y1065" s="589"/>
      <c r="Z1065" s="590">
        <f t="shared" si="212"/>
        <v>0</v>
      </c>
      <c r="AA1065" s="588"/>
      <c r="AB1065" s="588"/>
      <c r="AC1065" s="588"/>
      <c r="AD1065" s="588"/>
      <c r="AE1065" s="365">
        <f t="shared" si="196"/>
        <v>0</v>
      </c>
      <c r="AF1065" s="580"/>
      <c r="AG1065" s="591"/>
      <c r="AH1065" s="592"/>
    </row>
    <row r="1066" spans="1:34" ht="15.75" thickBot="1" x14ac:dyDescent="0.3">
      <c r="A1066" s="270"/>
      <c r="B1066" s="593" t="s">
        <v>2230</v>
      </c>
      <c r="C1066" s="580"/>
      <c r="D1066" s="581" t="s">
        <v>261</v>
      </c>
      <c r="E1066" s="580"/>
      <c r="F1066" s="597" t="s">
        <v>2211</v>
      </c>
      <c r="G1066" s="201" t="e">
        <f>VLOOKUP(A1066,'Feature Summary'!$A$7:$C$3993,3,FALSE)</f>
        <v>#N/A</v>
      </c>
      <c r="H1066" s="447" t="s">
        <v>2212</v>
      </c>
      <c r="I1066" s="447"/>
      <c r="J1066" s="594"/>
      <c r="K1066" s="263"/>
      <c r="L1066" s="390"/>
      <c r="M1066" s="399" t="s">
        <v>33</v>
      </c>
      <c r="N1066" s="585">
        <v>1</v>
      </c>
      <c r="O1066" s="586"/>
      <c r="P1066" s="587">
        <f t="shared" si="208"/>
        <v>0</v>
      </c>
      <c r="Q1066" s="445" t="s">
        <v>52</v>
      </c>
      <c r="R1066" s="390"/>
      <c r="S1066" s="362">
        <f t="shared" si="183"/>
        <v>0</v>
      </c>
      <c r="T1066" s="588"/>
      <c r="U1066" s="588"/>
      <c r="V1066" s="588"/>
      <c r="W1066" s="588"/>
      <c r="X1066" s="364">
        <f t="shared" ref="X1066:X1084" si="215">IF((S1066=0),0,((T1066+U1066)/S1066*100%))</f>
        <v>0</v>
      </c>
      <c r="Y1066" s="589"/>
      <c r="Z1066" s="590">
        <f t="shared" si="212"/>
        <v>0</v>
      </c>
      <c r="AA1066" s="588"/>
      <c r="AB1066" s="588"/>
      <c r="AC1066" s="588"/>
      <c r="AD1066" s="588"/>
      <c r="AE1066" s="365">
        <f t="shared" si="196"/>
        <v>0</v>
      </c>
      <c r="AF1066" s="580"/>
      <c r="AG1066" s="591"/>
      <c r="AH1066" s="592"/>
    </row>
    <row r="1067" spans="1:34" ht="30.75" thickBot="1" x14ac:dyDescent="0.3">
      <c r="A1067" s="270"/>
      <c r="B1067" s="593" t="s">
        <v>2231</v>
      </c>
      <c r="C1067" s="580"/>
      <c r="D1067" s="581" t="s">
        <v>261</v>
      </c>
      <c r="E1067" s="580"/>
      <c r="F1067" s="582" t="s">
        <v>2232</v>
      </c>
      <c r="G1067" s="201" t="e">
        <f>VLOOKUP(A1067,'Feature Summary'!$A$7:$C$3993,3,FALSE)</f>
        <v>#N/A</v>
      </c>
      <c r="H1067" s="447" t="s">
        <v>2233</v>
      </c>
      <c r="I1067" s="447"/>
      <c r="J1067" s="594"/>
      <c r="K1067" s="263"/>
      <c r="L1067" s="390"/>
      <c r="M1067" s="595" t="s">
        <v>33</v>
      </c>
      <c r="N1067" s="585">
        <v>1</v>
      </c>
      <c r="O1067" s="586"/>
      <c r="P1067" s="587">
        <f t="shared" si="208"/>
        <v>0</v>
      </c>
      <c r="Q1067" s="445" t="s">
        <v>52</v>
      </c>
      <c r="R1067" s="390"/>
      <c r="S1067" s="362">
        <f t="shared" ref="S1067:S1084" si="216">SUM(T1067:W1067)</f>
        <v>0</v>
      </c>
      <c r="T1067" s="588"/>
      <c r="U1067" s="588"/>
      <c r="V1067" s="588"/>
      <c r="W1067" s="588"/>
      <c r="X1067" s="364">
        <f t="shared" si="215"/>
        <v>0</v>
      </c>
      <c r="Y1067" s="589"/>
      <c r="Z1067" s="590">
        <f t="shared" si="212"/>
        <v>0</v>
      </c>
      <c r="AA1067" s="588"/>
      <c r="AB1067" s="588"/>
      <c r="AC1067" s="588"/>
      <c r="AD1067" s="588"/>
      <c r="AE1067" s="365">
        <f t="shared" si="196"/>
        <v>0</v>
      </c>
      <c r="AF1067" s="580"/>
      <c r="AG1067" s="591"/>
      <c r="AH1067" s="592"/>
    </row>
    <row r="1068" spans="1:34" ht="15.75" thickBot="1" x14ac:dyDescent="0.3">
      <c r="A1068" s="474" t="s">
        <v>2234</v>
      </c>
      <c r="B1068" s="593"/>
      <c r="C1068" s="463" t="s">
        <v>655</v>
      </c>
      <c r="D1068" s="449" t="s">
        <v>261</v>
      </c>
      <c r="E1068" s="580"/>
      <c r="F1068" s="463" t="s">
        <v>2235</v>
      </c>
      <c r="G1068" s="201" t="str">
        <f>VLOOKUP(A1068,'Feature Summary'!$A$7:$C$3993,3,FALSE)</f>
        <v>P2</v>
      </c>
      <c r="H1068" s="463" t="s">
        <v>2236</v>
      </c>
      <c r="I1068" s="488" t="s">
        <v>264</v>
      </c>
      <c r="J1068" s="594" t="s">
        <v>301</v>
      </c>
      <c r="K1068" s="263">
        <v>1</v>
      </c>
      <c r="L1068" s="390">
        <v>4</v>
      </c>
      <c r="M1068" s="399" t="s">
        <v>33</v>
      </c>
      <c r="N1068" s="585">
        <v>1</v>
      </c>
      <c r="O1068" s="586">
        <v>4</v>
      </c>
      <c r="P1068" s="587">
        <f t="shared" ref="P1068" si="217">IF((O1068=0),0,(O1068/L1068))</f>
        <v>1</v>
      </c>
      <c r="Q1068" s="445" t="s">
        <v>52</v>
      </c>
      <c r="R1068" s="390">
        <v>4</v>
      </c>
      <c r="S1068" s="362">
        <f t="shared" si="216"/>
        <v>4</v>
      </c>
      <c r="T1068" s="588">
        <v>4</v>
      </c>
      <c r="U1068" s="588"/>
      <c r="V1068" s="588"/>
      <c r="W1068" s="588"/>
      <c r="X1068" s="364">
        <f t="shared" si="215"/>
        <v>1</v>
      </c>
      <c r="Y1068" s="589"/>
      <c r="Z1068" s="590">
        <f t="shared" si="212"/>
        <v>0</v>
      </c>
      <c r="AA1068" s="588"/>
      <c r="AB1068" s="588"/>
      <c r="AC1068" s="588"/>
      <c r="AD1068" s="588"/>
      <c r="AE1068" s="365">
        <f t="shared" si="196"/>
        <v>0</v>
      </c>
      <c r="AF1068" s="584"/>
      <c r="AG1068" s="591"/>
      <c r="AH1068" s="592"/>
    </row>
    <row r="1069" spans="1:34" ht="30.75" thickBot="1" x14ac:dyDescent="0.3">
      <c r="A1069" s="622"/>
      <c r="B1069" s="600" t="s">
        <v>2207</v>
      </c>
      <c r="C1069" s="601" t="s">
        <v>354</v>
      </c>
      <c r="D1069" s="602" t="s">
        <v>261</v>
      </c>
      <c r="E1069" s="601"/>
      <c r="F1069" s="603" t="s">
        <v>2208</v>
      </c>
      <c r="G1069" s="201" t="e">
        <f>VLOOKUP(A1069,'Feature Summary'!$A$7:$C$3993,3,FALSE)</f>
        <v>#N/A</v>
      </c>
      <c r="H1069" s="473" t="s">
        <v>2237</v>
      </c>
      <c r="I1069" s="488" t="s">
        <v>264</v>
      </c>
      <c r="J1069" s="605"/>
      <c r="K1069" s="563"/>
      <c r="L1069" s="574"/>
      <c r="M1069" s="399" t="s">
        <v>33</v>
      </c>
      <c r="N1069" s="585">
        <v>1</v>
      </c>
      <c r="O1069" s="608"/>
      <c r="P1069" s="587">
        <f t="shared" si="208"/>
        <v>0</v>
      </c>
      <c r="Q1069" s="613" t="s">
        <v>52</v>
      </c>
      <c r="R1069" s="602"/>
      <c r="S1069" s="618"/>
      <c r="T1069" s="610"/>
      <c r="U1069" s="610"/>
      <c r="V1069" s="610"/>
      <c r="W1069" s="610"/>
      <c r="X1069" s="619">
        <f t="shared" si="215"/>
        <v>0</v>
      </c>
      <c r="Y1069" s="611"/>
      <c r="Z1069" s="590">
        <f t="shared" si="212"/>
        <v>0</v>
      </c>
      <c r="AA1069" s="610"/>
      <c r="AB1069" s="610"/>
      <c r="AC1069" s="610"/>
      <c r="AD1069" s="610"/>
      <c r="AE1069" s="365">
        <f t="shared" si="196"/>
        <v>0</v>
      </c>
      <c r="AF1069" s="601"/>
      <c r="AG1069" s="612"/>
      <c r="AH1069" s="621"/>
    </row>
    <row r="1070" spans="1:34" ht="60.75" thickBot="1" x14ac:dyDescent="0.3">
      <c r="A1070" s="474" t="s">
        <v>2238</v>
      </c>
      <c r="B1070" s="593" t="s">
        <v>2239</v>
      </c>
      <c r="C1070" s="580" t="s">
        <v>2240</v>
      </c>
      <c r="D1070" s="581" t="s">
        <v>261</v>
      </c>
      <c r="E1070" s="580"/>
      <c r="F1070" s="584" t="s">
        <v>2239</v>
      </c>
      <c r="G1070" s="201"/>
      <c r="H1070" s="447" t="s">
        <v>2241</v>
      </c>
      <c r="I1070" s="488" t="s">
        <v>264</v>
      </c>
      <c r="J1070" s="594" t="s">
        <v>474</v>
      </c>
      <c r="K1070" s="263">
        <v>4</v>
      </c>
      <c r="L1070" s="390">
        <v>4</v>
      </c>
      <c r="M1070" s="399" t="s">
        <v>42</v>
      </c>
      <c r="N1070" s="626">
        <v>1</v>
      </c>
      <c r="O1070" s="586">
        <v>4</v>
      </c>
      <c r="P1070" s="587">
        <f t="shared" si="208"/>
        <v>1</v>
      </c>
      <c r="Q1070" s="627" t="s">
        <v>44</v>
      </c>
      <c r="R1070" s="581">
        <v>4</v>
      </c>
      <c r="S1070" s="362">
        <f t="shared" si="216"/>
        <v>4</v>
      </c>
      <c r="T1070" s="588"/>
      <c r="U1070" s="588">
        <v>4</v>
      </c>
      <c r="V1070" s="588"/>
      <c r="W1070" s="588"/>
      <c r="X1070" s="364">
        <f t="shared" si="215"/>
        <v>1</v>
      </c>
      <c r="Y1070" s="589"/>
      <c r="Z1070" s="590">
        <f t="shared" si="212"/>
        <v>0</v>
      </c>
      <c r="AA1070" s="588"/>
      <c r="AB1070" s="588"/>
      <c r="AC1070" s="588"/>
      <c r="AD1070" s="588"/>
      <c r="AE1070" s="365">
        <f t="shared" si="196"/>
        <v>0</v>
      </c>
      <c r="AF1070" s="584"/>
      <c r="AG1070" s="612"/>
      <c r="AH1070" s="621"/>
    </row>
    <row r="1071" spans="1:34" ht="15.75" thickBot="1" x14ac:dyDescent="0.3">
      <c r="A1071" s="446" t="s">
        <v>2242</v>
      </c>
      <c r="B1071" s="593" t="s">
        <v>2243</v>
      </c>
      <c r="C1071" s="580"/>
      <c r="D1071" s="581" t="s">
        <v>261</v>
      </c>
      <c r="E1071" s="580"/>
      <c r="F1071" s="584" t="s">
        <v>2211</v>
      </c>
      <c r="G1071" s="201" t="e">
        <v>#N/A</v>
      </c>
      <c r="H1071" s="447" t="s">
        <v>2244</v>
      </c>
      <c r="I1071" s="488"/>
      <c r="J1071" s="594"/>
      <c r="K1071" s="263"/>
      <c r="L1071" s="390"/>
      <c r="M1071" s="399" t="s">
        <v>33</v>
      </c>
      <c r="N1071" s="626"/>
      <c r="O1071" s="586"/>
      <c r="P1071" s="587"/>
      <c r="Q1071" s="627"/>
      <c r="R1071" s="581"/>
      <c r="S1071" s="362"/>
      <c r="T1071" s="588"/>
      <c r="U1071" s="588"/>
      <c r="V1071" s="588"/>
      <c r="W1071" s="588"/>
      <c r="X1071" s="364"/>
      <c r="Y1071" s="589"/>
      <c r="Z1071" s="590"/>
      <c r="AA1071" s="588"/>
      <c r="AB1071" s="588"/>
      <c r="AC1071" s="588"/>
      <c r="AD1071" s="588"/>
      <c r="AE1071" s="365"/>
      <c r="AF1071" s="580"/>
      <c r="AG1071" s="612"/>
      <c r="AH1071" s="621"/>
    </row>
    <row r="1072" spans="1:34" ht="15.75" thickBot="1" x14ac:dyDescent="0.3">
      <c r="A1072" s="446" t="s">
        <v>2245</v>
      </c>
      <c r="B1072" s="593" t="s">
        <v>2227</v>
      </c>
      <c r="C1072" s="580"/>
      <c r="D1072" s="581" t="s">
        <v>261</v>
      </c>
      <c r="E1072" s="580"/>
      <c r="F1072" s="584" t="s">
        <v>2228</v>
      </c>
      <c r="G1072" s="201" t="e">
        <v>#N/A</v>
      </c>
      <c r="H1072" s="447" t="s">
        <v>2229</v>
      </c>
      <c r="I1072" s="488"/>
      <c r="J1072" s="594"/>
      <c r="K1072" s="263"/>
      <c r="L1072" s="390"/>
      <c r="M1072" s="399" t="s">
        <v>33</v>
      </c>
      <c r="N1072" s="626"/>
      <c r="O1072" s="586"/>
      <c r="P1072" s="587"/>
      <c r="Q1072" s="627"/>
      <c r="R1072" s="581"/>
      <c r="S1072" s="362"/>
      <c r="T1072" s="588"/>
      <c r="U1072" s="588"/>
      <c r="V1072" s="588"/>
      <c r="W1072" s="588"/>
      <c r="X1072" s="364"/>
      <c r="Y1072" s="589"/>
      <c r="Z1072" s="590"/>
      <c r="AA1072" s="588"/>
      <c r="AB1072" s="588"/>
      <c r="AC1072" s="588"/>
      <c r="AD1072" s="588"/>
      <c r="AE1072" s="365"/>
      <c r="AF1072" s="580"/>
      <c r="AG1072" s="612"/>
      <c r="AH1072" s="621"/>
    </row>
    <row r="1073" spans="1:34" ht="15.75" thickBot="1" x14ac:dyDescent="0.3">
      <c r="A1073" s="446" t="s">
        <v>2246</v>
      </c>
      <c r="B1073" s="593" t="s">
        <v>2230</v>
      </c>
      <c r="C1073" s="580"/>
      <c r="D1073" s="581" t="s">
        <v>261</v>
      </c>
      <c r="E1073" s="580"/>
      <c r="F1073" s="584" t="s">
        <v>2211</v>
      </c>
      <c r="G1073" s="201" t="s">
        <v>2247</v>
      </c>
      <c r="H1073" s="447" t="s">
        <v>2212</v>
      </c>
      <c r="I1073" s="488"/>
      <c r="J1073" s="594"/>
      <c r="K1073" s="263"/>
      <c r="L1073" s="390"/>
      <c r="M1073" s="399" t="s">
        <v>42</v>
      </c>
      <c r="N1073" s="626"/>
      <c r="O1073" s="586"/>
      <c r="P1073" s="587"/>
      <c r="Q1073" s="627"/>
      <c r="R1073" s="581"/>
      <c r="S1073" s="362"/>
      <c r="T1073" s="588"/>
      <c r="U1073" s="588"/>
      <c r="V1073" s="588"/>
      <c r="W1073" s="588"/>
      <c r="X1073" s="364"/>
      <c r="Y1073" s="589"/>
      <c r="Z1073" s="590"/>
      <c r="AA1073" s="588"/>
      <c r="AB1073" s="588"/>
      <c r="AC1073" s="588"/>
      <c r="AD1073" s="588"/>
      <c r="AE1073" s="365"/>
      <c r="AF1073" s="580"/>
      <c r="AG1073" s="612"/>
      <c r="AH1073" s="621"/>
    </row>
    <row r="1074" spans="1:34" ht="30.75" thickBot="1" x14ac:dyDescent="0.3">
      <c r="A1074" s="446" t="s">
        <v>2248</v>
      </c>
      <c r="B1074" s="593" t="s">
        <v>2231</v>
      </c>
      <c r="C1074" s="580"/>
      <c r="D1074" s="581" t="s">
        <v>261</v>
      </c>
      <c r="E1074" s="580"/>
      <c r="F1074" s="584" t="s">
        <v>2232</v>
      </c>
      <c r="G1074" s="201" t="s">
        <v>2247</v>
      </c>
      <c r="H1074" s="447" t="s">
        <v>2233</v>
      </c>
      <c r="I1074" s="488"/>
      <c r="J1074" s="594"/>
      <c r="K1074" s="263"/>
      <c r="L1074" s="390"/>
      <c r="M1074" s="399" t="s">
        <v>33</v>
      </c>
      <c r="N1074" s="626"/>
      <c r="O1074" s="586"/>
      <c r="P1074" s="587"/>
      <c r="Q1074" s="627"/>
      <c r="R1074" s="581"/>
      <c r="S1074" s="362"/>
      <c r="T1074" s="588"/>
      <c r="U1074" s="588"/>
      <c r="V1074" s="588"/>
      <c r="W1074" s="588"/>
      <c r="X1074" s="364"/>
      <c r="Y1074" s="589"/>
      <c r="Z1074" s="590"/>
      <c r="AA1074" s="588"/>
      <c r="AB1074" s="588"/>
      <c r="AC1074" s="588"/>
      <c r="AD1074" s="588"/>
      <c r="AE1074" s="365"/>
      <c r="AF1074" s="580"/>
      <c r="AG1074" s="612"/>
      <c r="AH1074" s="621"/>
    </row>
    <row r="1075" spans="1:34" ht="45.75" thickBot="1" x14ac:dyDescent="0.3">
      <c r="A1075" s="446" t="s">
        <v>2249</v>
      </c>
      <c r="B1075" s="593" t="s">
        <v>2250</v>
      </c>
      <c r="C1075" s="580"/>
      <c r="D1075" s="581" t="s">
        <v>431</v>
      </c>
      <c r="E1075" s="580"/>
      <c r="F1075" s="584" t="s">
        <v>2251</v>
      </c>
      <c r="G1075" s="201" t="s">
        <v>2247</v>
      </c>
      <c r="H1075" s="447" t="s">
        <v>2252</v>
      </c>
      <c r="I1075" s="488"/>
      <c r="J1075" s="594"/>
      <c r="K1075" s="263"/>
      <c r="L1075" s="390"/>
      <c r="M1075" s="399"/>
      <c r="N1075" s="626"/>
      <c r="O1075" s="586"/>
      <c r="P1075" s="587"/>
      <c r="Q1075" s="627"/>
      <c r="R1075" s="581"/>
      <c r="S1075" s="362"/>
      <c r="T1075" s="588"/>
      <c r="U1075" s="588"/>
      <c r="V1075" s="588"/>
      <c r="W1075" s="588"/>
      <c r="X1075" s="364"/>
      <c r="Y1075" s="589"/>
      <c r="Z1075" s="590"/>
      <c r="AA1075" s="588"/>
      <c r="AB1075" s="588"/>
      <c r="AC1075" s="588"/>
      <c r="AD1075" s="588"/>
      <c r="AE1075" s="365"/>
      <c r="AF1075" s="580"/>
      <c r="AG1075" s="612"/>
      <c r="AH1075" s="621"/>
    </row>
    <row r="1076" spans="1:34" ht="45.75" thickBot="1" x14ac:dyDescent="0.3">
      <c r="A1076" s="446" t="s">
        <v>2249</v>
      </c>
      <c r="B1076" s="593" t="s">
        <v>2250</v>
      </c>
      <c r="C1076" s="580"/>
      <c r="D1076" s="581" t="s">
        <v>431</v>
      </c>
      <c r="E1076" s="580"/>
      <c r="F1076" s="584" t="s">
        <v>2253</v>
      </c>
      <c r="G1076" s="201" t="s">
        <v>2247</v>
      </c>
      <c r="H1076" s="447" t="s">
        <v>2254</v>
      </c>
      <c r="I1076" s="488"/>
      <c r="J1076" s="594"/>
      <c r="K1076" s="263"/>
      <c r="L1076" s="390"/>
      <c r="M1076" s="399"/>
      <c r="N1076" s="626"/>
      <c r="O1076" s="586"/>
      <c r="P1076" s="587"/>
      <c r="Q1076" s="627"/>
      <c r="R1076" s="581"/>
      <c r="S1076" s="362"/>
      <c r="T1076" s="588"/>
      <c r="U1076" s="588"/>
      <c r="V1076" s="588"/>
      <c r="W1076" s="588"/>
      <c r="X1076" s="364"/>
      <c r="Y1076" s="589"/>
      <c r="Z1076" s="590"/>
      <c r="AA1076" s="588"/>
      <c r="AB1076" s="588"/>
      <c r="AC1076" s="588"/>
      <c r="AD1076" s="588"/>
      <c r="AE1076" s="365"/>
      <c r="AF1076" s="580"/>
      <c r="AG1076" s="612"/>
      <c r="AH1076" s="621"/>
    </row>
    <row r="1077" spans="1:34" ht="15.75" thickBot="1" x14ac:dyDescent="0.3">
      <c r="A1077" s="446" t="s">
        <v>2255</v>
      </c>
      <c r="B1077" s="593" t="s">
        <v>2256</v>
      </c>
      <c r="C1077" s="580"/>
      <c r="D1077" s="581" t="s">
        <v>431</v>
      </c>
      <c r="E1077" s="580"/>
      <c r="F1077" s="584" t="s">
        <v>2253</v>
      </c>
      <c r="G1077" s="201" t="e">
        <v>#N/A</v>
      </c>
      <c r="H1077" s="447" t="s">
        <v>2257</v>
      </c>
      <c r="I1077" s="488"/>
      <c r="J1077" s="594"/>
      <c r="K1077" s="263"/>
      <c r="L1077" s="390"/>
      <c r="M1077" s="399"/>
      <c r="N1077" s="626"/>
      <c r="O1077" s="586"/>
      <c r="P1077" s="587"/>
      <c r="Q1077" s="627"/>
      <c r="R1077" s="581"/>
      <c r="S1077" s="362"/>
      <c r="T1077" s="588"/>
      <c r="U1077" s="588"/>
      <c r="V1077" s="588"/>
      <c r="W1077" s="588"/>
      <c r="X1077" s="364"/>
      <c r="Y1077" s="589"/>
      <c r="Z1077" s="590"/>
      <c r="AA1077" s="588"/>
      <c r="AB1077" s="588"/>
      <c r="AC1077" s="588"/>
      <c r="AD1077" s="588"/>
      <c r="AE1077" s="365"/>
      <c r="AF1077" s="580"/>
      <c r="AG1077" s="612"/>
      <c r="AH1077" s="621"/>
    </row>
    <row r="1078" spans="1:34" ht="30.75" thickBot="1" x14ac:dyDescent="0.3">
      <c r="A1078" s="446"/>
      <c r="B1078" s="593" t="s">
        <v>2258</v>
      </c>
      <c r="C1078" s="580"/>
      <c r="D1078" s="581" t="s">
        <v>431</v>
      </c>
      <c r="E1078" s="580"/>
      <c r="F1078" s="584" t="s">
        <v>2253</v>
      </c>
      <c r="G1078" s="201" t="s">
        <v>2247</v>
      </c>
      <c r="H1078" s="447" t="s">
        <v>2259</v>
      </c>
      <c r="I1078" s="488"/>
      <c r="J1078" s="594"/>
      <c r="K1078" s="263"/>
      <c r="L1078" s="390"/>
      <c r="M1078" s="399"/>
      <c r="N1078" s="626"/>
      <c r="O1078" s="586"/>
      <c r="P1078" s="587"/>
      <c r="Q1078" s="627"/>
      <c r="R1078" s="581"/>
      <c r="S1078" s="362"/>
      <c r="T1078" s="588"/>
      <c r="U1078" s="588"/>
      <c r="V1078" s="588"/>
      <c r="W1078" s="588"/>
      <c r="X1078" s="364"/>
      <c r="Y1078" s="589"/>
      <c r="Z1078" s="590"/>
      <c r="AA1078" s="588"/>
      <c r="AB1078" s="588"/>
      <c r="AC1078" s="588"/>
      <c r="AD1078" s="588"/>
      <c r="AE1078" s="365"/>
      <c r="AF1078" s="580"/>
      <c r="AG1078" s="612"/>
      <c r="AH1078" s="621"/>
    </row>
    <row r="1079" spans="1:34" ht="30.75" thickBot="1" x14ac:dyDescent="0.3">
      <c r="A1079" s="446" t="s">
        <v>2260</v>
      </c>
      <c r="B1079" s="593" t="s">
        <v>2261</v>
      </c>
      <c r="C1079" s="580"/>
      <c r="D1079" s="581" t="s">
        <v>431</v>
      </c>
      <c r="E1079" s="580"/>
      <c r="F1079" s="584" t="s">
        <v>2262</v>
      </c>
      <c r="G1079" s="201" t="s">
        <v>1009</v>
      </c>
      <c r="H1079" s="447" t="s">
        <v>2263</v>
      </c>
      <c r="I1079" s="488"/>
      <c r="J1079" s="594"/>
      <c r="K1079" s="263"/>
      <c r="L1079" s="390"/>
      <c r="M1079" s="399"/>
      <c r="N1079" s="626"/>
      <c r="O1079" s="586"/>
      <c r="P1079" s="587"/>
      <c r="Q1079" s="627"/>
      <c r="R1079" s="581"/>
      <c r="S1079" s="362"/>
      <c r="T1079" s="588"/>
      <c r="U1079" s="588"/>
      <c r="V1079" s="588"/>
      <c r="W1079" s="588"/>
      <c r="X1079" s="364"/>
      <c r="Y1079" s="589"/>
      <c r="Z1079" s="590"/>
      <c r="AA1079" s="588"/>
      <c r="AB1079" s="588"/>
      <c r="AC1079" s="588"/>
      <c r="AD1079" s="588"/>
      <c r="AE1079" s="365"/>
      <c r="AF1079" s="580"/>
      <c r="AG1079" s="612"/>
      <c r="AH1079" s="621"/>
    </row>
    <row r="1080" spans="1:34" ht="15.75" thickBot="1" x14ac:dyDescent="0.3">
      <c r="A1080" s="446" t="s">
        <v>2264</v>
      </c>
      <c r="B1080" s="593" t="s">
        <v>2265</v>
      </c>
      <c r="C1080" s="580"/>
      <c r="D1080" s="581" t="s">
        <v>431</v>
      </c>
      <c r="E1080" s="580"/>
      <c r="F1080" s="584" t="s">
        <v>2266</v>
      </c>
      <c r="G1080" s="201"/>
      <c r="H1080" s="447" t="s">
        <v>2267</v>
      </c>
      <c r="I1080" s="488"/>
      <c r="J1080" s="594"/>
      <c r="K1080" s="263"/>
      <c r="L1080" s="390"/>
      <c r="M1080" s="399"/>
      <c r="N1080" s="626"/>
      <c r="O1080" s="586"/>
      <c r="P1080" s="587"/>
      <c r="Q1080" s="627"/>
      <c r="R1080" s="581"/>
      <c r="S1080" s="362"/>
      <c r="T1080" s="588"/>
      <c r="U1080" s="588"/>
      <c r="V1080" s="588"/>
      <c r="W1080" s="588"/>
      <c r="X1080" s="364"/>
      <c r="Y1080" s="589"/>
      <c r="Z1080" s="590"/>
      <c r="AA1080" s="588"/>
      <c r="AB1080" s="588"/>
      <c r="AC1080" s="588"/>
      <c r="AD1080" s="588"/>
      <c r="AE1080" s="365"/>
      <c r="AF1080" s="580"/>
      <c r="AG1080" s="612"/>
      <c r="AH1080" s="621"/>
    </row>
    <row r="1081" spans="1:34" ht="30.75" thickBot="1" x14ac:dyDescent="0.3">
      <c r="A1081" s="446" t="s">
        <v>2268</v>
      </c>
      <c r="B1081" s="593" t="s">
        <v>2269</v>
      </c>
      <c r="C1081" s="580"/>
      <c r="D1081" s="581" t="s">
        <v>431</v>
      </c>
      <c r="E1081" s="580"/>
      <c r="F1081" s="584" t="s">
        <v>2270</v>
      </c>
      <c r="G1081" s="201"/>
      <c r="H1081" s="447" t="s">
        <v>2267</v>
      </c>
      <c r="I1081" s="488"/>
      <c r="J1081" s="594"/>
      <c r="K1081" s="263"/>
      <c r="L1081" s="390"/>
      <c r="M1081" s="399"/>
      <c r="N1081" s="626"/>
      <c r="O1081" s="586"/>
      <c r="P1081" s="587"/>
      <c r="Q1081" s="627"/>
      <c r="R1081" s="581"/>
      <c r="S1081" s="362"/>
      <c r="T1081" s="588"/>
      <c r="U1081" s="588"/>
      <c r="V1081" s="588"/>
      <c r="W1081" s="588"/>
      <c r="X1081" s="364"/>
      <c r="Y1081" s="589"/>
      <c r="Z1081" s="590"/>
      <c r="AA1081" s="588"/>
      <c r="AB1081" s="588"/>
      <c r="AC1081" s="588"/>
      <c r="AD1081" s="588"/>
      <c r="AE1081" s="365"/>
      <c r="AF1081" s="580"/>
      <c r="AG1081" s="612"/>
      <c r="AH1081" s="621"/>
    </row>
    <row r="1082" spans="1:34" ht="15.75" thickBot="1" x14ac:dyDescent="0.3">
      <c r="A1082" s="474"/>
      <c r="B1082" s="593" t="s">
        <v>2271</v>
      </c>
      <c r="C1082" s="580"/>
      <c r="D1082" s="581" t="s">
        <v>261</v>
      </c>
      <c r="E1082" s="580"/>
      <c r="F1082" s="593" t="s">
        <v>2272</v>
      </c>
      <c r="G1082" s="201" t="e">
        <f>VLOOKUP(A1082,'Feature Summary'!$A$7:$C$3993,3,FALSE)</f>
        <v>#N/A</v>
      </c>
      <c r="H1082" s="447" t="s">
        <v>2273</v>
      </c>
      <c r="I1082" s="488" t="s">
        <v>264</v>
      </c>
      <c r="J1082" s="594"/>
      <c r="K1082" s="263">
        <v>4</v>
      </c>
      <c r="L1082" s="581">
        <v>4</v>
      </c>
      <c r="M1082" s="399" t="s">
        <v>42</v>
      </c>
      <c r="N1082" s="626">
        <v>1</v>
      </c>
      <c r="O1082" s="586">
        <v>4</v>
      </c>
      <c r="P1082" s="587">
        <f t="shared" si="208"/>
        <v>1</v>
      </c>
      <c r="Q1082" s="627"/>
      <c r="R1082" s="581">
        <v>4</v>
      </c>
      <c r="S1082" s="362">
        <f t="shared" si="216"/>
        <v>4</v>
      </c>
      <c r="T1082" s="588">
        <v>4</v>
      </c>
      <c r="U1082" s="588"/>
      <c r="V1082" s="588"/>
      <c r="W1082" s="588"/>
      <c r="X1082" s="364">
        <f t="shared" si="215"/>
        <v>1</v>
      </c>
      <c r="Y1082" s="589"/>
      <c r="Z1082" s="590">
        <f t="shared" si="212"/>
        <v>0</v>
      </c>
      <c r="AA1082" s="588"/>
      <c r="AB1082" s="588"/>
      <c r="AC1082" s="588"/>
      <c r="AD1082" s="588"/>
      <c r="AE1082" s="365">
        <f t="shared" si="196"/>
        <v>0</v>
      </c>
      <c r="AF1082" s="580"/>
      <c r="AG1082" s="612"/>
      <c r="AH1082" s="592"/>
    </row>
    <row r="1083" spans="1:34" ht="30.75" thickBot="1" x14ac:dyDescent="0.3">
      <c r="A1083" s="474"/>
      <c r="B1083" s="593" t="s">
        <v>2274</v>
      </c>
      <c r="C1083" s="580"/>
      <c r="D1083" s="581" t="s">
        <v>261</v>
      </c>
      <c r="E1083" s="580"/>
      <c r="F1083" s="593" t="s">
        <v>2275</v>
      </c>
      <c r="G1083" s="201" t="e">
        <f>VLOOKUP(A1083,'Feature Summary'!$A$7:$C$3993,3,FALSE)</f>
        <v>#N/A</v>
      </c>
      <c r="H1083" s="447" t="s">
        <v>2273</v>
      </c>
      <c r="I1083" s="488" t="s">
        <v>264</v>
      </c>
      <c r="J1083" s="594" t="s">
        <v>2276</v>
      </c>
      <c r="K1083" s="263">
        <v>4</v>
      </c>
      <c r="L1083" s="581">
        <v>4</v>
      </c>
      <c r="M1083" s="399" t="s">
        <v>42</v>
      </c>
      <c r="N1083" s="626">
        <v>1</v>
      </c>
      <c r="O1083" s="586">
        <v>4</v>
      </c>
      <c r="P1083" s="587">
        <f t="shared" si="208"/>
        <v>1</v>
      </c>
      <c r="Q1083" s="627"/>
      <c r="R1083" s="581">
        <v>4</v>
      </c>
      <c r="S1083" s="362">
        <f t="shared" si="216"/>
        <v>4</v>
      </c>
      <c r="T1083" s="588">
        <v>4</v>
      </c>
      <c r="U1083" s="588"/>
      <c r="V1083" s="588"/>
      <c r="W1083" s="588"/>
      <c r="X1083" s="364">
        <f t="shared" si="215"/>
        <v>1</v>
      </c>
      <c r="Y1083" s="589"/>
      <c r="Z1083" s="590">
        <f t="shared" si="212"/>
        <v>0</v>
      </c>
      <c r="AA1083" s="588"/>
      <c r="AB1083" s="588"/>
      <c r="AC1083" s="588"/>
      <c r="AD1083" s="588"/>
      <c r="AE1083" s="365">
        <f t="shared" si="196"/>
        <v>0</v>
      </c>
      <c r="AF1083" s="580"/>
      <c r="AG1083" s="612"/>
      <c r="AH1083" s="592"/>
    </row>
    <row r="1084" spans="1:34" x14ac:dyDescent="0.25">
      <c r="A1084" s="474"/>
      <c r="B1084" s="593" t="s">
        <v>2277</v>
      </c>
      <c r="C1084" s="580"/>
      <c r="D1084" s="581" t="s">
        <v>261</v>
      </c>
      <c r="E1084" s="580"/>
      <c r="F1084" s="593" t="s">
        <v>2278</v>
      </c>
      <c r="G1084" s="201" t="e">
        <f>VLOOKUP(A1084,'Feature Summary'!$A$7:$C$3993,3,FALSE)</f>
        <v>#N/A</v>
      </c>
      <c r="H1084" s="447" t="s">
        <v>2279</v>
      </c>
      <c r="I1084" s="488" t="s">
        <v>264</v>
      </c>
      <c r="J1084" s="594"/>
      <c r="K1084" s="263">
        <v>5</v>
      </c>
      <c r="L1084" s="581">
        <v>5</v>
      </c>
      <c r="M1084" s="399" t="s">
        <v>42</v>
      </c>
      <c r="N1084" s="626">
        <v>1</v>
      </c>
      <c r="O1084" s="586">
        <v>5</v>
      </c>
      <c r="P1084" s="587">
        <f t="shared" si="208"/>
        <v>1</v>
      </c>
      <c r="Q1084" s="627"/>
      <c r="R1084" s="581">
        <v>5</v>
      </c>
      <c r="S1084" s="362">
        <f t="shared" si="216"/>
        <v>5</v>
      </c>
      <c r="T1084" s="588">
        <v>5</v>
      </c>
      <c r="U1084" s="588"/>
      <c r="V1084" s="588"/>
      <c r="W1084" s="588"/>
      <c r="X1084" s="364">
        <f t="shared" si="215"/>
        <v>1</v>
      </c>
      <c r="Y1084" s="589"/>
      <c r="Z1084" s="590">
        <f t="shared" si="212"/>
        <v>0</v>
      </c>
      <c r="AA1084" s="588"/>
      <c r="AB1084" s="588"/>
      <c r="AC1084" s="588"/>
      <c r="AD1084" s="588"/>
      <c r="AE1084" s="365">
        <f t="shared" si="196"/>
        <v>0</v>
      </c>
      <c r="AF1084" s="580"/>
      <c r="AG1084" s="612"/>
      <c r="AH1084" s="592"/>
    </row>
    <row r="1085" spans="1:34" x14ac:dyDescent="0.25">
      <c r="A1085" s="289"/>
      <c r="B1085" s="290"/>
      <c r="C1085" s="290"/>
      <c r="D1085" s="291"/>
      <c r="E1085" s="290"/>
      <c r="F1085" s="290"/>
      <c r="G1085" s="291"/>
      <c r="H1085" s="329"/>
      <c r="I1085" s="329"/>
      <c r="J1085" s="450"/>
      <c r="K1085" s="290"/>
      <c r="L1085" s="292"/>
      <c r="M1085" s="388"/>
      <c r="N1085" s="400"/>
      <c r="O1085" s="372"/>
      <c r="P1085" s="496"/>
      <c r="Q1085" s="394"/>
      <c r="R1085" s="297"/>
      <c r="S1085" s="367"/>
      <c r="T1085" s="373"/>
      <c r="U1085" s="373"/>
      <c r="V1085" s="373"/>
      <c r="W1085" s="373"/>
      <c r="X1085" s="369"/>
      <c r="Y1085" s="395"/>
      <c r="Z1085" s="498"/>
      <c r="AA1085" s="374"/>
      <c r="AB1085" s="374"/>
      <c r="AC1085" s="374"/>
      <c r="AD1085" s="374"/>
      <c r="AE1085" s="370"/>
      <c r="AF1085" s="299"/>
      <c r="AG1085" s="299"/>
      <c r="AH1085" s="301"/>
    </row>
    <row r="1086" spans="1:34" ht="15.75" thickBot="1" x14ac:dyDescent="0.3">
      <c r="A1086" s="293"/>
      <c r="B1086" s="294"/>
      <c r="C1086" s="294"/>
      <c r="D1086" s="295"/>
      <c r="E1086" s="294"/>
      <c r="F1086" s="294"/>
      <c r="G1086" s="295"/>
      <c r="H1086" s="330"/>
      <c r="I1086" s="330"/>
      <c r="J1086" s="453"/>
      <c r="K1086" s="294"/>
      <c r="L1086" s="296"/>
      <c r="M1086" s="389"/>
      <c r="N1086" s="401"/>
      <c r="O1086" s="375"/>
      <c r="P1086" s="497"/>
      <c r="Q1086" s="396"/>
      <c r="R1086" s="298"/>
      <c r="S1086" s="376"/>
      <c r="T1086" s="377"/>
      <c r="U1086" s="377"/>
      <c r="V1086" s="377"/>
      <c r="W1086" s="377"/>
      <c r="X1086" s="378"/>
      <c r="Y1086" s="397"/>
      <c r="Z1086" s="499"/>
      <c r="AA1086" s="379"/>
      <c r="AB1086" s="379"/>
      <c r="AC1086" s="379"/>
      <c r="AD1086" s="379"/>
      <c r="AE1086" s="380"/>
      <c r="AF1086" s="300"/>
      <c r="AG1086" s="300"/>
      <c r="AH1086" s="302"/>
    </row>
    <row r="1087" spans="1:34" ht="15" customHeight="1" x14ac:dyDescent="0.25">
      <c r="A1087" s="682" t="s">
        <v>2280</v>
      </c>
      <c r="B1087" s="683"/>
      <c r="C1087" s="683"/>
      <c r="D1087" s="683"/>
      <c r="E1087" s="683"/>
      <c r="F1087" s="683"/>
      <c r="G1087" s="683"/>
      <c r="H1087" s="683"/>
      <c r="I1087" s="683"/>
      <c r="J1087" s="683"/>
      <c r="K1087" s="683"/>
      <c r="L1087" s="683"/>
      <c r="M1087" s="683"/>
      <c r="N1087" s="683"/>
      <c r="O1087" s="683"/>
      <c r="P1087" s="683"/>
      <c r="Q1087" s="683"/>
      <c r="R1087" s="683"/>
      <c r="S1087" s="683"/>
      <c r="T1087" s="683"/>
      <c r="U1087" s="683"/>
      <c r="V1087" s="683"/>
      <c r="W1087" s="683"/>
      <c r="X1087" s="683"/>
      <c r="Y1087" s="683"/>
      <c r="Z1087" s="684"/>
      <c r="AA1087" s="684"/>
      <c r="AB1087" s="684"/>
      <c r="AC1087" s="684"/>
      <c r="AD1087" s="684"/>
      <c r="AE1087" s="684"/>
      <c r="AF1087" s="684"/>
      <c r="AG1087" s="684"/>
      <c r="AH1087" s="685"/>
    </row>
    <row r="1088" spans="1:34" ht="15.75" customHeight="1" thickBot="1" x14ac:dyDescent="0.3">
      <c r="A1088" s="686"/>
      <c r="B1088" s="687"/>
      <c r="C1088" s="687"/>
      <c r="D1088" s="687"/>
      <c r="E1088" s="687"/>
      <c r="F1088" s="687"/>
      <c r="G1088" s="687"/>
      <c r="H1088" s="687"/>
      <c r="I1088" s="687"/>
      <c r="J1088" s="687"/>
      <c r="K1088" s="687"/>
      <c r="L1088" s="687"/>
      <c r="M1088" s="687"/>
      <c r="N1088" s="687"/>
      <c r="O1088" s="687"/>
      <c r="P1088" s="687"/>
      <c r="Q1088" s="687"/>
      <c r="R1088" s="687"/>
      <c r="S1088" s="687"/>
      <c r="T1088" s="687"/>
      <c r="U1088" s="687"/>
      <c r="V1088" s="687"/>
      <c r="W1088" s="687"/>
      <c r="X1088" s="687"/>
      <c r="Y1088" s="687"/>
      <c r="Z1088" s="687"/>
      <c r="AA1088" s="687"/>
      <c r="AB1088" s="687"/>
      <c r="AC1088" s="687"/>
      <c r="AD1088" s="687"/>
      <c r="AE1088" s="687"/>
      <c r="AF1088" s="687"/>
      <c r="AG1088" s="687"/>
      <c r="AH1088" s="688"/>
    </row>
    <row r="1089" spans="1:34" ht="35.25" customHeight="1" thickBot="1" x14ac:dyDescent="0.3">
      <c r="A1089" s="692" t="s">
        <v>252</v>
      </c>
      <c r="B1089" s="693"/>
      <c r="C1089" s="693"/>
      <c r="D1089" s="693"/>
      <c r="E1089" s="693"/>
      <c r="F1089" s="693"/>
      <c r="G1089" s="693"/>
      <c r="H1089" s="693"/>
      <c r="I1089" s="693"/>
      <c r="J1089" s="694"/>
      <c r="K1089" s="306">
        <f>SUM(K6:K1086)</f>
        <v>637</v>
      </c>
      <c r="L1089" s="306">
        <f>SUM(L6:L1086)</f>
        <v>1160</v>
      </c>
      <c r="M1089" s="307"/>
      <c r="N1089" s="353">
        <f>SUMPRODUCT(K6:K1086,N6:N1086)/K1089</f>
        <v>1</v>
      </c>
      <c r="O1089" s="354">
        <f>SUM(O6:O1086)</f>
        <v>663</v>
      </c>
      <c r="P1089" s="355">
        <f>SUMPRODUCT(K6:K1086,P6:P1086)/K1089</f>
        <v>0.88147566718995285</v>
      </c>
      <c r="Q1089" s="308"/>
      <c r="R1089" s="309">
        <f t="shared" ref="R1089:W1089" si="218">SUM(R6:R1086)</f>
        <v>1157</v>
      </c>
      <c r="S1089" s="356">
        <f t="shared" si="218"/>
        <v>1156</v>
      </c>
      <c r="T1089" s="356">
        <f t="shared" si="218"/>
        <v>1075</v>
      </c>
      <c r="U1089" s="309">
        <f t="shared" si="218"/>
        <v>81</v>
      </c>
      <c r="V1089" s="309">
        <f t="shared" si="218"/>
        <v>0</v>
      </c>
      <c r="W1089" s="309">
        <f t="shared" si="218"/>
        <v>0</v>
      </c>
      <c r="X1089" s="357">
        <f>IF((S1089=0),0,((T1089+U1089)/S1089*100%))</f>
        <v>1</v>
      </c>
      <c r="Y1089" s="310"/>
      <c r="Z1089" s="381">
        <f>SUM(Z6:Z1086)</f>
        <v>0</v>
      </c>
      <c r="AA1089" s="361">
        <f>SUM(AA6:AA1086)</f>
        <v>0</v>
      </c>
      <c r="AB1089" s="361">
        <f>SUM(AB6:AB1086)</f>
        <v>0</v>
      </c>
      <c r="AC1089" s="361">
        <f>SUM(AC6:AC1086)</f>
        <v>0</v>
      </c>
      <c r="AD1089" s="361">
        <f>SUM(AD6:AD1086)</f>
        <v>0</v>
      </c>
      <c r="AE1089" s="360">
        <f>IF((Z1089=0),0,((AA1089+AB1089)/Z1089*100%))</f>
        <v>0</v>
      </c>
      <c r="AF1089" s="311"/>
      <c r="AG1089" s="311"/>
      <c r="AH1089" s="312"/>
    </row>
    <row r="1091" spans="1:34" x14ac:dyDescent="0.25">
      <c r="J1091" s="454"/>
      <c r="L1091" s="159" t="s">
        <v>756</v>
      </c>
    </row>
    <row r="1092" spans="1:34" x14ac:dyDescent="0.25">
      <c r="J1092" s="455"/>
    </row>
    <row r="1093" spans="1:34" x14ac:dyDescent="0.25">
      <c r="J1093" s="455"/>
    </row>
    <row r="1094" spans="1:34" x14ac:dyDescent="0.25">
      <c r="J1094" s="455"/>
    </row>
    <row r="1095" spans="1:34" x14ac:dyDescent="0.25">
      <c r="J1095" s="455"/>
    </row>
    <row r="1096" spans="1:34" x14ac:dyDescent="0.25">
      <c r="J1096" s="455"/>
    </row>
    <row r="1097" spans="1:34" x14ac:dyDescent="0.25">
      <c r="J1097" s="455"/>
    </row>
    <row r="1098" spans="1:34" x14ac:dyDescent="0.25">
      <c r="J1098" s="455"/>
    </row>
    <row r="1099" spans="1:34" x14ac:dyDescent="0.25">
      <c r="J1099" s="455"/>
    </row>
    <row r="1100" spans="1:34" x14ac:dyDescent="0.25">
      <c r="J1100" s="455"/>
    </row>
    <row r="1101" spans="1:34" x14ac:dyDescent="0.25">
      <c r="J1101" s="455"/>
    </row>
    <row r="1102" spans="1:34" x14ac:dyDescent="0.25">
      <c r="J1102" s="455"/>
    </row>
    <row r="1103" spans="1:34" x14ac:dyDescent="0.25">
      <c r="J1103" s="455"/>
    </row>
    <row r="1104" spans="1:34" x14ac:dyDescent="0.25">
      <c r="J1104" s="455"/>
    </row>
    <row r="1105" spans="10:10" x14ac:dyDescent="0.25">
      <c r="J1105" s="455"/>
    </row>
  </sheetData>
  <sheetProtection insertColumns="0" insertRows="0" deleteRows="0" sort="0"/>
  <autoFilter ref="A5:AH1089" xr:uid="{00000000-0009-0000-0000-000002000000}"/>
  <mergeCells count="9">
    <mergeCell ref="A1087:AH1088"/>
    <mergeCell ref="A1:AH1"/>
    <mergeCell ref="A3:AH3"/>
    <mergeCell ref="A2:J2"/>
    <mergeCell ref="A1089:J108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Q1062:Q1086 Q6:Q1060</xm:sqref>
        </x14:dataValidation>
        <x14:dataValidation type="list" allowBlank="1" showInputMessage="1" showErrorMessage="1" xr:uid="{5513F172-4253-4807-A8CE-34D720193895}">
          <x14:formula1>
            <xm:f>'List Options'!$G$1:$G$3</xm:f>
          </x14:formula1>
          <xm:sqref>M1068:M1086 M1058:M1064 M1066 M6:M242 M1020:M1056 M244:M1018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707" t="s">
        <v>2281</v>
      </c>
      <c r="B1" s="708"/>
      <c r="C1" s="708"/>
      <c r="D1" s="708"/>
      <c r="E1" s="708"/>
      <c r="F1" s="708"/>
      <c r="G1" s="708"/>
      <c r="H1" s="708"/>
      <c r="I1" s="708"/>
      <c r="J1" s="708"/>
      <c r="K1" s="708"/>
      <c r="L1" s="708"/>
      <c r="M1" s="708"/>
      <c r="N1" s="708"/>
      <c r="O1" s="708"/>
      <c r="P1" s="708"/>
      <c r="Q1" s="708"/>
      <c r="R1" s="708"/>
      <c r="S1" s="708"/>
      <c r="T1" s="708"/>
      <c r="U1" s="708"/>
      <c r="V1" s="709"/>
    </row>
    <row r="2" spans="1:22" ht="15.75" thickBot="1" x14ac:dyDescent="0.3">
      <c r="A2" s="191" t="s">
        <v>2282</v>
      </c>
      <c r="B2" s="710" t="s">
        <v>166</v>
      </c>
      <c r="C2" s="710"/>
      <c r="D2" s="710"/>
      <c r="E2" s="710"/>
      <c r="F2" s="710"/>
      <c r="G2" s="711" t="s">
        <v>177</v>
      </c>
      <c r="H2" s="712"/>
      <c r="I2" s="712"/>
      <c r="J2" s="712"/>
      <c r="K2" s="712"/>
      <c r="L2" s="712"/>
      <c r="M2" s="712"/>
      <c r="N2" s="713"/>
      <c r="O2" s="714" t="s">
        <v>144</v>
      </c>
      <c r="P2" s="715"/>
      <c r="Q2" s="715"/>
      <c r="R2" s="715"/>
      <c r="S2" s="715"/>
      <c r="T2" s="715"/>
      <c r="U2" s="715"/>
      <c r="V2" s="716"/>
    </row>
    <row r="3" spans="1:22" s="206" customFormat="1" ht="30.75" thickBot="1" x14ac:dyDescent="0.3">
      <c r="A3" s="209" t="s">
        <v>88</v>
      </c>
      <c r="B3" s="552" t="s">
        <v>167</v>
      </c>
      <c r="C3" s="553" t="s">
        <v>128</v>
      </c>
      <c r="D3" s="554" t="s">
        <v>105</v>
      </c>
      <c r="E3" s="554" t="s">
        <v>173</v>
      </c>
      <c r="F3" s="555"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518" t="s">
        <v>261</v>
      </c>
      <c r="B4" s="207">
        <f>SUMIFS('Diags Raw Data'!$L$6:$L$5703,'Diags Raw Data'!$D$6:$D$5703,$A4)</f>
        <v>584</v>
      </c>
      <c r="C4" s="200">
        <f>SUMIFS('Diags Raw Data'!$R$6:$R$5703,'Diags Raw Data'!$D$6:$D$5703,$A4)</f>
        <v>581</v>
      </c>
      <c r="D4" s="200">
        <f>SUMIFS('Diags Raw Data'!$K$6:$K$5703,'Diags Raw Data'!$D$6:$D$5703,$A4)</f>
        <v>337</v>
      </c>
      <c r="E4" s="200">
        <f>SUMIFS('Diags Raw Data'!$O$6:$O$5703,'Diags Raw Data'!$D$6:$D$5703,$A4)</f>
        <v>331.5</v>
      </c>
      <c r="F4" s="204">
        <f>IF(NOT($B4=0), E4/$B4, "---")</f>
        <v>0.56763698630136983</v>
      </c>
      <c r="G4" s="521">
        <f>SUMIFS('Diags Raw Data'!$S$6:$S$5703,'Diags Raw Data'!$D$6:$D$5703,$A4)</f>
        <v>581</v>
      </c>
      <c r="H4" s="509">
        <f>SUMIFS('Diags Raw Data'!$T$6:$T$5703,'Diags Raw Data'!$D$6:$D$5703,$A4)</f>
        <v>526</v>
      </c>
      <c r="I4" s="510">
        <f>SUMIFS('Diags Raw Data'!$U$6:$U$5703,'Diags Raw Data'!$D$6:$D$5703,$A4)</f>
        <v>55</v>
      </c>
      <c r="J4" s="509">
        <f>SUMIFS('Diags Raw Data'!$V$6:$V$5703,'Diags Raw Data'!$D$6:$D$5703,$A4)</f>
        <v>0</v>
      </c>
      <c r="K4" s="510">
        <f>SUMIFS('Diags Raw Data'!$W$6:$W$5703,'Diags Raw Data'!$D$6:$D$5703,$A4)</f>
        <v>0</v>
      </c>
      <c r="L4" s="511">
        <f>IF(NOT($C4=0), G4/$C4, "---")</f>
        <v>1</v>
      </c>
      <c r="M4" s="512">
        <f>IF(NOT($G4=0), (H4+I4)/$G4, "---")</f>
        <v>1</v>
      </c>
      <c r="N4" s="522">
        <f>IF(NOT($C4=0), (H4+I4)/$C4, "---")</f>
        <v>1</v>
      </c>
      <c r="O4" s="520">
        <f>SUMIFS('Diags Raw Data'!$Z$6:$Z$5703,'Diags Raw Data'!$D$6:$D$5703,$A4)</f>
        <v>0</v>
      </c>
      <c r="P4" s="513">
        <f>SUMIFS('Diags Raw Data'!$AA$6:$AA$5703,'Diags Raw Data'!$D$6:$D$5703,$A4)</f>
        <v>0</v>
      </c>
      <c r="Q4" s="514">
        <f>SUMIFS('Diags Raw Data'!$AB$6:$AB$5703,'Diags Raw Data'!$D$6:$D$5703,$A4)</f>
        <v>0</v>
      </c>
      <c r="R4" s="513">
        <f>SUMIFS('Diags Raw Data'!$AC$6:$AC$5703,'Diags Raw Data'!$D$6:$D$5703,$A4)</f>
        <v>0</v>
      </c>
      <c r="S4" s="514">
        <f>SUMIFS('Diags Raw Data'!$AD$6:$AD$5703,'Diags Raw Data'!$D$6:$D$5703,$A4)</f>
        <v>0</v>
      </c>
      <c r="T4" s="515">
        <f>IF(NOT($B4=0), O4/$B4, "---")</f>
        <v>0</v>
      </c>
      <c r="U4" s="516" t="str">
        <f>IF(NOT($O4=0), (P4+Q4)/$O4, "---")</f>
        <v>---</v>
      </c>
      <c r="V4" s="517">
        <f>IF(NOT($B4=0), (P4+Q4)/$B4, "---")</f>
        <v>0</v>
      </c>
    </row>
    <row r="5" spans="1:22" x14ac:dyDescent="0.25">
      <c r="A5" s="519" t="s">
        <v>431</v>
      </c>
      <c r="B5" s="208">
        <f>SUMIFS('Diags Raw Data'!$L$6:$L$5703,'Diags Raw Data'!$D$6:$D$5703,$A5)</f>
        <v>446</v>
      </c>
      <c r="C5" s="201">
        <f>SUMIFS('Diags Raw Data'!$R$6:$R$5703,'Diags Raw Data'!$D$6:$D$5703,$A5)</f>
        <v>446</v>
      </c>
      <c r="D5" s="201">
        <f>SUMIFS('Diags Raw Data'!$K$6:$K$5703,'Diags Raw Data'!$D$6:$D$5703,$A5)</f>
        <v>219</v>
      </c>
      <c r="E5" s="201">
        <f>SUMIFS('Diags Raw Data'!$O$6:$O$5703,'Diags Raw Data'!$D$6:$D$5703,$A5)</f>
        <v>249</v>
      </c>
      <c r="F5" s="205">
        <f>IF(NOT($B5=0), E5/$B5, "---")</f>
        <v>0.55829596412556048</v>
      </c>
      <c r="G5" s="197">
        <f>SUMIFS('Diags Raw Data'!$S$6:$S$5703,'Diags Raw Data'!$D$6:$D$5703,$A5)</f>
        <v>445</v>
      </c>
      <c r="H5" s="193">
        <f>SUMIFS('Diags Raw Data'!$T$6:$T$5703,'Diags Raw Data'!$D$6:$D$5703,$A5)</f>
        <v>419</v>
      </c>
      <c r="I5" s="194">
        <f>SUMIFS('Diags Raw Data'!$U$6:$U$5703,'Diags Raw Data'!$D$6:$D$5703,$A5)</f>
        <v>26</v>
      </c>
      <c r="J5" s="193">
        <f>SUMIFS('Diags Raw Data'!$V$6:$V$5703,'Diags Raw Data'!$D$6:$D$5703,$A5)</f>
        <v>0</v>
      </c>
      <c r="K5" s="194">
        <f>SUMIFS('Diags Raw Data'!$W$6:$W$5703,'Diags Raw Data'!$D$6:$D$5703,$A5)</f>
        <v>0</v>
      </c>
      <c r="L5" s="202">
        <f>IF(NOT($C5=0), G5/$C5, "---")</f>
        <v>0.99775784753363228</v>
      </c>
      <c r="M5" s="195">
        <f>IF(NOT($G5=0), (H5+I5)/$G5, "---")</f>
        <v>1</v>
      </c>
      <c r="N5" s="199">
        <f>IF(NOT($C5=0), (H5+I5)/$C5, "---")</f>
        <v>0.99775784753363228</v>
      </c>
      <c r="O5" s="188">
        <f>SUMIFS('Diags Raw Data'!$Z$6:$Z$5703,'Diags Raw Data'!$D$6:$D$5703,$A5)</f>
        <v>0</v>
      </c>
      <c r="P5" s="185">
        <f>SUMIFS('Diags Raw Data'!$AA$6:$AA$5703,'Diags Raw Data'!$D$6:$D$5703,$A5)</f>
        <v>0</v>
      </c>
      <c r="Q5" s="187">
        <f>SUMIFS('Diags Raw Data'!$AB$6:$AB$5703,'Diags Raw Data'!$D$6:$D$5703,$A5)</f>
        <v>0</v>
      </c>
      <c r="R5" s="185">
        <f>SUMIFS('Diags Raw Data'!$AC$6:$AC$5703,'Diags Raw Data'!$D$6:$D$5703,$A5)</f>
        <v>0</v>
      </c>
      <c r="S5" s="187">
        <f>SUMIFS('Diags Raw Data'!$AD$6:$AD$5703,'Diags Raw Data'!$D$6:$D$5703,$A5)</f>
        <v>0</v>
      </c>
      <c r="T5" s="186">
        <f>IF(NOT($B5=0), O5/$B5, "---")</f>
        <v>0</v>
      </c>
      <c r="U5" s="196" t="str">
        <f>IF(NOT($O5=0), (P5+Q5)/$O5, "---")</f>
        <v>---</v>
      </c>
      <c r="V5" s="198">
        <f>IF(NOT($B5=0), (P5+Q5)/$B5, "---")</f>
        <v>0</v>
      </c>
    </row>
    <row r="6" spans="1:22" ht="15.75" thickBot="1" x14ac:dyDescent="0.3">
      <c r="A6" s="523" t="s">
        <v>1856</v>
      </c>
      <c r="B6" s="524">
        <f>SUMIFS('Diags Raw Data'!$L$6:$L$5703,'Diags Raw Data'!$D$6:$D$5703,$A6)</f>
        <v>130</v>
      </c>
      <c r="C6" s="525">
        <f>SUMIFS('Diags Raw Data'!$R$6:$R$5703,'Diags Raw Data'!$D$6:$D$5703,$A6)</f>
        <v>130</v>
      </c>
      <c r="D6" s="525">
        <f>SUMIFS('Diags Raw Data'!$K$6:$K$5703,'Diags Raw Data'!$D$6:$D$5703,$A6)</f>
        <v>81</v>
      </c>
      <c r="E6" s="525">
        <f>SUMIFS('Diags Raw Data'!$O$6:$O$5703,'Diags Raw Data'!$D$6:$D$5703,$A6)</f>
        <v>82.5</v>
      </c>
      <c r="F6" s="526">
        <f>IF(NOT($B6=0), E6/$B6, "---")</f>
        <v>0.63461538461538458</v>
      </c>
      <c r="G6" s="527">
        <f>SUMIFS('Diags Raw Data'!$S$6:$S$5703,'Diags Raw Data'!$D$6:$D$5703,$A6)</f>
        <v>130</v>
      </c>
      <c r="H6" s="528">
        <f>SUMIFS('Diags Raw Data'!$T$6:$T$5703,'Diags Raw Data'!$D$6:$D$5703,$A6)</f>
        <v>130</v>
      </c>
      <c r="I6" s="529">
        <f>SUMIFS('Diags Raw Data'!$U$6:$U$5703,'Diags Raw Data'!$D$6:$D$5703,$A6)</f>
        <v>0</v>
      </c>
      <c r="J6" s="528">
        <f>SUMIFS('Diags Raw Data'!$V$6:$V$5703,'Diags Raw Data'!$D$6:$D$5703,$A6)</f>
        <v>0</v>
      </c>
      <c r="K6" s="529">
        <f>SUMIFS('Diags Raw Data'!$W$6:$W$5703,'Diags Raw Data'!$D$6:$D$5703,$A6)</f>
        <v>0</v>
      </c>
      <c r="L6" s="530">
        <f>IF(NOT($C6=0), G6/$C6, "---")</f>
        <v>1</v>
      </c>
      <c r="M6" s="531">
        <f>IF(NOT($G6=0), (H6+I6)/$G6, "---")</f>
        <v>1</v>
      </c>
      <c r="N6" s="532">
        <f>IF(NOT($C6=0), (H6+I6)/$C6, "---")</f>
        <v>1</v>
      </c>
      <c r="O6" s="533">
        <f>SUMIFS('Diags Raw Data'!$Z$6:$Z$5703,'Diags Raw Data'!$D$6:$D$5703,$A6)</f>
        <v>0</v>
      </c>
      <c r="P6" s="534">
        <f>SUMIFS('Diags Raw Data'!$AA$6:$AA$5703,'Diags Raw Data'!$D$6:$D$5703,$A6)</f>
        <v>0</v>
      </c>
      <c r="Q6" s="535">
        <f>SUMIFS('Diags Raw Data'!$AB$6:$AB$5703,'Diags Raw Data'!$D$6:$D$5703,$A6)</f>
        <v>0</v>
      </c>
      <c r="R6" s="534">
        <f>SUMIFS('Diags Raw Data'!$AC$6:$AC$5703,'Diags Raw Data'!$D$6:$D$5703,$A6)</f>
        <v>0</v>
      </c>
      <c r="S6" s="535">
        <f>SUMIFS('Diags Raw Data'!$AD$6:$AD$5703,'Diags Raw Data'!$D$6:$D$5703,$A6)</f>
        <v>0</v>
      </c>
      <c r="T6" s="536">
        <f>IF(NOT($B6=0), O6/$B6, "---")</f>
        <v>0</v>
      </c>
      <c r="U6" s="537" t="str">
        <f>IF(NOT($O6=0), (P6+Q6)/$O6, "---")</f>
        <v>---</v>
      </c>
      <c r="V6" s="538">
        <f>IF(NOT($B6=0), (P6+Q6)/$B6, "---")</f>
        <v>0</v>
      </c>
    </row>
    <row r="7" spans="1:22" ht="16.5" thickBot="1" x14ac:dyDescent="0.3">
      <c r="A7" s="212" t="s">
        <v>2283</v>
      </c>
      <c r="B7" s="539">
        <f>SUM(B4:B6)</f>
        <v>1160</v>
      </c>
      <c r="C7" s="540">
        <f t="shared" ref="C7:E7" si="0">SUM(C4:C6)</f>
        <v>1157</v>
      </c>
      <c r="D7" s="540">
        <f t="shared" si="0"/>
        <v>637</v>
      </c>
      <c r="E7" s="540">
        <f t="shared" si="0"/>
        <v>663</v>
      </c>
      <c r="F7" s="541" cm="1">
        <f t="array" ref="F7">SUMPRODUCT(--(ISNUMBER(SEARCH("New",'Diags Raw Data'!$M$6:$M$5703))),'Diags Raw Data'!$K$6:$K$5703,'Diags Raw Data'!$P$6:$P$5703)/D7+SUMPRODUCT(--(ISNUMBER(SEARCH("Delta",'Diags Raw Data'!$M$6:$M$5703))),'Diags Raw Data'!$K$6:$K$5703,'Diags Raw Data'!$P$6:$P$5703)/D7+SUMPRODUCT(--(ISNUMBER(SEARCH("Legacy",'Diags Raw Data'!$M$6:$M$5703))),'Diags Raw Data'!$K$6:$K$5703,'Diags Raw Data'!$P$6:$P$5703)/D7</f>
        <v>0.88147566718995285</v>
      </c>
      <c r="G7" s="542">
        <f>SUM(G4:G6)</f>
        <v>1156</v>
      </c>
      <c r="H7" s="543">
        <f t="shared" ref="H7:K7" si="1">SUM(H4:H6)</f>
        <v>1075</v>
      </c>
      <c r="I7" s="543">
        <f t="shared" si="1"/>
        <v>81</v>
      </c>
      <c r="J7" s="543">
        <f t="shared" si="1"/>
        <v>0</v>
      </c>
      <c r="K7" s="543">
        <f t="shared" si="1"/>
        <v>0</v>
      </c>
      <c r="L7" s="544">
        <f>IF(NOT($C7=0), G7/$C7, "---")</f>
        <v>0.99913569576490924</v>
      </c>
      <c r="M7" s="545">
        <f>IF(NOT($G7=0), (H7+I7)/$G7, "---")</f>
        <v>1</v>
      </c>
      <c r="N7" s="546">
        <f>IF(NOT($C7=0), (H7+I7)/$C7, "---")</f>
        <v>0.99913569576490924</v>
      </c>
      <c r="O7" s="547">
        <f>SUM(O4:O6)</f>
        <v>0</v>
      </c>
      <c r="P7" s="548">
        <f t="shared" ref="P7:S7" si="2">SUM(P4:P6)</f>
        <v>0</v>
      </c>
      <c r="Q7" s="548">
        <f t="shared" si="2"/>
        <v>0</v>
      </c>
      <c r="R7" s="548">
        <f t="shared" si="2"/>
        <v>0</v>
      </c>
      <c r="S7" s="548">
        <f t="shared" si="2"/>
        <v>0</v>
      </c>
      <c r="T7" s="549">
        <f>IF(NOT($B7=0), O7/$B7, "---")</f>
        <v>0</v>
      </c>
      <c r="U7" s="550" t="str">
        <f>IF(NOT($O7=0), (P7+Q7)/$O7, "---")</f>
        <v>---</v>
      </c>
      <c r="V7" s="551">
        <f>IF(NOT($B7=0), (P7+Q7)/$B7, "---")</f>
        <v>0</v>
      </c>
    </row>
    <row r="8" spans="1:22" ht="15.75" thickBot="1" x14ac:dyDescent="0.3"/>
    <row r="9" spans="1:22" ht="15.75" thickBot="1" x14ac:dyDescent="0.3">
      <c r="A9" s="189" t="s">
        <v>2284</v>
      </c>
      <c r="B9" s="710" t="s">
        <v>166</v>
      </c>
      <c r="C9" s="710"/>
      <c r="D9" s="710"/>
      <c r="E9" s="710"/>
      <c r="F9" s="710"/>
      <c r="G9" s="711" t="s">
        <v>177</v>
      </c>
      <c r="H9" s="712"/>
      <c r="I9" s="712"/>
      <c r="J9" s="712"/>
      <c r="K9" s="712"/>
      <c r="L9" s="712"/>
      <c r="M9" s="712"/>
      <c r="N9" s="713"/>
      <c r="O9" s="714" t="s">
        <v>144</v>
      </c>
      <c r="P9" s="715"/>
      <c r="Q9" s="715"/>
      <c r="R9" s="715"/>
      <c r="S9" s="715"/>
      <c r="T9" s="715"/>
      <c r="U9" s="715"/>
      <c r="V9" s="716"/>
    </row>
    <row r="10" spans="1:22" s="206" customFormat="1" ht="30.75" thickBot="1" x14ac:dyDescent="0.3">
      <c r="A10" s="502" t="s">
        <v>88</v>
      </c>
      <c r="B10" s="251" t="s">
        <v>167</v>
      </c>
      <c r="C10" s="252" t="s">
        <v>128</v>
      </c>
      <c r="D10" s="253" t="s">
        <v>105</v>
      </c>
      <c r="E10" s="253" t="s">
        <v>173</v>
      </c>
      <c r="F10" s="254" t="s">
        <v>175</v>
      </c>
      <c r="G10" s="503" t="s">
        <v>132</v>
      </c>
      <c r="H10" s="504" t="s">
        <v>30</v>
      </c>
      <c r="I10" s="504" t="s">
        <v>135</v>
      </c>
      <c r="J10" s="504" t="s">
        <v>35</v>
      </c>
      <c r="K10" s="504" t="s">
        <v>138</v>
      </c>
      <c r="L10" s="504" t="s">
        <v>184</v>
      </c>
      <c r="M10" s="504" t="s">
        <v>140</v>
      </c>
      <c r="N10" s="505" t="s">
        <v>187</v>
      </c>
      <c r="O10" s="506" t="s">
        <v>132</v>
      </c>
      <c r="P10" s="507" t="s">
        <v>30</v>
      </c>
      <c r="Q10" s="507" t="s">
        <v>135</v>
      </c>
      <c r="R10" s="507" t="s">
        <v>35</v>
      </c>
      <c r="S10" s="507" t="s">
        <v>138</v>
      </c>
      <c r="T10" s="507" t="s">
        <v>184</v>
      </c>
      <c r="U10" s="507" t="s">
        <v>140</v>
      </c>
      <c r="V10" s="508" t="s">
        <v>187</v>
      </c>
    </row>
    <row r="11" spans="1:22" x14ac:dyDescent="0.25">
      <c r="A11" s="518" t="s">
        <v>261</v>
      </c>
      <c r="B11" s="207">
        <f>SUMIFS('Diags Raw Data'!$L$6:$L$5703,'Diags Raw Data'!$D$6:$D$5703,$A11,'Diags Raw Data'!$M$6:$M$5703,"New")+SUMIFS('Diags Raw Data'!$L$6:$L$5703,'Diags Raw Data'!$D$6:$D$5703,$A11,'Diags Raw Data'!$M$6:$M$5703,"Delta")</f>
        <v>17</v>
      </c>
      <c r="C11" s="200">
        <f>SUMIFS('Diags Raw Data'!$R$6:$R$5703,'Diags Raw Data'!$D$6:$D$5703,$A11,'Diags Raw Data'!$M$6:$M$5703,"New")+SUMIFS('Diags Raw Data'!$R$6:$R$5703,'Diags Raw Data'!$D$6:$D$5703,$A11,'Diags Raw Data'!$M$6:$M$5703,"Delta")</f>
        <v>17</v>
      </c>
      <c r="D11" s="200">
        <f>SUMIFS('Diags Raw Data'!$K$6:$K$5703,'Diags Raw Data'!$D$6:$D$5703,$A11,'Diags Raw Data'!$M$6:$M$5703,"New")+SUMIFS('Diags Raw Data'!$K$6:$K$5703,'Diags Raw Data'!$D$6:$D$5703,$A11,'Diags Raw Data'!$M$6:$M$5703,"Delta")</f>
        <v>17</v>
      </c>
      <c r="E11" s="200">
        <f>SUMIFS('Diags Raw Data'!$O$6:$O$5703,'Diags Raw Data'!$D$6:$D$5703,$A11,'Diags Raw Data'!$M$6:$M$5703,"New")+SUMIFS('Diags Raw Data'!$O$6:$O$5703,'Diags Raw Data'!$D$6:$D$5703,$A11,'Diags Raw Data'!$M$6:$M$5703,"Delta")</f>
        <v>17</v>
      </c>
      <c r="F11" s="204">
        <f t="shared" ref="F11" si="3">IF(NOT($B11=0), E11/$B11, "---")</f>
        <v>1</v>
      </c>
      <c r="G11" s="521">
        <f>SUMIFS('Diags Raw Data'!$S$6:$S$5703,'Diags Raw Data'!$D$6:$D$5703,$A11,'Diags Raw Data'!$M$6:$M$5703,"New")+SUMIFS('Diags Raw Data'!$S$6:$S$5703,'Diags Raw Data'!$D$6:$D$5703,$A11,'Diags Raw Data'!$M$6:$M$5703,"Delta")</f>
        <v>17</v>
      </c>
      <c r="H11" s="509">
        <f>SUMIFS('Diags Raw Data'!$T$6:$T$5703,'Diags Raw Data'!$D$6:$D$5703,$A11,'Diags Raw Data'!$M$6:$M$5703,"New")+SUMIFS('Diags Raw Data'!$T$6:$T$5703,'Diags Raw Data'!$D$6:$D$5703,$A11,'Diags Raw Data'!$M$6:$M$5703,"Delta")</f>
        <v>13</v>
      </c>
      <c r="I11" s="509">
        <f>SUMIFS('Diags Raw Data'!$U$6:$U$5703,'Diags Raw Data'!$D$6:$D$5703,$A11,'Diags Raw Data'!$M$6:$M$5703,"New")+SUMIFS('Diags Raw Data'!$U$6:$U$5703,'Diags Raw Data'!$D$6:$D$5703,$A11,'Diags Raw Data'!$M$6:$M$5703,"Delta")</f>
        <v>4</v>
      </c>
      <c r="J11" s="509">
        <f>SUMIFS('Diags Raw Data'!$V$6:$V$5703,'Diags Raw Data'!$D$6:$D$5703,$A11,'Diags Raw Data'!$M$6:$M$5703,"New")+SUMIFS('Diags Raw Data'!$V$6:$V$5703,'Diags Raw Data'!$D$6:$D$5703,$A11,'Diags Raw Data'!$M$6:$M$5703,"Delta")</f>
        <v>0</v>
      </c>
      <c r="K11" s="509">
        <f>SUMIFS('Diags Raw Data'!$W$6:$W$5703,'Diags Raw Data'!$D$6:$D$5703,$A11,'Diags Raw Data'!$M$6:$M$5703,"New")+SUMIFS('Diags Raw Data'!$W$6:$W$5703,'Diags Raw Data'!$D$6:$D$5703,$A11,'Diags Raw Data'!$M$6:$M$5703,"Delta")</f>
        <v>0</v>
      </c>
      <c r="L11" s="511">
        <f>IF(NOT($C11=0), G11/$C11, "---")</f>
        <v>1</v>
      </c>
      <c r="M11" s="512">
        <f>IF(NOT($G11=0), (H11+I11)/$G11, "---")</f>
        <v>1</v>
      </c>
      <c r="N11" s="522">
        <f>IF(NOT($C11=0), (H11+I11)/$C11, "---")</f>
        <v>1</v>
      </c>
      <c r="O11" s="520">
        <f>SUMIFS('Diags Raw Data'!$Z$6:$Z$5703,'Diags Raw Data'!$D$6:$D$5703,$A11,'Diags Raw Data'!$M$6:$M$5703,"New")+SUMIFS('Diags Raw Data'!$Z$6:$Z$5703,'Diags Raw Data'!$D$6:$D$5703,$A11,'Diags Raw Data'!$M$6:$M$5703,"Delta")</f>
        <v>0</v>
      </c>
      <c r="P11" s="513">
        <f>SUMIFS('Diags Raw Data'!$AA$6:$AA$5703,'Diags Raw Data'!$D$6:$D$5703,$A11,'Diags Raw Data'!$M$6:$M$5703,"New")+SUMIFS('Diags Raw Data'!$AA$6:$AA$5703,'Diags Raw Data'!$D$6:$D$5703,$A11,'Diags Raw Data'!$M$6:$M$5703,"Delta")</f>
        <v>0</v>
      </c>
      <c r="Q11" s="513">
        <f>SUMIFS('Diags Raw Data'!$AB$6:$AB$5703,'Diags Raw Data'!$D$6:$D$5703,$A11,'Diags Raw Data'!$M$6:$M$5703,"New")+SUMIFS('Diags Raw Data'!$AB$6:$AB$5703,'Diags Raw Data'!$D$6:$D$5703,$A11,'Diags Raw Data'!$M$6:$M$5703,"Delta")</f>
        <v>0</v>
      </c>
      <c r="R11" s="513">
        <f>SUMIFS('Diags Raw Data'!$AC$6:$AC$5703,'Diags Raw Data'!$D$6:$D$5703,$A11,'Diags Raw Data'!$M$6:$M$5703,"New")+SUMIFS('Diags Raw Data'!$AC$6:$AC$5703,'Diags Raw Data'!$D$6:$D$5703,$A11,'Diags Raw Data'!$M$6:$M$5703,"Delta")</f>
        <v>0</v>
      </c>
      <c r="S11" s="513">
        <f>SUMIFS('Diags Raw Data'!$AD$6:$AD$5703,'Diags Raw Data'!$D$6:$D$5703,$A11,'Diags Raw Data'!$M$6:$M$5703,"New")+SUMIFS('Diags Raw Data'!$AD$6:$AD$5703,'Diags Raw Data'!$D$6:$D$5703,$A11,'Diags Raw Data'!$M$6:$M$5703,"Delta")</f>
        <v>0</v>
      </c>
      <c r="T11" s="515">
        <f>IF(NOT($B11=0), O11/$B11, "---")</f>
        <v>0</v>
      </c>
      <c r="U11" s="516" t="str">
        <f>IF(NOT($O11=0), (P11+Q11)/$O11, "---")</f>
        <v>---</v>
      </c>
      <c r="V11" s="517">
        <f>IF(NOT($B11=0), (P11+Q11)/$B11, "---")</f>
        <v>0</v>
      </c>
    </row>
    <row r="12" spans="1:22" x14ac:dyDescent="0.25">
      <c r="A12" s="519" t="s">
        <v>431</v>
      </c>
      <c r="B12" s="208">
        <f>SUMIFS('Diags Raw Data'!$L$6:$L$5703,'Diags Raw Data'!$D$6:$D$5703,$A12,'Diags Raw Data'!$M$6:$M$5703,"New")+SUMIFS('Diags Raw Data'!$L$6:$L$5703,'Diags Raw Data'!$D$6:$D$5703,$A12,'Diags Raw Data'!$M$6:$M$5703,"Delta")</f>
        <v>0</v>
      </c>
      <c r="C12" s="201">
        <f>SUMIFS('Diags Raw Data'!$R$6:$R$5703,'Diags Raw Data'!$D$6:$D$5703,$A12,'Diags Raw Data'!$M$6:$M$5703,"New")+SUMIFS('Diags Raw Data'!$R$6:$R$5703,'Diags Raw Data'!$D$6:$D$5703,$A12,'Diags Raw Data'!$M$6:$M$5703,"Delta")</f>
        <v>0</v>
      </c>
      <c r="D12" s="201">
        <f>SUMIFS('Diags Raw Data'!$K$6:$K$5703,'Diags Raw Data'!$D$6:$D$5703,$A12,'Diags Raw Data'!$M$6:$M$5703,"New")+SUMIFS('Diags Raw Data'!$K$6:$K$5703,'Diags Raw Data'!$D$6:$D$5703,$A12,'Diags Raw Data'!$M$6:$M$5703,"Delta")</f>
        <v>0</v>
      </c>
      <c r="E12" s="201">
        <f>SUMIFS('Diags Raw Data'!$O$6:$O$5703,'Diags Raw Data'!$D$6:$D$5703,$A12,'Diags Raw Data'!$M$6:$M$5703,"New")+SUMIFS('Diags Raw Data'!$O$6:$O$5703,'Diags Raw Data'!$D$6:$D$5703,$A12,'Diags Raw Data'!$M$6:$M$5703,"Delta")</f>
        <v>0</v>
      </c>
      <c r="F12" s="205" t="str">
        <f t="shared" ref="F12" si="4">IF(NOT($B12=0), E12/$B12, "---")</f>
        <v>---</v>
      </c>
      <c r="G12" s="197">
        <f>SUMIFS('Diags Raw Data'!$S$6:$S$5703,'Diags Raw Data'!$D$6:$D$5703,$A12,'Diags Raw Data'!$M$6:$M$5703,"New")+SUMIFS('Diags Raw Data'!$S$6:$S$5703,'Diags Raw Data'!$D$6:$D$5703,$A12,'Diags Raw Data'!$M$6:$M$5703,"Delta")</f>
        <v>0</v>
      </c>
      <c r="H12" s="193">
        <f>SUMIFS('Diags Raw Data'!$T$6:$T$5703,'Diags Raw Data'!$D$6:$D$5703,$A12,'Diags Raw Data'!$M$6:$M$5703,"New")+SUMIFS('Diags Raw Data'!$T$6:$T$5703,'Diags Raw Data'!$D$6:$D$5703,$A12,'Diags Raw Data'!$M$6:$M$5703,"Delta")</f>
        <v>0</v>
      </c>
      <c r="I12" s="193">
        <f>SUMIFS('Diags Raw Data'!$U$6:$U$5703,'Diags Raw Data'!$D$6:$D$5703,$A12,'Diags Raw Data'!$M$6:$M$5703,"New")+SUMIFS('Diags Raw Data'!$U$6:$U$5703,'Diags Raw Data'!$D$6:$D$5703,$A12,'Diags Raw Data'!$M$6:$M$5703,"Delta")</f>
        <v>0</v>
      </c>
      <c r="J12" s="193">
        <f>SUMIFS('Diags Raw Data'!$V$6:$V$5703,'Diags Raw Data'!$D$6:$D$5703,$A12,'Diags Raw Data'!$M$6:$M$5703,"New")+SUMIFS('Diags Raw Data'!$V$6:$V$5703,'Diags Raw Data'!$D$6:$D$5703,$A12,'Diags Raw Data'!$M$6:$M$5703,"Delta")</f>
        <v>0</v>
      </c>
      <c r="K12" s="193">
        <f>SUMIFS('Diags Raw Data'!$W$6:$W$5703,'Diags Raw Data'!$D$6:$D$5703,$A12,'Diags Raw Data'!$M$6:$M$5703,"New")+SUMIFS('Diags Raw Data'!$W$6:$W$5703,'Diags Raw Data'!$D$6:$D$5703,$A12,'Diags Raw Data'!$M$6:$M$5703,"Delta")</f>
        <v>0</v>
      </c>
      <c r="L12" s="202" t="str">
        <f>IF(NOT($C12=0), G12/$C12, "---")</f>
        <v>---</v>
      </c>
      <c r="M12" s="195" t="str">
        <f>IF(NOT($G12=0), (H12+I12)/$G12, "---")</f>
        <v>---</v>
      </c>
      <c r="N12" s="199" t="str">
        <f>IF(NOT($C12=0), (H12+I12)/$C12, "---")</f>
        <v>---</v>
      </c>
      <c r="O12" s="188">
        <f>SUMIFS('Diags Raw Data'!$Z$6:$Z$5703,'Diags Raw Data'!$D$6:$D$5703,$A12,'Diags Raw Data'!$M$6:$M$5703,"New")+SUMIFS('Diags Raw Data'!$Z$6:$Z$5703,'Diags Raw Data'!$D$6:$D$5703,$A12,'Diags Raw Data'!$M$6:$M$5703,"Delta")</f>
        <v>0</v>
      </c>
      <c r="P12" s="185">
        <f>SUMIFS('Diags Raw Data'!$AA$6:$AA$5703,'Diags Raw Data'!$D$6:$D$5703,$A12,'Diags Raw Data'!$M$6:$M$5703,"New")+SUMIFS('Diags Raw Data'!$AA$6:$AA$5703,'Diags Raw Data'!$D$6:$D$5703,$A12,'Diags Raw Data'!$M$6:$M$5703,"Delta")</f>
        <v>0</v>
      </c>
      <c r="Q12" s="185">
        <f>SUMIFS('Diags Raw Data'!$AB$6:$AB$5703,'Diags Raw Data'!$D$6:$D$5703,$A12,'Diags Raw Data'!$M$6:$M$5703,"New")+SUMIFS('Diags Raw Data'!$AB$6:$AB$5703,'Diags Raw Data'!$D$6:$D$5703,$A12,'Diags Raw Data'!$M$6:$M$5703,"Delta")</f>
        <v>0</v>
      </c>
      <c r="R12" s="185">
        <f>SUMIFS('Diags Raw Data'!$AC$6:$AC$5703,'Diags Raw Data'!$D$6:$D$5703,$A12,'Diags Raw Data'!$M$6:$M$5703,"New")+SUMIFS('Diags Raw Data'!$AC$6:$AC$5703,'Diags Raw Data'!$D$6:$D$5703,$A12,'Diags Raw Data'!$M$6:$M$5703,"Delta")</f>
        <v>0</v>
      </c>
      <c r="S12" s="185">
        <f>SUMIFS('Diags Raw Data'!$AD$6:$AD$5703,'Diags Raw Data'!$D$6:$D$5703,$A12,'Diags Raw Data'!$M$6:$M$5703,"New")+SUMIFS('Diags Raw Data'!$AD$6:$AD$5703,'Diags Raw Data'!$D$6:$D$5703,$A12,'Diags Raw Data'!$M$6:$M$5703,"Delta")</f>
        <v>0</v>
      </c>
      <c r="T12" s="186" t="str">
        <f>IF(NOT($B12=0), O12/$B12, "---")</f>
        <v>---</v>
      </c>
      <c r="U12" s="196" t="str">
        <f>IF(NOT($O12=0), (P12+Q12)/$O12, "---")</f>
        <v>---</v>
      </c>
      <c r="V12" s="198" t="str">
        <f>IF(NOT($B12=0), (P12+Q12)/$B12, "---")</f>
        <v>---</v>
      </c>
    </row>
    <row r="13" spans="1:22" ht="15.75" thickBot="1" x14ac:dyDescent="0.3">
      <c r="A13" s="523" t="s">
        <v>1856</v>
      </c>
      <c r="B13" s="524">
        <f>SUMIFS('Diags Raw Data'!$L$6:$L$5703,'Diags Raw Data'!$D$6:$D$5703,$A13,'Diags Raw Data'!$M$6:$M$5703,"New")+SUMIFS('Diags Raw Data'!$L$6:$L$5703,'Diags Raw Data'!$D$6:$D$5703,$A13,'Diags Raw Data'!$M$6:$M$5703,"Delta")</f>
        <v>0</v>
      </c>
      <c r="C13" s="525">
        <f>SUMIFS('Diags Raw Data'!$R$6:$R$5703,'Diags Raw Data'!$D$6:$D$5703,$A13,'Diags Raw Data'!$M$6:$M$5703,"New")+SUMIFS('Diags Raw Data'!$R$6:$R$5703,'Diags Raw Data'!$D$6:$D$5703,$A13,'Diags Raw Data'!$M$6:$M$5703,"Delta")</f>
        <v>0</v>
      </c>
      <c r="D13" s="525">
        <f>SUMIFS('Diags Raw Data'!$K$6:$K$5703,'Diags Raw Data'!$D$6:$D$5703,$A13,'Diags Raw Data'!$M$6:$M$5703,"New")+SUMIFS('Diags Raw Data'!$K$6:$K$5703,'Diags Raw Data'!$D$6:$D$5703,$A13,'Diags Raw Data'!$M$6:$M$5703,"Delta")</f>
        <v>0</v>
      </c>
      <c r="E13" s="525">
        <f>SUMIFS('Diags Raw Data'!$O$6:$O$5703,'Diags Raw Data'!$D$6:$D$5703,$A13,'Diags Raw Data'!$M$6:$M$5703,"New")+SUMIFS('Diags Raw Data'!$O$6:$O$5703,'Diags Raw Data'!$D$6:$D$5703,$A13,'Diags Raw Data'!$M$6:$M$5703,"Delta")</f>
        <v>0</v>
      </c>
      <c r="F13" s="526" t="str">
        <f t="shared" ref="F13" si="5">IF(NOT($B13=0), E13/$B13, "---")</f>
        <v>---</v>
      </c>
      <c r="G13" s="527">
        <f>SUMIFS('Diags Raw Data'!$S$6:$S$5703,'Diags Raw Data'!$D$6:$D$5703,$A13,'Diags Raw Data'!$M$6:$M$5703,"New")+SUMIFS('Diags Raw Data'!$S$6:$S$5703,'Diags Raw Data'!$D$6:$D$5703,$A13,'Diags Raw Data'!$M$6:$M$5703,"Delta")</f>
        <v>0</v>
      </c>
      <c r="H13" s="528">
        <f>SUMIFS('Diags Raw Data'!$T$6:$T$5703,'Diags Raw Data'!$D$6:$D$5703,$A13,'Diags Raw Data'!$M$6:$M$5703,"New")+SUMIFS('Diags Raw Data'!$T$6:$T$5703,'Diags Raw Data'!$D$6:$D$5703,$A13,'Diags Raw Data'!$M$6:$M$5703,"Delta")</f>
        <v>0</v>
      </c>
      <c r="I13" s="528">
        <f>SUMIFS('Diags Raw Data'!$U$6:$U$5703,'Diags Raw Data'!$D$6:$D$5703,$A13,'Diags Raw Data'!$M$6:$M$5703,"New")+SUMIFS('Diags Raw Data'!$U$6:$U$5703,'Diags Raw Data'!$D$6:$D$5703,$A13,'Diags Raw Data'!$M$6:$M$5703,"Delta")</f>
        <v>0</v>
      </c>
      <c r="J13" s="528">
        <f>SUMIFS('Diags Raw Data'!$V$6:$V$5703,'Diags Raw Data'!$D$6:$D$5703,$A13,'Diags Raw Data'!$M$6:$M$5703,"New")+SUMIFS('Diags Raw Data'!$V$6:$V$5703,'Diags Raw Data'!$D$6:$D$5703,$A13,'Diags Raw Data'!$M$6:$M$5703,"Delta")</f>
        <v>0</v>
      </c>
      <c r="K13" s="528">
        <f>SUMIFS('Diags Raw Data'!$W$6:$W$5703,'Diags Raw Data'!$D$6:$D$5703,$A13,'Diags Raw Data'!$M$6:$M$5703,"New")+SUMIFS('Diags Raw Data'!$W$6:$W$5703,'Diags Raw Data'!$D$6:$D$5703,$A13,'Diags Raw Data'!$M$6:$M$5703,"Delta")</f>
        <v>0</v>
      </c>
      <c r="L13" s="530" t="str">
        <f>IF(NOT($C13=0), G13/$C13, "---")</f>
        <v>---</v>
      </c>
      <c r="M13" s="531" t="str">
        <f>IF(NOT($G13=0), (H13+I13)/$G13, "---")</f>
        <v>---</v>
      </c>
      <c r="N13" s="532" t="str">
        <f>IF(NOT($C13=0), (H13+I13)/$C13, "---")</f>
        <v>---</v>
      </c>
      <c r="O13" s="533">
        <f>SUMIFS('Diags Raw Data'!$Z$6:$Z$5703,'Diags Raw Data'!$D$6:$D$5703,$A13,'Diags Raw Data'!$M$6:$M$5703,"New")+SUMIFS('Diags Raw Data'!$Z$6:$Z$5703,'Diags Raw Data'!$D$6:$D$5703,$A13,'Diags Raw Data'!$M$6:$M$5703,"Delta")</f>
        <v>0</v>
      </c>
      <c r="P13" s="534">
        <f>SUMIFS('Diags Raw Data'!$AA$6:$AA$5703,'Diags Raw Data'!$D$6:$D$5703,$A13,'Diags Raw Data'!$M$6:$M$5703,"New")+SUMIFS('Diags Raw Data'!$AA$6:$AA$5703,'Diags Raw Data'!$D$6:$D$5703,$A13,'Diags Raw Data'!$M$6:$M$5703,"Delta")</f>
        <v>0</v>
      </c>
      <c r="Q13" s="534">
        <f>SUMIFS('Diags Raw Data'!$AB$6:$AB$5703,'Diags Raw Data'!$D$6:$D$5703,$A13,'Diags Raw Data'!$M$6:$M$5703,"New")+SUMIFS('Diags Raw Data'!$AB$6:$AB$5703,'Diags Raw Data'!$D$6:$D$5703,$A13,'Diags Raw Data'!$M$6:$M$5703,"Delta")</f>
        <v>0</v>
      </c>
      <c r="R13" s="534">
        <f>SUMIFS('Diags Raw Data'!$AC$6:$AC$5703,'Diags Raw Data'!$D$6:$D$5703,$A13,'Diags Raw Data'!$M$6:$M$5703,"New")+SUMIFS('Diags Raw Data'!$AC$6:$AC$5703,'Diags Raw Data'!$D$6:$D$5703,$A13,'Diags Raw Data'!$M$6:$M$5703,"Delta")</f>
        <v>0</v>
      </c>
      <c r="S13" s="534">
        <f>SUMIFS('Diags Raw Data'!$AD$6:$AD$5703,'Diags Raw Data'!$D$6:$D$5703,$A13,'Diags Raw Data'!$M$6:$M$5703,"New")+SUMIFS('Diags Raw Data'!$AD$6:$AD$5703,'Diags Raw Data'!$D$6:$D$5703,$A13,'Diags Raw Data'!$M$6:$M$5703,"Delta")</f>
        <v>0</v>
      </c>
      <c r="T13" s="536" t="str">
        <f>IF(NOT($B13=0), O13/$B13, "---")</f>
        <v>---</v>
      </c>
      <c r="U13" s="537" t="str">
        <f>IF(NOT($O13=0), (P13+Q13)/$O13, "---")</f>
        <v>---</v>
      </c>
      <c r="V13" s="538" t="str">
        <f>IF(NOT($B13=0), (P13+Q13)/$B13, "---")</f>
        <v>---</v>
      </c>
    </row>
    <row r="14" spans="1:22" ht="16.5" thickBot="1" x14ac:dyDescent="0.3">
      <c r="A14" s="210" t="s">
        <v>2285</v>
      </c>
      <c r="B14" s="539">
        <f>SUM(B11:B13)</f>
        <v>17</v>
      </c>
      <c r="C14" s="540">
        <f t="shared" ref="C14:E14" si="6">SUM(C11:C13)</f>
        <v>17</v>
      </c>
      <c r="D14" s="540">
        <f t="shared" si="6"/>
        <v>17</v>
      </c>
      <c r="E14" s="540">
        <f t="shared" si="6"/>
        <v>17</v>
      </c>
      <c r="F14" s="541" cm="1">
        <f t="array" ref="F14">SUMPRODUCT(--(ISNUMBER(SEARCH("New",'Diags Raw Data'!$M$6:$M$5703))),'Diags Raw Data'!$K$6:$K$5703,'Diags Raw Data'!$P$6:$P$5703)/D14+SUMPRODUCT(--(ISNUMBER(SEARCH("Delta",'Diags Raw Data'!$M$6:$M$5703))),'Diags Raw Data'!$K$6:$K$5703,'Diags Raw Data'!$P$6:$P$5703)/D14</f>
        <v>1</v>
      </c>
      <c r="G14" s="542">
        <f>SUM(G11:G13)</f>
        <v>17</v>
      </c>
      <c r="H14" s="543">
        <f t="shared" ref="H14:K14" si="7">SUM(H11:H13)</f>
        <v>13</v>
      </c>
      <c r="I14" s="543">
        <f t="shared" si="7"/>
        <v>4</v>
      </c>
      <c r="J14" s="543">
        <f t="shared" si="7"/>
        <v>0</v>
      </c>
      <c r="K14" s="543">
        <f t="shared" si="7"/>
        <v>0</v>
      </c>
      <c r="L14" s="544">
        <f>IF(NOT($C14=0), G14/$C14, "---")</f>
        <v>1</v>
      </c>
      <c r="M14" s="545">
        <f t="shared" ref="M14" si="8">IF(NOT($G14=0), (H14+I14)/$G14, "---")</f>
        <v>1</v>
      </c>
      <c r="N14" s="546">
        <f>IF(NOT($C14=0), (H14+I14)/$C14, "---")</f>
        <v>1</v>
      </c>
      <c r="O14" s="547">
        <f>SUM(O11:O13)</f>
        <v>0</v>
      </c>
      <c r="P14" s="548">
        <f t="shared" ref="P14:S14" si="9">SUM(P11:P13)</f>
        <v>0</v>
      </c>
      <c r="Q14" s="548">
        <f t="shared" si="9"/>
        <v>0</v>
      </c>
      <c r="R14" s="548">
        <f t="shared" si="9"/>
        <v>0</v>
      </c>
      <c r="S14" s="548">
        <f t="shared" si="9"/>
        <v>0</v>
      </c>
      <c r="T14" s="549">
        <f>IF(NOT($B14=0), O14/$B14, "---")</f>
        <v>0</v>
      </c>
      <c r="U14" s="550" t="str">
        <f t="shared" ref="U14" si="10">IF(NOT($O14=0), (P14+Q14)/$O14, "---")</f>
        <v>---</v>
      </c>
      <c r="V14" s="551">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710" t="s">
        <v>166</v>
      </c>
      <c r="C16" s="710"/>
      <c r="D16" s="710"/>
      <c r="E16" s="710"/>
      <c r="F16" s="710"/>
      <c r="G16" s="711" t="s">
        <v>177</v>
      </c>
      <c r="H16" s="712"/>
      <c r="I16" s="712"/>
      <c r="J16" s="712"/>
      <c r="K16" s="712"/>
      <c r="L16" s="712"/>
      <c r="M16" s="712"/>
      <c r="N16" s="713"/>
      <c r="O16" s="714" t="s">
        <v>144</v>
      </c>
      <c r="P16" s="715"/>
      <c r="Q16" s="715"/>
      <c r="R16" s="715"/>
      <c r="S16" s="715"/>
      <c r="T16" s="715"/>
      <c r="U16" s="715"/>
      <c r="V16" s="716"/>
    </row>
    <row r="17" spans="1:22" s="206" customFormat="1" ht="30.75" thickBot="1" x14ac:dyDescent="0.3">
      <c r="A17" s="502" t="s">
        <v>88</v>
      </c>
      <c r="B17" s="251" t="s">
        <v>167</v>
      </c>
      <c r="C17" s="252" t="s">
        <v>128</v>
      </c>
      <c r="D17" s="253" t="s">
        <v>105</v>
      </c>
      <c r="E17" s="253" t="s">
        <v>173</v>
      </c>
      <c r="F17" s="254" t="s">
        <v>175</v>
      </c>
      <c r="G17" s="503" t="s">
        <v>132</v>
      </c>
      <c r="H17" s="504" t="s">
        <v>30</v>
      </c>
      <c r="I17" s="504" t="s">
        <v>135</v>
      </c>
      <c r="J17" s="504" t="s">
        <v>35</v>
      </c>
      <c r="K17" s="504" t="s">
        <v>138</v>
      </c>
      <c r="L17" s="504" t="s">
        <v>184</v>
      </c>
      <c r="M17" s="504" t="s">
        <v>140</v>
      </c>
      <c r="N17" s="505" t="s">
        <v>187</v>
      </c>
      <c r="O17" s="506" t="s">
        <v>132</v>
      </c>
      <c r="P17" s="507" t="s">
        <v>30</v>
      </c>
      <c r="Q17" s="507" t="s">
        <v>135</v>
      </c>
      <c r="R17" s="507" t="s">
        <v>35</v>
      </c>
      <c r="S17" s="507" t="s">
        <v>138</v>
      </c>
      <c r="T17" s="507" t="s">
        <v>184</v>
      </c>
      <c r="U17" s="507" t="s">
        <v>140</v>
      </c>
      <c r="V17" s="508" t="s">
        <v>187</v>
      </c>
    </row>
    <row r="18" spans="1:22" x14ac:dyDescent="0.25">
      <c r="A18" s="518" t="s">
        <v>261</v>
      </c>
      <c r="B18" s="207">
        <f>SUMIFS('Diags Raw Data'!$L$6:$L$5703,'Diags Raw Data'!$D$6:$D$5703,$A18,'Diags Raw Data'!$M$6:$M$5703,"Legacy")</f>
        <v>567</v>
      </c>
      <c r="C18" s="200">
        <f>SUMIFS('Diags Raw Data'!$R$6:$R$5703,'Diags Raw Data'!$D$6:$D$5703,$A18,'Diags Raw Data'!$M$6:$M$5703,"Legacy")</f>
        <v>564</v>
      </c>
      <c r="D18" s="200">
        <f>SUMIFS('Diags Raw Data'!$K$6:$K$5703,'Diags Raw Data'!$D$6:$D$5703,$A18,'Diags Raw Data'!$M$6:$M$5703,"Legacy")</f>
        <v>320</v>
      </c>
      <c r="E18" s="200">
        <f>SUMIFS('Diags Raw Data'!$O$6:$O$5703,'Diags Raw Data'!$D$6:$D$5703,$A18,'Diags Raw Data'!$M$6:$M$5703,"Legacy")</f>
        <v>314.5</v>
      </c>
      <c r="F18" s="204">
        <f>IF(NOT($B18=0), E18/$B18, "---")</f>
        <v>0.55467372134038806</v>
      </c>
      <c r="G18" s="521">
        <f>SUMIFS('Diags Raw Data'!$S$6:$S$5703,'Diags Raw Data'!$D$6:$D$5703,$A18,'Diags Raw Data'!$M$6:$M$5703,"Legacy")</f>
        <v>564</v>
      </c>
      <c r="H18" s="509">
        <f>SUMIFS('Diags Raw Data'!$T$6:$T$5703,'Diags Raw Data'!$D$6:$D$5703,$A18,'Diags Raw Data'!$M$6:$M$5703,"Legacy")</f>
        <v>513</v>
      </c>
      <c r="I18" s="510">
        <f>SUMIFS('Diags Raw Data'!$U$6:$U$5703,'Diags Raw Data'!$D$6:$D$5703,$A18,'Diags Raw Data'!$M$6:$M$5703,"Legacy")</f>
        <v>51</v>
      </c>
      <c r="J18" s="509">
        <f>SUMIFS('Diags Raw Data'!$V$6:$V$5703,'Diags Raw Data'!$D$6:$D$5703,$A18,'Diags Raw Data'!$M$6:$M$5703,"Legacy")</f>
        <v>0</v>
      </c>
      <c r="K18" s="510">
        <f>SUMIFS('Diags Raw Data'!$W$6:$W$5703,'Diags Raw Data'!$D$6:$D$5703,$A18,'Diags Raw Data'!$M$6:$M$5703,"Legacy")</f>
        <v>0</v>
      </c>
      <c r="L18" s="511">
        <f>IF(NOT($C18=0), G18/$C18, "---")</f>
        <v>1</v>
      </c>
      <c r="M18" s="512">
        <f>IF(NOT($G18=0), (H18+I18)/$G18, "---")</f>
        <v>1</v>
      </c>
      <c r="N18" s="522">
        <f>IF(NOT($C18=0), (H18+I18)/$C18, "---")</f>
        <v>1</v>
      </c>
      <c r="O18" s="520">
        <f>SUMIFS('Diags Raw Data'!$Z$6:$Z$5703,'Diags Raw Data'!$D$6:$D$5703,$A18,'Diags Raw Data'!$M$6:$M$5703,"Legacy")</f>
        <v>0</v>
      </c>
      <c r="P18" s="513">
        <f>SUMIFS('Diags Raw Data'!$AA$6:$AA$5703,'Diags Raw Data'!$D$6:$D$5703,$A18,'Diags Raw Data'!$M$6:$M$5703,"Legacy")</f>
        <v>0</v>
      </c>
      <c r="Q18" s="514">
        <f>SUMIFS('Diags Raw Data'!$AB$6:$AB$5703,'Diags Raw Data'!$D$6:$D$5703,$A18,'Diags Raw Data'!$M$6:$M$5703,"Legacy")</f>
        <v>0</v>
      </c>
      <c r="R18" s="513">
        <f>SUMIFS('Diags Raw Data'!$AC$6:$AC$5703,'Diags Raw Data'!$D$6:$D$5703,$A18,'Diags Raw Data'!$M$6:$M$5703,"Legacy")</f>
        <v>0</v>
      </c>
      <c r="S18" s="514">
        <f>SUMIFS('Diags Raw Data'!$AD$6:$AD$5703,'Diags Raw Data'!$D$6:$D$5703,$A18,'Diags Raw Data'!$M$6:$M$5703,"Legacy")</f>
        <v>0</v>
      </c>
      <c r="T18" s="515">
        <f>IF(NOT($B18=0), O18/$B18, "---")</f>
        <v>0</v>
      </c>
      <c r="U18" s="516" t="str">
        <f>IF(NOT($O18=0), (P18+Q18)/$O18, "---")</f>
        <v>---</v>
      </c>
      <c r="V18" s="517">
        <f>IF(NOT($B18=0), (P18+Q18)/$B18, "---")</f>
        <v>0</v>
      </c>
    </row>
    <row r="19" spans="1:22" x14ac:dyDescent="0.25">
      <c r="A19" s="519" t="s">
        <v>431</v>
      </c>
      <c r="B19" s="208">
        <f>SUMIFS('Diags Raw Data'!$L$6:$L$5703,'Diags Raw Data'!$D$6:$D$5703,$A19,'Diags Raw Data'!$M$6:$M$5703,"Legacy")</f>
        <v>446</v>
      </c>
      <c r="C19" s="201">
        <f>SUMIFS('Diags Raw Data'!$R$6:$R$5703,'Diags Raw Data'!$D$6:$D$5703,$A19,'Diags Raw Data'!$M$6:$M$5703,"Legacy")</f>
        <v>446</v>
      </c>
      <c r="D19" s="201">
        <f>SUMIFS('Diags Raw Data'!$K$6:$K$5703,'Diags Raw Data'!$D$6:$D$5703,$A19,'Diags Raw Data'!$M$6:$M$5703,"Legacy")</f>
        <v>219</v>
      </c>
      <c r="E19" s="201">
        <f>SUMIFS('Diags Raw Data'!$O$6:$O$5703,'Diags Raw Data'!$D$6:$D$5703,$A19,'Diags Raw Data'!$M$6:$M$5703,"Legacy")</f>
        <v>249</v>
      </c>
      <c r="F19" s="205">
        <f>IF(NOT($B19=0), E19/$B19, "---")</f>
        <v>0.55829596412556048</v>
      </c>
      <c r="G19" s="197">
        <f>SUMIFS('Diags Raw Data'!$S$6:$S$5703,'Diags Raw Data'!$D$6:$D$5703,$A19,'Diags Raw Data'!$M$6:$M$5703,"Legacy")</f>
        <v>445</v>
      </c>
      <c r="H19" s="193">
        <f>SUMIFS('Diags Raw Data'!$T$6:$T$5703,'Diags Raw Data'!$D$6:$D$5703,$A19,'Diags Raw Data'!$M$6:$M$5703,"Legacy")</f>
        <v>419</v>
      </c>
      <c r="I19" s="194">
        <f>SUMIFS('Diags Raw Data'!$U$6:$U$5703,'Diags Raw Data'!$D$6:$D$5703,$A19,'Diags Raw Data'!$M$6:$M$5703,"Legacy")</f>
        <v>26</v>
      </c>
      <c r="J19" s="193">
        <f>SUMIFS('Diags Raw Data'!$V$6:$V$5703,'Diags Raw Data'!$D$6:$D$5703,$A19,'Diags Raw Data'!$M$6:$M$5703,"Legacy")</f>
        <v>0</v>
      </c>
      <c r="K19" s="194">
        <f>SUMIFS('Diags Raw Data'!$W$6:$W$5703,'Diags Raw Data'!$D$6:$D$5703,$A19,'Diags Raw Data'!$M$6:$M$5703,"Legacy")</f>
        <v>0</v>
      </c>
      <c r="L19" s="202">
        <f>IF(NOT($C19=0), G19/$C19, "---")</f>
        <v>0.99775784753363228</v>
      </c>
      <c r="M19" s="195">
        <f>IF(NOT($G19=0), (H19+I19)/$G19, "---")</f>
        <v>1</v>
      </c>
      <c r="N19" s="199">
        <f>IF(NOT($C19=0), (H19+I19)/$C19, "---")</f>
        <v>0.99775784753363228</v>
      </c>
      <c r="O19" s="188">
        <f>SUMIFS('Diags Raw Data'!$Z$6:$Z$5703,'Diags Raw Data'!$D$6:$D$5703,$A19,'Diags Raw Data'!$M$6:$M$5703,"Legacy")</f>
        <v>0</v>
      </c>
      <c r="P19" s="185">
        <f>SUMIFS('Diags Raw Data'!$AA$6:$AA$5703,'Diags Raw Data'!$D$6:$D$5703,$A19,'Diags Raw Data'!$M$6:$M$5703,"Legacy")</f>
        <v>0</v>
      </c>
      <c r="Q19" s="187">
        <f>SUMIFS('Diags Raw Data'!$AB$6:$AB$5703,'Diags Raw Data'!$D$6:$D$5703,$A19,'Diags Raw Data'!$M$6:$M$5703,"Legacy")</f>
        <v>0</v>
      </c>
      <c r="R19" s="185">
        <f>SUMIFS('Diags Raw Data'!$AC$6:$AC$5703,'Diags Raw Data'!$D$6:$D$5703,$A19,'Diags Raw Data'!$M$6:$M$5703,"Legacy")</f>
        <v>0</v>
      </c>
      <c r="S19" s="187">
        <f>SUMIFS('Diags Raw Data'!$AD$6:$AD$5703,'Diags Raw Data'!$D$6:$D$5703,$A19,'Diags Raw Data'!$M$6:$M$5703,"Legacy")</f>
        <v>0</v>
      </c>
      <c r="T19" s="186">
        <f>IF(NOT($B19=0), O19/$B19, "---")</f>
        <v>0</v>
      </c>
      <c r="U19" s="196" t="str">
        <f>IF(NOT($O19=0), (P19+Q19)/$O19, "---")</f>
        <v>---</v>
      </c>
      <c r="V19" s="198">
        <f>IF(NOT($B19=0), (P19+Q19)/$B19, "---")</f>
        <v>0</v>
      </c>
    </row>
    <row r="20" spans="1:22" ht="15.75" thickBot="1" x14ac:dyDescent="0.3">
      <c r="A20" s="523" t="s">
        <v>1856</v>
      </c>
      <c r="B20" s="524">
        <f>SUMIFS('Diags Raw Data'!$L$6:$L$5703,'Diags Raw Data'!$D$6:$D$5703,$A20,'Diags Raw Data'!$M$6:$M$5703,"Legacy")</f>
        <v>130</v>
      </c>
      <c r="C20" s="525">
        <f>SUMIFS('Diags Raw Data'!$R$6:$R$5703,'Diags Raw Data'!$D$6:$D$5703,$A20,'Diags Raw Data'!$M$6:$M$5703,"Legacy")</f>
        <v>130</v>
      </c>
      <c r="D20" s="525">
        <f>SUMIFS('Diags Raw Data'!$K$6:$K$5703,'Diags Raw Data'!$D$6:$D$5703,$A20,'Diags Raw Data'!$M$6:$M$5703,"Legacy")</f>
        <v>81</v>
      </c>
      <c r="E20" s="525">
        <f>SUMIFS('Diags Raw Data'!$O$6:$O$5703,'Diags Raw Data'!$D$6:$D$5703,$A20,'Diags Raw Data'!$M$6:$M$5703,"Legacy")</f>
        <v>82.5</v>
      </c>
      <c r="F20" s="526">
        <f>IF(NOT($B20=0), E20/$B20, "---")</f>
        <v>0.63461538461538458</v>
      </c>
      <c r="G20" s="527">
        <f>SUMIFS('Diags Raw Data'!$S$6:$S$5703,'Diags Raw Data'!$D$6:$D$5703,$A20,'Diags Raw Data'!$M$6:$M$5703,"Legacy")</f>
        <v>130</v>
      </c>
      <c r="H20" s="528">
        <f>SUMIFS('Diags Raw Data'!$T$6:$T$5703,'Diags Raw Data'!$D$6:$D$5703,$A20,'Diags Raw Data'!$M$6:$M$5703,"Legacy")</f>
        <v>130</v>
      </c>
      <c r="I20" s="529">
        <f>SUMIFS('Diags Raw Data'!$U$6:$U$5703,'Diags Raw Data'!$D$6:$D$5703,$A20,'Diags Raw Data'!$M$6:$M$5703,"Legacy")</f>
        <v>0</v>
      </c>
      <c r="J20" s="528">
        <f>SUMIFS('Diags Raw Data'!$V$6:$V$5703,'Diags Raw Data'!$D$6:$D$5703,$A20,'Diags Raw Data'!$M$6:$M$5703,"Legacy")</f>
        <v>0</v>
      </c>
      <c r="K20" s="529">
        <f>SUMIFS('Diags Raw Data'!$W$6:$W$5703,'Diags Raw Data'!$D$6:$D$5703,$A20,'Diags Raw Data'!$M$6:$M$5703,"Legacy")</f>
        <v>0</v>
      </c>
      <c r="L20" s="530">
        <f>IF(NOT($C20=0), G20/$C20, "---")</f>
        <v>1</v>
      </c>
      <c r="M20" s="531">
        <f>IF(NOT($G20=0), (H20+I20)/$G20, "---")</f>
        <v>1</v>
      </c>
      <c r="N20" s="532">
        <f>IF(NOT($C20=0), (H20+I20)/$C20, "---")</f>
        <v>1</v>
      </c>
      <c r="O20" s="533">
        <f>SUMIFS('Diags Raw Data'!$Z$6:$Z$5703,'Diags Raw Data'!$D$6:$D$5703,$A20,'Diags Raw Data'!$M$6:$M$5703,"Legacy")</f>
        <v>0</v>
      </c>
      <c r="P20" s="534">
        <f>SUMIFS('Diags Raw Data'!$AA$6:$AA$5703,'Diags Raw Data'!$D$6:$D$5703,$A20,'Diags Raw Data'!$M$6:$M$5703,"Legacy")</f>
        <v>0</v>
      </c>
      <c r="Q20" s="535">
        <f>SUMIFS('Diags Raw Data'!$AB$6:$AB$5703,'Diags Raw Data'!$D$6:$D$5703,$A20,'Diags Raw Data'!$M$6:$M$5703,"Legacy")</f>
        <v>0</v>
      </c>
      <c r="R20" s="534">
        <f>SUMIFS('Diags Raw Data'!$AC$6:$AC$5703,'Diags Raw Data'!$D$6:$D$5703,$A20,'Diags Raw Data'!$M$6:$M$5703,"Legacy")</f>
        <v>0</v>
      </c>
      <c r="S20" s="535">
        <f>SUMIFS('Diags Raw Data'!$AD$6:$AD$5703,'Diags Raw Data'!$D$6:$D$5703,$A20,'Diags Raw Data'!$M$6:$M$5703,"Legacy")</f>
        <v>0</v>
      </c>
      <c r="T20" s="536">
        <f>IF(NOT($B20=0), O20/$B20, "---")</f>
        <v>0</v>
      </c>
      <c r="U20" s="537" t="str">
        <f>IF(NOT($O20=0), (P20+Q20)/$O20, "---")</f>
        <v>---</v>
      </c>
      <c r="V20" s="538">
        <f>IF(NOT($B20=0), (P20+Q20)/$B20, "---")</f>
        <v>0</v>
      </c>
    </row>
    <row r="21" spans="1:22" ht="16.5" thickBot="1" x14ac:dyDescent="0.3">
      <c r="A21" s="211" t="s">
        <v>2286</v>
      </c>
      <c r="B21" s="539">
        <f>SUM(B18:B20)</f>
        <v>1143</v>
      </c>
      <c r="C21" s="540">
        <f t="shared" ref="C21:E21" si="12">SUM(C18:C20)</f>
        <v>1140</v>
      </c>
      <c r="D21" s="540">
        <f t="shared" si="12"/>
        <v>620</v>
      </c>
      <c r="E21" s="540">
        <f t="shared" si="12"/>
        <v>646</v>
      </c>
      <c r="F21" s="541" cm="1">
        <f t="array" ref="F21">SUMPRODUCT(--(ISNUMBER(SEARCH("Legacy",'Diags Raw Data'!$M$6:$M$5703))),'Diags Raw Data'!$K$6:$K$5703,'Diags Raw Data'!$P$6:$P$5703)/D21</f>
        <v>0.87822580645161286</v>
      </c>
      <c r="G21" s="542">
        <f>SUM(G18:G20)</f>
        <v>1139</v>
      </c>
      <c r="H21" s="543">
        <f t="shared" ref="H21:K21" si="13">SUM(H18:H20)</f>
        <v>1062</v>
      </c>
      <c r="I21" s="543">
        <f t="shared" si="13"/>
        <v>77</v>
      </c>
      <c r="J21" s="543">
        <f t="shared" si="13"/>
        <v>0</v>
      </c>
      <c r="K21" s="543">
        <f t="shared" si="13"/>
        <v>0</v>
      </c>
      <c r="L21" s="544">
        <f>IF(NOT($C21=0), G21/$C21, "---")</f>
        <v>0.99912280701754386</v>
      </c>
      <c r="M21" s="545">
        <f t="shared" ref="M21" si="14">IF(NOT($G21=0), (H21+I21)/$G21, "---")</f>
        <v>1</v>
      </c>
      <c r="N21" s="546">
        <f t="shared" ref="N21" si="15">IF(NOT($C21=0), (H21+I21)/$C21, "---")</f>
        <v>0.99912280701754386</v>
      </c>
      <c r="O21" s="547">
        <f>SUM(O18:O20)</f>
        <v>0</v>
      </c>
      <c r="P21" s="548">
        <f t="shared" ref="P21:S21" si="16">SUM(P18:P20)</f>
        <v>0</v>
      </c>
      <c r="Q21" s="548">
        <f t="shared" si="16"/>
        <v>0</v>
      </c>
      <c r="R21" s="548">
        <f t="shared" si="16"/>
        <v>0</v>
      </c>
      <c r="S21" s="548">
        <f t="shared" si="16"/>
        <v>0</v>
      </c>
      <c r="T21" s="549">
        <f>IF(NOT($B21=0), O21/$B21, "---")</f>
        <v>0</v>
      </c>
      <c r="U21" s="550" t="str">
        <f t="shared" ref="U21" si="17">IF(NOT($O21=0), (P21+Q21)/$O21, "---")</f>
        <v>---</v>
      </c>
      <c r="V21" s="551">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6"/>
    </row>
    <row r="28" spans="1:22" x14ac:dyDescent="0.25">
      <c r="F28" s="315"/>
    </row>
    <row r="29" spans="1:22" x14ac:dyDescent="0.25">
      <c r="F29" s="31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6">
      <colorScale>
        <cfvo type="percent" val="2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9">
      <colorScale>
        <cfvo type="percent" val="2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40">
      <colorScale>
        <cfvo type="min"/>
        <cfvo type="percentile" val="50"/>
        <cfvo type="max"/>
        <color rgb="FFF8696B"/>
        <color rgb="FFFFEB84"/>
        <color rgb="FF63BE7B"/>
      </colorScale>
    </cfRule>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onditionalFormatting>
  <conditionalFormatting sqref="F11">
    <cfRule type="colorScale" priority="46">
      <colorScale>
        <cfvo type="percent" val="2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60">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452">
      <colorScale>
        <cfvo type="percent" val="0"/>
        <cfvo type="percent" val="50"/>
        <cfvo type="percent" val="100"/>
        <color rgb="FFF8696B"/>
        <color rgb="FFFFEB84"/>
        <color rgb="FF63BE7B"/>
      </colorScale>
    </cfRule>
    <cfRule type="colorScale" priority="451">
      <colorScale>
        <cfvo type="percent" val="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3">
      <colorScale>
        <cfvo type="percent" val="0"/>
        <cfvo type="percent" val="50"/>
        <cfvo type="percent" val="100"/>
        <color rgb="FFF8696B"/>
        <color rgb="FFFFEB84"/>
        <color rgb="FF63BE7B"/>
      </colorScale>
    </cfRule>
    <cfRule type="colorScale" priority="52">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4">
      <colorScale>
        <cfvo type="percent" val="0"/>
        <cfvo type="percent" val="50"/>
        <cfvo type="percent" val="100"/>
        <color rgb="FFF8696B"/>
        <color rgb="FFFFEB84"/>
        <color rgb="FF63BE7B"/>
      </colorScale>
    </cfRule>
    <cfRule type="colorScale" priority="13">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6">
    <cfRule type="colorScale" priority="447">
      <colorScale>
        <cfvo type="percent" val="0"/>
        <cfvo type="percent" val="50"/>
        <cfvo type="percent" val="100"/>
        <color rgb="FFF8696B"/>
        <color rgb="FFFFEB84"/>
        <color rgb="FF63BE7B"/>
      </colorScale>
    </cfRule>
    <cfRule type="colorScale" priority="446">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9">
      <colorScale>
        <cfvo type="percent" val="0"/>
        <cfvo type="percent" val="50"/>
        <cfvo type="percent" val="100"/>
        <color rgb="FFF8696B"/>
        <color rgb="FFFFEB84"/>
        <color rgb="FF63BE7B"/>
      </colorScale>
    </cfRule>
    <cfRule type="colorScale" priority="458">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720" t="s">
        <v>2287</v>
      </c>
      <c r="B1" s="721"/>
      <c r="C1" s="721"/>
      <c r="D1" s="721"/>
      <c r="E1" s="721"/>
      <c r="F1" s="721"/>
      <c r="G1" s="721"/>
      <c r="H1" s="721"/>
      <c r="I1" s="722"/>
    </row>
    <row r="2" spans="1:9" s="79" customFormat="1" ht="15.75" thickBot="1" x14ac:dyDescent="0.3">
      <c r="A2" s="382" t="s">
        <v>77</v>
      </c>
      <c r="B2" s="383" t="s">
        <v>81</v>
      </c>
      <c r="C2" s="384" t="s">
        <v>96</v>
      </c>
      <c r="D2" s="384" t="s">
        <v>202</v>
      </c>
      <c r="E2" s="385" t="s">
        <v>1</v>
      </c>
    </row>
    <row r="3" spans="1:9" ht="45.75" thickBot="1" x14ac:dyDescent="0.3">
      <c r="A3" s="445" t="s">
        <v>2288</v>
      </c>
      <c r="B3" s="459" t="s">
        <v>2289</v>
      </c>
      <c r="C3" s="403" t="s">
        <v>2247</v>
      </c>
      <c r="D3" s="282" t="s">
        <v>34</v>
      </c>
      <c r="E3" s="366" t="s">
        <v>33</v>
      </c>
      <c r="F3" s="206" t="s">
        <v>2290</v>
      </c>
      <c r="G3" s="229" t="s">
        <v>77</v>
      </c>
      <c r="H3" s="230" t="s">
        <v>2291</v>
      </c>
      <c r="I3" s="404">
        <v>176</v>
      </c>
    </row>
    <row r="4" spans="1:9" ht="15.75" thickBot="1" x14ac:dyDescent="0.3">
      <c r="A4" s="445" t="s">
        <v>2292</v>
      </c>
      <c r="B4" s="460" t="s">
        <v>2293</v>
      </c>
      <c r="C4" s="403" t="s">
        <v>2247</v>
      </c>
      <c r="D4" s="263" t="s">
        <v>34</v>
      </c>
      <c r="E4" s="371" t="s">
        <v>33</v>
      </c>
      <c r="G4" s="633" t="s">
        <v>96</v>
      </c>
      <c r="H4" s="231" t="s">
        <v>2294</v>
      </c>
      <c r="I4" s="405">
        <f>COUNTIFS($C3:$C4067,"P1")</f>
        <v>7</v>
      </c>
    </row>
    <row r="5" spans="1:9" ht="15.75" thickBot="1" x14ac:dyDescent="0.3">
      <c r="A5" s="445" t="s">
        <v>2295</v>
      </c>
      <c r="B5" s="460" t="s">
        <v>1065</v>
      </c>
      <c r="C5" s="403" t="s">
        <v>1009</v>
      </c>
      <c r="D5" s="263" t="s">
        <v>34</v>
      </c>
      <c r="E5" s="371" t="s">
        <v>38</v>
      </c>
      <c r="G5" s="634"/>
      <c r="H5" s="232" t="s">
        <v>2296</v>
      </c>
      <c r="I5" s="406">
        <f>COUNTIFS($C3:$C4067,"P2")</f>
        <v>174</v>
      </c>
    </row>
    <row r="6" spans="1:9" ht="15.75" thickBot="1" x14ac:dyDescent="0.3">
      <c r="A6" s="445" t="s">
        <v>2297</v>
      </c>
      <c r="B6" s="460" t="s">
        <v>2243</v>
      </c>
      <c r="C6" s="403" t="s">
        <v>2247</v>
      </c>
      <c r="D6" s="263" t="s">
        <v>34</v>
      </c>
      <c r="E6" s="371" t="s">
        <v>33</v>
      </c>
      <c r="G6" s="646"/>
      <c r="H6" s="233" t="s">
        <v>2298</v>
      </c>
      <c r="I6" s="407">
        <f>COUNTIFS($C3:$C4067,"P3")</f>
        <v>2</v>
      </c>
    </row>
    <row r="7" spans="1:9" ht="15.75" thickBot="1" x14ac:dyDescent="0.3">
      <c r="A7" s="445" t="s">
        <v>2299</v>
      </c>
      <c r="B7" s="460" t="s">
        <v>2300</v>
      </c>
      <c r="C7" s="403" t="s">
        <v>44</v>
      </c>
      <c r="D7" s="263" t="s">
        <v>44</v>
      </c>
      <c r="E7" s="371" t="s">
        <v>33</v>
      </c>
      <c r="F7" t="s">
        <v>2301</v>
      </c>
      <c r="G7" s="717" t="s">
        <v>202</v>
      </c>
      <c r="H7" s="231" t="s">
        <v>2302</v>
      </c>
      <c r="I7" s="405">
        <f>COUNTIFS($D3:$D4067,"Diagnostics")</f>
        <v>142</v>
      </c>
    </row>
    <row r="8" spans="1:9" ht="15.75" thickBot="1" x14ac:dyDescent="0.3">
      <c r="A8" s="445" t="s">
        <v>2303</v>
      </c>
      <c r="B8" s="460" t="s">
        <v>2304</v>
      </c>
      <c r="C8" s="403" t="s">
        <v>44</v>
      </c>
      <c r="D8" s="263" t="s">
        <v>44</v>
      </c>
      <c r="E8" s="371" t="s">
        <v>33</v>
      </c>
      <c r="G8" s="718"/>
      <c r="H8" s="232" t="s">
        <v>2305</v>
      </c>
      <c r="I8" s="406">
        <f>COUNTIFS($D3:$D4067,"Driver")</f>
        <v>3</v>
      </c>
    </row>
    <row r="9" spans="1:9" ht="15.75" thickBot="1" x14ac:dyDescent="0.3">
      <c r="A9" s="445" t="s">
        <v>2306</v>
      </c>
      <c r="B9" s="460" t="s">
        <v>2307</v>
      </c>
      <c r="C9" s="403" t="s">
        <v>44</v>
      </c>
      <c r="D9" s="263" t="s">
        <v>44</v>
      </c>
      <c r="E9" s="371" t="s">
        <v>33</v>
      </c>
      <c r="G9" s="718"/>
      <c r="H9" s="232" t="s">
        <v>2308</v>
      </c>
      <c r="I9" s="406">
        <f>COUNTIFS($D3:$D4067,"IPSE")</f>
        <v>39</v>
      </c>
    </row>
    <row r="10" spans="1:9" ht="15.75" thickBot="1" x14ac:dyDescent="0.3">
      <c r="A10" s="445" t="s">
        <v>2309</v>
      </c>
      <c r="B10" s="460" t="s">
        <v>2310</v>
      </c>
      <c r="C10" s="403" t="s">
        <v>2247</v>
      </c>
      <c r="D10" s="263" t="s">
        <v>43</v>
      </c>
      <c r="E10" s="371" t="s">
        <v>33</v>
      </c>
      <c r="G10" s="719"/>
      <c r="H10" s="233" t="s">
        <v>2311</v>
      </c>
      <c r="I10" s="407">
        <f>COUNTIFS($D3:$D4067,"N/A")</f>
        <v>91</v>
      </c>
    </row>
    <row r="11" spans="1:9" ht="15.75" thickBot="1" x14ac:dyDescent="0.3">
      <c r="A11" s="445" t="s">
        <v>2189</v>
      </c>
      <c r="B11" s="593" t="s">
        <v>2312</v>
      </c>
      <c r="C11" s="403" t="s">
        <v>2247</v>
      </c>
      <c r="D11" s="263" t="s">
        <v>34</v>
      </c>
      <c r="E11" s="371" t="s">
        <v>33</v>
      </c>
      <c r="G11" s="717" t="s">
        <v>1</v>
      </c>
      <c r="H11" s="231" t="s">
        <v>2313</v>
      </c>
      <c r="I11" s="405">
        <f>COUNTIFS($E3:$E4067,"Legacy")</f>
        <v>266</v>
      </c>
    </row>
    <row r="12" spans="1:9" ht="15.75" thickBot="1" x14ac:dyDescent="0.3">
      <c r="A12" s="445" t="s">
        <v>2314</v>
      </c>
      <c r="B12" s="593" t="s">
        <v>2315</v>
      </c>
      <c r="C12" s="403" t="s">
        <v>2247</v>
      </c>
      <c r="D12" s="263" t="s">
        <v>43</v>
      </c>
      <c r="E12" s="371" t="s">
        <v>33</v>
      </c>
      <c r="G12" s="718"/>
      <c r="H12" s="232" t="s">
        <v>2316</v>
      </c>
      <c r="I12" s="406">
        <f>COUNTIFS($E3:$E4067,"Delta")</f>
        <v>8</v>
      </c>
    </row>
    <row r="13" spans="1:9" ht="15.75" thickBot="1" x14ac:dyDescent="0.3">
      <c r="A13" s="445" t="s">
        <v>2317</v>
      </c>
      <c r="B13" s="593" t="s">
        <v>2318</v>
      </c>
      <c r="C13" s="403" t="s">
        <v>2247</v>
      </c>
      <c r="D13" s="263" t="s">
        <v>43</v>
      </c>
      <c r="E13" s="371" t="s">
        <v>33</v>
      </c>
      <c r="G13" s="719"/>
      <c r="H13" s="233" t="s">
        <v>2319</v>
      </c>
      <c r="I13" s="407">
        <f>COUNTIFS($E3:$E4067,"New")</f>
        <v>1</v>
      </c>
    </row>
    <row r="14" spans="1:9" ht="15.75" thickBot="1" x14ac:dyDescent="0.3">
      <c r="A14" s="445" t="s">
        <v>2320</v>
      </c>
      <c r="B14" s="593" t="s">
        <v>2321</v>
      </c>
      <c r="C14" s="403" t="s">
        <v>2247</v>
      </c>
      <c r="D14" s="263" t="s">
        <v>34</v>
      </c>
      <c r="E14" s="371" t="s">
        <v>33</v>
      </c>
    </row>
    <row r="15" spans="1:9" ht="15.75" thickBot="1" x14ac:dyDescent="0.3">
      <c r="A15" s="445" t="s">
        <v>2322</v>
      </c>
      <c r="B15" s="593" t="s">
        <v>2323</v>
      </c>
      <c r="C15" s="403" t="s">
        <v>2247</v>
      </c>
      <c r="D15" s="263" t="s">
        <v>44</v>
      </c>
      <c r="E15" s="371" t="s">
        <v>33</v>
      </c>
    </row>
    <row r="16" spans="1:9" ht="30.75" thickBot="1" x14ac:dyDescent="0.3">
      <c r="A16" s="445" t="s">
        <v>2324</v>
      </c>
      <c r="B16" s="593" t="s">
        <v>2325</v>
      </c>
      <c r="C16" s="403" t="s">
        <v>2247</v>
      </c>
      <c r="D16" s="263" t="s">
        <v>44</v>
      </c>
      <c r="E16" s="371" t="s">
        <v>33</v>
      </c>
    </row>
    <row r="17" spans="1:6" ht="15.75" thickBot="1" x14ac:dyDescent="0.3">
      <c r="A17" s="445" t="s">
        <v>2326</v>
      </c>
      <c r="B17" s="593" t="s">
        <v>2327</v>
      </c>
      <c r="C17" s="403" t="s">
        <v>2247</v>
      </c>
      <c r="D17" s="263" t="s">
        <v>43</v>
      </c>
      <c r="E17" s="371" t="s">
        <v>33</v>
      </c>
      <c r="F17" t="s">
        <v>2328</v>
      </c>
    </row>
    <row r="18" spans="1:6" ht="30.75" thickBot="1" x14ac:dyDescent="0.3">
      <c r="A18" s="445" t="s">
        <v>2329</v>
      </c>
      <c r="B18" s="593" t="s">
        <v>2330</v>
      </c>
      <c r="C18" s="403" t="s">
        <v>44</v>
      </c>
      <c r="D18" s="263" t="s">
        <v>44</v>
      </c>
      <c r="E18" s="371" t="s">
        <v>33</v>
      </c>
    </row>
    <row r="19" spans="1:6" ht="15.75" thickBot="1" x14ac:dyDescent="0.3">
      <c r="A19" s="445" t="s">
        <v>2331</v>
      </c>
      <c r="B19" s="593" t="s">
        <v>2332</v>
      </c>
      <c r="C19" s="403" t="s">
        <v>44</v>
      </c>
      <c r="D19" s="263" t="s">
        <v>34</v>
      </c>
      <c r="E19" s="371" t="s">
        <v>33</v>
      </c>
      <c r="F19" t="s">
        <v>2333</v>
      </c>
    </row>
    <row r="20" spans="1:6" ht="15.75" thickBot="1" x14ac:dyDescent="0.3">
      <c r="A20" s="445" t="s">
        <v>2334</v>
      </c>
      <c r="B20" s="593" t="s">
        <v>2335</v>
      </c>
      <c r="C20" s="403" t="s">
        <v>44</v>
      </c>
      <c r="D20" s="263" t="s">
        <v>43</v>
      </c>
      <c r="E20" s="371" t="s">
        <v>33</v>
      </c>
      <c r="F20" t="s">
        <v>2333</v>
      </c>
    </row>
    <row r="21" spans="1:6" ht="30.75" thickBot="1" x14ac:dyDescent="0.3">
      <c r="A21" s="445" t="s">
        <v>2336</v>
      </c>
      <c r="B21" s="593" t="s">
        <v>2337</v>
      </c>
      <c r="C21" s="403" t="s">
        <v>44</v>
      </c>
      <c r="D21" s="263" t="s">
        <v>44</v>
      </c>
      <c r="E21" s="371" t="s">
        <v>33</v>
      </c>
      <c r="F21" t="s">
        <v>2333</v>
      </c>
    </row>
    <row r="22" spans="1:6" ht="15.75" thickBot="1" x14ac:dyDescent="0.3">
      <c r="A22" s="445" t="s">
        <v>2338</v>
      </c>
      <c r="B22" s="593" t="s">
        <v>2339</v>
      </c>
      <c r="C22" s="403" t="s">
        <v>44</v>
      </c>
      <c r="D22" s="263" t="s">
        <v>44</v>
      </c>
      <c r="E22" s="371" t="s">
        <v>33</v>
      </c>
      <c r="F22" t="s">
        <v>2333</v>
      </c>
    </row>
    <row r="23" spans="1:6" ht="15.75" thickBot="1" x14ac:dyDescent="0.3">
      <c r="A23" s="445" t="s">
        <v>2340</v>
      </c>
      <c r="B23" s="593" t="s">
        <v>2341</v>
      </c>
      <c r="C23" s="403" t="s">
        <v>44</v>
      </c>
      <c r="D23" s="263" t="s">
        <v>39</v>
      </c>
      <c r="E23" s="371" t="s">
        <v>33</v>
      </c>
      <c r="F23" t="s">
        <v>2333</v>
      </c>
    </row>
    <row r="24" spans="1:6" ht="30.75" thickBot="1" x14ac:dyDescent="0.3">
      <c r="A24" s="445" t="s">
        <v>2342</v>
      </c>
      <c r="B24" s="593" t="s">
        <v>2343</v>
      </c>
      <c r="C24" s="403" t="s">
        <v>44</v>
      </c>
      <c r="D24" s="263" t="s">
        <v>39</v>
      </c>
      <c r="E24" s="371" t="s">
        <v>33</v>
      </c>
      <c r="F24" t="s">
        <v>2333</v>
      </c>
    </row>
    <row r="25" spans="1:6" ht="15.75" thickBot="1" x14ac:dyDescent="0.3">
      <c r="A25" s="445" t="s">
        <v>2344</v>
      </c>
      <c r="B25" s="593" t="s">
        <v>2345</v>
      </c>
      <c r="C25" s="403" t="s">
        <v>44</v>
      </c>
      <c r="D25" s="263" t="s">
        <v>43</v>
      </c>
      <c r="E25" s="371" t="s">
        <v>33</v>
      </c>
      <c r="F25" t="s">
        <v>2333</v>
      </c>
    </row>
    <row r="26" spans="1:6" ht="15.75" thickBot="1" x14ac:dyDescent="0.3">
      <c r="A26" s="445" t="s">
        <v>2346</v>
      </c>
      <c r="B26" s="593" t="s">
        <v>2347</v>
      </c>
      <c r="C26" s="403" t="s">
        <v>44</v>
      </c>
      <c r="D26" s="263" t="s">
        <v>43</v>
      </c>
      <c r="E26" s="371" t="s">
        <v>33</v>
      </c>
      <c r="F26" t="s">
        <v>2333</v>
      </c>
    </row>
    <row r="27" spans="1:6" ht="30.75" thickBot="1" x14ac:dyDescent="0.3">
      <c r="A27" s="445" t="s">
        <v>2348</v>
      </c>
      <c r="B27" s="593" t="s">
        <v>2349</v>
      </c>
      <c r="C27" s="403" t="s">
        <v>44</v>
      </c>
      <c r="D27" s="263" t="s">
        <v>34</v>
      </c>
      <c r="E27" s="371" t="s">
        <v>33</v>
      </c>
      <c r="F27" t="s">
        <v>2333</v>
      </c>
    </row>
    <row r="28" spans="1:6" ht="15.75" thickBot="1" x14ac:dyDescent="0.3">
      <c r="A28" s="445" t="s">
        <v>2350</v>
      </c>
      <c r="B28" s="593" t="s">
        <v>2351</v>
      </c>
      <c r="C28" s="403" t="s">
        <v>44</v>
      </c>
      <c r="D28" s="263" t="s">
        <v>34</v>
      </c>
      <c r="E28" s="371" t="s">
        <v>33</v>
      </c>
      <c r="F28" t="s">
        <v>2333</v>
      </c>
    </row>
    <row r="29" spans="1:6" ht="15.75" thickBot="1" x14ac:dyDescent="0.3">
      <c r="A29" s="445" t="s">
        <v>2352</v>
      </c>
      <c r="B29" s="593" t="s">
        <v>2353</v>
      </c>
      <c r="C29" s="403" t="s">
        <v>44</v>
      </c>
      <c r="D29" s="263" t="s">
        <v>44</v>
      </c>
      <c r="E29" s="371" t="s">
        <v>33</v>
      </c>
      <c r="F29" t="s">
        <v>2333</v>
      </c>
    </row>
    <row r="30" spans="1:6" ht="15.75" thickBot="1" x14ac:dyDescent="0.3">
      <c r="A30" s="445" t="s">
        <v>2354</v>
      </c>
      <c r="B30" s="593" t="s">
        <v>2355</v>
      </c>
      <c r="C30" s="403" t="s">
        <v>44</v>
      </c>
      <c r="D30" s="263" t="s">
        <v>44</v>
      </c>
      <c r="E30" s="371" t="s">
        <v>33</v>
      </c>
      <c r="F30" t="s">
        <v>2333</v>
      </c>
    </row>
    <row r="31" spans="1:6" ht="15.75" thickBot="1" x14ac:dyDescent="0.3">
      <c r="A31" s="445" t="s">
        <v>2356</v>
      </c>
      <c r="B31" s="593" t="s">
        <v>2357</v>
      </c>
      <c r="C31" s="403" t="s">
        <v>44</v>
      </c>
      <c r="D31" s="263" t="s">
        <v>44</v>
      </c>
      <c r="E31" s="371" t="s">
        <v>33</v>
      </c>
      <c r="F31" t="s">
        <v>2333</v>
      </c>
    </row>
    <row r="32" spans="1:6" ht="15.75" thickBot="1" x14ac:dyDescent="0.3">
      <c r="A32" s="445" t="s">
        <v>2358</v>
      </c>
      <c r="B32" s="593" t="s">
        <v>2359</v>
      </c>
      <c r="C32" s="403" t="s">
        <v>44</v>
      </c>
      <c r="D32" s="263" t="s">
        <v>44</v>
      </c>
      <c r="E32" s="371" t="s">
        <v>33</v>
      </c>
    </row>
    <row r="33" spans="1:6" ht="15.75" thickBot="1" x14ac:dyDescent="0.3">
      <c r="A33" s="445" t="s">
        <v>2360</v>
      </c>
      <c r="B33" s="593" t="s">
        <v>2361</v>
      </c>
      <c r="C33" s="403" t="s">
        <v>44</v>
      </c>
      <c r="D33" s="263" t="s">
        <v>44</v>
      </c>
      <c r="E33" s="371" t="s">
        <v>33</v>
      </c>
    </row>
    <row r="34" spans="1:6" ht="15.75" thickBot="1" x14ac:dyDescent="0.3">
      <c r="A34" s="445" t="s">
        <v>2362</v>
      </c>
      <c r="B34" s="593" t="s">
        <v>2363</v>
      </c>
      <c r="C34" s="403" t="s">
        <v>44</v>
      </c>
      <c r="D34" s="263" t="s">
        <v>44</v>
      </c>
      <c r="E34" s="371" t="s">
        <v>33</v>
      </c>
    </row>
    <row r="35" spans="1:6" ht="15.75" thickBot="1" x14ac:dyDescent="0.3">
      <c r="A35" s="445" t="s">
        <v>2364</v>
      </c>
      <c r="B35" s="593" t="s">
        <v>2365</v>
      </c>
      <c r="C35" s="403" t="s">
        <v>44</v>
      </c>
      <c r="D35" s="263" t="s">
        <v>34</v>
      </c>
      <c r="E35" s="371" t="s">
        <v>33</v>
      </c>
    </row>
    <row r="36" spans="1:6" ht="15.75" thickBot="1" x14ac:dyDescent="0.3">
      <c r="A36" s="445" t="s">
        <v>2366</v>
      </c>
      <c r="B36" s="593" t="s">
        <v>2367</v>
      </c>
      <c r="C36" s="403" t="s">
        <v>1009</v>
      </c>
      <c r="D36" s="263" t="s">
        <v>34</v>
      </c>
      <c r="E36" s="371" t="s">
        <v>38</v>
      </c>
    </row>
    <row r="37" spans="1:6" ht="30.75" thickBot="1" x14ac:dyDescent="0.3">
      <c r="A37" s="445" t="s">
        <v>2368</v>
      </c>
      <c r="B37" s="593" t="s">
        <v>2369</v>
      </c>
      <c r="C37" s="403" t="s">
        <v>44</v>
      </c>
      <c r="D37" s="263" t="s">
        <v>44</v>
      </c>
      <c r="E37" s="371" t="s">
        <v>33</v>
      </c>
    </row>
    <row r="38" spans="1:6" ht="15.75" thickBot="1" x14ac:dyDescent="0.3">
      <c r="A38" s="445" t="s">
        <v>2370</v>
      </c>
      <c r="B38" s="593" t="s">
        <v>2371</v>
      </c>
      <c r="C38" s="403" t="s">
        <v>44</v>
      </c>
      <c r="D38" s="263" t="s">
        <v>44</v>
      </c>
      <c r="E38" s="371" t="s">
        <v>33</v>
      </c>
    </row>
    <row r="39" spans="1:6" ht="15.75" thickBot="1" x14ac:dyDescent="0.3">
      <c r="A39" s="445" t="s">
        <v>2372</v>
      </c>
      <c r="B39" s="593" t="s">
        <v>2373</v>
      </c>
      <c r="C39" s="403" t="s">
        <v>44</v>
      </c>
      <c r="D39" s="263" t="s">
        <v>44</v>
      </c>
      <c r="E39" s="371" t="s">
        <v>33</v>
      </c>
    </row>
    <row r="40" spans="1:6" ht="15.75" thickBot="1" x14ac:dyDescent="0.3">
      <c r="A40" s="445" t="s">
        <v>2374</v>
      </c>
      <c r="B40" s="460" t="s">
        <v>2375</v>
      </c>
      <c r="C40" s="403" t="s">
        <v>2247</v>
      </c>
      <c r="D40" s="263" t="s">
        <v>34</v>
      </c>
      <c r="E40" s="371" t="s">
        <v>33</v>
      </c>
    </row>
    <row r="41" spans="1:6" ht="15.75" thickBot="1" x14ac:dyDescent="0.3">
      <c r="A41" s="445" t="s">
        <v>2376</v>
      </c>
      <c r="B41" s="593" t="s">
        <v>2377</v>
      </c>
      <c r="C41" s="403" t="s">
        <v>44</v>
      </c>
      <c r="D41" s="263" t="s">
        <v>44</v>
      </c>
      <c r="E41" s="371" t="s">
        <v>33</v>
      </c>
    </row>
    <row r="42" spans="1:6" ht="30.75" thickBot="1" x14ac:dyDescent="0.3">
      <c r="A42" s="445" t="s">
        <v>2378</v>
      </c>
      <c r="B42" s="593" t="s">
        <v>733</v>
      </c>
      <c r="C42" s="403" t="s">
        <v>2247</v>
      </c>
      <c r="D42" s="263" t="s">
        <v>34</v>
      </c>
      <c r="E42" s="371" t="s">
        <v>33</v>
      </c>
    </row>
    <row r="43" spans="1:6" ht="15.75" thickBot="1" x14ac:dyDescent="0.3">
      <c r="A43" s="445" t="s">
        <v>2379</v>
      </c>
      <c r="B43" s="460" t="s">
        <v>2204</v>
      </c>
      <c r="C43" s="403" t="s">
        <v>2247</v>
      </c>
      <c r="D43" s="263" t="s">
        <v>34</v>
      </c>
      <c r="E43" s="371" t="s">
        <v>33</v>
      </c>
    </row>
    <row r="44" spans="1:6" ht="60.75" thickBot="1" x14ac:dyDescent="0.3">
      <c r="A44" s="445" t="s">
        <v>2380</v>
      </c>
      <c r="B44" s="593" t="s">
        <v>2381</v>
      </c>
      <c r="C44" s="403" t="s">
        <v>2247</v>
      </c>
      <c r="D44" s="263" t="s">
        <v>34</v>
      </c>
      <c r="E44" s="371" t="s">
        <v>33</v>
      </c>
    </row>
    <row r="45" spans="1:6" ht="15.75" thickBot="1" x14ac:dyDescent="0.3">
      <c r="A45" s="445" t="s">
        <v>2382</v>
      </c>
      <c r="B45" s="593" t="s">
        <v>2383</v>
      </c>
      <c r="C45" s="403" t="s">
        <v>1009</v>
      </c>
      <c r="D45" s="263" t="s">
        <v>43</v>
      </c>
      <c r="E45" s="371" t="s">
        <v>38</v>
      </c>
      <c r="F45" t="s">
        <v>2384</v>
      </c>
    </row>
    <row r="46" spans="1:6" ht="15.75" thickBot="1" x14ac:dyDescent="0.3">
      <c r="A46" s="445" t="s">
        <v>417</v>
      </c>
      <c r="B46" s="593" t="s">
        <v>2210</v>
      </c>
      <c r="C46" s="403" t="s">
        <v>2247</v>
      </c>
      <c r="D46" s="263" t="s">
        <v>34</v>
      </c>
      <c r="E46" s="371" t="s">
        <v>33</v>
      </c>
      <c r="F46" t="s">
        <v>2385</v>
      </c>
    </row>
    <row r="47" spans="1:6" ht="30.75" thickBot="1" x14ac:dyDescent="0.3">
      <c r="A47" s="445" t="s">
        <v>2386</v>
      </c>
      <c r="B47" s="593" t="s">
        <v>2387</v>
      </c>
      <c r="C47" s="403" t="s">
        <v>2247</v>
      </c>
      <c r="D47" s="263" t="s">
        <v>34</v>
      </c>
      <c r="E47" s="371" t="s">
        <v>33</v>
      </c>
    </row>
    <row r="48" spans="1:6" ht="15.75" thickBot="1" x14ac:dyDescent="0.3">
      <c r="A48" s="445" t="s">
        <v>2388</v>
      </c>
      <c r="B48" s="593" t="s">
        <v>2389</v>
      </c>
      <c r="C48" s="403" t="s">
        <v>44</v>
      </c>
      <c r="D48" s="263" t="s">
        <v>44</v>
      </c>
      <c r="E48" s="371" t="s">
        <v>33</v>
      </c>
    </row>
    <row r="49" spans="1:6" ht="15.75" thickBot="1" x14ac:dyDescent="0.3">
      <c r="A49" s="445" t="s">
        <v>2390</v>
      </c>
      <c r="B49" s="593" t="s">
        <v>2391</v>
      </c>
      <c r="C49" s="403" t="s">
        <v>44</v>
      </c>
      <c r="D49" s="263" t="s">
        <v>44</v>
      </c>
      <c r="E49" s="371" t="s">
        <v>33</v>
      </c>
    </row>
    <row r="50" spans="1:6" ht="15.75" thickBot="1" x14ac:dyDescent="0.3">
      <c r="A50" s="445" t="s">
        <v>2392</v>
      </c>
      <c r="B50" s="593" t="s">
        <v>2393</v>
      </c>
      <c r="C50" s="403" t="s">
        <v>44</v>
      </c>
      <c r="D50" s="263" t="s">
        <v>44</v>
      </c>
      <c r="E50" s="371" t="s">
        <v>33</v>
      </c>
    </row>
    <row r="51" spans="1:6" ht="15.75" thickBot="1" x14ac:dyDescent="0.3">
      <c r="A51" s="445" t="s">
        <v>2394</v>
      </c>
      <c r="B51" s="593" t="s">
        <v>2395</v>
      </c>
      <c r="C51" s="403" t="s">
        <v>44</v>
      </c>
      <c r="D51" s="263" t="s">
        <v>44</v>
      </c>
      <c r="E51" s="371" t="s">
        <v>33</v>
      </c>
    </row>
    <row r="52" spans="1:6" ht="15.75" thickBot="1" x14ac:dyDescent="0.3">
      <c r="A52" s="445" t="s">
        <v>2193</v>
      </c>
      <c r="B52" s="593" t="s">
        <v>2396</v>
      </c>
      <c r="C52" s="403" t="s">
        <v>2247</v>
      </c>
      <c r="D52" s="263" t="s">
        <v>34</v>
      </c>
      <c r="E52" s="371" t="s">
        <v>33</v>
      </c>
    </row>
    <row r="53" spans="1:6" ht="15.75" thickBot="1" x14ac:dyDescent="0.3">
      <c r="A53" s="445" t="s">
        <v>544</v>
      </c>
      <c r="B53" s="593" t="s">
        <v>2397</v>
      </c>
      <c r="C53" s="403" t="s">
        <v>2247</v>
      </c>
      <c r="D53" s="263" t="s">
        <v>34</v>
      </c>
      <c r="E53" s="371" t="s">
        <v>33</v>
      </c>
    </row>
    <row r="54" spans="1:6" ht="15.75" thickBot="1" x14ac:dyDescent="0.3">
      <c r="A54" s="445" t="s">
        <v>2398</v>
      </c>
      <c r="B54" s="593" t="s">
        <v>2207</v>
      </c>
      <c r="C54" s="403" t="s">
        <v>1009</v>
      </c>
      <c r="D54" s="263" t="s">
        <v>34</v>
      </c>
      <c r="E54" s="371" t="s">
        <v>38</v>
      </c>
    </row>
    <row r="55" spans="1:6" ht="15.75" thickBot="1" x14ac:dyDescent="0.3">
      <c r="A55" s="445" t="s">
        <v>2213</v>
      </c>
      <c r="B55" s="593" t="s">
        <v>2399</v>
      </c>
      <c r="C55" s="403" t="s">
        <v>2247</v>
      </c>
      <c r="D55" s="263" t="s">
        <v>34</v>
      </c>
      <c r="E55" s="371" t="s">
        <v>33</v>
      </c>
    </row>
    <row r="56" spans="1:6" ht="30.75" thickBot="1" x14ac:dyDescent="0.3">
      <c r="A56" s="445" t="s">
        <v>2400</v>
      </c>
      <c r="B56" s="593" t="s">
        <v>2401</v>
      </c>
      <c r="C56" s="403" t="s">
        <v>2247</v>
      </c>
      <c r="D56" s="263" t="s">
        <v>34</v>
      </c>
      <c r="E56" s="371" t="s">
        <v>33</v>
      </c>
      <c r="F56" s="206" t="s">
        <v>2402</v>
      </c>
    </row>
    <row r="57" spans="1:6" ht="30.75" thickBot="1" x14ac:dyDescent="0.3">
      <c r="A57" s="445" t="s">
        <v>2403</v>
      </c>
      <c r="B57" s="593" t="s">
        <v>2404</v>
      </c>
      <c r="C57" s="403" t="s">
        <v>44</v>
      </c>
      <c r="D57" s="263" t="s">
        <v>34</v>
      </c>
      <c r="E57" s="371" t="s">
        <v>33</v>
      </c>
      <c r="F57" s="206" t="s">
        <v>2402</v>
      </c>
    </row>
    <row r="58" spans="1:6" ht="15.75" thickBot="1" x14ac:dyDescent="0.3">
      <c r="A58" s="445" t="s">
        <v>2405</v>
      </c>
      <c r="B58" s="593" t="s">
        <v>2406</v>
      </c>
      <c r="C58" s="403" t="s">
        <v>2247</v>
      </c>
      <c r="D58" s="263" t="s">
        <v>34</v>
      </c>
      <c r="E58" s="371" t="s">
        <v>33</v>
      </c>
    </row>
    <row r="59" spans="1:6" ht="15.75" thickBot="1" x14ac:dyDescent="0.3">
      <c r="A59" s="445" t="s">
        <v>649</v>
      </c>
      <c r="B59" s="593" t="s">
        <v>2407</v>
      </c>
      <c r="C59" s="403" t="s">
        <v>2247</v>
      </c>
      <c r="D59" s="263" t="s">
        <v>34</v>
      </c>
      <c r="E59" s="371" t="s">
        <v>33</v>
      </c>
    </row>
    <row r="60" spans="1:6" ht="15.75" thickBot="1" x14ac:dyDescent="0.3">
      <c r="A60" s="445" t="s">
        <v>745</v>
      </c>
      <c r="B60" s="593" t="s">
        <v>2408</v>
      </c>
      <c r="C60" s="403" t="s">
        <v>2247</v>
      </c>
      <c r="D60" s="263" t="s">
        <v>34</v>
      </c>
      <c r="E60" s="371" t="s">
        <v>33</v>
      </c>
    </row>
    <row r="61" spans="1:6" ht="15.75" thickBot="1" x14ac:dyDescent="0.3">
      <c r="A61" s="445" t="s">
        <v>2246</v>
      </c>
      <c r="B61" s="593" t="s">
        <v>2230</v>
      </c>
      <c r="C61" s="403" t="s">
        <v>2247</v>
      </c>
      <c r="D61" s="263" t="s">
        <v>34</v>
      </c>
      <c r="E61" s="371" t="s">
        <v>33</v>
      </c>
    </row>
    <row r="62" spans="1:6" ht="15.75" thickBot="1" x14ac:dyDescent="0.3">
      <c r="A62" s="445" t="s">
        <v>666</v>
      </c>
      <c r="B62" s="593" t="s">
        <v>2409</v>
      </c>
      <c r="C62" s="403" t="s">
        <v>2247</v>
      </c>
      <c r="D62" s="263" t="s">
        <v>34</v>
      </c>
      <c r="E62" s="371" t="s">
        <v>33</v>
      </c>
    </row>
    <row r="63" spans="1:6" ht="15.75" thickBot="1" x14ac:dyDescent="0.3">
      <c r="A63" s="445" t="s">
        <v>495</v>
      </c>
      <c r="B63" s="593" t="s">
        <v>2410</v>
      </c>
      <c r="C63" s="403" t="s">
        <v>2247</v>
      </c>
      <c r="D63" s="263" t="s">
        <v>34</v>
      </c>
      <c r="E63" s="371" t="s">
        <v>33</v>
      </c>
    </row>
    <row r="64" spans="1:6" ht="30.75" thickBot="1" x14ac:dyDescent="0.3">
      <c r="A64" s="445" t="s">
        <v>2131</v>
      </c>
      <c r="B64" s="593" t="s">
        <v>2135</v>
      </c>
      <c r="C64" s="403" t="s">
        <v>2247</v>
      </c>
      <c r="D64" s="263" t="s">
        <v>34</v>
      </c>
      <c r="E64" s="371" t="s">
        <v>33</v>
      </c>
    </row>
    <row r="65" spans="1:6" ht="30.75" thickBot="1" x14ac:dyDescent="0.3">
      <c r="A65" s="445" t="s">
        <v>2411</v>
      </c>
      <c r="B65" s="593" t="s">
        <v>2412</v>
      </c>
      <c r="C65" s="403" t="s">
        <v>2247</v>
      </c>
      <c r="D65" s="263" t="s">
        <v>34</v>
      </c>
      <c r="E65" s="371" t="s">
        <v>33</v>
      </c>
    </row>
    <row r="66" spans="1:6" ht="15.75" thickBot="1" x14ac:dyDescent="0.3">
      <c r="A66" s="445" t="s">
        <v>2413</v>
      </c>
      <c r="B66" s="593" t="s">
        <v>737</v>
      </c>
      <c r="C66" s="403" t="s">
        <v>2247</v>
      </c>
      <c r="D66" s="263" t="s">
        <v>34</v>
      </c>
      <c r="E66" s="371" t="s">
        <v>33</v>
      </c>
    </row>
    <row r="67" spans="1:6" ht="15.75" thickBot="1" x14ac:dyDescent="0.3">
      <c r="A67" s="445" t="s">
        <v>595</v>
      </c>
      <c r="B67" s="593" t="s">
        <v>2414</v>
      </c>
      <c r="C67" s="403" t="s">
        <v>2247</v>
      </c>
      <c r="D67" s="263" t="s">
        <v>34</v>
      </c>
      <c r="E67" s="371" t="s">
        <v>33</v>
      </c>
    </row>
    <row r="68" spans="1:6" ht="45.75" thickBot="1" x14ac:dyDescent="0.3">
      <c r="A68" s="445" t="s">
        <v>1045</v>
      </c>
      <c r="B68" s="593" t="s">
        <v>2415</v>
      </c>
      <c r="C68" s="403" t="s">
        <v>2247</v>
      </c>
      <c r="D68" s="263" t="s">
        <v>34</v>
      </c>
      <c r="E68" s="371" t="s">
        <v>33</v>
      </c>
    </row>
    <row r="69" spans="1:6" ht="26.45" customHeight="1" thickBot="1" x14ac:dyDescent="0.3">
      <c r="A69" s="445" t="s">
        <v>1051</v>
      </c>
      <c r="B69" s="593" t="s">
        <v>2416</v>
      </c>
      <c r="C69" s="403" t="s">
        <v>2247</v>
      </c>
      <c r="D69" s="263" t="s">
        <v>34</v>
      </c>
      <c r="E69" s="371" t="s">
        <v>33</v>
      </c>
    </row>
    <row r="70" spans="1:6" ht="45" x14ac:dyDescent="0.25">
      <c r="A70" s="445" t="s">
        <v>2417</v>
      </c>
      <c r="B70" s="593" t="s">
        <v>2418</v>
      </c>
      <c r="C70" s="403" t="s">
        <v>2247</v>
      </c>
      <c r="D70" s="263" t="s">
        <v>44</v>
      </c>
      <c r="E70" s="371" t="s">
        <v>33</v>
      </c>
      <c r="F70" t="s">
        <v>2419</v>
      </c>
    </row>
    <row r="71" spans="1:6" ht="30.75" thickBot="1" x14ac:dyDescent="0.3">
      <c r="A71" s="445" t="s">
        <v>727</v>
      </c>
      <c r="B71" s="593" t="s">
        <v>724</v>
      </c>
      <c r="C71" s="403" t="s">
        <v>2247</v>
      </c>
      <c r="D71" s="263" t="s">
        <v>34</v>
      </c>
      <c r="E71" s="371" t="s">
        <v>33</v>
      </c>
    </row>
    <row r="72" spans="1:6" ht="30.75" thickBot="1" x14ac:dyDescent="0.3">
      <c r="A72" s="445" t="s">
        <v>2420</v>
      </c>
      <c r="B72" s="593" t="s">
        <v>728</v>
      </c>
      <c r="C72" s="403" t="s">
        <v>2247</v>
      </c>
      <c r="D72" s="263" t="s">
        <v>34</v>
      </c>
      <c r="E72" s="371" t="s">
        <v>33</v>
      </c>
    </row>
    <row r="73" spans="1:6" ht="15.75" thickBot="1" x14ac:dyDescent="0.3">
      <c r="A73" s="445" t="s">
        <v>2421</v>
      </c>
      <c r="B73" s="593" t="s">
        <v>2422</v>
      </c>
      <c r="C73" s="403" t="s">
        <v>2247</v>
      </c>
      <c r="D73" s="263" t="s">
        <v>34</v>
      </c>
      <c r="E73" s="371" t="s">
        <v>33</v>
      </c>
    </row>
    <row r="74" spans="1:6" ht="15.75" thickBot="1" x14ac:dyDescent="0.3">
      <c r="A74" s="445" t="s">
        <v>305</v>
      </c>
      <c r="B74" s="593" t="s">
        <v>2423</v>
      </c>
      <c r="C74" s="403" t="s">
        <v>2247</v>
      </c>
      <c r="D74" s="263" t="s">
        <v>34</v>
      </c>
      <c r="E74" s="371" t="s">
        <v>33</v>
      </c>
    </row>
    <row r="75" spans="1:6" ht="15.75" thickBot="1" x14ac:dyDescent="0.3">
      <c r="A75" s="445" t="s">
        <v>312</v>
      </c>
      <c r="B75" s="593" t="s">
        <v>2424</v>
      </c>
      <c r="C75" s="403" t="s">
        <v>2247</v>
      </c>
      <c r="D75" s="263" t="s">
        <v>34</v>
      </c>
      <c r="E75" s="371" t="s">
        <v>33</v>
      </c>
    </row>
    <row r="76" spans="1:6" ht="15.75" thickBot="1" x14ac:dyDescent="0.3">
      <c r="A76" s="445" t="s">
        <v>943</v>
      </c>
      <c r="B76" s="593" t="s">
        <v>2425</v>
      </c>
      <c r="C76" s="403" t="s">
        <v>2247</v>
      </c>
      <c r="D76" s="263" t="s">
        <v>34</v>
      </c>
      <c r="E76" s="371" t="s">
        <v>33</v>
      </c>
    </row>
    <row r="77" spans="1:6" ht="15.75" thickBot="1" x14ac:dyDescent="0.3">
      <c r="A77" s="445" t="s">
        <v>898</v>
      </c>
      <c r="B77" s="593" t="s">
        <v>2426</v>
      </c>
      <c r="C77" s="403" t="s">
        <v>2247</v>
      </c>
      <c r="D77" s="263" t="s">
        <v>34</v>
      </c>
      <c r="E77" s="371" t="s">
        <v>33</v>
      </c>
    </row>
    <row r="78" spans="1:6" ht="30.75" thickBot="1" x14ac:dyDescent="0.3">
      <c r="A78" s="445" t="s">
        <v>2427</v>
      </c>
      <c r="B78" s="593" t="s">
        <v>2428</v>
      </c>
      <c r="C78" s="403" t="s">
        <v>2247</v>
      </c>
      <c r="D78" s="263" t="s">
        <v>34</v>
      </c>
      <c r="E78" s="371" t="s">
        <v>33</v>
      </c>
    </row>
    <row r="79" spans="1:6" ht="15.75" thickBot="1" x14ac:dyDescent="0.3">
      <c r="A79" s="445" t="s">
        <v>1006</v>
      </c>
      <c r="B79" s="593" t="s">
        <v>1007</v>
      </c>
      <c r="C79" s="403" t="s">
        <v>2247</v>
      </c>
      <c r="D79" s="263" t="s">
        <v>34</v>
      </c>
      <c r="E79" s="371" t="s">
        <v>33</v>
      </c>
    </row>
    <row r="80" spans="1:6" ht="30.75" thickBot="1" x14ac:dyDescent="0.3">
      <c r="A80" s="445" t="s">
        <v>2429</v>
      </c>
      <c r="B80" s="593" t="s">
        <v>2430</v>
      </c>
      <c r="C80" s="403" t="s">
        <v>2247</v>
      </c>
      <c r="D80" s="263" t="s">
        <v>34</v>
      </c>
      <c r="E80" s="371" t="s">
        <v>33</v>
      </c>
    </row>
    <row r="81" spans="1:5" ht="15.75" thickBot="1" x14ac:dyDescent="0.3">
      <c r="A81" s="445" t="s">
        <v>2431</v>
      </c>
      <c r="B81" s="593" t="s">
        <v>2432</v>
      </c>
      <c r="C81" s="403" t="s">
        <v>2247</v>
      </c>
      <c r="D81" s="263" t="s">
        <v>44</v>
      </c>
      <c r="E81" s="371" t="s">
        <v>33</v>
      </c>
    </row>
    <row r="82" spans="1:5" ht="15.75" thickBot="1" x14ac:dyDescent="0.3">
      <c r="A82" s="445" t="s">
        <v>2433</v>
      </c>
      <c r="B82" s="593" t="s">
        <v>2434</v>
      </c>
      <c r="C82" s="403" t="s">
        <v>2247</v>
      </c>
      <c r="D82" s="263" t="s">
        <v>44</v>
      </c>
      <c r="E82" s="371" t="s">
        <v>33</v>
      </c>
    </row>
    <row r="83" spans="1:5" ht="15.75" thickBot="1" x14ac:dyDescent="0.3">
      <c r="A83" s="445" t="s">
        <v>2435</v>
      </c>
      <c r="B83" s="593" t="s">
        <v>2436</v>
      </c>
      <c r="C83" s="403" t="s">
        <v>44</v>
      </c>
      <c r="D83" s="263" t="s">
        <v>44</v>
      </c>
      <c r="E83" s="371" t="s">
        <v>33</v>
      </c>
    </row>
    <row r="84" spans="1:5" ht="30.75" thickBot="1" x14ac:dyDescent="0.3">
      <c r="A84" s="445" t="s">
        <v>2234</v>
      </c>
      <c r="B84" s="593" t="s">
        <v>2437</v>
      </c>
      <c r="C84" s="403" t="s">
        <v>2247</v>
      </c>
      <c r="D84" s="263" t="s">
        <v>34</v>
      </c>
      <c r="E84" s="371" t="s">
        <v>33</v>
      </c>
    </row>
    <row r="85" spans="1:5" ht="15.75" thickBot="1" x14ac:dyDescent="0.3">
      <c r="A85" s="445" t="s">
        <v>2438</v>
      </c>
      <c r="B85" s="593" t="s">
        <v>2439</v>
      </c>
      <c r="C85" s="403" t="s">
        <v>2247</v>
      </c>
      <c r="D85" s="263" t="s">
        <v>34</v>
      </c>
      <c r="E85" s="371" t="s">
        <v>33</v>
      </c>
    </row>
    <row r="86" spans="1:5" ht="15.75" thickBot="1" x14ac:dyDescent="0.3">
      <c r="A86" s="445" t="s">
        <v>2440</v>
      </c>
      <c r="B86" s="593" t="s">
        <v>2441</v>
      </c>
      <c r="C86" s="403" t="s">
        <v>2247</v>
      </c>
      <c r="D86" s="263" t="s">
        <v>34</v>
      </c>
      <c r="E86" s="371" t="s">
        <v>33</v>
      </c>
    </row>
    <row r="87" spans="1:5" ht="15.75" thickBot="1" x14ac:dyDescent="0.3">
      <c r="A87" s="445" t="s">
        <v>2442</v>
      </c>
      <c r="B87" s="593" t="s">
        <v>2443</v>
      </c>
      <c r="C87" s="403" t="s">
        <v>2247</v>
      </c>
      <c r="D87" s="263" t="s">
        <v>34</v>
      </c>
      <c r="E87" s="371" t="s">
        <v>33</v>
      </c>
    </row>
    <row r="88" spans="1:5" ht="15.75" thickBot="1" x14ac:dyDescent="0.3">
      <c r="A88" s="445" t="s">
        <v>2444</v>
      </c>
      <c r="B88" s="593" t="s">
        <v>2445</v>
      </c>
      <c r="C88" s="403" t="s">
        <v>44</v>
      </c>
      <c r="D88" s="263" t="s">
        <v>34</v>
      </c>
      <c r="E88" s="371" t="s">
        <v>33</v>
      </c>
    </row>
    <row r="89" spans="1:5" ht="15.75" thickBot="1" x14ac:dyDescent="0.3">
      <c r="A89" s="445" t="s">
        <v>2446</v>
      </c>
      <c r="B89" s="593" t="s">
        <v>2447</v>
      </c>
      <c r="C89" s="403" t="s">
        <v>44</v>
      </c>
      <c r="D89" s="263" t="s">
        <v>44</v>
      </c>
      <c r="E89" s="371" t="s">
        <v>33</v>
      </c>
    </row>
    <row r="90" spans="1:5" ht="30.75" thickBot="1" x14ac:dyDescent="0.3">
      <c r="A90" s="445" t="s">
        <v>2448</v>
      </c>
      <c r="B90" s="593" t="s">
        <v>2449</v>
      </c>
      <c r="C90" s="403" t="s">
        <v>2247</v>
      </c>
      <c r="D90" s="263" t="s">
        <v>44</v>
      </c>
      <c r="E90" s="371" t="s">
        <v>33</v>
      </c>
    </row>
    <row r="91" spans="1:5" ht="30.75" thickBot="1" x14ac:dyDescent="0.3">
      <c r="A91" s="445" t="s">
        <v>2450</v>
      </c>
      <c r="B91" s="593" t="s">
        <v>2451</v>
      </c>
      <c r="C91" s="403" t="s">
        <v>44</v>
      </c>
      <c r="D91" s="263" t="s">
        <v>34</v>
      </c>
      <c r="E91" s="371" t="s">
        <v>33</v>
      </c>
    </row>
    <row r="92" spans="1:5" ht="30.75" thickBot="1" x14ac:dyDescent="0.3">
      <c r="A92" s="445" t="s">
        <v>2452</v>
      </c>
      <c r="B92" s="593" t="s">
        <v>2453</v>
      </c>
      <c r="C92" s="403" t="s">
        <v>2247</v>
      </c>
      <c r="D92" s="263" t="s">
        <v>34</v>
      </c>
      <c r="E92" s="371" t="s">
        <v>33</v>
      </c>
    </row>
    <row r="93" spans="1:5" ht="30.75" thickBot="1" x14ac:dyDescent="0.3">
      <c r="A93" s="445" t="s">
        <v>484</v>
      </c>
      <c r="B93" s="593" t="s">
        <v>2454</v>
      </c>
      <c r="C93" s="403" t="s">
        <v>2455</v>
      </c>
      <c r="D93" s="263" t="s">
        <v>34</v>
      </c>
      <c r="E93" s="371" t="s">
        <v>33</v>
      </c>
    </row>
    <row r="94" spans="1:5" ht="30.75" thickBot="1" x14ac:dyDescent="0.3">
      <c r="A94" s="445" t="s">
        <v>2456</v>
      </c>
      <c r="B94" s="593" t="s">
        <v>2457</v>
      </c>
      <c r="C94" s="403" t="s">
        <v>2247</v>
      </c>
      <c r="D94" s="263" t="s">
        <v>34</v>
      </c>
      <c r="E94" s="371" t="s">
        <v>33</v>
      </c>
    </row>
    <row r="95" spans="1:5" ht="15.75" thickBot="1" x14ac:dyDescent="0.3">
      <c r="A95" s="445" t="s">
        <v>2458</v>
      </c>
      <c r="B95" s="593" t="s">
        <v>2459</v>
      </c>
      <c r="C95" s="403" t="s">
        <v>44</v>
      </c>
      <c r="D95" s="263" t="s">
        <v>44</v>
      </c>
      <c r="E95" s="371" t="s">
        <v>33</v>
      </c>
    </row>
    <row r="96" spans="1:5" ht="15.75" thickBot="1" x14ac:dyDescent="0.3">
      <c r="A96" s="445" t="s">
        <v>2460</v>
      </c>
      <c r="B96" s="593" t="s">
        <v>2461</v>
      </c>
      <c r="C96" s="403" t="s">
        <v>2247</v>
      </c>
      <c r="D96" s="263" t="s">
        <v>44</v>
      </c>
      <c r="E96" s="371" t="s">
        <v>33</v>
      </c>
    </row>
    <row r="97" spans="1:5" ht="15.75" thickBot="1" x14ac:dyDescent="0.3">
      <c r="A97" s="445" t="s">
        <v>2462</v>
      </c>
      <c r="B97" s="593" t="s">
        <v>2463</v>
      </c>
      <c r="C97" s="403" t="s">
        <v>2247</v>
      </c>
      <c r="D97" s="263" t="s">
        <v>34</v>
      </c>
      <c r="E97" s="371" t="s">
        <v>33</v>
      </c>
    </row>
    <row r="98" spans="1:5" ht="30.75" thickBot="1" x14ac:dyDescent="0.3">
      <c r="A98" s="445" t="s">
        <v>2464</v>
      </c>
      <c r="B98" s="593" t="s">
        <v>2465</v>
      </c>
      <c r="C98" s="403" t="s">
        <v>44</v>
      </c>
      <c r="D98" s="263" t="s">
        <v>44</v>
      </c>
      <c r="E98" s="371" t="s">
        <v>33</v>
      </c>
    </row>
    <row r="99" spans="1:5" ht="30.75" thickBot="1" x14ac:dyDescent="0.3">
      <c r="A99" s="445" t="s">
        <v>616</v>
      </c>
      <c r="B99" s="593" t="s">
        <v>2466</v>
      </c>
      <c r="C99" s="403" t="s">
        <v>2247</v>
      </c>
      <c r="D99" s="263" t="s">
        <v>34</v>
      </c>
      <c r="E99" s="371" t="s">
        <v>33</v>
      </c>
    </row>
    <row r="100" spans="1:5" ht="15.75" thickBot="1" x14ac:dyDescent="0.3">
      <c r="A100" s="445" t="s">
        <v>2467</v>
      </c>
      <c r="B100" s="593" t="s">
        <v>2468</v>
      </c>
      <c r="C100" s="403" t="s">
        <v>2247</v>
      </c>
      <c r="D100" s="263" t="s">
        <v>43</v>
      </c>
      <c r="E100" s="371" t="s">
        <v>33</v>
      </c>
    </row>
    <row r="101" spans="1:5" ht="30.75" thickBot="1" x14ac:dyDescent="0.3">
      <c r="A101" s="445" t="s">
        <v>2469</v>
      </c>
      <c r="B101" s="593" t="s">
        <v>2470</v>
      </c>
      <c r="C101" s="403" t="s">
        <v>2247</v>
      </c>
      <c r="D101" s="263" t="s">
        <v>34</v>
      </c>
      <c r="E101" s="371" t="s">
        <v>33</v>
      </c>
    </row>
    <row r="102" spans="1:5" ht="30.75" thickBot="1" x14ac:dyDescent="0.3">
      <c r="A102" s="445" t="s">
        <v>2471</v>
      </c>
      <c r="B102" s="593" t="s">
        <v>2472</v>
      </c>
      <c r="C102" s="403" t="s">
        <v>2247</v>
      </c>
      <c r="D102" s="263" t="s">
        <v>44</v>
      </c>
      <c r="E102" s="371" t="s">
        <v>33</v>
      </c>
    </row>
    <row r="103" spans="1:5" ht="15.75" thickBot="1" x14ac:dyDescent="0.3">
      <c r="A103" s="445" t="s">
        <v>2473</v>
      </c>
      <c r="B103" s="593" t="s">
        <v>2474</v>
      </c>
      <c r="C103" s="403" t="s">
        <v>2247</v>
      </c>
      <c r="D103" s="263" t="s">
        <v>44</v>
      </c>
      <c r="E103" s="371" t="s">
        <v>33</v>
      </c>
    </row>
    <row r="104" spans="1:5" ht="30.75" thickBot="1" x14ac:dyDescent="0.3">
      <c r="A104" s="445" t="s">
        <v>2475</v>
      </c>
      <c r="B104" s="593" t="s">
        <v>2476</v>
      </c>
      <c r="C104" s="403" t="s">
        <v>2247</v>
      </c>
      <c r="D104" s="263" t="s">
        <v>34</v>
      </c>
      <c r="E104" s="371" t="s">
        <v>33</v>
      </c>
    </row>
    <row r="105" spans="1:5" ht="15.75" thickBot="1" x14ac:dyDescent="0.3">
      <c r="A105" s="445" t="s">
        <v>2477</v>
      </c>
      <c r="B105" s="593" t="s">
        <v>2478</v>
      </c>
      <c r="C105" s="403" t="s">
        <v>2247</v>
      </c>
      <c r="D105" s="263" t="s">
        <v>34</v>
      </c>
      <c r="E105" s="371" t="s">
        <v>33</v>
      </c>
    </row>
    <row r="106" spans="1:5" ht="15.75" thickBot="1" x14ac:dyDescent="0.3">
      <c r="A106" s="445" t="s">
        <v>2479</v>
      </c>
      <c r="B106" s="593" t="s">
        <v>2480</v>
      </c>
      <c r="C106" s="403" t="s">
        <v>2247</v>
      </c>
      <c r="D106" s="263" t="s">
        <v>34</v>
      </c>
      <c r="E106" s="371" t="s">
        <v>33</v>
      </c>
    </row>
    <row r="107" spans="1:5" ht="30.75" thickBot="1" x14ac:dyDescent="0.3">
      <c r="A107" s="445" t="s">
        <v>2481</v>
      </c>
      <c r="B107" s="593" t="s">
        <v>2482</v>
      </c>
      <c r="C107" s="403" t="s">
        <v>2247</v>
      </c>
      <c r="D107" s="263" t="s">
        <v>34</v>
      </c>
      <c r="E107" s="371" t="s">
        <v>33</v>
      </c>
    </row>
    <row r="108" spans="1:5" ht="30.75" thickBot="1" x14ac:dyDescent="0.3">
      <c r="A108" s="445" t="s">
        <v>2483</v>
      </c>
      <c r="B108" s="593" t="s">
        <v>2484</v>
      </c>
      <c r="C108" s="403" t="s">
        <v>2247</v>
      </c>
      <c r="D108" s="263" t="s">
        <v>34</v>
      </c>
      <c r="E108" s="371" t="s">
        <v>33</v>
      </c>
    </row>
    <row r="109" spans="1:5" ht="30.75" thickBot="1" x14ac:dyDescent="0.3">
      <c r="A109" s="445" t="s">
        <v>2485</v>
      </c>
      <c r="B109" s="593" t="s">
        <v>2486</v>
      </c>
      <c r="C109" s="403" t="s">
        <v>2247</v>
      </c>
      <c r="D109" s="263" t="s">
        <v>34</v>
      </c>
      <c r="E109" s="371" t="s">
        <v>33</v>
      </c>
    </row>
    <row r="110" spans="1:5" ht="15.75" thickBot="1" x14ac:dyDescent="0.3">
      <c r="A110" s="445" t="s">
        <v>2487</v>
      </c>
      <c r="B110" s="593" t="s">
        <v>2488</v>
      </c>
      <c r="C110" s="403" t="s">
        <v>2247</v>
      </c>
      <c r="D110" s="263" t="s">
        <v>34</v>
      </c>
      <c r="E110" s="371" t="s">
        <v>33</v>
      </c>
    </row>
    <row r="111" spans="1:5" ht="30.75" thickBot="1" x14ac:dyDescent="0.3">
      <c r="A111" s="445" t="s">
        <v>2489</v>
      </c>
      <c r="B111" s="593" t="s">
        <v>2490</v>
      </c>
      <c r="C111" s="403" t="s">
        <v>2247</v>
      </c>
      <c r="D111" s="263" t="s">
        <v>43</v>
      </c>
      <c r="E111" s="371" t="s">
        <v>33</v>
      </c>
    </row>
    <row r="112" spans="1:5" ht="15.75" thickBot="1" x14ac:dyDescent="0.3">
      <c r="A112" s="445" t="s">
        <v>2491</v>
      </c>
      <c r="B112" s="593" t="s">
        <v>2492</v>
      </c>
      <c r="C112" s="403" t="s">
        <v>44</v>
      </c>
      <c r="D112" s="263" t="s">
        <v>44</v>
      </c>
      <c r="E112" s="371" t="s">
        <v>33</v>
      </c>
    </row>
    <row r="113" spans="1:6" ht="15.75" thickBot="1" x14ac:dyDescent="0.3">
      <c r="A113" s="445" t="s">
        <v>2493</v>
      </c>
      <c r="B113" s="593" t="s">
        <v>2494</v>
      </c>
      <c r="C113" s="403" t="s">
        <v>2247</v>
      </c>
      <c r="D113" s="263" t="s">
        <v>43</v>
      </c>
      <c r="E113" s="371" t="s">
        <v>33</v>
      </c>
    </row>
    <row r="114" spans="1:6" ht="15.75" thickBot="1" x14ac:dyDescent="0.3">
      <c r="A114" s="445" t="s">
        <v>2495</v>
      </c>
      <c r="B114" s="593" t="s">
        <v>2496</v>
      </c>
      <c r="C114" s="403" t="s">
        <v>2247</v>
      </c>
      <c r="D114" s="263" t="s">
        <v>43</v>
      </c>
      <c r="E114" s="371" t="s">
        <v>33</v>
      </c>
    </row>
    <row r="115" spans="1:6" ht="15.75" thickBot="1" x14ac:dyDescent="0.3">
      <c r="A115" s="445" t="s">
        <v>2497</v>
      </c>
      <c r="B115" s="593" t="s">
        <v>2498</v>
      </c>
      <c r="C115" s="403" t="s">
        <v>2247</v>
      </c>
      <c r="D115" s="263" t="s">
        <v>43</v>
      </c>
      <c r="E115" s="371" t="s">
        <v>33</v>
      </c>
    </row>
    <row r="116" spans="1:6" ht="15.75" thickBot="1" x14ac:dyDescent="0.3">
      <c r="A116" s="445" t="s">
        <v>2499</v>
      </c>
      <c r="B116" s="593" t="s">
        <v>2500</v>
      </c>
      <c r="C116" s="403" t="s">
        <v>2247</v>
      </c>
      <c r="D116" s="263" t="s">
        <v>43</v>
      </c>
      <c r="E116" s="371" t="s">
        <v>33</v>
      </c>
    </row>
    <row r="117" spans="1:6" ht="30.75" thickBot="1" x14ac:dyDescent="0.3">
      <c r="A117" s="445" t="s">
        <v>2501</v>
      </c>
      <c r="B117" s="593" t="s">
        <v>2502</v>
      </c>
      <c r="C117" s="403" t="s">
        <v>2247</v>
      </c>
      <c r="D117" s="263" t="s">
        <v>43</v>
      </c>
      <c r="E117" s="371" t="s">
        <v>33</v>
      </c>
    </row>
    <row r="118" spans="1:6" ht="15.75" thickBot="1" x14ac:dyDescent="0.3">
      <c r="A118" s="445" t="s">
        <v>2503</v>
      </c>
      <c r="B118" s="593" t="s">
        <v>2504</v>
      </c>
      <c r="C118" s="403" t="s">
        <v>2247</v>
      </c>
      <c r="D118" s="263" t="s">
        <v>43</v>
      </c>
      <c r="E118" s="371" t="s">
        <v>33</v>
      </c>
    </row>
    <row r="119" spans="1:6" ht="15.75" thickBot="1" x14ac:dyDescent="0.3">
      <c r="A119" s="445" t="s">
        <v>2505</v>
      </c>
      <c r="B119" s="593" t="s">
        <v>2506</v>
      </c>
      <c r="C119" s="403" t="s">
        <v>2247</v>
      </c>
      <c r="D119" s="263" t="s">
        <v>43</v>
      </c>
      <c r="E119" s="371" t="s">
        <v>33</v>
      </c>
    </row>
    <row r="120" spans="1:6" ht="15.75" thickBot="1" x14ac:dyDescent="0.3">
      <c r="A120" s="445" t="s">
        <v>2507</v>
      </c>
      <c r="B120" s="593" t="s">
        <v>2508</v>
      </c>
      <c r="C120" s="403" t="s">
        <v>2247</v>
      </c>
      <c r="D120" s="263" t="s">
        <v>34</v>
      </c>
      <c r="E120" s="371" t="s">
        <v>33</v>
      </c>
    </row>
    <row r="121" spans="1:6" ht="15.75" thickBot="1" x14ac:dyDescent="0.3">
      <c r="A121" s="445" t="s">
        <v>2248</v>
      </c>
      <c r="B121" s="593" t="s">
        <v>2231</v>
      </c>
      <c r="C121" s="403" t="s">
        <v>2247</v>
      </c>
      <c r="D121" s="263" t="s">
        <v>34</v>
      </c>
      <c r="E121" s="371" t="s">
        <v>33</v>
      </c>
      <c r="F121" t="s">
        <v>2233</v>
      </c>
    </row>
    <row r="122" spans="1:6" ht="15.75" thickBot="1" x14ac:dyDescent="0.3">
      <c r="A122" s="445" t="s">
        <v>2509</v>
      </c>
      <c r="B122" s="593" t="s">
        <v>2510</v>
      </c>
      <c r="C122" s="403" t="s">
        <v>44</v>
      </c>
      <c r="D122" s="263" t="s">
        <v>44</v>
      </c>
      <c r="E122" s="371" t="s">
        <v>33</v>
      </c>
    </row>
    <row r="123" spans="1:6" ht="15.75" thickBot="1" x14ac:dyDescent="0.3">
      <c r="A123" s="445" t="s">
        <v>2511</v>
      </c>
      <c r="B123" s="593" t="s">
        <v>2512</v>
      </c>
      <c r="C123" s="403" t="s">
        <v>44</v>
      </c>
      <c r="D123" s="263" t="s">
        <v>44</v>
      </c>
      <c r="E123" s="371" t="s">
        <v>33</v>
      </c>
    </row>
    <row r="124" spans="1:6" ht="15.75" thickBot="1" x14ac:dyDescent="0.3">
      <c r="A124" s="445" t="s">
        <v>2513</v>
      </c>
      <c r="B124" s="593" t="s">
        <v>2514</v>
      </c>
      <c r="C124" s="403" t="s">
        <v>44</v>
      </c>
      <c r="D124" s="263" t="s">
        <v>44</v>
      </c>
      <c r="E124" s="371" t="s">
        <v>33</v>
      </c>
    </row>
    <row r="125" spans="1:6" ht="15.75" thickBot="1" x14ac:dyDescent="0.3">
      <c r="A125" s="445" t="s">
        <v>2515</v>
      </c>
      <c r="B125" s="593" t="s">
        <v>2516</v>
      </c>
      <c r="C125" s="403" t="s">
        <v>44</v>
      </c>
      <c r="D125" s="263" t="s">
        <v>44</v>
      </c>
      <c r="E125" s="371" t="s">
        <v>33</v>
      </c>
    </row>
    <row r="126" spans="1:6" ht="15.75" thickBot="1" x14ac:dyDescent="0.3">
      <c r="A126" s="445" t="s">
        <v>2517</v>
      </c>
      <c r="B126" s="593" t="s">
        <v>2518</v>
      </c>
      <c r="C126" s="403" t="s">
        <v>44</v>
      </c>
      <c r="D126" s="263" t="s">
        <v>44</v>
      </c>
      <c r="E126" s="371" t="s">
        <v>33</v>
      </c>
    </row>
    <row r="127" spans="1:6" ht="15.75" thickBot="1" x14ac:dyDescent="0.3">
      <c r="A127" s="445" t="s">
        <v>2519</v>
      </c>
      <c r="B127" s="593" t="s">
        <v>2520</v>
      </c>
      <c r="C127" s="403" t="s">
        <v>44</v>
      </c>
      <c r="D127" s="263" t="s">
        <v>44</v>
      </c>
      <c r="E127" s="371" t="s">
        <v>33</v>
      </c>
    </row>
    <row r="128" spans="1:6" ht="15.75" thickBot="1" x14ac:dyDescent="0.3">
      <c r="A128" s="445" t="s">
        <v>2521</v>
      </c>
      <c r="B128" s="593" t="s">
        <v>2522</v>
      </c>
      <c r="C128" s="403" t="s">
        <v>2247</v>
      </c>
      <c r="D128" s="263" t="s">
        <v>43</v>
      </c>
      <c r="E128" s="371" t="s">
        <v>33</v>
      </c>
    </row>
    <row r="129" spans="1:5" ht="15.75" thickBot="1" x14ac:dyDescent="0.3">
      <c r="A129" s="445" t="s">
        <v>2523</v>
      </c>
      <c r="B129" s="593" t="s">
        <v>2524</v>
      </c>
      <c r="C129" s="403" t="s">
        <v>2247</v>
      </c>
      <c r="D129" s="263" t="s">
        <v>43</v>
      </c>
      <c r="E129" s="371" t="s">
        <v>38</v>
      </c>
    </row>
    <row r="130" spans="1:5" ht="15.75" thickBot="1" x14ac:dyDescent="0.3">
      <c r="A130" s="445" t="s">
        <v>2525</v>
      </c>
      <c r="B130" s="593" t="s">
        <v>2526</v>
      </c>
      <c r="C130" s="403" t="s">
        <v>2247</v>
      </c>
      <c r="D130" s="263" t="s">
        <v>43</v>
      </c>
      <c r="E130" s="371" t="s">
        <v>33</v>
      </c>
    </row>
    <row r="131" spans="1:5" ht="15.75" thickBot="1" x14ac:dyDescent="0.3">
      <c r="A131" s="445" t="s">
        <v>2527</v>
      </c>
      <c r="B131" s="593" t="s">
        <v>2528</v>
      </c>
      <c r="C131" s="403" t="s">
        <v>2247</v>
      </c>
      <c r="D131" s="263" t="s">
        <v>44</v>
      </c>
      <c r="E131" s="371" t="s">
        <v>33</v>
      </c>
    </row>
    <row r="132" spans="1:5" ht="15.75" thickBot="1" x14ac:dyDescent="0.3">
      <c r="A132" s="445" t="s">
        <v>2529</v>
      </c>
      <c r="B132" s="593" t="s">
        <v>2530</v>
      </c>
      <c r="C132" s="403" t="s">
        <v>44</v>
      </c>
      <c r="D132" s="263" t="s">
        <v>43</v>
      </c>
      <c r="E132" s="371" t="s">
        <v>33</v>
      </c>
    </row>
    <row r="133" spans="1:5" ht="15.75" thickBot="1" x14ac:dyDescent="0.3">
      <c r="A133" s="445" t="s">
        <v>2531</v>
      </c>
      <c r="B133" s="593" t="s">
        <v>2532</v>
      </c>
      <c r="C133" s="403" t="s">
        <v>2247</v>
      </c>
      <c r="D133" s="263" t="s">
        <v>43</v>
      </c>
      <c r="E133" s="371" t="s">
        <v>33</v>
      </c>
    </row>
    <row r="134" spans="1:5" ht="15.75" thickBot="1" x14ac:dyDescent="0.3">
      <c r="A134" s="445" t="s">
        <v>2200</v>
      </c>
      <c r="B134" s="593" t="s">
        <v>2533</v>
      </c>
      <c r="C134" s="403" t="s">
        <v>2247</v>
      </c>
      <c r="D134" s="263" t="s">
        <v>34</v>
      </c>
      <c r="E134" s="371" t="s">
        <v>33</v>
      </c>
    </row>
    <row r="135" spans="1:5" ht="15.75" thickBot="1" x14ac:dyDescent="0.3">
      <c r="A135" s="445" t="s">
        <v>2534</v>
      </c>
      <c r="B135" s="593" t="s">
        <v>2535</v>
      </c>
      <c r="C135" s="403" t="s">
        <v>44</v>
      </c>
      <c r="D135" s="263" t="s">
        <v>44</v>
      </c>
      <c r="E135" s="371" t="s">
        <v>33</v>
      </c>
    </row>
    <row r="136" spans="1:5" ht="15.75" thickBot="1" x14ac:dyDescent="0.3">
      <c r="A136" s="445" t="s">
        <v>2536</v>
      </c>
      <c r="B136" s="593" t="s">
        <v>2537</v>
      </c>
      <c r="C136" s="403" t="s">
        <v>44</v>
      </c>
      <c r="D136" s="263" t="s">
        <v>44</v>
      </c>
      <c r="E136" s="371" t="s">
        <v>33</v>
      </c>
    </row>
    <row r="137" spans="1:5" ht="15.75" thickBot="1" x14ac:dyDescent="0.3">
      <c r="A137" s="445" t="s">
        <v>2538</v>
      </c>
      <c r="B137" s="593" t="s">
        <v>2539</v>
      </c>
      <c r="C137" s="403" t="s">
        <v>44</v>
      </c>
      <c r="D137" s="263" t="s">
        <v>44</v>
      </c>
      <c r="E137" s="371" t="s">
        <v>33</v>
      </c>
    </row>
    <row r="138" spans="1:5" ht="15.75" thickBot="1" x14ac:dyDescent="0.3">
      <c r="A138" s="445" t="s">
        <v>1539</v>
      </c>
      <c r="B138" s="593" t="s">
        <v>1540</v>
      </c>
      <c r="C138" s="403" t="s">
        <v>2247</v>
      </c>
      <c r="D138" s="263" t="s">
        <v>34</v>
      </c>
      <c r="E138" s="371" t="s">
        <v>33</v>
      </c>
    </row>
    <row r="139" spans="1:5" ht="15.75" thickBot="1" x14ac:dyDescent="0.3">
      <c r="A139" s="445" t="s">
        <v>2540</v>
      </c>
      <c r="B139" s="593" t="s">
        <v>2541</v>
      </c>
      <c r="C139" s="403" t="s">
        <v>44</v>
      </c>
      <c r="D139" s="263" t="s">
        <v>43</v>
      </c>
      <c r="E139" s="371" t="s">
        <v>33</v>
      </c>
    </row>
    <row r="140" spans="1:5" ht="15.75" thickBot="1" x14ac:dyDescent="0.3">
      <c r="A140" s="445" t="s">
        <v>2542</v>
      </c>
      <c r="B140" s="593" t="s">
        <v>2543</v>
      </c>
      <c r="C140" s="403" t="s">
        <v>44</v>
      </c>
      <c r="D140" s="263" t="s">
        <v>44</v>
      </c>
      <c r="E140" s="371" t="s">
        <v>33</v>
      </c>
    </row>
    <row r="141" spans="1:5" ht="15.75" thickBot="1" x14ac:dyDescent="0.3">
      <c r="A141" s="445" t="s">
        <v>2544</v>
      </c>
      <c r="B141" s="593" t="s">
        <v>2545</v>
      </c>
      <c r="C141" s="403" t="s">
        <v>44</v>
      </c>
      <c r="D141" s="263" t="s">
        <v>44</v>
      </c>
      <c r="E141" s="371" t="s">
        <v>33</v>
      </c>
    </row>
    <row r="142" spans="1:5" ht="15.75" thickBot="1" x14ac:dyDescent="0.3">
      <c r="A142" s="445" t="s">
        <v>2546</v>
      </c>
      <c r="B142" s="593" t="s">
        <v>2547</v>
      </c>
      <c r="C142" s="403" t="s">
        <v>44</v>
      </c>
      <c r="D142" s="263" t="s">
        <v>44</v>
      </c>
      <c r="E142" s="371" t="s">
        <v>33</v>
      </c>
    </row>
    <row r="143" spans="1:5" ht="25.9" customHeight="1" thickBot="1" x14ac:dyDescent="0.3">
      <c r="A143" s="445" t="s">
        <v>2548</v>
      </c>
      <c r="B143" s="593" t="s">
        <v>2549</v>
      </c>
      <c r="C143" s="403" t="s">
        <v>44</v>
      </c>
      <c r="D143" s="263" t="s">
        <v>44</v>
      </c>
      <c r="E143" s="371" t="s">
        <v>33</v>
      </c>
    </row>
    <row r="144" spans="1:5" ht="30.75" thickBot="1" x14ac:dyDescent="0.3">
      <c r="A144" s="445" t="s">
        <v>2550</v>
      </c>
      <c r="B144" s="593" t="s">
        <v>2551</v>
      </c>
      <c r="C144" s="403" t="s">
        <v>44</v>
      </c>
      <c r="D144" s="263" t="s">
        <v>44</v>
      </c>
      <c r="E144" s="371" t="s">
        <v>33</v>
      </c>
    </row>
    <row r="145" spans="1:5" ht="15.75" thickBot="1" x14ac:dyDescent="0.3">
      <c r="A145" s="445" t="s">
        <v>2552</v>
      </c>
      <c r="B145" s="593" t="s">
        <v>2553</v>
      </c>
      <c r="C145" s="403" t="s">
        <v>44</v>
      </c>
      <c r="D145" s="263" t="s">
        <v>44</v>
      </c>
      <c r="E145" s="371" t="s">
        <v>33</v>
      </c>
    </row>
    <row r="146" spans="1:5" ht="15.75" thickBot="1" x14ac:dyDescent="0.3">
      <c r="A146" s="445" t="s">
        <v>1244</v>
      </c>
      <c r="B146" s="593" t="s">
        <v>2554</v>
      </c>
      <c r="C146" s="403" t="s">
        <v>2247</v>
      </c>
      <c r="D146" s="263" t="s">
        <v>34</v>
      </c>
      <c r="E146" s="371" t="s">
        <v>33</v>
      </c>
    </row>
    <row r="147" spans="1:5" ht="15.75" thickBot="1" x14ac:dyDescent="0.3">
      <c r="A147" s="445" t="s">
        <v>2555</v>
      </c>
      <c r="B147" s="593" t="s">
        <v>2556</v>
      </c>
      <c r="C147" s="403" t="s">
        <v>1009</v>
      </c>
      <c r="D147" s="263" t="s">
        <v>34</v>
      </c>
      <c r="E147" s="371" t="s">
        <v>38</v>
      </c>
    </row>
    <row r="148" spans="1:5" ht="15.75" thickBot="1" x14ac:dyDescent="0.3">
      <c r="A148" s="445" t="s">
        <v>2557</v>
      </c>
      <c r="B148" s="593" t="s">
        <v>2214</v>
      </c>
      <c r="C148" s="403" t="s">
        <v>2247</v>
      </c>
      <c r="D148" s="263" t="s">
        <v>34</v>
      </c>
      <c r="E148" s="371" t="s">
        <v>33</v>
      </c>
    </row>
    <row r="149" spans="1:5" ht="15.75" thickBot="1" x14ac:dyDescent="0.3">
      <c r="A149" s="445" t="s">
        <v>2558</v>
      </c>
      <c r="B149" s="593" t="s">
        <v>2559</v>
      </c>
      <c r="C149" s="403" t="s">
        <v>2455</v>
      </c>
      <c r="D149" s="263" t="s">
        <v>34</v>
      </c>
      <c r="E149" s="371" t="s">
        <v>33</v>
      </c>
    </row>
    <row r="150" spans="1:5" ht="15.75" thickBot="1" x14ac:dyDescent="0.3">
      <c r="A150" s="445" t="s">
        <v>1569</v>
      </c>
      <c r="B150" s="593" t="s">
        <v>2560</v>
      </c>
      <c r="C150" s="403" t="s">
        <v>2247</v>
      </c>
      <c r="D150" s="263" t="s">
        <v>34</v>
      </c>
      <c r="E150" s="371" t="s">
        <v>33</v>
      </c>
    </row>
    <row r="151" spans="1:5" ht="15.75" thickBot="1" x14ac:dyDescent="0.3">
      <c r="A151" s="445" t="s">
        <v>1474</v>
      </c>
      <c r="B151" s="593" t="s">
        <v>2561</v>
      </c>
      <c r="C151" s="403" t="s">
        <v>2247</v>
      </c>
      <c r="D151" s="263" t="s">
        <v>34</v>
      </c>
      <c r="E151" s="371" t="s">
        <v>33</v>
      </c>
    </row>
    <row r="152" spans="1:5" ht="15.75" thickBot="1" x14ac:dyDescent="0.3">
      <c r="A152" s="445" t="s">
        <v>1492</v>
      </c>
      <c r="B152" s="593" t="s">
        <v>2562</v>
      </c>
      <c r="C152" s="403" t="s">
        <v>2247</v>
      </c>
      <c r="D152" s="263" t="s">
        <v>34</v>
      </c>
      <c r="E152" s="371" t="s">
        <v>33</v>
      </c>
    </row>
    <row r="153" spans="1:5" ht="29.45" customHeight="1" thickBot="1" x14ac:dyDescent="0.3">
      <c r="A153" s="445" t="s">
        <v>2563</v>
      </c>
      <c r="B153" s="593" t="s">
        <v>2564</v>
      </c>
      <c r="C153" s="403" t="s">
        <v>2247</v>
      </c>
      <c r="D153" s="263" t="s">
        <v>34</v>
      </c>
      <c r="E153" s="371" t="s">
        <v>33</v>
      </c>
    </row>
    <row r="154" spans="1:5" ht="15.75" thickBot="1" x14ac:dyDescent="0.3">
      <c r="A154" s="445" t="s">
        <v>1822</v>
      </c>
      <c r="B154" s="593" t="s">
        <v>2565</v>
      </c>
      <c r="C154" s="403" t="s">
        <v>2247</v>
      </c>
      <c r="D154" s="263" t="s">
        <v>34</v>
      </c>
      <c r="E154" s="371" t="s">
        <v>33</v>
      </c>
    </row>
    <row r="155" spans="1:5" ht="30.75" thickBot="1" x14ac:dyDescent="0.3">
      <c r="A155" s="445" t="s">
        <v>2566</v>
      </c>
      <c r="B155" s="593" t="s">
        <v>2567</v>
      </c>
      <c r="C155" s="403" t="s">
        <v>2247</v>
      </c>
      <c r="D155" s="263" t="s">
        <v>34</v>
      </c>
      <c r="E155" s="371" t="s">
        <v>33</v>
      </c>
    </row>
    <row r="156" spans="1:5" ht="30" customHeight="1" thickBot="1" x14ac:dyDescent="0.3">
      <c r="A156" s="445" t="s">
        <v>2249</v>
      </c>
      <c r="B156" s="593" t="s">
        <v>2568</v>
      </c>
      <c r="C156" s="403" t="s">
        <v>2247</v>
      </c>
      <c r="D156" s="263" t="s">
        <v>34</v>
      </c>
      <c r="E156" s="371" t="s">
        <v>33</v>
      </c>
    </row>
    <row r="157" spans="1:5" ht="30.75" thickBot="1" x14ac:dyDescent="0.3">
      <c r="A157" s="445" t="s">
        <v>2569</v>
      </c>
      <c r="B157" s="593" t="s">
        <v>2570</v>
      </c>
      <c r="C157" s="403" t="s">
        <v>44</v>
      </c>
      <c r="D157" s="263" t="s">
        <v>44</v>
      </c>
      <c r="E157" s="371" t="s">
        <v>33</v>
      </c>
    </row>
    <row r="158" spans="1:5" ht="15.75" thickBot="1" x14ac:dyDescent="0.3">
      <c r="A158" s="445" t="s">
        <v>1810</v>
      </c>
      <c r="B158" s="593" t="s">
        <v>2571</v>
      </c>
      <c r="C158" s="403" t="s">
        <v>2247</v>
      </c>
      <c r="D158" s="263" t="s">
        <v>34</v>
      </c>
      <c r="E158" s="371" t="s">
        <v>33</v>
      </c>
    </row>
    <row r="159" spans="1:5" ht="15.75" thickBot="1" x14ac:dyDescent="0.3">
      <c r="A159" s="445" t="s">
        <v>2572</v>
      </c>
      <c r="B159" s="593" t="s">
        <v>2256</v>
      </c>
      <c r="C159" s="403" t="s">
        <v>2247</v>
      </c>
      <c r="D159" s="263" t="s">
        <v>34</v>
      </c>
      <c r="E159" s="371" t="s">
        <v>33</v>
      </c>
    </row>
    <row r="160" spans="1:5" ht="30.75" thickBot="1" x14ac:dyDescent="0.3">
      <c r="A160" s="445" t="s">
        <v>2573</v>
      </c>
      <c r="B160" s="593" t="s">
        <v>2574</v>
      </c>
      <c r="C160" s="403" t="s">
        <v>2247</v>
      </c>
      <c r="D160" s="263" t="s">
        <v>34</v>
      </c>
      <c r="E160" s="371" t="s">
        <v>33</v>
      </c>
    </row>
    <row r="161" spans="1:5" ht="30.75" thickBot="1" x14ac:dyDescent="0.3">
      <c r="A161" s="445" t="s">
        <v>1830</v>
      </c>
      <c r="B161" s="593" t="s">
        <v>2575</v>
      </c>
      <c r="C161" s="403" t="s">
        <v>2247</v>
      </c>
      <c r="D161" s="263" t="s">
        <v>34</v>
      </c>
      <c r="E161" s="371" t="s">
        <v>33</v>
      </c>
    </row>
    <row r="162" spans="1:5" ht="45.75" thickBot="1" x14ac:dyDescent="0.3">
      <c r="A162" s="445" t="s">
        <v>1836</v>
      </c>
      <c r="B162" s="593" t="s">
        <v>2576</v>
      </c>
      <c r="C162" s="403" t="s">
        <v>2247</v>
      </c>
      <c r="D162" s="263" t="s">
        <v>34</v>
      </c>
      <c r="E162" s="371" t="s">
        <v>33</v>
      </c>
    </row>
    <row r="163" spans="1:5" ht="45.75" thickBot="1" x14ac:dyDescent="0.3">
      <c r="A163" s="445" t="s">
        <v>2577</v>
      </c>
      <c r="B163" s="593" t="s">
        <v>2578</v>
      </c>
      <c r="C163" s="403" t="s">
        <v>2247</v>
      </c>
      <c r="D163" s="263" t="s">
        <v>34</v>
      </c>
      <c r="E163" s="371" t="s">
        <v>33</v>
      </c>
    </row>
    <row r="164" spans="1:5" ht="15.75" thickBot="1" x14ac:dyDescent="0.3">
      <c r="A164" s="445" t="s">
        <v>1300</v>
      </c>
      <c r="B164" s="593" t="s">
        <v>2579</v>
      </c>
      <c r="C164" s="403" t="s">
        <v>2247</v>
      </c>
      <c r="D164" s="263" t="s">
        <v>34</v>
      </c>
      <c r="E164" s="371" t="s">
        <v>33</v>
      </c>
    </row>
    <row r="165" spans="1:5" ht="23.45" customHeight="1" thickBot="1" x14ac:dyDescent="0.3">
      <c r="A165" s="445" t="s">
        <v>2580</v>
      </c>
      <c r="B165" s="593" t="s">
        <v>2581</v>
      </c>
      <c r="C165" s="403" t="s">
        <v>44</v>
      </c>
      <c r="D165" s="263" t="s">
        <v>44</v>
      </c>
      <c r="E165" s="371" t="s">
        <v>33</v>
      </c>
    </row>
    <row r="166" spans="1:5" ht="30.75" thickBot="1" x14ac:dyDescent="0.3">
      <c r="A166" s="445" t="s">
        <v>1845</v>
      </c>
      <c r="B166" s="593" t="s">
        <v>2258</v>
      </c>
      <c r="C166" s="403" t="s">
        <v>2247</v>
      </c>
      <c r="D166" s="263" t="s">
        <v>34</v>
      </c>
      <c r="E166" s="371" t="s">
        <v>33</v>
      </c>
    </row>
    <row r="167" spans="1:5" ht="30.75" thickBot="1" x14ac:dyDescent="0.3">
      <c r="A167" s="445" t="s">
        <v>1548</v>
      </c>
      <c r="B167" s="593" t="s">
        <v>2582</v>
      </c>
      <c r="C167" s="403" t="s">
        <v>2247</v>
      </c>
      <c r="D167" s="263" t="s">
        <v>34</v>
      </c>
      <c r="E167" s="371" t="s">
        <v>33</v>
      </c>
    </row>
    <row r="168" spans="1:5" ht="30.75" thickBot="1" x14ac:dyDescent="0.3">
      <c r="A168" s="445" t="s">
        <v>2583</v>
      </c>
      <c r="B168" s="593" t="s">
        <v>2584</v>
      </c>
      <c r="C168" s="403" t="s">
        <v>2247</v>
      </c>
      <c r="D168" s="263" t="s">
        <v>34</v>
      </c>
      <c r="E168" s="371" t="s">
        <v>33</v>
      </c>
    </row>
    <row r="169" spans="1:5" ht="15.75" thickBot="1" x14ac:dyDescent="0.3">
      <c r="A169" s="445" t="s">
        <v>1153</v>
      </c>
      <c r="B169" s="593" t="s">
        <v>2585</v>
      </c>
      <c r="C169" s="403" t="s">
        <v>2247</v>
      </c>
      <c r="D169" s="263" t="s">
        <v>34</v>
      </c>
      <c r="E169" s="371" t="s">
        <v>33</v>
      </c>
    </row>
    <row r="170" spans="1:5" ht="15.75" thickBot="1" x14ac:dyDescent="0.3">
      <c r="A170" s="445" t="s">
        <v>1115</v>
      </c>
      <c r="B170" s="593" t="s">
        <v>2586</v>
      </c>
      <c r="C170" s="403" t="s">
        <v>1009</v>
      </c>
      <c r="D170" s="263" t="s">
        <v>34</v>
      </c>
      <c r="E170" s="371" t="s">
        <v>38</v>
      </c>
    </row>
    <row r="171" spans="1:5" ht="15.75" thickBot="1" x14ac:dyDescent="0.3">
      <c r="A171" s="445" t="s">
        <v>1740</v>
      </c>
      <c r="B171" s="593" t="s">
        <v>2587</v>
      </c>
      <c r="C171" s="403" t="s">
        <v>2247</v>
      </c>
      <c r="D171" s="263" t="s">
        <v>34</v>
      </c>
      <c r="E171" s="371" t="s">
        <v>33</v>
      </c>
    </row>
    <row r="172" spans="1:5" ht="15.75" thickBot="1" x14ac:dyDescent="0.3">
      <c r="A172" s="445" t="s">
        <v>2588</v>
      </c>
      <c r="B172" s="593" t="s">
        <v>2589</v>
      </c>
      <c r="C172" s="403" t="s">
        <v>2247</v>
      </c>
      <c r="D172" s="263" t="s">
        <v>34</v>
      </c>
      <c r="E172" s="371" t="s">
        <v>33</v>
      </c>
    </row>
    <row r="173" spans="1:5" ht="15.75" thickBot="1" x14ac:dyDescent="0.3">
      <c r="A173" s="445" t="s">
        <v>2590</v>
      </c>
      <c r="B173" s="593" t="s">
        <v>2591</v>
      </c>
      <c r="C173" s="403" t="s">
        <v>2247</v>
      </c>
      <c r="D173" s="263" t="s">
        <v>34</v>
      </c>
      <c r="E173" s="371" t="s">
        <v>33</v>
      </c>
    </row>
    <row r="174" spans="1:5" ht="15.75" thickBot="1" x14ac:dyDescent="0.3">
      <c r="A174" s="445" t="s">
        <v>1156</v>
      </c>
      <c r="B174" s="593" t="s">
        <v>1401</v>
      </c>
      <c r="C174" s="403" t="s">
        <v>2247</v>
      </c>
      <c r="D174" s="263" t="s">
        <v>34</v>
      </c>
      <c r="E174" s="371" t="s">
        <v>33</v>
      </c>
    </row>
    <row r="175" spans="1:5" ht="30.75" thickBot="1" x14ac:dyDescent="0.3">
      <c r="A175" s="445" t="s">
        <v>1231</v>
      </c>
      <c r="B175" s="593" t="s">
        <v>2592</v>
      </c>
      <c r="C175" s="403" t="s">
        <v>2247</v>
      </c>
      <c r="D175" s="263" t="s">
        <v>34</v>
      </c>
      <c r="E175" s="371" t="s">
        <v>33</v>
      </c>
    </row>
    <row r="176" spans="1:5" ht="24" customHeight="1" thickBot="1" x14ac:dyDescent="0.3">
      <c r="A176" s="445" t="s">
        <v>1177</v>
      </c>
      <c r="B176" s="593" t="s">
        <v>2593</v>
      </c>
      <c r="C176" s="403" t="s">
        <v>2247</v>
      </c>
      <c r="D176" s="263" t="s">
        <v>34</v>
      </c>
      <c r="E176" s="371" t="s">
        <v>33</v>
      </c>
    </row>
    <row r="177" spans="1:6" ht="15.75" thickBot="1" x14ac:dyDescent="0.3">
      <c r="A177" s="445" t="s">
        <v>2594</v>
      </c>
      <c r="B177" s="593" t="s">
        <v>2595</v>
      </c>
      <c r="C177" s="403" t="s">
        <v>2247</v>
      </c>
      <c r="D177" s="263" t="s">
        <v>39</v>
      </c>
      <c r="E177" s="371" t="s">
        <v>33</v>
      </c>
    </row>
    <row r="178" spans="1:6" ht="15.75" thickBot="1" x14ac:dyDescent="0.3">
      <c r="A178" s="445" t="s">
        <v>2596</v>
      </c>
      <c r="B178" s="593" t="s">
        <v>2597</v>
      </c>
      <c r="C178" s="403" t="s">
        <v>2247</v>
      </c>
      <c r="D178" s="263" t="s">
        <v>34</v>
      </c>
      <c r="E178" s="371" t="s">
        <v>33</v>
      </c>
    </row>
    <row r="179" spans="1:6" ht="15.75" thickBot="1" x14ac:dyDescent="0.3">
      <c r="A179" s="445" t="s">
        <v>2598</v>
      </c>
      <c r="B179" s="593" t="s">
        <v>2599</v>
      </c>
      <c r="C179" s="403" t="s">
        <v>2247</v>
      </c>
      <c r="D179" s="263" t="s">
        <v>34</v>
      </c>
      <c r="E179" s="371" t="s">
        <v>33</v>
      </c>
    </row>
    <row r="180" spans="1:6" ht="15.75" thickBot="1" x14ac:dyDescent="0.3">
      <c r="A180" s="445" t="s">
        <v>2600</v>
      </c>
      <c r="B180" s="600" t="s">
        <v>2601</v>
      </c>
      <c r="C180" s="564" t="s">
        <v>44</v>
      </c>
      <c r="D180" s="563" t="s">
        <v>44</v>
      </c>
      <c r="E180" s="614" t="s">
        <v>33</v>
      </c>
      <c r="F180" t="s">
        <v>2602</v>
      </c>
    </row>
    <row r="181" spans="1:6" ht="30.75" thickBot="1" x14ac:dyDescent="0.3">
      <c r="A181" s="445" t="s">
        <v>2603</v>
      </c>
      <c r="B181" s="593" t="s">
        <v>2604</v>
      </c>
      <c r="C181" s="403" t="s">
        <v>2247</v>
      </c>
      <c r="D181" s="263" t="s">
        <v>44</v>
      </c>
      <c r="E181" s="371" t="s">
        <v>33</v>
      </c>
    </row>
    <row r="182" spans="1:6" ht="15.75" thickBot="1" x14ac:dyDescent="0.3">
      <c r="A182" s="445" t="s">
        <v>1371</v>
      </c>
      <c r="B182" s="593" t="s">
        <v>2605</v>
      </c>
      <c r="C182" s="403" t="s">
        <v>2247</v>
      </c>
      <c r="D182" s="263" t="s">
        <v>34</v>
      </c>
      <c r="E182" s="371" t="s">
        <v>33</v>
      </c>
    </row>
    <row r="183" spans="1:6" ht="15.75" thickBot="1" x14ac:dyDescent="0.3">
      <c r="A183" s="445" t="s">
        <v>2606</v>
      </c>
      <c r="B183" s="593" t="s">
        <v>2607</v>
      </c>
      <c r="C183" s="403" t="s">
        <v>2247</v>
      </c>
      <c r="D183" s="263" t="s">
        <v>44</v>
      </c>
      <c r="E183" s="371" t="s">
        <v>33</v>
      </c>
    </row>
    <row r="184" spans="1:6" ht="30.75" thickBot="1" x14ac:dyDescent="0.3">
      <c r="A184" s="445" t="s">
        <v>2184</v>
      </c>
      <c r="B184" s="593" t="s">
        <v>2608</v>
      </c>
      <c r="C184" s="403" t="s">
        <v>2247</v>
      </c>
      <c r="D184" s="263" t="s">
        <v>34</v>
      </c>
      <c r="E184" s="371" t="s">
        <v>33</v>
      </c>
    </row>
    <row r="185" spans="1:6" ht="15.75" thickBot="1" x14ac:dyDescent="0.3">
      <c r="A185" s="445" t="s">
        <v>2609</v>
      </c>
      <c r="B185" s="593" t="s">
        <v>2610</v>
      </c>
      <c r="C185" s="403" t="s">
        <v>2247</v>
      </c>
      <c r="D185" s="263" t="s">
        <v>34</v>
      </c>
      <c r="E185" s="371" t="s">
        <v>33</v>
      </c>
    </row>
    <row r="186" spans="1:6" ht="15.75" thickBot="1" x14ac:dyDescent="0.3">
      <c r="A186" s="445" t="s">
        <v>2611</v>
      </c>
      <c r="B186" s="593" t="s">
        <v>2612</v>
      </c>
      <c r="C186" s="403" t="s">
        <v>2247</v>
      </c>
      <c r="D186" s="263" t="s">
        <v>34</v>
      </c>
      <c r="E186" s="371" t="s">
        <v>33</v>
      </c>
    </row>
    <row r="187" spans="1:6" ht="15.75" thickBot="1" x14ac:dyDescent="0.3">
      <c r="A187" s="445" t="s">
        <v>2613</v>
      </c>
      <c r="B187" s="593" t="s">
        <v>2614</v>
      </c>
      <c r="C187" s="403" t="s">
        <v>44</v>
      </c>
      <c r="D187" s="263" t="s">
        <v>34</v>
      </c>
      <c r="E187" s="371" t="s">
        <v>33</v>
      </c>
    </row>
    <row r="188" spans="1:6" ht="15.75" thickBot="1" x14ac:dyDescent="0.3">
      <c r="A188" s="445" t="s">
        <v>2615</v>
      </c>
      <c r="B188" s="593" t="s">
        <v>2616</v>
      </c>
      <c r="C188" s="403" t="s">
        <v>2247</v>
      </c>
      <c r="D188" s="263" t="s">
        <v>43</v>
      </c>
      <c r="E188" s="371" t="s">
        <v>33</v>
      </c>
    </row>
    <row r="189" spans="1:6" ht="30.75" thickBot="1" x14ac:dyDescent="0.3">
      <c r="A189" s="445" t="s">
        <v>1852</v>
      </c>
      <c r="B189" s="593" t="s">
        <v>1853</v>
      </c>
      <c r="C189" s="403" t="s">
        <v>2247</v>
      </c>
      <c r="D189" s="263" t="s">
        <v>34</v>
      </c>
      <c r="E189" s="371" t="s">
        <v>33</v>
      </c>
    </row>
    <row r="190" spans="1:6" ht="30.75" thickBot="1" x14ac:dyDescent="0.3">
      <c r="A190" s="445" t="s">
        <v>2617</v>
      </c>
      <c r="B190" s="600" t="s">
        <v>2618</v>
      </c>
      <c r="C190" s="564" t="s">
        <v>44</v>
      </c>
      <c r="D190" s="563" t="s">
        <v>34</v>
      </c>
      <c r="E190" s="614" t="s">
        <v>33</v>
      </c>
      <c r="F190" t="s">
        <v>2619</v>
      </c>
    </row>
    <row r="191" spans="1:6" ht="30.75" thickBot="1" x14ac:dyDescent="0.3">
      <c r="A191" s="445" t="s">
        <v>2620</v>
      </c>
      <c r="B191" s="593" t="s">
        <v>2621</v>
      </c>
      <c r="C191" s="403" t="s">
        <v>2247</v>
      </c>
      <c r="D191" s="263" t="s">
        <v>34</v>
      </c>
      <c r="E191" s="371" t="s">
        <v>33</v>
      </c>
    </row>
    <row r="192" spans="1:6" ht="30.75" thickBot="1" x14ac:dyDescent="0.3">
      <c r="A192" s="445" t="s">
        <v>1256</v>
      </c>
      <c r="B192" s="593" t="s">
        <v>2622</v>
      </c>
      <c r="C192" s="403" t="s">
        <v>2247</v>
      </c>
      <c r="D192" s="263" t="s">
        <v>34</v>
      </c>
      <c r="E192" s="371" t="s">
        <v>33</v>
      </c>
    </row>
    <row r="193" spans="1:6" ht="15.75" thickBot="1" x14ac:dyDescent="0.3">
      <c r="A193" s="445" t="s">
        <v>2623</v>
      </c>
      <c r="B193" s="593" t="s">
        <v>2624</v>
      </c>
      <c r="C193" s="403" t="s">
        <v>44</v>
      </c>
      <c r="D193" s="263" t="s">
        <v>44</v>
      </c>
      <c r="E193" s="371" t="s">
        <v>33</v>
      </c>
    </row>
    <row r="194" spans="1:6" ht="30.75" thickBot="1" x14ac:dyDescent="0.3">
      <c r="A194" s="445" t="s">
        <v>2260</v>
      </c>
      <c r="B194" s="593" t="s">
        <v>2261</v>
      </c>
      <c r="C194" s="403" t="s">
        <v>2247</v>
      </c>
      <c r="D194" s="263" t="s">
        <v>34</v>
      </c>
      <c r="E194" s="371" t="s">
        <v>33</v>
      </c>
      <c r="F194" t="s">
        <v>2625</v>
      </c>
    </row>
    <row r="195" spans="1:6" ht="15.75" thickBot="1" x14ac:dyDescent="0.3">
      <c r="A195" s="445" t="s">
        <v>2626</v>
      </c>
      <c r="B195" s="593" t="s">
        <v>2627</v>
      </c>
      <c r="C195" s="403" t="s">
        <v>2247</v>
      </c>
      <c r="D195" s="263" t="s">
        <v>34</v>
      </c>
      <c r="E195" s="371" t="s">
        <v>33</v>
      </c>
    </row>
    <row r="196" spans="1:6" ht="30.75" thickBot="1" x14ac:dyDescent="0.3">
      <c r="A196" s="445" t="s">
        <v>2628</v>
      </c>
      <c r="B196" s="593" t="s">
        <v>2629</v>
      </c>
      <c r="C196" s="403" t="s">
        <v>44</v>
      </c>
      <c r="D196" s="263" t="s">
        <v>44</v>
      </c>
      <c r="E196" s="371" t="s">
        <v>33</v>
      </c>
    </row>
    <row r="197" spans="1:6" ht="15.75" thickBot="1" x14ac:dyDescent="0.3">
      <c r="A197" s="445" t="s">
        <v>2630</v>
      </c>
      <c r="B197" s="593" t="s">
        <v>2631</v>
      </c>
      <c r="C197" s="403" t="s">
        <v>2247</v>
      </c>
      <c r="D197" s="263" t="s">
        <v>34</v>
      </c>
      <c r="E197" s="371" t="s">
        <v>33</v>
      </c>
      <c r="F197" t="s">
        <v>2625</v>
      </c>
    </row>
    <row r="198" spans="1:6" ht="30.75" thickBot="1" x14ac:dyDescent="0.3">
      <c r="A198" s="445" t="s">
        <v>2632</v>
      </c>
      <c r="B198" s="593" t="s">
        <v>2633</v>
      </c>
      <c r="C198" s="403" t="s">
        <v>2247</v>
      </c>
      <c r="D198" s="263" t="s">
        <v>34</v>
      </c>
      <c r="E198" s="371" t="s">
        <v>33</v>
      </c>
    </row>
    <row r="199" spans="1:6" ht="15.75" thickBot="1" x14ac:dyDescent="0.3">
      <c r="A199" s="445" t="s">
        <v>2634</v>
      </c>
      <c r="B199" s="593" t="s">
        <v>2635</v>
      </c>
      <c r="C199" s="403" t="s">
        <v>2247</v>
      </c>
      <c r="D199" s="263" t="s">
        <v>34</v>
      </c>
      <c r="E199" s="371" t="s">
        <v>33</v>
      </c>
    </row>
    <row r="200" spans="1:6" ht="15.75" thickBot="1" x14ac:dyDescent="0.3">
      <c r="A200" s="445" t="s">
        <v>2636</v>
      </c>
      <c r="B200" s="593" t="s">
        <v>2637</v>
      </c>
      <c r="C200" s="403" t="s">
        <v>2247</v>
      </c>
      <c r="D200" s="263" t="s">
        <v>34</v>
      </c>
      <c r="E200" s="371" t="s">
        <v>33</v>
      </c>
      <c r="F200" s="598" t="s">
        <v>2638</v>
      </c>
    </row>
    <row r="201" spans="1:6" ht="30.75" thickBot="1" x14ac:dyDescent="0.3">
      <c r="A201" s="445" t="s">
        <v>2639</v>
      </c>
      <c r="B201" s="593" t="s">
        <v>2640</v>
      </c>
      <c r="C201" s="403" t="s">
        <v>2247</v>
      </c>
      <c r="D201" s="263" t="s">
        <v>34</v>
      </c>
      <c r="E201" s="371" t="s">
        <v>33</v>
      </c>
    </row>
    <row r="202" spans="1:6" ht="30.75" thickBot="1" x14ac:dyDescent="0.3">
      <c r="A202" s="445" t="s">
        <v>2641</v>
      </c>
      <c r="B202" s="593" t="s">
        <v>2642</v>
      </c>
      <c r="C202" s="403" t="s">
        <v>2247</v>
      </c>
      <c r="D202" s="263" t="s">
        <v>34</v>
      </c>
      <c r="E202" s="371" t="s">
        <v>33</v>
      </c>
    </row>
    <row r="203" spans="1:6" ht="30.75" thickBot="1" x14ac:dyDescent="0.3">
      <c r="A203" s="445" t="s">
        <v>2643</v>
      </c>
      <c r="B203" s="593" t="s">
        <v>2644</v>
      </c>
      <c r="C203" s="403" t="s">
        <v>2247</v>
      </c>
      <c r="D203" s="263" t="s">
        <v>34</v>
      </c>
      <c r="E203" s="371" t="s">
        <v>33</v>
      </c>
    </row>
    <row r="204" spans="1:6" ht="30.75" thickBot="1" x14ac:dyDescent="0.3">
      <c r="A204" s="445" t="s">
        <v>2645</v>
      </c>
      <c r="B204" s="593" t="s">
        <v>2646</v>
      </c>
      <c r="C204" s="403" t="s">
        <v>2247</v>
      </c>
      <c r="D204" s="263" t="s">
        <v>44</v>
      </c>
      <c r="E204" s="371" t="s">
        <v>33</v>
      </c>
    </row>
    <row r="205" spans="1:6" ht="15.75" thickBot="1" x14ac:dyDescent="0.3">
      <c r="A205" s="445" t="s">
        <v>2647</v>
      </c>
      <c r="B205" s="593" t="s">
        <v>2648</v>
      </c>
      <c r="C205" s="403" t="s">
        <v>2247</v>
      </c>
      <c r="D205" s="263" t="s">
        <v>34</v>
      </c>
      <c r="E205" s="371" t="s">
        <v>33</v>
      </c>
    </row>
    <row r="206" spans="1:6" ht="30.75" thickBot="1" x14ac:dyDescent="0.3">
      <c r="A206" s="445" t="s">
        <v>2649</v>
      </c>
      <c r="B206" s="593" t="s">
        <v>2650</v>
      </c>
      <c r="C206" s="403" t="s">
        <v>2247</v>
      </c>
      <c r="D206" s="263" t="s">
        <v>34</v>
      </c>
      <c r="E206" s="371" t="s">
        <v>33</v>
      </c>
    </row>
    <row r="207" spans="1:6" ht="15.75" thickBot="1" x14ac:dyDescent="0.3">
      <c r="A207" s="445" t="s">
        <v>2651</v>
      </c>
      <c r="B207" s="593" t="s">
        <v>2652</v>
      </c>
      <c r="C207" s="403" t="s">
        <v>2247</v>
      </c>
      <c r="D207" s="263" t="s">
        <v>34</v>
      </c>
      <c r="E207" s="371" t="s">
        <v>33</v>
      </c>
    </row>
    <row r="208" spans="1:6" ht="30.75" thickBot="1" x14ac:dyDescent="0.3">
      <c r="A208" s="445" t="s">
        <v>2653</v>
      </c>
      <c r="B208" s="593" t="s">
        <v>2654</v>
      </c>
      <c r="C208" s="403" t="s">
        <v>2247</v>
      </c>
      <c r="D208" s="263" t="s">
        <v>43</v>
      </c>
      <c r="E208" s="371" t="s">
        <v>33</v>
      </c>
    </row>
    <row r="209" spans="1:6" ht="15.75" thickBot="1" x14ac:dyDescent="0.3">
      <c r="A209" s="445" t="s">
        <v>2655</v>
      </c>
      <c r="B209" s="593" t="s">
        <v>2656</v>
      </c>
      <c r="C209" s="403" t="s">
        <v>44</v>
      </c>
      <c r="D209" s="263" t="s">
        <v>44</v>
      </c>
      <c r="E209" s="371" t="s">
        <v>33</v>
      </c>
    </row>
    <row r="210" spans="1:6" ht="15.75" thickBot="1" x14ac:dyDescent="0.3">
      <c r="A210" s="445" t="s">
        <v>2657</v>
      </c>
      <c r="B210" s="593" t="s">
        <v>2658</v>
      </c>
      <c r="C210" s="403" t="s">
        <v>44</v>
      </c>
      <c r="D210" s="263" t="s">
        <v>44</v>
      </c>
      <c r="E210" s="371" t="s">
        <v>33</v>
      </c>
    </row>
    <row r="211" spans="1:6" ht="15.75" thickBot="1" x14ac:dyDescent="0.3">
      <c r="A211" s="445" t="s">
        <v>2659</v>
      </c>
      <c r="B211" s="593" t="s">
        <v>2660</v>
      </c>
      <c r="C211" s="403" t="s">
        <v>44</v>
      </c>
      <c r="D211" s="263" t="s">
        <v>43</v>
      </c>
      <c r="E211" s="371" t="s">
        <v>33</v>
      </c>
    </row>
    <row r="212" spans="1:6" ht="15.75" thickBot="1" x14ac:dyDescent="0.3">
      <c r="A212" s="445" t="s">
        <v>2661</v>
      </c>
      <c r="B212" s="593" t="s">
        <v>2662</v>
      </c>
      <c r="C212" s="403" t="s">
        <v>44</v>
      </c>
      <c r="D212" s="263" t="s">
        <v>44</v>
      </c>
      <c r="E212" s="371" t="s">
        <v>33</v>
      </c>
    </row>
    <row r="213" spans="1:6" ht="15.75" thickBot="1" x14ac:dyDescent="0.3">
      <c r="A213" s="445" t="s">
        <v>2663</v>
      </c>
      <c r="B213" s="593" t="s">
        <v>2664</v>
      </c>
      <c r="C213" s="403" t="s">
        <v>44</v>
      </c>
      <c r="D213" s="263" t="s">
        <v>44</v>
      </c>
      <c r="E213" s="371" t="s">
        <v>33</v>
      </c>
    </row>
    <row r="214" spans="1:6" ht="15.75" thickBot="1" x14ac:dyDescent="0.3">
      <c r="A214" s="445" t="s">
        <v>2264</v>
      </c>
      <c r="B214" s="593" t="s">
        <v>2265</v>
      </c>
      <c r="C214" s="403" t="s">
        <v>2247</v>
      </c>
      <c r="D214" s="263" t="s">
        <v>34</v>
      </c>
      <c r="E214" s="371" t="s">
        <v>33</v>
      </c>
      <c r="F214" t="s">
        <v>2665</v>
      </c>
    </row>
    <row r="215" spans="1:6" ht="15.75" thickBot="1" x14ac:dyDescent="0.3">
      <c r="A215" s="445" t="s">
        <v>2666</v>
      </c>
      <c r="B215" s="593" t="s">
        <v>2667</v>
      </c>
      <c r="C215" s="403" t="s">
        <v>2247</v>
      </c>
      <c r="D215" s="263" t="s">
        <v>34</v>
      </c>
      <c r="E215" s="371" t="s">
        <v>33</v>
      </c>
      <c r="F215" t="s">
        <v>2665</v>
      </c>
    </row>
    <row r="216" spans="1:6" ht="15.75" thickBot="1" x14ac:dyDescent="0.3">
      <c r="A216" s="445" t="s">
        <v>2668</v>
      </c>
      <c r="B216" s="593" t="s">
        <v>2669</v>
      </c>
      <c r="C216" s="403" t="s">
        <v>2247</v>
      </c>
      <c r="D216" s="263" t="s">
        <v>34</v>
      </c>
      <c r="E216" s="371" t="s">
        <v>33</v>
      </c>
    </row>
    <row r="217" spans="1:6" ht="15.75" thickBot="1" x14ac:dyDescent="0.3">
      <c r="A217" s="445" t="s">
        <v>2670</v>
      </c>
      <c r="B217" s="593" t="s">
        <v>2671</v>
      </c>
      <c r="C217" s="403" t="s">
        <v>2247</v>
      </c>
      <c r="D217" s="263" t="s">
        <v>43</v>
      </c>
      <c r="E217" s="371" t="s">
        <v>33</v>
      </c>
    </row>
    <row r="218" spans="1:6" ht="15.75" thickBot="1" x14ac:dyDescent="0.3">
      <c r="A218" s="445" t="s">
        <v>2672</v>
      </c>
      <c r="B218" s="593" t="s">
        <v>2673</v>
      </c>
      <c r="C218" s="403" t="s">
        <v>44</v>
      </c>
      <c r="D218" s="263" t="s">
        <v>44</v>
      </c>
      <c r="E218" s="371" t="s">
        <v>33</v>
      </c>
    </row>
    <row r="219" spans="1:6" ht="15.75" thickBot="1" x14ac:dyDescent="0.3">
      <c r="A219" s="445" t="s">
        <v>2674</v>
      </c>
      <c r="B219" s="593" t="s">
        <v>2675</v>
      </c>
      <c r="C219" s="403" t="s">
        <v>44</v>
      </c>
      <c r="D219" s="263" t="s">
        <v>44</v>
      </c>
      <c r="E219" s="371" t="s">
        <v>33</v>
      </c>
    </row>
    <row r="220" spans="1:6" ht="15.75" thickBot="1" x14ac:dyDescent="0.3">
      <c r="A220" s="445" t="s">
        <v>2676</v>
      </c>
      <c r="B220" s="593" t="s">
        <v>2677</v>
      </c>
      <c r="C220" s="403" t="s">
        <v>44</v>
      </c>
      <c r="D220" s="263" t="s">
        <v>44</v>
      </c>
      <c r="E220" s="371" t="s">
        <v>33</v>
      </c>
    </row>
    <row r="221" spans="1:6" ht="30.75" thickBot="1" x14ac:dyDescent="0.3">
      <c r="A221" s="445" t="s">
        <v>2678</v>
      </c>
      <c r="B221" s="593" t="s">
        <v>2679</v>
      </c>
      <c r="C221" s="403" t="s">
        <v>44</v>
      </c>
      <c r="D221" s="263" t="s">
        <v>44</v>
      </c>
      <c r="E221" s="371" t="s">
        <v>33</v>
      </c>
    </row>
    <row r="222" spans="1:6" ht="30.75" thickBot="1" x14ac:dyDescent="0.3">
      <c r="A222" s="445" t="s">
        <v>2268</v>
      </c>
      <c r="B222" s="593" t="s">
        <v>2269</v>
      </c>
      <c r="C222" s="403" t="s">
        <v>2247</v>
      </c>
      <c r="D222" s="263" t="s">
        <v>34</v>
      </c>
      <c r="E222" s="371" t="s">
        <v>33</v>
      </c>
      <c r="F222" t="s">
        <v>2665</v>
      </c>
    </row>
    <row r="223" spans="1:6" ht="15.75" thickBot="1" x14ac:dyDescent="0.3">
      <c r="A223" s="445" t="s">
        <v>2680</v>
      </c>
      <c r="B223" s="593" t="s">
        <v>2681</v>
      </c>
      <c r="C223" s="403" t="s">
        <v>44</v>
      </c>
      <c r="D223" s="263" t="s">
        <v>44</v>
      </c>
      <c r="E223" s="371" t="s">
        <v>33</v>
      </c>
    </row>
    <row r="224" spans="1:6" ht="15.75" thickBot="1" x14ac:dyDescent="0.3">
      <c r="A224" s="445" t="s">
        <v>2682</v>
      </c>
      <c r="B224" s="593" t="s">
        <v>2683</v>
      </c>
      <c r="C224" s="403" t="s">
        <v>2247</v>
      </c>
      <c r="D224" s="263" t="s">
        <v>43</v>
      </c>
      <c r="E224" s="371" t="s">
        <v>33</v>
      </c>
    </row>
    <row r="225" spans="1:5" ht="15.75" thickBot="1" x14ac:dyDescent="0.3">
      <c r="A225" s="445" t="s">
        <v>2684</v>
      </c>
      <c r="B225" s="593" t="s">
        <v>2685</v>
      </c>
      <c r="C225" s="403" t="s">
        <v>2247</v>
      </c>
      <c r="D225" s="263" t="s">
        <v>43</v>
      </c>
      <c r="E225" s="371" t="s">
        <v>33</v>
      </c>
    </row>
    <row r="226" spans="1:5" ht="15.75" thickBot="1" x14ac:dyDescent="0.3">
      <c r="A226" s="445" t="s">
        <v>2686</v>
      </c>
      <c r="B226" s="593" t="s">
        <v>2687</v>
      </c>
      <c r="C226" s="403" t="s">
        <v>2247</v>
      </c>
      <c r="D226" s="263" t="s">
        <v>34</v>
      </c>
      <c r="E226" s="371" t="s">
        <v>33</v>
      </c>
    </row>
    <row r="227" spans="1:5" ht="15.75" thickBot="1" x14ac:dyDescent="0.3">
      <c r="A227" s="445" t="s">
        <v>2688</v>
      </c>
      <c r="B227" s="593" t="s">
        <v>2689</v>
      </c>
      <c r="C227" s="403" t="s">
        <v>2247</v>
      </c>
      <c r="D227" s="263" t="s">
        <v>34</v>
      </c>
      <c r="E227" s="371" t="s">
        <v>33</v>
      </c>
    </row>
    <row r="228" spans="1:5" ht="15.75" thickBot="1" x14ac:dyDescent="0.3">
      <c r="A228" s="445" t="s">
        <v>2690</v>
      </c>
      <c r="B228" s="593" t="s">
        <v>2691</v>
      </c>
      <c r="C228" s="403" t="s">
        <v>44</v>
      </c>
      <c r="D228" s="263" t="s">
        <v>44</v>
      </c>
      <c r="E228" s="371" t="s">
        <v>33</v>
      </c>
    </row>
    <row r="229" spans="1:5" ht="15.75" thickBot="1" x14ac:dyDescent="0.3">
      <c r="A229" s="445" t="s">
        <v>2692</v>
      </c>
      <c r="B229" s="593" t="s">
        <v>2693</v>
      </c>
      <c r="C229" s="403" t="s">
        <v>44</v>
      </c>
      <c r="D229" s="263" t="s">
        <v>44</v>
      </c>
      <c r="E229" s="371" t="s">
        <v>33</v>
      </c>
    </row>
    <row r="230" spans="1:5" ht="15.75" thickBot="1" x14ac:dyDescent="0.3">
      <c r="A230" s="445" t="s">
        <v>2694</v>
      </c>
      <c r="B230" s="593" t="s">
        <v>2695</v>
      </c>
      <c r="C230" s="403" t="s">
        <v>44</v>
      </c>
      <c r="D230" s="263" t="s">
        <v>44</v>
      </c>
      <c r="E230" s="371" t="s">
        <v>33</v>
      </c>
    </row>
    <row r="231" spans="1:5" ht="15.75" thickBot="1" x14ac:dyDescent="0.3">
      <c r="A231" s="445" t="s">
        <v>2696</v>
      </c>
      <c r="B231" s="593" t="s">
        <v>2697</v>
      </c>
      <c r="C231" s="403" t="s">
        <v>44</v>
      </c>
      <c r="D231" s="263" t="s">
        <v>44</v>
      </c>
      <c r="E231" s="371" t="s">
        <v>33</v>
      </c>
    </row>
    <row r="232" spans="1:5" ht="30.75" thickBot="1" x14ac:dyDescent="0.3">
      <c r="A232" s="445" t="s">
        <v>2698</v>
      </c>
      <c r="B232" s="593" t="s">
        <v>2699</v>
      </c>
      <c r="C232" s="403" t="s">
        <v>44</v>
      </c>
      <c r="D232" s="263" t="s">
        <v>44</v>
      </c>
      <c r="E232" s="371" t="s">
        <v>33</v>
      </c>
    </row>
    <row r="233" spans="1:5" ht="15.75" thickBot="1" x14ac:dyDescent="0.3">
      <c r="A233" s="445" t="s">
        <v>2700</v>
      </c>
      <c r="B233" s="593" t="s">
        <v>2701</v>
      </c>
      <c r="C233" s="403" t="s">
        <v>44</v>
      </c>
      <c r="D233" s="263" t="s">
        <v>44</v>
      </c>
      <c r="E233" s="371" t="s">
        <v>33</v>
      </c>
    </row>
    <row r="234" spans="1:5" ht="15.75" thickBot="1" x14ac:dyDescent="0.3">
      <c r="A234" s="445" t="s">
        <v>2702</v>
      </c>
      <c r="B234" s="593" t="s">
        <v>2703</v>
      </c>
      <c r="C234" s="403" t="s">
        <v>44</v>
      </c>
      <c r="D234" s="263" t="s">
        <v>44</v>
      </c>
      <c r="E234" s="371" t="s">
        <v>33</v>
      </c>
    </row>
    <row r="235" spans="1:5" ht="15.75" thickBot="1" x14ac:dyDescent="0.3">
      <c r="A235" s="445" t="s">
        <v>2704</v>
      </c>
      <c r="B235" s="593" t="s">
        <v>2705</v>
      </c>
      <c r="C235" s="403" t="s">
        <v>44</v>
      </c>
      <c r="D235" s="263" t="s">
        <v>44</v>
      </c>
      <c r="E235" s="371" t="s">
        <v>33</v>
      </c>
    </row>
    <row r="236" spans="1:5" ht="15.75" thickBot="1" x14ac:dyDescent="0.3">
      <c r="A236" s="445" t="s">
        <v>2706</v>
      </c>
      <c r="B236" s="593" t="s">
        <v>2707</v>
      </c>
      <c r="C236" s="403" t="s">
        <v>44</v>
      </c>
      <c r="D236" s="263" t="s">
        <v>44</v>
      </c>
      <c r="E236" s="371" t="s">
        <v>33</v>
      </c>
    </row>
    <row r="237" spans="1:5" ht="15.75" thickBot="1" x14ac:dyDescent="0.3">
      <c r="A237" s="445" t="s">
        <v>2708</v>
      </c>
      <c r="B237" s="593" t="s">
        <v>2709</v>
      </c>
      <c r="C237" s="403" t="s">
        <v>44</v>
      </c>
      <c r="D237" s="263" t="s">
        <v>44</v>
      </c>
      <c r="E237" s="371" t="s">
        <v>33</v>
      </c>
    </row>
    <row r="238" spans="1:5" ht="15.75" thickBot="1" x14ac:dyDescent="0.3">
      <c r="A238" s="445" t="s">
        <v>2710</v>
      </c>
      <c r="B238" s="593" t="s">
        <v>2711</v>
      </c>
      <c r="C238" s="403" t="s">
        <v>44</v>
      </c>
      <c r="D238" s="263" t="s">
        <v>44</v>
      </c>
      <c r="E238" s="371" t="s">
        <v>33</v>
      </c>
    </row>
    <row r="239" spans="1:5" ht="15.75" thickBot="1" x14ac:dyDescent="0.3">
      <c r="A239" s="445" t="s">
        <v>2712</v>
      </c>
      <c r="B239" s="593" t="s">
        <v>2713</v>
      </c>
      <c r="C239" s="403" t="s">
        <v>44</v>
      </c>
      <c r="D239" s="263" t="s">
        <v>44</v>
      </c>
      <c r="E239" s="371" t="s">
        <v>33</v>
      </c>
    </row>
    <row r="240" spans="1:5" ht="15.75" thickBot="1" x14ac:dyDescent="0.3">
      <c r="A240" s="445" t="s">
        <v>2714</v>
      </c>
      <c r="B240" s="593" t="s">
        <v>2715</v>
      </c>
      <c r="C240" s="403" t="s">
        <v>2247</v>
      </c>
      <c r="D240" s="263" t="s">
        <v>34</v>
      </c>
      <c r="E240" s="371" t="s">
        <v>33</v>
      </c>
    </row>
    <row r="241" spans="1:6" ht="15.75" thickBot="1" x14ac:dyDescent="0.3">
      <c r="A241" s="445" t="s">
        <v>2716</v>
      </c>
      <c r="B241" s="593" t="s">
        <v>2717</v>
      </c>
      <c r="C241" s="403" t="s">
        <v>2247</v>
      </c>
      <c r="D241" s="263" t="s">
        <v>43</v>
      </c>
      <c r="E241" s="371" t="s">
        <v>33</v>
      </c>
    </row>
    <row r="242" spans="1:6" ht="15.75" thickBot="1" x14ac:dyDescent="0.3">
      <c r="A242" s="445" t="s">
        <v>2718</v>
      </c>
      <c r="B242" s="593" t="s">
        <v>2719</v>
      </c>
      <c r="C242" s="403" t="s">
        <v>2247</v>
      </c>
      <c r="D242" s="263" t="s">
        <v>43</v>
      </c>
      <c r="E242" s="371" t="s">
        <v>33</v>
      </c>
      <c r="F242" t="s">
        <v>2720</v>
      </c>
    </row>
    <row r="243" spans="1:6" ht="15.75" thickBot="1" x14ac:dyDescent="0.3">
      <c r="A243" s="445" t="s">
        <v>2721</v>
      </c>
      <c r="B243" s="593" t="s">
        <v>2722</v>
      </c>
      <c r="C243" s="403" t="s">
        <v>2247</v>
      </c>
      <c r="D243" s="263" t="s">
        <v>43</v>
      </c>
      <c r="E243" s="371" t="s">
        <v>33</v>
      </c>
      <c r="F243" t="s">
        <v>2720</v>
      </c>
    </row>
    <row r="244" spans="1:6" ht="15.75" thickBot="1" x14ac:dyDescent="0.3">
      <c r="A244" s="445" t="s">
        <v>2723</v>
      </c>
      <c r="B244" s="593" t="s">
        <v>2724</v>
      </c>
      <c r="C244" s="403" t="s">
        <v>2247</v>
      </c>
      <c r="D244" s="263" t="s">
        <v>34</v>
      </c>
      <c r="E244" s="371" t="s">
        <v>33</v>
      </c>
      <c r="F244" t="s">
        <v>2725</v>
      </c>
    </row>
    <row r="245" spans="1:6" ht="15.75" thickBot="1" x14ac:dyDescent="0.3">
      <c r="A245" s="445" t="s">
        <v>2726</v>
      </c>
      <c r="B245" s="593" t="s">
        <v>2727</v>
      </c>
      <c r="C245" s="403" t="s">
        <v>44</v>
      </c>
      <c r="D245" s="263" t="s">
        <v>44</v>
      </c>
      <c r="E245" s="371" t="s">
        <v>33</v>
      </c>
    </row>
    <row r="246" spans="1:6" ht="15.75" thickBot="1" x14ac:dyDescent="0.3">
      <c r="A246" s="445" t="s">
        <v>2728</v>
      </c>
      <c r="B246" s="593" t="s">
        <v>2729</v>
      </c>
      <c r="C246" s="403" t="s">
        <v>2247</v>
      </c>
      <c r="D246" s="263" t="s">
        <v>43</v>
      </c>
      <c r="E246" s="371" t="s">
        <v>33</v>
      </c>
    </row>
    <row r="247" spans="1:6" ht="30.75" thickBot="1" x14ac:dyDescent="0.3">
      <c r="A247" s="445" t="s">
        <v>2730</v>
      </c>
      <c r="B247" s="593" t="s">
        <v>2731</v>
      </c>
      <c r="C247" s="403" t="s">
        <v>2247</v>
      </c>
      <c r="D247" s="263" t="s">
        <v>34</v>
      </c>
      <c r="E247" s="371" t="s">
        <v>33</v>
      </c>
    </row>
    <row r="248" spans="1:6" ht="15.75" thickBot="1" x14ac:dyDescent="0.3">
      <c r="A248" s="445" t="s">
        <v>2732</v>
      </c>
      <c r="B248" s="593" t="s">
        <v>2733</v>
      </c>
      <c r="C248" s="403" t="s">
        <v>2247</v>
      </c>
      <c r="D248" s="263" t="s">
        <v>34</v>
      </c>
      <c r="E248" s="371" t="s">
        <v>33</v>
      </c>
    </row>
    <row r="249" spans="1:6" ht="15.75" thickBot="1" x14ac:dyDescent="0.3">
      <c r="A249" s="445" t="s">
        <v>2734</v>
      </c>
      <c r="B249" s="593" t="s">
        <v>2735</v>
      </c>
      <c r="C249" s="403" t="s">
        <v>2247</v>
      </c>
      <c r="D249" s="263" t="s">
        <v>34</v>
      </c>
      <c r="E249" s="371" t="s">
        <v>33</v>
      </c>
    </row>
    <row r="250" spans="1:6" ht="15.75" thickBot="1" x14ac:dyDescent="0.3">
      <c r="A250" s="445" t="s">
        <v>2034</v>
      </c>
      <c r="B250" s="593" t="s">
        <v>2736</v>
      </c>
      <c r="C250" s="403" t="s">
        <v>2247</v>
      </c>
      <c r="D250" s="263" t="s">
        <v>34</v>
      </c>
      <c r="E250" s="371" t="s">
        <v>33</v>
      </c>
    </row>
    <row r="251" spans="1:6" ht="15.75" thickBot="1" x14ac:dyDescent="0.3">
      <c r="A251" s="445" t="s">
        <v>2737</v>
      </c>
      <c r="B251" s="593" t="s">
        <v>2738</v>
      </c>
      <c r="C251" s="403" t="s">
        <v>2247</v>
      </c>
      <c r="D251" s="263" t="s">
        <v>34</v>
      </c>
      <c r="E251" s="371" t="s">
        <v>33</v>
      </c>
    </row>
    <row r="252" spans="1:6" ht="15.75" thickBot="1" x14ac:dyDescent="0.3">
      <c r="A252" s="445" t="s">
        <v>1678</v>
      </c>
      <c r="B252" s="593" t="s">
        <v>2739</v>
      </c>
      <c r="C252" s="403" t="s">
        <v>2247</v>
      </c>
      <c r="D252" s="263" t="s">
        <v>34</v>
      </c>
      <c r="E252" s="371" t="s">
        <v>33</v>
      </c>
    </row>
    <row r="253" spans="1:6" ht="15.75" thickBot="1" x14ac:dyDescent="0.3">
      <c r="A253" s="445" t="s">
        <v>2740</v>
      </c>
      <c r="B253" s="593" t="s">
        <v>2741</v>
      </c>
      <c r="C253" s="403" t="s">
        <v>2247</v>
      </c>
      <c r="D253" s="263" t="s">
        <v>34</v>
      </c>
      <c r="E253" s="371" t="s">
        <v>33</v>
      </c>
    </row>
    <row r="254" spans="1:6" ht="15.75" thickBot="1" x14ac:dyDescent="0.3">
      <c r="A254" s="445" t="s">
        <v>2742</v>
      </c>
      <c r="B254" s="593" t="s">
        <v>2743</v>
      </c>
      <c r="C254" s="403" t="s">
        <v>44</v>
      </c>
      <c r="D254" s="263" t="s">
        <v>44</v>
      </c>
      <c r="E254" s="371" t="s">
        <v>33</v>
      </c>
    </row>
    <row r="255" spans="1:6" ht="15.75" thickBot="1" x14ac:dyDescent="0.3">
      <c r="A255" s="445" t="s">
        <v>1893</v>
      </c>
      <c r="B255" s="593" t="s">
        <v>2744</v>
      </c>
      <c r="C255" s="403" t="s">
        <v>2247</v>
      </c>
      <c r="D255" s="263" t="s">
        <v>34</v>
      </c>
      <c r="E255" s="371" t="s">
        <v>33</v>
      </c>
    </row>
    <row r="256" spans="1:6" ht="30.75" thickBot="1" x14ac:dyDescent="0.3">
      <c r="A256" s="445" t="s">
        <v>2745</v>
      </c>
      <c r="B256" s="593" t="s">
        <v>2746</v>
      </c>
      <c r="C256" s="403" t="s">
        <v>2247</v>
      </c>
      <c r="D256" s="263" t="s">
        <v>34</v>
      </c>
      <c r="E256" s="371" t="s">
        <v>33</v>
      </c>
    </row>
    <row r="257" spans="1:6" ht="30.75" thickBot="1" x14ac:dyDescent="0.3">
      <c r="A257" s="445" t="s">
        <v>2747</v>
      </c>
      <c r="B257" s="593" t="s">
        <v>2748</v>
      </c>
      <c r="C257" s="403" t="s">
        <v>2247</v>
      </c>
      <c r="D257" s="263" t="s">
        <v>34</v>
      </c>
      <c r="E257" s="371" t="s">
        <v>33</v>
      </c>
    </row>
    <row r="258" spans="1:6" ht="30.75" thickBot="1" x14ac:dyDescent="0.3">
      <c r="A258" s="445" t="s">
        <v>2749</v>
      </c>
      <c r="B258" s="593" t="s">
        <v>2750</v>
      </c>
      <c r="C258" s="403" t="s">
        <v>2247</v>
      </c>
      <c r="D258" s="263" t="s">
        <v>34</v>
      </c>
      <c r="E258" s="371" t="s">
        <v>33</v>
      </c>
    </row>
    <row r="259" spans="1:6" ht="15.75" thickBot="1" x14ac:dyDescent="0.3">
      <c r="A259" s="445" t="s">
        <v>2751</v>
      </c>
      <c r="B259" s="593" t="s">
        <v>2752</v>
      </c>
      <c r="C259" s="403" t="s">
        <v>2247</v>
      </c>
      <c r="D259" s="263" t="s">
        <v>43</v>
      </c>
      <c r="E259" s="371" t="s">
        <v>33</v>
      </c>
    </row>
    <row r="260" spans="1:6" ht="60.75" thickBot="1" x14ac:dyDescent="0.3">
      <c r="A260" s="445" t="s">
        <v>1876</v>
      </c>
      <c r="B260" s="593" t="s">
        <v>2753</v>
      </c>
      <c r="C260" s="403" t="s">
        <v>2247</v>
      </c>
      <c r="D260" s="263" t="s">
        <v>34</v>
      </c>
      <c r="E260" s="371" t="s">
        <v>33</v>
      </c>
    </row>
    <row r="261" spans="1:6" ht="30.75" thickBot="1" x14ac:dyDescent="0.3">
      <c r="A261" s="445" t="s">
        <v>2754</v>
      </c>
      <c r="B261" s="593" t="s">
        <v>2755</v>
      </c>
      <c r="C261" s="403" t="s">
        <v>2247</v>
      </c>
      <c r="D261" s="263" t="s">
        <v>34</v>
      </c>
      <c r="E261" s="371" t="s">
        <v>33</v>
      </c>
    </row>
    <row r="262" spans="1:6" ht="30.75" thickBot="1" x14ac:dyDescent="0.3">
      <c r="A262" s="445" t="s">
        <v>2756</v>
      </c>
      <c r="B262" s="593" t="s">
        <v>2757</v>
      </c>
      <c r="C262" s="403" t="s">
        <v>2247</v>
      </c>
      <c r="D262" s="263" t="s">
        <v>34</v>
      </c>
      <c r="E262" s="371" t="s">
        <v>33</v>
      </c>
      <c r="F262" t="s">
        <v>2758</v>
      </c>
    </row>
    <row r="263" spans="1:6" ht="15.75" thickBot="1" x14ac:dyDescent="0.3">
      <c r="A263" s="445" t="s">
        <v>2759</v>
      </c>
      <c r="B263" s="593" t="s">
        <v>2760</v>
      </c>
      <c r="C263" s="403" t="s">
        <v>2247</v>
      </c>
      <c r="D263" s="263" t="s">
        <v>44</v>
      </c>
      <c r="E263" s="371" t="s">
        <v>33</v>
      </c>
    </row>
    <row r="264" spans="1:6" ht="15.75" thickBot="1" x14ac:dyDescent="0.3">
      <c r="A264" s="445" t="s">
        <v>2761</v>
      </c>
      <c r="B264" s="593" t="s">
        <v>2762</v>
      </c>
      <c r="C264" s="403" t="s">
        <v>44</v>
      </c>
      <c r="D264" s="263" t="s">
        <v>44</v>
      </c>
      <c r="E264" s="371" t="s">
        <v>33</v>
      </c>
    </row>
    <row r="265" spans="1:6" ht="15.75" thickBot="1" x14ac:dyDescent="0.3">
      <c r="A265" s="445" t="s">
        <v>2763</v>
      </c>
      <c r="B265" s="593" t="s">
        <v>2764</v>
      </c>
      <c r="C265" s="403" t="s">
        <v>2247</v>
      </c>
      <c r="D265" s="263" t="s">
        <v>44</v>
      </c>
      <c r="E265" s="371" t="s">
        <v>33</v>
      </c>
    </row>
    <row r="266" spans="1:6" ht="15.75" thickBot="1" x14ac:dyDescent="0.3">
      <c r="A266" s="445" t="s">
        <v>2765</v>
      </c>
      <c r="B266" s="593" t="s">
        <v>2766</v>
      </c>
      <c r="C266" s="403" t="s">
        <v>44</v>
      </c>
      <c r="D266" s="263" t="s">
        <v>44</v>
      </c>
      <c r="E266" s="371" t="s">
        <v>33</v>
      </c>
    </row>
    <row r="267" spans="1:6" ht="15.75" thickBot="1" x14ac:dyDescent="0.3">
      <c r="A267" s="445" t="s">
        <v>2767</v>
      </c>
      <c r="B267" s="593" t="s">
        <v>2768</v>
      </c>
      <c r="C267" s="403" t="s">
        <v>44</v>
      </c>
      <c r="D267" s="263" t="s">
        <v>44</v>
      </c>
      <c r="E267" s="371" t="s">
        <v>33</v>
      </c>
    </row>
    <row r="268" spans="1:6" ht="15.75" thickBot="1" x14ac:dyDescent="0.3">
      <c r="A268" s="445" t="s">
        <v>2769</v>
      </c>
      <c r="B268" s="593" t="s">
        <v>2770</v>
      </c>
      <c r="C268" s="403" t="s">
        <v>44</v>
      </c>
      <c r="D268" s="263" t="s">
        <v>44</v>
      </c>
      <c r="E268" s="371" t="s">
        <v>33</v>
      </c>
    </row>
    <row r="269" spans="1:6" ht="15.75" thickBot="1" x14ac:dyDescent="0.3">
      <c r="A269" s="445" t="s">
        <v>2771</v>
      </c>
      <c r="B269" s="593" t="s">
        <v>2772</v>
      </c>
      <c r="C269" s="403" t="s">
        <v>44</v>
      </c>
      <c r="D269" s="263" t="s">
        <v>44</v>
      </c>
      <c r="E269" s="371" t="s">
        <v>33</v>
      </c>
    </row>
    <row r="270" spans="1:6" ht="15.75" thickBot="1" x14ac:dyDescent="0.3">
      <c r="A270" s="445" t="s">
        <v>2773</v>
      </c>
      <c r="B270" s="593" t="s">
        <v>2774</v>
      </c>
      <c r="C270" s="403" t="s">
        <v>44</v>
      </c>
      <c r="D270" s="263" t="s">
        <v>44</v>
      </c>
      <c r="E270" s="371" t="s">
        <v>33</v>
      </c>
    </row>
    <row r="271" spans="1:6" ht="15.75" thickBot="1" x14ac:dyDescent="0.3">
      <c r="A271" s="445" t="s">
        <v>2775</v>
      </c>
      <c r="B271" s="593" t="s">
        <v>2776</v>
      </c>
      <c r="C271" s="403" t="s">
        <v>2247</v>
      </c>
      <c r="D271" s="263" t="s">
        <v>43</v>
      </c>
      <c r="E271" s="371" t="s">
        <v>33</v>
      </c>
    </row>
    <row r="272" spans="1:6" ht="15.75" thickBot="1" x14ac:dyDescent="0.3">
      <c r="A272" s="445" t="s">
        <v>2777</v>
      </c>
      <c r="B272" s="593" t="s">
        <v>2778</v>
      </c>
      <c r="C272" s="403" t="s">
        <v>2247</v>
      </c>
      <c r="D272" s="263" t="s">
        <v>43</v>
      </c>
      <c r="E272" s="371" t="s">
        <v>33</v>
      </c>
    </row>
    <row r="273" spans="1:6" ht="15.75" thickBot="1" x14ac:dyDescent="0.3">
      <c r="A273" s="445" t="s">
        <v>2779</v>
      </c>
      <c r="B273" s="593" t="s">
        <v>2780</v>
      </c>
      <c r="C273" s="403" t="s">
        <v>2247</v>
      </c>
      <c r="D273" s="263" t="s">
        <v>44</v>
      </c>
      <c r="E273" s="371" t="s">
        <v>33</v>
      </c>
    </row>
    <row r="274" spans="1:6" ht="15.75" thickBot="1" x14ac:dyDescent="0.3">
      <c r="A274" s="445" t="s">
        <v>2781</v>
      </c>
      <c r="B274" s="593" t="s">
        <v>2782</v>
      </c>
      <c r="C274" s="403" t="s">
        <v>2247</v>
      </c>
      <c r="D274" s="263" t="s">
        <v>44</v>
      </c>
      <c r="E274" s="371" t="s">
        <v>33</v>
      </c>
    </row>
    <row r="275" spans="1:6" ht="15.75" thickBot="1" x14ac:dyDescent="0.3">
      <c r="A275" s="445" t="s">
        <v>2783</v>
      </c>
      <c r="B275" s="593" t="s">
        <v>2784</v>
      </c>
      <c r="C275" s="403" t="s">
        <v>2247</v>
      </c>
      <c r="D275" s="263" t="s">
        <v>43</v>
      </c>
      <c r="E275" s="371" t="s">
        <v>33</v>
      </c>
    </row>
    <row r="276" spans="1:6" ht="15.75" thickBot="1" x14ac:dyDescent="0.3">
      <c r="A276" s="445" t="s">
        <v>2785</v>
      </c>
      <c r="B276" s="593" t="s">
        <v>2786</v>
      </c>
      <c r="C276" s="403" t="s">
        <v>1009</v>
      </c>
      <c r="D276" s="263" t="s">
        <v>43</v>
      </c>
      <c r="E276" s="371" t="s">
        <v>42</v>
      </c>
    </row>
    <row r="277" spans="1:6" ht="15.75" thickBot="1" x14ac:dyDescent="0.3">
      <c r="A277" s="445" t="s">
        <v>2787</v>
      </c>
      <c r="B277" s="593" t="s">
        <v>2788</v>
      </c>
      <c r="C277" s="403" t="s">
        <v>2789</v>
      </c>
      <c r="D277" s="263" t="s">
        <v>43</v>
      </c>
      <c r="E277" s="371" t="s">
        <v>38</v>
      </c>
    </row>
    <row r="278" spans="1:6" ht="15.75" thickBot="1" x14ac:dyDescent="0.3">
      <c r="A278" s="445" t="s">
        <v>2790</v>
      </c>
      <c r="B278" s="593" t="s">
        <v>2791</v>
      </c>
      <c r="C278" s="403"/>
      <c r="D278" s="263"/>
      <c r="E278" s="371"/>
    </row>
    <row r="279" spans="1:6" ht="30" x14ac:dyDescent="0.25">
      <c r="A279" s="445"/>
      <c r="B279" s="593"/>
      <c r="C279" s="403"/>
      <c r="D279" s="263"/>
      <c r="E279" s="371"/>
      <c r="F279" s="206" t="s">
        <v>2792</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727" t="s">
        <v>2793</v>
      </c>
      <c r="B1" s="684"/>
      <c r="C1" s="684"/>
      <c r="D1" s="684"/>
      <c r="E1" s="684"/>
      <c r="F1" s="684"/>
      <c r="G1" s="684"/>
      <c r="H1" s="684"/>
      <c r="I1" s="684"/>
      <c r="J1" s="684"/>
      <c r="K1" s="684"/>
      <c r="L1" s="684"/>
      <c r="M1" s="684"/>
      <c r="N1" s="684"/>
      <c r="O1" s="684"/>
      <c r="P1" s="684"/>
      <c r="Q1" s="684"/>
      <c r="R1" s="684"/>
      <c r="S1" s="684"/>
      <c r="T1" s="684"/>
      <c r="U1" s="685"/>
      <c r="V1" s="165"/>
    </row>
    <row r="2" spans="1:22" s="176" customFormat="1" ht="18.75" x14ac:dyDescent="0.25">
      <c r="A2" s="730" t="s">
        <v>252</v>
      </c>
      <c r="B2" s="731"/>
      <c r="C2" s="731"/>
      <c r="D2" s="731"/>
      <c r="E2" s="731"/>
      <c r="F2" s="732"/>
      <c r="G2" s="313">
        <f>COUNTIF(G7:G182,"Yes")</f>
        <v>133</v>
      </c>
      <c r="H2" s="313">
        <f>COUNTIF(H7:H182,"Yes")</f>
        <v>133</v>
      </c>
      <c r="I2" s="728">
        <f>'Diags Raw Data'!K1089</f>
        <v>637</v>
      </c>
      <c r="J2" s="742">
        <f>'Diags Raw Data'!L1089</f>
        <v>1160</v>
      </c>
      <c r="K2" s="744">
        <f>'Diags Raw Data'!N1089</f>
        <v>1</v>
      </c>
      <c r="L2" s="746">
        <f>'Diags Raw Data'!P1089</f>
        <v>0.88147566718995285</v>
      </c>
      <c r="M2" s="748">
        <f>'Diags Raw Data'!R1089</f>
        <v>1157</v>
      </c>
      <c r="N2" s="750">
        <f>SUM('Diags Raw Data'!T1089+'Diags Raw Data'!U1089)</f>
        <v>1156</v>
      </c>
      <c r="O2" s="736">
        <f>IF((M2=0),0,N2/M2)</f>
        <v>0.99913569576490924</v>
      </c>
      <c r="P2" s="738">
        <f>'Diags Raw Data'!Z1089</f>
        <v>0</v>
      </c>
      <c r="Q2" s="740">
        <f>SUM('Diags Raw Data'!AA1089+'Diags Raw Data'!AB1089)</f>
        <v>0</v>
      </c>
      <c r="R2" s="723">
        <f>IF((J183=0),0,P183/J183)</f>
        <v>0</v>
      </c>
      <c r="S2" s="723">
        <f>IF((P183=0),0,Q183/P183)</f>
        <v>0</v>
      </c>
      <c r="T2" s="723">
        <f>R183*S183</f>
        <v>0</v>
      </c>
      <c r="U2" s="725"/>
      <c r="V2" s="175"/>
    </row>
    <row r="3" spans="1:22" ht="19.5" thickBot="1" x14ac:dyDescent="0.3">
      <c r="A3" s="733"/>
      <c r="B3" s="734"/>
      <c r="C3" s="734"/>
      <c r="D3" s="734"/>
      <c r="E3" s="734"/>
      <c r="F3" s="735"/>
      <c r="G3" s="314">
        <f>COUNTIF(G7:G182,"Yes")/COUNTA(A7:A182)</f>
        <v>0.75568181818181823</v>
      </c>
      <c r="H3" s="314">
        <f>(COUNTIF(H7:H182,"Yes")/G2)</f>
        <v>1</v>
      </c>
      <c r="I3" s="729"/>
      <c r="J3" s="743"/>
      <c r="K3" s="745"/>
      <c r="L3" s="747"/>
      <c r="M3" s="749"/>
      <c r="N3" s="751"/>
      <c r="O3" s="737"/>
      <c r="P3" s="739"/>
      <c r="Q3" s="741"/>
      <c r="R3" s="724"/>
      <c r="S3" s="724"/>
      <c r="T3" s="724"/>
      <c r="U3" s="726"/>
      <c r="V3" s="170"/>
    </row>
    <row r="4" spans="1:22" ht="18.75" x14ac:dyDescent="0.25">
      <c r="A4" s="686" t="s">
        <v>2794</v>
      </c>
      <c r="B4" s="687"/>
      <c r="C4" s="687"/>
      <c r="D4" s="687"/>
      <c r="E4" s="687"/>
      <c r="F4" s="687"/>
      <c r="G4" s="687"/>
      <c r="H4" s="687"/>
      <c r="I4" s="687"/>
      <c r="J4" s="687"/>
      <c r="K4" s="687"/>
      <c r="L4" s="687"/>
      <c r="M4" s="687"/>
      <c r="N4" s="687"/>
      <c r="O4" s="687"/>
      <c r="P4" s="687"/>
      <c r="Q4" s="687"/>
      <c r="R4" s="687"/>
      <c r="S4" s="687"/>
      <c r="T4" s="687"/>
      <c r="U4" s="688"/>
      <c r="V4" s="170"/>
    </row>
    <row r="5" spans="1:22" s="166" customFormat="1" ht="31.5" customHeight="1" thickBot="1" x14ac:dyDescent="0.3">
      <c r="A5" s="754" t="s">
        <v>76</v>
      </c>
      <c r="B5" s="755"/>
      <c r="C5" s="755"/>
      <c r="D5" s="755"/>
      <c r="E5" s="755"/>
      <c r="F5" s="755"/>
      <c r="G5" s="755"/>
      <c r="H5" s="755"/>
      <c r="I5" s="755"/>
      <c r="J5" s="756"/>
      <c r="K5" s="752" t="s">
        <v>113</v>
      </c>
      <c r="L5" s="753"/>
      <c r="M5" s="757" t="s">
        <v>124</v>
      </c>
      <c r="N5" s="758"/>
      <c r="O5" s="759"/>
      <c r="P5" s="760" t="s">
        <v>144</v>
      </c>
      <c r="Q5" s="761"/>
      <c r="R5" s="761"/>
      <c r="S5" s="761"/>
      <c r="T5" s="761"/>
      <c r="U5" s="762"/>
      <c r="V5" s="165"/>
    </row>
    <row r="6" spans="1:22" s="168" customFormat="1" ht="30.75" thickBot="1" x14ac:dyDescent="0.3">
      <c r="A6" s="280" t="s">
        <v>77</v>
      </c>
      <c r="B6" s="303" t="s">
        <v>81</v>
      </c>
      <c r="C6" s="303" t="s">
        <v>96</v>
      </c>
      <c r="D6" s="303" t="s">
        <v>212</v>
      </c>
      <c r="E6" s="303" t="s">
        <v>88</v>
      </c>
      <c r="F6" s="303" t="s">
        <v>1</v>
      </c>
      <c r="G6" s="304" t="s">
        <v>215</v>
      </c>
      <c r="H6" s="304" t="s">
        <v>218</v>
      </c>
      <c r="I6" s="305" t="s">
        <v>105</v>
      </c>
      <c r="J6" s="305" t="s">
        <v>221</v>
      </c>
      <c r="K6" s="287" t="s">
        <v>114</v>
      </c>
      <c r="L6" s="288" t="s">
        <v>121</v>
      </c>
      <c r="M6" s="277" t="s">
        <v>227</v>
      </c>
      <c r="N6" s="278" t="s">
        <v>229</v>
      </c>
      <c r="O6" s="276" t="s">
        <v>187</v>
      </c>
      <c r="P6" s="464" t="s">
        <v>232</v>
      </c>
      <c r="Q6" s="465" t="s">
        <v>229</v>
      </c>
      <c r="R6" s="466" t="s">
        <v>184</v>
      </c>
      <c r="S6" s="466" t="s">
        <v>140</v>
      </c>
      <c r="T6" s="467" t="s">
        <v>187</v>
      </c>
      <c r="U6" s="468" t="s">
        <v>157</v>
      </c>
      <c r="V6" s="167" t="s">
        <v>2795</v>
      </c>
    </row>
    <row r="7" spans="1:22" ht="285" x14ac:dyDescent="0.25">
      <c r="A7" s="445" t="s">
        <v>2288</v>
      </c>
      <c r="B7" s="331" t="str">
        <f>VLOOKUP(A7,'Feature Raw Data'!$A$3:$B$4067,2,FALSE)</f>
        <v>MMHUB:SOC - SOC-15 SDP Interfaces</v>
      </c>
      <c r="C7" s="284" t="str">
        <f>VLOOKUP(A7,'Feature Raw Data'!$A$3:$C$4067,3,FALSE)</f>
        <v>P2</v>
      </c>
      <c r="D7" s="94" t="str" cm="1">
        <f t="array" ref="D7">_xlfn.TEXTJOIN("",TRUE,IF(ISNUMBER(SEARCH($A7,'Diags Raw Data'!$A$6:$A$4699)),CONCATENATE('Diags Raw Data'!$H$6:$H$4699,", "),""))</f>
        <v xml:space="preserve">mhub001.1, mhub001.2, mhub001.3, mhub001.4, mhub001.5, mhub001.6, mhub001.7, mhub001.9, mhub002.1-15, mhub002.16, mhub002.16, mhub002.17, mhub002.18, mhub401.1-6,11-16,21-26, mhub401.34, mhub405.1, </v>
      </c>
      <c r="E7" s="285" t="e">
        <f>VLOOKUP(A7,'Diags Raw Data'!$A$6:$D$4699,4,FALSE)</f>
        <v>#N/A</v>
      </c>
      <c r="F7" s="285" t="str">
        <f>VLOOKUP(A7,'Feature Raw Data'!$A$3:$E$4067,5,FALSE)</f>
        <v>Legacy</v>
      </c>
      <c r="G7" s="285" t="str">
        <f t="shared" ref="G7:G63" si="0">IF(D7="","No","Yes")</f>
        <v>Yes</v>
      </c>
      <c r="H7" s="285" t="str">
        <f t="shared" ref="H7:H12" si="1">IF(D7="","No","Yes")</f>
        <v>Yes</v>
      </c>
      <c r="I7" s="284">
        <f>SUMIF('Diags Raw Data'!$A$6:$A$4699,"*"&amp;$A7&amp;"*",'Diags Raw Data'!$K$6:$K$4699)</f>
        <v>31</v>
      </c>
      <c r="J7" s="286">
        <f>SUMIF('Diags Raw Data'!$A$6:$A$4699,"*"&amp;$A7&amp;"*",'Diags Raw Data'!$L$6:$L$4699)</f>
        <v>47</v>
      </c>
      <c r="K7" s="408" cm="1">
        <f t="array" ref="K7">IF(D7="",0, SUMPRODUCT(--(ISNUMBER(SEARCH($A7,'Diags Raw Data'!$A$6:$A$4699))),'Diags Raw Data'!$L$6:$L$4699,'Diags Raw Data'!$N$6:$N$4699)/J7)</f>
        <v>1</v>
      </c>
      <c r="L7" s="409" cm="1">
        <f t="array" ref="L7">IF(D7="",0, SUMPRODUCT(--(ISNUMBER(SEARCH($A7,'Diags Raw Data'!$A$6:$A$4699))),'Diags Raw Data'!$L$6:$L$4699,'Diags Raw Data'!$P$6:$P$4699)/J7)</f>
        <v>0.28723404255319152</v>
      </c>
      <c r="M7" s="410" cm="1">
        <f t="array" ref="M7">SUMPRODUCT(--(ISNUMBER(SEARCH($A7,'Diags Raw Data'!$A$6:$A$4699))),--('Diags Raw Data'!$Q$6:$Q$4699&lt;&gt;"N/A"),'Diags Raw Data'!$R$6:$R$4699)</f>
        <v>47</v>
      </c>
      <c r="N7" s="411" cm="1">
        <f t="array" ref="N7">SUMPRODUCT(--(ISNUMBER(SEARCH($A7,'Diags Raw Data'!$A$6:$A$4699))),--('Diags Raw Data'!$Q$6:$Q$4699&lt;&gt;"N/A"),'Diags Raw Data'!$T$6:$T$4699)+SUMPRODUCT(--(ISNUMBER(SEARCH($A7,'Diags Raw Data'!$A$6:$A$4699))),--('Diags Raw Data'!$Q$6:$Q$4699&lt;&gt;"N/A"),'Diags Raw Data'!$U$6:$U$4699)</f>
        <v>47</v>
      </c>
      <c r="O7" s="461">
        <f>IF((M7=0),0,N7/M7)</f>
        <v>1</v>
      </c>
      <c r="P7" s="412">
        <f>SUMIF('Diags Raw Data'!$A$6:$A$4699,"*"&amp;$A7&amp;"*",'Diags Raw Data'!$Z$6:$Z$4699)</f>
        <v>0</v>
      </c>
      <c r="Q7" s="413">
        <f>SUM(SUMIF('Diags Raw Data'!$A$6:$A$4699,"*"&amp;$A7&amp;"*",'Diags Raw Data'!$AA$6:$AA$4699),SUMIF('Diags Raw Data'!$A$6:$A$4699,"*"&amp;$A7&amp;"*",'Diags Raw Data'!$AB$6:$AB$4699))</f>
        <v>0</v>
      </c>
      <c r="R7" s="414">
        <f>IF((J7=0),0,P7/J7)</f>
        <v>0</v>
      </c>
      <c r="S7" s="414">
        <f>IF((P7=0),0,Q7/P7)</f>
        <v>0</v>
      </c>
      <c r="T7" s="415">
        <f>R7*S7</f>
        <v>0</v>
      </c>
      <c r="U7" s="469" t="s">
        <v>2796</v>
      </c>
      <c r="V7" s="170"/>
    </row>
    <row r="8" spans="1:22" ht="210" x14ac:dyDescent="0.25">
      <c r="A8" s="446" t="s">
        <v>2292</v>
      </c>
      <c r="B8" s="332" t="str">
        <f>VLOOKUP(A8,'Feature Raw Data'!$A$3:$B$4067,2,FALSE)</f>
        <v>MMHUB:SOC - SOC-15 SCF/SMN interfaces</v>
      </c>
      <c r="C8" s="273" t="str">
        <f>VLOOKUP(A8,'Feature Raw Data'!$A$3:$C$4067,3,FALSE)</f>
        <v>P2</v>
      </c>
      <c r="D8" s="332" t="str" cm="1">
        <f t="array" ref="D8">_xlfn.TEXTJOIN("",TRUE,IF(ISNUMBER(SEARCH($A8,'Diags Raw Data'!$A$6:$A$4699)),CONCATENATE('Diags Raw Data'!$H$6:$H$4699,", "),""))</f>
        <v xml:space="preserve">mhub001.1, mhub001.2, mhub001.3, mhub001.4, mhub001.5, mhub001.6, mhub001.7, mhub001.9, mhub002.1-15, mhub002.16, mhub002.16, mhub002.17, mhub002.18, </v>
      </c>
      <c r="E8" s="169" t="e">
        <f>VLOOKUP(A8,'Diags Raw Data'!$A$6:$D$4699,4,FALSE)</f>
        <v>#N/A</v>
      </c>
      <c r="F8" s="169" t="str">
        <f>VLOOKUP(A8,'Feature Raw Data'!$A$3:$E$4067,5,FALSE)</f>
        <v>Legacy</v>
      </c>
      <c r="G8" s="169" t="str">
        <f t="shared" si="0"/>
        <v>Yes</v>
      </c>
      <c r="H8" s="169" t="str">
        <f t="shared" si="1"/>
        <v>Yes</v>
      </c>
      <c r="I8" s="273">
        <f>SUMIF('Diags Raw Data'!$A$6:$A$4699,"*"&amp;$A8&amp;"*",'Diags Raw Data'!$K$6:$K$4699)</f>
        <v>28</v>
      </c>
      <c r="J8" s="179">
        <f>SUMIF('Diags Raw Data'!$A$6:$A$4699,"*"&amp;$A8&amp;"*",'Diags Raw Data'!$L$6:$L$4699)</f>
        <v>27</v>
      </c>
      <c r="K8" s="416" cm="1">
        <f t="array" ref="K8">IF(D8="",0, SUMPRODUCT(--(ISNUMBER(SEARCH($A8,'Diags Raw Data'!$A$6:$A$4699))),'Diags Raw Data'!$L$6:$L$4699,'Diags Raw Data'!$N$6:$N$4699)/J8)</f>
        <v>1</v>
      </c>
      <c r="L8" s="417" cm="1">
        <f t="array" ref="L8">IF(D8="",0, SUMPRODUCT(--(ISNUMBER(SEARCH($A8,'Diags Raw Data'!$A$6:$A$4699))),'Diags Raw Data'!$L$6:$L$4699,'Diags Raw Data'!$P$6:$P$4699)/J8)</f>
        <v>0.42592592592592593</v>
      </c>
      <c r="M8" s="418" cm="1">
        <f t="array" ref="M8">SUMPRODUCT(--(ISNUMBER(SEARCH($A8,'Diags Raw Data'!$A$6:$A$4699))),--('Diags Raw Data'!$Q$6:$Q$4699&lt;&gt;"N/A"),'Diags Raw Data'!$R$6:$R$4699)</f>
        <v>27</v>
      </c>
      <c r="N8" s="419" cm="1">
        <f t="array" ref="N8">SUMPRODUCT(--(ISNUMBER(SEARCH($A8,'Diags Raw Data'!$A$6:$A$4699))),--('Diags Raw Data'!$Q$6:$Q$4699&lt;&gt;"N/A"),'Diags Raw Data'!$T$6:$T$4699)+SUMPRODUCT(--(ISNUMBER(SEARCH($A8,'Diags Raw Data'!$A$6:$A$4699))),--('Diags Raw Data'!$Q$6:$Q$4699&lt;&gt;"N/A"),'Diags Raw Data'!$U$6:$U$4699)</f>
        <v>27</v>
      </c>
      <c r="O8" s="462">
        <f t="shared" ref="O8:O12" si="2">IF((M8=0),0,N8/M8)</f>
        <v>1</v>
      </c>
      <c r="P8" s="420">
        <f>SUMIF('Diags Raw Data'!$A$6:$A$4699,"*"&amp;$A8&amp;"*",'Diags Raw Data'!$Z$6:$Z$4699)</f>
        <v>0</v>
      </c>
      <c r="Q8" s="421">
        <f>SUM(SUMIF('Diags Raw Data'!$A$6:$A$4699,"*"&amp;$A8&amp;"*",'Diags Raw Data'!$AA$6:$AA$4699),SUMIF('Diags Raw Data'!$A$6:$A$4699,"*"&amp;$A8&amp;"*",'Diags Raw Data'!$AB$6:$AB$4699))</f>
        <v>0</v>
      </c>
      <c r="R8" s="422">
        <f t="shared" ref="R8:R12" si="3">IF((J8=0),0,P8/J8)</f>
        <v>0</v>
      </c>
      <c r="S8" s="422">
        <f t="shared" ref="S8:S12" si="4">IF((P8=0),0,Q8/P8)</f>
        <v>0</v>
      </c>
      <c r="T8" s="423">
        <f t="shared" ref="T8:T12" si="5">R8*S8</f>
        <v>0</v>
      </c>
      <c r="U8" s="469" t="s">
        <v>2797</v>
      </c>
      <c r="V8" s="170"/>
    </row>
    <row r="9" spans="1:22" ht="255" x14ac:dyDescent="0.25">
      <c r="A9" s="446" t="s">
        <v>2295</v>
      </c>
      <c r="B9" s="332" t="str">
        <f>VLOOKUP(A9,'Feature Raw Data'!$A$3:$B$4067,2,FALSE)</f>
        <v>MMHUB:SOC - AXI4 client interface</v>
      </c>
      <c r="C9" s="273" t="str">
        <f>VLOOKUP(A9,'Feature Raw Data'!$A$3:$C$4067,3,FALSE)</f>
        <v>P1</v>
      </c>
      <c r="D9" s="82" t="str" cm="1">
        <f t="array" ref="D9">_xlfn.TEXTJOIN("",TRUE,IF(ISNUMBER(SEARCH($A9,'Diags Raw Data'!$A$6:$A$4699)),CONCATENATE('Diags Raw Data'!$H$6:$H$4699,", "),""))</f>
        <v xml:space="preserve">mhub001.1, mhub001.2, mhub001.3, mhub001.4, mhub001.5, mhub001.6, mhub001.7, mhub001.9, mhub002.1-15, mhub002.16, mhub002.16, mhub002.17, mhub002.18, mhub164.1-2,4, mhub164.3, </v>
      </c>
      <c r="E9" s="169" t="e">
        <f>VLOOKUP(A9,'Diags Raw Data'!$A$6:$D$4699,4,FALSE)</f>
        <v>#N/A</v>
      </c>
      <c r="F9" s="169" t="str">
        <f>VLOOKUP(A9,'Feature Raw Data'!$A$3:$E$4067,5,FALSE)</f>
        <v>Delta</v>
      </c>
      <c r="G9" s="169" t="str">
        <f t="shared" si="0"/>
        <v>Yes</v>
      </c>
      <c r="H9" s="169" t="str">
        <f t="shared" si="1"/>
        <v>Yes</v>
      </c>
      <c r="I9" s="273">
        <f>SUMIF('Diags Raw Data'!$A$6:$A$4699,"*"&amp;$A9&amp;"*",'Diags Raw Data'!$K$6:$K$4699)</f>
        <v>30</v>
      </c>
      <c r="J9" s="179">
        <f>SUMIF('Diags Raw Data'!$A$6:$A$4699,"*"&amp;$A9&amp;"*",'Diags Raw Data'!$L$6:$L$4699)</f>
        <v>31</v>
      </c>
      <c r="K9" s="416" cm="1">
        <f t="array" ref="K9">IF(D9="",0, SUMPRODUCT(--(ISNUMBER(SEARCH($A9,'Diags Raw Data'!$A$6:$A$4699))),'Diags Raw Data'!$L$6:$L$4699,'Diags Raw Data'!$N$6:$N$4699)/J9)</f>
        <v>1</v>
      </c>
      <c r="L9" s="417" cm="1">
        <f t="array" ref="L9">IF(D9="",0, SUMPRODUCT(--(ISNUMBER(SEARCH($A9,'Diags Raw Data'!$A$6:$A$4699))),'Diags Raw Data'!$L$6:$L$4699,'Diags Raw Data'!$P$6:$P$4699)/J9)</f>
        <v>0.5</v>
      </c>
      <c r="M9" s="418" cm="1">
        <f t="array" ref="M9">SUMPRODUCT(--(ISNUMBER(SEARCH($A9,'Diags Raw Data'!$A$6:$A$4699))),--('Diags Raw Data'!$Q$6:$Q$4699&lt;&gt;"N/A"),'Diags Raw Data'!$R$6:$R$4699)</f>
        <v>31</v>
      </c>
      <c r="N9" s="419" cm="1">
        <f t="array" ref="N9">SUMPRODUCT(--(ISNUMBER(SEARCH($A9,'Diags Raw Data'!$A$6:$A$4699))),--('Diags Raw Data'!$Q$6:$Q$4699&lt;&gt;"N/A"),'Diags Raw Data'!$T$6:$T$4699)+SUMPRODUCT(--(ISNUMBER(SEARCH($A9,'Diags Raw Data'!$A$6:$A$4699))),--('Diags Raw Data'!$Q$6:$Q$4699&lt;&gt;"N/A"),'Diags Raw Data'!$U$6:$U$4699)</f>
        <v>31</v>
      </c>
      <c r="O9" s="462">
        <f t="shared" si="2"/>
        <v>1</v>
      </c>
      <c r="P9" s="420">
        <f>SUMIF('Diags Raw Data'!$A$6:$A$4699,"*"&amp;$A9&amp;"*",'Diags Raw Data'!$Z$6:$Z$4699)</f>
        <v>0</v>
      </c>
      <c r="Q9" s="421">
        <f>SUM(SUMIF('Diags Raw Data'!$A$6:$A$4699,"*"&amp;$A9&amp;"*",'Diags Raw Data'!$AA$6:$AA$4699),SUMIF('Diags Raw Data'!$A$6:$A$4699,"*"&amp;$A9&amp;"*",'Diags Raw Data'!$AB$6:$AB$4699))</f>
        <v>0</v>
      </c>
      <c r="R9" s="422">
        <f t="shared" si="3"/>
        <v>0</v>
      </c>
      <c r="S9" s="422">
        <f t="shared" si="4"/>
        <v>0</v>
      </c>
      <c r="T9" s="423">
        <f t="shared" si="5"/>
        <v>0</v>
      </c>
      <c r="U9" s="469" t="s">
        <v>2798</v>
      </c>
      <c r="V9" s="170"/>
    </row>
    <row r="10" spans="1:22" x14ac:dyDescent="0.25">
      <c r="A10" s="446" t="s">
        <v>2297</v>
      </c>
      <c r="B10" s="332" t="str">
        <f>VLOOKUP(A10,'Feature Raw Data'!$A$3:$B$4067,2,FALSE)</f>
        <v>MMHUB:SOC - OpenCL Platform Atomics</v>
      </c>
      <c r="C10" s="273" t="str">
        <f>VLOOKUP(A10,'Feature Raw Data'!$A$3:$C$4067,3,FALSE)</f>
        <v>P2</v>
      </c>
      <c r="D10" s="82" t="str" cm="1">
        <f t="array" ref="D10">_xlfn.TEXTJOIN("",TRUE,IF(ISNUMBER(SEARCH($A10,'Diags Raw Data'!$A$6:$A$4699)),CONCATENATE('Diags Raw Data'!$H$6:$H$4699,", "),""))</f>
        <v xml:space="preserve">vcn005.1-4, </v>
      </c>
      <c r="E10" s="169" t="e">
        <f>VLOOKUP(A10,'Diags Raw Data'!$A$6:$D$4699,4,FALSE)</f>
        <v>#N/A</v>
      </c>
      <c r="F10" s="169" t="str">
        <f>VLOOKUP(A10,'Feature Raw Data'!$A$3:$E$4067,5,FALSE)</f>
        <v>Legacy</v>
      </c>
      <c r="G10" s="169" t="s">
        <v>31</v>
      </c>
      <c r="H10" s="169" t="str">
        <f t="shared" si="1"/>
        <v>Yes</v>
      </c>
      <c r="I10" s="273">
        <f>SUMIF('Diags Raw Data'!$A$6:$A$4699,"*"&amp;$A10&amp;"*",'Diags Raw Data'!$K$6:$K$4699)</f>
        <v>0</v>
      </c>
      <c r="J10" s="179">
        <f>SUMIF('Diags Raw Data'!$A$6:$A$4699,"*"&amp;$A10&amp;"*",'Diags Raw Data'!$L$6:$L$4699)</f>
        <v>0</v>
      </c>
      <c r="K10" s="416" t="e" cm="1">
        <f t="array" ref="K10">IF(D10="",0, SUMPRODUCT(--(ISNUMBER(SEARCH($A10,'Diags Raw Data'!$A$6:$A$4699))),'Diags Raw Data'!$L$6:$L$4699,'Diags Raw Data'!$N$6:$N$4699)/J10)</f>
        <v>#DIV/0!</v>
      </c>
      <c r="L10" s="417" t="e" cm="1">
        <f t="array" ref="L10">IF(D10="",0, SUMPRODUCT(--(ISNUMBER(SEARCH($A10,'Diags Raw Data'!$A$6:$A$4699))),'Diags Raw Data'!$L$6:$L$4699,'Diags Raw Data'!$P$6:$P$4699)/J10)</f>
        <v>#DIV/0!</v>
      </c>
      <c r="M10" s="418" cm="1">
        <f t="array" ref="M10">SUMPRODUCT(--(ISNUMBER(SEARCH($A10,'Diags Raw Data'!$A$6:$A$4699))),--('Diags Raw Data'!$Q$6:$Q$4699&lt;&gt;"N/A"),'Diags Raw Data'!$R$6:$R$4699)</f>
        <v>0</v>
      </c>
      <c r="N10" s="419" cm="1">
        <f t="array" ref="N10">SUMPRODUCT(--(ISNUMBER(SEARCH($A10,'Diags Raw Data'!$A$6:$A$4699))),--('Diags Raw Data'!$Q$6:$Q$4699&lt;&gt;"N/A"),'Diags Raw Data'!$T$6:$T$4699)+SUMPRODUCT(--(ISNUMBER(SEARCH($A10,'Diags Raw Data'!$A$6:$A$4699))),--('Diags Raw Data'!$Q$6:$Q$4699&lt;&gt;"N/A"),'Diags Raw Data'!$U$6:$U$4699)</f>
        <v>0</v>
      </c>
      <c r="O10" s="462">
        <f t="shared" si="2"/>
        <v>0</v>
      </c>
      <c r="P10" s="420">
        <f>SUMIF('Diags Raw Data'!$A$6:$A$4699,"*"&amp;$A10&amp;"*",'Diags Raw Data'!$Z$6:$Z$4699)</f>
        <v>0</v>
      </c>
      <c r="Q10" s="421">
        <f>SUM(SUMIF('Diags Raw Data'!$A$6:$A$4699,"*"&amp;$A10&amp;"*",'Diags Raw Data'!$AA$6:$AA$4699),SUMIF('Diags Raw Data'!$A$6:$A$4699,"*"&amp;$A10&amp;"*",'Diags Raw Data'!$AB$6:$AB$4699))</f>
        <v>0</v>
      </c>
      <c r="R10" s="422">
        <f t="shared" si="3"/>
        <v>0</v>
      </c>
      <c r="S10" s="422">
        <f t="shared" si="4"/>
        <v>0</v>
      </c>
      <c r="T10" s="423">
        <f t="shared" si="5"/>
        <v>0</v>
      </c>
      <c r="U10" s="469" t="s">
        <v>44</v>
      </c>
      <c r="V10" s="170"/>
    </row>
    <row r="11" spans="1:22" ht="30" x14ac:dyDescent="0.25">
      <c r="A11" s="446" t="s">
        <v>2299</v>
      </c>
      <c r="B11" s="332" t="str">
        <f>VLOOKUP(A11,'Feature Raw Data'!$A$3:$B$4067,2,FALSE)</f>
        <v>MMHUB:SOC - Strong Ordering for HDP writes/atomics</v>
      </c>
      <c r="C11" s="273" t="str">
        <f>VLOOKUP(A11,'Feature Raw Data'!$A$3:$C$4067,3,FALSE)</f>
        <v>N/A</v>
      </c>
      <c r="D11" s="82" t="str" cm="1">
        <f t="array" ref="D11">_xlfn.TEXTJOIN("",TRUE,IF(ISNUMBER(SEARCH($A11,'Diags Raw Data'!$A$6:$A$4699)),CONCATENATE('Diags Raw Data'!$H$6:$H$4699,", "),""))</f>
        <v/>
      </c>
      <c r="E11" s="169" t="e">
        <f>VLOOKUP(A11,'Diags Raw Data'!$A$6:$D$4699,4,FALSE)</f>
        <v>#N/A</v>
      </c>
      <c r="F11" s="169" t="str">
        <f>VLOOKUP(A11,'Feature Raw Data'!$A$3:$E$4067,5,FALSE)</f>
        <v>Legacy</v>
      </c>
      <c r="G11" s="169" t="s">
        <v>31</v>
      </c>
      <c r="H11" s="169" t="s">
        <v>31</v>
      </c>
      <c r="I11" s="273">
        <f>SUMIF('Diags Raw Data'!$A$6:$A$4699,"*"&amp;$A11&amp;"*",'Diags Raw Data'!$K$6:$K$4699)</f>
        <v>0</v>
      </c>
      <c r="J11" s="179">
        <f>SUMIF('Diags Raw Data'!$A$6:$A$4699,"*"&amp;$A11&amp;"*",'Diags Raw Data'!$L$6:$L$4699)</f>
        <v>0</v>
      </c>
      <c r="K11" s="416" cm="1">
        <f t="array" ref="K11">IF(D11="",0, SUMPRODUCT(--(ISNUMBER(SEARCH($A11,'Diags Raw Data'!$A$6:$A$4699))),'Diags Raw Data'!$L$6:$L$4699,'Diags Raw Data'!$N$6:$N$4699)/J11)</f>
        <v>0</v>
      </c>
      <c r="L11" s="417" cm="1">
        <f t="array" ref="L11">IF(D11="",0, SUMPRODUCT(--(ISNUMBER(SEARCH($A11,'Diags Raw Data'!$A$6:$A$4699))),'Diags Raw Data'!$L$6:$L$4699,'Diags Raw Data'!$P$6:$P$4699)/J11)</f>
        <v>0</v>
      </c>
      <c r="M11" s="418" cm="1">
        <f t="array" ref="M11">SUMPRODUCT(--(ISNUMBER(SEARCH($A11,'Diags Raw Data'!$A$6:$A$4699))),--('Diags Raw Data'!$Q$6:$Q$4699&lt;&gt;"N/A"),'Diags Raw Data'!$R$6:$R$4699)</f>
        <v>0</v>
      </c>
      <c r="N11" s="419" cm="1">
        <f t="array" ref="N11">SUMPRODUCT(--(ISNUMBER(SEARCH($A11,'Diags Raw Data'!$A$6:$A$4699))),--('Diags Raw Data'!$Q$6:$Q$4699&lt;&gt;"N/A"),'Diags Raw Data'!$T$6:$T$4699)+SUMPRODUCT(--(ISNUMBER(SEARCH($A11,'Diags Raw Data'!$A$6:$A$4699))),--('Diags Raw Data'!$Q$6:$Q$4699&lt;&gt;"N/A"),'Diags Raw Data'!$U$6:$U$4699)</f>
        <v>0</v>
      </c>
      <c r="O11" s="462">
        <f t="shared" si="2"/>
        <v>0</v>
      </c>
      <c r="P11" s="420">
        <f>SUMIF('Diags Raw Data'!$A$6:$A$4699,"*"&amp;$A11&amp;"*",'Diags Raw Data'!$Z$6:$Z$4699)</f>
        <v>0</v>
      </c>
      <c r="Q11" s="421">
        <f>SUM(SUMIF('Diags Raw Data'!$A$6:$A$4699,"*"&amp;$A11&amp;"*",'Diags Raw Data'!$AA$6:$AA$4699),SUMIF('Diags Raw Data'!$A$6:$A$4699,"*"&amp;$A11&amp;"*",'Diags Raw Data'!$AB$6:$AB$4699))</f>
        <v>0</v>
      </c>
      <c r="R11" s="422">
        <f t="shared" si="3"/>
        <v>0</v>
      </c>
      <c r="S11" s="422">
        <f t="shared" si="4"/>
        <v>0</v>
      </c>
      <c r="T11" s="423">
        <f t="shared" si="5"/>
        <v>0</v>
      </c>
      <c r="U11" s="469" t="s">
        <v>44</v>
      </c>
      <c r="V11" s="170" t="s">
        <v>2301</v>
      </c>
    </row>
    <row r="12" spans="1:22" x14ac:dyDescent="0.25">
      <c r="A12" s="446" t="s">
        <v>2309</v>
      </c>
      <c r="B12" s="332" t="str">
        <f>VLOOKUP(A12,'Feature Raw Data'!$A$3:$B$4067,2,FALSE)</f>
        <v>MMHUB:DAGB - Repeater FGCG in tap chain</v>
      </c>
      <c r="C12" s="273" t="str">
        <f>VLOOKUP(A12,'Feature Raw Data'!$A$3:$C$4067,3,FALSE)</f>
        <v>P2</v>
      </c>
      <c r="D12" s="82" t="str" cm="1">
        <f t="array" ref="D12">_xlfn.TEXTJOIN("",TRUE,IF(ISNUMBER(SEARCH($A12,'Diags Raw Data'!$A$6:$A$4699)),CONCATENATE('Diags Raw Data'!$H$6:$H$4699,", "),""))</f>
        <v/>
      </c>
      <c r="E12" s="169" t="e">
        <f>VLOOKUP(A12,'Diags Raw Data'!$A$6:$D$4699,4,FALSE)</f>
        <v>#N/A</v>
      </c>
      <c r="F12" s="169" t="str">
        <f>VLOOKUP(A12,'Feature Raw Data'!$A$3:$E$4067,5,FALSE)</f>
        <v>Legacy</v>
      </c>
      <c r="G12" s="169" t="str">
        <f t="shared" si="0"/>
        <v>No</v>
      </c>
      <c r="H12" s="169" t="str">
        <f t="shared" si="1"/>
        <v>No</v>
      </c>
      <c r="I12" s="273">
        <f>SUMIF('Diags Raw Data'!$A$6:$A$4699,"*"&amp;$A12&amp;"*",'Diags Raw Data'!$K$6:$K$4699)</f>
        <v>0</v>
      </c>
      <c r="J12" s="179">
        <f>SUMIF('Diags Raw Data'!$A$6:$A$4699,"*"&amp;$A12&amp;"*",'Diags Raw Data'!$L$6:$L$4699)</f>
        <v>0</v>
      </c>
      <c r="K12" s="416" cm="1">
        <f t="array" ref="K12">IF(D12="",0, SUMPRODUCT(--(ISNUMBER(SEARCH($A12,'Diags Raw Data'!$A$6:$A$4699))),'Diags Raw Data'!$L$6:$L$4699,'Diags Raw Data'!$N$6:$N$4699)/J12)</f>
        <v>0</v>
      </c>
      <c r="L12" s="417" cm="1">
        <f t="array" ref="L12">IF(D12="",0, SUMPRODUCT(--(ISNUMBER(SEARCH($A12,'Diags Raw Data'!$A$6:$A$4699))),'Diags Raw Data'!$L$6:$L$4699,'Diags Raw Data'!$P$6:$P$4699)/J12)</f>
        <v>0</v>
      </c>
      <c r="M12" s="418" cm="1">
        <f t="array" ref="M12">SUMPRODUCT(--(ISNUMBER(SEARCH($A12,'Diags Raw Data'!$A$6:$A$4699))),--('Diags Raw Data'!$Q$6:$Q$4699&lt;&gt;"N/A"),'Diags Raw Data'!$R$6:$R$4699)</f>
        <v>0</v>
      </c>
      <c r="N12" s="419" cm="1">
        <f t="array" ref="N12">SUMPRODUCT(--(ISNUMBER(SEARCH($A12,'Diags Raw Data'!$A$6:$A$4699))),--('Diags Raw Data'!$Q$6:$Q$4699&lt;&gt;"N/A"),'Diags Raw Data'!$T$6:$T$4699)+SUMPRODUCT(--(ISNUMBER(SEARCH($A12,'Diags Raw Data'!$A$6:$A$4699))),--('Diags Raw Data'!$Q$6:$Q$4699&lt;&gt;"N/A"),'Diags Raw Data'!$U$6:$U$4699)</f>
        <v>0</v>
      </c>
      <c r="O12" s="462">
        <f t="shared" si="2"/>
        <v>0</v>
      </c>
      <c r="P12" s="420">
        <f>SUMIF('Diags Raw Data'!$A$6:$A$4699,"*"&amp;$A12&amp;"*",'Diags Raw Data'!$Z$6:$Z$4699)</f>
        <v>0</v>
      </c>
      <c r="Q12" s="421">
        <f>SUM(SUMIF('Diags Raw Data'!$A$6:$A$4699,"*"&amp;$A12&amp;"*",'Diags Raw Data'!$AA$6:$AA$4699),SUMIF('Diags Raw Data'!$A$6:$A$4699,"*"&amp;$A12&amp;"*",'Diags Raw Data'!$AB$6:$AB$4699))</f>
        <v>0</v>
      </c>
      <c r="R12" s="422">
        <f t="shared" si="3"/>
        <v>0</v>
      </c>
      <c r="S12" s="422">
        <f t="shared" si="4"/>
        <v>0</v>
      </c>
      <c r="T12" s="423">
        <f t="shared" si="5"/>
        <v>0</v>
      </c>
      <c r="U12" s="469" t="s">
        <v>44</v>
      </c>
      <c r="V12" s="170" t="s">
        <v>43</v>
      </c>
    </row>
    <row r="13" spans="1:22" ht="45" x14ac:dyDescent="0.25">
      <c r="A13" s="446" t="s">
        <v>2189</v>
      </c>
      <c r="B13" s="332" t="str">
        <f>VLOOKUP(A13,'Feature Raw Data'!$A$3:$B$4067,2,FALSE)</f>
        <v>MMHUB:DAGB - “GPU Snoop” aka ‘gcc’ support in DAGB</v>
      </c>
      <c r="C13" s="273" t="str">
        <f>VLOOKUP(A13,'Feature Raw Data'!$A$3:$C$4067,3,FALSE)</f>
        <v>P2</v>
      </c>
      <c r="D13" s="82" t="str" cm="1">
        <f t="array" ref="D13">_xlfn.TEXTJOIN("",TRUE,IF(ISNUMBER(SEARCH($A13,'Diags Raw Data'!$A$6:$A$4699)),CONCATENATE('Diags Raw Data'!$H$6:$H$4699,", "),""))</f>
        <v xml:space="preserve">mhub415.1-5, 11-15, 21-25, 31-35, </v>
      </c>
      <c r="E13" s="169" t="str">
        <f>VLOOKUP(A13,'Diags Raw Data'!$A$6:$D$4699,4,FALSE)</f>
        <v>MMHUB</v>
      </c>
      <c r="F13" s="169" t="str">
        <f>VLOOKUP(A13,'Feature Raw Data'!$A$3:$E$4067,5,FALSE)</f>
        <v>Legacy</v>
      </c>
      <c r="G13" s="169" t="str">
        <f t="shared" si="0"/>
        <v>Yes</v>
      </c>
      <c r="H13" s="169" t="str">
        <f t="shared" ref="H13:H55" si="6">IF(D13="","No","Yes")</f>
        <v>Yes</v>
      </c>
      <c r="I13" s="273">
        <f>SUMIF('Diags Raw Data'!$A$6:$A$4699,"*"&amp;$A13&amp;"*",'Diags Raw Data'!$K$6:$K$4699)</f>
        <v>1</v>
      </c>
      <c r="J13" s="179">
        <f>SUMIF('Diags Raw Data'!$A$6:$A$4699,"*"&amp;$A13&amp;"*",'Diags Raw Data'!$L$6:$L$4699)</f>
        <v>20</v>
      </c>
      <c r="K13" s="416" cm="1">
        <f t="array" ref="K13">IF(D13="",0, SUMPRODUCT(--(ISNUMBER(SEARCH($A13,'Diags Raw Data'!$A$6:$A$4699))),'Diags Raw Data'!$L$6:$L$4699,'Diags Raw Data'!$N$6:$N$4699)/J13)</f>
        <v>1</v>
      </c>
      <c r="L13" s="417" cm="1">
        <f t="array" ref="L13">IF(D13="",0, SUMPRODUCT(--(ISNUMBER(SEARCH($A13,'Diags Raw Data'!$A$6:$A$4699))),'Diags Raw Data'!$L$6:$L$4699,'Diags Raw Data'!$P$6:$P$4699)/J13)</f>
        <v>0</v>
      </c>
      <c r="M13" s="418" cm="1">
        <f t="array" ref="M13">SUMPRODUCT(--(ISNUMBER(SEARCH($A13,'Diags Raw Data'!$A$6:$A$4699))),--('Diags Raw Data'!$Q$6:$Q$4699&lt;&gt;"N/A"),'Diags Raw Data'!$R$6:$R$4699)</f>
        <v>20</v>
      </c>
      <c r="N13" s="419" cm="1">
        <f t="array" ref="N13">SUMPRODUCT(--(ISNUMBER(SEARCH($A13,'Diags Raw Data'!$A$6:$A$4699))),--('Diags Raw Data'!$Q$6:$Q$4699&lt;&gt;"N/A"),'Diags Raw Data'!$T$6:$T$4699)+SUMPRODUCT(--(ISNUMBER(SEARCH($A13,'Diags Raw Data'!$A$6:$A$4699))),--('Diags Raw Data'!$Q$6:$Q$4699&lt;&gt;"N/A"),'Diags Raw Data'!$U$6:$U$4699)</f>
        <v>20</v>
      </c>
      <c r="O13" s="462">
        <f t="shared" ref="O13:O17" si="7">IF((M13=0),0,N13/M13)</f>
        <v>1</v>
      </c>
      <c r="P13" s="420">
        <f>SUMIF('Diags Raw Data'!$A$6:$A$4699,"*"&amp;$A13&amp;"*",'Diags Raw Data'!$Z$6:$Z$4699)</f>
        <v>0</v>
      </c>
      <c r="Q13" s="421">
        <f>SUM(SUMIF('Diags Raw Data'!$A$6:$A$4699,"*"&amp;$A13&amp;"*",'Diags Raw Data'!$AA$6:$AA$4699),SUMIF('Diags Raw Data'!$A$6:$A$4699,"*"&amp;$A13&amp;"*",'Diags Raw Data'!$AB$6:$AB$4699))</f>
        <v>0</v>
      </c>
      <c r="R13" s="422">
        <f t="shared" ref="R13:R17" si="8">IF((J13=0),0,P13/J13)</f>
        <v>0</v>
      </c>
      <c r="S13" s="422">
        <f t="shared" ref="S13:S17" si="9">IF((P13=0),0,Q13/P13)</f>
        <v>0</v>
      </c>
      <c r="T13" s="423">
        <f t="shared" ref="T13:T17" si="10">R13*S13</f>
        <v>0</v>
      </c>
      <c r="U13" s="469" t="s">
        <v>2799</v>
      </c>
      <c r="V13" s="170"/>
    </row>
    <row r="14" spans="1:22" x14ac:dyDescent="0.25">
      <c r="A14" s="446" t="s">
        <v>2314</v>
      </c>
      <c r="B14" s="332" t="str">
        <f>VLOOKUP(A14,'Feature Raw Data'!$A$3:$B$4067,2,FALSE)</f>
        <v>MMHUB:DAGB - Safe TDR</v>
      </c>
      <c r="C14" s="273" t="str">
        <f>VLOOKUP(A14,'Feature Raw Data'!$A$3:$C$4067,3,FALSE)</f>
        <v>P2</v>
      </c>
      <c r="D14" s="82" t="str" cm="1">
        <f t="array" ref="D14">_xlfn.TEXTJOIN("",TRUE,IF(ISNUMBER(SEARCH($A14,'Diags Raw Data'!$A$6:$A$4699)),CONCATENATE('Diags Raw Data'!$H$6:$H$4699,", "),""))</f>
        <v/>
      </c>
      <c r="E14" s="169" t="e">
        <f>VLOOKUP(A14,'Diags Raw Data'!$A$6:$D$4699,4,FALSE)</f>
        <v>#N/A</v>
      </c>
      <c r="F14" s="169" t="str">
        <f>VLOOKUP(A14,'Feature Raw Data'!$A$3:$E$4067,5,FALSE)</f>
        <v>Legacy</v>
      </c>
      <c r="G14" s="169" t="str">
        <f t="shared" si="0"/>
        <v>No</v>
      </c>
      <c r="H14" s="169" t="str">
        <f t="shared" si="6"/>
        <v>No</v>
      </c>
      <c r="I14" s="273">
        <f>SUMIF('Diags Raw Data'!$A$6:$A$4699,"*"&amp;$A14&amp;"*",'Diags Raw Data'!$K$6:$K$4699)</f>
        <v>0</v>
      </c>
      <c r="J14" s="179">
        <f>SUMIF('Diags Raw Data'!$A$6:$A$4699,"*"&amp;$A14&amp;"*",'Diags Raw Data'!$L$6:$L$4699)</f>
        <v>0</v>
      </c>
      <c r="K14" s="416" cm="1">
        <f t="array" ref="K14">IF(D14="",0, SUMPRODUCT(--(ISNUMBER(SEARCH($A14,'Diags Raw Data'!$A$6:$A$4699))),'Diags Raw Data'!$L$6:$L$4699,'Diags Raw Data'!$N$6:$N$4699)/J14)</f>
        <v>0</v>
      </c>
      <c r="L14" s="417" cm="1">
        <f t="array" ref="L14">IF(D14="",0, SUMPRODUCT(--(ISNUMBER(SEARCH($A14,'Diags Raw Data'!$A$6:$A$4699))),'Diags Raw Data'!$L$6:$L$4699,'Diags Raw Data'!$P$6:$P$4699)/J14)</f>
        <v>0</v>
      </c>
      <c r="M14" s="418" cm="1">
        <f t="array" ref="M14">SUMPRODUCT(--(ISNUMBER(SEARCH($A14,'Diags Raw Data'!$A$6:$A$4699))),--('Diags Raw Data'!$Q$6:$Q$4699&lt;&gt;"N/A"),'Diags Raw Data'!$R$6:$R$4699)</f>
        <v>0</v>
      </c>
      <c r="N14" s="419" cm="1">
        <f t="array" ref="N14">SUMPRODUCT(--(ISNUMBER(SEARCH($A14,'Diags Raw Data'!$A$6:$A$4699))),--('Diags Raw Data'!$Q$6:$Q$4699&lt;&gt;"N/A"),'Diags Raw Data'!$T$6:$T$4699)+SUMPRODUCT(--(ISNUMBER(SEARCH($A14,'Diags Raw Data'!$A$6:$A$4699))),--('Diags Raw Data'!$Q$6:$Q$4699&lt;&gt;"N/A"),'Diags Raw Data'!$U$6:$U$4699)</f>
        <v>0</v>
      </c>
      <c r="O14" s="462">
        <f t="shared" si="7"/>
        <v>0</v>
      </c>
      <c r="P14" s="420">
        <f>SUMIF('Diags Raw Data'!$A$6:$A$4699,"*"&amp;$A14&amp;"*",'Diags Raw Data'!$Z$6:$Z$4699)</f>
        <v>0</v>
      </c>
      <c r="Q14" s="421">
        <f>SUM(SUMIF('Diags Raw Data'!$A$6:$A$4699,"*"&amp;$A14&amp;"*",'Diags Raw Data'!$AA$6:$AA$4699),SUMIF('Diags Raw Data'!$A$6:$A$4699,"*"&amp;$A14&amp;"*",'Diags Raw Data'!$AB$6:$AB$4699))</f>
        <v>0</v>
      </c>
      <c r="R14" s="422">
        <f t="shared" si="8"/>
        <v>0</v>
      </c>
      <c r="S14" s="422">
        <f t="shared" si="9"/>
        <v>0</v>
      </c>
      <c r="T14" s="423">
        <f t="shared" si="10"/>
        <v>0</v>
      </c>
      <c r="U14" s="469" t="s">
        <v>44</v>
      </c>
      <c r="V14" s="170" t="s">
        <v>43</v>
      </c>
    </row>
    <row r="15" spans="1:22" s="172" customFormat="1" ht="30" x14ac:dyDescent="0.25">
      <c r="A15" s="446" t="s">
        <v>2317</v>
      </c>
      <c r="B15" s="332" t="str">
        <f>VLOOKUP(A15,'Feature Raw Data'!$A$3:$B$4067,2,FALSE)</f>
        <v>MMHUB:DAGB - HDP Performance for Mixed RD/WR</v>
      </c>
      <c r="C15" s="273" t="str">
        <f>VLOOKUP(A15,'Feature Raw Data'!$A$3:$C$4067,3,FALSE)</f>
        <v>P2</v>
      </c>
      <c r="D15" s="82" t="str" cm="1">
        <f t="array" ref="D15">_xlfn.TEXTJOIN("",TRUE,IF(ISNUMBER(SEARCH($A15,'Diags Raw Data'!$A$6:$A$4699)),CONCATENATE('Diags Raw Data'!$H$6:$H$4699,", "),""))</f>
        <v/>
      </c>
      <c r="E15" s="169" t="e">
        <f>VLOOKUP(A15,'Diags Raw Data'!$A$6:$D$4699,4,FALSE)</f>
        <v>#N/A</v>
      </c>
      <c r="F15" s="169" t="str">
        <f>VLOOKUP(A15,'Feature Raw Data'!$A$3:$E$4067,5,FALSE)</f>
        <v>Legacy</v>
      </c>
      <c r="G15" s="169" t="str">
        <f t="shared" si="0"/>
        <v>No</v>
      </c>
      <c r="H15" s="169" t="str">
        <f t="shared" si="6"/>
        <v>No</v>
      </c>
      <c r="I15" s="273">
        <f>SUMIF('Diags Raw Data'!$A$6:$A$4699,"*"&amp;$A15&amp;"*",'Diags Raw Data'!$K$6:$K$4699)</f>
        <v>0</v>
      </c>
      <c r="J15" s="179">
        <f>SUMIF('Diags Raw Data'!$A$6:$A$4699,"*"&amp;$A15&amp;"*",'Diags Raw Data'!$L$6:$L$4699)</f>
        <v>0</v>
      </c>
      <c r="K15" s="416" cm="1">
        <f t="array" ref="K15">IF(D15="",0, SUMPRODUCT(--(ISNUMBER(SEARCH($A15,'Diags Raw Data'!$A$6:$A$4699))),'Diags Raw Data'!$L$6:$L$4699,'Diags Raw Data'!$N$6:$N$4699)/J15)</f>
        <v>0</v>
      </c>
      <c r="L15" s="417" cm="1">
        <f t="array" ref="L15">IF(D15="",0, SUMPRODUCT(--(ISNUMBER(SEARCH($A15,'Diags Raw Data'!$A$6:$A$4699))),'Diags Raw Data'!$L$6:$L$4699,'Diags Raw Data'!$P$6:$P$4699)/J15)</f>
        <v>0</v>
      </c>
      <c r="M15" s="418" cm="1">
        <f t="array" ref="M15">SUMPRODUCT(--(ISNUMBER(SEARCH($A15,'Diags Raw Data'!$A$6:$A$4699))),--('Diags Raw Data'!$Q$6:$Q$4699&lt;&gt;"N/A"),'Diags Raw Data'!$R$6:$R$4699)</f>
        <v>0</v>
      </c>
      <c r="N15" s="419" cm="1">
        <f t="array" ref="N15">SUMPRODUCT(--(ISNUMBER(SEARCH($A15,'Diags Raw Data'!$A$6:$A$4699))),--('Diags Raw Data'!$Q$6:$Q$4699&lt;&gt;"N/A"),'Diags Raw Data'!$T$6:$T$4699)+SUMPRODUCT(--(ISNUMBER(SEARCH($A15,'Diags Raw Data'!$A$6:$A$4699))),--('Diags Raw Data'!$Q$6:$Q$4699&lt;&gt;"N/A"),'Diags Raw Data'!$U$6:$U$4699)</f>
        <v>0</v>
      </c>
      <c r="O15" s="462">
        <f t="shared" si="7"/>
        <v>0</v>
      </c>
      <c r="P15" s="420">
        <f>SUMIF('Diags Raw Data'!$A$6:$A$4699,"*"&amp;$A15&amp;"*",'Diags Raw Data'!$Z$6:$Z$4699)</f>
        <v>0</v>
      </c>
      <c r="Q15" s="421">
        <f>SUM(SUMIF('Diags Raw Data'!$A$6:$A$4699,"*"&amp;$A15&amp;"*",'Diags Raw Data'!$AA$6:$AA$4699),SUMIF('Diags Raw Data'!$A$6:$A$4699,"*"&amp;$A15&amp;"*",'Diags Raw Data'!$AB$6:$AB$4699))</f>
        <v>0</v>
      </c>
      <c r="R15" s="422">
        <f t="shared" si="8"/>
        <v>0</v>
      </c>
      <c r="S15" s="424">
        <f t="shared" si="9"/>
        <v>0</v>
      </c>
      <c r="T15" s="425">
        <f t="shared" si="10"/>
        <v>0</v>
      </c>
      <c r="U15" s="469" t="s">
        <v>44</v>
      </c>
      <c r="V15" s="170" t="s">
        <v>43</v>
      </c>
    </row>
    <row r="16" spans="1:22" ht="30" x14ac:dyDescent="0.25">
      <c r="A16" s="446" t="s">
        <v>2320</v>
      </c>
      <c r="B16" s="332" t="str">
        <f>VLOOKUP(A16,'Feature Raw Data'!$A$3:$B$4067,2,FALSE)</f>
        <v>MMHUB:DAGB - Support SDP interface</v>
      </c>
      <c r="C16" s="273" t="str">
        <f>VLOOKUP(A16,'Feature Raw Data'!$A$3:$C$4067,3,FALSE)</f>
        <v>P2</v>
      </c>
      <c r="D16" s="82" t="str" cm="1">
        <f t="array" ref="D16">_xlfn.TEXTJOIN("",TRUE,IF(ISNUMBER(SEARCH($A16,'Diags Raw Data'!$A$6:$A$4699)),CONCATENATE('Diags Raw Data'!$H$6:$H$4699,", "),""))</f>
        <v xml:space="preserve">mhub111.1-4, </v>
      </c>
      <c r="E16" s="169" t="e">
        <f>VLOOKUP(A16,'Diags Raw Data'!$A$6:$D$4699,4,FALSE)</f>
        <v>#N/A</v>
      </c>
      <c r="F16" s="169" t="str">
        <f>VLOOKUP(A16,'Feature Raw Data'!$A$3:$E$4067,5,FALSE)</f>
        <v>Legacy</v>
      </c>
      <c r="G16" s="169" t="str">
        <f t="shared" si="0"/>
        <v>Yes</v>
      </c>
      <c r="H16" s="169" t="str">
        <f t="shared" si="6"/>
        <v>Yes</v>
      </c>
      <c r="I16" s="273">
        <f>SUMIF('Diags Raw Data'!$A$6:$A$4699,"*"&amp;$A16&amp;"*",'Diags Raw Data'!$K$6:$K$4699)</f>
        <v>1</v>
      </c>
      <c r="J16" s="179">
        <f>SUMIF('Diags Raw Data'!$A$6:$A$4699,"*"&amp;$A16&amp;"*",'Diags Raw Data'!$L$6:$L$4699)</f>
        <v>4</v>
      </c>
      <c r="K16" s="416" cm="1">
        <f t="array" ref="K16">IF(D16="",0, SUMPRODUCT(--(ISNUMBER(SEARCH($A16,'Diags Raw Data'!$A$6:$A$4699))),'Diags Raw Data'!$L$6:$L$4699,'Diags Raw Data'!$N$6:$N$4699)/J16)</f>
        <v>1</v>
      </c>
      <c r="L16" s="417" cm="1">
        <f t="array" ref="L16">IF(D16="",0, SUMPRODUCT(--(ISNUMBER(SEARCH($A16,'Diags Raw Data'!$A$6:$A$4699))),'Diags Raw Data'!$L$6:$L$4699,'Diags Raw Data'!$P$6:$P$4699)/J16)</f>
        <v>1</v>
      </c>
      <c r="M16" s="418" cm="1">
        <f t="array" ref="M16">SUMPRODUCT(--(ISNUMBER(SEARCH($A16,'Diags Raw Data'!$A$6:$A$4699))),--('Diags Raw Data'!$Q$6:$Q$4699&lt;&gt;"N/A"),'Diags Raw Data'!$R$6:$R$4699)</f>
        <v>4</v>
      </c>
      <c r="N16" s="419" cm="1">
        <f t="array" ref="N16">SUMPRODUCT(--(ISNUMBER(SEARCH($A16,'Diags Raw Data'!$A$6:$A$4699))),--('Diags Raw Data'!$Q$6:$Q$4699&lt;&gt;"N/A"),'Diags Raw Data'!$T$6:$T$4699)+SUMPRODUCT(--(ISNUMBER(SEARCH($A16,'Diags Raw Data'!$A$6:$A$4699))),--('Diags Raw Data'!$Q$6:$Q$4699&lt;&gt;"N/A"),'Diags Raw Data'!$U$6:$U$4699)</f>
        <v>4</v>
      </c>
      <c r="O16" s="462">
        <f t="shared" si="7"/>
        <v>1</v>
      </c>
      <c r="P16" s="420">
        <f>SUMIF('Diags Raw Data'!$A$6:$A$4699,"*"&amp;$A16&amp;"*",'Diags Raw Data'!$Z$6:$Z$4699)</f>
        <v>0</v>
      </c>
      <c r="Q16" s="421">
        <f>SUM(SUMIF('Diags Raw Data'!$A$6:$A$4699,"*"&amp;$A16&amp;"*",'Diags Raw Data'!$AA$6:$AA$4699),SUMIF('Diags Raw Data'!$A$6:$A$4699,"*"&amp;$A16&amp;"*",'Diags Raw Data'!$AB$6:$AB$4699))</f>
        <v>0</v>
      </c>
      <c r="R16" s="422">
        <f t="shared" si="8"/>
        <v>0</v>
      </c>
      <c r="S16" s="422">
        <f t="shared" si="9"/>
        <v>0</v>
      </c>
      <c r="T16" s="423">
        <f t="shared" si="10"/>
        <v>0</v>
      </c>
      <c r="U16" s="469" t="s">
        <v>2800</v>
      </c>
      <c r="V16" s="170"/>
    </row>
    <row r="17" spans="1:22" ht="16.149999999999999" customHeight="1" x14ac:dyDescent="0.25">
      <c r="A17" s="446" t="s">
        <v>2326</v>
      </c>
      <c r="B17" s="332" t="str">
        <f>VLOOKUP(A17,'Feature Raw Data'!$A$3:$B$4067,2,FALSE)</f>
        <v>MMHUB:Performance - SOC-15 QoS 1.0</v>
      </c>
      <c r="C17" s="273" t="str">
        <f>VLOOKUP(A17,'Feature Raw Data'!$A$3:$C$4067,3,FALSE)</f>
        <v>P2</v>
      </c>
      <c r="D17" s="82" t="str" cm="1">
        <f t="array" ref="D17">_xlfn.TEXTJOIN("",TRUE,IF(ISNUMBER(SEARCH($A17,'Diags Raw Data'!$A$6:$A$4699)),CONCATENATE('Diags Raw Data'!$H$6:$H$4699,", "),""))</f>
        <v/>
      </c>
      <c r="E17" s="169" t="e">
        <f>VLOOKUP(A17,'Diags Raw Data'!$A$6:$D$4699,4,FALSE)</f>
        <v>#N/A</v>
      </c>
      <c r="F17" s="169" t="str">
        <f>VLOOKUP(A17,'Feature Raw Data'!$A$3:$E$4067,5,FALSE)</f>
        <v>Legacy</v>
      </c>
      <c r="G17" s="169" t="str">
        <f t="shared" si="0"/>
        <v>No</v>
      </c>
      <c r="H17" s="169" t="str">
        <f t="shared" si="6"/>
        <v>No</v>
      </c>
      <c r="I17" s="273">
        <f>SUMIF('Diags Raw Data'!$A$6:$A$4699,"*"&amp;$A17&amp;"*",'Diags Raw Data'!$K$6:$K$4699)</f>
        <v>0</v>
      </c>
      <c r="J17" s="179">
        <f>SUMIF('Diags Raw Data'!$A$6:$A$4699,"*"&amp;$A17&amp;"*",'Diags Raw Data'!$L$6:$L$4699)</f>
        <v>0</v>
      </c>
      <c r="K17" s="416" cm="1">
        <f t="array" ref="K17">IF(D17="",0, SUMPRODUCT(--(ISNUMBER(SEARCH($A17,'Diags Raw Data'!$A$6:$A$4699))),'Diags Raw Data'!$L$6:$L$4699,'Diags Raw Data'!$N$6:$N$4699)/J17)</f>
        <v>0</v>
      </c>
      <c r="L17" s="417" cm="1">
        <f t="array" ref="L17">IF(D17="",0, SUMPRODUCT(--(ISNUMBER(SEARCH($A17,'Diags Raw Data'!$A$6:$A$4699))),'Diags Raw Data'!$L$6:$L$4699,'Diags Raw Data'!$P$6:$P$4699)/J17)</f>
        <v>0</v>
      </c>
      <c r="M17" s="418" cm="1">
        <f t="array" ref="M17">SUMPRODUCT(--(ISNUMBER(SEARCH($A17,'Diags Raw Data'!$A$6:$A$4699))),--('Diags Raw Data'!$Q$6:$Q$4699&lt;&gt;"N/A"),'Diags Raw Data'!$R$6:$R$4699)</f>
        <v>0</v>
      </c>
      <c r="N17" s="419" cm="1">
        <f t="array" ref="N17">SUMPRODUCT(--(ISNUMBER(SEARCH($A17,'Diags Raw Data'!$A$6:$A$4699))),--('Diags Raw Data'!$Q$6:$Q$4699&lt;&gt;"N/A"),'Diags Raw Data'!$T$6:$T$4699)+SUMPRODUCT(--(ISNUMBER(SEARCH($A17,'Diags Raw Data'!$A$6:$A$4699))),--('Diags Raw Data'!$Q$6:$Q$4699&lt;&gt;"N/A"),'Diags Raw Data'!$U$6:$U$4699)</f>
        <v>0</v>
      </c>
      <c r="O17" s="462">
        <f t="shared" si="7"/>
        <v>0</v>
      </c>
      <c r="P17" s="420">
        <f>SUMIF('Diags Raw Data'!$A$6:$A$4699,"*"&amp;$A17&amp;"*",'Diags Raw Data'!$Z$6:$Z$4699)</f>
        <v>0</v>
      </c>
      <c r="Q17" s="421">
        <f>SUM(SUMIF('Diags Raw Data'!$A$6:$A$4699,"*"&amp;$A17&amp;"*",'Diags Raw Data'!$AA$6:$AA$4699),SUMIF('Diags Raw Data'!$A$6:$A$4699,"*"&amp;$A17&amp;"*",'Diags Raw Data'!$AB$6:$AB$4699))</f>
        <v>0</v>
      </c>
      <c r="R17" s="422">
        <f t="shared" si="8"/>
        <v>0</v>
      </c>
      <c r="S17" s="422">
        <f t="shared" si="9"/>
        <v>0</v>
      </c>
      <c r="T17" s="423">
        <f t="shared" si="10"/>
        <v>0</v>
      </c>
      <c r="U17" s="469" t="s">
        <v>44</v>
      </c>
      <c r="V17" s="170" t="s">
        <v>43</v>
      </c>
    </row>
    <row r="18" spans="1:22" s="174" customFormat="1" ht="30" x14ac:dyDescent="0.25">
      <c r="A18" s="446" t="s">
        <v>2364</v>
      </c>
      <c r="B18" s="332" t="str">
        <f>VLOOKUP(A18,'Feature Raw Data'!$A$3:$B$4067,2,FALSE)</f>
        <v>MMHUB: VML1 - "GPU Snoop" aka 'gcc' support in GPUVM L1</v>
      </c>
      <c r="C18" s="273" t="str">
        <f>VLOOKUP(A18,'Feature Raw Data'!$A$3:$C$4067,3,FALSE)</f>
        <v>N/A</v>
      </c>
      <c r="D18" s="628" t="str" cm="1">
        <f t="array" ref="D18">_xlfn.TEXTJOIN("",TRUE,IF(ISNUMBER(SEARCH($A18,'Diags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8" s="169" t="e">
        <f>VLOOKUP(A18,'Diags Raw Data'!$A$6:$D$4699,4,FALSE)</f>
        <v>#N/A</v>
      </c>
      <c r="F18" s="169" t="str">
        <f>VLOOKUP(A18,'Feature Raw Data'!$A$3:$E$4067,5,FALSE)</f>
        <v>Legacy</v>
      </c>
      <c r="G18" s="169" t="str">
        <f t="shared" si="0"/>
        <v>Yes</v>
      </c>
      <c r="H18" s="169" t="str">
        <f t="shared" si="6"/>
        <v>Yes</v>
      </c>
      <c r="I18" s="273">
        <f>SUMIF('Diags Raw Data'!$A$6:$A$4699,"*"&amp;$A18&amp;"*",'Diags Raw Data'!$K$6:$K$4699)</f>
        <v>12</v>
      </c>
      <c r="J18" s="179">
        <f>SUMIF('Diags Raw Data'!$A$6:$A$4699,"*"&amp;$A18&amp;"*",'Diags Raw Data'!$L$6:$L$4699)</f>
        <v>16</v>
      </c>
      <c r="K18" s="416" cm="1">
        <f t="array" ref="K18">IF(D18="",0, SUMPRODUCT(--(ISNUMBER(SEARCH($A18,'Diags Raw Data'!$A$6:$A$4699))),'Diags Raw Data'!$L$6:$L$4699,'Diags Raw Data'!$N$6:$N$4699)/J18)</f>
        <v>1</v>
      </c>
      <c r="L18" s="417" cm="1">
        <f t="array" ref="L18">IF(D18="",0, SUMPRODUCT(--(ISNUMBER(SEARCH($A18,'Diags Raw Data'!$A$6:$A$4699))),'Diags Raw Data'!$L$6:$L$4699,'Diags Raw Data'!$P$6:$P$4699)/J18)</f>
        <v>1</v>
      </c>
      <c r="M18" s="418" cm="1">
        <f t="array" ref="M18">SUMPRODUCT(--(ISNUMBER(SEARCH($A18,'Diags Raw Data'!$A$6:$A$4699))),--('Diags Raw Data'!$Q$6:$Q$4699&lt;&gt;"N/A"),'Diags Raw Data'!$R$6:$R$4699)</f>
        <v>16</v>
      </c>
      <c r="N18" s="419" cm="1">
        <f t="array" ref="N18">SUMPRODUCT(--(ISNUMBER(SEARCH($A18,'Diags Raw Data'!$A$6:$A$4699))),--('Diags Raw Data'!$Q$6:$Q$4699&lt;&gt;"N/A"),'Diags Raw Data'!$T$6:$T$4699)+SUMPRODUCT(--(ISNUMBER(SEARCH($A18,'Diags Raw Data'!$A$6:$A$4699))),--('Diags Raw Data'!$Q$6:$Q$4699&lt;&gt;"N/A"),'Diags Raw Data'!$U$6:$U$4699)</f>
        <v>16</v>
      </c>
      <c r="O18" s="462">
        <f t="shared" ref="O18:O55" si="11">IF((M18=0),0,N18/M18)</f>
        <v>1</v>
      </c>
      <c r="P18" s="420">
        <f>SUMIF('Diags Raw Data'!$A$6:$A$4699,"*"&amp;$A18&amp;"*",'Diags Raw Data'!$Z$6:$Z$4699)</f>
        <v>0</v>
      </c>
      <c r="Q18" s="421">
        <f>SUM(SUMIF('Diags Raw Data'!$A$6:$A$4699,"*"&amp;$A18&amp;"*",'Diags Raw Data'!$AA$6:$AA$4699),SUMIF('Diags Raw Data'!$A$6:$A$4699,"*"&amp;$A18&amp;"*",'Diags Raw Data'!$AB$6:$AB$4699))</f>
        <v>0</v>
      </c>
      <c r="R18" s="424">
        <f t="shared" ref="R18:R55" si="12">IF((J18=0),0,P18/J18)</f>
        <v>0</v>
      </c>
      <c r="S18" s="424">
        <f t="shared" ref="S18:S55" si="13">IF((P18=0),0,Q18/P18)</f>
        <v>0</v>
      </c>
      <c r="T18" s="425">
        <f t="shared" ref="T18:T55" si="14">R18*S18</f>
        <v>0</v>
      </c>
      <c r="U18" s="469" t="s">
        <v>2801</v>
      </c>
      <c r="V18" s="173"/>
    </row>
    <row r="19" spans="1:22" ht="105" x14ac:dyDescent="0.25">
      <c r="A19" s="446" t="s">
        <v>2366</v>
      </c>
      <c r="B19" s="332" t="str">
        <f>VLOOKUP(A19,'Feature Raw Data'!$A$3:$B$4067,2,FALSE)</f>
        <v>MMHUB:UTCL1 - TLBs</v>
      </c>
      <c r="C19" s="273" t="str">
        <f>VLOOKUP(A19,'Feature Raw Data'!$A$3:$C$4067,3,FALSE)</f>
        <v>P1</v>
      </c>
      <c r="D19" s="82" t="str" cm="1">
        <f t="array" ref="D19">_xlfn.TEXTJOIN("",TRUE,IF(ISNUMBER(SEARCH($A19,'Diags Raw Data'!$A$6:$A$4699)),CONCATENATE('Diags Raw Data'!$H$6:$H$4699,", "),""))</f>
        <v xml:space="preserve">mhub027.1,2, mhub028.1,2, mhub029.1,2, mhub030.1-3, </v>
      </c>
      <c r="E19" s="169" t="e">
        <f>VLOOKUP(A19,'Diags Raw Data'!$A$6:$D$4699,4,FALSE)</f>
        <v>#N/A</v>
      </c>
      <c r="F19" s="169" t="str">
        <f>VLOOKUP(A19,'Feature Raw Data'!$A$3:$E$4067,5,FALSE)</f>
        <v>Delta</v>
      </c>
      <c r="G19" s="169" t="str">
        <f t="shared" si="0"/>
        <v>Yes</v>
      </c>
      <c r="H19" s="169" t="str">
        <f t="shared" si="6"/>
        <v>Yes</v>
      </c>
      <c r="I19" s="273">
        <f>SUMIF('Diags Raw Data'!$A$6:$A$4699,"*"&amp;$A19&amp;"*",'Diags Raw Data'!$K$6:$K$4699)</f>
        <v>9</v>
      </c>
      <c r="J19" s="179">
        <f>SUMIF('Diags Raw Data'!$A$6:$A$4699,"*"&amp;$A19&amp;"*",'Diags Raw Data'!$L$6:$L$4699)</f>
        <v>9</v>
      </c>
      <c r="K19" s="416" cm="1">
        <f t="array" ref="K19">IF(D19="",0, SUMPRODUCT(--(ISNUMBER(SEARCH($A19,'Diags Raw Data'!$A$6:$A$4699))),'Diags Raw Data'!$L$6:$L$4699,'Diags Raw Data'!$N$6:$N$4699)/J19)</f>
        <v>1</v>
      </c>
      <c r="L19" s="417" cm="1">
        <f t="array" ref="L19">IF(D19="",0, SUMPRODUCT(--(ISNUMBER(SEARCH($A19,'Diags Raw Data'!$A$6:$A$4699))),'Diags Raw Data'!$L$6:$L$4699,'Diags Raw Data'!$P$6:$P$4699)/J19)</f>
        <v>1</v>
      </c>
      <c r="M19" s="418" cm="1">
        <f t="array" ref="M19">SUMPRODUCT(--(ISNUMBER(SEARCH($A19,'Diags Raw Data'!$A$6:$A$4699))),--('Diags Raw Data'!$Q$6:$Q$4699&lt;&gt;"N/A"),'Diags Raw Data'!$R$6:$R$4699)</f>
        <v>9</v>
      </c>
      <c r="N19" s="419" cm="1">
        <f t="array" ref="N19">SUMPRODUCT(--(ISNUMBER(SEARCH($A19,'Diags Raw Data'!$A$6:$A$4699))),--('Diags Raw Data'!$Q$6:$Q$4699&lt;&gt;"N/A"),'Diags Raw Data'!$T$6:$T$4699)+SUMPRODUCT(--(ISNUMBER(SEARCH($A19,'Diags Raw Data'!$A$6:$A$4699))),--('Diags Raw Data'!$Q$6:$Q$4699&lt;&gt;"N/A"),'Diags Raw Data'!$U$6:$U$4699)</f>
        <v>9</v>
      </c>
      <c r="O19" s="462">
        <f t="shared" si="11"/>
        <v>1</v>
      </c>
      <c r="P19" s="420">
        <f>SUMIF('Diags Raw Data'!$A$6:$A$4699,"*"&amp;$A19&amp;"*",'Diags Raw Data'!$Z$6:$Z$4699)</f>
        <v>0</v>
      </c>
      <c r="Q19" s="421">
        <f>SUM(SUMIF('Diags Raw Data'!$A$6:$A$4699,"*"&amp;$A19&amp;"*",'Diags Raw Data'!$AA$6:$AA$4699),SUMIF('Diags Raw Data'!$A$6:$A$4699,"*"&amp;$A19&amp;"*",'Diags Raw Data'!$AB$6:$AB$4699))</f>
        <v>0</v>
      </c>
      <c r="R19" s="422">
        <f t="shared" si="12"/>
        <v>0</v>
      </c>
      <c r="S19" s="422">
        <f t="shared" si="13"/>
        <v>0</v>
      </c>
      <c r="T19" s="423">
        <f t="shared" si="14"/>
        <v>0</v>
      </c>
      <c r="U19" s="469" t="s">
        <v>2798</v>
      </c>
      <c r="V19" s="170"/>
    </row>
    <row r="20" spans="1:22" ht="409.5" x14ac:dyDescent="0.25">
      <c r="A20" s="446" t="s">
        <v>2374</v>
      </c>
      <c r="B20" s="332" t="str">
        <f>VLOOKUP(A20,'Feature Raw Data'!$A$3:$B$4067,2,FALSE)</f>
        <v>MMHUB:UTCL1 - “GPU Snoop” aka ‘gcc’ support in GPUVM L1</v>
      </c>
      <c r="C20" s="273" t="str">
        <f>VLOOKUP(A20,'Feature Raw Data'!$A$3:$C$4067,3,FALSE)</f>
        <v>P2</v>
      </c>
      <c r="D20" s="82" t="str" cm="1">
        <f t="array" ref="D20">_xlfn.TEXTJOIN("",TRUE,IF(ISNUMBER(SEARCH($A20,'Diags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20" s="169" t="e">
        <f>VLOOKUP(A20,'Diags Raw Data'!$A$6:$D$4699,4,FALSE)</f>
        <v>#N/A</v>
      </c>
      <c r="F20" s="169" t="str">
        <f>VLOOKUP(A20,'Feature Raw Data'!$A$3:$E$4067,5,FALSE)</f>
        <v>Legacy</v>
      </c>
      <c r="G20" s="169" t="str">
        <f t="shared" si="0"/>
        <v>Yes</v>
      </c>
      <c r="H20" s="169" t="str">
        <f t="shared" si="6"/>
        <v>Yes</v>
      </c>
      <c r="I20" s="273">
        <f>SUMIF('Diags Raw Data'!$A$6:$A$4699,"*"&amp;$A20&amp;"*",'Diags Raw Data'!$K$6:$K$4699)</f>
        <v>12</v>
      </c>
      <c r="J20" s="179">
        <f>SUMIF('Diags Raw Data'!$A$6:$A$4699,"*"&amp;$A20&amp;"*",'Diags Raw Data'!$L$6:$L$4699)</f>
        <v>16</v>
      </c>
      <c r="K20" s="416" cm="1">
        <f t="array" ref="K20">IF(D20="",0, SUMPRODUCT(--(ISNUMBER(SEARCH($A20,'Diags Raw Data'!$A$6:$A$4699))),'Diags Raw Data'!$L$6:$L$4699,'Diags Raw Data'!$N$6:$N$4699)/J20)</f>
        <v>1</v>
      </c>
      <c r="L20" s="417" cm="1">
        <f t="array" ref="L20">IF(D20="",0, SUMPRODUCT(--(ISNUMBER(SEARCH($A20,'Diags Raw Data'!$A$6:$A$4699))),'Diags Raw Data'!$L$6:$L$4699,'Diags Raw Data'!$P$6:$P$4699)/J20)</f>
        <v>1</v>
      </c>
      <c r="M20" s="418" cm="1">
        <f t="array" ref="M20">SUMPRODUCT(--(ISNUMBER(SEARCH($A20,'Diags Raw Data'!$A$6:$A$4699))),--('Diags Raw Data'!$Q$6:$Q$4699&lt;&gt;"N/A"),'Diags Raw Data'!$R$6:$R$4699)</f>
        <v>16</v>
      </c>
      <c r="N20" s="419" cm="1">
        <f t="array" ref="N20">SUMPRODUCT(--(ISNUMBER(SEARCH($A20,'Diags Raw Data'!$A$6:$A$4699))),--('Diags Raw Data'!$Q$6:$Q$4699&lt;&gt;"N/A"),'Diags Raw Data'!$T$6:$T$4699)+SUMPRODUCT(--(ISNUMBER(SEARCH($A20,'Diags Raw Data'!$A$6:$A$4699))),--('Diags Raw Data'!$Q$6:$Q$4699&lt;&gt;"N/A"),'Diags Raw Data'!$U$6:$U$4699)</f>
        <v>16</v>
      </c>
      <c r="O20" s="462">
        <f t="shared" si="11"/>
        <v>1</v>
      </c>
      <c r="P20" s="420">
        <f>SUMIF('Diags Raw Data'!$A$6:$A$4699,"*"&amp;$A20&amp;"*",'Diags Raw Data'!$Z$6:$Z$4699)</f>
        <v>0</v>
      </c>
      <c r="Q20" s="421">
        <f>SUM(SUMIF('Diags Raw Data'!$A$6:$A$4699,"*"&amp;$A20&amp;"*",'Diags Raw Data'!$AA$6:$AA$4699),SUMIF('Diags Raw Data'!$A$6:$A$4699,"*"&amp;$A20&amp;"*",'Diags Raw Data'!$AB$6:$AB$4699))</f>
        <v>0</v>
      </c>
      <c r="R20" s="422">
        <f t="shared" si="12"/>
        <v>0</v>
      </c>
      <c r="S20" s="422">
        <f t="shared" si="13"/>
        <v>0</v>
      </c>
      <c r="T20" s="423">
        <f t="shared" si="14"/>
        <v>0</v>
      </c>
      <c r="U20" s="469" t="s">
        <v>2801</v>
      </c>
      <c r="V20" s="170"/>
    </row>
    <row r="21" spans="1:22" ht="105" x14ac:dyDescent="0.25">
      <c r="A21" s="446" t="s">
        <v>2378</v>
      </c>
      <c r="B21" s="332" t="str">
        <f>VLOOKUP(A21,'Feature Raw Data'!$A$3:$B$4067,2,FALSE)</f>
        <v>MMHUB:UTCL1 - Support both GPUVM invalidate and ATC invalidate</v>
      </c>
      <c r="C21" s="273" t="str">
        <f>VLOOKUP(A21,'Feature Raw Data'!$A$3:$C$4067,3,FALSE)</f>
        <v>P2</v>
      </c>
      <c r="D21" s="82" t="str" cm="1">
        <f t="array" ref="D21">_xlfn.TEXTJOIN("",TRUE,IF(ISNUMBER(SEARCH($A21,'Diags Raw Data'!$A$6:$A$4699)),CONCATENATE('Diags Raw Data'!$H$6:$H$4699,", "),""))</f>
        <v xml:space="preserve">mhub026.1, mhub026.2,3, mhub026.4,5, mhub026.6,7, mhub026.8, </v>
      </c>
      <c r="E21" s="169" t="e">
        <f>VLOOKUP(A21,'Diags Raw Data'!$A$6:$D$4699,4,FALSE)</f>
        <v>#N/A</v>
      </c>
      <c r="F21" s="169" t="str">
        <f>VLOOKUP(A21,'Feature Raw Data'!$A$3:$E$4067,5,FALSE)</f>
        <v>Legacy</v>
      </c>
      <c r="G21" s="169" t="str">
        <f t="shared" si="0"/>
        <v>Yes</v>
      </c>
      <c r="H21" s="169" t="str">
        <f t="shared" si="6"/>
        <v>Yes</v>
      </c>
      <c r="I21" s="273">
        <f>SUMIF('Diags Raw Data'!$A$6:$A$4699,"*"&amp;$A21&amp;"*",'Diags Raw Data'!$K$6:$K$4699)</f>
        <v>8</v>
      </c>
      <c r="J21" s="179">
        <f>SUMIF('Diags Raw Data'!$A$6:$A$4699,"*"&amp;$A21&amp;"*",'Diags Raw Data'!$L$6:$L$4699)</f>
        <v>8</v>
      </c>
      <c r="K21" s="416" cm="1">
        <f t="array" ref="K21">IF(D21="",0, SUMPRODUCT(--(ISNUMBER(SEARCH($A21,'Diags Raw Data'!$A$6:$A$4699))),'Diags Raw Data'!$L$6:$L$4699,'Diags Raw Data'!$N$6:$N$4699)/J21)</f>
        <v>1</v>
      </c>
      <c r="L21" s="417" cm="1">
        <f t="array" ref="L21">IF(D21="",0, SUMPRODUCT(--(ISNUMBER(SEARCH($A21,'Diags Raw Data'!$A$6:$A$4699))),'Diags Raw Data'!$L$6:$L$4699,'Diags Raw Data'!$P$6:$P$4699)/J21)</f>
        <v>1</v>
      </c>
      <c r="M21" s="418" cm="1">
        <f t="array" ref="M21">SUMPRODUCT(--(ISNUMBER(SEARCH($A21,'Diags Raw Data'!$A$6:$A$4699))),--('Diags Raw Data'!$Q$6:$Q$4699&lt;&gt;"N/A"),'Diags Raw Data'!$R$6:$R$4699)</f>
        <v>8</v>
      </c>
      <c r="N21" s="419" cm="1">
        <f t="array" ref="N21">SUMPRODUCT(--(ISNUMBER(SEARCH($A21,'Diags Raw Data'!$A$6:$A$4699))),--('Diags Raw Data'!$Q$6:$Q$4699&lt;&gt;"N/A"),'Diags Raw Data'!$T$6:$T$4699)+SUMPRODUCT(--(ISNUMBER(SEARCH($A21,'Diags Raw Data'!$A$6:$A$4699))),--('Diags Raw Data'!$Q$6:$Q$4699&lt;&gt;"N/A"),'Diags Raw Data'!$U$6:$U$4699)</f>
        <v>8</v>
      </c>
      <c r="O21" s="462">
        <f t="shared" si="11"/>
        <v>1</v>
      </c>
      <c r="P21" s="420">
        <f>SUMIF('Diags Raw Data'!$A$6:$A$4699,"*"&amp;$A21&amp;"*",'Diags Raw Data'!$Z$6:$Z$4699)</f>
        <v>0</v>
      </c>
      <c r="Q21" s="421">
        <f>SUM(SUMIF('Diags Raw Data'!$A$6:$A$4699,"*"&amp;$A21&amp;"*",'Diags Raw Data'!$AA$6:$AA$4699),SUMIF('Diags Raw Data'!$A$6:$A$4699,"*"&amp;$A21&amp;"*",'Diags Raw Data'!$AB$6:$AB$4699))</f>
        <v>0</v>
      </c>
      <c r="R21" s="422">
        <f t="shared" si="12"/>
        <v>0</v>
      </c>
      <c r="S21" s="422">
        <f t="shared" si="13"/>
        <v>0</v>
      </c>
      <c r="T21" s="423">
        <f t="shared" si="14"/>
        <v>0</v>
      </c>
      <c r="U21" s="469" t="s">
        <v>2796</v>
      </c>
      <c r="V21" s="170"/>
    </row>
    <row r="22" spans="1:22" ht="255" x14ac:dyDescent="0.25">
      <c r="A22" s="446" t="s">
        <v>2379</v>
      </c>
      <c r="B22" s="332" t="str">
        <f>VLOOKUP(A22,'Feature Raw Data'!$A$3:$B$4067,2,FALSE)</f>
        <v>MMHUB:UTCL1 - Aperture Checks</v>
      </c>
      <c r="C22" s="273" t="str">
        <f>VLOOKUP(A22,'Feature Raw Data'!$A$3:$C$4067,3,FALSE)</f>
        <v>P2</v>
      </c>
      <c r="D22" s="82" t="str" cm="1">
        <f t="array" ref="D22">_xlfn.TEXTJOIN("",TRUE,IF(ISNUMBER(SEARCH($A22,'Diags Raw Data'!$A$6:$A$4699)),CONCATENATE('Diags Raw Data'!$H$6:$H$4699,", "),""))</f>
        <v xml:space="preserve">mhub001.1, mhub001.2, mhub001.3, mhub001.4, mhub001.5, mhub001.6, mhub001.7, mhub001.9, mhub002.1-15, mhub002.16, mhub002.16, mhub002.17, mhub002.18, mhub164.1-2,4, mhub164.3, </v>
      </c>
      <c r="E22" s="169" t="e">
        <f>VLOOKUP(A22,'Diags Raw Data'!$A$6:$D$4699,4,FALSE)</f>
        <v>#N/A</v>
      </c>
      <c r="F22" s="169" t="str">
        <f>VLOOKUP(A22,'Feature Raw Data'!$A$3:$E$4067,5,FALSE)</f>
        <v>Legacy</v>
      </c>
      <c r="G22" s="169" t="str">
        <f t="shared" si="0"/>
        <v>Yes</v>
      </c>
      <c r="H22" s="169" t="str">
        <f t="shared" si="6"/>
        <v>Yes</v>
      </c>
      <c r="I22" s="273">
        <f>SUMIF('Diags Raw Data'!$A$6:$A$4699,"*"&amp;$A22&amp;"*",'Diags Raw Data'!$K$6:$K$4699)</f>
        <v>30</v>
      </c>
      <c r="J22" s="179">
        <f>SUMIF('Diags Raw Data'!$A$6:$A$4699,"*"&amp;$A22&amp;"*",'Diags Raw Data'!$L$6:$L$4699)</f>
        <v>31</v>
      </c>
      <c r="K22" s="416" cm="1">
        <f t="array" ref="K22">IF(D22="",0, SUMPRODUCT(--(ISNUMBER(SEARCH($A22,'Diags Raw Data'!$A$6:$A$4699))),'Diags Raw Data'!$L$6:$L$4699,'Diags Raw Data'!$N$6:$N$4699)/J22)</f>
        <v>1</v>
      </c>
      <c r="L22" s="417" cm="1">
        <f t="array" ref="L22">IF(D22="",0, SUMPRODUCT(--(ISNUMBER(SEARCH($A22,'Diags Raw Data'!$A$6:$A$4699))),'Diags Raw Data'!$L$6:$L$4699,'Diags Raw Data'!$P$6:$P$4699)/J22)</f>
        <v>0.5</v>
      </c>
      <c r="M22" s="418" cm="1">
        <f t="array" ref="M22">SUMPRODUCT(--(ISNUMBER(SEARCH($A22,'Diags Raw Data'!$A$6:$A$4699))),--('Diags Raw Data'!$Q$6:$Q$4699&lt;&gt;"N/A"),'Diags Raw Data'!$R$6:$R$4699)</f>
        <v>31</v>
      </c>
      <c r="N22" s="419" cm="1">
        <f t="array" ref="N22">SUMPRODUCT(--(ISNUMBER(SEARCH($A22,'Diags Raw Data'!$A$6:$A$4699))),--('Diags Raw Data'!$Q$6:$Q$4699&lt;&gt;"N/A"),'Diags Raw Data'!$T$6:$T$4699)+SUMPRODUCT(--(ISNUMBER(SEARCH($A22,'Diags Raw Data'!$A$6:$A$4699))),--('Diags Raw Data'!$Q$6:$Q$4699&lt;&gt;"N/A"),'Diags Raw Data'!$U$6:$U$4699)</f>
        <v>31</v>
      </c>
      <c r="O22" s="462">
        <f t="shared" si="11"/>
        <v>1</v>
      </c>
      <c r="P22" s="420">
        <f>SUMIF('Diags Raw Data'!$A$6:$A$4699,"*"&amp;$A22&amp;"*",'Diags Raw Data'!$Z$6:$Z$4699)</f>
        <v>0</v>
      </c>
      <c r="Q22" s="421">
        <f>SUM(SUMIF('Diags Raw Data'!$A$6:$A$4699,"*"&amp;$A22&amp;"*",'Diags Raw Data'!$AA$6:$AA$4699),SUMIF('Diags Raw Data'!$A$6:$A$4699,"*"&amp;$A22&amp;"*",'Diags Raw Data'!$AB$6:$AB$4699))</f>
        <v>0</v>
      </c>
      <c r="R22" s="422">
        <f t="shared" si="12"/>
        <v>0</v>
      </c>
      <c r="S22" s="422">
        <f t="shared" si="13"/>
        <v>0</v>
      </c>
      <c r="T22" s="423">
        <f t="shared" si="14"/>
        <v>0</v>
      </c>
      <c r="U22" s="469" t="s">
        <v>2798</v>
      </c>
      <c r="V22" s="170"/>
    </row>
    <row r="23" spans="1:22" ht="210" x14ac:dyDescent="0.25">
      <c r="A23" s="446" t="s">
        <v>2380</v>
      </c>
      <c r="B23" s="332" t="str">
        <f>VLOOKUP(A23,'Feature Raw Data'!$A$3:$B$4067,2,FALSE)</f>
        <v>MMHUB:UTCL1 - CAM/TLB stores these translations:GPUVA-&gt;SYSMEM_GPA, GPUVA-&gt;SYSMEM_SPA, GPUVA-&gt;FB_SPA, SYSMEM _GPA-&gt;SYSMEM_SPA (L2TLB only + ATC enabled), FB_GPA-&gt;FB_SPA (L2TLB, VFs only + FFBM)</v>
      </c>
      <c r="C23" s="273" t="str">
        <f>VLOOKUP(A23,'Feature Raw Data'!$A$3:$C$4067,3,FALSE)</f>
        <v>P2</v>
      </c>
      <c r="D23" s="82" t="str" cm="1">
        <f t="array" ref="D23">_xlfn.TEXTJOIN("",TRUE,IF(ISNUMBER(SEARCH($A23,'Diags Raw Data'!$A$6:$A$4699)),CONCATENATE('Diags Raw Data'!$H$6:$H$4699,", "),""))</f>
        <v xml:space="preserve">mhub026.1, mhub026.2,3, mhub026.4,5, mhub026.6,7, mhub026.8, mhub027.1,2, mhub028.1,2, mhub029.1,2, mhub030.1-3, </v>
      </c>
      <c r="E23" s="169" t="e">
        <f>VLOOKUP(A23,'Diags Raw Data'!$A$6:$D$4699,4,FALSE)</f>
        <v>#N/A</v>
      </c>
      <c r="F23" s="169" t="str">
        <f>VLOOKUP(A23,'Feature Raw Data'!$A$3:$E$4067,5,FALSE)</f>
        <v>Legacy</v>
      </c>
      <c r="G23" s="169" t="str">
        <f t="shared" si="0"/>
        <v>Yes</v>
      </c>
      <c r="H23" s="169" t="str">
        <f t="shared" si="6"/>
        <v>Yes</v>
      </c>
      <c r="I23" s="273">
        <f>SUMIF('Diags Raw Data'!$A$6:$A$4699,"*"&amp;$A23&amp;"*",'Diags Raw Data'!$K$6:$K$4699)</f>
        <v>17</v>
      </c>
      <c r="J23" s="179">
        <f>SUMIF('Diags Raw Data'!$A$6:$A$4699,"*"&amp;$A23&amp;"*",'Diags Raw Data'!$L$6:$L$4699)</f>
        <v>17</v>
      </c>
      <c r="K23" s="416" cm="1">
        <f t="array" ref="K23">IF(D23="",0, SUMPRODUCT(--(ISNUMBER(SEARCH($A23,'Diags Raw Data'!$A$6:$A$4699))),'Diags Raw Data'!$L$6:$L$4699,'Diags Raw Data'!$N$6:$N$4699)/J23)</f>
        <v>1</v>
      </c>
      <c r="L23" s="417" cm="1">
        <f t="array" ref="L23">IF(D23="",0, SUMPRODUCT(--(ISNUMBER(SEARCH($A23,'Diags Raw Data'!$A$6:$A$4699))),'Diags Raw Data'!$L$6:$L$4699,'Diags Raw Data'!$P$6:$P$4699)/J23)</f>
        <v>1</v>
      </c>
      <c r="M23" s="418" cm="1">
        <f t="array" ref="M23">SUMPRODUCT(--(ISNUMBER(SEARCH($A23,'Diags Raw Data'!$A$6:$A$4699))),--('Diags Raw Data'!$Q$6:$Q$4699&lt;&gt;"N/A"),'Diags Raw Data'!$R$6:$R$4699)</f>
        <v>17</v>
      </c>
      <c r="N23" s="419" cm="1">
        <f t="array" ref="N23">SUMPRODUCT(--(ISNUMBER(SEARCH($A23,'Diags Raw Data'!$A$6:$A$4699))),--('Diags Raw Data'!$Q$6:$Q$4699&lt;&gt;"N/A"),'Diags Raw Data'!$T$6:$T$4699)+SUMPRODUCT(--(ISNUMBER(SEARCH($A23,'Diags Raw Data'!$A$6:$A$4699))),--('Diags Raw Data'!$Q$6:$Q$4699&lt;&gt;"N/A"),'Diags Raw Data'!$U$6:$U$4699)</f>
        <v>17</v>
      </c>
      <c r="O23" s="462">
        <f t="shared" si="11"/>
        <v>1</v>
      </c>
      <c r="P23" s="420">
        <f>SUMIF('Diags Raw Data'!$A$6:$A$4699,"*"&amp;$A23&amp;"*",'Diags Raw Data'!$Z$6:$Z$4699)</f>
        <v>0</v>
      </c>
      <c r="Q23" s="421">
        <f>SUM(SUMIF('Diags Raw Data'!$A$6:$A$4699,"*"&amp;$A23&amp;"*",'Diags Raw Data'!$AA$6:$AA$4699),SUMIF('Diags Raw Data'!$A$6:$A$4699,"*"&amp;$A23&amp;"*",'Diags Raw Data'!$AB$6:$AB$4699))</f>
        <v>0</v>
      </c>
      <c r="R23" s="422">
        <f t="shared" si="12"/>
        <v>0</v>
      </c>
      <c r="S23" s="422">
        <f t="shared" si="13"/>
        <v>0</v>
      </c>
      <c r="T23" s="423">
        <f t="shared" si="14"/>
        <v>0</v>
      </c>
      <c r="U23" s="469" t="s">
        <v>2800</v>
      </c>
      <c r="V23" s="170"/>
    </row>
    <row r="24" spans="1:22" x14ac:dyDescent="0.25">
      <c r="A24" s="446" t="s">
        <v>2382</v>
      </c>
      <c r="B24" s="332" t="str">
        <f>VLOOKUP(A24,'Feature Raw Data'!$A$3:$B$4067,2,FALSE)</f>
        <v>MMHUB:UTCL1 - TLSi L1</v>
      </c>
      <c r="C24" s="273" t="str">
        <f>VLOOKUP(A24,'Feature Raw Data'!$A$3:$C$4067,3,FALSE)</f>
        <v>P1</v>
      </c>
      <c r="D24" s="82" t="str" cm="1">
        <f t="array" ref="D24">_xlfn.TEXTJOIN("",TRUE,IF(ISNUMBER(SEARCH($A24,'Diags Raw Data'!$A$6:$A$4699)),CONCATENATE('Diags Raw Data'!$H$6:$H$4699,", "),""))</f>
        <v/>
      </c>
      <c r="E24" s="169" t="e">
        <f>VLOOKUP(A24,'Diags Raw Data'!$A$6:$D$4699,4,FALSE)</f>
        <v>#N/A</v>
      </c>
      <c r="F24" s="169" t="str">
        <f>VLOOKUP(A24,'Feature Raw Data'!$A$3:$E$4067,5,FALSE)</f>
        <v>Delta</v>
      </c>
      <c r="G24" s="169" t="str">
        <f t="shared" si="0"/>
        <v>No</v>
      </c>
      <c r="H24" s="169" t="str">
        <f t="shared" si="6"/>
        <v>No</v>
      </c>
      <c r="I24" s="273">
        <f>SUMIF('Diags Raw Data'!$A$6:$A$4699,"*"&amp;$A24&amp;"*",'Diags Raw Data'!$K$6:$K$4699)</f>
        <v>0</v>
      </c>
      <c r="J24" s="179">
        <f>SUMIF('Diags Raw Data'!$A$6:$A$4699,"*"&amp;$A24&amp;"*",'Diags Raw Data'!$L$6:$L$4699)</f>
        <v>0</v>
      </c>
      <c r="K24" s="416" cm="1">
        <f t="array" ref="K24">IF(D24="",0, SUMPRODUCT(--(ISNUMBER(SEARCH($A24,'Diags Raw Data'!$A$6:$A$4699))),'Diags Raw Data'!$L$6:$L$4699,'Diags Raw Data'!$N$6:$N$4699)/J24)</f>
        <v>0</v>
      </c>
      <c r="L24" s="417" cm="1">
        <f t="array" ref="L24">IF(D24="",0, SUMPRODUCT(--(ISNUMBER(SEARCH($A24,'Diags Raw Data'!$A$6:$A$4699))),'Diags Raw Data'!$L$6:$L$4699,'Diags Raw Data'!$P$6:$P$4699)/J24)</f>
        <v>0</v>
      </c>
      <c r="M24" s="418" cm="1">
        <f t="array" ref="M24">SUMPRODUCT(--(ISNUMBER(SEARCH($A24,'Diags Raw Data'!$A$6:$A$4699))),--('Diags Raw Data'!$Q$6:$Q$4699&lt;&gt;"N/A"),'Diags Raw Data'!$R$6:$R$4699)</f>
        <v>0</v>
      </c>
      <c r="N24" s="419" cm="1">
        <f t="array" ref="N24">SUMPRODUCT(--(ISNUMBER(SEARCH($A24,'Diags Raw Data'!$A$6:$A$4699))),--('Diags Raw Data'!$Q$6:$Q$4699&lt;&gt;"N/A"),'Diags Raw Data'!$T$6:$T$4699)+SUMPRODUCT(--(ISNUMBER(SEARCH($A24,'Diags Raw Data'!$A$6:$A$4699))),--('Diags Raw Data'!$Q$6:$Q$4699&lt;&gt;"N/A"),'Diags Raw Data'!$U$6:$U$4699)</f>
        <v>0</v>
      </c>
      <c r="O24" s="462">
        <f t="shared" si="11"/>
        <v>0</v>
      </c>
      <c r="P24" s="420">
        <f>SUMIF('Diags Raw Data'!$A$6:$A$4699,"*"&amp;$A24&amp;"*",'Diags Raw Data'!$Z$6:$Z$4699)</f>
        <v>0</v>
      </c>
      <c r="Q24" s="421">
        <f>SUM(SUMIF('Diags Raw Data'!$A$6:$A$4699,"*"&amp;$A24&amp;"*",'Diags Raw Data'!$AA$6:$AA$4699),SUMIF('Diags Raw Data'!$A$6:$A$4699,"*"&amp;$A24&amp;"*",'Diags Raw Data'!$AB$6:$AB$4699))</f>
        <v>0</v>
      </c>
      <c r="R24" s="422">
        <f t="shared" si="12"/>
        <v>0</v>
      </c>
      <c r="S24" s="422">
        <f t="shared" si="13"/>
        <v>0</v>
      </c>
      <c r="T24" s="423">
        <f t="shared" si="14"/>
        <v>0</v>
      </c>
      <c r="U24" s="469" t="s">
        <v>44</v>
      </c>
      <c r="V24" s="170" t="s">
        <v>43</v>
      </c>
    </row>
    <row r="25" spans="1:22" ht="65.650000000000006" customHeight="1" x14ac:dyDescent="0.25">
      <c r="A25" s="446" t="s">
        <v>417</v>
      </c>
      <c r="B25" s="332" t="str">
        <f>VLOOKUP(A25,'Feature Raw Data'!$A$3:$B$4067,2,FALSE)</f>
        <v>MMHUB:MMUTCL2 - Sideband translation path</v>
      </c>
      <c r="C25" s="273" t="str">
        <f>VLOOKUP(A25,'Feature Raw Data'!$A$3:$C$4067,3,FALSE)</f>
        <v>P2</v>
      </c>
      <c r="D25" s="82" t="str" cm="1">
        <f t="array" ref="D25">_xlfn.TEXTJOIN("",TRUE,IF(ISNUMBER(SEARCH($A25,'Diags Raw Data'!$A$6:$A$4699)),CONCATENATE('Diags Raw Data'!$H$6:$H$4699,", "),""))</f>
        <v xml:space="preserve">mhub015.3,4, mhub019.3, mhub020.3, mhub023.3, vcnxxxx, mhub50.1-4, </v>
      </c>
      <c r="E25" s="169" t="str">
        <f>VLOOKUP(A25,'Diags Raw Data'!$A$6:$D$4699,4,FALSE)</f>
        <v>MMHUB</v>
      </c>
      <c r="F25" s="169" t="str">
        <f>VLOOKUP(A25,'Feature Raw Data'!$A$3:$E$4067,5,FALSE)</f>
        <v>Legacy</v>
      </c>
      <c r="G25" s="169" t="str">
        <f t="shared" si="0"/>
        <v>Yes</v>
      </c>
      <c r="H25" s="169" t="str">
        <f t="shared" si="6"/>
        <v>Yes</v>
      </c>
      <c r="I25" s="273">
        <f>SUMIF('Diags Raw Data'!$A$6:$A$4699,"*"&amp;$A25&amp;"*",'Diags Raw Data'!$K$6:$K$4699)</f>
        <v>8</v>
      </c>
      <c r="J25" s="179">
        <f>SUMIF('Diags Raw Data'!$A$6:$A$4699,"*"&amp;$A25&amp;"*",'Diags Raw Data'!$L$6:$L$4699)</f>
        <v>8</v>
      </c>
      <c r="K25" s="416" cm="1">
        <f t="array" ref="K25">IF(D25="",0, SUMPRODUCT(--(ISNUMBER(SEARCH($A25,'Diags Raw Data'!$A$6:$A$4699))),'Diags Raw Data'!$L$6:$L$4699,'Diags Raw Data'!$N$6:$N$4699)/J25)</f>
        <v>1</v>
      </c>
      <c r="L25" s="417" cm="1">
        <f t="array" ref="L25">IF(D25="",0, SUMPRODUCT(--(ISNUMBER(SEARCH($A25,'Diags Raw Data'!$A$6:$A$4699))),'Diags Raw Data'!$L$6:$L$4699,'Diags Raw Data'!$P$6:$P$4699)/J25)</f>
        <v>1</v>
      </c>
      <c r="M25" s="418" cm="1">
        <f t="array" ref="M25">SUMPRODUCT(--(ISNUMBER(SEARCH($A25,'Diags Raw Data'!$A$6:$A$4699))),--('Diags Raw Data'!$Q$6:$Q$4699&lt;&gt;"N/A"),'Diags Raw Data'!$R$6:$R$4699)</f>
        <v>4</v>
      </c>
      <c r="N25" s="419" cm="1">
        <f t="array" ref="N25">SUMPRODUCT(--(ISNUMBER(SEARCH($A25,'Diags Raw Data'!$A$6:$A$4699))),--('Diags Raw Data'!$Q$6:$Q$4699&lt;&gt;"N/A"),'Diags Raw Data'!$T$6:$T$4699)+SUMPRODUCT(--(ISNUMBER(SEARCH($A25,'Diags Raw Data'!$A$6:$A$4699))),--('Diags Raw Data'!$Q$6:$Q$4699&lt;&gt;"N/A"),'Diags Raw Data'!$U$6:$U$4699)</f>
        <v>4</v>
      </c>
      <c r="O25" s="462">
        <f t="shared" si="11"/>
        <v>1</v>
      </c>
      <c r="P25" s="420">
        <f>SUMIF('Diags Raw Data'!$A$6:$A$4699,"*"&amp;$A25&amp;"*",'Diags Raw Data'!$Z$6:$Z$4699)</f>
        <v>0</v>
      </c>
      <c r="Q25" s="421">
        <f>SUM(SUMIF('Diags Raw Data'!$A$6:$A$4699,"*"&amp;$A25&amp;"*",'Diags Raw Data'!$AA$6:$AA$4699),SUMIF('Diags Raw Data'!$A$6:$A$4699,"*"&amp;$A25&amp;"*",'Diags Raw Data'!$AB$6:$AB$4699))</f>
        <v>0</v>
      </c>
      <c r="R25" s="422">
        <f t="shared" si="12"/>
        <v>0</v>
      </c>
      <c r="S25" s="422">
        <f t="shared" si="13"/>
        <v>0</v>
      </c>
      <c r="T25" s="423">
        <f t="shared" si="14"/>
        <v>0</v>
      </c>
      <c r="U25" s="469" t="s">
        <v>2796</v>
      </c>
      <c r="V25" s="170"/>
    </row>
    <row r="26" spans="1:22" ht="75" x14ac:dyDescent="0.25">
      <c r="A26" s="446" t="s">
        <v>2386</v>
      </c>
      <c r="B26" s="332" t="str">
        <f>VLOOKUP(A26,'Feature Raw Data'!$A$3:$B$4067,2,FALSE)</f>
        <v>MMHUB:MMUTCL2 - Implement 'router' to aggregate UTCL1 requests for non-OSS requests</v>
      </c>
      <c r="C26" s="273" t="str">
        <f>VLOOKUP(A26,'Feature Raw Data'!$A$3:$C$4067,3,FALSE)</f>
        <v>P2</v>
      </c>
      <c r="D26" s="82" t="str" cm="1">
        <f t="array" ref="D26">_xlfn.TEXTJOIN("",TRUE,IF(ISNUMBER(SEARCH($A26,'Diags Raw Data'!$A$6:$A$4699)),CONCATENATE('Diags Raw Data'!$H$6:$H$4699,", "),""))</f>
        <v xml:space="preserve">mhub031.1, mhub031.2, mhub031.3-5, mhub031.6-9, </v>
      </c>
      <c r="E26" s="169" t="e">
        <f>VLOOKUP(A26,'Diags Raw Data'!$A$6:$D$4699,4,FALSE)</f>
        <v>#N/A</v>
      </c>
      <c r="F26" s="169" t="str">
        <f>VLOOKUP(A26,'Feature Raw Data'!$A$3:$E$4067,5,FALSE)</f>
        <v>Legacy</v>
      </c>
      <c r="G26" s="169" t="str">
        <f t="shared" si="0"/>
        <v>Yes</v>
      </c>
      <c r="H26" s="169" t="str">
        <f t="shared" si="6"/>
        <v>Yes</v>
      </c>
      <c r="I26" s="273">
        <f>SUMIF('Diags Raw Data'!$A$6:$A$4699,"*"&amp;$A26&amp;"*",'Diags Raw Data'!$K$6:$K$4699)</f>
        <v>9</v>
      </c>
      <c r="J26" s="179">
        <f>SUMIF('Diags Raw Data'!$A$6:$A$4699,"*"&amp;$A26&amp;"*",'Diags Raw Data'!$L$6:$L$4699)</f>
        <v>9</v>
      </c>
      <c r="K26" s="416" cm="1">
        <f t="array" ref="K26">IF(D26="",0, SUMPRODUCT(--(ISNUMBER(SEARCH($A26,'Diags Raw Data'!$A$6:$A$4699))),'Diags Raw Data'!$L$6:$L$4699,'Diags Raw Data'!$N$6:$N$4699)/J26)</f>
        <v>1</v>
      </c>
      <c r="L26" s="417" cm="1">
        <f t="array" ref="L26">IF(D26="",0, SUMPRODUCT(--(ISNUMBER(SEARCH($A26,'Diags Raw Data'!$A$6:$A$4699))),'Diags Raw Data'!$L$6:$L$4699,'Diags Raw Data'!$P$6:$P$4699)/J26)</f>
        <v>1</v>
      </c>
      <c r="M26" s="418" cm="1">
        <f t="array" ref="M26">SUMPRODUCT(--(ISNUMBER(SEARCH($A26,'Diags Raw Data'!$A$6:$A$4699))),--('Diags Raw Data'!$Q$6:$Q$4699&lt;&gt;"N/A"),'Diags Raw Data'!$R$6:$R$4699)</f>
        <v>9</v>
      </c>
      <c r="N26" s="419" cm="1">
        <f t="array" ref="N26">SUMPRODUCT(--(ISNUMBER(SEARCH($A26,'Diags Raw Data'!$A$6:$A$4699))),--('Diags Raw Data'!$Q$6:$Q$4699&lt;&gt;"N/A"),'Diags Raw Data'!$T$6:$T$4699)+SUMPRODUCT(--(ISNUMBER(SEARCH($A26,'Diags Raw Data'!$A$6:$A$4699))),--('Diags Raw Data'!$Q$6:$Q$4699&lt;&gt;"N/A"),'Diags Raw Data'!$U$6:$U$4699)</f>
        <v>9</v>
      </c>
      <c r="O26" s="462">
        <f t="shared" si="11"/>
        <v>1</v>
      </c>
      <c r="P26" s="420">
        <f>SUMIF('Diags Raw Data'!$A$6:$A$4699,"*"&amp;$A26&amp;"*",'Diags Raw Data'!$Z$6:$Z$4699)</f>
        <v>0</v>
      </c>
      <c r="Q26" s="421">
        <f>SUM(SUMIF('Diags Raw Data'!$A$6:$A$4699,"*"&amp;$A26&amp;"*",'Diags Raw Data'!$AA$6:$AA$4699),SUMIF('Diags Raw Data'!$A$6:$A$4699,"*"&amp;$A26&amp;"*",'Diags Raw Data'!$AB$6:$AB$4699))</f>
        <v>0</v>
      </c>
      <c r="R26" s="422">
        <f t="shared" si="12"/>
        <v>0</v>
      </c>
      <c r="S26" s="422">
        <f t="shared" si="13"/>
        <v>0</v>
      </c>
      <c r="T26" s="423">
        <f t="shared" si="14"/>
        <v>0</v>
      </c>
      <c r="U26" s="469" t="s">
        <v>2800</v>
      </c>
      <c r="V26" s="170"/>
    </row>
    <row r="27" spans="1:22" ht="345" x14ac:dyDescent="0.25">
      <c r="A27" s="446" t="s">
        <v>2193</v>
      </c>
      <c r="B27" s="332" t="str">
        <f>VLOOKUP(A27,'Feature Raw Data'!$A$3:$B$4067,2,FALSE)</f>
        <v>MMHUB:MMUTCL2 - IO/SPA for APU system</v>
      </c>
      <c r="C27" s="273" t="str">
        <f>VLOOKUP(A27,'Feature Raw Data'!$A$3:$C$4067,3,FALSE)</f>
        <v>P2</v>
      </c>
      <c r="D27" s="82" t="str" cm="1">
        <f t="array" ref="D27">_xlfn.TEXTJOIN("",TRUE,IF(ISNUMBER(SEARCH($A27,'Diags Raw Data'!$A$6:$A$4699)),CONCATENATE('Diags Raw Data'!$H$6:$H$4699,", "),""))</f>
        <v xml:space="preserve">mhub060.1-16, mhub060.17-32, mhub060.33-46, mhub060.47-60, mhub060.61, mhub060.62, mhub060.63, mhub060.64, mhub060.80, mhub060.81, mhub060.82, mhub060.83, mhub060.84, mhub060.85, mhub060.86, mhub060.87, mhub072.1, mhub072.2, mhub072.3, </v>
      </c>
      <c r="E27" s="169" t="str">
        <f>VLOOKUP(A27,'Diags Raw Data'!$A$6:$D$4699,4,FALSE)</f>
        <v>MMHUB</v>
      </c>
      <c r="F27" s="169" t="str">
        <f>VLOOKUP(A27,'Feature Raw Data'!$A$3:$E$4067,5,FALSE)</f>
        <v>Legacy</v>
      </c>
      <c r="G27" s="169" t="str">
        <f t="shared" si="0"/>
        <v>Yes</v>
      </c>
      <c r="H27" s="169" t="str">
        <f t="shared" si="6"/>
        <v>Yes</v>
      </c>
      <c r="I27" s="273">
        <f>SUMIF('Diags Raw Data'!$A$6:$A$4699,"*"&amp;$A27&amp;"*",'Diags Raw Data'!$K$6:$K$4699)</f>
        <v>19</v>
      </c>
      <c r="J27" s="179">
        <f>SUMIF('Diags Raw Data'!$A$6:$A$4699,"*"&amp;$A27&amp;"*",'Diags Raw Data'!$L$6:$L$4699)</f>
        <v>75</v>
      </c>
      <c r="K27" s="416" cm="1">
        <f t="array" ref="K27">IF(D27="",0, SUMPRODUCT(--(ISNUMBER(SEARCH($A27,'Diags Raw Data'!$A$6:$A$4699))),'Diags Raw Data'!$L$6:$L$4699,'Diags Raw Data'!$N$6:$N$4699)/J27)</f>
        <v>1</v>
      </c>
      <c r="L27" s="417" cm="1">
        <f t="array" ref="L27">IF(D27="",0, SUMPRODUCT(--(ISNUMBER(SEARCH($A27,'Diags Raw Data'!$A$6:$A$4699))),'Diags Raw Data'!$L$6:$L$4699,'Diags Raw Data'!$P$6:$P$4699)/J27)</f>
        <v>0.2</v>
      </c>
      <c r="M27" s="418" cm="1">
        <f t="array" ref="M27">SUMPRODUCT(--(ISNUMBER(SEARCH($A27,'Diags Raw Data'!$A$6:$A$4699))),--('Diags Raw Data'!$Q$6:$Q$4699&lt;&gt;"N/A"),'Diags Raw Data'!$R$6:$R$4699)</f>
        <v>75</v>
      </c>
      <c r="N27" s="419" cm="1">
        <f t="array" ref="N27">SUMPRODUCT(--(ISNUMBER(SEARCH($A27,'Diags Raw Data'!$A$6:$A$4699))),--('Diags Raw Data'!$Q$6:$Q$4699&lt;&gt;"N/A"),'Diags Raw Data'!$T$6:$T$4699)+SUMPRODUCT(--(ISNUMBER(SEARCH($A27,'Diags Raw Data'!$A$6:$A$4699))),--('Diags Raw Data'!$Q$6:$Q$4699&lt;&gt;"N/A"),'Diags Raw Data'!$U$6:$U$4699)</f>
        <v>75</v>
      </c>
      <c r="O27" s="462">
        <f t="shared" si="11"/>
        <v>1</v>
      </c>
      <c r="P27" s="420">
        <f>SUMIF('Diags Raw Data'!$A$6:$A$4699,"*"&amp;$A27&amp;"*",'Diags Raw Data'!$Z$6:$Z$4699)</f>
        <v>0</v>
      </c>
      <c r="Q27" s="421">
        <f>SUM(SUMIF('Diags Raw Data'!$A$6:$A$4699,"*"&amp;$A27&amp;"*",'Diags Raw Data'!$AA$6:$AA$4699),SUMIF('Diags Raw Data'!$A$6:$A$4699,"*"&amp;$A27&amp;"*",'Diags Raw Data'!$AB$6:$AB$4699))</f>
        <v>0</v>
      </c>
      <c r="R27" s="422">
        <f t="shared" si="12"/>
        <v>0</v>
      </c>
      <c r="S27" s="422">
        <f t="shared" si="13"/>
        <v>0</v>
      </c>
      <c r="T27" s="423">
        <f t="shared" si="14"/>
        <v>0</v>
      </c>
      <c r="U27" s="469" t="s">
        <v>2802</v>
      </c>
      <c r="V27" s="170"/>
    </row>
    <row r="28" spans="1:22" ht="111" customHeight="1" x14ac:dyDescent="0.25">
      <c r="A28" s="446" t="s">
        <v>544</v>
      </c>
      <c r="B28" s="332" t="str">
        <f>VLOOKUP(A28,'Feature Raw Data'!$A$3:$B$4067,2,FALSE)</f>
        <v>MMHUB:MMUTCL2:VML2 - Caches</v>
      </c>
      <c r="C28" s="273" t="str">
        <f>VLOOKUP(A28,'Feature Raw Data'!$A$3:$C$4067,3,FALSE)</f>
        <v>P2</v>
      </c>
      <c r="D28" s="82" t="str" cm="1">
        <f t="array" ref="D28">_xlfn.TEXTJOIN("",TRUE,IF(ISNUMBER(SEARCH($A28,'Diags Raw Data'!$A$6:$A$4699)),CONCATENATE('Diags Raw Data'!$H$6:$H$4699,", "),""))</f>
        <v xml:space="preserve">mhub031.1, mhub031.2, mhub031.3-5, mhub031.6-9, mhub033.1, mhub033.2, mhub033.3, mhub081.1,2, mhub082, mhub083, mhub084.1-2, mhub085, mhub086.1,2, mhub089, mhub093.1, mhub094, </v>
      </c>
      <c r="E28" s="169" t="str">
        <f>VLOOKUP(A28,'Diags Raw Data'!$A$6:$D$4699,4,FALSE)</f>
        <v>MMHUB</v>
      </c>
      <c r="F28" s="169" t="str">
        <f>VLOOKUP(A28,'Feature Raw Data'!$A$3:$E$4067,5,FALSE)</f>
        <v>Legacy</v>
      </c>
      <c r="G28" s="169" t="str">
        <f t="shared" si="0"/>
        <v>Yes</v>
      </c>
      <c r="H28" s="169" t="str">
        <f t="shared" si="6"/>
        <v>Yes</v>
      </c>
      <c r="I28" s="273">
        <f>SUMIF('Diags Raw Data'!$A$6:$A$4699,"*"&amp;$A28&amp;"*",'Diags Raw Data'!$K$6:$K$4699)</f>
        <v>21</v>
      </c>
      <c r="J28" s="179">
        <f>SUMIF('Diags Raw Data'!$A$6:$A$4699,"*"&amp;$A28&amp;"*",'Diags Raw Data'!$L$6:$L$4699)</f>
        <v>24</v>
      </c>
      <c r="K28" s="416" cm="1">
        <f t="array" ref="K28">IF(D28="",0, SUMPRODUCT(--(ISNUMBER(SEARCH($A28,'Diags Raw Data'!$A$6:$A$4699))),'Diags Raw Data'!$L$6:$L$4699,'Diags Raw Data'!$N$6:$N$4699)/J28)</f>
        <v>1</v>
      </c>
      <c r="L28" s="417" cm="1">
        <f t="array" ref="L28">IF(D28="",0, SUMPRODUCT(--(ISNUMBER(SEARCH($A28,'Diags Raw Data'!$A$6:$A$4699))),'Diags Raw Data'!$L$6:$L$4699,'Diags Raw Data'!$P$6:$P$4699)/J28)</f>
        <v>1</v>
      </c>
      <c r="M28" s="418" cm="1">
        <f t="array" ref="M28">SUMPRODUCT(--(ISNUMBER(SEARCH($A28,'Diags Raw Data'!$A$6:$A$4699))),--('Diags Raw Data'!$Q$6:$Q$4699&lt;&gt;"N/A"),'Diags Raw Data'!$R$6:$R$4699)</f>
        <v>24</v>
      </c>
      <c r="N28" s="419" cm="1">
        <f t="array" ref="N28">SUMPRODUCT(--(ISNUMBER(SEARCH($A28,'Diags Raw Data'!$A$6:$A$4699))),--('Diags Raw Data'!$Q$6:$Q$4699&lt;&gt;"N/A"),'Diags Raw Data'!$T$6:$T$4699)+SUMPRODUCT(--(ISNUMBER(SEARCH($A28,'Diags Raw Data'!$A$6:$A$4699))),--('Diags Raw Data'!$Q$6:$Q$4699&lt;&gt;"N/A"),'Diags Raw Data'!$U$6:$U$4699)</f>
        <v>24</v>
      </c>
      <c r="O28" s="462">
        <f t="shared" si="11"/>
        <v>1</v>
      </c>
      <c r="P28" s="420">
        <f>SUMIF('Diags Raw Data'!$A$6:$A$4699,"*"&amp;$A28&amp;"*",'Diags Raw Data'!$Z$6:$Z$4699)</f>
        <v>0</v>
      </c>
      <c r="Q28" s="421">
        <f>SUM(SUMIF('Diags Raw Data'!$A$6:$A$4699,"*"&amp;$A28&amp;"*",'Diags Raw Data'!$AA$6:$AA$4699),SUMIF('Diags Raw Data'!$A$6:$A$4699,"*"&amp;$A28&amp;"*",'Diags Raw Data'!$AB$6:$AB$4699))</f>
        <v>0</v>
      </c>
      <c r="R28" s="422">
        <f t="shared" si="12"/>
        <v>0</v>
      </c>
      <c r="S28" s="422">
        <f t="shared" si="13"/>
        <v>0</v>
      </c>
      <c r="T28" s="423">
        <f t="shared" si="14"/>
        <v>0</v>
      </c>
      <c r="U28" s="469" t="s">
        <v>2803</v>
      </c>
      <c r="V28" s="170"/>
    </row>
    <row r="29" spans="1:22" ht="30" x14ac:dyDescent="0.25">
      <c r="A29" s="446" t="s">
        <v>2398</v>
      </c>
      <c r="B29" s="332" t="str">
        <f>VLOOKUP(A29,'Feature Raw Data'!$A$3:$B$4067,2,FALSE)</f>
        <v>MMHUB:MMUTCL2:VML2 - GPUVM fault status register</v>
      </c>
      <c r="C29" s="273" t="str">
        <f>VLOOKUP(A29,'Feature Raw Data'!$A$3:$C$4067,3,FALSE)</f>
        <v>P1</v>
      </c>
      <c r="D29" s="82" t="str" cm="1">
        <f t="array" ref="D29">_xlfn.TEXTJOIN("",TRUE,IF(ISNUMBER(SEARCH($A29,'Diags Raw Data'!$A$6:$A$4699)),CONCATENATE('Diags Raw Data'!$H$6:$H$4699,", "),""))</f>
        <v xml:space="preserve">mhub287, </v>
      </c>
      <c r="E29" s="169" t="e">
        <f>VLOOKUP(A29,'Diags Raw Data'!$A$6:$D$4699,4,FALSE)</f>
        <v>#N/A</v>
      </c>
      <c r="F29" s="169" t="str">
        <f>VLOOKUP(A29,'Feature Raw Data'!$A$3:$E$4067,5,FALSE)</f>
        <v>Delta</v>
      </c>
      <c r="G29" s="169" t="str">
        <f t="shared" si="0"/>
        <v>Yes</v>
      </c>
      <c r="H29" s="169" t="str">
        <f t="shared" si="6"/>
        <v>Yes</v>
      </c>
      <c r="I29" s="273">
        <f>SUMIF('Diags Raw Data'!$A$6:$A$4699,"*"&amp;$A29&amp;"*",'Diags Raw Data'!$K$6:$K$4699)</f>
        <v>1</v>
      </c>
      <c r="J29" s="179">
        <f>SUMIF('Diags Raw Data'!$A$6:$A$4699,"*"&amp;$A29&amp;"*",'Diags Raw Data'!$L$6:$L$4699)</f>
        <v>1</v>
      </c>
      <c r="K29" s="416" cm="1">
        <f t="array" ref="K29">IF(D29="",0, SUMPRODUCT(--(ISNUMBER(SEARCH($A29,'Diags Raw Data'!$A$6:$A$4699))),'Diags Raw Data'!$L$6:$L$4699,'Diags Raw Data'!$N$6:$N$4699)/J29)</f>
        <v>1</v>
      </c>
      <c r="L29" s="417" cm="1">
        <f t="array" ref="L29">IF(D29="",0, SUMPRODUCT(--(ISNUMBER(SEARCH($A29,'Diags Raw Data'!$A$6:$A$4699))),'Diags Raw Data'!$L$6:$L$4699,'Diags Raw Data'!$P$6:$P$4699)/J29)</f>
        <v>1</v>
      </c>
      <c r="M29" s="418" cm="1">
        <f t="array" ref="M29">SUMPRODUCT(--(ISNUMBER(SEARCH($A29,'Diags Raw Data'!$A$6:$A$4699))),--('Diags Raw Data'!$Q$6:$Q$4699&lt;&gt;"N/A"),'Diags Raw Data'!$R$6:$R$4699)</f>
        <v>1</v>
      </c>
      <c r="N29" s="419" cm="1">
        <f t="array" ref="N29">SUMPRODUCT(--(ISNUMBER(SEARCH($A29,'Diags Raw Data'!$A$6:$A$4699))),--('Diags Raw Data'!$Q$6:$Q$4699&lt;&gt;"N/A"),'Diags Raw Data'!$T$6:$T$4699)+SUMPRODUCT(--(ISNUMBER(SEARCH($A29,'Diags Raw Data'!$A$6:$A$4699))),--('Diags Raw Data'!$Q$6:$Q$4699&lt;&gt;"N/A"),'Diags Raw Data'!$U$6:$U$4699)</f>
        <v>1</v>
      </c>
      <c r="O29" s="462">
        <f t="shared" si="11"/>
        <v>1</v>
      </c>
      <c r="P29" s="420">
        <f>SUMIF('Diags Raw Data'!$A$6:$A$4699,"*"&amp;$A29&amp;"*",'Diags Raw Data'!$Z$6:$Z$4699)</f>
        <v>0</v>
      </c>
      <c r="Q29" s="421">
        <f>SUM(SUMIF('Diags Raw Data'!$A$6:$A$4699,"*"&amp;$A29&amp;"*",'Diags Raw Data'!$AA$6:$AA$4699),SUMIF('Diags Raw Data'!$A$6:$A$4699,"*"&amp;$A29&amp;"*",'Diags Raw Data'!$AB$6:$AB$4699))</f>
        <v>0</v>
      </c>
      <c r="R29" s="422">
        <f t="shared" si="12"/>
        <v>0</v>
      </c>
      <c r="S29" s="422">
        <f t="shared" si="13"/>
        <v>0</v>
      </c>
      <c r="T29" s="423">
        <f t="shared" si="14"/>
        <v>0</v>
      </c>
      <c r="U29" s="469" t="s">
        <v>2797</v>
      </c>
      <c r="V29" s="170"/>
    </row>
    <row r="30" spans="1:22" ht="105" x14ac:dyDescent="0.25">
      <c r="A30" s="446" t="s">
        <v>2213</v>
      </c>
      <c r="B30" s="332" t="str">
        <f>VLOOKUP(A30,'Feature Raw Data'!$A$3:$B$4067,2,FALSE)</f>
        <v>MMHUB:MMUTCL2:VML2 - Common PSP-only default page</v>
      </c>
      <c r="C30" s="273" t="str">
        <f>VLOOKUP(A30,'Feature Raw Data'!$A$3:$C$4067,3,FALSE)</f>
        <v>P2</v>
      </c>
      <c r="D30" s="82" t="str" cm="1">
        <f t="array" ref="D30">_xlfn.TEXTJOIN("",TRUE,IF(ISNUMBER(SEARCH($A30,'Diags Raw Data'!$A$6:$A$4699)),CONCATENATE('Diags Raw Data'!$H$6:$H$4699,", "),""))</f>
        <v xml:space="preserve">mhub091.1-4, mhub091.5-6, mhub091.7-13, mhub291.1-4, mhub291.5-6, </v>
      </c>
      <c r="E30" s="169" t="str">
        <f>VLOOKUP(A30,'Diags Raw Data'!$A$6:$D$4699,4,FALSE)</f>
        <v>MMHUB</v>
      </c>
      <c r="F30" s="169" t="str">
        <f>VLOOKUP(A30,'Feature Raw Data'!$A$3:$E$4067,5,FALSE)</f>
        <v>Legacy</v>
      </c>
      <c r="G30" s="169" t="str">
        <f t="shared" si="0"/>
        <v>Yes</v>
      </c>
      <c r="H30" s="169" t="str">
        <f t="shared" si="6"/>
        <v>Yes</v>
      </c>
      <c r="I30" s="273">
        <f>SUMIF('Diags Raw Data'!$A$6:$A$4699,"*"&amp;$A30&amp;"*",'Diags Raw Data'!$K$6:$K$4699)</f>
        <v>30</v>
      </c>
      <c r="J30" s="179">
        <f>SUMIF('Diags Raw Data'!$A$6:$A$4699,"*"&amp;$A30&amp;"*",'Diags Raw Data'!$L$6:$L$4699)</f>
        <v>19</v>
      </c>
      <c r="K30" s="416" cm="1">
        <f t="array" ref="K30">IF(D30="",0, SUMPRODUCT(--(ISNUMBER(SEARCH($A30,'Diags Raw Data'!$A$6:$A$4699))),'Diags Raw Data'!$L$6:$L$4699,'Diags Raw Data'!$N$6:$N$4699)/J30)</f>
        <v>1</v>
      </c>
      <c r="L30" s="417" cm="1">
        <f t="array" ref="L30">IF(D30="",0, SUMPRODUCT(--(ISNUMBER(SEARCH($A30,'Diags Raw Data'!$A$6:$A$4699))),'Diags Raw Data'!$L$6:$L$4699,'Diags Raw Data'!$P$6:$P$4699)/J30)</f>
        <v>0.63157894736842102</v>
      </c>
      <c r="M30" s="418" cm="1">
        <f t="array" ref="M30">SUMPRODUCT(--(ISNUMBER(SEARCH($A30,'Diags Raw Data'!$A$6:$A$4699))),--('Diags Raw Data'!$Q$6:$Q$4699&lt;&gt;"N/A"),'Diags Raw Data'!$R$6:$R$4699)</f>
        <v>19</v>
      </c>
      <c r="N30" s="419" cm="1">
        <f t="array" ref="N30">SUMPRODUCT(--(ISNUMBER(SEARCH($A30,'Diags Raw Data'!$A$6:$A$4699))),--('Diags Raw Data'!$Q$6:$Q$4699&lt;&gt;"N/A"),'Diags Raw Data'!$T$6:$T$4699)+SUMPRODUCT(--(ISNUMBER(SEARCH($A30,'Diags Raw Data'!$A$6:$A$4699))),--('Diags Raw Data'!$Q$6:$Q$4699&lt;&gt;"N/A"),'Diags Raw Data'!$U$6:$U$4699)</f>
        <v>19</v>
      </c>
      <c r="O30" s="462">
        <f t="shared" si="11"/>
        <v>1</v>
      </c>
      <c r="P30" s="420">
        <f>SUMIF('Diags Raw Data'!$A$6:$A$4699,"*"&amp;$A30&amp;"*",'Diags Raw Data'!$Z$6:$Z$4699)</f>
        <v>0</v>
      </c>
      <c r="Q30" s="421">
        <f>SUM(SUMIF('Diags Raw Data'!$A$6:$A$4699,"*"&amp;$A30&amp;"*",'Diags Raw Data'!$AA$6:$AA$4699),SUMIF('Diags Raw Data'!$A$6:$A$4699,"*"&amp;$A30&amp;"*",'Diags Raw Data'!$AB$6:$AB$4699))</f>
        <v>0</v>
      </c>
      <c r="R30" s="422">
        <f t="shared" si="12"/>
        <v>0</v>
      </c>
      <c r="S30" s="422">
        <f t="shared" si="13"/>
        <v>0</v>
      </c>
      <c r="T30" s="423">
        <f t="shared" si="14"/>
        <v>0</v>
      </c>
      <c r="U30" s="469" t="s">
        <v>2804</v>
      </c>
      <c r="V30" s="170"/>
    </row>
    <row r="31" spans="1:22" ht="30" x14ac:dyDescent="0.25">
      <c r="A31" s="446" t="s">
        <v>2400</v>
      </c>
      <c r="B31" s="332" t="str">
        <f>VLOOKUP(A31,'Feature Raw Data'!$A$3:$B$4067,2,FALSE)</f>
        <v>MMHUB:MMUTCL2:VML2 - DWB Scatter/Gather</v>
      </c>
      <c r="C31" s="273" t="str">
        <f>VLOOKUP(A31,'Feature Raw Data'!$A$3:$C$4067,3,FALSE)</f>
        <v>P2</v>
      </c>
      <c r="D31" s="82" t="str" cm="1">
        <f t="array" ref="D31">_xlfn.TEXTJOIN("",TRUE,IF(ISNUMBER(SEARCH($A31,'Diags Raw Data'!$A$6:$A$4699)),CONCATENATE('Diags Raw Data'!$H$6:$H$4699,", "),""))</f>
        <v xml:space="preserve">dwb2,3,15-19, </v>
      </c>
      <c r="E31" s="169" t="e">
        <f>VLOOKUP(A31,'Diags Raw Data'!$A$6:$D$4699,4,FALSE)</f>
        <v>#N/A</v>
      </c>
      <c r="F31" s="169" t="str">
        <f>VLOOKUP(A31,'Feature Raw Data'!$A$3:$E$4067,5,FALSE)</f>
        <v>Legacy</v>
      </c>
      <c r="G31" s="169" t="s">
        <v>31</v>
      </c>
      <c r="H31" s="169" t="str">
        <f t="shared" si="6"/>
        <v>Yes</v>
      </c>
      <c r="I31" s="273">
        <f>SUMIF('Diags Raw Data'!$A$6:$A$4699,"*"&amp;$A31&amp;"*",'Diags Raw Data'!$K$6:$K$4699)</f>
        <v>0</v>
      </c>
      <c r="J31" s="179">
        <f>SUMIF('Diags Raw Data'!$A$6:$A$4699,"*"&amp;$A31&amp;"*",'Diags Raw Data'!$L$6:$L$4699)</f>
        <v>0</v>
      </c>
      <c r="K31" s="416" t="e" cm="1">
        <f t="array" ref="K31">IF(D31="",0, SUMPRODUCT(--(ISNUMBER(SEARCH($A31,'Diags Raw Data'!$A$6:$A$4699))),'Diags Raw Data'!$L$6:$L$4699,'Diags Raw Data'!$N$6:$N$4699)/J31)</f>
        <v>#DIV/0!</v>
      </c>
      <c r="L31" s="417" t="e" cm="1">
        <f t="array" ref="L31">IF(D31="",0, SUMPRODUCT(--(ISNUMBER(SEARCH($A31,'Diags Raw Data'!$A$6:$A$4699))),'Diags Raw Data'!$L$6:$L$4699,'Diags Raw Data'!$P$6:$P$4699)/J31)</f>
        <v>#DIV/0!</v>
      </c>
      <c r="M31" s="418" cm="1">
        <f t="array" ref="M31">SUMPRODUCT(--(ISNUMBER(SEARCH($A31,'Diags Raw Data'!$A$6:$A$4699))),--('Diags Raw Data'!$Q$6:$Q$4699&lt;&gt;"N/A"),'Diags Raw Data'!$R$6:$R$4699)</f>
        <v>0</v>
      </c>
      <c r="N31" s="419" cm="1">
        <f t="array" ref="N31">SUMPRODUCT(--(ISNUMBER(SEARCH($A31,'Diags Raw Data'!$A$6:$A$4699))),--('Diags Raw Data'!$Q$6:$Q$4699&lt;&gt;"N/A"),'Diags Raw Data'!$T$6:$T$4699)+SUMPRODUCT(--(ISNUMBER(SEARCH($A31,'Diags Raw Data'!$A$6:$A$4699))),--('Diags Raw Data'!$Q$6:$Q$4699&lt;&gt;"N/A"),'Diags Raw Data'!$U$6:$U$4699)</f>
        <v>0</v>
      </c>
      <c r="O31" s="462">
        <f t="shared" si="11"/>
        <v>0</v>
      </c>
      <c r="P31" s="420">
        <f>SUMIF('Diags Raw Data'!$A$6:$A$4699,"*"&amp;$A31&amp;"*",'Diags Raw Data'!$Z$6:$Z$4699)</f>
        <v>0</v>
      </c>
      <c r="Q31" s="421">
        <f>SUM(SUMIF('Diags Raw Data'!$A$6:$A$4699,"*"&amp;$A31&amp;"*",'Diags Raw Data'!$AA$6:$AA$4699),SUMIF('Diags Raw Data'!$A$6:$A$4699,"*"&amp;$A31&amp;"*",'Diags Raw Data'!$AB$6:$AB$4699))</f>
        <v>0</v>
      </c>
      <c r="R31" s="422">
        <f t="shared" si="12"/>
        <v>0</v>
      </c>
      <c r="S31" s="422">
        <f t="shared" si="13"/>
        <v>0</v>
      </c>
      <c r="T31" s="423">
        <f t="shared" si="14"/>
        <v>0</v>
      </c>
      <c r="U31" s="469" t="s">
        <v>44</v>
      </c>
      <c r="V31" s="170" t="s">
        <v>2402</v>
      </c>
    </row>
    <row r="32" spans="1:22" ht="30" x14ac:dyDescent="0.25">
      <c r="A32" s="446" t="s">
        <v>2403</v>
      </c>
      <c r="B32" s="332" t="str">
        <f>VLOOKUP(A32,'Feature Raw Data'!$A$3:$B$4067,2,FALSE)</f>
        <v>MMHUB:MMUTCL2:VML2 - Reserved Caches</v>
      </c>
      <c r="C32" s="273" t="str">
        <f>VLOOKUP(A32,'Feature Raw Data'!$A$3:$C$4067,3,FALSE)</f>
        <v>N/A</v>
      </c>
      <c r="D32" s="82" t="str" cm="1">
        <f t="array" ref="D32">_xlfn.TEXTJOIN("",TRUE,IF(ISNUMBER(SEARCH($A32,'Diags Raw Data'!$A$6:$A$4699)),CONCATENATE('Diags Raw Data'!$H$6:$H$4699,", "),""))</f>
        <v xml:space="preserve">dwb2,3,15-19, </v>
      </c>
      <c r="E32" s="169" t="e">
        <f>VLOOKUP(A32,'Diags Raw Data'!$A$6:$D$4699,4,FALSE)</f>
        <v>#N/A</v>
      </c>
      <c r="F32" s="169" t="str">
        <f>VLOOKUP(A32,'Feature Raw Data'!$A$3:$E$4067,5,FALSE)</f>
        <v>Legacy</v>
      </c>
      <c r="G32" s="169" t="s">
        <v>31</v>
      </c>
      <c r="H32" s="169" t="str">
        <f t="shared" si="6"/>
        <v>Yes</v>
      </c>
      <c r="I32" s="273">
        <f>SUMIF('Diags Raw Data'!$A$6:$A$4699,"*"&amp;$A32&amp;"*",'Diags Raw Data'!$K$6:$K$4699)</f>
        <v>0</v>
      </c>
      <c r="J32" s="179">
        <f>SUMIF('Diags Raw Data'!$A$6:$A$4699,"*"&amp;$A32&amp;"*",'Diags Raw Data'!$L$6:$L$4699)</f>
        <v>0</v>
      </c>
      <c r="K32" s="416" t="e" cm="1">
        <f t="array" ref="K32">IF(D32="",0, SUMPRODUCT(--(ISNUMBER(SEARCH($A32,'Diags Raw Data'!$A$6:$A$4699))),'Diags Raw Data'!$L$6:$L$4699,'Diags Raw Data'!$N$6:$N$4699)/J32)</f>
        <v>#DIV/0!</v>
      </c>
      <c r="L32" s="417" t="e" cm="1">
        <f t="array" ref="L32">IF(D32="",0, SUMPRODUCT(--(ISNUMBER(SEARCH($A32,'Diags Raw Data'!$A$6:$A$4699))),'Diags Raw Data'!$L$6:$L$4699,'Diags Raw Data'!$P$6:$P$4699)/J32)</f>
        <v>#DIV/0!</v>
      </c>
      <c r="M32" s="418" cm="1">
        <f t="array" ref="M32">SUMPRODUCT(--(ISNUMBER(SEARCH($A32,'Diags Raw Data'!$A$6:$A$4699))),--('Diags Raw Data'!$Q$6:$Q$4699&lt;&gt;"N/A"),'Diags Raw Data'!$R$6:$R$4699)</f>
        <v>0</v>
      </c>
      <c r="N32" s="419" cm="1">
        <f t="array" ref="N32">SUMPRODUCT(--(ISNUMBER(SEARCH($A32,'Diags Raw Data'!$A$6:$A$4699))),--('Diags Raw Data'!$Q$6:$Q$4699&lt;&gt;"N/A"),'Diags Raw Data'!$T$6:$T$4699)+SUMPRODUCT(--(ISNUMBER(SEARCH($A32,'Diags Raw Data'!$A$6:$A$4699))),--('Diags Raw Data'!$Q$6:$Q$4699&lt;&gt;"N/A"),'Diags Raw Data'!$U$6:$U$4699)</f>
        <v>0</v>
      </c>
      <c r="O32" s="462">
        <f t="shared" si="11"/>
        <v>0</v>
      </c>
      <c r="P32" s="420">
        <f>SUMIF('Diags Raw Data'!$A$6:$A$4699,"*"&amp;$A32&amp;"*",'Diags Raw Data'!$Z$6:$Z$4699)</f>
        <v>0</v>
      </c>
      <c r="Q32" s="421">
        <f>SUM(SUMIF('Diags Raw Data'!$A$6:$A$4699,"*"&amp;$A32&amp;"*",'Diags Raw Data'!$AA$6:$AA$4699),SUMIF('Diags Raw Data'!$A$6:$A$4699,"*"&amp;$A32&amp;"*",'Diags Raw Data'!$AB$6:$AB$4699))</f>
        <v>0</v>
      </c>
      <c r="R32" s="422">
        <f t="shared" si="12"/>
        <v>0</v>
      </c>
      <c r="S32" s="422">
        <f t="shared" si="13"/>
        <v>0</v>
      </c>
      <c r="T32" s="423">
        <f t="shared" si="14"/>
        <v>0</v>
      </c>
      <c r="U32" s="469" t="s">
        <v>44</v>
      </c>
      <c r="V32" s="170" t="s">
        <v>2402</v>
      </c>
    </row>
    <row r="33" spans="1:22" ht="126" customHeight="1" x14ac:dyDescent="0.25">
      <c r="A33" s="446" t="s">
        <v>2405</v>
      </c>
      <c r="B33" s="332" t="str">
        <f>VLOOKUP(A33,'Feature Raw Data'!$A$3:$B$4067,2,FALSE)</f>
        <v>MMHUB:MMUTCL2:VML2 - GPUVA,VMID translation assist</v>
      </c>
      <c r="C33" s="273" t="str">
        <f>VLOOKUP(A33,'Feature Raw Data'!$A$3:$C$4067,3,FALSE)</f>
        <v>P2</v>
      </c>
      <c r="D33" s="82" t="str" cm="1">
        <f t="array" ref="D33">_xlfn.TEXTJOIN("",TRUE,IF(ISNUMBER(SEARCH($A33,'Diags Raw Data'!$A$6:$A$4699)),CONCATENATE('Diags Raw Data'!$H$6:$H$4699,", "),""))</f>
        <v xml:space="preserve">mhub060.1-16, mhub060.17-32, mhub060.33-46, mhub060.47-60, mhub060.61, mhub060.62, mhub060.63, mhub060.64, mhub060.80, mhub060.81, mhub060.82, mhub060.83, mhub060.84, mhub060.85, mhub060.86, mhub060.87, </v>
      </c>
      <c r="E33" s="169" t="e">
        <f>VLOOKUP(A33,'Diags Raw Data'!$A$6:$D$4699,4,FALSE)</f>
        <v>#N/A</v>
      </c>
      <c r="F33" s="169" t="str">
        <f>VLOOKUP(A33,'Feature Raw Data'!$A$3:$E$4067,5,FALSE)</f>
        <v>Legacy</v>
      </c>
      <c r="G33" s="169" t="str">
        <f t="shared" si="0"/>
        <v>Yes</v>
      </c>
      <c r="H33" s="169" t="str">
        <f t="shared" si="6"/>
        <v>Yes</v>
      </c>
      <c r="I33" s="273">
        <f>SUMIF('Diags Raw Data'!$A$6:$A$4699,"*"&amp;$A33&amp;"*",'Diags Raw Data'!$K$6:$K$4699)</f>
        <v>16</v>
      </c>
      <c r="J33" s="179">
        <f>SUMIF('Diags Raw Data'!$A$6:$A$4699,"*"&amp;$A33&amp;"*",'Diags Raw Data'!$L$6:$L$4699)</f>
        <v>72</v>
      </c>
      <c r="K33" s="416" cm="1">
        <f t="array" ref="K33">IF(D33="",0, SUMPRODUCT(--(ISNUMBER(SEARCH($A33,'Diags Raw Data'!$A$6:$A$4699))),'Diags Raw Data'!$L$6:$L$4699,'Diags Raw Data'!$N$6:$N$4699)/J33)</f>
        <v>1</v>
      </c>
      <c r="L33" s="417" cm="1">
        <f t="array" ref="L33">IF(D33="",0, SUMPRODUCT(--(ISNUMBER(SEARCH($A33,'Diags Raw Data'!$A$6:$A$4699))),'Diags Raw Data'!$L$6:$L$4699,'Diags Raw Data'!$P$6:$P$4699)/J33)</f>
        <v>0.16666666666666666</v>
      </c>
      <c r="M33" s="418" cm="1">
        <f t="array" ref="M33">SUMPRODUCT(--(ISNUMBER(SEARCH($A33,'Diags Raw Data'!$A$6:$A$4699))),--('Diags Raw Data'!$Q$6:$Q$4699&lt;&gt;"N/A"),'Diags Raw Data'!$R$6:$R$4699)</f>
        <v>72</v>
      </c>
      <c r="N33" s="419" cm="1">
        <f t="array" ref="N33">SUMPRODUCT(--(ISNUMBER(SEARCH($A33,'Diags Raw Data'!$A$6:$A$4699))),--('Diags Raw Data'!$Q$6:$Q$4699&lt;&gt;"N/A"),'Diags Raw Data'!$T$6:$T$4699)+SUMPRODUCT(--(ISNUMBER(SEARCH($A33,'Diags Raw Data'!$A$6:$A$4699))),--('Diags Raw Data'!$Q$6:$Q$4699&lt;&gt;"N/A"),'Diags Raw Data'!$U$6:$U$4699)</f>
        <v>72</v>
      </c>
      <c r="O33" s="462">
        <f t="shared" si="11"/>
        <v>1</v>
      </c>
      <c r="P33" s="420">
        <f>SUMIF('Diags Raw Data'!$A$6:$A$4699,"*"&amp;$A33&amp;"*",'Diags Raw Data'!$Z$6:$Z$4699)</f>
        <v>0</v>
      </c>
      <c r="Q33" s="421">
        <f>SUM(SUMIF('Diags Raw Data'!$A$6:$A$4699,"*"&amp;$A33&amp;"*",'Diags Raw Data'!$AA$6:$AA$4699),SUMIF('Diags Raw Data'!$A$6:$A$4699,"*"&amp;$A33&amp;"*",'Diags Raw Data'!$AB$6:$AB$4699))</f>
        <v>0</v>
      </c>
      <c r="R33" s="422">
        <f t="shared" si="12"/>
        <v>0</v>
      </c>
      <c r="S33" s="422">
        <f t="shared" si="13"/>
        <v>0</v>
      </c>
      <c r="T33" s="423">
        <f t="shared" si="14"/>
        <v>0</v>
      </c>
      <c r="U33" s="469" t="s">
        <v>2802</v>
      </c>
      <c r="V33" s="170"/>
    </row>
    <row r="34" spans="1:22" ht="16.899999999999999" customHeight="1" x14ac:dyDescent="0.25">
      <c r="A34" s="446" t="s">
        <v>649</v>
      </c>
      <c r="B34" s="332" t="str">
        <f>VLOOKUP(A34,'Feature Raw Data'!$A$3:$B$4067,2,FALSE)</f>
        <v>MMHUB:MMUTCL2:VML2 - Translation bypass by VMID</v>
      </c>
      <c r="C34" s="273" t="str">
        <f>VLOOKUP(A34,'Feature Raw Data'!$A$3:$C$4067,3,FALSE)</f>
        <v>P2</v>
      </c>
      <c r="D34" s="82" t="str" cm="1">
        <f t="array" ref="D34">_xlfn.TEXTJOIN("",TRUE,IF(ISNUMBER(SEARCH($A34,'Diags Raw Data'!$A$6:$A$4699)),CONCATENATE('Diags Raw Data'!$H$6:$H$4699,", "),""))</f>
        <v xml:space="preserve">mhub046.1-8, mhub059.1-32, </v>
      </c>
      <c r="E34" s="169" t="str">
        <f>VLOOKUP(A34,'Diags Raw Data'!$A$6:$D$4699,4,FALSE)</f>
        <v>MMHUB</v>
      </c>
      <c r="F34" s="169" t="str">
        <f>VLOOKUP(A34,'Feature Raw Data'!$A$3:$E$4067,5,FALSE)</f>
        <v>Legacy</v>
      </c>
      <c r="G34" s="169" t="str">
        <f t="shared" si="0"/>
        <v>Yes</v>
      </c>
      <c r="H34" s="169" t="str">
        <f t="shared" si="6"/>
        <v>Yes</v>
      </c>
      <c r="I34" s="273">
        <f>SUMIF('Diags Raw Data'!$A$6:$A$4699,"*"&amp;$A34&amp;"*",'Diags Raw Data'!$K$6:$K$4699)</f>
        <v>2</v>
      </c>
      <c r="J34" s="179">
        <f>SUMIF('Diags Raw Data'!$A$6:$A$4699,"*"&amp;$A34&amp;"*",'Diags Raw Data'!$L$6:$L$4699)</f>
        <v>40</v>
      </c>
      <c r="K34" s="416" cm="1">
        <f t="array" ref="K34">IF(D34="",0, SUMPRODUCT(--(ISNUMBER(SEARCH($A34,'Diags Raw Data'!$A$6:$A$4699))),'Diags Raw Data'!$L$6:$L$4699,'Diags Raw Data'!$N$6:$N$4699)/J34)</f>
        <v>1</v>
      </c>
      <c r="L34" s="417" cm="1">
        <f t="array" ref="L34">IF(D34="",0, SUMPRODUCT(--(ISNUMBER(SEARCH($A34,'Diags Raw Data'!$A$6:$A$4699))),'Diags Raw Data'!$L$6:$L$4699,'Diags Raw Data'!$P$6:$P$4699)/J34)</f>
        <v>0</v>
      </c>
      <c r="M34" s="418" cm="1">
        <f t="array" ref="M34">SUMPRODUCT(--(ISNUMBER(SEARCH($A34,'Diags Raw Data'!$A$6:$A$4699))),--('Diags Raw Data'!$Q$6:$Q$4699&lt;&gt;"N/A"),'Diags Raw Data'!$R$6:$R$4699)</f>
        <v>40</v>
      </c>
      <c r="N34" s="419" cm="1">
        <f t="array" ref="N34">SUMPRODUCT(--(ISNUMBER(SEARCH($A34,'Diags Raw Data'!$A$6:$A$4699))),--('Diags Raw Data'!$Q$6:$Q$4699&lt;&gt;"N/A"),'Diags Raw Data'!$T$6:$T$4699)+SUMPRODUCT(--(ISNUMBER(SEARCH($A34,'Diags Raw Data'!$A$6:$A$4699))),--('Diags Raw Data'!$Q$6:$Q$4699&lt;&gt;"N/A"),'Diags Raw Data'!$U$6:$U$4699)</f>
        <v>40</v>
      </c>
      <c r="O34" s="462">
        <f t="shared" si="11"/>
        <v>1</v>
      </c>
      <c r="P34" s="420">
        <f>SUMIF('Diags Raw Data'!$A$6:$A$4699,"*"&amp;$A34&amp;"*",'Diags Raw Data'!$Z$6:$Z$4699)</f>
        <v>0</v>
      </c>
      <c r="Q34" s="421">
        <f>SUM(SUMIF('Diags Raw Data'!$A$6:$A$4699,"*"&amp;$A34&amp;"*",'Diags Raw Data'!$AA$6:$AA$4699),SUMIF('Diags Raw Data'!$A$6:$A$4699,"*"&amp;$A34&amp;"*",'Diags Raw Data'!$AB$6:$AB$4699))</f>
        <v>0</v>
      </c>
      <c r="R34" s="422">
        <f t="shared" si="12"/>
        <v>0</v>
      </c>
      <c r="S34" s="422">
        <f t="shared" si="13"/>
        <v>0</v>
      </c>
      <c r="T34" s="423">
        <f t="shared" si="14"/>
        <v>0</v>
      </c>
      <c r="U34" s="469" t="s">
        <v>2805</v>
      </c>
      <c r="V34" s="170"/>
    </row>
    <row r="35" spans="1:22" ht="300" x14ac:dyDescent="0.25">
      <c r="A35" s="446" t="s">
        <v>745</v>
      </c>
      <c r="B35" s="332" t="str">
        <f>VLOOKUP(A35,'Feature Raw Data'!$A$3:$B$4067,2,FALSE)</f>
        <v>MMHUB:MMUTCL2:VML2 - GPUVM Table Walks to Sysmem</v>
      </c>
      <c r="C35" s="273" t="str">
        <f>VLOOKUP(A35,'Feature Raw Data'!$A$3:$C$4067,3,FALSE)</f>
        <v>P2</v>
      </c>
      <c r="D35" s="82" t="str" cm="1">
        <f t="array" ref="D35">_xlfn.TEXTJOIN("",TRUE,IF(ISNUMBER(SEARCH($A35,'Diags Raw Data'!$A$6:$A$4699)),CONCATENATE('Diags Raw Data'!$H$6:$H$4699,", "),""))</f>
        <v xml:space="preserve">mhub058.1, mhub058.2, mhub058.3, mhub058.4, mhub058.5, mhub058.6, mhub058.7, mhub058.8, mhub058.9, mhub058.10, mhub058.11, mhub058.12, mhub058.13, mhub058.14, mhub058.15, mhub058.16, mhub058.17, mhub058.18, mhub058.19, mhub058.20, </v>
      </c>
      <c r="E35" s="169" t="str">
        <f>VLOOKUP(A35,'Diags Raw Data'!$A$6:$D$4699,4,FALSE)</f>
        <v>MMHUB</v>
      </c>
      <c r="F35" s="169" t="str">
        <f>VLOOKUP(A35,'Feature Raw Data'!$A$3:$E$4067,5,FALSE)</f>
        <v>Legacy</v>
      </c>
      <c r="G35" s="169" t="str">
        <f t="shared" si="0"/>
        <v>Yes</v>
      </c>
      <c r="H35" s="169" t="str">
        <f t="shared" si="6"/>
        <v>Yes</v>
      </c>
      <c r="I35" s="273">
        <f>SUMIF('Diags Raw Data'!$A$6:$A$4699,"*"&amp;$A35&amp;"*",'Diags Raw Data'!$K$6:$K$4699)</f>
        <v>20</v>
      </c>
      <c r="J35" s="179">
        <f>SUMIF('Diags Raw Data'!$A$6:$A$4699,"*"&amp;$A35&amp;"*",'Diags Raw Data'!$L$6:$L$4699)</f>
        <v>20</v>
      </c>
      <c r="K35" s="416" cm="1">
        <f t="array" ref="K35">IF(D35="",0, SUMPRODUCT(--(ISNUMBER(SEARCH($A35,'Diags Raw Data'!$A$6:$A$4699))),'Diags Raw Data'!$L$6:$L$4699,'Diags Raw Data'!$N$6:$N$4699)/J35)</f>
        <v>1</v>
      </c>
      <c r="L35" s="417" cm="1">
        <f t="array" ref="L35">IF(D35="",0, SUMPRODUCT(--(ISNUMBER(SEARCH($A35,'Diags Raw Data'!$A$6:$A$4699))),'Diags Raw Data'!$L$6:$L$4699,'Diags Raw Data'!$P$6:$P$4699)/J35)</f>
        <v>1</v>
      </c>
      <c r="M35" s="418" cm="1">
        <f t="array" ref="M35">SUMPRODUCT(--(ISNUMBER(SEARCH($A35,'Diags Raw Data'!$A$6:$A$4699))),--('Diags Raw Data'!$Q$6:$Q$4699&lt;&gt;"N/A"),'Diags Raw Data'!$R$6:$R$4699)</f>
        <v>20</v>
      </c>
      <c r="N35" s="419" cm="1">
        <f t="array" ref="N35">SUMPRODUCT(--(ISNUMBER(SEARCH($A35,'Diags Raw Data'!$A$6:$A$4699))),--('Diags Raw Data'!$Q$6:$Q$4699&lt;&gt;"N/A"),'Diags Raw Data'!$T$6:$T$4699)+SUMPRODUCT(--(ISNUMBER(SEARCH($A35,'Diags Raw Data'!$A$6:$A$4699))),--('Diags Raw Data'!$Q$6:$Q$4699&lt;&gt;"N/A"),'Diags Raw Data'!$U$6:$U$4699)</f>
        <v>20</v>
      </c>
      <c r="O35" s="462">
        <f t="shared" si="11"/>
        <v>1</v>
      </c>
      <c r="P35" s="420">
        <f>SUMIF('Diags Raw Data'!$A$6:$A$4699,"*"&amp;$A35&amp;"*",'Diags Raw Data'!$Z$6:$Z$4699)</f>
        <v>0</v>
      </c>
      <c r="Q35" s="421">
        <f>SUM(SUMIF('Diags Raw Data'!$A$6:$A$4699,"*"&amp;$A35&amp;"*",'Diags Raw Data'!$AA$6:$AA$4699),SUMIF('Diags Raw Data'!$A$6:$A$4699,"*"&amp;$A35&amp;"*",'Diags Raw Data'!$AB$6:$AB$4699))</f>
        <v>0</v>
      </c>
      <c r="R35" s="422">
        <f t="shared" si="12"/>
        <v>0</v>
      </c>
      <c r="S35" s="422">
        <f t="shared" si="13"/>
        <v>0</v>
      </c>
      <c r="T35" s="423">
        <f t="shared" si="14"/>
        <v>0</v>
      </c>
      <c r="U35" s="469" t="s">
        <v>2802</v>
      </c>
      <c r="V35" s="170"/>
    </row>
    <row r="36" spans="1:22" x14ac:dyDescent="0.25">
      <c r="A36" s="446" t="s">
        <v>2246</v>
      </c>
      <c r="B36" s="332" t="str">
        <f>VLOOKUP(A36,'Feature Raw Data'!$A$3:$B$4067,2,FALSE)</f>
        <v>MMHUB:MMUTCL2:VML2 - GPA Mode</v>
      </c>
      <c r="C36" s="273" t="str">
        <f>VLOOKUP(A36,'Feature Raw Data'!$A$3:$C$4067,3,FALSE)</f>
        <v>P2</v>
      </c>
      <c r="D36" s="82" t="str" cm="1">
        <f t="array" ref="D36">_xlfn.TEXTJOIN("",TRUE,IF(ISNUMBER(SEARCH($A36,'Diags Raw Data'!$A$6:$A$4699)),CONCATENATE('Diags Raw Data'!$H$6:$H$4699,", "),""))</f>
        <v xml:space="preserve">vcnxxxx, </v>
      </c>
      <c r="E36" s="169" t="str">
        <f>VLOOKUP(A36,'Diags Raw Data'!$A$6:$D$4699,4,FALSE)</f>
        <v>MMHUB</v>
      </c>
      <c r="F36" s="169" t="str">
        <f>VLOOKUP(A36,'Feature Raw Data'!$A$3:$E$4067,5,FALSE)</f>
        <v>Legacy</v>
      </c>
      <c r="G36" s="169" t="s">
        <v>31</v>
      </c>
      <c r="H36" s="169" t="str">
        <f t="shared" si="6"/>
        <v>Yes</v>
      </c>
      <c r="I36" s="273">
        <f>SUMIF('Diags Raw Data'!$A$6:$A$4699,"*"&amp;$A36&amp;"*",'Diags Raw Data'!$K$6:$K$4699)</f>
        <v>0</v>
      </c>
      <c r="J36" s="179">
        <f>SUMIF('Diags Raw Data'!$A$6:$A$4699,"*"&amp;$A36&amp;"*",'Diags Raw Data'!$L$6:$L$4699)</f>
        <v>0</v>
      </c>
      <c r="K36" s="416" t="e" cm="1">
        <f t="array" ref="K36">IF(D36="",0, SUMPRODUCT(--(ISNUMBER(SEARCH($A36,'Diags Raw Data'!$A$6:$A$4699))),'Diags Raw Data'!$L$6:$L$4699,'Diags Raw Data'!$N$6:$N$4699)/J36)</f>
        <v>#DIV/0!</v>
      </c>
      <c r="L36" s="417" t="e" cm="1">
        <f t="array" ref="L36">IF(D36="",0, SUMPRODUCT(--(ISNUMBER(SEARCH($A36,'Diags Raw Data'!$A$6:$A$4699))),'Diags Raw Data'!$L$6:$L$4699,'Diags Raw Data'!$P$6:$P$4699)/J36)</f>
        <v>#DIV/0!</v>
      </c>
      <c r="M36" s="418" cm="1">
        <f t="array" ref="M36">SUMPRODUCT(--(ISNUMBER(SEARCH($A36,'Diags Raw Data'!$A$6:$A$4699))),--('Diags Raw Data'!$Q$6:$Q$4699&lt;&gt;"N/A"),'Diags Raw Data'!$R$6:$R$4699)</f>
        <v>0</v>
      </c>
      <c r="N36" s="419" cm="1">
        <f t="array" ref="N36">SUMPRODUCT(--(ISNUMBER(SEARCH($A36,'Diags Raw Data'!$A$6:$A$4699))),--('Diags Raw Data'!$Q$6:$Q$4699&lt;&gt;"N/A"),'Diags Raw Data'!$T$6:$T$4699)+SUMPRODUCT(--(ISNUMBER(SEARCH($A36,'Diags Raw Data'!$A$6:$A$4699))),--('Diags Raw Data'!$Q$6:$Q$4699&lt;&gt;"N/A"),'Diags Raw Data'!$U$6:$U$4699)</f>
        <v>0</v>
      </c>
      <c r="O36" s="462">
        <f t="shared" si="11"/>
        <v>0</v>
      </c>
      <c r="P36" s="420">
        <f>SUMIF('Diags Raw Data'!$A$6:$A$4699,"*"&amp;$A36&amp;"*",'Diags Raw Data'!$Z$6:$Z$4699)</f>
        <v>0</v>
      </c>
      <c r="Q36" s="421">
        <f>SUM(SUMIF('Diags Raw Data'!$A$6:$A$4699,"*"&amp;$A36&amp;"*",'Diags Raw Data'!$AA$6:$AA$4699),SUMIF('Diags Raw Data'!$A$6:$A$4699,"*"&amp;$A36&amp;"*",'Diags Raw Data'!$AB$6:$AB$4699))</f>
        <v>0</v>
      </c>
      <c r="R36" s="422">
        <f t="shared" si="12"/>
        <v>0</v>
      </c>
      <c r="S36" s="422">
        <f t="shared" si="13"/>
        <v>0</v>
      </c>
      <c r="T36" s="423">
        <f t="shared" si="14"/>
        <v>0</v>
      </c>
      <c r="U36" s="469" t="s">
        <v>44</v>
      </c>
      <c r="V36" s="170"/>
    </row>
    <row r="37" spans="1:22" ht="46.15" customHeight="1" x14ac:dyDescent="0.25">
      <c r="A37" s="446" t="s">
        <v>666</v>
      </c>
      <c r="B37" s="332" t="str">
        <f>VLOOKUP(A37,'Feature Raw Data'!$A$3:$B$4067,2,FALSE)</f>
        <v>MMHUB:MMUTCL2:VML2 - Page Size Optimization</v>
      </c>
      <c r="C37" s="273" t="str">
        <f>VLOOKUP(A37,'Feature Raw Data'!$A$3:$C$4067,3,FALSE)</f>
        <v>P2</v>
      </c>
      <c r="D37" s="82" t="str" cm="1">
        <f t="array" ref="D37">_xlfn.TEXTJOIN("",TRUE,IF(ISNUMBER(SEARCH($A37,'Diags Raw Data'!$A$6:$A$4699)),CONCATENATE('Diags Raw Data'!$H$6:$H$4699,", "),""))</f>
        <v xml:space="preserve">mhub048.1, mhub048.2, mhub048.3, mhub048.4, mhub048.5, mhub048.6, mhub048.7, </v>
      </c>
      <c r="E37" s="169" t="str">
        <f>VLOOKUP(A37,'Diags Raw Data'!$A$6:$D$4699,4,FALSE)</f>
        <v>MMHUB</v>
      </c>
      <c r="F37" s="169" t="str">
        <f>VLOOKUP(A37,'Feature Raw Data'!$A$3:$E$4067,5,FALSE)</f>
        <v>Legacy</v>
      </c>
      <c r="G37" s="169" t="str">
        <f t="shared" si="0"/>
        <v>Yes</v>
      </c>
      <c r="H37" s="169" t="str">
        <f t="shared" si="6"/>
        <v>Yes</v>
      </c>
      <c r="I37" s="273">
        <f>SUMIF('Diags Raw Data'!$A$6:$A$4699,"*"&amp;$A37&amp;"*",'Diags Raw Data'!$K$6:$K$4699)</f>
        <v>7</v>
      </c>
      <c r="J37" s="179">
        <f>SUMIF('Diags Raw Data'!$A$6:$A$4699,"*"&amp;$A37&amp;"*",'Diags Raw Data'!$L$6:$L$4699)</f>
        <v>7</v>
      </c>
      <c r="K37" s="416" cm="1">
        <f t="array" ref="K37">IF(D37="",0, SUMPRODUCT(--(ISNUMBER(SEARCH($A37,'Diags Raw Data'!$A$6:$A$4699))),'Diags Raw Data'!$L$6:$L$4699,'Diags Raw Data'!$N$6:$N$4699)/J37)</f>
        <v>1</v>
      </c>
      <c r="L37" s="417" cm="1">
        <f t="array" ref="L37">IF(D37="",0, SUMPRODUCT(--(ISNUMBER(SEARCH($A37,'Diags Raw Data'!$A$6:$A$4699))),'Diags Raw Data'!$L$6:$L$4699,'Diags Raw Data'!$P$6:$P$4699)/J37)</f>
        <v>1</v>
      </c>
      <c r="M37" s="418" cm="1">
        <f t="array" ref="M37">SUMPRODUCT(--(ISNUMBER(SEARCH($A37,'Diags Raw Data'!$A$6:$A$4699))),--('Diags Raw Data'!$Q$6:$Q$4699&lt;&gt;"N/A"),'Diags Raw Data'!$R$6:$R$4699)</f>
        <v>7</v>
      </c>
      <c r="N37" s="419" cm="1">
        <f t="array" ref="N37">SUMPRODUCT(--(ISNUMBER(SEARCH($A37,'Diags Raw Data'!$A$6:$A$4699))),--('Diags Raw Data'!$Q$6:$Q$4699&lt;&gt;"N/A"),'Diags Raw Data'!$T$6:$T$4699)+SUMPRODUCT(--(ISNUMBER(SEARCH($A37,'Diags Raw Data'!$A$6:$A$4699))),--('Diags Raw Data'!$Q$6:$Q$4699&lt;&gt;"N/A"),'Diags Raw Data'!$U$6:$U$4699)</f>
        <v>7</v>
      </c>
      <c r="O37" s="462">
        <f t="shared" si="11"/>
        <v>1</v>
      </c>
      <c r="P37" s="420">
        <f>SUMIF('Diags Raw Data'!$A$6:$A$4699,"*"&amp;$A37&amp;"*",'Diags Raw Data'!$Z$6:$Z$4699)</f>
        <v>0</v>
      </c>
      <c r="Q37" s="421">
        <f>SUM(SUMIF('Diags Raw Data'!$A$6:$A$4699,"*"&amp;$A37&amp;"*",'Diags Raw Data'!$AA$6:$AA$4699),SUMIF('Diags Raw Data'!$A$6:$A$4699,"*"&amp;$A37&amp;"*",'Diags Raw Data'!$AB$6:$AB$4699))</f>
        <v>0</v>
      </c>
      <c r="R37" s="422">
        <f t="shared" si="12"/>
        <v>0</v>
      </c>
      <c r="S37" s="422">
        <f t="shared" si="13"/>
        <v>0</v>
      </c>
      <c r="T37" s="423">
        <f t="shared" si="14"/>
        <v>0</v>
      </c>
      <c r="U37" s="469" t="s">
        <v>2798</v>
      </c>
      <c r="V37" s="170"/>
    </row>
    <row r="38" spans="1:22" ht="120.6" customHeight="1" x14ac:dyDescent="0.25">
      <c r="A38" s="446" t="s">
        <v>495</v>
      </c>
      <c r="B38" s="332" t="str">
        <f>VLOOKUP(A38,'Feature Raw Data'!$A$3:$B$4067,2,FALSE)</f>
        <v>MMHUB:MMUTCL2:VML2 - MMHUB Programmable SmallK</v>
      </c>
      <c r="C38" s="273" t="str">
        <f>VLOOKUP(A38,'Feature Raw Data'!$A$3:$C$4067,3,FALSE)</f>
        <v>P2</v>
      </c>
      <c r="D38" s="82" t="str" cm="1">
        <f t="array" ref="D38">_xlfn.TEXTJOIN("",TRUE,IF(ISNUMBER(SEARCH($A38,'Diags Raw Data'!$A$6:$A$4699)),CONCATENATE('Diags Raw Data'!$H$6:$H$4699,", "),""))</f>
        <v xml:space="preserve">mhub032.1-2, mhub032.3, mhub032.4, mhub032.5, mhub032.6, mhub032.7, mhub032.8, mhub032.9, mhub032.10, mhub032.11, mhub032.12, mhub034.1, mhub034.2, mhub034.3, mhub034.4, mhub059.1-32, </v>
      </c>
      <c r="E38" s="169" t="str">
        <f>VLOOKUP(A38,'Diags Raw Data'!$A$6:$D$4699,4,FALSE)</f>
        <v>MMHUB</v>
      </c>
      <c r="F38" s="169" t="str">
        <f>VLOOKUP(A38,'Feature Raw Data'!$A$3:$E$4067,5,FALSE)</f>
        <v>Legacy</v>
      </c>
      <c r="G38" s="169" t="str">
        <f t="shared" si="0"/>
        <v>Yes</v>
      </c>
      <c r="H38" s="169" t="str">
        <f t="shared" si="6"/>
        <v>Yes</v>
      </c>
      <c r="I38" s="273">
        <f>SUMIF('Diags Raw Data'!$A$6:$A$4699,"*"&amp;$A38&amp;"*",'Diags Raw Data'!$K$6:$K$4699)</f>
        <v>17</v>
      </c>
      <c r="J38" s="179">
        <f>SUMIF('Diags Raw Data'!$A$6:$A$4699,"*"&amp;$A38&amp;"*",'Diags Raw Data'!$L$6:$L$4699)</f>
        <v>48</v>
      </c>
      <c r="K38" s="416" cm="1">
        <f t="array" ref="K38">IF(D38="",0, SUMPRODUCT(--(ISNUMBER(SEARCH($A38,'Diags Raw Data'!$A$6:$A$4699))),'Diags Raw Data'!$L$6:$L$4699,'Diags Raw Data'!$N$6:$N$4699)/J38)</f>
        <v>1</v>
      </c>
      <c r="L38" s="417" cm="1">
        <f t="array" ref="L38">IF(D38="",0, SUMPRODUCT(--(ISNUMBER(SEARCH($A38,'Diags Raw Data'!$A$6:$A$4699))),'Diags Raw Data'!$L$6:$L$4699,'Diags Raw Data'!$P$6:$P$4699)/J38)</f>
        <v>0.33333333333333331</v>
      </c>
      <c r="M38" s="418" cm="1">
        <f t="array" ref="M38">SUMPRODUCT(--(ISNUMBER(SEARCH($A38,'Diags Raw Data'!$A$6:$A$4699))),--('Diags Raw Data'!$Q$6:$Q$4699&lt;&gt;"N/A"),'Diags Raw Data'!$R$6:$R$4699)</f>
        <v>48</v>
      </c>
      <c r="N38" s="419" cm="1">
        <f t="array" ref="N38">SUMPRODUCT(--(ISNUMBER(SEARCH($A38,'Diags Raw Data'!$A$6:$A$4699))),--('Diags Raw Data'!$Q$6:$Q$4699&lt;&gt;"N/A"),'Diags Raw Data'!$T$6:$T$4699)+SUMPRODUCT(--(ISNUMBER(SEARCH($A38,'Diags Raw Data'!$A$6:$A$4699))),--('Diags Raw Data'!$Q$6:$Q$4699&lt;&gt;"N/A"),'Diags Raw Data'!$U$6:$U$4699)</f>
        <v>48</v>
      </c>
      <c r="O38" s="462">
        <f t="shared" si="11"/>
        <v>1</v>
      </c>
      <c r="P38" s="420">
        <f>SUMIF('Diags Raw Data'!$A$6:$A$4699,"*"&amp;$A38&amp;"*",'Diags Raw Data'!$Z$6:$Z$4699)</f>
        <v>0</v>
      </c>
      <c r="Q38" s="421">
        <f>SUM(SUMIF('Diags Raw Data'!$A$6:$A$4699,"*"&amp;$A38&amp;"*",'Diags Raw Data'!$AA$6:$AA$4699),SUMIF('Diags Raw Data'!$A$6:$A$4699,"*"&amp;$A38&amp;"*",'Diags Raw Data'!$AB$6:$AB$4699))</f>
        <v>0</v>
      </c>
      <c r="R38" s="422">
        <f t="shared" si="12"/>
        <v>0</v>
      </c>
      <c r="S38" s="422">
        <f t="shared" si="13"/>
        <v>0</v>
      </c>
      <c r="T38" s="423">
        <f t="shared" si="14"/>
        <v>0</v>
      </c>
      <c r="U38" s="469" t="s">
        <v>2805</v>
      </c>
      <c r="V38" s="170"/>
    </row>
    <row r="39" spans="1:22" ht="30" x14ac:dyDescent="0.25">
      <c r="A39" s="446" t="s">
        <v>2131</v>
      </c>
      <c r="B39" s="332" t="str">
        <f>VLOOKUP(A39,'Feature Raw Data'!$A$3:$B$4067,2,FALSE)</f>
        <v>MMHUB:MMUTCL2:VML2 - CAM/filter to avoid duplicate table-walk reads</v>
      </c>
      <c r="C39" s="273" t="str">
        <f>VLOOKUP(A39,'Feature Raw Data'!$A$3:$C$4067,3,FALSE)</f>
        <v>P2</v>
      </c>
      <c r="D39" s="82" t="str" cm="1">
        <f t="array" ref="D39">_xlfn.TEXTJOIN("",TRUE,IF(ISNUMBER(SEARCH($A39,'Diags Raw Data'!$A$6:$A$4699)),CONCATENATE('Diags Raw Data'!$H$6:$H$4699,", "),""))</f>
        <v xml:space="preserve">mhub598.17, mhub598.18, </v>
      </c>
      <c r="E39" s="169" t="str">
        <f>VLOOKUP(A39,'Diags Raw Data'!$A$6:$D$4699,4,FALSE)</f>
        <v>MMHUB</v>
      </c>
      <c r="F39" s="169" t="str">
        <f>VLOOKUP(A39,'Feature Raw Data'!$A$3:$E$4067,5,FALSE)</f>
        <v>Legacy</v>
      </c>
      <c r="G39" s="169" t="str">
        <f t="shared" si="0"/>
        <v>Yes</v>
      </c>
      <c r="H39" s="169" t="str">
        <f t="shared" si="6"/>
        <v>Yes</v>
      </c>
      <c r="I39" s="273">
        <f>SUMIF('Diags Raw Data'!$A$6:$A$4699,"*"&amp;$A39&amp;"*",'Diags Raw Data'!$K$6:$K$4699)</f>
        <v>2</v>
      </c>
      <c r="J39" s="179">
        <f>SUMIF('Diags Raw Data'!$A$6:$A$4699,"*"&amp;$A39&amp;"*",'Diags Raw Data'!$L$6:$L$4699)</f>
        <v>2</v>
      </c>
      <c r="K39" s="416" cm="1">
        <f t="array" ref="K39">IF(D39="",0, SUMPRODUCT(--(ISNUMBER(SEARCH($A39,'Diags Raw Data'!$A$6:$A$4699))),'Diags Raw Data'!$L$6:$L$4699,'Diags Raw Data'!$N$6:$N$4699)/J39)</f>
        <v>1</v>
      </c>
      <c r="L39" s="417" cm="1">
        <f t="array" ref="L39">IF(D39="",0, SUMPRODUCT(--(ISNUMBER(SEARCH($A39,'Diags Raw Data'!$A$6:$A$4699))),'Diags Raw Data'!$L$6:$L$4699,'Diags Raw Data'!$P$6:$P$4699)/J39)</f>
        <v>1</v>
      </c>
      <c r="M39" s="418" cm="1">
        <f t="array" ref="M39">SUMPRODUCT(--(ISNUMBER(SEARCH($A39,'Diags Raw Data'!$A$6:$A$4699))),--('Diags Raw Data'!$Q$6:$Q$4699&lt;&gt;"N/A"),'Diags Raw Data'!$R$6:$R$4699)</f>
        <v>2</v>
      </c>
      <c r="N39" s="419" cm="1">
        <f t="array" ref="N39">SUMPRODUCT(--(ISNUMBER(SEARCH($A39,'Diags Raw Data'!$A$6:$A$4699))),--('Diags Raw Data'!$Q$6:$Q$4699&lt;&gt;"N/A"),'Diags Raw Data'!$T$6:$T$4699)+SUMPRODUCT(--(ISNUMBER(SEARCH($A39,'Diags Raw Data'!$A$6:$A$4699))),--('Diags Raw Data'!$Q$6:$Q$4699&lt;&gt;"N/A"),'Diags Raw Data'!$U$6:$U$4699)</f>
        <v>2</v>
      </c>
      <c r="O39" s="462">
        <f t="shared" si="11"/>
        <v>1</v>
      </c>
      <c r="P39" s="420">
        <f>SUMIF('Diags Raw Data'!$A$6:$A$4699,"*"&amp;$A39&amp;"*",'Diags Raw Data'!$Z$6:$Z$4699)</f>
        <v>0</v>
      </c>
      <c r="Q39" s="421">
        <f>SUM(SUMIF('Diags Raw Data'!$A$6:$A$4699,"*"&amp;$A39&amp;"*",'Diags Raw Data'!$AA$6:$AA$4699),SUMIF('Diags Raw Data'!$A$6:$A$4699,"*"&amp;$A39&amp;"*",'Diags Raw Data'!$AB$6:$AB$4699))</f>
        <v>0</v>
      </c>
      <c r="R39" s="422">
        <f t="shared" si="12"/>
        <v>0</v>
      </c>
      <c r="S39" s="422">
        <f t="shared" si="13"/>
        <v>0</v>
      </c>
      <c r="T39" s="423">
        <f t="shared" si="14"/>
        <v>0</v>
      </c>
      <c r="U39" s="469" t="s">
        <v>2799</v>
      </c>
      <c r="V39" s="170"/>
    </row>
    <row r="40" spans="1:22" ht="37.9" customHeight="1" x14ac:dyDescent="0.25">
      <c r="A40" s="446" t="s">
        <v>2411</v>
      </c>
      <c r="B40" s="332" t="str">
        <f>VLOOKUP(A40,'Feature Raw Data'!$A$3:$B$4067,2,FALSE)</f>
        <v>MMHUB:MMUTCL2:VML2 - Range-based UTCL1 and VML1 invalidation</v>
      </c>
      <c r="C40" s="273" t="str">
        <f>VLOOKUP(A40,'Feature Raw Data'!$A$3:$C$4067,3,FALSE)</f>
        <v>P2</v>
      </c>
      <c r="D40" s="82" t="str" cm="1">
        <f t="array" ref="D40">_xlfn.TEXTJOIN("",TRUE,IF(ISNUMBER(SEARCH($A40,'Diags Raw Data'!$A$6:$A$4699)),CONCATENATE('Diags Raw Data'!$H$6:$H$4699,", "),""))</f>
        <v xml:space="preserve">mhub052.1, mhub053.1, mhub054.1, mhub055, </v>
      </c>
      <c r="E40" s="169" t="e">
        <f>VLOOKUP(A40,'Diags Raw Data'!$A$6:$D$4699,4,FALSE)</f>
        <v>#N/A</v>
      </c>
      <c r="F40" s="169" t="str">
        <f>VLOOKUP(A40,'Feature Raw Data'!$A$3:$E$4067,5,FALSE)</f>
        <v>Legacy</v>
      </c>
      <c r="G40" s="169" t="str">
        <f t="shared" si="0"/>
        <v>Yes</v>
      </c>
      <c r="H40" s="169" t="str">
        <f t="shared" si="6"/>
        <v>Yes</v>
      </c>
      <c r="I40" s="273">
        <f>SUMIF('Diags Raw Data'!$A$6:$A$4699,"*"&amp;$A40&amp;"*",'Diags Raw Data'!$K$6:$K$4699)</f>
        <v>9</v>
      </c>
      <c r="J40" s="179">
        <f>SUMIF('Diags Raw Data'!$A$6:$A$4699,"*"&amp;$A40&amp;"*",'Diags Raw Data'!$L$6:$L$4699)</f>
        <v>4</v>
      </c>
      <c r="K40" s="416" cm="1">
        <f t="array" ref="K40">IF(D40="",0, SUMPRODUCT(--(ISNUMBER(SEARCH($A40,'Diags Raw Data'!$A$6:$A$4699))),'Diags Raw Data'!$L$6:$L$4699,'Diags Raw Data'!$N$6:$N$4699)/J40)</f>
        <v>1</v>
      </c>
      <c r="L40" s="417" cm="1">
        <f t="array" ref="L40">IF(D40="",0, SUMPRODUCT(--(ISNUMBER(SEARCH($A40,'Diags Raw Data'!$A$6:$A$4699))),'Diags Raw Data'!$L$6:$L$4699,'Diags Raw Data'!$P$6:$P$4699)/J40)</f>
        <v>1</v>
      </c>
      <c r="M40" s="418" cm="1">
        <f t="array" ref="M40">SUMPRODUCT(--(ISNUMBER(SEARCH($A40,'Diags Raw Data'!$A$6:$A$4699))),--('Diags Raw Data'!$Q$6:$Q$4699&lt;&gt;"N/A"),'Diags Raw Data'!$R$6:$R$4699)</f>
        <v>4</v>
      </c>
      <c r="N40" s="419" cm="1">
        <f t="array" ref="N40">SUMPRODUCT(--(ISNUMBER(SEARCH($A40,'Diags Raw Data'!$A$6:$A$4699))),--('Diags Raw Data'!$Q$6:$Q$4699&lt;&gt;"N/A"),'Diags Raw Data'!$T$6:$T$4699)+SUMPRODUCT(--(ISNUMBER(SEARCH($A40,'Diags Raw Data'!$A$6:$A$4699))),--('Diags Raw Data'!$Q$6:$Q$4699&lt;&gt;"N/A"),'Diags Raw Data'!$U$6:$U$4699)</f>
        <v>4</v>
      </c>
      <c r="O40" s="462">
        <f t="shared" si="11"/>
        <v>1</v>
      </c>
      <c r="P40" s="420">
        <f>SUMIF('Diags Raw Data'!$A$6:$A$4699,"*"&amp;$A40&amp;"*",'Diags Raw Data'!$Z$6:$Z$4699)</f>
        <v>0</v>
      </c>
      <c r="Q40" s="421">
        <f>SUM(SUMIF('Diags Raw Data'!$A$6:$A$4699,"*"&amp;$A40&amp;"*",'Diags Raw Data'!$AA$6:$AA$4699),SUMIF('Diags Raw Data'!$A$6:$A$4699,"*"&amp;$A40&amp;"*",'Diags Raw Data'!$AB$6:$AB$4699))</f>
        <v>0</v>
      </c>
      <c r="R40" s="422">
        <f t="shared" si="12"/>
        <v>0</v>
      </c>
      <c r="S40" s="422">
        <f t="shared" si="13"/>
        <v>0</v>
      </c>
      <c r="T40" s="423">
        <f t="shared" si="14"/>
        <v>0</v>
      </c>
      <c r="U40" s="469" t="s">
        <v>2802</v>
      </c>
      <c r="V40" s="170"/>
    </row>
    <row r="41" spans="1:22" ht="15.6" customHeight="1" x14ac:dyDescent="0.25">
      <c r="A41" s="446" t="s">
        <v>2413</v>
      </c>
      <c r="B41" s="332" t="str">
        <f>VLOOKUP(A41,'Feature Raw Data'!$A$3:$B$4067,2,FALSE)</f>
        <v>MMHUB:MMUTCL2:VML2 - Per invalidate engine registers</v>
      </c>
      <c r="C41" s="273" t="str">
        <f>VLOOKUP(A41,'Feature Raw Data'!$A$3:$C$4067,3,FALSE)</f>
        <v>P2</v>
      </c>
      <c r="D41" s="82" t="str" cm="1">
        <f t="array" ref="D41">_xlfn.TEXTJOIN("",TRUE,IF(ISNUMBER(SEARCH($A41,'Diags Raw Data'!$A$6:$A$4699)),CONCATENATE('Diags Raw Data'!$H$6:$H$4699,", "),""))</f>
        <v xml:space="preserve">mhub057.1, mhub057.6, mhub50.1-4, </v>
      </c>
      <c r="E41" s="169" t="e">
        <f>VLOOKUP(A41,'Diags Raw Data'!$A$6:$D$4699,4,FALSE)</f>
        <v>#N/A</v>
      </c>
      <c r="F41" s="169" t="str">
        <f>VLOOKUP(A41,'Feature Raw Data'!$A$3:$E$4067,5,FALSE)</f>
        <v>Legacy</v>
      </c>
      <c r="G41" s="169" t="str">
        <f t="shared" si="0"/>
        <v>Yes</v>
      </c>
      <c r="H41" s="169" t="str">
        <f t="shared" si="6"/>
        <v>Yes</v>
      </c>
      <c r="I41" s="273">
        <f>SUMIF('Diags Raw Data'!$A$6:$A$4699,"*"&amp;$A41&amp;"*",'Diags Raw Data'!$K$6:$K$4699)</f>
        <v>6</v>
      </c>
      <c r="J41" s="179">
        <f>SUMIF('Diags Raw Data'!$A$6:$A$4699,"*"&amp;$A41&amp;"*",'Diags Raw Data'!$L$6:$L$4699)</f>
        <v>6</v>
      </c>
      <c r="K41" s="416" cm="1">
        <f t="array" ref="K41">IF(D41="",0, SUMPRODUCT(--(ISNUMBER(SEARCH($A41,'Diags Raw Data'!$A$6:$A$4699))),'Diags Raw Data'!$L$6:$L$4699,'Diags Raw Data'!$N$6:$N$4699)/J41)</f>
        <v>1</v>
      </c>
      <c r="L41" s="417" cm="1">
        <f t="array" ref="L41">IF(D41="",0, SUMPRODUCT(--(ISNUMBER(SEARCH($A41,'Diags Raw Data'!$A$6:$A$4699))),'Diags Raw Data'!$L$6:$L$4699,'Diags Raw Data'!$P$6:$P$4699)/J41)</f>
        <v>1</v>
      </c>
      <c r="M41" s="418" cm="1">
        <f t="array" ref="M41">SUMPRODUCT(--(ISNUMBER(SEARCH($A41,'Diags Raw Data'!$A$6:$A$4699))),--('Diags Raw Data'!$Q$6:$Q$4699&lt;&gt;"N/A"),'Diags Raw Data'!$R$6:$R$4699)</f>
        <v>2</v>
      </c>
      <c r="N41" s="419" cm="1">
        <f t="array" ref="N41">SUMPRODUCT(--(ISNUMBER(SEARCH($A41,'Diags Raw Data'!$A$6:$A$4699))),--('Diags Raw Data'!$Q$6:$Q$4699&lt;&gt;"N/A"),'Diags Raw Data'!$T$6:$T$4699)+SUMPRODUCT(--(ISNUMBER(SEARCH($A41,'Diags Raw Data'!$A$6:$A$4699))),--('Diags Raw Data'!$Q$6:$Q$4699&lt;&gt;"N/A"),'Diags Raw Data'!$U$6:$U$4699)</f>
        <v>2</v>
      </c>
      <c r="O41" s="462">
        <f t="shared" si="11"/>
        <v>1</v>
      </c>
      <c r="P41" s="420">
        <f>SUMIF('Diags Raw Data'!$A$6:$A$4699,"*"&amp;$A41&amp;"*",'Diags Raw Data'!$Z$6:$Z$4699)</f>
        <v>0</v>
      </c>
      <c r="Q41" s="421">
        <f>SUM(SUMIF('Diags Raw Data'!$A$6:$A$4699,"*"&amp;$A41&amp;"*",'Diags Raw Data'!$AA$6:$AA$4699),SUMIF('Diags Raw Data'!$A$6:$A$4699,"*"&amp;$A41&amp;"*",'Diags Raw Data'!$AB$6:$AB$4699))</f>
        <v>0</v>
      </c>
      <c r="R41" s="422">
        <f t="shared" si="12"/>
        <v>0</v>
      </c>
      <c r="S41" s="422">
        <f t="shared" si="13"/>
        <v>0</v>
      </c>
      <c r="T41" s="423">
        <f t="shared" si="14"/>
        <v>0</v>
      </c>
      <c r="U41" s="469" t="s">
        <v>2806</v>
      </c>
      <c r="V41" s="170"/>
    </row>
    <row r="42" spans="1:22" ht="135" x14ac:dyDescent="0.25">
      <c r="A42" s="446" t="s">
        <v>595</v>
      </c>
      <c r="B42" s="332" t="str">
        <f>VLOOKUP(A42,'Feature Raw Data'!$A$3:$B$4067,2,FALSE)</f>
        <v>MMHUB:MMUTCL2:VML2 - Per VMID Context registers</v>
      </c>
      <c r="C42" s="273" t="str">
        <f>VLOOKUP(A42,'Feature Raw Data'!$A$3:$C$4067,3,FALSE)</f>
        <v>P2</v>
      </c>
      <c r="D42" s="82" t="str" cm="1">
        <f t="array" ref="D42">_xlfn.TEXTJOIN("",TRUE,IF(ISNUMBER(SEARCH($A42,'Diags Raw Data'!$A$6:$A$4699)),CONCATENATE('Diags Raw Data'!$H$6:$H$4699,", "),""))</f>
        <v xml:space="preserve">mhub002.1-15, mhub002.16, mhub002.16, mhub037.1-4, mhub040.1-4, mhub057.1, mhub095, </v>
      </c>
      <c r="E42" s="169" t="str">
        <f>VLOOKUP(A42,'Diags Raw Data'!$A$6:$D$4699,4,FALSE)</f>
        <v>MMHUB</v>
      </c>
      <c r="F42" s="169" t="str">
        <f>VLOOKUP(A42,'Feature Raw Data'!$A$3:$E$4067,5,FALSE)</f>
        <v>Legacy</v>
      </c>
      <c r="G42" s="169" t="str">
        <f t="shared" si="0"/>
        <v>Yes</v>
      </c>
      <c r="H42" s="169" t="str">
        <f t="shared" si="6"/>
        <v>Yes</v>
      </c>
      <c r="I42" s="273">
        <f>SUMIF('Diags Raw Data'!$A$6:$A$4699,"*"&amp;$A42&amp;"*",'Diags Raw Data'!$K$6:$K$4699)</f>
        <v>28</v>
      </c>
      <c r="J42" s="179">
        <f>SUMIF('Diags Raw Data'!$A$6:$A$4699,"*"&amp;$A42&amp;"*",'Diags Raw Data'!$L$6:$L$4699)</f>
        <v>27</v>
      </c>
      <c r="K42" s="416" cm="1">
        <f t="array" ref="K42">IF(D42="",0, SUMPRODUCT(--(ISNUMBER(SEARCH($A42,'Diags Raw Data'!$A$6:$A$4699))),'Diags Raw Data'!$L$6:$L$4699,'Diags Raw Data'!$N$6:$N$4699)/J42)</f>
        <v>1</v>
      </c>
      <c r="L42" s="417" cm="1">
        <f t="array" ref="L42">IF(D42="",0, SUMPRODUCT(--(ISNUMBER(SEARCH($A42,'Diags Raw Data'!$A$6:$A$4699))),'Diags Raw Data'!$L$6:$L$4699,'Diags Raw Data'!$P$6:$P$4699)/J42)</f>
        <v>0.42592592592592593</v>
      </c>
      <c r="M42" s="418" cm="1">
        <f t="array" ref="M42">SUMPRODUCT(--(ISNUMBER(SEARCH($A42,'Diags Raw Data'!$A$6:$A$4699))),--('Diags Raw Data'!$Q$6:$Q$4699&lt;&gt;"N/A"),'Diags Raw Data'!$R$6:$R$4699)</f>
        <v>27</v>
      </c>
      <c r="N42" s="419" cm="1">
        <f t="array" ref="N42">SUMPRODUCT(--(ISNUMBER(SEARCH($A42,'Diags Raw Data'!$A$6:$A$4699))),--('Diags Raw Data'!$Q$6:$Q$4699&lt;&gt;"N/A"),'Diags Raw Data'!$T$6:$T$4699)+SUMPRODUCT(--(ISNUMBER(SEARCH($A42,'Diags Raw Data'!$A$6:$A$4699))),--('Diags Raw Data'!$Q$6:$Q$4699&lt;&gt;"N/A"),'Diags Raw Data'!$U$6:$U$4699)</f>
        <v>27</v>
      </c>
      <c r="O42" s="462">
        <f t="shared" si="11"/>
        <v>1</v>
      </c>
      <c r="P42" s="420">
        <f>SUMIF('Diags Raw Data'!$A$6:$A$4699,"*"&amp;$A42&amp;"*",'Diags Raw Data'!$Z$6:$Z$4699)</f>
        <v>0</v>
      </c>
      <c r="Q42" s="421">
        <f>SUM(SUMIF('Diags Raw Data'!$A$6:$A$4699,"*"&amp;$A42&amp;"*",'Diags Raw Data'!$AA$6:$AA$4699),SUMIF('Diags Raw Data'!$A$6:$A$4699,"*"&amp;$A42&amp;"*",'Diags Raw Data'!$AB$6:$AB$4699))</f>
        <v>0</v>
      </c>
      <c r="R42" s="422">
        <f t="shared" si="12"/>
        <v>0</v>
      </c>
      <c r="S42" s="422">
        <f t="shared" si="13"/>
        <v>0</v>
      </c>
      <c r="T42" s="423">
        <f t="shared" si="14"/>
        <v>0</v>
      </c>
      <c r="U42" s="469" t="s">
        <v>2806</v>
      </c>
      <c r="V42" s="170"/>
    </row>
    <row r="43" spans="1:22" ht="120" x14ac:dyDescent="0.25">
      <c r="A43" s="446" t="s">
        <v>1045</v>
      </c>
      <c r="B43" s="332" t="str">
        <f>VLOOKUP(A43,'Feature Raw Data'!$A$3:$B$4067,2,FALSE)</f>
        <v>MMHUB:MMUTCL2:VML2 - Register bits that enable software to control hit/miss behaviour on invalid ptes in cache</v>
      </c>
      <c r="C43" s="273" t="str">
        <f>VLOOKUP(A43,'Feature Raw Data'!$A$3:$C$4067,3,FALSE)</f>
        <v>P2</v>
      </c>
      <c r="D43" s="82" t="str" cm="1">
        <f t="array" ref="D43">_xlfn.TEXTJOIN("",TRUE,IF(ISNUMBER(SEARCH($A43,'Diags Raw Data'!$A$6:$A$4699)),CONCATENATE('Diags Raw Data'!$H$6:$H$4699,", "),""))</f>
        <v xml:space="preserve">mhub040.1-4, mhub040.11,13, mhub040.12,14, mhub145.1-2, </v>
      </c>
      <c r="E43" s="169" t="str">
        <f>VLOOKUP(A43,'Diags Raw Data'!$A$6:$D$4699,4,FALSE)</f>
        <v>MMHUB</v>
      </c>
      <c r="F43" s="169" t="str">
        <f>VLOOKUP(A43,'Feature Raw Data'!$A$3:$E$4067,5,FALSE)</f>
        <v>Legacy</v>
      </c>
      <c r="G43" s="169" t="s">
        <v>36</v>
      </c>
      <c r="H43" s="169" t="s">
        <v>36</v>
      </c>
      <c r="I43" s="273">
        <f>SUMIF('Diags Raw Data'!$A$6:$A$4699,"*"&amp;$A43&amp;"*",'Diags Raw Data'!$K$6:$K$4699)</f>
        <v>8</v>
      </c>
      <c r="J43" s="179">
        <f>SUMIF('Diags Raw Data'!$A$6:$A$4699,"*"&amp;$A43&amp;"*",'Diags Raw Data'!$L$6:$L$4699)</f>
        <v>10</v>
      </c>
      <c r="K43" s="416" cm="1">
        <f t="array" ref="K43">IF(D43="",0, SUMPRODUCT(--(ISNUMBER(SEARCH($A43,'Diags Raw Data'!$A$6:$A$4699))),'Diags Raw Data'!$L$6:$L$4699,'Diags Raw Data'!$N$6:$N$4699)/J43)</f>
        <v>1</v>
      </c>
      <c r="L43" s="417" cm="1">
        <f t="array" ref="L43">IF(D43="",0, SUMPRODUCT(--(ISNUMBER(SEARCH($A43,'Diags Raw Data'!$A$6:$A$4699))),'Diags Raw Data'!$L$6:$L$4699,'Diags Raw Data'!$P$6:$P$4699)/J43)</f>
        <v>1</v>
      </c>
      <c r="M43" s="418" cm="1">
        <f t="array" ref="M43">SUMPRODUCT(--(ISNUMBER(SEARCH($A43,'Diags Raw Data'!$A$6:$A$4699))),--('Diags Raw Data'!$Q$6:$Q$4699&lt;&gt;"N/A"),'Diags Raw Data'!$R$6:$R$4699)</f>
        <v>10</v>
      </c>
      <c r="N43" s="419" cm="1">
        <f t="array" ref="N43">SUMPRODUCT(--(ISNUMBER(SEARCH($A43,'Diags Raw Data'!$A$6:$A$4699))),--('Diags Raw Data'!$Q$6:$Q$4699&lt;&gt;"N/A"),'Diags Raw Data'!$T$6:$T$4699)+SUMPRODUCT(--(ISNUMBER(SEARCH($A43,'Diags Raw Data'!$A$6:$A$4699))),--('Diags Raw Data'!$Q$6:$Q$4699&lt;&gt;"N/A"),'Diags Raw Data'!$U$6:$U$4699)</f>
        <v>10</v>
      </c>
      <c r="O43" s="462">
        <f t="shared" si="11"/>
        <v>1</v>
      </c>
      <c r="P43" s="420">
        <f>SUMIF('Diags Raw Data'!$A$6:$A$4699,"*"&amp;$A43&amp;"*",'Diags Raw Data'!$Z$6:$Z$4699)</f>
        <v>0</v>
      </c>
      <c r="Q43" s="421">
        <f>SUM(SUMIF('Diags Raw Data'!$A$6:$A$4699,"*"&amp;$A43&amp;"*",'Diags Raw Data'!$AA$6:$AA$4699),SUMIF('Diags Raw Data'!$A$6:$A$4699,"*"&amp;$A43&amp;"*",'Diags Raw Data'!$AB$6:$AB$4699))</f>
        <v>0</v>
      </c>
      <c r="R43" s="422">
        <f t="shared" si="12"/>
        <v>0</v>
      </c>
      <c r="S43" s="422">
        <f t="shared" si="13"/>
        <v>0</v>
      </c>
      <c r="T43" s="423">
        <f t="shared" si="14"/>
        <v>0</v>
      </c>
      <c r="U43" s="469" t="s">
        <v>2806</v>
      </c>
      <c r="V43" s="170" t="s">
        <v>43</v>
      </c>
    </row>
    <row r="44" spans="1:22" ht="33" customHeight="1" x14ac:dyDescent="0.25">
      <c r="A44" s="446" t="s">
        <v>1051</v>
      </c>
      <c r="B44" s="332" t="str">
        <f>VLOOKUP(A44,'Feature Raw Data'!$A$3:$B$4067,2,FALSE)</f>
        <v>MMHUB:MMUTCL2:VML2 - Register bits that enable software to control hit/miss behaviour on permission mismatch in cache</v>
      </c>
      <c r="C44" s="273" t="str">
        <f>VLOOKUP(A44,'Feature Raw Data'!$A$3:$C$4067,3,FALSE)</f>
        <v>P2</v>
      </c>
      <c r="D44" s="82" t="str" cm="1">
        <f t="array" ref="D44">_xlfn.TEXTJOIN("",TRUE,IF(ISNUMBER(SEARCH($A44,'Diags Raw Data'!$A$6:$A$4699)),CONCATENATE('Diags Raw Data'!$H$6:$H$4699,", "),""))</f>
        <v xml:space="preserve">mhub146.1-2, </v>
      </c>
      <c r="E44" s="169" t="str">
        <f>VLOOKUP(A44,'Diags Raw Data'!$A$6:$D$4699,4,FALSE)</f>
        <v>MMHUB</v>
      </c>
      <c r="F44" s="169" t="str">
        <f>VLOOKUP(A44,'Feature Raw Data'!$A$3:$E$4067,5,FALSE)</f>
        <v>Legacy</v>
      </c>
      <c r="G44" s="169" t="str">
        <f t="shared" si="0"/>
        <v>Yes</v>
      </c>
      <c r="H44" s="169" t="str">
        <f t="shared" si="6"/>
        <v>Yes</v>
      </c>
      <c r="I44" s="273">
        <f>SUMIF('Diags Raw Data'!$A$6:$A$4699,"*"&amp;$A44&amp;"*",'Diags Raw Data'!$K$6:$K$4699)</f>
        <v>1</v>
      </c>
      <c r="J44" s="179">
        <f>SUMIF('Diags Raw Data'!$A$6:$A$4699,"*"&amp;$A44&amp;"*",'Diags Raw Data'!$L$6:$L$4699)</f>
        <v>2</v>
      </c>
      <c r="K44" s="416" cm="1">
        <f t="array" ref="K44">IF(D44="",0, SUMPRODUCT(--(ISNUMBER(SEARCH($A44,'Diags Raw Data'!$A$6:$A$4699))),'Diags Raw Data'!$L$6:$L$4699,'Diags Raw Data'!$N$6:$N$4699)/J44)</f>
        <v>1</v>
      </c>
      <c r="L44" s="417" cm="1">
        <f t="array" ref="L44">IF(D44="",0, SUMPRODUCT(--(ISNUMBER(SEARCH($A44,'Diags Raw Data'!$A$6:$A$4699))),'Diags Raw Data'!$L$6:$L$4699,'Diags Raw Data'!$P$6:$P$4699)/J44)</f>
        <v>1</v>
      </c>
      <c r="M44" s="418" cm="1">
        <f t="array" ref="M44">SUMPRODUCT(--(ISNUMBER(SEARCH($A44,'Diags Raw Data'!$A$6:$A$4699))),--('Diags Raw Data'!$Q$6:$Q$4699&lt;&gt;"N/A"),'Diags Raw Data'!$R$6:$R$4699)</f>
        <v>2</v>
      </c>
      <c r="N44" s="419" cm="1">
        <f t="array" ref="N44">SUMPRODUCT(--(ISNUMBER(SEARCH($A44,'Diags Raw Data'!$A$6:$A$4699))),--('Diags Raw Data'!$Q$6:$Q$4699&lt;&gt;"N/A"),'Diags Raw Data'!$T$6:$T$4699)+SUMPRODUCT(--(ISNUMBER(SEARCH($A44,'Diags Raw Data'!$A$6:$A$4699))),--('Diags Raw Data'!$Q$6:$Q$4699&lt;&gt;"N/A"),'Diags Raw Data'!$U$6:$U$4699)</f>
        <v>2</v>
      </c>
      <c r="O44" s="462">
        <f t="shared" si="11"/>
        <v>1</v>
      </c>
      <c r="P44" s="420">
        <f>SUMIF('Diags Raw Data'!$A$6:$A$4699,"*"&amp;$A44&amp;"*",'Diags Raw Data'!$Z$6:$Z$4699)</f>
        <v>0</v>
      </c>
      <c r="Q44" s="421">
        <f>SUM(SUMIF('Diags Raw Data'!$A$6:$A$4699,"*"&amp;$A44&amp;"*",'Diags Raw Data'!$AA$6:$AA$4699),SUMIF('Diags Raw Data'!$A$6:$A$4699,"*"&amp;$A44&amp;"*",'Diags Raw Data'!$AB$6:$AB$4699))</f>
        <v>0</v>
      </c>
      <c r="R44" s="422">
        <f t="shared" si="12"/>
        <v>0</v>
      </c>
      <c r="S44" s="422">
        <f t="shared" si="13"/>
        <v>0</v>
      </c>
      <c r="T44" s="423">
        <f t="shared" si="14"/>
        <v>0</v>
      </c>
      <c r="U44" s="469" t="s">
        <v>2800</v>
      </c>
      <c r="V44" s="170"/>
    </row>
    <row r="45" spans="1:22" ht="45" customHeight="1" x14ac:dyDescent="0.25">
      <c r="A45" s="446" t="s">
        <v>2417</v>
      </c>
      <c r="B45" s="332" t="str">
        <f>VLOOKUP(A45,'Feature Raw Data'!$A$3:$B$4067,2,FALSE)</f>
        <v>MMHUB:MMUTCL2:VML2 - Register bits that enable software to control hit/miss behaviour on page migration(R=W=0) in cache</v>
      </c>
      <c r="C45" s="273" t="str">
        <f>VLOOKUP(A45,'Feature Raw Data'!$A$3:$C$4067,3,FALSE)</f>
        <v>P2</v>
      </c>
      <c r="D45" s="82" t="str" cm="1">
        <f t="array" ref="D45">_xlfn.TEXTJOIN("",TRUE,IF(ISNUMBER(SEARCH($A45,'Diags Raw Data'!$A$6:$A$4699)),CONCATENATE('Diags Raw Data'!$H$6:$H$4699,", "),""))</f>
        <v/>
      </c>
      <c r="E45" s="169" t="e">
        <f>VLOOKUP(A45,'Diags Raw Data'!$A$6:$D$4699,4,FALSE)</f>
        <v>#N/A</v>
      </c>
      <c r="F45" s="169" t="str">
        <f>VLOOKUP(A45,'Feature Raw Data'!$A$3:$E$4067,5,FALSE)</f>
        <v>Legacy</v>
      </c>
      <c r="G45" s="169" t="s">
        <v>36</v>
      </c>
      <c r="H45" s="169" t="str">
        <f>IF(D45="","No","Yes")</f>
        <v>No</v>
      </c>
      <c r="I45" s="273">
        <f>SUMIF('Diags Raw Data'!$A$6:$A$4699,"*"&amp;$A45&amp;"*",'Diags Raw Data'!$K$6:$K$4699)</f>
        <v>0</v>
      </c>
      <c r="J45" s="179">
        <f>SUMIF('Diags Raw Data'!$A$6:$A$4699,"*"&amp;$A45&amp;"*",'Diags Raw Data'!$L$6:$L$4699)</f>
        <v>0</v>
      </c>
      <c r="K45" s="416" cm="1">
        <f t="array" ref="K45">IF(D45="",0, SUMPRODUCT(--(ISNUMBER(SEARCH($A45,'Diags Raw Data'!$A$6:$A$4699))),'Diags Raw Data'!$L$6:$L$4699,'Diags Raw Data'!$N$6:$N$4699)/J45)</f>
        <v>0</v>
      </c>
      <c r="L45" s="417" cm="1">
        <f t="array" ref="L45">IF(D45="",0, SUMPRODUCT(--(ISNUMBER(SEARCH($A45,'Diags Raw Data'!$A$6:$A$4699))),'Diags Raw Data'!$L$6:$L$4699,'Diags Raw Data'!$P$6:$P$4699)/J45)</f>
        <v>0</v>
      </c>
      <c r="M45" s="418" cm="1">
        <f t="array" ref="M45">SUMPRODUCT(--(ISNUMBER(SEARCH($A45,'Diags Raw Data'!$A$6:$A$4699))),--('Diags Raw Data'!$Q$6:$Q$4699&lt;&gt;"N/A"),'Diags Raw Data'!$R$6:$R$4699)</f>
        <v>0</v>
      </c>
      <c r="N45" s="419" cm="1">
        <f t="array" ref="N45">SUMPRODUCT(--(ISNUMBER(SEARCH($A45,'Diags Raw Data'!$A$6:$A$4699))),--('Diags Raw Data'!$Q$6:$Q$4699&lt;&gt;"N/A"),'Diags Raw Data'!$T$6:$T$4699)+SUMPRODUCT(--(ISNUMBER(SEARCH($A45,'Diags Raw Data'!$A$6:$A$4699))),--('Diags Raw Data'!$Q$6:$Q$4699&lt;&gt;"N/A"),'Diags Raw Data'!$U$6:$U$4699)</f>
        <v>0</v>
      </c>
      <c r="O45" s="462">
        <f t="shared" ref="O45" si="15">IF((M45=0),0,N45/M45)</f>
        <v>0</v>
      </c>
      <c r="P45" s="420">
        <f>SUMIF('Diags Raw Data'!$A$6:$A$4699,"*"&amp;$A45&amp;"*",'Diags Raw Data'!$Z$6:$Z$4699)</f>
        <v>0</v>
      </c>
      <c r="Q45" s="421">
        <f>SUM(SUMIF('Diags Raw Data'!$A$6:$A$4699,"*"&amp;$A45&amp;"*",'Diags Raw Data'!$AA$6:$AA$4699),SUMIF('Diags Raw Data'!$A$6:$A$4699,"*"&amp;$A45&amp;"*",'Diags Raw Data'!$AB$6:$AB$4699))</f>
        <v>0</v>
      </c>
      <c r="R45" s="422">
        <f t="shared" ref="R45" si="16">IF((J45=0),0,P45/J45)</f>
        <v>0</v>
      </c>
      <c r="S45" s="422">
        <f t="shared" ref="S45" si="17">IF((P45=0),0,Q45/P45)</f>
        <v>0</v>
      </c>
      <c r="T45" s="423">
        <f t="shared" ref="T45" si="18">R45*S45</f>
        <v>0</v>
      </c>
      <c r="U45" s="469" t="s">
        <v>44</v>
      </c>
      <c r="V45" s="170" t="s">
        <v>2419</v>
      </c>
    </row>
    <row r="46" spans="1:22" ht="45.6" customHeight="1" x14ac:dyDescent="0.25">
      <c r="A46" s="446" t="s">
        <v>727</v>
      </c>
      <c r="B46" s="332" t="str">
        <f>VLOOKUP(A46,'Feature Raw Data'!$A$3:$B$4067,2,FALSE)</f>
        <v>MMHUB:MMUTCL2:VML2 - Invalidate by Address Range and VMID aka "Sharpshooting"</v>
      </c>
      <c r="C46" s="273" t="str">
        <f>VLOOKUP(A46,'Feature Raw Data'!$A$3:$C$4067,3,FALSE)</f>
        <v>P2</v>
      </c>
      <c r="D46" s="82" t="str" cm="1">
        <f t="array" ref="D46">_xlfn.TEXTJOIN("",TRUE,IF(ISNUMBER(SEARCH($A46,'Diags Raw Data'!$A$6:$A$4699)),CONCATENATE('Diags Raw Data'!$H$6:$H$4699,", "),""))</f>
        <v xml:space="preserve">mhub052.1, mhub053.1, mhub054.1, mhub054.3, 5-8, mhub055, mhub057.1, mhub057.6, </v>
      </c>
      <c r="E46" s="169" t="str">
        <f>VLOOKUP(A46,'Diags Raw Data'!$A$6:$D$4699,4,FALSE)</f>
        <v>MMHUB</v>
      </c>
      <c r="F46" s="169" t="str">
        <f>VLOOKUP(A46,'Feature Raw Data'!$A$3:$E$4067,5,FALSE)</f>
        <v>Legacy</v>
      </c>
      <c r="G46" s="169" t="str">
        <f t="shared" si="0"/>
        <v>Yes</v>
      </c>
      <c r="H46" s="169" t="str">
        <f t="shared" si="6"/>
        <v>Yes</v>
      </c>
      <c r="I46" s="273">
        <f>SUMIF('Diags Raw Data'!$A$6:$A$4699,"*"&amp;$A46&amp;"*",'Diags Raw Data'!$K$6:$K$4699)</f>
        <v>12</v>
      </c>
      <c r="J46" s="179">
        <f>SUMIF('Diags Raw Data'!$A$6:$A$4699,"*"&amp;$A46&amp;"*",'Diags Raw Data'!$L$6:$L$4699)</f>
        <v>11</v>
      </c>
      <c r="K46" s="416" cm="1">
        <f t="array" ref="K46">IF(D46="",0, SUMPRODUCT(--(ISNUMBER(SEARCH($A46,'Diags Raw Data'!$A$6:$A$4699))),'Diags Raw Data'!$L$6:$L$4699,'Diags Raw Data'!$N$6:$N$4699)/J46)</f>
        <v>1</v>
      </c>
      <c r="L46" s="417" cm="1">
        <f t="array" ref="L46">IF(D46="",0, SUMPRODUCT(--(ISNUMBER(SEARCH($A46,'Diags Raw Data'!$A$6:$A$4699))),'Diags Raw Data'!$L$6:$L$4699,'Diags Raw Data'!$P$6:$P$4699)/J46)</f>
        <v>1</v>
      </c>
      <c r="M46" s="418" cm="1">
        <f t="array" ref="M46">SUMPRODUCT(--(ISNUMBER(SEARCH($A46,'Diags Raw Data'!$A$6:$A$4699))),--('Diags Raw Data'!$Q$6:$Q$4699&lt;&gt;"N/A"),'Diags Raw Data'!$R$6:$R$4699)</f>
        <v>11</v>
      </c>
      <c r="N46" s="419" cm="1">
        <f t="array" ref="N46">SUMPRODUCT(--(ISNUMBER(SEARCH($A46,'Diags Raw Data'!$A$6:$A$4699))),--('Diags Raw Data'!$Q$6:$Q$4699&lt;&gt;"N/A"),'Diags Raw Data'!$T$6:$T$4699)+SUMPRODUCT(--(ISNUMBER(SEARCH($A46,'Diags Raw Data'!$A$6:$A$4699))),--('Diags Raw Data'!$Q$6:$Q$4699&lt;&gt;"N/A"),'Diags Raw Data'!$U$6:$U$4699)</f>
        <v>11</v>
      </c>
      <c r="O46" s="462">
        <f t="shared" si="11"/>
        <v>1</v>
      </c>
      <c r="P46" s="420">
        <f>SUMIF('Diags Raw Data'!$A$6:$A$4699,"*"&amp;$A46&amp;"*",'Diags Raw Data'!$Z$6:$Z$4699)</f>
        <v>0</v>
      </c>
      <c r="Q46" s="421">
        <f>SUM(SUMIF('Diags Raw Data'!$A$6:$A$4699,"*"&amp;$A46&amp;"*",'Diags Raw Data'!$AA$6:$AA$4699),SUMIF('Diags Raw Data'!$A$6:$A$4699,"*"&amp;$A46&amp;"*",'Diags Raw Data'!$AB$6:$AB$4699))</f>
        <v>0</v>
      </c>
      <c r="R46" s="422">
        <f t="shared" si="12"/>
        <v>0</v>
      </c>
      <c r="S46" s="422">
        <f t="shared" si="13"/>
        <v>0</v>
      </c>
      <c r="T46" s="423">
        <f t="shared" si="14"/>
        <v>0</v>
      </c>
      <c r="U46" s="469" t="s">
        <v>2802</v>
      </c>
      <c r="V46" s="170"/>
    </row>
    <row r="47" spans="1:22" ht="75" x14ac:dyDescent="0.25">
      <c r="A47" s="446" t="s">
        <v>2420</v>
      </c>
      <c r="B47" s="332" t="str">
        <f>VLOOKUP(A47,'Feature Raw Data'!$A$3:$B$4067,2,FALSE)</f>
        <v>MMHUB:MMUTCL2:VML2 - Lightweight/Heavyweight flush-type invalidation</v>
      </c>
      <c r="C47" s="273" t="str">
        <f>VLOOKUP(A47,'Feature Raw Data'!$A$3:$C$4067,3,FALSE)</f>
        <v>P2</v>
      </c>
      <c r="D47" s="82" t="str" cm="1">
        <f t="array" ref="D47">_xlfn.TEXTJOIN("",TRUE,IF(ISNUMBER(SEARCH($A47,'Diags Raw Data'!$A$6:$A$4699)),CONCATENATE('Diags Raw Data'!$H$6:$H$4699,", "),""))</f>
        <v xml:space="preserve">mhub054.1, mhub055, mhub057.1, mhub057.6, mhub50.1-4, </v>
      </c>
      <c r="E47" s="169" t="e">
        <f>VLOOKUP(A47,'Diags Raw Data'!$A$6:$D$4699,4,FALSE)</f>
        <v>#N/A</v>
      </c>
      <c r="F47" s="169" t="str">
        <f>VLOOKUP(A47,'Feature Raw Data'!$A$3:$E$4067,5,FALSE)</f>
        <v>Legacy</v>
      </c>
      <c r="G47" s="169" t="str">
        <f t="shared" si="0"/>
        <v>Yes</v>
      </c>
      <c r="H47" s="169" t="str">
        <f t="shared" si="6"/>
        <v>Yes</v>
      </c>
      <c r="I47" s="273">
        <f>SUMIF('Diags Raw Data'!$A$6:$A$4699,"*"&amp;$A47&amp;"*",'Diags Raw Data'!$K$6:$K$4699)</f>
        <v>13</v>
      </c>
      <c r="J47" s="179">
        <f>SUMIF('Diags Raw Data'!$A$6:$A$4699,"*"&amp;$A47&amp;"*",'Diags Raw Data'!$L$6:$L$4699)</f>
        <v>8</v>
      </c>
      <c r="K47" s="416" cm="1">
        <f t="array" ref="K47">IF(D47="",0, SUMPRODUCT(--(ISNUMBER(SEARCH($A47,'Diags Raw Data'!$A$6:$A$4699))),'Diags Raw Data'!$L$6:$L$4699,'Diags Raw Data'!$N$6:$N$4699)/J47)</f>
        <v>1</v>
      </c>
      <c r="L47" s="417" cm="1">
        <f t="array" ref="L47">IF(D47="",0, SUMPRODUCT(--(ISNUMBER(SEARCH($A47,'Diags Raw Data'!$A$6:$A$4699))),'Diags Raw Data'!$L$6:$L$4699,'Diags Raw Data'!$P$6:$P$4699)/J47)</f>
        <v>1</v>
      </c>
      <c r="M47" s="418" cm="1">
        <f t="array" ref="M47">SUMPRODUCT(--(ISNUMBER(SEARCH($A47,'Diags Raw Data'!$A$6:$A$4699))),--('Diags Raw Data'!$Q$6:$Q$4699&lt;&gt;"N/A"),'Diags Raw Data'!$R$6:$R$4699)</f>
        <v>4</v>
      </c>
      <c r="N47" s="419" cm="1">
        <f t="array" ref="N47">SUMPRODUCT(--(ISNUMBER(SEARCH($A47,'Diags Raw Data'!$A$6:$A$4699))),--('Diags Raw Data'!$Q$6:$Q$4699&lt;&gt;"N/A"),'Diags Raw Data'!$T$6:$T$4699)+SUMPRODUCT(--(ISNUMBER(SEARCH($A47,'Diags Raw Data'!$A$6:$A$4699))),--('Diags Raw Data'!$Q$6:$Q$4699&lt;&gt;"N/A"),'Diags Raw Data'!$U$6:$U$4699)</f>
        <v>4</v>
      </c>
      <c r="O47" s="462">
        <f t="shared" si="11"/>
        <v>1</v>
      </c>
      <c r="P47" s="420">
        <f>SUMIF('Diags Raw Data'!$A$6:$A$4699,"*"&amp;$A47&amp;"*",'Diags Raw Data'!$Z$6:$Z$4699)</f>
        <v>0</v>
      </c>
      <c r="Q47" s="421">
        <f>SUM(SUMIF('Diags Raw Data'!$A$6:$A$4699,"*"&amp;$A47&amp;"*",'Diags Raw Data'!$AA$6:$AA$4699),SUMIF('Diags Raw Data'!$A$6:$A$4699,"*"&amp;$A47&amp;"*",'Diags Raw Data'!$AB$6:$AB$4699))</f>
        <v>0</v>
      </c>
      <c r="R47" s="422">
        <f t="shared" si="12"/>
        <v>0</v>
      </c>
      <c r="S47" s="422">
        <f t="shared" si="13"/>
        <v>0</v>
      </c>
      <c r="T47" s="423">
        <f t="shared" si="14"/>
        <v>0</v>
      </c>
      <c r="U47" s="469" t="s">
        <v>2802</v>
      </c>
      <c r="V47" s="170"/>
    </row>
    <row r="48" spans="1:22" ht="409.5" x14ac:dyDescent="0.25">
      <c r="A48" s="446" t="s">
        <v>2421</v>
      </c>
      <c r="B48" s="332" t="str">
        <f>VLOOKUP(A48,'Feature Raw Data'!$A$3:$B$4067,2,FALSE)</f>
        <v>MMHUB:MMUTCL2:VML2 - Page Table Levels</v>
      </c>
      <c r="C48" s="273" t="str">
        <f>VLOOKUP(A48,'Feature Raw Data'!$A$3:$C$4067,3,FALSE)</f>
        <v>P2</v>
      </c>
      <c r="D48" s="82" t="str" cm="1">
        <f t="array" ref="D48">_xlfn.TEXTJOIN("",TRUE,IF(ISNUMBER(SEARCH($A48,'Diags Raw Data'!$A$6:$A$4699)),CONCATENATE('Diags Raw Data'!$H$6:$H$4699,",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e">
        <f>VLOOKUP(A48,'Diags Raw Data'!$A$6:$D$4699,4,FALSE)</f>
        <v>#N/A</v>
      </c>
      <c r="F48" s="169" t="str">
        <f>VLOOKUP(A48,'Feature Raw Data'!$A$3:$E$4067,5,FALSE)</f>
        <v>Legacy</v>
      </c>
      <c r="G48" s="169" t="str">
        <f t="shared" si="0"/>
        <v>Yes</v>
      </c>
      <c r="H48" s="169" t="str">
        <f t="shared" si="6"/>
        <v>Yes</v>
      </c>
      <c r="I48" s="273">
        <f>SUMIF('Diags Raw Data'!$A$6:$A$4699,"*"&amp;$A48&amp;"*",'Diags Raw Data'!$K$6:$K$4699)</f>
        <v>33</v>
      </c>
      <c r="J48" s="179">
        <f>SUMIF('Diags Raw Data'!$A$6:$A$4699,"*"&amp;$A48&amp;"*",'Diags Raw Data'!$L$6:$L$4699)</f>
        <v>36</v>
      </c>
      <c r="K48" s="416" cm="1">
        <f t="array" ref="K48">IF(D48="",0, SUMPRODUCT(--(ISNUMBER(SEARCH($A48,'Diags Raw Data'!$A$6:$A$4699))),'Diags Raw Data'!$L$6:$L$4699,'Diags Raw Data'!$N$6:$N$4699)/J48)</f>
        <v>1</v>
      </c>
      <c r="L48" s="417" cm="1">
        <f t="array" ref="L48">IF(D48="",0, SUMPRODUCT(--(ISNUMBER(SEARCH($A48,'Diags Raw Data'!$A$6:$A$4699))),'Diags Raw Data'!$L$6:$L$4699,'Diags Raw Data'!$P$6:$P$4699)/J48)</f>
        <v>1</v>
      </c>
      <c r="M48" s="418" cm="1">
        <f t="array" ref="M48">SUMPRODUCT(--(ISNUMBER(SEARCH($A48,'Diags Raw Data'!$A$6:$A$4699))),--('Diags Raw Data'!$Q$6:$Q$4699&lt;&gt;"N/A"),'Diags Raw Data'!$R$6:$R$4699)</f>
        <v>36</v>
      </c>
      <c r="N48" s="419" cm="1">
        <f t="array" ref="N48">SUMPRODUCT(--(ISNUMBER(SEARCH($A48,'Diags Raw Data'!$A$6:$A$4699))),--('Diags Raw Data'!$Q$6:$Q$4699&lt;&gt;"N/A"),'Diags Raw Data'!$T$6:$T$4699)+SUMPRODUCT(--(ISNUMBER(SEARCH($A48,'Diags Raw Data'!$A$6:$A$4699))),--('Diags Raw Data'!$Q$6:$Q$4699&lt;&gt;"N/A"),'Diags Raw Data'!$U$6:$U$4699)</f>
        <v>36</v>
      </c>
      <c r="O48" s="462">
        <f t="shared" si="11"/>
        <v>1</v>
      </c>
      <c r="P48" s="420">
        <f>SUMIF('Diags Raw Data'!$A$6:$A$4699,"*"&amp;$A48&amp;"*",'Diags Raw Data'!$Z$6:$Z$4699)</f>
        <v>0</v>
      </c>
      <c r="Q48" s="421">
        <f>SUM(SUMIF('Diags Raw Data'!$A$6:$A$4699,"*"&amp;$A48&amp;"*",'Diags Raw Data'!$AA$6:$AA$4699),SUMIF('Diags Raw Data'!$A$6:$A$4699,"*"&amp;$A48&amp;"*",'Diags Raw Data'!$AB$6:$AB$4699))</f>
        <v>0</v>
      </c>
      <c r="R48" s="422">
        <f t="shared" si="12"/>
        <v>0</v>
      </c>
      <c r="S48" s="422">
        <f t="shared" si="13"/>
        <v>0</v>
      </c>
      <c r="T48" s="423">
        <f t="shared" si="14"/>
        <v>0</v>
      </c>
      <c r="U48" s="469" t="s">
        <v>2803</v>
      </c>
      <c r="V48" s="170"/>
    </row>
    <row r="49" spans="1:22" ht="360" x14ac:dyDescent="0.25">
      <c r="A49" s="446" t="s">
        <v>305</v>
      </c>
      <c r="B49" s="332" t="str">
        <f>VLOOKUP(A49,'Feature Raw Data'!$A$3:$B$4067,2,FALSE)</f>
        <v>MMHUB:MMUTCL2:VML2 - PDE Attributes</v>
      </c>
      <c r="C49" s="273" t="str">
        <f>VLOOKUP(A49,'Feature Raw Data'!$A$3:$C$4067,3,FALSE)</f>
        <v>P2</v>
      </c>
      <c r="D49" s="82" t="str" cm="1">
        <f t="array" ref="D49">_xlfn.TEXTJOIN("",TRUE,IF(ISNUMBER(SEARCH($A49,'Diags Raw Data'!$A$6:$A$4699)),CONCATENATE('Diags Raw Data'!$H$6:$H$4699,", "),""))</f>
        <v xml:space="preserve">mhub005, mhub010.1, mhub010.2, mhub012, mhub013.1, mhub013.2, mhub013.3, mhub013.4, mhub013.5, mhub013.6, mhub013.7, mhub013.8, mhub013.9, mhub013.10, mhub035.1,2,3,13,14,15, mhub035.7,8,9,19,20,21, mhub035.4,5,6,16,17,18, mhub035.10,11,12,22,23,24, mhub037.5, </v>
      </c>
      <c r="E49" s="169" t="str">
        <f>VLOOKUP(A49,'Diags Raw Data'!$A$6:$D$4699,4,FALSE)</f>
        <v>MMHUB</v>
      </c>
      <c r="F49" s="169" t="str">
        <f>VLOOKUP(A49,'Feature Raw Data'!$A$3:$E$4067,5,FALSE)</f>
        <v>Legacy</v>
      </c>
      <c r="G49" s="169" t="str">
        <f t="shared" si="0"/>
        <v>Yes</v>
      </c>
      <c r="H49" s="169" t="str">
        <f t="shared" si="6"/>
        <v>Yes</v>
      </c>
      <c r="I49" s="273">
        <f>SUMIF('Diags Raw Data'!$A$6:$A$4699,"*"&amp;$A49&amp;"*",'Diags Raw Data'!$K$6:$K$4699)</f>
        <v>39</v>
      </c>
      <c r="J49" s="179">
        <f>SUMIF('Diags Raw Data'!$A$6:$A$4699,"*"&amp;$A49&amp;"*",'Diags Raw Data'!$L$6:$L$4699)</f>
        <v>39</v>
      </c>
      <c r="K49" s="416" cm="1">
        <f t="array" ref="K49">IF(D49="",0, SUMPRODUCT(--(ISNUMBER(SEARCH($A49,'Diags Raw Data'!$A$6:$A$4699))),'Diags Raw Data'!$L$6:$L$4699,'Diags Raw Data'!$N$6:$N$4699)/J49)</f>
        <v>1</v>
      </c>
      <c r="L49" s="417" cm="1">
        <f t="array" ref="L49">IF(D49="",0, SUMPRODUCT(--(ISNUMBER(SEARCH($A49,'Diags Raw Data'!$A$6:$A$4699))),'Diags Raw Data'!$L$6:$L$4699,'Diags Raw Data'!$P$6:$P$4699)/J49)</f>
        <v>0.97435897435897434</v>
      </c>
      <c r="M49" s="418" cm="1">
        <f t="array" ref="M49">SUMPRODUCT(--(ISNUMBER(SEARCH($A49,'Diags Raw Data'!$A$6:$A$4699))),--('Diags Raw Data'!$Q$6:$Q$4699&lt;&gt;"N/A"),'Diags Raw Data'!$R$6:$R$4699)</f>
        <v>39</v>
      </c>
      <c r="N49" s="419" cm="1">
        <f t="array" ref="N49">SUMPRODUCT(--(ISNUMBER(SEARCH($A49,'Diags Raw Data'!$A$6:$A$4699))),--('Diags Raw Data'!$Q$6:$Q$4699&lt;&gt;"N/A"),'Diags Raw Data'!$T$6:$T$4699)+SUMPRODUCT(--(ISNUMBER(SEARCH($A49,'Diags Raw Data'!$A$6:$A$4699))),--('Diags Raw Data'!$Q$6:$Q$4699&lt;&gt;"N/A"),'Diags Raw Data'!$U$6:$U$4699)</f>
        <v>39</v>
      </c>
      <c r="O49" s="462">
        <f t="shared" si="11"/>
        <v>1</v>
      </c>
      <c r="P49" s="420">
        <f>SUMIF('Diags Raw Data'!$A$6:$A$4699,"*"&amp;$A49&amp;"*",'Diags Raw Data'!$Z$6:$Z$4699)</f>
        <v>0</v>
      </c>
      <c r="Q49" s="421">
        <f>SUM(SUMIF('Diags Raw Data'!$A$6:$A$4699,"*"&amp;$A49&amp;"*",'Diags Raw Data'!$AA$6:$AA$4699),SUMIF('Diags Raw Data'!$A$6:$A$4699,"*"&amp;$A49&amp;"*",'Diags Raw Data'!$AB$6:$AB$4699))</f>
        <v>0</v>
      </c>
      <c r="R49" s="422">
        <f t="shared" si="12"/>
        <v>0</v>
      </c>
      <c r="S49" s="422">
        <f t="shared" si="13"/>
        <v>0</v>
      </c>
      <c r="T49" s="423">
        <f t="shared" si="14"/>
        <v>0</v>
      </c>
      <c r="U49" s="469" t="s">
        <v>2798</v>
      </c>
      <c r="V49" s="170"/>
    </row>
    <row r="50" spans="1:22" ht="405" x14ac:dyDescent="0.25">
      <c r="A50" s="446" t="s">
        <v>312</v>
      </c>
      <c r="B50" s="332" t="str">
        <f>VLOOKUP(A50,'Feature Raw Data'!$A$3:$B$4067,2,FALSE)</f>
        <v>MMHUB:MMUTCL2:VML2 - PTE Attributes</v>
      </c>
      <c r="C50" s="273" t="str">
        <f>VLOOKUP(A50,'Feature Raw Data'!$A$3:$C$4067,3,FALSE)</f>
        <v>P2</v>
      </c>
      <c r="D50" s="82" t="str" cm="1">
        <f t="array" ref="D50">_xlfn.TEXTJOIN("",TRUE,IF(ISNUMBER(SEARCH($A50,'Diags Raw Data'!$A$6:$A$4699)),CONCATENATE('Diags Raw Data'!$H$6:$H$4699,", "),""))</f>
        <v xml:space="preserve">mhub006.1, mhub006.2, mhub006.3, mhub006.4, mhub007.4, mhub008.1, mhub008.2, mhub011.1, mhub011.2, mhub011.3, mhub011.4, mhub011.5, mhub012, mhub013.1, mhub013.2, mhub013.3, mhub013.4, mhub013.5, mhub013.6, mhub013.7, mhub013.8, mhub013.9, mhub013.10, mhub014.1,2, mhub086.1,2, </v>
      </c>
      <c r="E50" s="169" t="str">
        <f>VLOOKUP(A50,'Diags Raw Data'!$A$6:$D$4699,4,FALSE)</f>
        <v>MMHUB</v>
      </c>
      <c r="F50" s="169" t="str">
        <f>VLOOKUP(A50,'Feature Raw Data'!$A$3:$E$4067,5,FALSE)</f>
        <v>Legacy</v>
      </c>
      <c r="G50" s="169" t="str">
        <f t="shared" si="0"/>
        <v>Yes</v>
      </c>
      <c r="H50" s="169" t="str">
        <f t="shared" si="6"/>
        <v>Yes</v>
      </c>
      <c r="I50" s="273">
        <f>SUMIF('Diags Raw Data'!$A$6:$A$4699,"*"&amp;$A50&amp;"*",'Diags Raw Data'!$K$6:$K$4699)</f>
        <v>26</v>
      </c>
      <c r="J50" s="179">
        <f>SUMIF('Diags Raw Data'!$A$6:$A$4699,"*"&amp;$A50&amp;"*",'Diags Raw Data'!$L$6:$L$4699)</f>
        <v>27</v>
      </c>
      <c r="K50" s="416" cm="1">
        <f t="array" ref="K50">IF(D50="",0, SUMPRODUCT(--(ISNUMBER(SEARCH($A50,'Diags Raw Data'!$A$6:$A$4699))),'Diags Raw Data'!$L$6:$L$4699,'Diags Raw Data'!$N$6:$N$4699)/J50)</f>
        <v>1</v>
      </c>
      <c r="L50" s="417" cm="1">
        <f t="array" ref="L50">IF(D50="",0, SUMPRODUCT(--(ISNUMBER(SEARCH($A50,'Diags Raw Data'!$A$6:$A$4699))),'Diags Raw Data'!$L$6:$L$4699,'Diags Raw Data'!$P$6:$P$4699)/J50)</f>
        <v>1</v>
      </c>
      <c r="M50" s="418" cm="1">
        <f t="array" ref="M50">SUMPRODUCT(--(ISNUMBER(SEARCH($A50,'Diags Raw Data'!$A$6:$A$4699))),--('Diags Raw Data'!$Q$6:$Q$4699&lt;&gt;"N/A"),'Diags Raw Data'!$R$6:$R$4699)</f>
        <v>27</v>
      </c>
      <c r="N50" s="419" cm="1">
        <f t="array" ref="N50">SUMPRODUCT(--(ISNUMBER(SEARCH($A50,'Diags Raw Data'!$A$6:$A$4699))),--('Diags Raw Data'!$Q$6:$Q$4699&lt;&gt;"N/A"),'Diags Raw Data'!$T$6:$T$4699)+SUMPRODUCT(--(ISNUMBER(SEARCH($A50,'Diags Raw Data'!$A$6:$A$4699))),--('Diags Raw Data'!$Q$6:$Q$4699&lt;&gt;"N/A"),'Diags Raw Data'!$U$6:$U$4699)</f>
        <v>27</v>
      </c>
      <c r="O50" s="462">
        <f t="shared" si="11"/>
        <v>1</v>
      </c>
      <c r="P50" s="420">
        <f>SUMIF('Diags Raw Data'!$A$6:$A$4699,"*"&amp;$A50&amp;"*",'Diags Raw Data'!$Z$6:$Z$4699)</f>
        <v>0</v>
      </c>
      <c r="Q50" s="421">
        <f>SUM(SUMIF('Diags Raw Data'!$A$6:$A$4699,"*"&amp;$A50&amp;"*",'Diags Raw Data'!$AA$6:$AA$4699),SUMIF('Diags Raw Data'!$A$6:$A$4699,"*"&amp;$A50&amp;"*",'Diags Raw Data'!$AB$6:$AB$4699))</f>
        <v>0</v>
      </c>
      <c r="R50" s="422">
        <f t="shared" si="12"/>
        <v>0</v>
      </c>
      <c r="S50" s="422">
        <f t="shared" si="13"/>
        <v>0</v>
      </c>
      <c r="T50" s="423">
        <f t="shared" si="14"/>
        <v>0</v>
      </c>
      <c r="U50" s="469" t="s">
        <v>2798</v>
      </c>
      <c r="V50" s="170"/>
    </row>
    <row r="51" spans="1:22" ht="60" x14ac:dyDescent="0.25">
      <c r="A51" s="446" t="s">
        <v>943</v>
      </c>
      <c r="B51" s="332" t="str">
        <f>VLOOKUP(A51,'Feature Raw Data'!$A$3:$B$4067,2,FALSE)</f>
        <v>MMHUB:MMUTCL2:VML2 - PTE permissions returned</v>
      </c>
      <c r="C51" s="273" t="str">
        <f>VLOOKUP(A51,'Feature Raw Data'!$A$3:$C$4067,3,FALSE)</f>
        <v>P2</v>
      </c>
      <c r="D51" s="82" t="str" cm="1">
        <f t="array" ref="D51">_xlfn.TEXTJOIN("",TRUE,IF(ISNUMBER(SEARCH($A51,'Diags Raw Data'!$A$6:$A$4699)),CONCATENATE('Diags Raw Data'!$H$6:$H$4699,", "),""))</f>
        <v xml:space="preserve">mhub069.1-5, mhub141.1, mhub141.2, </v>
      </c>
      <c r="E51" s="169" t="str">
        <f>VLOOKUP(A51,'Diags Raw Data'!$A$6:$D$4699,4,FALSE)</f>
        <v>MMHUB</v>
      </c>
      <c r="F51" s="169" t="str">
        <f>VLOOKUP(A51,'Feature Raw Data'!$A$3:$E$4067,5,FALSE)</f>
        <v>Legacy</v>
      </c>
      <c r="G51" s="169" t="str">
        <f t="shared" si="0"/>
        <v>Yes</v>
      </c>
      <c r="H51" s="169" t="str">
        <f t="shared" si="6"/>
        <v>Yes</v>
      </c>
      <c r="I51" s="273">
        <f>SUMIF('Diags Raw Data'!$A$6:$A$4699,"*"&amp;$A51&amp;"*",'Diags Raw Data'!$K$6:$K$4699)</f>
        <v>3</v>
      </c>
      <c r="J51" s="179">
        <f>SUMIF('Diags Raw Data'!$A$6:$A$4699,"*"&amp;$A51&amp;"*",'Diags Raw Data'!$L$6:$L$4699)</f>
        <v>7</v>
      </c>
      <c r="K51" s="416" cm="1">
        <f t="array" ref="K51">IF(D51="",0, SUMPRODUCT(--(ISNUMBER(SEARCH($A51,'Diags Raw Data'!$A$6:$A$4699))),'Diags Raw Data'!$L$6:$L$4699,'Diags Raw Data'!$N$6:$N$4699)/J51)</f>
        <v>1</v>
      </c>
      <c r="L51" s="417" cm="1">
        <f t="array" ref="L51">IF(D51="",0, SUMPRODUCT(--(ISNUMBER(SEARCH($A51,'Diags Raw Data'!$A$6:$A$4699))),'Diags Raw Data'!$L$6:$L$4699,'Diags Raw Data'!$P$6:$P$4699)/J51)</f>
        <v>1</v>
      </c>
      <c r="M51" s="418" cm="1">
        <f t="array" ref="M51">SUMPRODUCT(--(ISNUMBER(SEARCH($A51,'Diags Raw Data'!$A$6:$A$4699))),--('Diags Raw Data'!$Q$6:$Q$4699&lt;&gt;"N/A"),'Diags Raw Data'!$R$6:$R$4699)</f>
        <v>7</v>
      </c>
      <c r="N51" s="419" cm="1">
        <f t="array" ref="N51">SUMPRODUCT(--(ISNUMBER(SEARCH($A51,'Diags Raw Data'!$A$6:$A$4699))),--('Diags Raw Data'!$Q$6:$Q$4699&lt;&gt;"N/A"),'Diags Raw Data'!$T$6:$T$4699)+SUMPRODUCT(--(ISNUMBER(SEARCH($A51,'Diags Raw Data'!$A$6:$A$4699))),--('Diags Raw Data'!$Q$6:$Q$4699&lt;&gt;"N/A"),'Diags Raw Data'!$U$6:$U$4699)</f>
        <v>7</v>
      </c>
      <c r="O51" s="462">
        <f t="shared" si="11"/>
        <v>1</v>
      </c>
      <c r="P51" s="420">
        <f>SUMIF('Diags Raw Data'!$A$6:$A$4699,"*"&amp;$A51&amp;"*",'Diags Raw Data'!$Z$6:$Z$4699)</f>
        <v>0</v>
      </c>
      <c r="Q51" s="421">
        <f>SUM(SUMIF('Diags Raw Data'!$A$6:$A$4699,"*"&amp;$A51&amp;"*",'Diags Raw Data'!$AA$6:$AA$4699),SUMIF('Diags Raw Data'!$A$6:$A$4699,"*"&amp;$A51&amp;"*",'Diags Raw Data'!$AB$6:$AB$4699))</f>
        <v>0</v>
      </c>
      <c r="R51" s="422">
        <f t="shared" si="12"/>
        <v>0</v>
      </c>
      <c r="S51" s="422">
        <f t="shared" si="13"/>
        <v>0</v>
      </c>
      <c r="T51" s="423">
        <f t="shared" si="14"/>
        <v>0</v>
      </c>
      <c r="U51" s="469" t="s">
        <v>2804</v>
      </c>
      <c r="V51" s="170"/>
    </row>
    <row r="52" spans="1:22" ht="409.5" x14ac:dyDescent="0.25">
      <c r="A52" s="446" t="s">
        <v>898</v>
      </c>
      <c r="B52" s="332" t="str">
        <f>VLOOKUP(A52,'Feature Raw Data'!$A$3:$B$4067,2,FALSE)</f>
        <v>MMHUB:MMUTCL2:VML2 - Increase MTYPE from 2 to 3 bits</v>
      </c>
      <c r="C52" s="273" t="str">
        <f>VLOOKUP(A52,'Feature Raw Data'!$A$3:$C$4067,3,FALSE)</f>
        <v>P2</v>
      </c>
      <c r="D52" s="82" t="str" cm="1">
        <f t="array" ref="D52">_xlfn.TEXTJOIN("",TRUE,IF(ISNUMBER(SEARCH($A52,'Diags Raw Data'!$A$6:$A$4699)),CONCATENATE('Diags Raw Data'!$H$6:$H$4699,", "),""))</f>
        <v xml:space="preserve">mhub064.1,3, mhub064.2,4, mhub067.1-4, mhub264.1,3, mhub264.2,4, mhub267.1-4, mhub408.1-2, mhub408.3-4, mhub408.5,6, mhub408.7,8, mhub408.81, mhub408.83, mhub408.85, mhub408.87, mhub408.61, mhub408.63, mhub408.65, mhub408.67, mhub408.71, mhub408.73, mhub408.75, mhub408.77, mhub408.91, mhub408.93, mhub408.95, mhub408.97, mhub408.51-52, mhub408.53-54, mhub408.55,56, mhub408.57,58, </v>
      </c>
      <c r="E52" s="169" t="str">
        <f>VLOOKUP(A52,'Diags Raw Data'!$A$6:$D$4699,4,FALSE)</f>
        <v>MMHUB</v>
      </c>
      <c r="F52" s="169" t="str">
        <f>VLOOKUP(A52,'Feature Raw Data'!$A$3:$E$4067,5,FALSE)</f>
        <v>Legacy</v>
      </c>
      <c r="G52" s="169" t="str">
        <f t="shared" si="0"/>
        <v>Yes</v>
      </c>
      <c r="H52" s="169" t="str">
        <f t="shared" si="6"/>
        <v>Yes</v>
      </c>
      <c r="I52" s="273">
        <f>SUMIF('Diags Raw Data'!$A$6:$A$4699,"*"&amp;$A52&amp;"*",'Diags Raw Data'!$K$6:$K$4699)</f>
        <v>18</v>
      </c>
      <c r="J52" s="179">
        <f>SUMIF('Diags Raw Data'!$A$6:$A$4699,"*"&amp;$A52&amp;"*",'Diags Raw Data'!$L$6:$L$4699)</f>
        <v>32</v>
      </c>
      <c r="K52" s="416" cm="1">
        <f t="array" ref="K52">IF(D52="",0, SUMPRODUCT(--(ISNUMBER(SEARCH($A52,'Diags Raw Data'!$A$6:$A$4699))),'Diags Raw Data'!$L$6:$L$4699,'Diags Raw Data'!$N$6:$N$4699)/J52)</f>
        <v>1</v>
      </c>
      <c r="L52" s="417" cm="1">
        <f t="array" ref="L52">IF(D52="",0, SUMPRODUCT(--(ISNUMBER(SEARCH($A52,'Diags Raw Data'!$A$6:$A$4699))),'Diags Raw Data'!$L$6:$L$4699,'Diags Raw Data'!$P$6:$P$4699)/J52)</f>
        <v>1</v>
      </c>
      <c r="M52" s="418" cm="1">
        <f t="array" ref="M52">SUMPRODUCT(--(ISNUMBER(SEARCH($A52,'Diags Raw Data'!$A$6:$A$4699))),--('Diags Raw Data'!$Q$6:$Q$4699&lt;&gt;"N/A"),'Diags Raw Data'!$R$6:$R$4699)</f>
        <v>32</v>
      </c>
      <c r="N52" s="419" cm="1">
        <f t="array" ref="N52">SUMPRODUCT(--(ISNUMBER(SEARCH($A52,'Diags Raw Data'!$A$6:$A$4699))),--('Diags Raw Data'!$Q$6:$Q$4699&lt;&gt;"N/A"),'Diags Raw Data'!$T$6:$T$4699)+SUMPRODUCT(--(ISNUMBER(SEARCH($A52,'Diags Raw Data'!$A$6:$A$4699))),--('Diags Raw Data'!$Q$6:$Q$4699&lt;&gt;"N/A"),'Diags Raw Data'!$U$6:$U$4699)</f>
        <v>32</v>
      </c>
      <c r="O52" s="462">
        <f t="shared" si="11"/>
        <v>1</v>
      </c>
      <c r="P52" s="420">
        <f>SUMIF('Diags Raw Data'!$A$6:$A$4699,"*"&amp;$A52&amp;"*",'Diags Raw Data'!$Z$6:$Z$4699)</f>
        <v>0</v>
      </c>
      <c r="Q52" s="421">
        <f>SUM(SUMIF('Diags Raw Data'!$A$6:$A$4699,"*"&amp;$A52&amp;"*",'Diags Raw Data'!$AA$6:$AA$4699),SUMIF('Diags Raw Data'!$A$6:$A$4699,"*"&amp;$A52&amp;"*",'Diags Raw Data'!$AB$6:$AB$4699))</f>
        <v>0</v>
      </c>
      <c r="R52" s="422">
        <f t="shared" si="12"/>
        <v>0</v>
      </c>
      <c r="S52" s="422">
        <f t="shared" si="13"/>
        <v>0</v>
      </c>
      <c r="T52" s="423">
        <f t="shared" si="14"/>
        <v>0</v>
      </c>
      <c r="U52" s="469" t="s">
        <v>2801</v>
      </c>
      <c r="V52" s="170"/>
    </row>
    <row r="53" spans="1:22" ht="30" x14ac:dyDescent="0.25">
      <c r="A53" s="446" t="s">
        <v>2427</v>
      </c>
      <c r="B53" s="332" t="str">
        <f>VLOOKUP(A53,'Feature Raw Data'!$A$3:$B$4067,2,FALSE)</f>
        <v>MMHUB:MMUTCL2:VML2 - Page table block size, PDE and PTE Fragment sizes</v>
      </c>
      <c r="C53" s="273" t="str">
        <f>VLOOKUP(A53,'Feature Raw Data'!$A$3:$C$4067,3,FALSE)</f>
        <v>P2</v>
      </c>
      <c r="D53" s="82" t="str" cm="1">
        <f t="array" ref="D53">_xlfn.TEXTJOIN("",TRUE,IF(ISNUMBER(SEARCH($A53,'Diags Raw Data'!$A$6:$A$4699)),CONCATENATE('Diags Raw Data'!$H$6:$H$4699,", "),""))</f>
        <v xml:space="preserve">mhub012, </v>
      </c>
      <c r="E53" s="169" t="e">
        <f>VLOOKUP(A53,'Diags Raw Data'!$A$6:$D$4699,4,FALSE)</f>
        <v>#N/A</v>
      </c>
      <c r="F53" s="169" t="str">
        <f>VLOOKUP(A53,'Feature Raw Data'!$A$3:$E$4067,5,FALSE)</f>
        <v>Legacy</v>
      </c>
      <c r="G53" s="169" t="str">
        <f t="shared" si="0"/>
        <v>Yes</v>
      </c>
      <c r="H53" s="169" t="str">
        <f t="shared" si="6"/>
        <v>Yes</v>
      </c>
      <c r="I53" s="273">
        <f>SUMIF('Diags Raw Data'!$A$6:$A$4699,"*"&amp;$A53&amp;"*",'Diags Raw Data'!$K$6:$K$4699)</f>
        <v>1</v>
      </c>
      <c r="J53" s="179">
        <f>SUMIF('Diags Raw Data'!$A$6:$A$4699,"*"&amp;$A53&amp;"*",'Diags Raw Data'!$L$6:$L$4699)</f>
        <v>1</v>
      </c>
      <c r="K53" s="416" cm="1">
        <f t="array" ref="K53">IF(D53="",0, SUMPRODUCT(--(ISNUMBER(SEARCH($A53,'Diags Raw Data'!$A$6:$A$4699))),'Diags Raw Data'!$L$6:$L$4699,'Diags Raw Data'!$N$6:$N$4699)/J53)</f>
        <v>1</v>
      </c>
      <c r="L53" s="417" cm="1">
        <f t="array" ref="L53">IF(D53="",0, SUMPRODUCT(--(ISNUMBER(SEARCH($A53,'Diags Raw Data'!$A$6:$A$4699))),'Diags Raw Data'!$L$6:$L$4699,'Diags Raw Data'!$P$6:$P$4699)/J53)</f>
        <v>1</v>
      </c>
      <c r="M53" s="418" cm="1">
        <f t="array" ref="M53">SUMPRODUCT(--(ISNUMBER(SEARCH($A53,'Diags Raw Data'!$A$6:$A$4699))),--('Diags Raw Data'!$Q$6:$Q$4699&lt;&gt;"N/A"),'Diags Raw Data'!$R$6:$R$4699)</f>
        <v>1</v>
      </c>
      <c r="N53" s="419" cm="1">
        <f t="array" ref="N53">SUMPRODUCT(--(ISNUMBER(SEARCH($A53,'Diags Raw Data'!$A$6:$A$4699))),--('Diags Raw Data'!$Q$6:$Q$4699&lt;&gt;"N/A"),'Diags Raw Data'!$T$6:$T$4699)+SUMPRODUCT(--(ISNUMBER(SEARCH($A53,'Diags Raw Data'!$A$6:$A$4699))),--('Diags Raw Data'!$Q$6:$Q$4699&lt;&gt;"N/A"),'Diags Raw Data'!$U$6:$U$4699)</f>
        <v>1</v>
      </c>
      <c r="O53" s="462">
        <f t="shared" si="11"/>
        <v>1</v>
      </c>
      <c r="P53" s="420">
        <f>SUMIF('Diags Raw Data'!$A$6:$A$4699,"*"&amp;$A53&amp;"*",'Diags Raw Data'!$Z$6:$Z$4699)</f>
        <v>0</v>
      </c>
      <c r="Q53" s="421">
        <f>SUM(SUMIF('Diags Raw Data'!$A$6:$A$4699,"*"&amp;$A53&amp;"*",'Diags Raw Data'!$AA$6:$AA$4699),SUMIF('Diags Raw Data'!$A$6:$A$4699,"*"&amp;$A53&amp;"*",'Diags Raw Data'!$AB$6:$AB$4699))</f>
        <v>0</v>
      </c>
      <c r="R53" s="422">
        <f t="shared" si="12"/>
        <v>0</v>
      </c>
      <c r="S53" s="422">
        <f t="shared" si="13"/>
        <v>0</v>
      </c>
      <c r="T53" s="423">
        <f t="shared" si="14"/>
        <v>0</v>
      </c>
      <c r="U53" s="469" t="s">
        <v>2797</v>
      </c>
      <c r="V53" s="170"/>
    </row>
    <row r="54" spans="1:22" ht="118.5" customHeight="1" x14ac:dyDescent="0.25">
      <c r="A54" s="446" t="s">
        <v>1006</v>
      </c>
      <c r="B54" s="332" t="str">
        <f>VLOOKUP(A54,'Feature Raw Data'!$A$3:$B$4067,2,FALSE)</f>
        <v>MMHUB:MMUTCL2:VML2 - Translate Further/PTE.F bit</v>
      </c>
      <c r="C54" s="273" t="str">
        <f>VLOOKUP(A54,'Feature Raw Data'!$A$3:$C$4067,3,FALSE)</f>
        <v>P2</v>
      </c>
      <c r="D54" s="82" t="str" cm="1">
        <f t="array" ref="D54">_xlfn.TEXTJOIN("",TRUE,IF(ISNUMBER(SEARCH($A54,'Diags Raw Data'!$A$6:$A$4699)),CONCATENATE('Diags Raw Data'!$H$6:$H$4699,", "),""))</f>
        <v xml:space="preserve">mhub011.1, mhub011.2, mhub011.3, mhub011.4, mhub011.5, mhub127.1, mhub127.2, mhub127.3, mhub127.4, mhub127.5, mhub127.6, mhub127.7, mhub127.8, </v>
      </c>
      <c r="E54" s="169" t="str">
        <f>VLOOKUP(A54,'Diags Raw Data'!$A$6:$D$4699,4,FALSE)</f>
        <v>MMHUB</v>
      </c>
      <c r="F54" s="169" t="str">
        <f>VLOOKUP(A54,'Feature Raw Data'!$A$3:$E$4067,5,FALSE)</f>
        <v>Legacy</v>
      </c>
      <c r="G54" s="169" t="str">
        <f t="shared" si="0"/>
        <v>Yes</v>
      </c>
      <c r="H54" s="169" t="str">
        <f t="shared" si="6"/>
        <v>Yes</v>
      </c>
      <c r="I54" s="273">
        <f>SUMIF('Diags Raw Data'!$A$6:$A$4699,"*"&amp;$A54&amp;"*",'Diags Raw Data'!$K$6:$K$4699)</f>
        <v>13</v>
      </c>
      <c r="J54" s="179">
        <f>SUMIF('Diags Raw Data'!$A$6:$A$4699,"*"&amp;$A54&amp;"*",'Diags Raw Data'!$L$6:$L$4699)</f>
        <v>13</v>
      </c>
      <c r="K54" s="416" cm="1">
        <f t="array" ref="K54">IF(D54="",0, SUMPRODUCT(--(ISNUMBER(SEARCH($A54,'Diags Raw Data'!$A$6:$A$4699))),'Diags Raw Data'!$L$6:$L$4699,'Diags Raw Data'!$N$6:$N$4699)/J54)</f>
        <v>1</v>
      </c>
      <c r="L54" s="417" cm="1">
        <f t="array" ref="L54">IF(D54="",0, SUMPRODUCT(--(ISNUMBER(SEARCH($A54,'Diags Raw Data'!$A$6:$A$4699))),'Diags Raw Data'!$L$6:$L$4699,'Diags Raw Data'!$P$6:$P$4699)/J54)</f>
        <v>1</v>
      </c>
      <c r="M54" s="418" cm="1">
        <f t="array" ref="M54">SUMPRODUCT(--(ISNUMBER(SEARCH($A54,'Diags Raw Data'!$A$6:$A$4699))),--('Diags Raw Data'!$Q$6:$Q$4699&lt;&gt;"N/A"),'Diags Raw Data'!$R$6:$R$4699)</f>
        <v>13</v>
      </c>
      <c r="N54" s="419" cm="1">
        <f t="array" ref="N54">SUMPRODUCT(--(ISNUMBER(SEARCH($A54,'Diags Raw Data'!$A$6:$A$4699))),--('Diags Raw Data'!$Q$6:$Q$4699&lt;&gt;"N/A"),'Diags Raw Data'!$T$6:$T$4699)+SUMPRODUCT(--(ISNUMBER(SEARCH($A54,'Diags Raw Data'!$A$6:$A$4699))),--('Diags Raw Data'!$Q$6:$Q$4699&lt;&gt;"N/A"),'Diags Raw Data'!$U$6:$U$4699)</f>
        <v>13</v>
      </c>
      <c r="O54" s="462">
        <f t="shared" si="11"/>
        <v>1</v>
      </c>
      <c r="P54" s="420">
        <f>SUMIF('Diags Raw Data'!$A$6:$A$4699,"*"&amp;$A54&amp;"*",'Diags Raw Data'!$Z$6:$Z$4699)</f>
        <v>0</v>
      </c>
      <c r="Q54" s="421">
        <f>SUM(SUMIF('Diags Raw Data'!$A$6:$A$4699,"*"&amp;$A54&amp;"*",'Diags Raw Data'!$AA$6:$AA$4699),SUMIF('Diags Raw Data'!$A$6:$A$4699,"*"&amp;$A54&amp;"*",'Diags Raw Data'!$AB$6:$AB$4699))</f>
        <v>0</v>
      </c>
      <c r="R54" s="422">
        <f t="shared" si="12"/>
        <v>0</v>
      </c>
      <c r="S54" s="422">
        <f t="shared" si="13"/>
        <v>0</v>
      </c>
      <c r="T54" s="423">
        <f t="shared" si="14"/>
        <v>0</v>
      </c>
      <c r="U54" s="469" t="s">
        <v>2802</v>
      </c>
      <c r="V54" s="170"/>
    </row>
    <row r="55" spans="1:22" ht="30" x14ac:dyDescent="0.25">
      <c r="A55" s="446" t="s">
        <v>2429</v>
      </c>
      <c r="B55" s="332" t="str">
        <f>VLOOKUP(A55,'Feature Raw Data'!$A$3:$B$4067,2,FALSE)</f>
        <v>MMHUB:MMUTCL2:VML2 - Support for 2MB, 1G, 512GB pages aka PDE Block Fragment Size</v>
      </c>
      <c r="C55" s="273" t="str">
        <f>VLOOKUP(A55,'Feature Raw Data'!$A$3:$C$4067,3,FALSE)</f>
        <v>P2</v>
      </c>
      <c r="D55" s="82" t="str" cm="1">
        <f t="array" ref="D55">_xlfn.TEXTJOIN("",TRUE,IF(ISNUMBER(SEARCH($A55,'Diags Raw Data'!$A$6:$A$4699)),CONCATENATE('Diags Raw Data'!$H$6:$H$4699,", "),""))</f>
        <v xml:space="preserve">mhub012, </v>
      </c>
      <c r="E55" s="169" t="e">
        <f>VLOOKUP(A55,'Diags Raw Data'!$A$6:$D$4699,4,FALSE)</f>
        <v>#N/A</v>
      </c>
      <c r="F55" s="169" t="str">
        <f>VLOOKUP(A55,'Feature Raw Data'!$A$3:$E$4067,5,FALSE)</f>
        <v>Legacy</v>
      </c>
      <c r="G55" s="169" t="str">
        <f t="shared" si="0"/>
        <v>Yes</v>
      </c>
      <c r="H55" s="169" t="str">
        <f t="shared" si="6"/>
        <v>Yes</v>
      </c>
      <c r="I55" s="273">
        <f>SUMIF('Diags Raw Data'!$A$6:$A$4699,"*"&amp;$A55&amp;"*",'Diags Raw Data'!$K$6:$K$4699)</f>
        <v>1</v>
      </c>
      <c r="J55" s="179">
        <f>SUMIF('Diags Raw Data'!$A$6:$A$4699,"*"&amp;$A55&amp;"*",'Diags Raw Data'!$L$6:$L$4699)</f>
        <v>1</v>
      </c>
      <c r="K55" s="416" cm="1">
        <f t="array" ref="K55">IF(D55="",0, SUMPRODUCT(--(ISNUMBER(SEARCH($A55,'Diags Raw Data'!$A$6:$A$4699))),'Diags Raw Data'!$L$6:$L$4699,'Diags Raw Data'!$N$6:$N$4699)/J55)</f>
        <v>1</v>
      </c>
      <c r="L55" s="417" cm="1">
        <f t="array" ref="L55">IF(D55="",0, SUMPRODUCT(--(ISNUMBER(SEARCH($A55,'Diags Raw Data'!$A$6:$A$4699))),'Diags Raw Data'!$L$6:$L$4699,'Diags Raw Data'!$P$6:$P$4699)/J55)</f>
        <v>1</v>
      </c>
      <c r="M55" s="418" cm="1">
        <f t="array" ref="M55">SUMPRODUCT(--(ISNUMBER(SEARCH($A55,'Diags Raw Data'!$A$6:$A$4699))),--('Diags Raw Data'!$Q$6:$Q$4699&lt;&gt;"N/A"),'Diags Raw Data'!$R$6:$R$4699)</f>
        <v>1</v>
      </c>
      <c r="N55" s="419" cm="1">
        <f t="array" ref="N55">SUMPRODUCT(--(ISNUMBER(SEARCH($A55,'Diags Raw Data'!$A$6:$A$4699))),--('Diags Raw Data'!$Q$6:$Q$4699&lt;&gt;"N/A"),'Diags Raw Data'!$T$6:$T$4699)+SUMPRODUCT(--(ISNUMBER(SEARCH($A55,'Diags Raw Data'!$A$6:$A$4699))),--('Diags Raw Data'!$Q$6:$Q$4699&lt;&gt;"N/A"),'Diags Raw Data'!$U$6:$U$4699)</f>
        <v>1</v>
      </c>
      <c r="O55" s="462">
        <f t="shared" si="11"/>
        <v>1</v>
      </c>
      <c r="P55" s="420">
        <f>SUMIF('Diags Raw Data'!$A$6:$A$4699,"*"&amp;$A55&amp;"*",'Diags Raw Data'!$Z$6:$Z$4699)</f>
        <v>0</v>
      </c>
      <c r="Q55" s="421">
        <f>SUM(SUMIF('Diags Raw Data'!$A$6:$A$4699,"*"&amp;$A55&amp;"*",'Diags Raw Data'!$AA$6:$AA$4699),SUMIF('Diags Raw Data'!$A$6:$A$4699,"*"&amp;$A55&amp;"*",'Diags Raw Data'!$AB$6:$AB$4699))</f>
        <v>0</v>
      </c>
      <c r="R55" s="422">
        <f t="shared" si="12"/>
        <v>0</v>
      </c>
      <c r="S55" s="422">
        <f t="shared" si="13"/>
        <v>0</v>
      </c>
      <c r="T55" s="423">
        <f t="shared" si="14"/>
        <v>0</v>
      </c>
      <c r="U55" s="469" t="s">
        <v>2797</v>
      </c>
      <c r="V55" s="170"/>
    </row>
    <row r="56" spans="1:22" ht="30" x14ac:dyDescent="0.25">
      <c r="A56" s="446" t="s">
        <v>2234</v>
      </c>
      <c r="B56" s="332" t="str">
        <f>VLOOKUP(A56,'Feature Raw Data'!$A$3:$B$4067,2,FALSE)</f>
        <v>MMHUB:MMUTCL2:VML2 - "is_local" enable / disable register</v>
      </c>
      <c r="C56" s="273" t="str">
        <f>VLOOKUP(A56,'Feature Raw Data'!$A$3:$C$4067,3,FALSE)</f>
        <v>P2</v>
      </c>
      <c r="D56" s="82" t="str" cm="1">
        <f t="array" ref="D56">_xlfn.TEXTJOIN("",TRUE,IF(ISNUMBER(SEARCH($A56,'Diags Raw Data'!$A$6:$A$4699)),CONCATENATE('Diags Raw Data'!$H$6:$H$4699,", "),""))</f>
        <v xml:space="preserve">mhub148.1-4, </v>
      </c>
      <c r="E56" s="169" t="str">
        <f>VLOOKUP(A56,'Diags Raw Data'!$A$6:$D$4699,4,FALSE)</f>
        <v>MMHUB</v>
      </c>
      <c r="F56" s="169" t="str">
        <f>VLOOKUP(A56,'Feature Raw Data'!$A$3:$E$4067,5,FALSE)</f>
        <v>Legacy</v>
      </c>
      <c r="G56" s="169" t="str">
        <f t="shared" si="0"/>
        <v>Yes</v>
      </c>
      <c r="H56" s="169" t="str">
        <f t="shared" ref="H56:H85" si="19">IF(D56="","No","Yes")</f>
        <v>Yes</v>
      </c>
      <c r="I56" s="273">
        <f>SUMIF('Diags Raw Data'!$A$6:$A$4699,"*"&amp;$A56&amp;"*",'Diags Raw Data'!$K$6:$K$4699)</f>
        <v>1</v>
      </c>
      <c r="J56" s="179">
        <f>SUMIF('Diags Raw Data'!$A$6:$A$4699,"*"&amp;$A56&amp;"*",'Diags Raw Data'!$L$6:$L$4699)</f>
        <v>4</v>
      </c>
      <c r="K56" s="416" cm="1">
        <f t="array" ref="K56">IF(D56="",0, SUMPRODUCT(--(ISNUMBER(SEARCH($A56,'Diags Raw Data'!$A$6:$A$4699))),'Diags Raw Data'!$L$6:$L$4699,'Diags Raw Data'!$N$6:$N$4699)/J56)</f>
        <v>1</v>
      </c>
      <c r="L56" s="417" cm="1">
        <f t="array" ref="L56">IF(D56="",0, SUMPRODUCT(--(ISNUMBER(SEARCH($A56,'Diags Raw Data'!$A$6:$A$4699))),'Diags Raw Data'!$L$6:$L$4699,'Diags Raw Data'!$P$6:$P$4699)/J56)</f>
        <v>1</v>
      </c>
      <c r="M56" s="418" cm="1">
        <f t="array" ref="M56">SUMPRODUCT(--(ISNUMBER(SEARCH($A56,'Diags Raw Data'!$A$6:$A$4699))),--('Diags Raw Data'!$Q$6:$Q$4699&lt;&gt;"N/A"),'Diags Raw Data'!$R$6:$R$4699)</f>
        <v>4</v>
      </c>
      <c r="N56" s="419" cm="1">
        <f t="array" ref="N56">SUMPRODUCT(--(ISNUMBER(SEARCH($A56,'Diags Raw Data'!$A$6:$A$4699))),--('Diags Raw Data'!$Q$6:$Q$4699&lt;&gt;"N/A"),'Diags Raw Data'!$T$6:$T$4699)+SUMPRODUCT(--(ISNUMBER(SEARCH($A56,'Diags Raw Data'!$A$6:$A$4699))),--('Diags Raw Data'!$Q$6:$Q$4699&lt;&gt;"N/A"),'Diags Raw Data'!$U$6:$U$4699)</f>
        <v>4</v>
      </c>
      <c r="O56" s="462">
        <f t="shared" ref="O56:O58" si="20">IF((M56=0),0,N56/M56)</f>
        <v>1</v>
      </c>
      <c r="P56" s="420">
        <f>SUMIF('Diags Raw Data'!$A$6:$A$4699,"*"&amp;$A56&amp;"*",'Diags Raw Data'!$Z$6:$Z$4699)</f>
        <v>0</v>
      </c>
      <c r="Q56" s="421">
        <f>SUM(SUMIF('Diags Raw Data'!$A$6:$A$4699,"*"&amp;$A56&amp;"*",'Diags Raw Data'!$AA$6:$AA$4699),SUMIF('Diags Raw Data'!$A$6:$A$4699,"*"&amp;$A56&amp;"*",'Diags Raw Data'!$AB$6:$AB$4699))</f>
        <v>0</v>
      </c>
      <c r="R56" s="422">
        <f t="shared" ref="R56:R58" si="21">IF((J56=0),0,P56/J56)</f>
        <v>0</v>
      </c>
      <c r="S56" s="422">
        <f t="shared" ref="S56:S58" si="22">IF((P56=0),0,Q56/P56)</f>
        <v>0</v>
      </c>
      <c r="T56" s="423">
        <f t="shared" ref="T56:T58" si="23">R56*S56</f>
        <v>0</v>
      </c>
      <c r="U56" s="469" t="s">
        <v>2799</v>
      </c>
      <c r="V56" s="170"/>
    </row>
    <row r="57" spans="1:22" x14ac:dyDescent="0.25">
      <c r="A57" s="446" t="s">
        <v>2438</v>
      </c>
      <c r="B57" s="332" t="str">
        <f>VLOOKUP(A57,'Feature Raw Data'!$A$3:$B$4067,2,FALSE)</f>
        <v>MMHUB:MMUTCL2:VML2 - Steering Registers</v>
      </c>
      <c r="C57" s="273" t="str">
        <f>VLOOKUP(A57,'Feature Raw Data'!$A$3:$C$4067,3,FALSE)</f>
        <v>P2</v>
      </c>
      <c r="D57" s="82" t="str" cm="1">
        <f t="array" ref="D57">_xlfn.TEXTJOIN("",TRUE,IF(ISNUMBER(SEARCH($A57,'Diags Raw Data'!$A$6:$A$4699)),CONCATENATE('Diags Raw Data'!$H$6:$H$4699,", "),""))</f>
        <v/>
      </c>
      <c r="E57" s="169" t="e">
        <f>VLOOKUP(A57,'Diags Raw Data'!$A$6:$D$4699,4,FALSE)</f>
        <v>#N/A</v>
      </c>
      <c r="F57" s="169" t="str">
        <f>VLOOKUP(A57,'Feature Raw Data'!$A$3:$E$4067,5,FALSE)</f>
        <v>Legacy</v>
      </c>
      <c r="G57" s="169" t="s">
        <v>36</v>
      </c>
      <c r="H57" s="169" t="str">
        <f t="shared" si="19"/>
        <v>No</v>
      </c>
      <c r="I57" s="273">
        <f>SUMIF('Diags Raw Data'!$A$6:$A$4699,"*"&amp;$A57&amp;"*",'Diags Raw Data'!$K$6:$K$4699)</f>
        <v>0</v>
      </c>
      <c r="J57" s="179">
        <f>SUMIF('Diags Raw Data'!$A$6:$A$4699,"*"&amp;$A57&amp;"*",'Diags Raw Data'!$L$6:$L$4699)</f>
        <v>0</v>
      </c>
      <c r="K57" s="416" cm="1">
        <f t="array" ref="K57">IF(D57="",0, SUMPRODUCT(--(ISNUMBER(SEARCH($A57,'Diags Raw Data'!$A$6:$A$4699))),'Diags Raw Data'!$L$6:$L$4699,'Diags Raw Data'!$N$6:$N$4699)/J57)</f>
        <v>0</v>
      </c>
      <c r="L57" s="417" cm="1">
        <f t="array" ref="L57">IF(D57="",0, SUMPRODUCT(--(ISNUMBER(SEARCH($A57,'Diags Raw Data'!$A$6:$A$4699))),'Diags Raw Data'!$L$6:$L$4699,'Diags Raw Data'!$P$6:$P$4699)/J57)</f>
        <v>0</v>
      </c>
      <c r="M57" s="418" cm="1">
        <f t="array" ref="M57">SUMPRODUCT(--(ISNUMBER(SEARCH($A57,'Diags Raw Data'!$A$6:$A$4699))),--('Diags Raw Data'!$Q$6:$Q$4699&lt;&gt;"N/A"),'Diags Raw Data'!$R$6:$R$4699)</f>
        <v>0</v>
      </c>
      <c r="N57" s="419" cm="1">
        <f t="array" ref="N57">SUMPRODUCT(--(ISNUMBER(SEARCH($A57,'Diags Raw Data'!$A$6:$A$4699))),--('Diags Raw Data'!$Q$6:$Q$4699&lt;&gt;"N/A"),'Diags Raw Data'!$T$6:$T$4699)+SUMPRODUCT(--(ISNUMBER(SEARCH($A57,'Diags Raw Data'!$A$6:$A$4699))),--('Diags Raw Data'!$Q$6:$Q$4699&lt;&gt;"N/A"),'Diags Raw Data'!$U$6:$U$4699)</f>
        <v>0</v>
      </c>
      <c r="O57" s="462">
        <f t="shared" si="20"/>
        <v>0</v>
      </c>
      <c r="P57" s="420">
        <f>SUMIF('Diags Raw Data'!$A$6:$A$4699,"*"&amp;$A57&amp;"*",'Diags Raw Data'!$Z$6:$Z$4699)</f>
        <v>0</v>
      </c>
      <c r="Q57" s="421">
        <f>SUM(SUMIF('Diags Raw Data'!$A$6:$A$4699,"*"&amp;$A57&amp;"*",'Diags Raw Data'!$AA$6:$AA$4699),SUMIF('Diags Raw Data'!$A$6:$A$4699,"*"&amp;$A57&amp;"*",'Diags Raw Data'!$AB$6:$AB$4699))</f>
        <v>0</v>
      </c>
      <c r="R57" s="422">
        <f t="shared" si="21"/>
        <v>0</v>
      </c>
      <c r="S57" s="422">
        <f t="shared" si="22"/>
        <v>0</v>
      </c>
      <c r="T57" s="423">
        <f t="shared" si="23"/>
        <v>0</v>
      </c>
      <c r="U57" s="469" t="s">
        <v>44</v>
      </c>
      <c r="V57" s="170" t="s">
        <v>43</v>
      </c>
    </row>
    <row r="58" spans="1:22" ht="120" x14ac:dyDescent="0.25">
      <c r="A58" s="446" t="s">
        <v>2440</v>
      </c>
      <c r="B58" s="332" t="str">
        <f>VLOOKUP(A58,'Feature Raw Data'!$A$3:$B$4067,2,FALSE)</f>
        <v>MMHUB:MMUTCL2:VML2 - Mtype Attribute</v>
      </c>
      <c r="C58" s="273" t="str">
        <f>VLOOKUP(A58,'Feature Raw Data'!$A$3:$C$4067,3,FALSE)</f>
        <v>P2</v>
      </c>
      <c r="D58" s="82" t="str" cm="1">
        <f t="array" ref="D58">_xlfn.TEXTJOIN("",TRUE,IF(ISNUMBER(SEARCH($A58,'Diags Raw Data'!$A$6:$A$4699)),CONCATENATE('Diags Raw Data'!$H$6:$H$4699,", "),""))</f>
        <v xml:space="preserve">mhub408.81, mhub408.83, mhub408.85, mhub408.87, mhub408.91, mhub408.93, mhub408.95, mhub408.97, </v>
      </c>
      <c r="E58" s="169" t="e">
        <f>VLOOKUP(A58,'Diags Raw Data'!$A$6:$D$4699,4,FALSE)</f>
        <v>#N/A</v>
      </c>
      <c r="F58" s="169" t="str">
        <f>VLOOKUP(A58,'Feature Raw Data'!$A$3:$E$4067,5,FALSE)</f>
        <v>Legacy</v>
      </c>
      <c r="G58" s="169" t="str">
        <f t="shared" si="0"/>
        <v>Yes</v>
      </c>
      <c r="H58" s="169" t="str">
        <f t="shared" si="19"/>
        <v>Yes</v>
      </c>
      <c r="I58" s="273">
        <f>SUMIF('Diags Raw Data'!$A$6:$A$4699,"*"&amp;$A58&amp;"*",'Diags Raw Data'!$K$6:$K$4699)</f>
        <v>4</v>
      </c>
      <c r="J58" s="179">
        <f>SUMIF('Diags Raw Data'!$A$6:$A$4699,"*"&amp;$A58&amp;"*",'Diags Raw Data'!$L$6:$L$4699)</f>
        <v>4</v>
      </c>
      <c r="K58" s="416" cm="1">
        <f t="array" ref="K58">IF(D58="",0, SUMPRODUCT(--(ISNUMBER(SEARCH($A58,'Diags Raw Data'!$A$6:$A$4699))),'Diags Raw Data'!$L$6:$L$4699,'Diags Raw Data'!$N$6:$N$4699)/J58)</f>
        <v>1</v>
      </c>
      <c r="L58" s="417" cm="1">
        <f t="array" ref="L58">IF(D58="",0, SUMPRODUCT(--(ISNUMBER(SEARCH($A58,'Diags Raw Data'!$A$6:$A$4699))),'Diags Raw Data'!$L$6:$L$4699,'Diags Raw Data'!$P$6:$P$4699)/J58)</f>
        <v>1</v>
      </c>
      <c r="M58" s="418" cm="1">
        <f t="array" ref="M58">SUMPRODUCT(--(ISNUMBER(SEARCH($A58,'Diags Raw Data'!$A$6:$A$4699))),--('Diags Raw Data'!$Q$6:$Q$4699&lt;&gt;"N/A"),'Diags Raw Data'!$R$6:$R$4699)</f>
        <v>4</v>
      </c>
      <c r="N58" s="419" cm="1">
        <f t="array" ref="N58">SUMPRODUCT(--(ISNUMBER(SEARCH($A58,'Diags Raw Data'!$A$6:$A$4699))),--('Diags Raw Data'!$Q$6:$Q$4699&lt;&gt;"N/A"),'Diags Raw Data'!$T$6:$T$4699)+SUMPRODUCT(--(ISNUMBER(SEARCH($A58,'Diags Raw Data'!$A$6:$A$4699))),--('Diags Raw Data'!$Q$6:$Q$4699&lt;&gt;"N/A"),'Diags Raw Data'!$U$6:$U$4699)</f>
        <v>4</v>
      </c>
      <c r="O58" s="462">
        <f t="shared" si="20"/>
        <v>1</v>
      </c>
      <c r="P58" s="420">
        <f>SUMIF('Diags Raw Data'!$A$6:$A$4699,"*"&amp;$A58&amp;"*",'Diags Raw Data'!$Z$6:$Z$4699)</f>
        <v>0</v>
      </c>
      <c r="Q58" s="421">
        <f>SUM(SUMIF('Diags Raw Data'!$A$6:$A$4699,"*"&amp;$A58&amp;"*",'Diags Raw Data'!$AA$6:$AA$4699),SUMIF('Diags Raw Data'!$A$6:$A$4699,"*"&amp;$A58&amp;"*",'Diags Raw Data'!$AB$6:$AB$4699))</f>
        <v>0</v>
      </c>
      <c r="R58" s="422">
        <f t="shared" si="21"/>
        <v>0</v>
      </c>
      <c r="S58" s="422">
        <f t="shared" si="22"/>
        <v>0</v>
      </c>
      <c r="T58" s="423">
        <f t="shared" si="23"/>
        <v>0</v>
      </c>
      <c r="U58" s="469" t="s">
        <v>2801</v>
      </c>
      <c r="V58" s="170"/>
    </row>
    <row r="59" spans="1:22" ht="60" x14ac:dyDescent="0.25">
      <c r="A59" s="446" t="s">
        <v>2442</v>
      </c>
      <c r="B59" s="332" t="str">
        <f>VLOOKUP(A59,'Feature Raw Data'!$A$3:$B$4067,2,FALSE)</f>
        <v>MMHUB:MMUTCL2:VML2 - VML2 BigK/4K cache swap</v>
      </c>
      <c r="C59" s="273" t="str">
        <f>VLOOKUP(A59,'Feature Raw Data'!$A$3:$C$4067,3,FALSE)</f>
        <v>P2</v>
      </c>
      <c r="D59" s="82" t="str" cm="1">
        <f t="array" ref="D59">_xlfn.TEXTJOIN("",TRUE,IF(ISNUMBER(SEARCH($A59,'Diags Raw Data'!$A$6:$A$4699)),CONCATENATE('Diags Raw Data'!$H$6:$H$4699,", "),""))</f>
        <v xml:space="preserve">mhub034.1, mhub034.2, mhub034.3, mhub034.4, </v>
      </c>
      <c r="E59" s="169" t="e">
        <f>VLOOKUP(A59,'Diags Raw Data'!$A$6:$D$4699,4,FALSE)</f>
        <v>#N/A</v>
      </c>
      <c r="F59" s="169" t="str">
        <f>VLOOKUP(A59,'Feature Raw Data'!$A$3:$E$4067,5,FALSE)</f>
        <v>Legacy</v>
      </c>
      <c r="G59" s="169" t="str">
        <f t="shared" si="0"/>
        <v>Yes</v>
      </c>
      <c r="H59" s="169" t="str">
        <f t="shared" si="19"/>
        <v>Yes</v>
      </c>
      <c r="I59" s="273">
        <f>SUMIF('Diags Raw Data'!$A$6:$A$4699,"*"&amp;$A59&amp;"*",'Diags Raw Data'!$K$6:$K$4699)</f>
        <v>4</v>
      </c>
      <c r="J59" s="179">
        <f>SUMIF('Diags Raw Data'!$A$6:$A$4699,"*"&amp;$A59&amp;"*",'Diags Raw Data'!$L$6:$L$4699)</f>
        <v>4</v>
      </c>
      <c r="K59" s="416" cm="1">
        <f t="array" ref="K59">IF(D59="",0, SUMPRODUCT(--(ISNUMBER(SEARCH($A59,'Diags Raw Data'!$A$6:$A$4699))),'Diags Raw Data'!$L$6:$L$4699,'Diags Raw Data'!$N$6:$N$4699)/J59)</f>
        <v>1</v>
      </c>
      <c r="L59" s="417" cm="1">
        <f t="array" ref="L59">IF(D59="",0, SUMPRODUCT(--(ISNUMBER(SEARCH($A59,'Diags Raw Data'!$A$6:$A$4699))),'Diags Raw Data'!$L$6:$L$4699,'Diags Raw Data'!$P$6:$P$4699)/J59)</f>
        <v>1</v>
      </c>
      <c r="M59" s="418" cm="1">
        <f t="array" ref="M59">SUMPRODUCT(--(ISNUMBER(SEARCH($A59,'Diags Raw Data'!$A$6:$A$4699))),--('Diags Raw Data'!$Q$6:$Q$4699&lt;&gt;"N/A"),'Diags Raw Data'!$R$6:$R$4699)</f>
        <v>4</v>
      </c>
      <c r="N59" s="419" cm="1">
        <f t="array" ref="N59">SUMPRODUCT(--(ISNUMBER(SEARCH($A59,'Diags Raw Data'!$A$6:$A$4699))),--('Diags Raw Data'!$Q$6:$Q$4699&lt;&gt;"N/A"),'Diags Raw Data'!$T$6:$T$4699)+SUMPRODUCT(--(ISNUMBER(SEARCH($A59,'Diags Raw Data'!$A$6:$A$4699))),--('Diags Raw Data'!$Q$6:$Q$4699&lt;&gt;"N/A"),'Diags Raw Data'!$U$6:$U$4699)</f>
        <v>4</v>
      </c>
      <c r="O59" s="462">
        <f>IF((M59=0),0,N59/M59)</f>
        <v>1</v>
      </c>
      <c r="P59" s="420">
        <f>SUMIF('Diags Raw Data'!$A$6:$A$4699,"*"&amp;$A59&amp;"*",'Diags Raw Data'!$Z$6:$Z$4699)</f>
        <v>0</v>
      </c>
      <c r="Q59" s="421">
        <f>SUM(SUMIF('Diags Raw Data'!$A$6:$A$4699,"*"&amp;$A59&amp;"*",'Diags Raw Data'!$AA$6:$AA$4699),SUMIF('Diags Raw Data'!$A$6:$A$4699,"*"&amp;$A59&amp;"*",'Diags Raw Data'!$AB$6:$AB$4699))</f>
        <v>0</v>
      </c>
      <c r="R59" s="422">
        <f>IF((J59=0),0,P59/J59)</f>
        <v>0</v>
      </c>
      <c r="S59" s="422">
        <f>IF((P59=0),0,Q59/P59)</f>
        <v>0</v>
      </c>
      <c r="T59" s="423">
        <f>R59*S59</f>
        <v>0</v>
      </c>
      <c r="U59" s="469" t="s">
        <v>2804</v>
      </c>
      <c r="V59" s="170"/>
    </row>
    <row r="60" spans="1:22" ht="45" x14ac:dyDescent="0.25">
      <c r="A60" s="446" t="s">
        <v>2444</v>
      </c>
      <c r="B60" s="332" t="str">
        <f>VLOOKUP(A60,'Feature Raw Data'!$A$3:$B$4067,2,FALSE)</f>
        <v>MMHUB:MMUTCL2:VML2 - "noalloc" support (MALL)</v>
      </c>
      <c r="C60" s="273" t="str">
        <f>VLOOKUP(A60,'Feature Raw Data'!$A$3:$C$4067,3,FALSE)</f>
        <v>N/A</v>
      </c>
      <c r="D60" s="82" t="str" cm="1">
        <f t="array" ref="D60">_xlfn.TEXTJOIN("",TRUE,IF(ISNUMBER(SEARCH($A60,'Diags Raw Data'!$A$6:$A$4699)),CONCATENATE('Diags Raw Data'!$H$6:$H$4699,", "),""))</f>
        <v xml:space="preserve">mhub150.1-4,10,11,12,20,21,30-41, </v>
      </c>
      <c r="E60" s="169" t="e">
        <f>VLOOKUP(A60,'Diags Raw Data'!$A$6:$D$4699,4,FALSE)</f>
        <v>#N/A</v>
      </c>
      <c r="F60" s="169" t="str">
        <f>VLOOKUP(A60,'Feature Raw Data'!$A$3:$E$4067,5,FALSE)</f>
        <v>Legacy</v>
      </c>
      <c r="G60" s="169" t="str">
        <f t="shared" si="0"/>
        <v>Yes</v>
      </c>
      <c r="H60" s="169" t="str">
        <f t="shared" si="19"/>
        <v>Yes</v>
      </c>
      <c r="I60" s="273">
        <f>SUMIF('Diags Raw Data'!$A$6:$A$4699,"*"&amp;$A60&amp;"*",'Diags Raw Data'!$K$6:$K$4699)</f>
        <v>1</v>
      </c>
      <c r="J60" s="179">
        <f>SUMIF('Diags Raw Data'!$A$6:$A$4699,"*"&amp;$A60&amp;"*",'Diags Raw Data'!$L$6:$L$4699)</f>
        <v>21</v>
      </c>
      <c r="K60" s="416" cm="1">
        <f t="array" ref="K60">IF(D60="",0, SUMPRODUCT(--(ISNUMBER(SEARCH($A60,'Diags Raw Data'!$A$6:$A$4699))),'Diags Raw Data'!$L$6:$L$4699,'Diags Raw Data'!$N$6:$N$4699)/J60)</f>
        <v>1</v>
      </c>
      <c r="L60" s="417" cm="1">
        <f t="array" ref="L60">IF(D60="",0, SUMPRODUCT(--(ISNUMBER(SEARCH($A60,'Diags Raw Data'!$A$6:$A$4699))),'Diags Raw Data'!$L$6:$L$4699,'Diags Raw Data'!$P$6:$P$4699)/J60)</f>
        <v>0</v>
      </c>
      <c r="M60" s="418" cm="1">
        <f t="array" ref="M60">SUMPRODUCT(--(ISNUMBER(SEARCH($A60,'Diags Raw Data'!$A$6:$A$4699))),--('Diags Raw Data'!$Q$6:$Q$4699&lt;&gt;"N/A"),'Diags Raw Data'!$R$6:$R$4699)</f>
        <v>19</v>
      </c>
      <c r="N60" s="419" cm="1">
        <f t="array" ref="N60">SUMPRODUCT(--(ISNUMBER(SEARCH($A60,'Diags Raw Data'!$A$6:$A$4699))),--('Diags Raw Data'!$Q$6:$Q$4699&lt;&gt;"N/A"),'Diags Raw Data'!$T$6:$T$4699)+SUMPRODUCT(--(ISNUMBER(SEARCH($A60,'Diags Raw Data'!$A$6:$A$4699))),--('Diags Raw Data'!$Q$6:$Q$4699&lt;&gt;"N/A"),'Diags Raw Data'!$U$6:$U$4699)</f>
        <v>19</v>
      </c>
      <c r="O60" s="462">
        <f>IF((M60=0),0,N60/M60)</f>
        <v>1</v>
      </c>
      <c r="P60" s="420">
        <f>SUMIF('Diags Raw Data'!$A$6:$A$4699,"*"&amp;$A60&amp;"*",'Diags Raw Data'!$Z$6:$Z$4699)</f>
        <v>0</v>
      </c>
      <c r="Q60" s="421">
        <f>SUM(SUMIF('Diags Raw Data'!$A$6:$A$4699,"*"&amp;$A60&amp;"*",'Diags Raw Data'!$AA$6:$AA$4699),SUMIF('Diags Raw Data'!$A$6:$A$4699,"*"&amp;$A60&amp;"*",'Diags Raw Data'!$AB$6:$AB$4699))</f>
        <v>0</v>
      </c>
      <c r="R60" s="422">
        <f>IF((J60=0),0,P60/J60)</f>
        <v>0</v>
      </c>
      <c r="S60" s="422">
        <f>IF((P60=0),0,Q60/P60)</f>
        <v>0</v>
      </c>
      <c r="T60" s="423">
        <f>R60*S60</f>
        <v>0</v>
      </c>
      <c r="U60" s="469" t="s">
        <v>2799</v>
      </c>
      <c r="V60" s="170"/>
    </row>
    <row r="61" spans="1:22" ht="30" x14ac:dyDescent="0.25">
      <c r="A61" s="446" t="s">
        <v>2450</v>
      </c>
      <c r="B61" s="332" t="str">
        <f>VLOOKUP(A61,'Feature Raw Data'!$A$3:$B$4067,2,FALSE)</f>
        <v>MMHUB:MMUTCL2:VML2 - Per VF BigK/SmallK/Bank_Select Support</v>
      </c>
      <c r="C61" s="273" t="str">
        <f>VLOOKUP(A61,'Feature Raw Data'!$A$3:$C$4067,3,FALSE)</f>
        <v>N/A</v>
      </c>
      <c r="D61" s="82" t="str" cm="1">
        <f t="array" ref="D61">_xlfn.TEXTJOIN("",TRUE,IF(ISNUMBER(SEARCH($A61,'Diags Raw Data'!$A$6:$A$4699)),CONCATENATE('Diags Raw Data'!$H$6:$H$4699,", "),""))</f>
        <v xml:space="preserve">mhub059.1-32, </v>
      </c>
      <c r="E61" s="169" t="e">
        <f>VLOOKUP(A61,'Diags Raw Data'!$A$6:$D$4699,4,FALSE)</f>
        <v>#N/A</v>
      </c>
      <c r="F61" s="169" t="str">
        <f>VLOOKUP(A61,'Feature Raw Data'!$A$3:$E$4067,5,FALSE)</f>
        <v>Legacy</v>
      </c>
      <c r="G61" s="169" t="str">
        <f t="shared" si="0"/>
        <v>Yes</v>
      </c>
      <c r="H61" s="169" t="str">
        <f t="shared" si="19"/>
        <v>Yes</v>
      </c>
      <c r="I61" s="273">
        <f>SUMIF('Diags Raw Data'!$A$6:$A$4699,"*"&amp;$A61&amp;"*",'Diags Raw Data'!$K$6:$K$4699)</f>
        <v>1</v>
      </c>
      <c r="J61" s="179">
        <f>SUMIF('Diags Raw Data'!$A$6:$A$4699,"*"&amp;$A61&amp;"*",'Diags Raw Data'!$L$6:$L$4699)</f>
        <v>32</v>
      </c>
      <c r="K61" s="416" cm="1">
        <f t="array" ref="K61">IF(D61="",0, SUMPRODUCT(--(ISNUMBER(SEARCH($A61,'Diags Raw Data'!$A$6:$A$4699))),'Diags Raw Data'!$L$6:$L$4699,'Diags Raw Data'!$N$6:$N$4699)/J61)</f>
        <v>1</v>
      </c>
      <c r="L61" s="417" cm="1">
        <f t="array" ref="L61">IF(D61="",0, SUMPRODUCT(--(ISNUMBER(SEARCH($A61,'Diags Raw Data'!$A$6:$A$4699))),'Diags Raw Data'!$L$6:$L$4699,'Diags Raw Data'!$P$6:$P$4699)/J61)</f>
        <v>0</v>
      </c>
      <c r="M61" s="418" cm="1">
        <f t="array" ref="M61">SUMPRODUCT(--(ISNUMBER(SEARCH($A61,'Diags Raw Data'!$A$6:$A$4699))),--('Diags Raw Data'!$Q$6:$Q$4699&lt;&gt;"N/A"),'Diags Raw Data'!$R$6:$R$4699)</f>
        <v>32</v>
      </c>
      <c r="N61" s="419" cm="1">
        <f t="array" ref="N61">SUMPRODUCT(--(ISNUMBER(SEARCH($A61,'Diags Raw Data'!$A$6:$A$4699))),--('Diags Raw Data'!$Q$6:$Q$4699&lt;&gt;"N/A"),'Diags Raw Data'!$T$6:$T$4699)+SUMPRODUCT(--(ISNUMBER(SEARCH($A61,'Diags Raw Data'!$A$6:$A$4699))),--('Diags Raw Data'!$Q$6:$Q$4699&lt;&gt;"N/A"),'Diags Raw Data'!$U$6:$U$4699)</f>
        <v>32</v>
      </c>
      <c r="O61" s="462">
        <f>IF((M61=0),0,N61/M61)</f>
        <v>1</v>
      </c>
      <c r="P61" s="420">
        <f>SUMIF('Diags Raw Data'!$A$6:$A$4699,"*"&amp;$A61&amp;"*",'Diags Raw Data'!$Z$6:$Z$4699)</f>
        <v>0</v>
      </c>
      <c r="Q61" s="421">
        <f>SUM(SUMIF('Diags Raw Data'!$A$6:$A$4699,"*"&amp;$A61&amp;"*",'Diags Raw Data'!$AA$6:$AA$4699),SUMIF('Diags Raw Data'!$A$6:$A$4699,"*"&amp;$A61&amp;"*",'Diags Raw Data'!$AB$6:$AB$4699))</f>
        <v>0</v>
      </c>
      <c r="R61" s="422">
        <f>IF((J61=0),0,P61/J61)</f>
        <v>0</v>
      </c>
      <c r="S61" s="422">
        <f t="shared" ref="S61:S76" si="24">IF((P61=0),0,Q61/P61)</f>
        <v>0</v>
      </c>
      <c r="T61" s="423">
        <f>R61*S61</f>
        <v>0</v>
      </c>
      <c r="U61" s="469" t="s">
        <v>2804</v>
      </c>
      <c r="V61" s="170"/>
    </row>
    <row r="62" spans="1:22" ht="30" x14ac:dyDescent="0.25">
      <c r="A62" s="446" t="s">
        <v>2452</v>
      </c>
      <c r="B62" s="332" t="str">
        <f>VLOOKUP(A62,'Feature Raw Data'!$A$3:$B$4067,2,FALSE)</f>
        <v>MMHUB:MMUTCL2:VML2 - Per VMID BigK/SmallK/Bank_Select Support</v>
      </c>
      <c r="C62" s="273" t="str">
        <f>VLOOKUP(A62,'Feature Raw Data'!$A$3:$C$4067,3,FALSE)</f>
        <v>P2</v>
      </c>
      <c r="D62" s="82" t="str" cm="1">
        <f t="array" ref="D62">_xlfn.TEXTJOIN("",TRUE,IF(ISNUMBER(SEARCH($A62,'Diags Raw Data'!$A$6:$A$4699)),CONCATENATE('Diags Raw Data'!$H$6:$H$4699,", "),""))</f>
        <v xml:space="preserve">mhub059.1-32, </v>
      </c>
      <c r="E62" s="169" t="e">
        <f>VLOOKUP(A62,'Diags Raw Data'!$A$6:$D$4699,4,FALSE)</f>
        <v>#N/A</v>
      </c>
      <c r="F62" s="169" t="str">
        <f>VLOOKUP(A62,'Feature Raw Data'!$A$3:$E$4067,5,FALSE)</f>
        <v>Legacy</v>
      </c>
      <c r="G62" s="169" t="str">
        <f t="shared" si="0"/>
        <v>Yes</v>
      </c>
      <c r="H62" s="169" t="str">
        <f t="shared" si="19"/>
        <v>Yes</v>
      </c>
      <c r="I62" s="273">
        <f>SUMIF('Diags Raw Data'!$A$6:$A$4699,"*"&amp;$A62&amp;"*",'Diags Raw Data'!$K$6:$K$4699)</f>
        <v>1</v>
      </c>
      <c r="J62" s="179">
        <f>SUMIF('Diags Raw Data'!$A$6:$A$4699,"*"&amp;$A62&amp;"*",'Diags Raw Data'!$L$6:$L$4699)</f>
        <v>32</v>
      </c>
      <c r="K62" s="416" cm="1">
        <f t="array" ref="K62">IF(D62="",0, SUMPRODUCT(--(ISNUMBER(SEARCH($A62,'Diags Raw Data'!$A$6:$A$4699))),'Diags Raw Data'!$L$6:$L$4699,'Diags Raw Data'!$N$6:$N$4699)/J62)</f>
        <v>1</v>
      </c>
      <c r="L62" s="417" cm="1">
        <f t="array" ref="L62">IF(D62="",0, SUMPRODUCT(--(ISNUMBER(SEARCH($A62,'Diags Raw Data'!$A$6:$A$4699))),'Diags Raw Data'!$L$6:$L$4699,'Diags Raw Data'!$P$6:$P$4699)/J62)</f>
        <v>0</v>
      </c>
      <c r="M62" s="418" cm="1">
        <f t="array" ref="M62">SUMPRODUCT(--(ISNUMBER(SEARCH($A62,'Diags Raw Data'!$A$6:$A$4699))),--('Diags Raw Data'!$Q$6:$Q$4699&lt;&gt;"N/A"),'Diags Raw Data'!$R$6:$R$4699)</f>
        <v>32</v>
      </c>
      <c r="N62" s="419" cm="1">
        <f t="array" ref="N62">SUMPRODUCT(--(ISNUMBER(SEARCH($A62,'Diags Raw Data'!$A$6:$A$4699))),--('Diags Raw Data'!$Q$6:$Q$4699&lt;&gt;"N/A"),'Diags Raw Data'!$T$6:$T$4699)+SUMPRODUCT(--(ISNUMBER(SEARCH($A62,'Diags Raw Data'!$A$6:$A$4699))),--('Diags Raw Data'!$Q$6:$Q$4699&lt;&gt;"N/A"),'Diags Raw Data'!$U$6:$U$4699)</f>
        <v>32</v>
      </c>
      <c r="O62" s="462">
        <f>IF((M62=0),0,N62/M62)</f>
        <v>1</v>
      </c>
      <c r="P62" s="420">
        <f>SUMIF('Diags Raw Data'!$A$6:$A$4699,"*"&amp;$A62&amp;"*",'Diags Raw Data'!$Z$6:$Z$4699)</f>
        <v>0</v>
      </c>
      <c r="Q62" s="421">
        <f>SUM(SUMIF('Diags Raw Data'!$A$6:$A$4699,"*"&amp;$A62&amp;"*",'Diags Raw Data'!$AA$6:$AA$4699),SUMIF('Diags Raw Data'!$A$6:$A$4699,"*"&amp;$A62&amp;"*",'Diags Raw Data'!$AB$6:$AB$4699))</f>
        <v>0</v>
      </c>
      <c r="R62" s="422">
        <f>IF((J62=0),0,P62/J62)</f>
        <v>0</v>
      </c>
      <c r="S62" s="422">
        <f t="shared" si="24"/>
        <v>0</v>
      </c>
      <c r="T62" s="423">
        <f>R62*S62</f>
        <v>0</v>
      </c>
      <c r="U62" s="469" t="s">
        <v>2804</v>
      </c>
      <c r="V62" s="170"/>
    </row>
    <row r="63" spans="1:22" ht="90" x14ac:dyDescent="0.25">
      <c r="A63" s="446" t="s">
        <v>484</v>
      </c>
      <c r="B63" s="332" t="str">
        <f>VLOOKUP(A63,'Feature Raw Data'!$A$3:$B$4067,2,FALSE)</f>
        <v>MMHUB:MMUTCL2:VML2 - GPUVM L2 cache read/dump capabilities</v>
      </c>
      <c r="C63" s="273" t="str">
        <f>VLOOKUP(A63,'Feature Raw Data'!$A$3:$C$4067,3,FALSE)</f>
        <v>P3</v>
      </c>
      <c r="D63" s="82" t="str" cm="1">
        <f t="array" ref="D63">_xlfn.TEXTJOIN("",TRUE,IF(ISNUMBER(SEARCH($A63,'Diags Raw Data'!$A$6:$A$4699)),CONCATENATE('Diags Raw Data'!$H$6:$H$4699,", "),""))</f>
        <v xml:space="preserve">mhub031.10-13, mhub033.101,103,106, mhub033.104, </v>
      </c>
      <c r="E63" s="169" t="str">
        <f>VLOOKUP(A63,'Diags Raw Data'!$A$6:$D$4699,4,FALSE)</f>
        <v>MMHUB</v>
      </c>
      <c r="F63" s="169" t="str">
        <f>VLOOKUP(A63,'Feature Raw Data'!$A$3:$E$4067,5,FALSE)</f>
        <v>Legacy</v>
      </c>
      <c r="G63" s="169" t="str">
        <f t="shared" si="0"/>
        <v>Yes</v>
      </c>
      <c r="H63" s="169" t="str">
        <f t="shared" si="19"/>
        <v>Yes</v>
      </c>
      <c r="I63" s="273">
        <f>SUMIF('Diags Raw Data'!$A$6:$A$4699,"*"&amp;$A63&amp;"*",'Diags Raw Data'!$K$6:$K$4699)</f>
        <v>6</v>
      </c>
      <c r="J63" s="179">
        <f>SUMIF('Diags Raw Data'!$A$6:$A$4699,"*"&amp;$A63&amp;"*",'Diags Raw Data'!$L$6:$L$4699)</f>
        <v>8</v>
      </c>
      <c r="K63" s="416" cm="1">
        <f t="array" ref="K63">IF(D63="",0, SUMPRODUCT(--(ISNUMBER(SEARCH($A63,'Diags Raw Data'!$A$6:$A$4699))),'Diags Raw Data'!$L$6:$L$4699,'Diags Raw Data'!$N$6:$N$4699)/J63)</f>
        <v>1</v>
      </c>
      <c r="L63" s="417" cm="1">
        <f t="array" ref="L63">IF(D63="",0, SUMPRODUCT(--(ISNUMBER(SEARCH($A63,'Diags Raw Data'!$A$6:$A$4699))),'Diags Raw Data'!$L$6:$L$4699,'Diags Raw Data'!$P$6:$P$4699)/J63)</f>
        <v>1</v>
      </c>
      <c r="M63" s="418" cm="1">
        <f t="array" ref="M63">SUMPRODUCT(--(ISNUMBER(SEARCH($A63,'Diags Raw Data'!$A$6:$A$4699))),--('Diags Raw Data'!$Q$6:$Q$4699&lt;&gt;"N/A"),'Diags Raw Data'!$R$6:$R$4699)</f>
        <v>8</v>
      </c>
      <c r="N63" s="419" cm="1">
        <f t="array" ref="N63">SUMPRODUCT(--(ISNUMBER(SEARCH($A63,'Diags Raw Data'!$A$6:$A$4699))),--('Diags Raw Data'!$Q$6:$Q$4699&lt;&gt;"N/A"),'Diags Raw Data'!$T$6:$T$4699)+SUMPRODUCT(--(ISNUMBER(SEARCH($A63,'Diags Raw Data'!$A$6:$A$4699))),--('Diags Raw Data'!$Q$6:$Q$4699&lt;&gt;"N/A"),'Diags Raw Data'!$U$6:$U$4699)</f>
        <v>8</v>
      </c>
      <c r="O63" s="462">
        <f t="shared" ref="O63:O76" si="25">IF((M63=0),0,N63/M63)</f>
        <v>1</v>
      </c>
      <c r="P63" s="420">
        <f>SUMIF('Diags Raw Data'!$A$6:$A$4699,"*"&amp;$A63&amp;"*",'Diags Raw Data'!$Z$6:$Z$4699)</f>
        <v>0</v>
      </c>
      <c r="Q63" s="421">
        <f>SUM(SUMIF('Diags Raw Data'!$A$6:$A$4699,"*"&amp;$A63&amp;"*",'Diags Raw Data'!$AA$6:$AA$4699),SUMIF('Diags Raw Data'!$A$6:$A$4699,"*"&amp;$A63&amp;"*",'Diags Raw Data'!$AB$6:$AB$4699))</f>
        <v>0</v>
      </c>
      <c r="R63" s="422">
        <f t="shared" ref="R63:R76" si="26">IF((J63=0),0,P63/J63)</f>
        <v>0</v>
      </c>
      <c r="S63" s="422">
        <f t="shared" si="24"/>
        <v>0</v>
      </c>
      <c r="T63" s="423">
        <f t="shared" ref="T63:T76" si="27">R63*S63</f>
        <v>0</v>
      </c>
      <c r="U63" s="469" t="s">
        <v>2807</v>
      </c>
      <c r="V63" s="170"/>
    </row>
    <row r="64" spans="1:22" ht="150" x14ac:dyDescent="0.25">
      <c r="A64" s="446" t="s">
        <v>2456</v>
      </c>
      <c r="B64" s="332" t="str">
        <f>VLOOKUP(A64,'Feature Raw Data'!$A$3:$B$4067,2,FALSE)</f>
        <v>MMHUB:MMUTCL2:VML2 - Walker fetch behavior: REQUEST_PHYSICAL and PDE.S/C</v>
      </c>
      <c r="C64" s="273" t="str">
        <f>VLOOKUP(A64,'Feature Raw Data'!$A$3:$C$4067,3,FALSE)</f>
        <v>P2</v>
      </c>
      <c r="D64" s="82" t="str" cm="1">
        <f t="array" ref="D64">_xlfn.TEXTJOIN("",TRUE,IF(ISNUMBER(SEARCH($A64,'Diags Raw Data'!$A$6:$A$4699)),CONCATENATE('Diags Raw Data'!$H$6:$H$4699,", "),""))</f>
        <v xml:space="preserve">mhub013.1, mhub013.2, mhub013.3, mhub013.4, mhub013.5, mhub013.6, mhub013.7, mhub013.8, mhub013.9, mhub013.10, </v>
      </c>
      <c r="E64" s="169" t="e">
        <f>VLOOKUP(A64,'Diags Raw Data'!$A$6:$D$4699,4,FALSE)</f>
        <v>#N/A</v>
      </c>
      <c r="F64" s="169" t="str">
        <f>VLOOKUP(A64,'Feature Raw Data'!$A$3:$E$4067,5,FALSE)</f>
        <v>Legacy</v>
      </c>
      <c r="G64" s="169" t="str">
        <f t="shared" ref="G64:G84" si="28">IF(D64="","No","Yes")</f>
        <v>Yes</v>
      </c>
      <c r="H64" s="169" t="str">
        <f t="shared" si="19"/>
        <v>Yes</v>
      </c>
      <c r="I64" s="273">
        <f>SUMIF('Diags Raw Data'!$A$6:$A$4699,"*"&amp;$A64&amp;"*",'Diags Raw Data'!$K$6:$K$4699)</f>
        <v>10</v>
      </c>
      <c r="J64" s="179">
        <f>SUMIF('Diags Raw Data'!$A$6:$A$4699,"*"&amp;$A64&amp;"*",'Diags Raw Data'!$L$6:$L$4699)</f>
        <v>10</v>
      </c>
      <c r="K64" s="416" cm="1">
        <f t="array" ref="K64">IF(D64="",0, SUMPRODUCT(--(ISNUMBER(SEARCH($A64,'Diags Raw Data'!$A$6:$A$4699))),'Diags Raw Data'!$L$6:$L$4699,'Diags Raw Data'!$N$6:$N$4699)/J64)</f>
        <v>1</v>
      </c>
      <c r="L64" s="417" cm="1">
        <f t="array" ref="L64">IF(D64="",0, SUMPRODUCT(--(ISNUMBER(SEARCH($A64,'Diags Raw Data'!$A$6:$A$4699))),'Diags Raw Data'!$L$6:$L$4699,'Diags Raw Data'!$P$6:$P$4699)/J64)</f>
        <v>1</v>
      </c>
      <c r="M64" s="418" cm="1">
        <f t="array" ref="M64">SUMPRODUCT(--(ISNUMBER(SEARCH($A64,'Diags Raw Data'!$A$6:$A$4699))),--('Diags Raw Data'!$Q$6:$Q$4699&lt;&gt;"N/A"),'Diags Raw Data'!$R$6:$R$4699)</f>
        <v>10</v>
      </c>
      <c r="N64" s="419" cm="1">
        <f t="array" ref="N64">SUMPRODUCT(--(ISNUMBER(SEARCH($A64,'Diags Raw Data'!$A$6:$A$4699))),--('Diags Raw Data'!$Q$6:$Q$4699&lt;&gt;"N/A"),'Diags Raw Data'!$T$6:$T$4699)+SUMPRODUCT(--(ISNUMBER(SEARCH($A64,'Diags Raw Data'!$A$6:$A$4699))),--('Diags Raw Data'!$Q$6:$Q$4699&lt;&gt;"N/A"),'Diags Raw Data'!$U$6:$U$4699)</f>
        <v>10</v>
      </c>
      <c r="O64" s="462">
        <f t="shared" si="25"/>
        <v>1</v>
      </c>
      <c r="P64" s="420">
        <f>SUMIF('Diags Raw Data'!$A$6:$A$4699,"*"&amp;$A64&amp;"*",'Diags Raw Data'!$Z$6:$Z$4699)</f>
        <v>0</v>
      </c>
      <c r="Q64" s="421">
        <f>SUM(SUMIF('Diags Raw Data'!$A$6:$A$4699,"*"&amp;$A64&amp;"*",'Diags Raw Data'!$AA$6:$AA$4699),SUMIF('Diags Raw Data'!$A$6:$A$4699,"*"&amp;$A64&amp;"*",'Diags Raw Data'!$AB$6:$AB$4699))</f>
        <v>0</v>
      </c>
      <c r="R64" s="422">
        <f t="shared" si="26"/>
        <v>0</v>
      </c>
      <c r="S64" s="422">
        <f t="shared" si="24"/>
        <v>0</v>
      </c>
      <c r="T64" s="423">
        <f t="shared" si="27"/>
        <v>0</v>
      </c>
      <c r="U64" s="469" t="s">
        <v>2796</v>
      </c>
      <c r="V64" s="170"/>
    </row>
    <row r="65" spans="1:22" ht="90" x14ac:dyDescent="0.25">
      <c r="A65" s="446" t="s">
        <v>2462</v>
      </c>
      <c r="B65" s="332" t="str">
        <f>VLOOKUP(A65,'Feature Raw Data'!$A$3:$B$4067,2,FALSE)</f>
        <v>MMHUB:MMUTCL2:ATCL2 - Caches</v>
      </c>
      <c r="C65" s="273" t="str">
        <f>VLOOKUP(A65,'Feature Raw Data'!$A$3:$C$4067,3,FALSE)</f>
        <v>P2</v>
      </c>
      <c r="D65" s="82" t="str" cm="1">
        <f t="array" ref="D65">_xlfn.TEXTJOIN("",TRUE,IF(ISNUMBER(SEARCH($A65,'Diags Raw Data'!$A$6:$A$4699)),CONCATENATE('Diags Raw Data'!$H$6:$H$4699,", "),""))</f>
        <v xml:space="preserve">mhub240.1, mhub240.2, mhub240.3, mhub240.4, mhub240.5, mhub240.6, </v>
      </c>
      <c r="E65" s="169" t="e">
        <f>VLOOKUP(A65,'Diags Raw Data'!$A$6:$D$4699,4,FALSE)</f>
        <v>#N/A</v>
      </c>
      <c r="F65" s="169" t="str">
        <f>VLOOKUP(A65,'Feature Raw Data'!$A$3:$E$4067,5,FALSE)</f>
        <v>Legacy</v>
      </c>
      <c r="G65" s="169" t="str">
        <f t="shared" si="28"/>
        <v>Yes</v>
      </c>
      <c r="H65" s="169" t="str">
        <f t="shared" si="19"/>
        <v>Yes</v>
      </c>
      <c r="I65" s="273">
        <f>SUMIF('Diags Raw Data'!$A$6:$A$4699,"*"&amp;$A65&amp;"*",'Diags Raw Data'!$K$6:$K$4699)</f>
        <v>6</v>
      </c>
      <c r="J65" s="179">
        <f>SUMIF('Diags Raw Data'!$A$6:$A$4699,"*"&amp;$A65&amp;"*",'Diags Raw Data'!$L$6:$L$4699)</f>
        <v>6</v>
      </c>
      <c r="K65" s="416" cm="1">
        <f t="array" ref="K65">IF(D65="",0, SUMPRODUCT(--(ISNUMBER(SEARCH($A65,'Diags Raw Data'!$A$6:$A$4699))),'Diags Raw Data'!$L$6:$L$4699,'Diags Raw Data'!$N$6:$N$4699)/J65)</f>
        <v>1</v>
      </c>
      <c r="L65" s="417" cm="1">
        <f t="array" ref="L65">IF(D65="",0, SUMPRODUCT(--(ISNUMBER(SEARCH($A65,'Diags Raw Data'!$A$6:$A$4699))),'Diags Raw Data'!$L$6:$L$4699,'Diags Raw Data'!$P$6:$P$4699)/J65)</f>
        <v>1</v>
      </c>
      <c r="M65" s="418" cm="1">
        <f t="array" ref="M65">SUMPRODUCT(--(ISNUMBER(SEARCH($A65,'Diags Raw Data'!$A$6:$A$4699))),--('Diags Raw Data'!$Q$6:$Q$4699&lt;&gt;"N/A"),'Diags Raw Data'!$R$6:$R$4699)</f>
        <v>6</v>
      </c>
      <c r="N65" s="419" cm="1">
        <f t="array" ref="N65">SUMPRODUCT(--(ISNUMBER(SEARCH($A65,'Diags Raw Data'!$A$6:$A$4699))),--('Diags Raw Data'!$Q$6:$Q$4699&lt;&gt;"N/A"),'Diags Raw Data'!$T$6:$T$4699)+SUMPRODUCT(--(ISNUMBER(SEARCH($A65,'Diags Raw Data'!$A$6:$A$4699))),--('Diags Raw Data'!$Q$6:$Q$4699&lt;&gt;"N/A"),'Diags Raw Data'!$U$6:$U$4699)</f>
        <v>6</v>
      </c>
      <c r="O65" s="462">
        <f t="shared" si="25"/>
        <v>1</v>
      </c>
      <c r="P65" s="420">
        <f>SUMIF('Diags Raw Data'!$A$6:$A$4699,"*"&amp;$A65&amp;"*",'Diags Raw Data'!$Z$6:$Z$4699)</f>
        <v>0</v>
      </c>
      <c r="Q65" s="421">
        <f>SUM(SUMIF('Diags Raw Data'!$A$6:$A$4699,"*"&amp;$A65&amp;"*",'Diags Raw Data'!$AA$6:$AA$4699),SUMIF('Diags Raw Data'!$A$6:$A$4699,"*"&amp;$A65&amp;"*",'Diags Raw Data'!$AB$6:$AB$4699))</f>
        <v>0</v>
      </c>
      <c r="R65" s="422">
        <f t="shared" si="26"/>
        <v>0</v>
      </c>
      <c r="S65" s="422">
        <f t="shared" si="24"/>
        <v>0</v>
      </c>
      <c r="T65" s="423">
        <f t="shared" si="27"/>
        <v>0</v>
      </c>
      <c r="U65" s="469" t="s">
        <v>2808</v>
      </c>
      <c r="V65" s="170"/>
    </row>
    <row r="66" spans="1:22" ht="120" x14ac:dyDescent="0.25">
      <c r="A66" s="446" t="s">
        <v>616</v>
      </c>
      <c r="B66" s="332" t="str">
        <f>VLOOKUP(A66,'Feature Raw Data'!$A$3:$B$4067,2,FALSE)</f>
        <v>MMHUB:MMUTCL2:ATCL2 - Instantiate separate ATCL2 cache banks for NonRT vs SoftRT</v>
      </c>
      <c r="C66" s="273" t="str">
        <f>VLOOKUP(A66,'Feature Raw Data'!$A$3:$C$4067,3,FALSE)</f>
        <v>P2</v>
      </c>
      <c r="D66" s="82" t="str" cm="1">
        <f t="array" ref="D66">_xlfn.TEXTJOIN("",TRUE,IF(ISNUMBER(SEARCH($A66,'Diags Raw Data'!$A$6:$A$4699)),CONCATENATE('Diags Raw Data'!$H$6:$H$4699,", "),""))</f>
        <v xml:space="preserve">mhub040.1-4, mhub040.11,13, mhub040.12,14, mhub042.1, mhub042.2, </v>
      </c>
      <c r="E66" s="169" t="str">
        <f>VLOOKUP(A66,'Diags Raw Data'!$A$6:$D$4699,4,FALSE)</f>
        <v>MMHUB</v>
      </c>
      <c r="F66" s="169" t="str">
        <f>VLOOKUP(A66,'Feature Raw Data'!$A$3:$E$4067,5,FALSE)</f>
        <v>Legacy</v>
      </c>
      <c r="G66" s="169" t="str">
        <f t="shared" si="28"/>
        <v>Yes</v>
      </c>
      <c r="H66" s="169" t="str">
        <f t="shared" si="19"/>
        <v>Yes</v>
      </c>
      <c r="I66" s="273">
        <f>SUMIF('Diags Raw Data'!$A$6:$A$4699,"*"&amp;$A66&amp;"*",'Diags Raw Data'!$K$6:$K$4699)</f>
        <v>9</v>
      </c>
      <c r="J66" s="179">
        <f>SUMIF('Diags Raw Data'!$A$6:$A$4699,"*"&amp;$A66&amp;"*",'Diags Raw Data'!$L$6:$L$4699)</f>
        <v>10</v>
      </c>
      <c r="K66" s="416" cm="1">
        <f t="array" ref="K66">IF(D66="",0, SUMPRODUCT(--(ISNUMBER(SEARCH($A66,'Diags Raw Data'!$A$6:$A$4699))),'Diags Raw Data'!$L$6:$L$4699,'Diags Raw Data'!$N$6:$N$4699)/J66)</f>
        <v>1</v>
      </c>
      <c r="L66" s="417" cm="1">
        <f t="array" ref="L66">IF(D66="",0, SUMPRODUCT(--(ISNUMBER(SEARCH($A66,'Diags Raw Data'!$A$6:$A$4699))),'Diags Raw Data'!$L$6:$L$4699,'Diags Raw Data'!$P$6:$P$4699)/J66)</f>
        <v>1</v>
      </c>
      <c r="M66" s="418" cm="1">
        <f t="array" ref="M66">SUMPRODUCT(--(ISNUMBER(SEARCH($A66,'Diags Raw Data'!$A$6:$A$4699))),--('Diags Raw Data'!$Q$6:$Q$4699&lt;&gt;"N/A"),'Diags Raw Data'!$R$6:$R$4699)</f>
        <v>10</v>
      </c>
      <c r="N66" s="419" cm="1">
        <f t="array" ref="N66">SUMPRODUCT(--(ISNUMBER(SEARCH($A66,'Diags Raw Data'!$A$6:$A$4699))),--('Diags Raw Data'!$Q$6:$Q$4699&lt;&gt;"N/A"),'Diags Raw Data'!$T$6:$T$4699)+SUMPRODUCT(--(ISNUMBER(SEARCH($A66,'Diags Raw Data'!$A$6:$A$4699))),--('Diags Raw Data'!$Q$6:$Q$4699&lt;&gt;"N/A"),'Diags Raw Data'!$U$6:$U$4699)</f>
        <v>10</v>
      </c>
      <c r="O66" s="462">
        <f t="shared" si="25"/>
        <v>1</v>
      </c>
      <c r="P66" s="420">
        <f>SUMIF('Diags Raw Data'!$A$6:$A$4699,"*"&amp;$A66&amp;"*",'Diags Raw Data'!$Z$6:$Z$4699)</f>
        <v>0</v>
      </c>
      <c r="Q66" s="421">
        <f>SUM(SUMIF('Diags Raw Data'!$A$6:$A$4699,"*"&amp;$A66&amp;"*",'Diags Raw Data'!$AA$6:$AA$4699),SUMIF('Diags Raw Data'!$A$6:$A$4699,"*"&amp;$A66&amp;"*",'Diags Raw Data'!$AB$6:$AB$4699))</f>
        <v>0</v>
      </c>
      <c r="R66" s="422">
        <f t="shared" si="26"/>
        <v>0</v>
      </c>
      <c r="S66" s="422">
        <f t="shared" si="24"/>
        <v>0</v>
      </c>
      <c r="T66" s="423">
        <f t="shared" si="27"/>
        <v>0</v>
      </c>
      <c r="U66" s="469" t="s">
        <v>2807</v>
      </c>
      <c r="V66" s="170"/>
    </row>
    <row r="67" spans="1:22" ht="30" x14ac:dyDescent="0.25">
      <c r="A67" s="446" t="s">
        <v>2467</v>
      </c>
      <c r="B67" s="332" t="str">
        <f>VLOOKUP(A67,'Feature Raw Data'!$A$3:$B$4067,2,FALSE)</f>
        <v>MMHUB:MMUTCL2:ATCL2 - QoS Programmable Registers</v>
      </c>
      <c r="C67" s="273" t="str">
        <f>VLOOKUP(A67,'Feature Raw Data'!$A$3:$C$4067,3,FALSE)</f>
        <v>P2</v>
      </c>
      <c r="D67" s="82" t="str" cm="1">
        <f t="array" ref="D67">_xlfn.TEXTJOIN("",TRUE,IF(ISNUMBER(SEARCH($A67,'Diags Raw Data'!$A$6:$A$4699)),CONCATENATE('Diags Raw Data'!$H$6:$H$4699,", "),""))</f>
        <v/>
      </c>
      <c r="E67" s="169" t="e">
        <f>VLOOKUP(A67,'Diags Raw Data'!$A$6:$D$4699,4,FALSE)</f>
        <v>#N/A</v>
      </c>
      <c r="F67" s="169" t="str">
        <f>VLOOKUP(A67,'Feature Raw Data'!$A$3:$E$4067,5,FALSE)</f>
        <v>Legacy</v>
      </c>
      <c r="G67" s="169" t="str">
        <f t="shared" si="28"/>
        <v>No</v>
      </c>
      <c r="H67" s="169" t="str">
        <f t="shared" si="19"/>
        <v>No</v>
      </c>
      <c r="I67" s="273">
        <f>SUMIF('Diags Raw Data'!$A$6:$A$4699,"*"&amp;$A67&amp;"*",'Diags Raw Data'!$K$6:$K$4699)</f>
        <v>0</v>
      </c>
      <c r="J67" s="179">
        <f>SUMIF('Diags Raw Data'!$A$6:$A$4699,"*"&amp;$A67&amp;"*",'Diags Raw Data'!$L$6:$L$4699)</f>
        <v>0</v>
      </c>
      <c r="K67" s="416" cm="1">
        <f t="array" ref="K67">IF(D67="",0, SUMPRODUCT(--(ISNUMBER(SEARCH($A67,'Diags Raw Data'!$A$6:$A$4699))),'Diags Raw Data'!$L$6:$L$4699,'Diags Raw Data'!$N$6:$N$4699)/J67)</f>
        <v>0</v>
      </c>
      <c r="L67" s="417" cm="1">
        <f t="array" ref="L67">IF(D67="",0, SUMPRODUCT(--(ISNUMBER(SEARCH($A67,'Diags Raw Data'!$A$6:$A$4699))),'Diags Raw Data'!$L$6:$L$4699,'Diags Raw Data'!$P$6:$P$4699)/J67)</f>
        <v>0</v>
      </c>
      <c r="M67" s="418" cm="1">
        <f t="array" ref="M67">SUMPRODUCT(--(ISNUMBER(SEARCH($A67,'Diags Raw Data'!$A$6:$A$4699))),--('Diags Raw Data'!$Q$6:$Q$4699&lt;&gt;"N/A"),'Diags Raw Data'!$R$6:$R$4699)</f>
        <v>0</v>
      </c>
      <c r="N67" s="419" cm="1">
        <f t="array" ref="N67">SUMPRODUCT(--(ISNUMBER(SEARCH($A67,'Diags Raw Data'!$A$6:$A$4699))),--('Diags Raw Data'!$Q$6:$Q$4699&lt;&gt;"N/A"),'Diags Raw Data'!$T$6:$T$4699)+SUMPRODUCT(--(ISNUMBER(SEARCH($A67,'Diags Raw Data'!$A$6:$A$4699))),--('Diags Raw Data'!$Q$6:$Q$4699&lt;&gt;"N/A"),'Diags Raw Data'!$U$6:$U$4699)</f>
        <v>0</v>
      </c>
      <c r="O67" s="462">
        <f t="shared" si="25"/>
        <v>0</v>
      </c>
      <c r="P67" s="420">
        <f>SUMIF('Diags Raw Data'!$A$6:$A$4699,"*"&amp;$A67&amp;"*",'Diags Raw Data'!$Z$6:$Z$4699)</f>
        <v>0</v>
      </c>
      <c r="Q67" s="421">
        <f>SUM(SUMIF('Diags Raw Data'!$A$6:$A$4699,"*"&amp;$A67&amp;"*",'Diags Raw Data'!$AA$6:$AA$4699),SUMIF('Diags Raw Data'!$A$6:$A$4699,"*"&amp;$A67&amp;"*",'Diags Raw Data'!$AB$6:$AB$4699))</f>
        <v>0</v>
      </c>
      <c r="R67" s="422">
        <f t="shared" si="26"/>
        <v>0</v>
      </c>
      <c r="S67" s="422">
        <f t="shared" si="24"/>
        <v>0</v>
      </c>
      <c r="T67" s="423">
        <f t="shared" si="27"/>
        <v>0</v>
      </c>
      <c r="U67" s="469" t="s">
        <v>44</v>
      </c>
      <c r="V67" s="170" t="s">
        <v>43</v>
      </c>
    </row>
    <row r="68" spans="1:22" ht="30" x14ac:dyDescent="0.25">
      <c r="A68" s="446" t="s">
        <v>2469</v>
      </c>
      <c r="B68" s="332" t="str">
        <f>VLOOKUP(A68,'Feature Raw Data'!$A$3:$B$4067,2,FALSE)</f>
        <v>MMHUB:MMUTCL2:ATCL2 - Swappable smallK/midK/bigK caches</v>
      </c>
      <c r="C68" s="273" t="str">
        <f>VLOOKUP(A68,'Feature Raw Data'!$A$3:$C$4067,3,FALSE)</f>
        <v>P2</v>
      </c>
      <c r="D68" s="82" t="str" cm="1">
        <f t="array" ref="D68">_xlfn.TEXTJOIN("",TRUE,IF(ISNUMBER(SEARCH($A68,'Diags Raw Data'!$A$6:$A$4699)),CONCATENATE('Diags Raw Data'!$H$6:$H$4699,", "),""))</f>
        <v xml:space="preserve">mhub240.1, </v>
      </c>
      <c r="E68" s="169" t="e">
        <f>VLOOKUP(A68,'Diags Raw Data'!$A$6:$D$4699,4,FALSE)</f>
        <v>#N/A</v>
      </c>
      <c r="F68" s="169" t="str">
        <f>VLOOKUP(A68,'Feature Raw Data'!$A$3:$E$4067,5,FALSE)</f>
        <v>Legacy</v>
      </c>
      <c r="G68" s="169" t="str">
        <f t="shared" si="28"/>
        <v>Yes</v>
      </c>
      <c r="H68" s="169" t="str">
        <f t="shared" si="19"/>
        <v>Yes</v>
      </c>
      <c r="I68" s="273">
        <f>SUMIF('Diags Raw Data'!$A$6:$A$4699,"*"&amp;$A68&amp;"*",'Diags Raw Data'!$K$6:$K$4699)</f>
        <v>1</v>
      </c>
      <c r="J68" s="179">
        <f>SUMIF('Diags Raw Data'!$A$6:$A$4699,"*"&amp;$A68&amp;"*",'Diags Raw Data'!$L$6:$L$4699)</f>
        <v>1</v>
      </c>
      <c r="K68" s="416" cm="1">
        <f t="array" ref="K68">IF(D68="",0, SUMPRODUCT(--(ISNUMBER(SEARCH($A68,'Diags Raw Data'!$A$6:$A$4699))),'Diags Raw Data'!$L$6:$L$4699,'Diags Raw Data'!$N$6:$N$4699)/J68)</f>
        <v>1</v>
      </c>
      <c r="L68" s="417" cm="1">
        <f t="array" ref="L68">IF(D68="",0, SUMPRODUCT(--(ISNUMBER(SEARCH($A68,'Diags Raw Data'!$A$6:$A$4699))),'Diags Raw Data'!$L$6:$L$4699,'Diags Raw Data'!$P$6:$P$4699)/J68)</f>
        <v>1</v>
      </c>
      <c r="M68" s="418" cm="1">
        <f t="array" ref="M68">SUMPRODUCT(--(ISNUMBER(SEARCH($A68,'Diags Raw Data'!$A$6:$A$4699))),--('Diags Raw Data'!$Q$6:$Q$4699&lt;&gt;"N/A"),'Diags Raw Data'!$R$6:$R$4699)</f>
        <v>1</v>
      </c>
      <c r="N68" s="419" cm="1">
        <f t="array" ref="N68">SUMPRODUCT(--(ISNUMBER(SEARCH($A68,'Diags Raw Data'!$A$6:$A$4699))),--('Diags Raw Data'!$Q$6:$Q$4699&lt;&gt;"N/A"),'Diags Raw Data'!$T$6:$T$4699)+SUMPRODUCT(--(ISNUMBER(SEARCH($A68,'Diags Raw Data'!$A$6:$A$4699))),--('Diags Raw Data'!$Q$6:$Q$4699&lt;&gt;"N/A"),'Diags Raw Data'!$U$6:$U$4699)</f>
        <v>1</v>
      </c>
      <c r="O68" s="462">
        <f t="shared" si="25"/>
        <v>1</v>
      </c>
      <c r="P68" s="420">
        <f>SUMIF('Diags Raw Data'!$A$6:$A$4699,"*"&amp;$A68&amp;"*",'Diags Raw Data'!$Z$6:$Z$4699)</f>
        <v>0</v>
      </c>
      <c r="Q68" s="421">
        <f>SUM(SUMIF('Diags Raw Data'!$A$6:$A$4699,"*"&amp;$A68&amp;"*",'Diags Raw Data'!$AA$6:$AA$4699),SUMIF('Diags Raw Data'!$A$6:$A$4699,"*"&amp;$A68&amp;"*",'Diags Raw Data'!$AB$6:$AB$4699))</f>
        <v>0</v>
      </c>
      <c r="R68" s="422">
        <f t="shared" si="26"/>
        <v>0</v>
      </c>
      <c r="S68" s="422">
        <f t="shared" si="24"/>
        <v>0</v>
      </c>
      <c r="T68" s="423">
        <f t="shared" si="27"/>
        <v>0</v>
      </c>
      <c r="U68" s="469" t="s">
        <v>2807</v>
      </c>
      <c r="V68" s="170"/>
    </row>
    <row r="69" spans="1:22" ht="375" x14ac:dyDescent="0.25">
      <c r="A69" s="446" t="s">
        <v>2475</v>
      </c>
      <c r="B69" s="332" t="str">
        <f>VLOOKUP(A69,'Feature Raw Data'!$A$3:$B$4067,2,FALSE)</f>
        <v>MMHUB:MMUTCL2:ATCL2 - Console IOV Support (Pseudo-IOV)</v>
      </c>
      <c r="C69" s="273" t="str">
        <f>VLOOKUP(A69,'Feature Raw Data'!$A$3:$C$4067,3,FALSE)</f>
        <v>P2</v>
      </c>
      <c r="D69" s="82" t="str" cm="1">
        <f t="array" ref="D69">_xlfn.TEXTJOIN("",TRUE,IF(ISNUMBER(SEARCH($A69,'Diags Raw Data'!$A$6:$A$4699)),CONCATENATE('Diags Raw Data'!$H$6:$H$4699,", "),""))</f>
        <v xml:space="preserve">mhub414.1, mhub414.2, mhub414.3, mhub414.4, mhub414.5, mhub414.6, mhub414.7, mhub414.8, mhub414.101, mhub414.102, mhub414.103, mhub414.104, mhub414.105, mhub414.106, mhub414.107, mhub414.108, mhub416.1-4, </v>
      </c>
      <c r="E69" s="169" t="e">
        <f>VLOOKUP(A69,'Diags Raw Data'!$A$6:$D$4699,4,FALSE)</f>
        <v>#N/A</v>
      </c>
      <c r="F69" s="169" t="str">
        <f>VLOOKUP(A69,'Feature Raw Data'!$A$3:$E$4067,5,FALSE)</f>
        <v>Legacy</v>
      </c>
      <c r="G69" s="169" t="str">
        <f t="shared" si="28"/>
        <v>Yes</v>
      </c>
      <c r="H69" s="169" t="str">
        <f t="shared" si="19"/>
        <v>Yes</v>
      </c>
      <c r="I69" s="273">
        <f>SUMIF('Diags Raw Data'!$A$6:$A$4699,"*"&amp;$A69&amp;"*",'Diags Raw Data'!$K$6:$K$4699)</f>
        <v>17</v>
      </c>
      <c r="J69" s="179">
        <f>SUMIF('Diags Raw Data'!$A$6:$A$4699,"*"&amp;$A69&amp;"*",'Diags Raw Data'!$L$6:$L$4699)</f>
        <v>20</v>
      </c>
      <c r="K69" s="416" cm="1">
        <f t="array" ref="K69">IF(D69="",0, SUMPRODUCT(--(ISNUMBER(SEARCH($A69,'Diags Raw Data'!$A$6:$A$4699))),'Diags Raw Data'!$L$6:$L$4699,'Diags Raw Data'!$N$6:$N$4699)/J69)</f>
        <v>1</v>
      </c>
      <c r="L69" s="417" cm="1">
        <f t="array" ref="L69">IF(D69="",0, SUMPRODUCT(--(ISNUMBER(SEARCH($A69,'Diags Raw Data'!$A$6:$A$4699))),'Diags Raw Data'!$L$6:$L$4699,'Diags Raw Data'!$P$6:$P$4699)/J69)</f>
        <v>1</v>
      </c>
      <c r="M69" s="418" cm="1">
        <f t="array" ref="M69">SUMPRODUCT(--(ISNUMBER(SEARCH($A69,'Diags Raw Data'!$A$6:$A$4699))),--('Diags Raw Data'!$Q$6:$Q$4699&lt;&gt;"N/A"),'Diags Raw Data'!$R$6:$R$4699)</f>
        <v>20</v>
      </c>
      <c r="N69" s="419" cm="1">
        <f t="array" ref="N69">SUMPRODUCT(--(ISNUMBER(SEARCH($A69,'Diags Raw Data'!$A$6:$A$4699))),--('Diags Raw Data'!$Q$6:$Q$4699&lt;&gt;"N/A"),'Diags Raw Data'!$T$6:$T$4699)+SUMPRODUCT(--(ISNUMBER(SEARCH($A69,'Diags Raw Data'!$A$6:$A$4699))),--('Diags Raw Data'!$Q$6:$Q$4699&lt;&gt;"N/A"),'Diags Raw Data'!$U$6:$U$4699)</f>
        <v>20</v>
      </c>
      <c r="O69" s="462">
        <f t="shared" si="25"/>
        <v>1</v>
      </c>
      <c r="P69" s="420">
        <f>SUMIF('Diags Raw Data'!$A$6:$A$4699,"*"&amp;$A69&amp;"*",'Diags Raw Data'!$Z$6:$Z$4699)</f>
        <v>0</v>
      </c>
      <c r="Q69" s="421">
        <f>SUM(SUMIF('Diags Raw Data'!$A$6:$A$4699,"*"&amp;$A69&amp;"*",'Diags Raw Data'!$AA$6:$AA$4699),SUMIF('Diags Raw Data'!$A$6:$A$4699,"*"&amp;$A69&amp;"*",'Diags Raw Data'!$AB$6:$AB$4699))</f>
        <v>0</v>
      </c>
      <c r="R69" s="422">
        <f t="shared" si="26"/>
        <v>0</v>
      </c>
      <c r="S69" s="422">
        <f t="shared" si="24"/>
        <v>0</v>
      </c>
      <c r="T69" s="423">
        <f t="shared" si="27"/>
        <v>0</v>
      </c>
      <c r="U69" s="469" t="s">
        <v>2803</v>
      </c>
      <c r="V69" s="170"/>
    </row>
    <row r="70" spans="1:22" x14ac:dyDescent="0.25">
      <c r="A70" s="446" t="s">
        <v>2477</v>
      </c>
      <c r="B70" s="332" t="str">
        <f>VLOOKUP(A70,'Feature Raw Data'!$A$3:$B$4067,2,FALSE)</f>
        <v>MMHUB:MMUTCL2:ATCL2 - U-bit support</v>
      </c>
      <c r="C70" s="273" t="str">
        <f>VLOOKUP(A70,'Feature Raw Data'!$A$3:$C$4067,3,FALSE)</f>
        <v>P2</v>
      </c>
      <c r="D70" s="82" t="str" cm="1">
        <f t="array" ref="D70">_xlfn.TEXTJOIN("",TRUE,IF(ISNUMBER(SEARCH($A70,'Diags Raw Data'!$A$6:$A$4699)),CONCATENATE('Diags Raw Data'!$H$6:$H$4699,", "),""))</f>
        <v xml:space="preserve">mhub237.5, </v>
      </c>
      <c r="E70" s="169" t="e">
        <f>VLOOKUP(A70,'Diags Raw Data'!$A$6:$D$4699,4,FALSE)</f>
        <v>#N/A</v>
      </c>
      <c r="F70" s="169" t="str">
        <f>VLOOKUP(A70,'Feature Raw Data'!$A$3:$E$4067,5,FALSE)</f>
        <v>Legacy</v>
      </c>
      <c r="G70" s="169" t="str">
        <f t="shared" si="28"/>
        <v>Yes</v>
      </c>
      <c r="H70" s="169" t="str">
        <f t="shared" si="19"/>
        <v>Yes</v>
      </c>
      <c r="I70" s="273">
        <f>SUMIF('Diags Raw Data'!$A$6:$A$4699,"*"&amp;$A70&amp;"*",'Diags Raw Data'!$K$6:$K$4699)</f>
        <v>1</v>
      </c>
      <c r="J70" s="179">
        <f>SUMIF('Diags Raw Data'!$A$6:$A$4699,"*"&amp;$A70&amp;"*",'Diags Raw Data'!$L$6:$L$4699)</f>
        <v>1</v>
      </c>
      <c r="K70" s="416" cm="1">
        <f t="array" ref="K70">IF(D70="",0, SUMPRODUCT(--(ISNUMBER(SEARCH($A70,'Diags Raw Data'!$A$6:$A$4699))),'Diags Raw Data'!$L$6:$L$4699,'Diags Raw Data'!$N$6:$N$4699)/J70)</f>
        <v>1</v>
      </c>
      <c r="L70" s="417" cm="1">
        <f t="array" ref="L70">IF(D70="",0, SUMPRODUCT(--(ISNUMBER(SEARCH($A70,'Diags Raw Data'!$A$6:$A$4699))),'Diags Raw Data'!$L$6:$L$4699,'Diags Raw Data'!$P$6:$P$4699)/J70)</f>
        <v>1</v>
      </c>
      <c r="M70" s="418" cm="1">
        <f t="array" ref="M70">SUMPRODUCT(--(ISNUMBER(SEARCH($A70,'Diags Raw Data'!$A$6:$A$4699))),--('Diags Raw Data'!$Q$6:$Q$4699&lt;&gt;"N/A"),'Diags Raw Data'!$R$6:$R$4699)</f>
        <v>1</v>
      </c>
      <c r="N70" s="419" cm="1">
        <f t="array" ref="N70">SUMPRODUCT(--(ISNUMBER(SEARCH($A70,'Diags Raw Data'!$A$6:$A$4699))),--('Diags Raw Data'!$Q$6:$Q$4699&lt;&gt;"N/A"),'Diags Raw Data'!$T$6:$T$4699)+SUMPRODUCT(--(ISNUMBER(SEARCH($A70,'Diags Raw Data'!$A$6:$A$4699))),--('Diags Raw Data'!$Q$6:$Q$4699&lt;&gt;"N/A"),'Diags Raw Data'!$U$6:$U$4699)</f>
        <v>1</v>
      </c>
      <c r="O70" s="462">
        <f t="shared" si="25"/>
        <v>1</v>
      </c>
      <c r="P70" s="420">
        <f>SUMIF('Diags Raw Data'!$A$6:$A$4699,"*"&amp;$A70&amp;"*",'Diags Raw Data'!$Z$6:$Z$4699)</f>
        <v>0</v>
      </c>
      <c r="Q70" s="421">
        <f>SUM(SUMIF('Diags Raw Data'!$A$6:$A$4699,"*"&amp;$A70&amp;"*",'Diags Raw Data'!$AA$6:$AA$4699),SUMIF('Diags Raw Data'!$A$6:$A$4699,"*"&amp;$A70&amp;"*",'Diags Raw Data'!$AB$6:$AB$4699))</f>
        <v>0</v>
      </c>
      <c r="R70" s="422">
        <f t="shared" si="26"/>
        <v>0</v>
      </c>
      <c r="S70" s="422">
        <f t="shared" si="24"/>
        <v>0</v>
      </c>
      <c r="T70" s="423">
        <f t="shared" si="27"/>
        <v>0</v>
      </c>
      <c r="U70" s="469" t="s">
        <v>2808</v>
      </c>
      <c r="V70" s="170"/>
    </row>
    <row r="71" spans="1:22" ht="30" x14ac:dyDescent="0.25">
      <c r="A71" s="446" t="s">
        <v>2479</v>
      </c>
      <c r="B71" s="332" t="str">
        <f>VLOOKUP(A71,'Feature Raw Data'!$A$3:$B$4067,2,FALSE)</f>
        <v>MMHUB:MMUTCL2:ATCL2 - Snoop Override</v>
      </c>
      <c r="C71" s="273" t="str">
        <f>VLOOKUP(A71,'Feature Raw Data'!$A$3:$C$4067,3,FALSE)</f>
        <v>P2</v>
      </c>
      <c r="D71" s="82" t="str" cm="1">
        <f t="array" ref="D71">_xlfn.TEXTJOIN("",TRUE,IF(ISNUMBER(SEARCH($A71,'Diags Raw Data'!$A$6:$A$4699)),CONCATENATE('Diags Raw Data'!$H$6:$H$4699,", "),""))</f>
        <v xml:space="preserve">mhub416.1-4, </v>
      </c>
      <c r="E71" s="169" t="e">
        <f>VLOOKUP(A71,'Diags Raw Data'!$A$6:$D$4699,4,FALSE)</f>
        <v>#N/A</v>
      </c>
      <c r="F71" s="169" t="str">
        <f>VLOOKUP(A71,'Feature Raw Data'!$A$3:$E$4067,5,FALSE)</f>
        <v>Legacy</v>
      </c>
      <c r="G71" s="169" t="str">
        <f t="shared" si="28"/>
        <v>Yes</v>
      </c>
      <c r="H71" s="169" t="str">
        <f t="shared" si="19"/>
        <v>Yes</v>
      </c>
      <c r="I71" s="273">
        <f>SUMIF('Diags Raw Data'!$A$6:$A$4699,"*"&amp;$A71&amp;"*",'Diags Raw Data'!$K$6:$K$4699)</f>
        <v>1</v>
      </c>
      <c r="J71" s="179">
        <f>SUMIF('Diags Raw Data'!$A$6:$A$4699,"*"&amp;$A71&amp;"*",'Diags Raw Data'!$L$6:$L$4699)</f>
        <v>4</v>
      </c>
      <c r="K71" s="416" cm="1">
        <f t="array" ref="K71">IF(D71="",0, SUMPRODUCT(--(ISNUMBER(SEARCH($A71,'Diags Raw Data'!$A$6:$A$4699))),'Diags Raw Data'!$L$6:$L$4699,'Diags Raw Data'!$N$6:$N$4699)/J71)</f>
        <v>1</v>
      </c>
      <c r="L71" s="417" cm="1">
        <f t="array" ref="L71">IF(D71="",0, SUMPRODUCT(--(ISNUMBER(SEARCH($A71,'Diags Raw Data'!$A$6:$A$4699))),'Diags Raw Data'!$L$6:$L$4699,'Diags Raw Data'!$P$6:$P$4699)/J71)</f>
        <v>1</v>
      </c>
      <c r="M71" s="418" cm="1">
        <f t="array" ref="M71">SUMPRODUCT(--(ISNUMBER(SEARCH($A71,'Diags Raw Data'!$A$6:$A$4699))),--('Diags Raw Data'!$Q$6:$Q$4699&lt;&gt;"N/A"),'Diags Raw Data'!$R$6:$R$4699)</f>
        <v>4</v>
      </c>
      <c r="N71" s="419" cm="1">
        <f t="array" ref="N71">SUMPRODUCT(--(ISNUMBER(SEARCH($A71,'Diags Raw Data'!$A$6:$A$4699))),--('Diags Raw Data'!$Q$6:$Q$4699&lt;&gt;"N/A"),'Diags Raw Data'!$T$6:$T$4699)+SUMPRODUCT(--(ISNUMBER(SEARCH($A71,'Diags Raw Data'!$A$6:$A$4699))),--('Diags Raw Data'!$Q$6:$Q$4699&lt;&gt;"N/A"),'Diags Raw Data'!$U$6:$U$4699)</f>
        <v>4</v>
      </c>
      <c r="O71" s="462">
        <f t="shared" si="25"/>
        <v>1</v>
      </c>
      <c r="P71" s="420">
        <f>SUMIF('Diags Raw Data'!$A$6:$A$4699,"*"&amp;$A71&amp;"*",'Diags Raw Data'!$Z$6:$Z$4699)</f>
        <v>0</v>
      </c>
      <c r="Q71" s="421">
        <f>SUM(SUMIF('Diags Raw Data'!$A$6:$A$4699,"*"&amp;$A71&amp;"*",'Diags Raw Data'!$AA$6:$AA$4699),SUMIF('Diags Raw Data'!$A$6:$A$4699,"*"&amp;$A71&amp;"*",'Diags Raw Data'!$AB$6:$AB$4699))</f>
        <v>0</v>
      </c>
      <c r="R71" s="422">
        <f t="shared" si="26"/>
        <v>0</v>
      </c>
      <c r="S71" s="422">
        <f t="shared" si="24"/>
        <v>0</v>
      </c>
      <c r="T71" s="423">
        <f t="shared" si="27"/>
        <v>0</v>
      </c>
      <c r="U71" s="469" t="s">
        <v>2802</v>
      </c>
      <c r="V71" s="170"/>
    </row>
    <row r="72" spans="1:22" ht="30" x14ac:dyDescent="0.25">
      <c r="A72" s="446" t="s">
        <v>2481</v>
      </c>
      <c r="B72" s="332" t="str">
        <f>VLOOKUP(A72,'Feature Raw Data'!$A$3:$B$4067,2,FALSE)</f>
        <v>MMHUB:MMUTCL2:ATCL2 - Invalidate by Address Range and VMID aka "Sharpshooting"</v>
      </c>
      <c r="C72" s="273" t="str">
        <f>VLOOKUP(A72,'Feature Raw Data'!$A$3:$C$4067,3,FALSE)</f>
        <v>P2</v>
      </c>
      <c r="D72" s="82" t="str" cm="1">
        <f t="array" ref="D72">_xlfn.TEXTJOIN("",TRUE,IF(ISNUMBER(SEARCH($A72,'Diags Raw Data'!$A$6:$A$4699)),CONCATENATE('Diags Raw Data'!$H$6:$H$4699,", "),""))</f>
        <v xml:space="preserve">mhub269.1-5, </v>
      </c>
      <c r="E72" s="169" t="e">
        <f>VLOOKUP(A72,'Diags Raw Data'!$A$6:$D$4699,4,FALSE)</f>
        <v>#N/A</v>
      </c>
      <c r="F72" s="169" t="str">
        <f>VLOOKUP(A72,'Feature Raw Data'!$A$3:$E$4067,5,FALSE)</f>
        <v>Legacy</v>
      </c>
      <c r="G72" s="169" t="str">
        <f t="shared" si="28"/>
        <v>Yes</v>
      </c>
      <c r="H72" s="169" t="str">
        <f t="shared" si="19"/>
        <v>Yes</v>
      </c>
      <c r="I72" s="273">
        <f>SUMIF('Diags Raw Data'!$A$6:$A$4699,"*"&amp;$A72&amp;"*",'Diags Raw Data'!$K$6:$K$4699)</f>
        <v>1</v>
      </c>
      <c r="J72" s="179">
        <f>SUMIF('Diags Raw Data'!$A$6:$A$4699,"*"&amp;$A72&amp;"*",'Diags Raw Data'!$L$6:$L$4699)</f>
        <v>5</v>
      </c>
      <c r="K72" s="416" cm="1">
        <f t="array" ref="K72">IF(D72="",0, SUMPRODUCT(--(ISNUMBER(SEARCH($A72,'Diags Raw Data'!$A$6:$A$4699))),'Diags Raw Data'!$L$6:$L$4699,'Diags Raw Data'!$N$6:$N$4699)/J72)</f>
        <v>1</v>
      </c>
      <c r="L72" s="417" cm="1">
        <f t="array" ref="L72">IF(D72="",0, SUMPRODUCT(--(ISNUMBER(SEARCH($A72,'Diags Raw Data'!$A$6:$A$4699))),'Diags Raw Data'!$L$6:$L$4699,'Diags Raw Data'!$P$6:$P$4699)/J72)</f>
        <v>1</v>
      </c>
      <c r="M72" s="418" cm="1">
        <f t="array" ref="M72">SUMPRODUCT(--(ISNUMBER(SEARCH($A72,'Diags Raw Data'!$A$6:$A$4699))),--('Diags Raw Data'!$Q$6:$Q$4699&lt;&gt;"N/A"),'Diags Raw Data'!$R$6:$R$4699)</f>
        <v>5</v>
      </c>
      <c r="N72" s="419" cm="1">
        <f t="array" ref="N72">SUMPRODUCT(--(ISNUMBER(SEARCH($A72,'Diags Raw Data'!$A$6:$A$4699))),--('Diags Raw Data'!$Q$6:$Q$4699&lt;&gt;"N/A"),'Diags Raw Data'!$T$6:$T$4699)+SUMPRODUCT(--(ISNUMBER(SEARCH($A72,'Diags Raw Data'!$A$6:$A$4699))),--('Diags Raw Data'!$Q$6:$Q$4699&lt;&gt;"N/A"),'Diags Raw Data'!$U$6:$U$4699)</f>
        <v>5</v>
      </c>
      <c r="O72" s="462">
        <f t="shared" si="25"/>
        <v>1</v>
      </c>
      <c r="P72" s="420">
        <f>SUMIF('Diags Raw Data'!$A$6:$A$4699,"*"&amp;$A72&amp;"*",'Diags Raw Data'!$Z$6:$Z$4699)</f>
        <v>0</v>
      </c>
      <c r="Q72" s="421">
        <f>SUM(SUMIF('Diags Raw Data'!$A$6:$A$4699,"*"&amp;$A72&amp;"*",'Diags Raw Data'!$AA$6:$AA$4699),SUMIF('Diags Raw Data'!$A$6:$A$4699,"*"&amp;$A72&amp;"*",'Diags Raw Data'!$AB$6:$AB$4699))</f>
        <v>0</v>
      </c>
      <c r="R72" s="422">
        <f t="shared" si="26"/>
        <v>0</v>
      </c>
      <c r="S72" s="422">
        <f t="shared" si="24"/>
        <v>0</v>
      </c>
      <c r="T72" s="423">
        <f t="shared" si="27"/>
        <v>0</v>
      </c>
      <c r="U72" s="469" t="s">
        <v>2804</v>
      </c>
      <c r="V72" s="170"/>
    </row>
    <row r="73" spans="1:22" ht="90" x14ac:dyDescent="0.25">
      <c r="A73" s="446" t="s">
        <v>2483</v>
      </c>
      <c r="B73" s="332" t="str">
        <f>VLOOKUP(A73,'Feature Raw Data'!$A$3:$B$4067,2,FALSE)</f>
        <v>MMHUB:MMUTCL2:ATCL2 - lightweight/heavyweight flush-type invalidation</v>
      </c>
      <c r="C73" s="273" t="str">
        <f>VLOOKUP(A73,'Feature Raw Data'!$A$3:$C$4067,3,FALSE)</f>
        <v>P2</v>
      </c>
      <c r="D73" s="82" t="str" cm="1">
        <f t="array" ref="D73">_xlfn.TEXTJOIN("",TRUE,IF(ISNUMBER(SEARCH($A73,'Diags Raw Data'!$A$6:$A$4699)),CONCATENATE('Diags Raw Data'!$H$6:$H$4699,", "),""))</f>
        <v xml:space="preserve">mhub264.1,3, mhub264.2,4, mhub267.1-4, mhub50.1-4, </v>
      </c>
      <c r="E73" s="169" t="e">
        <f>VLOOKUP(A73,'Diags Raw Data'!$A$6:$D$4699,4,FALSE)</f>
        <v>#N/A</v>
      </c>
      <c r="F73" s="169" t="str">
        <f>VLOOKUP(A73,'Feature Raw Data'!$A$3:$E$4067,5,FALSE)</f>
        <v>Legacy</v>
      </c>
      <c r="G73" s="169" t="str">
        <f t="shared" si="28"/>
        <v>Yes</v>
      </c>
      <c r="H73" s="169" t="str">
        <f t="shared" si="19"/>
        <v>Yes</v>
      </c>
      <c r="I73" s="273">
        <f>SUMIF('Diags Raw Data'!$A$6:$A$4699,"*"&amp;$A73&amp;"*",'Diags Raw Data'!$K$6:$K$4699)</f>
        <v>7</v>
      </c>
      <c r="J73" s="179">
        <f>SUMIF('Diags Raw Data'!$A$6:$A$4699,"*"&amp;$A73&amp;"*",'Diags Raw Data'!$L$6:$L$4699)</f>
        <v>12</v>
      </c>
      <c r="K73" s="416" cm="1">
        <f t="array" ref="K73">IF(D73="",0, SUMPRODUCT(--(ISNUMBER(SEARCH($A73,'Diags Raw Data'!$A$6:$A$4699))),'Diags Raw Data'!$L$6:$L$4699,'Diags Raw Data'!$N$6:$N$4699)/J73)</f>
        <v>1</v>
      </c>
      <c r="L73" s="417" cm="1">
        <f t="array" ref="L73">IF(D73="",0, SUMPRODUCT(--(ISNUMBER(SEARCH($A73,'Diags Raw Data'!$A$6:$A$4699))),'Diags Raw Data'!$L$6:$L$4699,'Diags Raw Data'!$P$6:$P$4699)/J73)</f>
        <v>1</v>
      </c>
      <c r="M73" s="418" cm="1">
        <f t="array" ref="M73">SUMPRODUCT(--(ISNUMBER(SEARCH($A73,'Diags Raw Data'!$A$6:$A$4699))),--('Diags Raw Data'!$Q$6:$Q$4699&lt;&gt;"N/A"),'Diags Raw Data'!$R$6:$R$4699)</f>
        <v>8</v>
      </c>
      <c r="N73" s="419" cm="1">
        <f t="array" ref="N73">SUMPRODUCT(--(ISNUMBER(SEARCH($A73,'Diags Raw Data'!$A$6:$A$4699))),--('Diags Raw Data'!$Q$6:$Q$4699&lt;&gt;"N/A"),'Diags Raw Data'!$T$6:$T$4699)+SUMPRODUCT(--(ISNUMBER(SEARCH($A73,'Diags Raw Data'!$A$6:$A$4699))),--('Diags Raw Data'!$Q$6:$Q$4699&lt;&gt;"N/A"),'Diags Raw Data'!$U$6:$U$4699)</f>
        <v>8</v>
      </c>
      <c r="O73" s="462">
        <f t="shared" si="25"/>
        <v>1</v>
      </c>
      <c r="P73" s="420">
        <f>SUMIF('Diags Raw Data'!$A$6:$A$4699,"*"&amp;$A73&amp;"*",'Diags Raw Data'!$Z$6:$Z$4699)</f>
        <v>0</v>
      </c>
      <c r="Q73" s="421">
        <f>SUM(SUMIF('Diags Raw Data'!$A$6:$A$4699,"*"&amp;$A73&amp;"*",'Diags Raw Data'!$AA$6:$AA$4699),SUMIF('Diags Raw Data'!$A$6:$A$4699,"*"&amp;$A73&amp;"*",'Diags Raw Data'!$AB$6:$AB$4699))</f>
        <v>0</v>
      </c>
      <c r="R73" s="422">
        <f t="shared" si="26"/>
        <v>0</v>
      </c>
      <c r="S73" s="422">
        <f t="shared" si="24"/>
        <v>0</v>
      </c>
      <c r="T73" s="423">
        <f t="shared" si="27"/>
        <v>0</v>
      </c>
      <c r="U73" s="469" t="s">
        <v>2801</v>
      </c>
      <c r="V73" s="170"/>
    </row>
    <row r="74" spans="1:22" ht="45" x14ac:dyDescent="0.25">
      <c r="A74" s="446" t="s">
        <v>2485</v>
      </c>
      <c r="B74" s="332" t="str">
        <f>VLOOKUP(A74,'Feature Raw Data'!$A$3:$B$4067,2,FALSE)</f>
        <v>MMHUB:MMUTCL2:ATCL2 - Combines both VM and ATC translations into one response</v>
      </c>
      <c r="C74" s="273" t="str">
        <f>VLOOKUP(A74,'Feature Raw Data'!$A$3:$C$4067,3,FALSE)</f>
        <v>P2</v>
      </c>
      <c r="D74" s="82" t="str" cm="1">
        <f t="array" ref="D74">_xlfn.TEXTJOIN("",TRUE,IF(ISNUMBER(SEARCH($A74,'Diags Raw Data'!$A$6:$A$4699)),CONCATENATE('Diags Raw Data'!$H$6:$H$4699,", "),""))</f>
        <v xml:space="preserve">mhub401.1-6,11-16,21-26, </v>
      </c>
      <c r="E74" s="169" t="e">
        <f>VLOOKUP(A74,'Diags Raw Data'!$A$6:$D$4699,4,FALSE)</f>
        <v>#N/A</v>
      </c>
      <c r="F74" s="169" t="str">
        <f>VLOOKUP(A74,'Feature Raw Data'!$A$3:$E$4067,5,FALSE)</f>
        <v>Legacy</v>
      </c>
      <c r="G74" s="169" t="str">
        <f t="shared" si="28"/>
        <v>Yes</v>
      </c>
      <c r="H74" s="169" t="str">
        <f t="shared" si="19"/>
        <v>Yes</v>
      </c>
      <c r="I74" s="273">
        <f>SUMIF('Diags Raw Data'!$A$6:$A$4699,"*"&amp;$A74&amp;"*",'Diags Raw Data'!$K$6:$K$4699)</f>
        <v>1</v>
      </c>
      <c r="J74" s="179">
        <f>SUMIF('Diags Raw Data'!$A$6:$A$4699,"*"&amp;$A74&amp;"*",'Diags Raw Data'!$L$6:$L$4699)</f>
        <v>18</v>
      </c>
      <c r="K74" s="416" cm="1">
        <f t="array" ref="K74">IF(D74="",0, SUMPRODUCT(--(ISNUMBER(SEARCH($A74,'Diags Raw Data'!$A$6:$A$4699))),'Diags Raw Data'!$L$6:$L$4699,'Diags Raw Data'!$N$6:$N$4699)/J74)</f>
        <v>1</v>
      </c>
      <c r="L74" s="417" cm="1">
        <f t="array" ref="L74">IF(D74="",0, SUMPRODUCT(--(ISNUMBER(SEARCH($A74,'Diags Raw Data'!$A$6:$A$4699))),'Diags Raw Data'!$L$6:$L$4699,'Diags Raw Data'!$P$6:$P$4699)/J74)</f>
        <v>0</v>
      </c>
      <c r="M74" s="418" cm="1">
        <f t="array" ref="M74">SUMPRODUCT(--(ISNUMBER(SEARCH($A74,'Diags Raw Data'!$A$6:$A$4699))),--('Diags Raw Data'!$Q$6:$Q$4699&lt;&gt;"N/A"),'Diags Raw Data'!$R$6:$R$4699)</f>
        <v>18</v>
      </c>
      <c r="N74" s="419" cm="1">
        <f t="array" ref="N74">SUMPRODUCT(--(ISNUMBER(SEARCH($A74,'Diags Raw Data'!$A$6:$A$4699))),--('Diags Raw Data'!$Q$6:$Q$4699&lt;&gt;"N/A"),'Diags Raw Data'!$T$6:$T$4699)+SUMPRODUCT(--(ISNUMBER(SEARCH($A74,'Diags Raw Data'!$A$6:$A$4699))),--('Diags Raw Data'!$Q$6:$Q$4699&lt;&gt;"N/A"),'Diags Raw Data'!$U$6:$U$4699)</f>
        <v>18</v>
      </c>
      <c r="O74" s="462">
        <f t="shared" si="25"/>
        <v>1</v>
      </c>
      <c r="P74" s="420">
        <f>SUMIF('Diags Raw Data'!$A$6:$A$4699,"*"&amp;$A74&amp;"*",'Diags Raw Data'!$Z$6:$Z$4699)</f>
        <v>0</v>
      </c>
      <c r="Q74" s="421">
        <f>SUM(SUMIF('Diags Raw Data'!$A$6:$A$4699,"*"&amp;$A74&amp;"*",'Diags Raw Data'!$AA$6:$AA$4699),SUMIF('Diags Raw Data'!$A$6:$A$4699,"*"&amp;$A74&amp;"*",'Diags Raw Data'!$AB$6:$AB$4699))</f>
        <v>0</v>
      </c>
      <c r="R74" s="422">
        <f t="shared" si="26"/>
        <v>0</v>
      </c>
      <c r="S74" s="422">
        <f t="shared" si="24"/>
        <v>0</v>
      </c>
      <c r="T74" s="423">
        <f t="shared" si="27"/>
        <v>0</v>
      </c>
      <c r="U74" s="469" t="s">
        <v>2796</v>
      </c>
      <c r="V74" s="170"/>
    </row>
    <row r="75" spans="1:22" ht="30" x14ac:dyDescent="0.25">
      <c r="A75" s="446" t="s">
        <v>2487</v>
      </c>
      <c r="B75" s="332" t="str">
        <f>VLOOKUP(A75,'Feature Raw Data'!$A$3:$B$4067,2,FALSE)</f>
        <v>MMHUB:MMUTCL2:ATCL2 - PTE permissions returned</v>
      </c>
      <c r="C75" s="273" t="str">
        <f>VLOOKUP(A75,'Feature Raw Data'!$A$3:$C$4067,3,FALSE)</f>
        <v>P2</v>
      </c>
      <c r="D75" s="82" t="str" cm="1">
        <f t="array" ref="D75">_xlfn.TEXTJOIN("",TRUE,IF(ISNUMBER(SEARCH($A75,'Diags Raw Data'!$A$6:$A$4699)),CONCATENATE('Diags Raw Data'!$H$6:$H$4699,", "),""))</f>
        <v xml:space="preserve">mhub141.1, mhub141.2, </v>
      </c>
      <c r="E75" s="169" t="e">
        <f>VLOOKUP(A75,'Diags Raw Data'!$A$6:$D$4699,4,FALSE)</f>
        <v>#N/A</v>
      </c>
      <c r="F75" s="169" t="str">
        <f>VLOOKUP(A75,'Feature Raw Data'!$A$3:$E$4067,5,FALSE)</f>
        <v>Legacy</v>
      </c>
      <c r="G75" s="169" t="str">
        <f t="shared" si="28"/>
        <v>Yes</v>
      </c>
      <c r="H75" s="169" t="str">
        <f t="shared" si="19"/>
        <v>Yes</v>
      </c>
      <c r="I75" s="273">
        <f>SUMIF('Diags Raw Data'!$A$6:$A$4699,"*"&amp;$A75&amp;"*",'Diags Raw Data'!$K$6:$K$4699)</f>
        <v>2</v>
      </c>
      <c r="J75" s="179">
        <f>SUMIF('Diags Raw Data'!$A$6:$A$4699,"*"&amp;$A75&amp;"*",'Diags Raw Data'!$L$6:$L$4699)</f>
        <v>2</v>
      </c>
      <c r="K75" s="416" cm="1">
        <f t="array" ref="K75">IF(D75="",0, SUMPRODUCT(--(ISNUMBER(SEARCH($A75,'Diags Raw Data'!$A$6:$A$4699))),'Diags Raw Data'!$L$6:$L$4699,'Diags Raw Data'!$N$6:$N$4699)/J75)</f>
        <v>1</v>
      </c>
      <c r="L75" s="417" cm="1">
        <f t="array" ref="L75">IF(D75="",0, SUMPRODUCT(--(ISNUMBER(SEARCH($A75,'Diags Raw Data'!$A$6:$A$4699))),'Diags Raw Data'!$L$6:$L$4699,'Diags Raw Data'!$P$6:$P$4699)/J75)</f>
        <v>1</v>
      </c>
      <c r="M75" s="418" cm="1">
        <f t="array" ref="M75">SUMPRODUCT(--(ISNUMBER(SEARCH($A75,'Diags Raw Data'!$A$6:$A$4699))),--('Diags Raw Data'!$Q$6:$Q$4699&lt;&gt;"N/A"),'Diags Raw Data'!$R$6:$R$4699)</f>
        <v>2</v>
      </c>
      <c r="N75" s="419" cm="1">
        <f t="array" ref="N75">SUMPRODUCT(--(ISNUMBER(SEARCH($A75,'Diags Raw Data'!$A$6:$A$4699))),--('Diags Raw Data'!$Q$6:$Q$4699&lt;&gt;"N/A"),'Diags Raw Data'!$T$6:$T$4699)+SUMPRODUCT(--(ISNUMBER(SEARCH($A75,'Diags Raw Data'!$A$6:$A$4699))),--('Diags Raw Data'!$Q$6:$Q$4699&lt;&gt;"N/A"),'Diags Raw Data'!$U$6:$U$4699)</f>
        <v>2</v>
      </c>
      <c r="O75" s="462">
        <f t="shared" si="25"/>
        <v>1</v>
      </c>
      <c r="P75" s="420">
        <f>SUMIF('Diags Raw Data'!$A$6:$A$4699,"*"&amp;$A75&amp;"*",'Diags Raw Data'!$Z$6:$Z$4699)</f>
        <v>0</v>
      </c>
      <c r="Q75" s="421">
        <f>SUM(SUMIF('Diags Raw Data'!$A$6:$A$4699,"*"&amp;$A75&amp;"*",'Diags Raw Data'!$AA$6:$AA$4699),SUMIF('Diags Raw Data'!$A$6:$A$4699,"*"&amp;$A75&amp;"*",'Diags Raw Data'!$AB$6:$AB$4699))</f>
        <v>0</v>
      </c>
      <c r="R75" s="422">
        <f t="shared" si="26"/>
        <v>0</v>
      </c>
      <c r="S75" s="422">
        <f t="shared" si="24"/>
        <v>0</v>
      </c>
      <c r="T75" s="423">
        <f t="shared" si="27"/>
        <v>0</v>
      </c>
      <c r="U75" s="469" t="s">
        <v>2804</v>
      </c>
      <c r="V75" s="170"/>
    </row>
    <row r="76" spans="1:22" ht="45" x14ac:dyDescent="0.25">
      <c r="A76" s="446" t="s">
        <v>2489</v>
      </c>
      <c r="B76" s="332" t="str">
        <f>VLOOKUP(A76,'Feature Raw Data'!$A$3:$B$4067,2,FALSE)</f>
        <v>MMHUB:MMUTCL2:ATCL2 - Quiesce ATCL2 &lt;-&gt; ATHUB address translation SDP interface (GC and MM)</v>
      </c>
      <c r="C76" s="273" t="str">
        <f>VLOOKUP(A76,'Feature Raw Data'!$A$3:$C$4067,3,FALSE)</f>
        <v>P2</v>
      </c>
      <c r="D76" s="82" t="str" cm="1">
        <f t="array" ref="D76">_xlfn.TEXTJOIN("",TRUE,IF(ISNUMBER(SEARCH($A76,'Diags Raw Data'!$A$6:$A$4699)),CONCATENATE('Diags Raw Data'!$H$6:$H$4699,", "),""))</f>
        <v/>
      </c>
      <c r="E76" s="169" t="e">
        <f>VLOOKUP(A76,'Diags Raw Data'!$A$6:$D$4699,4,FALSE)</f>
        <v>#N/A</v>
      </c>
      <c r="F76" s="169" t="str">
        <f>VLOOKUP(A76,'Feature Raw Data'!$A$3:$E$4067,5,FALSE)</f>
        <v>Legacy</v>
      </c>
      <c r="G76" s="169" t="str">
        <f t="shared" si="28"/>
        <v>No</v>
      </c>
      <c r="H76" s="169" t="str">
        <f t="shared" si="19"/>
        <v>No</v>
      </c>
      <c r="I76" s="273">
        <f>SUMIF('Diags Raw Data'!$A$6:$A$4699,"*"&amp;$A76&amp;"*",'Diags Raw Data'!$K$6:$K$4699)</f>
        <v>0</v>
      </c>
      <c r="J76" s="179">
        <f>SUMIF('Diags Raw Data'!$A$6:$A$4699,"*"&amp;$A76&amp;"*",'Diags Raw Data'!$L$6:$L$4699)</f>
        <v>0</v>
      </c>
      <c r="K76" s="416" cm="1">
        <f t="array" ref="K76">IF(D76="",0, SUMPRODUCT(--(ISNUMBER(SEARCH($A76,'Diags Raw Data'!$A$6:$A$4699))),'Diags Raw Data'!$L$6:$L$4699,'Diags Raw Data'!$N$6:$N$4699)/J76)</f>
        <v>0</v>
      </c>
      <c r="L76" s="417" cm="1">
        <f t="array" ref="L76">IF(D76="",0, SUMPRODUCT(--(ISNUMBER(SEARCH($A76,'Diags Raw Data'!$A$6:$A$4699))),'Diags Raw Data'!$L$6:$L$4699,'Diags Raw Data'!$P$6:$P$4699)/J76)</f>
        <v>0</v>
      </c>
      <c r="M76" s="418" cm="1">
        <f t="array" ref="M76">SUMPRODUCT(--(ISNUMBER(SEARCH($A76,'Diags Raw Data'!$A$6:$A$4699))),--('Diags Raw Data'!$Q$6:$Q$4699&lt;&gt;"N/A"),'Diags Raw Data'!$R$6:$R$4699)</f>
        <v>0</v>
      </c>
      <c r="N76" s="419" cm="1">
        <f t="array" ref="N76">SUMPRODUCT(--(ISNUMBER(SEARCH($A76,'Diags Raw Data'!$A$6:$A$4699))),--('Diags Raw Data'!$Q$6:$Q$4699&lt;&gt;"N/A"),'Diags Raw Data'!$T$6:$T$4699)+SUMPRODUCT(--(ISNUMBER(SEARCH($A76,'Diags Raw Data'!$A$6:$A$4699))),--('Diags Raw Data'!$Q$6:$Q$4699&lt;&gt;"N/A"),'Diags Raw Data'!$U$6:$U$4699)</f>
        <v>0</v>
      </c>
      <c r="O76" s="462">
        <f t="shared" si="25"/>
        <v>0</v>
      </c>
      <c r="P76" s="420">
        <f>SUMIF('Diags Raw Data'!$A$6:$A$4699,"*"&amp;$A76&amp;"*",'Diags Raw Data'!$Z$6:$Z$4699)</f>
        <v>0</v>
      </c>
      <c r="Q76" s="421">
        <f>SUM(SUMIF('Diags Raw Data'!$A$6:$A$4699,"*"&amp;$A76&amp;"*",'Diags Raw Data'!$AA$6:$AA$4699),SUMIF('Diags Raw Data'!$A$6:$A$4699,"*"&amp;$A76&amp;"*",'Diags Raw Data'!$AB$6:$AB$4699))</f>
        <v>0</v>
      </c>
      <c r="R76" s="422">
        <f t="shared" si="26"/>
        <v>0</v>
      </c>
      <c r="S76" s="422">
        <f t="shared" si="24"/>
        <v>0</v>
      </c>
      <c r="T76" s="423">
        <f t="shared" si="27"/>
        <v>0</v>
      </c>
      <c r="U76" s="469" t="s">
        <v>44</v>
      </c>
      <c r="V76" s="170" t="s">
        <v>43</v>
      </c>
    </row>
    <row r="77" spans="1:22" x14ac:dyDescent="0.25">
      <c r="A77" s="446" t="s">
        <v>2493</v>
      </c>
      <c r="B77" s="332" t="str">
        <f>VLOOKUP(A77,'Feature Raw Data'!$A$3:$B$4067,2,FALSE)</f>
        <v>MMHUB:Power/PCTL - SOCCLK Deep Sleep</v>
      </c>
      <c r="C77" s="273" t="str">
        <f>VLOOKUP(A77,'Feature Raw Data'!$A$3:$C$4067,3,FALSE)</f>
        <v>P2</v>
      </c>
      <c r="D77" s="82" t="str" cm="1">
        <f t="array" ref="D77">_xlfn.TEXTJOIN("",TRUE,IF(ISNUMBER(SEARCH($A77,'Diags Raw Data'!$A$6:$A$4699)),CONCATENATE('Diags Raw Data'!$H$6:$H$4699,", "),""))</f>
        <v/>
      </c>
      <c r="E77" s="169" t="e">
        <f>VLOOKUP(A77,'Diags Raw Data'!$A$6:$D$4699,4,FALSE)</f>
        <v>#N/A</v>
      </c>
      <c r="F77" s="169" t="str">
        <f>VLOOKUP(A77,'Feature Raw Data'!$A$3:$E$4067,5,FALSE)</f>
        <v>Legacy</v>
      </c>
      <c r="G77" s="169" t="str">
        <f t="shared" si="28"/>
        <v>No</v>
      </c>
      <c r="H77" s="169" t="str">
        <f t="shared" si="19"/>
        <v>No</v>
      </c>
      <c r="I77" s="273">
        <f>SUMIF('Diags Raw Data'!$A$6:$A$4699,"*"&amp;$A77&amp;"*",'Diags Raw Data'!$K$6:$K$4699)</f>
        <v>0</v>
      </c>
      <c r="J77" s="179">
        <f>SUMIF('Diags Raw Data'!$A$6:$A$4699,"*"&amp;$A77&amp;"*",'Diags Raw Data'!$L$6:$L$4699)</f>
        <v>0</v>
      </c>
      <c r="K77" s="416" cm="1">
        <f t="array" ref="K77">IF(D77="",0, SUMPRODUCT(--(ISNUMBER(SEARCH($A77,'Diags Raw Data'!$A$6:$A$4699))),'Diags Raw Data'!$L$6:$L$4699,'Diags Raw Data'!$N$6:$N$4699)/J77)</f>
        <v>0</v>
      </c>
      <c r="L77" s="417" cm="1">
        <f t="array" ref="L77">IF(D77="",0, SUMPRODUCT(--(ISNUMBER(SEARCH($A77,'Diags Raw Data'!$A$6:$A$4699))),'Diags Raw Data'!$L$6:$L$4699,'Diags Raw Data'!$P$6:$P$4699)/J77)</f>
        <v>0</v>
      </c>
      <c r="M77" s="418" cm="1">
        <f t="array" ref="M77">SUMPRODUCT(--(ISNUMBER(SEARCH($A77,'Diags Raw Data'!$A$6:$A$4699))),--('Diags Raw Data'!$Q$6:$Q$4699&lt;&gt;"N/A"),'Diags Raw Data'!$R$6:$R$4699)</f>
        <v>0</v>
      </c>
      <c r="N77" s="419" cm="1">
        <f t="array" ref="N77">SUMPRODUCT(--(ISNUMBER(SEARCH($A77,'Diags Raw Data'!$A$6:$A$4699))),--('Diags Raw Data'!$Q$6:$Q$4699&lt;&gt;"N/A"),'Diags Raw Data'!$T$6:$T$4699)+SUMPRODUCT(--(ISNUMBER(SEARCH($A77,'Diags Raw Data'!$A$6:$A$4699))),--('Diags Raw Data'!$Q$6:$Q$4699&lt;&gt;"N/A"),'Diags Raw Data'!$U$6:$U$4699)</f>
        <v>0</v>
      </c>
      <c r="O77" s="462">
        <f t="shared" ref="O77:O85" si="29">IF((M77=0),0,N77/M77)</f>
        <v>0</v>
      </c>
      <c r="P77" s="420">
        <f>SUMIF('Diags Raw Data'!$A$6:$A$4699,"*"&amp;$A77&amp;"*",'Diags Raw Data'!$Z$6:$Z$4699)</f>
        <v>0</v>
      </c>
      <c r="Q77" s="421">
        <f>SUM(SUMIF('Diags Raw Data'!$A$6:$A$4699,"*"&amp;$A77&amp;"*",'Diags Raw Data'!$AA$6:$AA$4699),SUMIF('Diags Raw Data'!$A$6:$A$4699,"*"&amp;$A77&amp;"*",'Diags Raw Data'!$AB$6:$AB$4699))</f>
        <v>0</v>
      </c>
      <c r="R77" s="422">
        <f t="shared" ref="R77:R85" si="30">IF((J77=0),0,P77/J77)</f>
        <v>0</v>
      </c>
      <c r="S77" s="422">
        <f t="shared" ref="S77:S85" si="31">IF((P77=0),0,Q77/P77)</f>
        <v>0</v>
      </c>
      <c r="T77" s="423">
        <f t="shared" ref="T77:T85" si="32">R77*S77</f>
        <v>0</v>
      </c>
      <c r="U77" s="469" t="s">
        <v>44</v>
      </c>
      <c r="V77" s="170" t="s">
        <v>43</v>
      </c>
    </row>
    <row r="78" spans="1:22" x14ac:dyDescent="0.25">
      <c r="A78" s="446" t="s">
        <v>2495</v>
      </c>
      <c r="B78" s="332" t="str">
        <f>VLOOKUP(A78,'Feature Raw Data'!$A$3:$B$4067,2,FALSE)</f>
        <v>MMHUB:Power/PCTL - MMHUB Power Gating</v>
      </c>
      <c r="C78" s="273" t="str">
        <f>VLOOKUP(A78,'Feature Raw Data'!$A$3:$C$4067,3,FALSE)</f>
        <v>P2</v>
      </c>
      <c r="D78" s="82" t="str" cm="1">
        <f t="array" ref="D78">_xlfn.TEXTJOIN("",TRUE,IF(ISNUMBER(SEARCH($A78,'Diags Raw Data'!$A$6:$A$4699)),CONCATENATE('Diags Raw Data'!$H$6:$H$4699,", "),""))</f>
        <v/>
      </c>
      <c r="E78" s="169" t="e">
        <f>VLOOKUP(A78,'Diags Raw Data'!$A$6:$D$4699,4,FALSE)</f>
        <v>#N/A</v>
      </c>
      <c r="F78" s="169" t="str">
        <f>VLOOKUP(A78,'Feature Raw Data'!$A$3:$E$4067,5,FALSE)</f>
        <v>Legacy</v>
      </c>
      <c r="G78" s="169" t="str">
        <f t="shared" si="28"/>
        <v>No</v>
      </c>
      <c r="H78" s="169" t="str">
        <f t="shared" si="19"/>
        <v>No</v>
      </c>
      <c r="I78" s="273">
        <f>SUMIF('Diags Raw Data'!$A$6:$A$4699,"*"&amp;$A78&amp;"*",'Diags Raw Data'!$K$6:$K$4699)</f>
        <v>0</v>
      </c>
      <c r="J78" s="179">
        <f>SUMIF('Diags Raw Data'!$A$6:$A$4699,"*"&amp;$A78&amp;"*",'Diags Raw Data'!$L$6:$L$4699)</f>
        <v>0</v>
      </c>
      <c r="K78" s="416" cm="1">
        <f t="array" ref="K78">IF(D78="",0, SUMPRODUCT(--(ISNUMBER(SEARCH($A78,'Diags Raw Data'!$A$6:$A$4699))),'Diags Raw Data'!$L$6:$L$4699,'Diags Raw Data'!$N$6:$N$4699)/J78)</f>
        <v>0</v>
      </c>
      <c r="L78" s="417" cm="1">
        <f t="array" ref="L78">IF(D78="",0, SUMPRODUCT(--(ISNUMBER(SEARCH($A78,'Diags Raw Data'!$A$6:$A$4699))),'Diags Raw Data'!$L$6:$L$4699,'Diags Raw Data'!$P$6:$P$4699)/J78)</f>
        <v>0</v>
      </c>
      <c r="M78" s="418" cm="1">
        <f t="array" ref="M78">SUMPRODUCT(--(ISNUMBER(SEARCH($A78,'Diags Raw Data'!$A$6:$A$4699))),--('Diags Raw Data'!$Q$6:$Q$4699&lt;&gt;"N/A"),'Diags Raw Data'!$R$6:$R$4699)</f>
        <v>0</v>
      </c>
      <c r="N78" s="419" cm="1">
        <f t="array" ref="N78">SUMPRODUCT(--(ISNUMBER(SEARCH($A78,'Diags Raw Data'!$A$6:$A$4699))),--('Diags Raw Data'!$Q$6:$Q$4699&lt;&gt;"N/A"),'Diags Raw Data'!$T$6:$T$4699)+SUMPRODUCT(--(ISNUMBER(SEARCH($A78,'Diags Raw Data'!$A$6:$A$4699))),--('Diags Raw Data'!$Q$6:$Q$4699&lt;&gt;"N/A"),'Diags Raw Data'!$U$6:$U$4699)</f>
        <v>0</v>
      </c>
      <c r="O78" s="462">
        <f t="shared" si="29"/>
        <v>0</v>
      </c>
      <c r="P78" s="420">
        <f>SUMIF('Diags Raw Data'!$A$6:$A$4699,"*"&amp;$A78&amp;"*",'Diags Raw Data'!$Z$6:$Z$4699)</f>
        <v>0</v>
      </c>
      <c r="Q78" s="421">
        <f>SUM(SUMIF('Diags Raw Data'!$A$6:$A$4699,"*"&amp;$A78&amp;"*",'Diags Raw Data'!$AA$6:$AA$4699),SUMIF('Diags Raw Data'!$A$6:$A$4699,"*"&amp;$A78&amp;"*",'Diags Raw Data'!$AB$6:$AB$4699))</f>
        <v>0</v>
      </c>
      <c r="R78" s="422">
        <f t="shared" si="30"/>
        <v>0</v>
      </c>
      <c r="S78" s="422">
        <f t="shared" si="31"/>
        <v>0</v>
      </c>
      <c r="T78" s="423">
        <f t="shared" si="32"/>
        <v>0</v>
      </c>
      <c r="U78" s="469" t="s">
        <v>44</v>
      </c>
      <c r="V78" s="170" t="s">
        <v>43</v>
      </c>
    </row>
    <row r="79" spans="1:22" x14ac:dyDescent="0.25">
      <c r="A79" s="446" t="s">
        <v>2497</v>
      </c>
      <c r="B79" s="332" t="str">
        <f>VLOOKUP(A79,'Feature Raw Data'!$A$3:$B$4067,2,FALSE)</f>
        <v>MMHUB:PCTL - Register Save and Restore</v>
      </c>
      <c r="C79" s="273" t="str">
        <f>VLOOKUP(A79,'Feature Raw Data'!$A$3:$C$4067,3,FALSE)</f>
        <v>P2</v>
      </c>
      <c r="D79" s="82" t="str" cm="1">
        <f t="array" ref="D79">_xlfn.TEXTJOIN("",TRUE,IF(ISNUMBER(SEARCH($A79,'Diags Raw Data'!$A$6:$A$4699)),CONCATENATE('Diags Raw Data'!$H$6:$H$4699,", "),""))</f>
        <v/>
      </c>
      <c r="E79" s="169" t="e">
        <f>VLOOKUP(A79,'Diags Raw Data'!$A$6:$D$4699,4,FALSE)</f>
        <v>#N/A</v>
      </c>
      <c r="F79" s="169" t="str">
        <f>VLOOKUP(A79,'Feature Raw Data'!$A$3:$E$4067,5,FALSE)</f>
        <v>Legacy</v>
      </c>
      <c r="G79" s="169" t="str">
        <f t="shared" si="28"/>
        <v>No</v>
      </c>
      <c r="H79" s="169" t="str">
        <f t="shared" si="19"/>
        <v>No</v>
      </c>
      <c r="I79" s="273">
        <f>SUMIF('Diags Raw Data'!$A$6:$A$4699,"*"&amp;$A79&amp;"*",'Diags Raw Data'!$K$6:$K$4699)</f>
        <v>0</v>
      </c>
      <c r="J79" s="179">
        <f>SUMIF('Diags Raw Data'!$A$6:$A$4699,"*"&amp;$A79&amp;"*",'Diags Raw Data'!$L$6:$L$4699)</f>
        <v>0</v>
      </c>
      <c r="K79" s="416" cm="1">
        <f t="array" ref="K79">IF(D79="",0, SUMPRODUCT(--(ISNUMBER(SEARCH($A79,'Diags Raw Data'!$A$6:$A$4699))),'Diags Raw Data'!$L$6:$L$4699,'Diags Raw Data'!$N$6:$N$4699)/J79)</f>
        <v>0</v>
      </c>
      <c r="L79" s="417" cm="1">
        <f t="array" ref="L79">IF(D79="",0, SUMPRODUCT(--(ISNUMBER(SEARCH($A79,'Diags Raw Data'!$A$6:$A$4699))),'Diags Raw Data'!$L$6:$L$4699,'Diags Raw Data'!$P$6:$P$4699)/J79)</f>
        <v>0</v>
      </c>
      <c r="M79" s="418" cm="1">
        <f t="array" ref="M79">SUMPRODUCT(--(ISNUMBER(SEARCH($A79,'Diags Raw Data'!$A$6:$A$4699))),--('Diags Raw Data'!$Q$6:$Q$4699&lt;&gt;"N/A"),'Diags Raw Data'!$R$6:$R$4699)</f>
        <v>0</v>
      </c>
      <c r="N79" s="419" cm="1">
        <f t="array" ref="N79">SUMPRODUCT(--(ISNUMBER(SEARCH($A79,'Diags Raw Data'!$A$6:$A$4699))),--('Diags Raw Data'!$Q$6:$Q$4699&lt;&gt;"N/A"),'Diags Raw Data'!$T$6:$T$4699)+SUMPRODUCT(--(ISNUMBER(SEARCH($A79,'Diags Raw Data'!$A$6:$A$4699))),--('Diags Raw Data'!$Q$6:$Q$4699&lt;&gt;"N/A"),'Diags Raw Data'!$U$6:$U$4699)</f>
        <v>0</v>
      </c>
      <c r="O79" s="462">
        <f t="shared" si="29"/>
        <v>0</v>
      </c>
      <c r="P79" s="420">
        <f>SUMIF('Diags Raw Data'!$A$6:$A$4699,"*"&amp;$A79&amp;"*",'Diags Raw Data'!$Z$6:$Z$4699)</f>
        <v>0</v>
      </c>
      <c r="Q79" s="421">
        <f>SUM(SUMIF('Diags Raw Data'!$A$6:$A$4699,"*"&amp;$A79&amp;"*",'Diags Raw Data'!$AA$6:$AA$4699),SUMIF('Diags Raw Data'!$A$6:$A$4699,"*"&amp;$A79&amp;"*",'Diags Raw Data'!$AB$6:$AB$4699))</f>
        <v>0</v>
      </c>
      <c r="R79" s="422">
        <f t="shared" si="30"/>
        <v>0</v>
      </c>
      <c r="S79" s="422">
        <f t="shared" si="31"/>
        <v>0</v>
      </c>
      <c r="T79" s="423">
        <f t="shared" si="32"/>
        <v>0</v>
      </c>
      <c r="U79" s="469" t="s">
        <v>44</v>
      </c>
      <c r="V79" s="170" t="s">
        <v>43</v>
      </c>
    </row>
    <row r="80" spans="1:22" x14ac:dyDescent="0.25">
      <c r="A80" s="446" t="s">
        <v>2499</v>
      </c>
      <c r="B80" s="332" t="str">
        <f>VLOOKUP(A80,'Feature Raw Data'!$A$3:$B$4067,2,FALSE)</f>
        <v>MMHUB:PCTL - RSMU Timer</v>
      </c>
      <c r="C80" s="273" t="str">
        <f>VLOOKUP(A80,'Feature Raw Data'!$A$3:$C$4067,3,FALSE)</f>
        <v>P2</v>
      </c>
      <c r="D80" s="82" t="str" cm="1">
        <f t="array" ref="D80">_xlfn.TEXTJOIN("",TRUE,IF(ISNUMBER(SEARCH($A80,'Diags Raw Data'!$A$6:$A$4699)),CONCATENATE('Diags Raw Data'!$H$6:$H$4699,", "),""))</f>
        <v/>
      </c>
      <c r="E80" s="169" t="e">
        <f>VLOOKUP(A80,'Diags Raw Data'!$A$6:$D$4699,4,FALSE)</f>
        <v>#N/A</v>
      </c>
      <c r="F80" s="169" t="str">
        <f>VLOOKUP(A80,'Feature Raw Data'!$A$3:$E$4067,5,FALSE)</f>
        <v>Legacy</v>
      </c>
      <c r="G80" s="169" t="str">
        <f t="shared" si="28"/>
        <v>No</v>
      </c>
      <c r="H80" s="169" t="str">
        <f t="shared" si="19"/>
        <v>No</v>
      </c>
      <c r="I80" s="273">
        <f>SUMIF('Diags Raw Data'!$A$6:$A$4699,"*"&amp;$A80&amp;"*",'Diags Raw Data'!$K$6:$K$4699)</f>
        <v>0</v>
      </c>
      <c r="J80" s="179">
        <f>SUMIF('Diags Raw Data'!$A$6:$A$4699,"*"&amp;$A80&amp;"*",'Diags Raw Data'!$L$6:$L$4699)</f>
        <v>0</v>
      </c>
      <c r="K80" s="416" cm="1">
        <f t="array" ref="K80">IF(D80="",0, SUMPRODUCT(--(ISNUMBER(SEARCH($A80,'Diags Raw Data'!$A$6:$A$4699))),'Diags Raw Data'!$L$6:$L$4699,'Diags Raw Data'!$N$6:$N$4699)/J80)</f>
        <v>0</v>
      </c>
      <c r="L80" s="417" cm="1">
        <f t="array" ref="L80">IF(D80="",0, SUMPRODUCT(--(ISNUMBER(SEARCH($A80,'Diags Raw Data'!$A$6:$A$4699))),'Diags Raw Data'!$L$6:$L$4699,'Diags Raw Data'!$P$6:$P$4699)/J80)</f>
        <v>0</v>
      </c>
      <c r="M80" s="418" cm="1">
        <f t="array" ref="M80">SUMPRODUCT(--(ISNUMBER(SEARCH($A80,'Diags Raw Data'!$A$6:$A$4699))),--('Diags Raw Data'!$Q$6:$Q$4699&lt;&gt;"N/A"),'Diags Raw Data'!$R$6:$R$4699)</f>
        <v>0</v>
      </c>
      <c r="N80" s="419" cm="1">
        <f t="array" ref="N80">SUMPRODUCT(--(ISNUMBER(SEARCH($A80,'Diags Raw Data'!$A$6:$A$4699))),--('Diags Raw Data'!$Q$6:$Q$4699&lt;&gt;"N/A"),'Diags Raw Data'!$T$6:$T$4699)+SUMPRODUCT(--(ISNUMBER(SEARCH($A80,'Diags Raw Data'!$A$6:$A$4699))),--('Diags Raw Data'!$Q$6:$Q$4699&lt;&gt;"N/A"),'Diags Raw Data'!$U$6:$U$4699)</f>
        <v>0</v>
      </c>
      <c r="O80" s="462">
        <f t="shared" si="29"/>
        <v>0</v>
      </c>
      <c r="P80" s="420">
        <f>SUMIF('Diags Raw Data'!$A$6:$A$4699,"*"&amp;$A80&amp;"*",'Diags Raw Data'!$Z$6:$Z$4699)</f>
        <v>0</v>
      </c>
      <c r="Q80" s="421">
        <f>SUM(SUMIF('Diags Raw Data'!$A$6:$A$4699,"*"&amp;$A80&amp;"*",'Diags Raw Data'!$AA$6:$AA$4699),SUMIF('Diags Raw Data'!$A$6:$A$4699,"*"&amp;$A80&amp;"*",'Diags Raw Data'!$AB$6:$AB$4699))</f>
        <v>0</v>
      </c>
      <c r="R80" s="422">
        <f t="shared" si="30"/>
        <v>0</v>
      </c>
      <c r="S80" s="422">
        <f t="shared" si="31"/>
        <v>0</v>
      </c>
      <c r="T80" s="423">
        <f t="shared" si="32"/>
        <v>0</v>
      </c>
      <c r="U80" s="469" t="s">
        <v>44</v>
      </c>
      <c r="V80" s="170" t="s">
        <v>43</v>
      </c>
    </row>
    <row r="81" spans="1:22" ht="30" x14ac:dyDescent="0.25">
      <c r="A81" s="446" t="s">
        <v>2501</v>
      </c>
      <c r="B81" s="332" t="str">
        <f>VLOOKUP(A81,'Feature Raw Data'!$A$3:$B$4067,2,FALSE)</f>
        <v>MMHUB:PCTL - Modern Standby enter/exit latency reduction</v>
      </c>
      <c r="C81" s="273" t="str">
        <f>VLOOKUP(A81,'Feature Raw Data'!$A$3:$C$4067,3,FALSE)</f>
        <v>P2</v>
      </c>
      <c r="D81" s="82" t="str" cm="1">
        <f t="array" ref="D81">_xlfn.TEXTJOIN("",TRUE,IF(ISNUMBER(SEARCH($A81,'Diags Raw Data'!$A$6:$A$4699)),CONCATENATE('Diags Raw Data'!$H$6:$H$4699,", "),""))</f>
        <v/>
      </c>
      <c r="E81" s="169" t="e">
        <f>VLOOKUP(A81,'Diags Raw Data'!$A$6:$D$4699,4,FALSE)</f>
        <v>#N/A</v>
      </c>
      <c r="F81" s="169" t="str">
        <f>VLOOKUP(A81,'Feature Raw Data'!$A$3:$E$4067,5,FALSE)</f>
        <v>Legacy</v>
      </c>
      <c r="G81" s="169" t="str">
        <f t="shared" si="28"/>
        <v>No</v>
      </c>
      <c r="H81" s="169" t="str">
        <f t="shared" si="19"/>
        <v>No</v>
      </c>
      <c r="I81" s="273">
        <f>SUMIF('Diags Raw Data'!$A$6:$A$4699,"*"&amp;$A81&amp;"*",'Diags Raw Data'!$K$6:$K$4699)</f>
        <v>0</v>
      </c>
      <c r="J81" s="179">
        <f>SUMIF('Diags Raw Data'!$A$6:$A$4699,"*"&amp;$A81&amp;"*",'Diags Raw Data'!$L$6:$L$4699)</f>
        <v>0</v>
      </c>
      <c r="K81" s="416" cm="1">
        <f t="array" ref="K81">IF(D81="",0, SUMPRODUCT(--(ISNUMBER(SEARCH($A81,'Diags Raw Data'!$A$6:$A$4699))),'Diags Raw Data'!$L$6:$L$4699,'Diags Raw Data'!$N$6:$N$4699)/J81)</f>
        <v>0</v>
      </c>
      <c r="L81" s="417" cm="1">
        <f t="array" ref="L81">IF(D81="",0, SUMPRODUCT(--(ISNUMBER(SEARCH($A81,'Diags Raw Data'!$A$6:$A$4699))),'Diags Raw Data'!$L$6:$L$4699,'Diags Raw Data'!$P$6:$P$4699)/J81)</f>
        <v>0</v>
      </c>
      <c r="M81" s="418" cm="1">
        <f t="array" ref="M81">SUMPRODUCT(--(ISNUMBER(SEARCH($A81,'Diags Raw Data'!$A$6:$A$4699))),--('Diags Raw Data'!$Q$6:$Q$4699&lt;&gt;"N/A"),'Diags Raw Data'!$R$6:$R$4699)</f>
        <v>0</v>
      </c>
      <c r="N81" s="419" cm="1">
        <f t="array" ref="N81">SUMPRODUCT(--(ISNUMBER(SEARCH($A81,'Diags Raw Data'!$A$6:$A$4699))),--('Diags Raw Data'!$Q$6:$Q$4699&lt;&gt;"N/A"),'Diags Raw Data'!$T$6:$T$4699)+SUMPRODUCT(--(ISNUMBER(SEARCH($A81,'Diags Raw Data'!$A$6:$A$4699))),--('Diags Raw Data'!$Q$6:$Q$4699&lt;&gt;"N/A"),'Diags Raw Data'!$U$6:$U$4699)</f>
        <v>0</v>
      </c>
      <c r="O81" s="462">
        <f t="shared" si="29"/>
        <v>0</v>
      </c>
      <c r="P81" s="420">
        <f>SUMIF('Diags Raw Data'!$A$6:$A$4699,"*"&amp;$A81&amp;"*",'Diags Raw Data'!$Z$6:$Z$4699)</f>
        <v>0</v>
      </c>
      <c r="Q81" s="421">
        <f>SUM(SUMIF('Diags Raw Data'!$A$6:$A$4699,"*"&amp;$A81&amp;"*",'Diags Raw Data'!$AA$6:$AA$4699),SUMIF('Diags Raw Data'!$A$6:$A$4699,"*"&amp;$A81&amp;"*",'Diags Raw Data'!$AB$6:$AB$4699))</f>
        <v>0</v>
      </c>
      <c r="R81" s="422">
        <f t="shared" si="30"/>
        <v>0</v>
      </c>
      <c r="S81" s="422">
        <f t="shared" si="31"/>
        <v>0</v>
      </c>
      <c r="T81" s="423">
        <f t="shared" si="32"/>
        <v>0</v>
      </c>
      <c r="U81" s="469" t="s">
        <v>44</v>
      </c>
      <c r="V81" s="170" t="s">
        <v>43</v>
      </c>
    </row>
    <row r="82" spans="1:22" x14ac:dyDescent="0.25">
      <c r="A82" s="446" t="s">
        <v>2503</v>
      </c>
      <c r="B82" s="332" t="str">
        <f>VLOOKUP(A82,'Feature Raw Data'!$A$3:$B$4067,2,FALSE)</f>
        <v>MMHUB:PCTL - Z-State Support</v>
      </c>
      <c r="C82" s="273" t="str">
        <f>VLOOKUP(A82,'Feature Raw Data'!$A$3:$C$4067,3,FALSE)</f>
        <v>P2</v>
      </c>
      <c r="D82" s="82" t="str" cm="1">
        <f t="array" ref="D82">_xlfn.TEXTJOIN("",TRUE,IF(ISNUMBER(SEARCH($A82,'Diags Raw Data'!$A$6:$A$4699)),CONCATENATE('Diags Raw Data'!$H$6:$H$4699,", "),""))</f>
        <v/>
      </c>
      <c r="E82" s="169" t="e">
        <f>VLOOKUP(A82,'Diags Raw Data'!$A$6:$D$4699,4,FALSE)</f>
        <v>#N/A</v>
      </c>
      <c r="F82" s="169" t="str">
        <f>VLOOKUP(A82,'Feature Raw Data'!$A$3:$E$4067,5,FALSE)</f>
        <v>Legacy</v>
      </c>
      <c r="G82" s="169" t="str">
        <f t="shared" si="28"/>
        <v>No</v>
      </c>
      <c r="H82" s="169" t="str">
        <f t="shared" si="19"/>
        <v>No</v>
      </c>
      <c r="I82" s="273">
        <f>SUMIF('Diags Raw Data'!$A$6:$A$4699,"*"&amp;$A82&amp;"*",'Diags Raw Data'!$K$6:$K$4699)</f>
        <v>0</v>
      </c>
      <c r="J82" s="179">
        <f>SUMIF('Diags Raw Data'!$A$6:$A$4699,"*"&amp;$A82&amp;"*",'Diags Raw Data'!$L$6:$L$4699)</f>
        <v>0</v>
      </c>
      <c r="K82" s="416" cm="1">
        <f t="array" ref="K82">IF(D82="",0, SUMPRODUCT(--(ISNUMBER(SEARCH($A82,'Diags Raw Data'!$A$6:$A$4699))),'Diags Raw Data'!$L$6:$L$4699,'Diags Raw Data'!$N$6:$N$4699)/J82)</f>
        <v>0</v>
      </c>
      <c r="L82" s="417" cm="1">
        <f t="array" ref="L82">IF(D82="",0, SUMPRODUCT(--(ISNUMBER(SEARCH($A82,'Diags Raw Data'!$A$6:$A$4699))),'Diags Raw Data'!$L$6:$L$4699,'Diags Raw Data'!$P$6:$P$4699)/J82)</f>
        <v>0</v>
      </c>
      <c r="M82" s="418" cm="1">
        <f t="array" ref="M82">SUMPRODUCT(--(ISNUMBER(SEARCH($A82,'Diags Raw Data'!$A$6:$A$4699))),--('Diags Raw Data'!$Q$6:$Q$4699&lt;&gt;"N/A"),'Diags Raw Data'!$R$6:$R$4699)</f>
        <v>0</v>
      </c>
      <c r="N82" s="419" cm="1">
        <f t="array" ref="N82">SUMPRODUCT(--(ISNUMBER(SEARCH($A82,'Diags Raw Data'!$A$6:$A$4699))),--('Diags Raw Data'!$Q$6:$Q$4699&lt;&gt;"N/A"),'Diags Raw Data'!$T$6:$T$4699)+SUMPRODUCT(--(ISNUMBER(SEARCH($A82,'Diags Raw Data'!$A$6:$A$4699))),--('Diags Raw Data'!$Q$6:$Q$4699&lt;&gt;"N/A"),'Diags Raw Data'!$U$6:$U$4699)</f>
        <v>0</v>
      </c>
      <c r="O82" s="462">
        <f t="shared" si="29"/>
        <v>0</v>
      </c>
      <c r="P82" s="420">
        <f>SUMIF('Diags Raw Data'!$A$6:$A$4699,"*"&amp;$A82&amp;"*",'Diags Raw Data'!$Z$6:$Z$4699)</f>
        <v>0</v>
      </c>
      <c r="Q82" s="421">
        <f>SUM(SUMIF('Diags Raw Data'!$A$6:$A$4699,"*"&amp;$A82&amp;"*",'Diags Raw Data'!$AA$6:$AA$4699),SUMIF('Diags Raw Data'!$A$6:$A$4699,"*"&amp;$A82&amp;"*",'Diags Raw Data'!$AB$6:$AB$4699))</f>
        <v>0</v>
      </c>
      <c r="R82" s="422">
        <f t="shared" si="30"/>
        <v>0</v>
      </c>
      <c r="S82" s="422">
        <f t="shared" si="31"/>
        <v>0</v>
      </c>
      <c r="T82" s="423">
        <f t="shared" si="32"/>
        <v>0</v>
      </c>
      <c r="U82" s="469" t="s">
        <v>44</v>
      </c>
      <c r="V82" s="170" t="s">
        <v>43</v>
      </c>
    </row>
    <row r="83" spans="1:22" x14ac:dyDescent="0.25">
      <c r="A83" s="446" t="s">
        <v>2505</v>
      </c>
      <c r="B83" s="332" t="str">
        <f>VLOOKUP(A83,'Feature Raw Data'!$A$3:$B$4067,2,FALSE)</f>
        <v>MMHUB:PCTL - Light C-State Support</v>
      </c>
      <c r="C83" s="273" t="str">
        <f>VLOOKUP(A83,'Feature Raw Data'!$A$3:$C$4067,3,FALSE)</f>
        <v>P2</v>
      </c>
      <c r="D83" s="82" t="str" cm="1">
        <f t="array" ref="D83">_xlfn.TEXTJOIN("",TRUE,IF(ISNUMBER(SEARCH($A83,'Diags Raw Data'!$A$6:$A$4699)),CONCATENATE('Diags Raw Data'!$H$6:$H$4699,", "),""))</f>
        <v/>
      </c>
      <c r="E83" s="169" t="e">
        <f>VLOOKUP(A83,'Diags Raw Data'!$A$6:$D$4699,4,FALSE)</f>
        <v>#N/A</v>
      </c>
      <c r="F83" s="169" t="str">
        <f>VLOOKUP(A83,'Feature Raw Data'!$A$3:$E$4067,5,FALSE)</f>
        <v>Legacy</v>
      </c>
      <c r="G83" s="169" t="str">
        <f t="shared" si="28"/>
        <v>No</v>
      </c>
      <c r="H83" s="169" t="str">
        <f t="shared" si="19"/>
        <v>No</v>
      </c>
      <c r="I83" s="273">
        <f>SUMIF('Diags Raw Data'!$A$6:$A$4699,"*"&amp;$A83&amp;"*",'Diags Raw Data'!$K$6:$K$4699)</f>
        <v>0</v>
      </c>
      <c r="J83" s="179">
        <f>SUMIF('Diags Raw Data'!$A$6:$A$4699,"*"&amp;$A83&amp;"*",'Diags Raw Data'!$L$6:$L$4699)</f>
        <v>0</v>
      </c>
      <c r="K83" s="416" cm="1">
        <f t="array" ref="K83">IF(D83="",0, SUMPRODUCT(--(ISNUMBER(SEARCH($A83,'Diags Raw Data'!$A$6:$A$4699))),'Diags Raw Data'!$L$6:$L$4699,'Diags Raw Data'!$N$6:$N$4699)/J83)</f>
        <v>0</v>
      </c>
      <c r="L83" s="417" cm="1">
        <f t="array" ref="L83">IF(D83="",0, SUMPRODUCT(--(ISNUMBER(SEARCH($A83,'Diags Raw Data'!$A$6:$A$4699))),'Diags Raw Data'!$L$6:$L$4699,'Diags Raw Data'!$P$6:$P$4699)/J83)</f>
        <v>0</v>
      </c>
      <c r="M83" s="418" cm="1">
        <f t="array" ref="M83">SUMPRODUCT(--(ISNUMBER(SEARCH($A83,'Diags Raw Data'!$A$6:$A$4699))),--('Diags Raw Data'!$Q$6:$Q$4699&lt;&gt;"N/A"),'Diags Raw Data'!$R$6:$R$4699)</f>
        <v>0</v>
      </c>
      <c r="N83" s="419" cm="1">
        <f t="array" ref="N83">SUMPRODUCT(--(ISNUMBER(SEARCH($A83,'Diags Raw Data'!$A$6:$A$4699))),--('Diags Raw Data'!$Q$6:$Q$4699&lt;&gt;"N/A"),'Diags Raw Data'!$T$6:$T$4699)+SUMPRODUCT(--(ISNUMBER(SEARCH($A83,'Diags Raw Data'!$A$6:$A$4699))),--('Diags Raw Data'!$Q$6:$Q$4699&lt;&gt;"N/A"),'Diags Raw Data'!$U$6:$U$4699)</f>
        <v>0</v>
      </c>
      <c r="O83" s="462">
        <f t="shared" si="29"/>
        <v>0</v>
      </c>
      <c r="P83" s="420">
        <f>SUMIF('Diags Raw Data'!$A$6:$A$4699,"*"&amp;$A83&amp;"*",'Diags Raw Data'!$Z$6:$Z$4699)</f>
        <v>0</v>
      </c>
      <c r="Q83" s="421">
        <f>SUM(SUMIF('Diags Raw Data'!$A$6:$A$4699,"*"&amp;$A83&amp;"*",'Diags Raw Data'!$AA$6:$AA$4699),SUMIF('Diags Raw Data'!$A$6:$A$4699,"*"&amp;$A83&amp;"*",'Diags Raw Data'!$AB$6:$AB$4699))</f>
        <v>0</v>
      </c>
      <c r="R83" s="422">
        <f t="shared" si="30"/>
        <v>0</v>
      </c>
      <c r="S83" s="422">
        <f t="shared" si="31"/>
        <v>0</v>
      </c>
      <c r="T83" s="423">
        <f t="shared" si="32"/>
        <v>0</v>
      </c>
      <c r="U83" s="469" t="s">
        <v>44</v>
      </c>
      <c r="V83" s="170" t="s">
        <v>43</v>
      </c>
    </row>
    <row r="84" spans="1:22" ht="45" x14ac:dyDescent="0.25">
      <c r="A84" s="446" t="s">
        <v>2507</v>
      </c>
      <c r="B84" s="332" t="str">
        <f>VLOOKUP(A84,'Feature Raw Data'!$A$3:$B$4067,2,FALSE)</f>
        <v>MMHUB:Security - Trusted Memory Zone (TMZ)</v>
      </c>
      <c r="C84" s="273" t="str">
        <f>VLOOKUP(A84,'Feature Raw Data'!$A$3:$C$4067,3,FALSE)</f>
        <v>P2</v>
      </c>
      <c r="D84" s="82" t="str" cm="1">
        <f t="array" ref="D84">_xlfn.TEXTJOIN("",TRUE,IF(ISNUMBER(SEARCH($A84,'Diags Raw Data'!$A$6:$A$4699)),CONCATENATE('Diags Raw Data'!$H$6:$H$4699,", "),""))</f>
        <v xml:space="preserve">mhub150.1-4,10,11,12,20,21,30-41, </v>
      </c>
      <c r="E84" s="169" t="e">
        <f>VLOOKUP(A84,'Diags Raw Data'!$A$6:$D$4699,4,FALSE)</f>
        <v>#N/A</v>
      </c>
      <c r="F84" s="169" t="str">
        <f>VLOOKUP(A84,'Feature Raw Data'!$A$3:$E$4067,5,FALSE)</f>
        <v>Legacy</v>
      </c>
      <c r="G84" s="169" t="str">
        <f t="shared" si="28"/>
        <v>Yes</v>
      </c>
      <c r="H84" s="169" t="str">
        <f t="shared" si="19"/>
        <v>Yes</v>
      </c>
      <c r="I84" s="273">
        <f>SUMIF('Diags Raw Data'!$A$6:$A$4699,"*"&amp;$A84&amp;"*",'Diags Raw Data'!$K$6:$K$4699)</f>
        <v>1</v>
      </c>
      <c r="J84" s="179">
        <f>SUMIF('Diags Raw Data'!$A$6:$A$4699,"*"&amp;$A84&amp;"*",'Diags Raw Data'!$L$6:$L$4699)</f>
        <v>21</v>
      </c>
      <c r="K84" s="416" cm="1">
        <f t="array" ref="K84">IF(D84="",0, SUMPRODUCT(--(ISNUMBER(SEARCH($A84,'Diags Raw Data'!$A$6:$A$4699))),'Diags Raw Data'!$L$6:$L$4699,'Diags Raw Data'!$N$6:$N$4699)/J84)</f>
        <v>1</v>
      </c>
      <c r="L84" s="417" cm="1">
        <f t="array" ref="L84">IF(D84="",0, SUMPRODUCT(--(ISNUMBER(SEARCH($A84,'Diags Raw Data'!$A$6:$A$4699))),'Diags Raw Data'!$L$6:$L$4699,'Diags Raw Data'!$P$6:$P$4699)/J84)</f>
        <v>0</v>
      </c>
      <c r="M84" s="418" cm="1">
        <f t="array" ref="M84">SUMPRODUCT(--(ISNUMBER(SEARCH($A84,'Diags Raw Data'!$A$6:$A$4699))),--('Diags Raw Data'!$Q$6:$Q$4699&lt;&gt;"N/A"),'Diags Raw Data'!$R$6:$R$4699)</f>
        <v>19</v>
      </c>
      <c r="N84" s="419" cm="1">
        <f t="array" ref="N84">SUMPRODUCT(--(ISNUMBER(SEARCH($A84,'Diags Raw Data'!$A$6:$A$4699))),--('Diags Raw Data'!$Q$6:$Q$4699&lt;&gt;"N/A"),'Diags Raw Data'!$T$6:$T$4699)+SUMPRODUCT(--(ISNUMBER(SEARCH($A84,'Diags Raw Data'!$A$6:$A$4699))),--('Diags Raw Data'!$Q$6:$Q$4699&lt;&gt;"N/A"),'Diags Raw Data'!$U$6:$U$4699)</f>
        <v>19</v>
      </c>
      <c r="O84" s="462">
        <f t="shared" si="29"/>
        <v>1</v>
      </c>
      <c r="P84" s="420">
        <f>SUMIF('Diags Raw Data'!$A$6:$A$4699,"*"&amp;$A84&amp;"*",'Diags Raw Data'!$Z$6:$Z$4699)</f>
        <v>0</v>
      </c>
      <c r="Q84" s="421">
        <f>SUM(SUMIF('Diags Raw Data'!$A$6:$A$4699,"*"&amp;$A84&amp;"*",'Diags Raw Data'!$AA$6:$AA$4699),SUMIF('Diags Raw Data'!$A$6:$A$4699,"*"&amp;$A84&amp;"*",'Diags Raw Data'!$AB$6:$AB$4699))</f>
        <v>0</v>
      </c>
      <c r="R84" s="422">
        <f t="shared" si="30"/>
        <v>0</v>
      </c>
      <c r="S84" s="422">
        <f t="shared" si="31"/>
        <v>0</v>
      </c>
      <c r="T84" s="423">
        <f t="shared" si="32"/>
        <v>0</v>
      </c>
      <c r="U84" s="469" t="s">
        <v>2808</v>
      </c>
      <c r="V84" s="170"/>
    </row>
    <row r="85" spans="1:22" ht="30" x14ac:dyDescent="0.25">
      <c r="A85" s="446" t="s">
        <v>2248</v>
      </c>
      <c r="B85" s="332" t="str">
        <f>VLOOKUP(A85,'Feature Raw Data'!$A$3:$B$4067,2,FALSE)</f>
        <v>MMHUB:Security - SOC15 Datapath/Controlpath Security</v>
      </c>
      <c r="C85" s="273" t="str">
        <f>VLOOKUP(A85,'Feature Raw Data'!$A$3:$C$4067,3,FALSE)</f>
        <v>P2</v>
      </c>
      <c r="D85" s="82" t="str" cm="1">
        <f t="array" ref="D85">_xlfn.TEXTJOIN("",TRUE,IF(ISNUMBER(SEARCH($A85,'Diags Raw Data'!$A$6:$A$4699)),CONCATENATE('Diags Raw Data'!$H$6:$H$4699,", "),""))</f>
        <v xml:space="preserve">DF003.1-4, </v>
      </c>
      <c r="E85" s="169" t="str">
        <f>VLOOKUP(A85,'Diags Raw Data'!$A$6:$D$4699,4,FALSE)</f>
        <v>MMHUB</v>
      </c>
      <c r="F85" s="169" t="str">
        <f>VLOOKUP(A85,'Feature Raw Data'!$A$3:$E$4067,5,FALSE)</f>
        <v>Legacy</v>
      </c>
      <c r="G85" s="169" t="s">
        <v>31</v>
      </c>
      <c r="H85" s="169" t="str">
        <f t="shared" si="19"/>
        <v>Yes</v>
      </c>
      <c r="I85" s="273">
        <f>SUMIF('Diags Raw Data'!$A$6:$A$4699,"*"&amp;$A85&amp;"*",'Diags Raw Data'!$K$6:$K$4699)</f>
        <v>0</v>
      </c>
      <c r="J85" s="179">
        <f>SUMIF('Diags Raw Data'!$A$6:$A$4699,"*"&amp;$A85&amp;"*",'Diags Raw Data'!$L$6:$L$4699)</f>
        <v>0</v>
      </c>
      <c r="K85" s="416" t="e" cm="1">
        <f t="array" ref="K85">IF(D85="",0, SUMPRODUCT(--(ISNUMBER(SEARCH($A85,'Diags Raw Data'!$A$6:$A$4699))),'Diags Raw Data'!$L$6:$L$4699,'Diags Raw Data'!$N$6:$N$4699)/J85)</f>
        <v>#DIV/0!</v>
      </c>
      <c r="L85" s="417" t="e" cm="1">
        <f t="array" ref="L85">IF(D85="",0, SUMPRODUCT(--(ISNUMBER(SEARCH($A85,'Diags Raw Data'!$A$6:$A$4699))),'Diags Raw Data'!$L$6:$L$4699,'Diags Raw Data'!$P$6:$P$4699)/J85)</f>
        <v>#DIV/0!</v>
      </c>
      <c r="M85" s="418" cm="1">
        <f t="array" ref="M85">SUMPRODUCT(--(ISNUMBER(SEARCH($A85,'Diags Raw Data'!$A$6:$A$4699))),--('Diags Raw Data'!$Q$6:$Q$4699&lt;&gt;"N/A"),'Diags Raw Data'!$R$6:$R$4699)</f>
        <v>0</v>
      </c>
      <c r="N85" s="419" cm="1">
        <f t="array" ref="N85">SUMPRODUCT(--(ISNUMBER(SEARCH($A85,'Diags Raw Data'!$A$6:$A$4699))),--('Diags Raw Data'!$Q$6:$Q$4699&lt;&gt;"N/A"),'Diags Raw Data'!$T$6:$T$4699)+SUMPRODUCT(--(ISNUMBER(SEARCH($A85,'Diags Raw Data'!$A$6:$A$4699))),--('Diags Raw Data'!$Q$6:$Q$4699&lt;&gt;"N/A"),'Diags Raw Data'!$U$6:$U$4699)</f>
        <v>0</v>
      </c>
      <c r="O85" s="462">
        <f t="shared" si="29"/>
        <v>0</v>
      </c>
      <c r="P85" s="420">
        <f>SUMIF('Diags Raw Data'!$A$6:$A$4699,"*"&amp;$A85&amp;"*",'Diags Raw Data'!$Z$6:$Z$4699)</f>
        <v>0</v>
      </c>
      <c r="Q85" s="421">
        <f>SUM(SUMIF('Diags Raw Data'!$A$6:$A$4699,"*"&amp;$A85&amp;"*",'Diags Raw Data'!$AA$6:$AA$4699),SUMIF('Diags Raw Data'!$A$6:$A$4699,"*"&amp;$A85&amp;"*",'Diags Raw Data'!$AB$6:$AB$4699))</f>
        <v>0</v>
      </c>
      <c r="R85" s="422">
        <f t="shared" si="30"/>
        <v>0</v>
      </c>
      <c r="S85" s="422">
        <f t="shared" si="31"/>
        <v>0</v>
      </c>
      <c r="T85" s="423">
        <f t="shared" si="32"/>
        <v>0</v>
      </c>
      <c r="U85" s="469" t="s">
        <v>44</v>
      </c>
      <c r="V85" s="170" t="s">
        <v>2233</v>
      </c>
    </row>
    <row r="86" spans="1:22" x14ac:dyDescent="0.25">
      <c r="A86" s="446" t="s">
        <v>2521</v>
      </c>
      <c r="B86" s="332" t="str">
        <f>VLOOKUP(A86,'Feature Raw Data'!$A$3:$B$4067,2,FALSE)</f>
        <v>MMHUB:Debug - Debug Bus</v>
      </c>
      <c r="C86" s="273" t="str">
        <f>VLOOKUP(A86,'Feature Raw Data'!$A$3:$C$4067,3,FALSE)</f>
        <v>P2</v>
      </c>
      <c r="D86" s="82" t="str" cm="1">
        <f t="array" ref="D86">_xlfn.TEXTJOIN("",TRUE,IF(ISNUMBER(SEARCH($A86,'Diags Raw Data'!$A$6:$A$4699)),CONCATENATE('Diags Raw Data'!$H$6:$H$4699,", "),""))</f>
        <v/>
      </c>
      <c r="E86" s="169" t="e">
        <f>VLOOKUP(A86,'Diags Raw Data'!$A$6:$D$4699,4,FALSE)</f>
        <v>#N/A</v>
      </c>
      <c r="F86" s="169" t="str">
        <f>VLOOKUP(A86,'Feature Raw Data'!$A$3:$E$4067,5,FALSE)</f>
        <v>Legacy</v>
      </c>
      <c r="G86" s="169" t="str">
        <f t="shared" ref="G86:G89" si="33">IF(D86="","No","Yes")</f>
        <v>No</v>
      </c>
      <c r="H86" s="169" t="str">
        <f t="shared" ref="H86:H89" si="34">IF(D86="","No","Yes")</f>
        <v>No</v>
      </c>
      <c r="I86" s="273">
        <f>SUMIF('Diags Raw Data'!$A$6:$A$4699,"*"&amp;$A86&amp;"*",'Diags Raw Data'!$K$6:$K$4699)</f>
        <v>0</v>
      </c>
      <c r="J86" s="179">
        <f>SUMIF('Diags Raw Data'!$A$6:$A$4699,"*"&amp;$A86&amp;"*",'Diags Raw Data'!$L$6:$L$4699)</f>
        <v>0</v>
      </c>
      <c r="K86" s="416" cm="1">
        <f t="array" ref="K86">IF(D86="",0, SUMPRODUCT(--(ISNUMBER(SEARCH($A86,'Diags Raw Data'!$A$6:$A$4699))),'Diags Raw Data'!$L$6:$L$4699,'Diags Raw Data'!$N$6:$N$4699)/J86)</f>
        <v>0</v>
      </c>
      <c r="L86" s="417" cm="1">
        <f t="array" ref="L86">IF(D86="",0, SUMPRODUCT(--(ISNUMBER(SEARCH($A86,'Diags Raw Data'!$A$6:$A$4699))),'Diags Raw Data'!$L$6:$L$4699,'Diags Raw Data'!$P$6:$P$4699)/J86)</f>
        <v>0</v>
      </c>
      <c r="M86" s="418" cm="1">
        <f t="array" ref="M86">SUMPRODUCT(--(ISNUMBER(SEARCH($A86,'Diags Raw Data'!$A$6:$A$4699))),--('Diags Raw Data'!$Q$6:$Q$4699&lt;&gt;"N/A"),'Diags Raw Data'!$R$6:$R$4699)</f>
        <v>0</v>
      </c>
      <c r="N86" s="419" cm="1">
        <f t="array" ref="N86">SUMPRODUCT(--(ISNUMBER(SEARCH($A86,'Diags Raw Data'!$A$6:$A$4699))),--('Diags Raw Data'!$Q$6:$Q$4699&lt;&gt;"N/A"),'Diags Raw Data'!$T$6:$T$4699)+SUMPRODUCT(--(ISNUMBER(SEARCH($A86,'Diags Raw Data'!$A$6:$A$4699))),--('Diags Raw Data'!$Q$6:$Q$4699&lt;&gt;"N/A"),'Diags Raw Data'!$U$6:$U$4699)</f>
        <v>0</v>
      </c>
      <c r="O86" s="462">
        <f t="shared" ref="O86:O89" si="35">IF((M86=0),0,N86/M86)</f>
        <v>0</v>
      </c>
      <c r="P86" s="420">
        <f>SUMIF('Diags Raw Data'!$A$6:$A$4699,"*"&amp;$A86&amp;"*",'Diags Raw Data'!$Z$6:$Z$4699)</f>
        <v>0</v>
      </c>
      <c r="Q86" s="421">
        <f>SUM(SUMIF('Diags Raw Data'!$A$6:$A$4699,"*"&amp;$A86&amp;"*",'Diags Raw Data'!$AA$6:$AA$4699),SUMIF('Diags Raw Data'!$A$6:$A$4699,"*"&amp;$A86&amp;"*",'Diags Raw Data'!$AB$6:$AB$4699))</f>
        <v>0</v>
      </c>
      <c r="R86" s="422">
        <f t="shared" ref="R86:R89" si="36">IF((J86=0),0,P86/J86)</f>
        <v>0</v>
      </c>
      <c r="S86" s="422">
        <f t="shared" ref="S86:S89" si="37">IF((P86=0),0,Q86/P86)</f>
        <v>0</v>
      </c>
      <c r="T86" s="423">
        <f t="shared" ref="T86:T89" si="38">R86*S86</f>
        <v>0</v>
      </c>
      <c r="U86" s="469" t="s">
        <v>44</v>
      </c>
      <c r="V86" s="170" t="s">
        <v>43</v>
      </c>
    </row>
    <row r="87" spans="1:22" x14ac:dyDescent="0.25">
      <c r="A87" s="446" t="s">
        <v>2523</v>
      </c>
      <c r="B87" s="332" t="str">
        <f>VLOOKUP(A87,'Feature Raw Data'!$A$3:$B$4067,2,FALSE)</f>
        <v>GFXHUB:GCUTCL2 - SRAM FGCG</v>
      </c>
      <c r="C87" s="273" t="str">
        <f>VLOOKUP(A87,'Feature Raw Data'!$A$3:$C$4067,3,FALSE)</f>
        <v>P2</v>
      </c>
      <c r="D87" s="82" t="str" cm="1">
        <f t="array" ref="D87">_xlfn.TEXTJOIN("",TRUE,IF(ISNUMBER(SEARCH($A87,'Diags Raw Data'!$A$6:$A$4699)),CONCATENATE('Diags Raw Data'!$H$6:$H$4699,", "),""))</f>
        <v/>
      </c>
      <c r="E87" s="169" t="e">
        <f>VLOOKUP(A87,'Diags Raw Data'!$A$6:$D$4699,4,FALSE)</f>
        <v>#N/A</v>
      </c>
      <c r="F87" s="169" t="str">
        <f>VLOOKUP(A87,'Feature Raw Data'!$A$3:$E$4067,5,FALSE)</f>
        <v>Delta</v>
      </c>
      <c r="G87" s="169" t="str">
        <f t="shared" si="33"/>
        <v>No</v>
      </c>
      <c r="H87" s="169" t="str">
        <f t="shared" si="34"/>
        <v>No</v>
      </c>
      <c r="I87" s="273">
        <f>SUMIF('Diags Raw Data'!$A$6:$A$4699,"*"&amp;$A87&amp;"*",'Diags Raw Data'!$K$6:$K$4699)</f>
        <v>0</v>
      </c>
      <c r="J87" s="179">
        <f>SUMIF('Diags Raw Data'!$A$6:$A$4699,"*"&amp;$A87&amp;"*",'Diags Raw Data'!$L$6:$L$4699)</f>
        <v>0</v>
      </c>
      <c r="K87" s="416" cm="1">
        <f t="array" ref="K87">IF(D87="",0, SUMPRODUCT(--(ISNUMBER(SEARCH($A87,'Diags Raw Data'!$A$6:$A$4699))),'Diags Raw Data'!$L$6:$L$4699,'Diags Raw Data'!$N$6:$N$4699)/J87)</f>
        <v>0</v>
      </c>
      <c r="L87" s="417" cm="1">
        <f t="array" ref="L87">IF(D87="",0, SUMPRODUCT(--(ISNUMBER(SEARCH($A87,'Diags Raw Data'!$A$6:$A$4699))),'Diags Raw Data'!$L$6:$L$4699,'Diags Raw Data'!$P$6:$P$4699)/J87)</f>
        <v>0</v>
      </c>
      <c r="M87" s="418" cm="1">
        <f t="array" ref="M87">SUMPRODUCT(--(ISNUMBER(SEARCH($A87,'Diags Raw Data'!$A$6:$A$4699))),--('Diags Raw Data'!$Q$6:$Q$4699&lt;&gt;"N/A"),'Diags Raw Data'!$R$6:$R$4699)</f>
        <v>0</v>
      </c>
      <c r="N87" s="419" cm="1">
        <f t="array" ref="N87">SUMPRODUCT(--(ISNUMBER(SEARCH($A87,'Diags Raw Data'!$A$6:$A$4699))),--('Diags Raw Data'!$Q$6:$Q$4699&lt;&gt;"N/A"),'Diags Raw Data'!$T$6:$T$4699)+SUMPRODUCT(--(ISNUMBER(SEARCH($A87,'Diags Raw Data'!$A$6:$A$4699))),--('Diags Raw Data'!$Q$6:$Q$4699&lt;&gt;"N/A"),'Diags Raw Data'!$U$6:$U$4699)</f>
        <v>0</v>
      </c>
      <c r="O87" s="462">
        <f t="shared" si="35"/>
        <v>0</v>
      </c>
      <c r="P87" s="420">
        <f>SUMIF('Diags Raw Data'!$A$6:$A$4699,"*"&amp;$A87&amp;"*",'Diags Raw Data'!$Z$6:$Z$4699)</f>
        <v>0</v>
      </c>
      <c r="Q87" s="421">
        <f>SUM(SUMIF('Diags Raw Data'!$A$6:$A$4699,"*"&amp;$A87&amp;"*",'Diags Raw Data'!$AA$6:$AA$4699),SUMIF('Diags Raw Data'!$A$6:$A$4699,"*"&amp;$A87&amp;"*",'Diags Raw Data'!$AB$6:$AB$4699))</f>
        <v>0</v>
      </c>
      <c r="R87" s="422">
        <f t="shared" si="36"/>
        <v>0</v>
      </c>
      <c r="S87" s="422">
        <f t="shared" si="37"/>
        <v>0</v>
      </c>
      <c r="T87" s="423">
        <f t="shared" si="38"/>
        <v>0</v>
      </c>
      <c r="U87" s="469" t="s">
        <v>44</v>
      </c>
      <c r="V87" s="170" t="s">
        <v>43</v>
      </c>
    </row>
    <row r="88" spans="1:22" x14ac:dyDescent="0.25">
      <c r="A88" s="446" t="s">
        <v>2525</v>
      </c>
      <c r="B88" s="332" t="str">
        <f>VLOOKUP(A88,'Feature Raw Data'!$A$3:$B$4067,2,FALSE)</f>
        <v>GFXHUB:GCUTCL2 - Repeater FGCG</v>
      </c>
      <c r="C88" s="273" t="str">
        <f>VLOOKUP(A88,'Feature Raw Data'!$A$3:$C$4067,3,FALSE)</f>
        <v>P2</v>
      </c>
      <c r="D88" s="82" t="str" cm="1">
        <f t="array" ref="D88">_xlfn.TEXTJOIN("",TRUE,IF(ISNUMBER(SEARCH($A88,'Diags Raw Data'!$A$6:$A$4699)),CONCATENATE('Diags Raw Data'!$H$6:$H$4699,", "),""))</f>
        <v/>
      </c>
      <c r="E88" s="169" t="e">
        <f>VLOOKUP(A88,'Diags Raw Data'!$A$6:$D$4699,4,FALSE)</f>
        <v>#N/A</v>
      </c>
      <c r="F88" s="169" t="str">
        <f>VLOOKUP(A88,'Feature Raw Data'!$A$3:$E$4067,5,FALSE)</f>
        <v>Legacy</v>
      </c>
      <c r="G88" s="169" t="str">
        <f t="shared" si="33"/>
        <v>No</v>
      </c>
      <c r="H88" s="169" t="str">
        <f t="shared" si="34"/>
        <v>No</v>
      </c>
      <c r="I88" s="273">
        <f>SUMIF('Diags Raw Data'!$A$6:$A$4699,"*"&amp;$A88&amp;"*",'Diags Raw Data'!$K$6:$K$4699)</f>
        <v>0</v>
      </c>
      <c r="J88" s="179">
        <f>SUMIF('Diags Raw Data'!$A$6:$A$4699,"*"&amp;$A88&amp;"*",'Diags Raw Data'!$L$6:$L$4699)</f>
        <v>0</v>
      </c>
      <c r="K88" s="416" cm="1">
        <f t="array" ref="K88">IF(D88="",0, SUMPRODUCT(--(ISNUMBER(SEARCH($A88,'Diags Raw Data'!$A$6:$A$4699))),'Diags Raw Data'!$L$6:$L$4699,'Diags Raw Data'!$N$6:$N$4699)/J88)</f>
        <v>0</v>
      </c>
      <c r="L88" s="417" cm="1">
        <f t="array" ref="L88">IF(D88="",0, SUMPRODUCT(--(ISNUMBER(SEARCH($A88,'Diags Raw Data'!$A$6:$A$4699))),'Diags Raw Data'!$L$6:$L$4699,'Diags Raw Data'!$P$6:$P$4699)/J88)</f>
        <v>0</v>
      </c>
      <c r="M88" s="418" cm="1">
        <f t="array" ref="M88">SUMPRODUCT(--(ISNUMBER(SEARCH($A88,'Diags Raw Data'!$A$6:$A$4699))),--('Diags Raw Data'!$Q$6:$Q$4699&lt;&gt;"N/A"),'Diags Raw Data'!$R$6:$R$4699)</f>
        <v>0</v>
      </c>
      <c r="N88" s="419" cm="1">
        <f t="array" ref="N88">SUMPRODUCT(--(ISNUMBER(SEARCH($A88,'Diags Raw Data'!$A$6:$A$4699))),--('Diags Raw Data'!$Q$6:$Q$4699&lt;&gt;"N/A"),'Diags Raw Data'!$T$6:$T$4699)+SUMPRODUCT(--(ISNUMBER(SEARCH($A88,'Diags Raw Data'!$A$6:$A$4699))),--('Diags Raw Data'!$Q$6:$Q$4699&lt;&gt;"N/A"),'Diags Raw Data'!$U$6:$U$4699)</f>
        <v>0</v>
      </c>
      <c r="O88" s="462">
        <f t="shared" si="35"/>
        <v>0</v>
      </c>
      <c r="P88" s="420">
        <f>SUMIF('Diags Raw Data'!$A$6:$A$4699,"*"&amp;$A88&amp;"*",'Diags Raw Data'!$Z$6:$Z$4699)</f>
        <v>0</v>
      </c>
      <c r="Q88" s="421">
        <f>SUM(SUMIF('Diags Raw Data'!$A$6:$A$4699,"*"&amp;$A88&amp;"*",'Diags Raw Data'!$AA$6:$AA$4699),SUMIF('Diags Raw Data'!$A$6:$A$4699,"*"&amp;$A88&amp;"*",'Diags Raw Data'!$AB$6:$AB$4699))</f>
        <v>0</v>
      </c>
      <c r="R88" s="422">
        <f t="shared" si="36"/>
        <v>0</v>
      </c>
      <c r="S88" s="422">
        <f t="shared" si="37"/>
        <v>0</v>
      </c>
      <c r="T88" s="423">
        <f t="shared" si="38"/>
        <v>0</v>
      </c>
      <c r="U88" s="469" t="s">
        <v>44</v>
      </c>
      <c r="V88" s="170" t="s">
        <v>43</v>
      </c>
    </row>
    <row r="89" spans="1:22" x14ac:dyDescent="0.25">
      <c r="A89" s="446" t="s">
        <v>2529</v>
      </c>
      <c r="B89" s="332" t="str">
        <f>VLOOKUP(A89,'Feature Raw Data'!$A$3:$B$4067,2,FALSE)</f>
        <v>GFXHUB:GCUTCL2 - RDL parameter Enhancement</v>
      </c>
      <c r="C89" s="273" t="str">
        <f>VLOOKUP(A89,'Feature Raw Data'!$A$3:$C$4067,3,FALSE)</f>
        <v>N/A</v>
      </c>
      <c r="D89" s="82" t="str" cm="1">
        <f t="array" ref="D89">_xlfn.TEXTJOIN("",TRUE,IF(ISNUMBER(SEARCH($A89,'Diags Raw Data'!$A$6:$A$4699)),CONCATENATE('Diags Raw Data'!$H$6:$H$4699,", "),""))</f>
        <v/>
      </c>
      <c r="E89" s="169" t="e">
        <f>VLOOKUP(A89,'Diags Raw Data'!$A$6:$D$4699,4,FALSE)</f>
        <v>#N/A</v>
      </c>
      <c r="F89" s="169" t="str">
        <f>VLOOKUP(A89,'Feature Raw Data'!$A$3:$E$4067,5,FALSE)</f>
        <v>Legacy</v>
      </c>
      <c r="G89" s="169" t="str">
        <f t="shared" si="33"/>
        <v>No</v>
      </c>
      <c r="H89" s="169" t="str">
        <f t="shared" si="34"/>
        <v>No</v>
      </c>
      <c r="I89" s="273">
        <f>SUMIF('Diags Raw Data'!$A$6:$A$4699,"*"&amp;$A89&amp;"*",'Diags Raw Data'!$K$6:$K$4699)</f>
        <v>0</v>
      </c>
      <c r="J89" s="179">
        <f>SUMIF('Diags Raw Data'!$A$6:$A$4699,"*"&amp;$A89&amp;"*",'Diags Raw Data'!$L$6:$L$4699)</f>
        <v>0</v>
      </c>
      <c r="K89" s="416" cm="1">
        <f t="array" ref="K89">IF(D89="",0, SUMPRODUCT(--(ISNUMBER(SEARCH($A89,'Diags Raw Data'!$A$6:$A$4699))),'Diags Raw Data'!$L$6:$L$4699,'Diags Raw Data'!$N$6:$N$4699)/J89)</f>
        <v>0</v>
      </c>
      <c r="L89" s="417" cm="1">
        <f t="array" ref="L89">IF(D89="",0, SUMPRODUCT(--(ISNUMBER(SEARCH($A89,'Diags Raw Data'!$A$6:$A$4699))),'Diags Raw Data'!$L$6:$L$4699,'Diags Raw Data'!$P$6:$P$4699)/J89)</f>
        <v>0</v>
      </c>
      <c r="M89" s="418" cm="1">
        <f t="array" ref="M89">SUMPRODUCT(--(ISNUMBER(SEARCH($A89,'Diags Raw Data'!$A$6:$A$4699))),--('Diags Raw Data'!$Q$6:$Q$4699&lt;&gt;"N/A"),'Diags Raw Data'!$R$6:$R$4699)</f>
        <v>0</v>
      </c>
      <c r="N89" s="419" cm="1">
        <f t="array" ref="N89">SUMPRODUCT(--(ISNUMBER(SEARCH($A89,'Diags Raw Data'!$A$6:$A$4699))),--('Diags Raw Data'!$Q$6:$Q$4699&lt;&gt;"N/A"),'Diags Raw Data'!$T$6:$T$4699)+SUMPRODUCT(--(ISNUMBER(SEARCH($A89,'Diags Raw Data'!$A$6:$A$4699))),--('Diags Raw Data'!$Q$6:$Q$4699&lt;&gt;"N/A"),'Diags Raw Data'!$U$6:$U$4699)</f>
        <v>0</v>
      </c>
      <c r="O89" s="462">
        <f t="shared" si="35"/>
        <v>0</v>
      </c>
      <c r="P89" s="420">
        <f>SUMIF('Diags Raw Data'!$A$6:$A$4699,"*"&amp;$A89&amp;"*",'Diags Raw Data'!$Z$6:$Z$4699)</f>
        <v>0</v>
      </c>
      <c r="Q89" s="421">
        <f>SUM(SUMIF('Diags Raw Data'!$A$6:$A$4699,"*"&amp;$A89&amp;"*",'Diags Raw Data'!$AA$6:$AA$4699),SUMIF('Diags Raw Data'!$A$6:$A$4699,"*"&amp;$A89&amp;"*",'Diags Raw Data'!$AB$6:$AB$4699))</f>
        <v>0</v>
      </c>
      <c r="R89" s="422">
        <f t="shared" si="36"/>
        <v>0</v>
      </c>
      <c r="S89" s="422">
        <f t="shared" si="37"/>
        <v>0</v>
      </c>
      <c r="T89" s="423">
        <f t="shared" si="38"/>
        <v>0</v>
      </c>
      <c r="U89" s="469" t="s">
        <v>44</v>
      </c>
      <c r="V89" s="170" t="s">
        <v>43</v>
      </c>
    </row>
    <row r="90" spans="1:22" ht="30" x14ac:dyDescent="0.25">
      <c r="A90" s="446" t="s">
        <v>2531</v>
      </c>
      <c r="B90" s="332" t="str">
        <f>VLOOKUP(A90,'Feature Raw Data'!$A$3:$B$4067,2,FALSE)</f>
        <v>GFXHUB:GCUTCL2 - Expand GRBM address bus range</v>
      </c>
      <c r="C90" s="273" t="str">
        <f>VLOOKUP(A90,'Feature Raw Data'!$A$3:$C$4067,3,FALSE)</f>
        <v>P2</v>
      </c>
      <c r="D90" s="82" t="str" cm="1">
        <f t="array" ref="D90">_xlfn.TEXTJOIN("",TRUE,IF(ISNUMBER(SEARCH($A90,'Diags Raw Data'!$A$6:$A$4699)),CONCATENATE('Diags Raw Data'!$H$6:$H$4699,", "),""))</f>
        <v/>
      </c>
      <c r="E90" s="169" t="e">
        <f>VLOOKUP(A90,'Diags Raw Data'!$A$6:$D$4699,4,FALSE)</f>
        <v>#N/A</v>
      </c>
      <c r="F90" s="169" t="str">
        <f>VLOOKUP(A90,'Feature Raw Data'!$A$3:$E$4067,5,FALSE)</f>
        <v>Legacy</v>
      </c>
      <c r="G90" s="169" t="str">
        <f t="shared" ref="G90:G100" si="39">IF(D90="","No","Yes")</f>
        <v>No</v>
      </c>
      <c r="H90" s="169" t="str">
        <f t="shared" ref="H90:H100" si="40">IF(D90="","No","Yes")</f>
        <v>No</v>
      </c>
      <c r="I90" s="273">
        <f>SUMIF('Diags Raw Data'!$A$6:$A$4699,"*"&amp;$A90&amp;"*",'Diags Raw Data'!$K$6:$K$4699)</f>
        <v>0</v>
      </c>
      <c r="J90" s="179">
        <f>SUMIF('Diags Raw Data'!$A$6:$A$4699,"*"&amp;$A90&amp;"*",'Diags Raw Data'!$L$6:$L$4699)</f>
        <v>0</v>
      </c>
      <c r="K90" s="416" cm="1">
        <f t="array" ref="K90">IF(D90="",0, SUMPRODUCT(--(ISNUMBER(SEARCH($A90,'Diags Raw Data'!$A$6:$A$4699))),'Diags Raw Data'!$L$6:$L$4699,'Diags Raw Data'!$N$6:$N$4699)/J90)</f>
        <v>0</v>
      </c>
      <c r="L90" s="417" cm="1">
        <f t="array" ref="L90">IF(D90="",0, SUMPRODUCT(--(ISNUMBER(SEARCH($A90,'Diags Raw Data'!$A$6:$A$4699))),'Diags Raw Data'!$L$6:$L$4699,'Diags Raw Data'!$P$6:$P$4699)/J90)</f>
        <v>0</v>
      </c>
      <c r="M90" s="418" cm="1">
        <f t="array" ref="M90">SUMPRODUCT(--(ISNUMBER(SEARCH($A90,'Diags Raw Data'!$A$6:$A$4699))),--('Diags Raw Data'!$Q$6:$Q$4699&lt;&gt;"N/A"),'Diags Raw Data'!$R$6:$R$4699)</f>
        <v>0</v>
      </c>
      <c r="N90" s="419" cm="1">
        <f t="array" ref="N90">SUMPRODUCT(--(ISNUMBER(SEARCH($A90,'Diags Raw Data'!$A$6:$A$4699))),--('Diags Raw Data'!$Q$6:$Q$4699&lt;&gt;"N/A"),'Diags Raw Data'!$T$6:$T$4699)+SUMPRODUCT(--(ISNUMBER(SEARCH($A90,'Diags Raw Data'!$A$6:$A$4699))),--('Diags Raw Data'!$Q$6:$Q$4699&lt;&gt;"N/A"),'Diags Raw Data'!$U$6:$U$4699)</f>
        <v>0</v>
      </c>
      <c r="O90" s="462">
        <f t="shared" ref="O90:O93" si="41">IF((M90=0),0,N90/M90)</f>
        <v>0</v>
      </c>
      <c r="P90" s="420">
        <f>SUMIF('Diags Raw Data'!$A$6:$A$4699,"*"&amp;$A90&amp;"*",'Diags Raw Data'!$Z$6:$Z$4699)</f>
        <v>0</v>
      </c>
      <c r="Q90" s="421">
        <f>SUM(SUMIF('Diags Raw Data'!$A$6:$A$4699,"*"&amp;$A90&amp;"*",'Diags Raw Data'!$AA$6:$AA$4699),SUMIF('Diags Raw Data'!$A$6:$A$4699,"*"&amp;$A90&amp;"*",'Diags Raw Data'!$AB$6:$AB$4699))</f>
        <v>0</v>
      </c>
      <c r="R90" s="422">
        <f t="shared" ref="R90:R93" si="42">IF((J90=0),0,P90/J90)</f>
        <v>0</v>
      </c>
      <c r="S90" s="422">
        <f t="shared" ref="S90:S93" si="43">IF((P90=0),0,Q90/P90)</f>
        <v>0</v>
      </c>
      <c r="T90" s="423">
        <f t="shared" ref="T90:T93" si="44">R90*S90</f>
        <v>0</v>
      </c>
      <c r="U90" s="469" t="s">
        <v>44</v>
      </c>
      <c r="V90" s="170" t="s">
        <v>43</v>
      </c>
    </row>
    <row r="91" spans="1:22" ht="345" x14ac:dyDescent="0.25">
      <c r="A91" s="446" t="s">
        <v>2200</v>
      </c>
      <c r="B91" s="332" t="str">
        <f>VLOOKUP(A91,'Feature Raw Data'!$A$3:$B$4067,2,FALSE)</f>
        <v>GFXHUB:GCUTCL2 - IO/SPA for APU system</v>
      </c>
      <c r="C91" s="273" t="str">
        <f>VLOOKUP(A91,'Feature Raw Data'!$A$3:$C$4067,3,FALSE)</f>
        <v>P2</v>
      </c>
      <c r="D91" s="82" t="str" cm="1">
        <f t="array" ref="D91">_xlfn.TEXTJOIN("",TRUE,IF(ISNUMBER(SEARCH($A91,'Diags Raw Data'!$A$6:$A$4699)),CONCATENATE('Diags Raw Data'!$H$6:$H$4699,", "),""))</f>
        <v xml:space="preserve">mhub260.1-16, mhub260.17-32, mhub260.33-46, mhub260.47-60, mhub260.61, mhub260.62, mhub260.63, mhub260.64, mhub260.80, mhub260.81, mhub260.82, mhub260.83, mhub260.84, mhub260.85, mhub260.86, mhub260.87, mhub272.1, mhub272.2, mhub272.3, </v>
      </c>
      <c r="E91" s="169" t="str">
        <f>VLOOKUP(A91,'Diags Raw Data'!$A$6:$D$4699,4,FALSE)</f>
        <v>GCHUB</v>
      </c>
      <c r="F91" s="169" t="str">
        <f>VLOOKUP(A91,'Feature Raw Data'!$A$3:$E$4067,5,FALSE)</f>
        <v>Legacy</v>
      </c>
      <c r="G91" s="169" t="str">
        <f t="shared" si="39"/>
        <v>Yes</v>
      </c>
      <c r="H91" s="169" t="str">
        <f t="shared" si="40"/>
        <v>Yes</v>
      </c>
      <c r="I91" s="273">
        <f>SUMIF('Diags Raw Data'!$A$6:$A$4699,"*"&amp;$A91&amp;"*",'Diags Raw Data'!$K$6:$K$4699)</f>
        <v>19</v>
      </c>
      <c r="J91" s="179">
        <f>SUMIF('Diags Raw Data'!$A$6:$A$4699,"*"&amp;$A91&amp;"*",'Diags Raw Data'!$L$6:$L$4699)</f>
        <v>75</v>
      </c>
      <c r="K91" s="416" cm="1">
        <f t="array" ref="K91">IF(D91="",0, SUMPRODUCT(--(ISNUMBER(SEARCH($A91,'Diags Raw Data'!$A$6:$A$4699))),'Diags Raw Data'!$L$6:$L$4699,'Diags Raw Data'!$N$6:$N$4699)/J91)</f>
        <v>1</v>
      </c>
      <c r="L91" s="417" cm="1">
        <f t="array" ref="L91">IF(D91="",0, SUMPRODUCT(--(ISNUMBER(SEARCH($A91,'Diags Raw Data'!$A$6:$A$4699))),'Diags Raw Data'!$L$6:$L$4699,'Diags Raw Data'!$P$6:$P$4699)/J91)</f>
        <v>0.2</v>
      </c>
      <c r="M91" s="418" cm="1">
        <f t="array" ref="M91">SUMPRODUCT(--(ISNUMBER(SEARCH($A91,'Diags Raw Data'!$A$6:$A$4699))),--('Diags Raw Data'!$Q$6:$Q$4699&lt;&gt;"N/A"),'Diags Raw Data'!$R$6:$R$4699)</f>
        <v>75</v>
      </c>
      <c r="N91" s="419" cm="1">
        <f t="array" ref="N91">SUMPRODUCT(--(ISNUMBER(SEARCH($A91,'Diags Raw Data'!$A$6:$A$4699))),--('Diags Raw Data'!$Q$6:$Q$4699&lt;&gt;"N/A"),'Diags Raw Data'!$T$6:$T$4699)+SUMPRODUCT(--(ISNUMBER(SEARCH($A91,'Diags Raw Data'!$A$6:$A$4699))),--('Diags Raw Data'!$Q$6:$Q$4699&lt;&gt;"N/A"),'Diags Raw Data'!$U$6:$U$4699)</f>
        <v>75</v>
      </c>
      <c r="O91" s="462">
        <f t="shared" si="41"/>
        <v>1</v>
      </c>
      <c r="P91" s="420">
        <f>SUMIF('Diags Raw Data'!$A$6:$A$4699,"*"&amp;$A91&amp;"*",'Diags Raw Data'!$Z$6:$Z$4699)</f>
        <v>0</v>
      </c>
      <c r="Q91" s="421">
        <f>SUM(SUMIF('Diags Raw Data'!$A$6:$A$4699,"*"&amp;$A91&amp;"*",'Diags Raw Data'!$AA$6:$AA$4699),SUMIF('Diags Raw Data'!$A$6:$A$4699,"*"&amp;$A91&amp;"*",'Diags Raw Data'!$AB$6:$AB$4699))</f>
        <v>0</v>
      </c>
      <c r="R91" s="422">
        <f t="shared" si="42"/>
        <v>0</v>
      </c>
      <c r="S91" s="422">
        <f t="shared" si="43"/>
        <v>0</v>
      </c>
      <c r="T91" s="423">
        <f t="shared" si="44"/>
        <v>0</v>
      </c>
      <c r="U91" s="469" t="s">
        <v>2807</v>
      </c>
      <c r="V91" s="170"/>
    </row>
    <row r="92" spans="1:22" ht="30" x14ac:dyDescent="0.25">
      <c r="A92" s="446" t="s">
        <v>1539</v>
      </c>
      <c r="B92" s="332" t="str">
        <f>VLOOKUP(A92,'Feature Raw Data'!$A$3:$B$4067,2,FALSE)</f>
        <v>GFXHUB:GCUTCL2 - Remove 2MB max page size limit</v>
      </c>
      <c r="C92" s="273" t="str">
        <f>VLOOKUP(A92,'Feature Raw Data'!$A$3:$C$4067,3,FALSE)</f>
        <v>P2</v>
      </c>
      <c r="D92" s="82" t="str" cm="1">
        <f t="array" ref="D92">_xlfn.TEXTJOIN("",TRUE,IF(ISNUMBER(SEARCH($A92,'Diags Raw Data'!$A$6:$A$4699)),CONCATENATE('Diags Raw Data'!$H$6:$H$4699,", "),""))</f>
        <v xml:space="preserve">mhub249, </v>
      </c>
      <c r="E92" s="169" t="str">
        <f>VLOOKUP(A92,'Diags Raw Data'!$A$6:$D$4699,4,FALSE)</f>
        <v>GCHUB</v>
      </c>
      <c r="F92" s="169" t="str">
        <f>VLOOKUP(A92,'Feature Raw Data'!$A$3:$E$4067,5,FALSE)</f>
        <v>Legacy</v>
      </c>
      <c r="G92" s="169" t="str">
        <f t="shared" si="39"/>
        <v>Yes</v>
      </c>
      <c r="H92" s="169" t="str">
        <f t="shared" si="40"/>
        <v>Yes</v>
      </c>
      <c r="I92" s="273">
        <f>SUMIF('Diags Raw Data'!$A$6:$A$4699,"*"&amp;$A92&amp;"*",'Diags Raw Data'!$K$6:$K$4699)</f>
        <v>1</v>
      </c>
      <c r="J92" s="179">
        <f>SUMIF('Diags Raw Data'!$A$6:$A$4699,"*"&amp;$A92&amp;"*",'Diags Raw Data'!$L$6:$L$4699)</f>
        <v>1</v>
      </c>
      <c r="K92" s="416" cm="1">
        <f t="array" ref="K92">IF(D92="",0, SUMPRODUCT(--(ISNUMBER(SEARCH($A92,'Diags Raw Data'!$A$6:$A$4699))),'Diags Raw Data'!$L$6:$L$4699,'Diags Raw Data'!$N$6:$N$4699)/J92)</f>
        <v>1</v>
      </c>
      <c r="L92" s="417" cm="1">
        <f t="array" ref="L92">IF(D92="",0, SUMPRODUCT(--(ISNUMBER(SEARCH($A92,'Diags Raw Data'!$A$6:$A$4699))),'Diags Raw Data'!$L$6:$L$4699,'Diags Raw Data'!$P$6:$P$4699)/J92)</f>
        <v>1</v>
      </c>
      <c r="M92" s="418" cm="1">
        <f t="array" ref="M92">SUMPRODUCT(--(ISNUMBER(SEARCH($A92,'Diags Raw Data'!$A$6:$A$4699))),--('Diags Raw Data'!$Q$6:$Q$4699&lt;&gt;"N/A"),'Diags Raw Data'!$R$6:$R$4699)</f>
        <v>1</v>
      </c>
      <c r="N92" s="419" cm="1">
        <f t="array" ref="N92">SUMPRODUCT(--(ISNUMBER(SEARCH($A92,'Diags Raw Data'!$A$6:$A$4699))),--('Diags Raw Data'!$Q$6:$Q$4699&lt;&gt;"N/A"),'Diags Raw Data'!$T$6:$T$4699)+SUMPRODUCT(--(ISNUMBER(SEARCH($A92,'Diags Raw Data'!$A$6:$A$4699))),--('Diags Raw Data'!$Q$6:$Q$4699&lt;&gt;"N/A"),'Diags Raw Data'!$U$6:$U$4699)</f>
        <v>1</v>
      </c>
      <c r="O92" s="462">
        <f t="shared" si="41"/>
        <v>1</v>
      </c>
      <c r="P92" s="420">
        <f>SUMIF('Diags Raw Data'!$A$6:$A$4699,"*"&amp;$A92&amp;"*",'Diags Raw Data'!$Z$6:$Z$4699)</f>
        <v>0</v>
      </c>
      <c r="Q92" s="421">
        <f>SUM(SUMIF('Diags Raw Data'!$A$6:$A$4699,"*"&amp;$A92&amp;"*",'Diags Raw Data'!$AA$6:$AA$4699),SUMIF('Diags Raw Data'!$A$6:$A$4699,"*"&amp;$A92&amp;"*",'Diags Raw Data'!$AB$6:$AB$4699))</f>
        <v>0</v>
      </c>
      <c r="R92" s="422">
        <f t="shared" si="42"/>
        <v>0</v>
      </c>
      <c r="S92" s="422">
        <f t="shared" si="43"/>
        <v>0</v>
      </c>
      <c r="T92" s="423">
        <f t="shared" si="44"/>
        <v>0</v>
      </c>
      <c r="U92" s="469" t="s">
        <v>2799</v>
      </c>
      <c r="V92" s="170"/>
    </row>
    <row r="93" spans="1:22" x14ac:dyDescent="0.25">
      <c r="A93" s="446" t="s">
        <v>2540</v>
      </c>
      <c r="B93" s="332" t="str">
        <f>VLOOKUP(A93,'Feature Raw Data'!$A$3:$B$4067,2,FALSE)</f>
        <v>GFXHUB:GCUTCL2 - Programmable credits</v>
      </c>
      <c r="C93" s="273" t="str">
        <f>VLOOKUP(A93,'Feature Raw Data'!$A$3:$C$4067,3,FALSE)</f>
        <v>N/A</v>
      </c>
      <c r="D93" s="82" t="str" cm="1">
        <f t="array" ref="D93">_xlfn.TEXTJOIN("",TRUE,IF(ISNUMBER(SEARCH($A93,'Diags Raw Data'!$A$6:$A$4699)),CONCATENATE('Diags Raw Data'!$H$6:$H$4699,", "),""))</f>
        <v/>
      </c>
      <c r="E93" s="169" t="e">
        <f>VLOOKUP(A93,'Diags Raw Data'!$A$6:$D$4699,4,FALSE)</f>
        <v>#N/A</v>
      </c>
      <c r="F93" s="169" t="str">
        <f>VLOOKUP(A93,'Feature Raw Data'!$A$3:$E$4067,5,FALSE)</f>
        <v>Legacy</v>
      </c>
      <c r="G93" s="169" t="str">
        <f t="shared" si="39"/>
        <v>No</v>
      </c>
      <c r="H93" s="169" t="str">
        <f t="shared" si="40"/>
        <v>No</v>
      </c>
      <c r="I93" s="273">
        <f>SUMIF('Diags Raw Data'!$A$6:$A$4699,"*"&amp;$A93&amp;"*",'Diags Raw Data'!$K$6:$K$4699)</f>
        <v>0</v>
      </c>
      <c r="J93" s="179">
        <f>SUMIF('Diags Raw Data'!$A$6:$A$4699,"*"&amp;$A93&amp;"*",'Diags Raw Data'!$L$6:$L$4699)</f>
        <v>0</v>
      </c>
      <c r="K93" s="416" cm="1">
        <f t="array" ref="K93">IF(D93="",0, SUMPRODUCT(--(ISNUMBER(SEARCH($A93,'Diags Raw Data'!$A$6:$A$4699))),'Diags Raw Data'!$L$6:$L$4699,'Diags Raw Data'!$N$6:$N$4699)/J93)</f>
        <v>0</v>
      </c>
      <c r="L93" s="417" cm="1">
        <f t="array" ref="L93">IF(D93="",0, SUMPRODUCT(--(ISNUMBER(SEARCH($A93,'Diags Raw Data'!$A$6:$A$4699))),'Diags Raw Data'!$L$6:$L$4699,'Diags Raw Data'!$P$6:$P$4699)/J93)</f>
        <v>0</v>
      </c>
      <c r="M93" s="418" cm="1">
        <f t="array" ref="M93">SUMPRODUCT(--(ISNUMBER(SEARCH($A93,'Diags Raw Data'!$A$6:$A$4699))),--('Diags Raw Data'!$Q$6:$Q$4699&lt;&gt;"N/A"),'Diags Raw Data'!$R$6:$R$4699)</f>
        <v>0</v>
      </c>
      <c r="N93" s="419" cm="1">
        <f t="array" ref="N93">SUMPRODUCT(--(ISNUMBER(SEARCH($A93,'Diags Raw Data'!$A$6:$A$4699))),--('Diags Raw Data'!$Q$6:$Q$4699&lt;&gt;"N/A"),'Diags Raw Data'!$T$6:$T$4699)+SUMPRODUCT(--(ISNUMBER(SEARCH($A93,'Diags Raw Data'!$A$6:$A$4699))),--('Diags Raw Data'!$Q$6:$Q$4699&lt;&gt;"N/A"),'Diags Raw Data'!$U$6:$U$4699)</f>
        <v>0</v>
      </c>
      <c r="O93" s="462">
        <f t="shared" si="41"/>
        <v>0</v>
      </c>
      <c r="P93" s="420">
        <f>SUMIF('Diags Raw Data'!$A$6:$A$4699,"*"&amp;$A93&amp;"*",'Diags Raw Data'!$Z$6:$Z$4699)</f>
        <v>0</v>
      </c>
      <c r="Q93" s="421">
        <f>SUM(SUMIF('Diags Raw Data'!$A$6:$A$4699,"*"&amp;$A93&amp;"*",'Diags Raw Data'!$AA$6:$AA$4699),SUMIF('Diags Raw Data'!$A$6:$A$4699,"*"&amp;$A93&amp;"*",'Diags Raw Data'!$AB$6:$AB$4699))</f>
        <v>0</v>
      </c>
      <c r="R93" s="422">
        <f t="shared" si="42"/>
        <v>0</v>
      </c>
      <c r="S93" s="422">
        <f t="shared" si="43"/>
        <v>0</v>
      </c>
      <c r="T93" s="423">
        <f t="shared" si="44"/>
        <v>0</v>
      </c>
      <c r="U93" s="469" t="s">
        <v>44</v>
      </c>
      <c r="V93" s="170" t="s">
        <v>43</v>
      </c>
    </row>
    <row r="94" spans="1:22" ht="330" x14ac:dyDescent="0.25">
      <c r="A94" s="446" t="s">
        <v>1244</v>
      </c>
      <c r="B94" s="332" t="str">
        <f>VLOOKUP(A94,'Feature Raw Data'!$A$3:$B$4067,2,FALSE)</f>
        <v>GFXHUB:GCUTCL2:VML2 - Caches</v>
      </c>
      <c r="C94" s="273" t="str">
        <f>VLOOKUP(A94,'Feature Raw Data'!$A$3:$C$4067,3,FALSE)</f>
        <v>P2</v>
      </c>
      <c r="D94" s="82" t="str" cm="1">
        <f t="array" ref="D94">_xlfn.TEXTJOIN("",TRUE,IF(ISNUMBER(SEARCH($A94,'Diags Raw Data'!$A$6:$A$4699)),CONCATENATE('Diags Raw Data'!$H$6:$H$4699,", "),""))</f>
        <v xml:space="preserve">mhub231.1, mhub231.2, mhub231.3, mhub231.4, mhub231.5, mhub231.6, mhub231.7, mhub231.8-9, mhub232.1, mhub232.2, mhub232.3, mhub232.4, mhub232.5, mhub232.6, mhub232.7, mhub232.8, mhub233.1, mhub233.2, mhub233.3, mhub237.1,3, </v>
      </c>
      <c r="E94" s="169" t="str">
        <f>VLOOKUP(A94,'Diags Raw Data'!$A$6:$D$4699,4,FALSE)</f>
        <v>GCHUB</v>
      </c>
      <c r="F94" s="169" t="str">
        <f>VLOOKUP(A94,'Feature Raw Data'!$A$3:$E$4067,5,FALSE)</f>
        <v>Legacy</v>
      </c>
      <c r="G94" s="169" t="str">
        <f t="shared" si="39"/>
        <v>Yes</v>
      </c>
      <c r="H94" s="169" t="str">
        <f t="shared" si="40"/>
        <v>Yes</v>
      </c>
      <c r="I94" s="273">
        <f>SUMIF('Diags Raw Data'!$A$6:$A$4699,"*"&amp;$A94&amp;"*",'Diags Raw Data'!$K$6:$K$4699)</f>
        <v>20</v>
      </c>
      <c r="J94" s="179">
        <f>SUMIF('Diags Raw Data'!$A$6:$A$4699,"*"&amp;$A94&amp;"*",'Diags Raw Data'!$L$6:$L$4699)</f>
        <v>22</v>
      </c>
      <c r="K94" s="416" cm="1">
        <f t="array" ref="K94">IF(D94="",0, SUMPRODUCT(--(ISNUMBER(SEARCH($A94,'Diags Raw Data'!$A$6:$A$4699))),'Diags Raw Data'!$L$6:$L$4699,'Diags Raw Data'!$N$6:$N$4699)/J94)</f>
        <v>1</v>
      </c>
      <c r="L94" s="417" cm="1">
        <f t="array" ref="L94">IF(D94="",0, SUMPRODUCT(--(ISNUMBER(SEARCH($A94,'Diags Raw Data'!$A$6:$A$4699))),'Diags Raw Data'!$L$6:$L$4699,'Diags Raw Data'!$P$6:$P$4699)/J94)</f>
        <v>1</v>
      </c>
      <c r="M94" s="418" cm="1">
        <f t="array" ref="M94">SUMPRODUCT(--(ISNUMBER(SEARCH($A94,'Diags Raw Data'!$A$6:$A$4699))),--('Diags Raw Data'!$Q$6:$Q$4699&lt;&gt;"N/A"),'Diags Raw Data'!$R$6:$R$4699)</f>
        <v>22</v>
      </c>
      <c r="N94" s="419" cm="1">
        <f t="array" ref="N94">SUMPRODUCT(--(ISNUMBER(SEARCH($A94,'Diags Raw Data'!$A$6:$A$4699))),--('Diags Raw Data'!$Q$6:$Q$4699&lt;&gt;"N/A"),'Diags Raw Data'!$T$6:$T$4699)+SUMPRODUCT(--(ISNUMBER(SEARCH($A94,'Diags Raw Data'!$A$6:$A$4699))),--('Diags Raw Data'!$Q$6:$Q$4699&lt;&gt;"N/A"),'Diags Raw Data'!$U$6:$U$4699)</f>
        <v>22</v>
      </c>
      <c r="O94" s="462">
        <f t="shared" ref="O94:O100" si="45">IF((M94=0),0,N94/M94)</f>
        <v>1</v>
      </c>
      <c r="P94" s="420">
        <f>SUMIF('Diags Raw Data'!$A$6:$A$4699,"*"&amp;$A94&amp;"*",'Diags Raw Data'!$Z$6:$Z$4699)</f>
        <v>0</v>
      </c>
      <c r="Q94" s="421">
        <f>SUM(SUMIF('Diags Raw Data'!$A$6:$A$4699,"*"&amp;$A94&amp;"*",'Diags Raw Data'!$AA$6:$AA$4699),SUMIF('Diags Raw Data'!$A$6:$A$4699,"*"&amp;$A94&amp;"*",'Diags Raw Data'!$AB$6:$AB$4699))</f>
        <v>0</v>
      </c>
      <c r="R94" s="422">
        <f t="shared" ref="R94:R100" si="46">IF((J94=0),0,P94/J94)</f>
        <v>0</v>
      </c>
      <c r="S94" s="422">
        <f t="shared" ref="S94:S100" si="47">IF((P94=0),0,Q94/P94)</f>
        <v>0</v>
      </c>
      <c r="T94" s="423">
        <f t="shared" ref="T94:T100" si="48">R94*S94</f>
        <v>0</v>
      </c>
      <c r="U94" s="469" t="s">
        <v>2803</v>
      </c>
      <c r="V94" s="170"/>
    </row>
    <row r="95" spans="1:22" ht="30" x14ac:dyDescent="0.25">
      <c r="A95" s="446" t="s">
        <v>2555</v>
      </c>
      <c r="B95" s="332" t="str">
        <f>VLOOKUP(A95,'Feature Raw Data'!$A$3:$B$4067,2,FALSE)</f>
        <v>GFXHUB:GCUTCL2:VML2 - GPUVM fault status register</v>
      </c>
      <c r="C95" s="273" t="str">
        <f>VLOOKUP(A95,'Feature Raw Data'!$A$3:$C$4067,3,FALSE)</f>
        <v>P1</v>
      </c>
      <c r="D95" s="82" t="str" cm="1">
        <f t="array" ref="D95">_xlfn.TEXTJOIN("",TRUE,IF(ISNUMBER(SEARCH($A95,'Diags Raw Data'!$A$6:$A$4699)),CONCATENATE('Diags Raw Data'!$H$6:$H$4699,", "),""))</f>
        <v xml:space="preserve">mhub287, </v>
      </c>
      <c r="E95" s="169" t="e">
        <f>VLOOKUP(A95,'Diags Raw Data'!$A$6:$D$4699,4,FALSE)</f>
        <v>#N/A</v>
      </c>
      <c r="F95" s="169" t="str">
        <f>VLOOKUP(A95,'Feature Raw Data'!$A$3:$E$4067,5,FALSE)</f>
        <v>Delta</v>
      </c>
      <c r="G95" s="169" t="str">
        <f t="shared" si="39"/>
        <v>Yes</v>
      </c>
      <c r="H95" s="169" t="str">
        <f t="shared" si="40"/>
        <v>Yes</v>
      </c>
      <c r="I95" s="273">
        <f>SUMIF('Diags Raw Data'!$A$6:$A$4699,"*"&amp;$A95&amp;"*",'Diags Raw Data'!$K$6:$K$4699)</f>
        <v>1</v>
      </c>
      <c r="J95" s="179">
        <f>SUMIF('Diags Raw Data'!$A$6:$A$4699,"*"&amp;$A95&amp;"*",'Diags Raw Data'!$L$6:$L$4699)</f>
        <v>1</v>
      </c>
      <c r="K95" s="416" cm="1">
        <f t="array" ref="K95">IF(D95="",0, SUMPRODUCT(--(ISNUMBER(SEARCH($A95,'Diags Raw Data'!$A$6:$A$4699))),'Diags Raw Data'!$L$6:$L$4699,'Diags Raw Data'!$N$6:$N$4699)/J95)</f>
        <v>1</v>
      </c>
      <c r="L95" s="417" cm="1">
        <f t="array" ref="L95">IF(D95="",0, SUMPRODUCT(--(ISNUMBER(SEARCH($A95,'Diags Raw Data'!$A$6:$A$4699))),'Diags Raw Data'!$L$6:$L$4699,'Diags Raw Data'!$P$6:$P$4699)/J95)</f>
        <v>1</v>
      </c>
      <c r="M95" s="418" cm="1">
        <f t="array" ref="M95">SUMPRODUCT(--(ISNUMBER(SEARCH($A95,'Diags Raw Data'!$A$6:$A$4699))),--('Diags Raw Data'!$Q$6:$Q$4699&lt;&gt;"N/A"),'Diags Raw Data'!$R$6:$R$4699)</f>
        <v>1</v>
      </c>
      <c r="N95" s="419" cm="1">
        <f t="array" ref="N95">SUMPRODUCT(--(ISNUMBER(SEARCH($A95,'Diags Raw Data'!$A$6:$A$4699))),--('Diags Raw Data'!$Q$6:$Q$4699&lt;&gt;"N/A"),'Diags Raw Data'!$T$6:$T$4699)+SUMPRODUCT(--(ISNUMBER(SEARCH($A95,'Diags Raw Data'!$A$6:$A$4699))),--('Diags Raw Data'!$Q$6:$Q$4699&lt;&gt;"N/A"),'Diags Raw Data'!$U$6:$U$4699)</f>
        <v>1</v>
      </c>
      <c r="O95" s="462">
        <f t="shared" si="45"/>
        <v>1</v>
      </c>
      <c r="P95" s="420">
        <f>SUMIF('Diags Raw Data'!$A$6:$A$4699,"*"&amp;$A95&amp;"*",'Diags Raw Data'!$Z$6:$Z$4699)</f>
        <v>0</v>
      </c>
      <c r="Q95" s="421">
        <f>SUM(SUMIF('Diags Raw Data'!$A$6:$A$4699,"*"&amp;$A95&amp;"*",'Diags Raw Data'!$AA$6:$AA$4699),SUMIF('Diags Raw Data'!$A$6:$A$4699,"*"&amp;$A95&amp;"*",'Diags Raw Data'!$AB$6:$AB$4699))</f>
        <v>0</v>
      </c>
      <c r="R95" s="422">
        <f t="shared" si="46"/>
        <v>0</v>
      </c>
      <c r="S95" s="422">
        <f t="shared" si="47"/>
        <v>0</v>
      </c>
      <c r="T95" s="423">
        <f t="shared" si="48"/>
        <v>0</v>
      </c>
      <c r="U95" s="469" t="s">
        <v>2797</v>
      </c>
      <c r="V95" s="170"/>
    </row>
    <row r="96" spans="1:22" ht="45" x14ac:dyDescent="0.25">
      <c r="A96" s="446" t="s">
        <v>2557</v>
      </c>
      <c r="B96" s="332" t="str">
        <f>VLOOKUP(A96,'Feature Raw Data'!$A$3:$B$4067,2,FALSE)</f>
        <v>GFXHUB:GCUTCL2:VML2 - Common PSP-only default page</v>
      </c>
      <c r="C96" s="273" t="str">
        <f>VLOOKUP(A96,'Feature Raw Data'!$A$3:$C$4067,3,FALSE)</f>
        <v>P2</v>
      </c>
      <c r="D96" s="82" t="str" cm="1">
        <f t="array" ref="D96">_xlfn.TEXTJOIN("",TRUE,IF(ISNUMBER(SEARCH($A96,'Diags Raw Data'!$A$6:$A$4699)),CONCATENATE('Diags Raw Data'!$H$6:$H$4699,", "),""))</f>
        <v xml:space="preserve">mhub291.1-4, mhub291.5-6, </v>
      </c>
      <c r="E96" s="169" t="e">
        <f>VLOOKUP(A96,'Diags Raw Data'!$A$6:$D$4699,4,FALSE)</f>
        <v>#N/A</v>
      </c>
      <c r="F96" s="169" t="str">
        <f>VLOOKUP(A96,'Feature Raw Data'!$A$3:$E$4067,5,FALSE)</f>
        <v>Legacy</v>
      </c>
      <c r="G96" s="169" t="str">
        <f t="shared" si="39"/>
        <v>Yes</v>
      </c>
      <c r="H96" s="169" t="str">
        <f t="shared" si="40"/>
        <v>Yes</v>
      </c>
      <c r="I96" s="273">
        <f>SUMIF('Diags Raw Data'!$A$6:$A$4699,"*"&amp;$A96&amp;"*",'Diags Raw Data'!$K$6:$K$4699)</f>
        <v>12</v>
      </c>
      <c r="J96" s="179">
        <f>SUMIF('Diags Raw Data'!$A$6:$A$4699,"*"&amp;$A96&amp;"*",'Diags Raw Data'!$L$6:$L$4699)</f>
        <v>6</v>
      </c>
      <c r="K96" s="416" cm="1">
        <f t="array" ref="K96">IF(D96="",0, SUMPRODUCT(--(ISNUMBER(SEARCH($A96,'Diags Raw Data'!$A$6:$A$4699))),'Diags Raw Data'!$L$6:$L$4699,'Diags Raw Data'!$N$6:$N$4699)/J96)</f>
        <v>1</v>
      </c>
      <c r="L96" s="417" cm="1">
        <f t="array" ref="L96">IF(D96="",0, SUMPRODUCT(--(ISNUMBER(SEARCH($A96,'Diags Raw Data'!$A$6:$A$4699))),'Diags Raw Data'!$L$6:$L$4699,'Diags Raw Data'!$P$6:$P$4699)/J96)</f>
        <v>1</v>
      </c>
      <c r="M96" s="418" cm="1">
        <f t="array" ref="M96">SUMPRODUCT(--(ISNUMBER(SEARCH($A96,'Diags Raw Data'!$A$6:$A$4699))),--('Diags Raw Data'!$Q$6:$Q$4699&lt;&gt;"N/A"),'Diags Raw Data'!$R$6:$R$4699)</f>
        <v>6</v>
      </c>
      <c r="N96" s="419" cm="1">
        <f t="array" ref="N96">SUMPRODUCT(--(ISNUMBER(SEARCH($A96,'Diags Raw Data'!$A$6:$A$4699))),--('Diags Raw Data'!$Q$6:$Q$4699&lt;&gt;"N/A"),'Diags Raw Data'!$T$6:$T$4699)+SUMPRODUCT(--(ISNUMBER(SEARCH($A96,'Diags Raw Data'!$A$6:$A$4699))),--('Diags Raw Data'!$Q$6:$Q$4699&lt;&gt;"N/A"),'Diags Raw Data'!$U$6:$U$4699)</f>
        <v>6</v>
      </c>
      <c r="O96" s="462">
        <f t="shared" si="45"/>
        <v>1</v>
      </c>
      <c r="P96" s="420">
        <f>SUMIF('Diags Raw Data'!$A$6:$A$4699,"*"&amp;$A96&amp;"*",'Diags Raw Data'!$Z$6:$Z$4699)</f>
        <v>0</v>
      </c>
      <c r="Q96" s="421">
        <f>SUM(SUMIF('Diags Raw Data'!$A$6:$A$4699,"*"&amp;$A96&amp;"*",'Diags Raw Data'!$AA$6:$AA$4699),SUMIF('Diags Raw Data'!$A$6:$A$4699,"*"&amp;$A96&amp;"*",'Diags Raw Data'!$AB$6:$AB$4699))</f>
        <v>0</v>
      </c>
      <c r="R96" s="422">
        <f t="shared" si="46"/>
        <v>0</v>
      </c>
      <c r="S96" s="422">
        <f t="shared" si="47"/>
        <v>0</v>
      </c>
      <c r="T96" s="423">
        <f t="shared" si="48"/>
        <v>0</v>
      </c>
      <c r="U96" s="469" t="s">
        <v>2804</v>
      </c>
      <c r="V96" s="170"/>
    </row>
    <row r="97" spans="1:22" ht="14.65" customHeight="1" x14ac:dyDescent="0.25">
      <c r="A97" s="446" t="s">
        <v>2558</v>
      </c>
      <c r="B97" s="332" t="str">
        <f>VLOOKUP(A97,'Feature Raw Data'!$A$3:$B$4067,2,FALSE)</f>
        <v>GFXHUB:GCUTCL2:VML2 - GPUVA,VMID translation assist</v>
      </c>
      <c r="C97" s="273" t="str">
        <f>VLOOKUP(A97,'Feature Raw Data'!$A$3:$C$4067,3,FALSE)</f>
        <v>P3</v>
      </c>
      <c r="D97" s="82" t="str" cm="1">
        <f t="array" ref="D97">_xlfn.TEXTJOIN("",TRUE,IF(ISNUMBER(SEARCH($A97,'Diags Raw Data'!$A$6:$A$4699)),CONCATENATE('Diags Raw Data'!$H$6:$H$4699,", "),""))</f>
        <v xml:space="preserve">mhub260.1-16, mhub260.17-32, mhub260.33-46, mhub260.47-60, mhub260.61, mhub260.62, mhub260.63, mhub260.64, mhub260.80, mhub260.81, mhub260.82, mhub260.83, mhub260.84, mhub260.85, mhub260.86, mhub260.87, </v>
      </c>
      <c r="E97" s="169" t="e">
        <f>VLOOKUP(A97,'Diags Raw Data'!$A$6:$D$4699,4,FALSE)</f>
        <v>#N/A</v>
      </c>
      <c r="F97" s="169" t="str">
        <f>VLOOKUP(A97,'Feature Raw Data'!$A$3:$E$4067,5,FALSE)</f>
        <v>Legacy</v>
      </c>
      <c r="G97" s="169" t="str">
        <f t="shared" si="39"/>
        <v>Yes</v>
      </c>
      <c r="H97" s="169" t="str">
        <f t="shared" si="40"/>
        <v>Yes</v>
      </c>
      <c r="I97" s="273">
        <f>SUMIF('Diags Raw Data'!$A$6:$A$4699,"*"&amp;$A97&amp;"*",'Diags Raw Data'!$K$6:$K$4699)</f>
        <v>16</v>
      </c>
      <c r="J97" s="179">
        <f>SUMIF('Diags Raw Data'!$A$6:$A$4699,"*"&amp;$A97&amp;"*",'Diags Raw Data'!$L$6:$L$4699)</f>
        <v>72</v>
      </c>
      <c r="K97" s="416" cm="1">
        <f t="array" ref="K97">IF(D97="",0, SUMPRODUCT(--(ISNUMBER(SEARCH($A97,'Diags Raw Data'!$A$6:$A$4699))),'Diags Raw Data'!$L$6:$L$4699,'Diags Raw Data'!$N$6:$N$4699)/J97)</f>
        <v>1</v>
      </c>
      <c r="L97" s="417" cm="1">
        <f t="array" ref="L97">IF(D97="",0, SUMPRODUCT(--(ISNUMBER(SEARCH($A97,'Diags Raw Data'!$A$6:$A$4699))),'Diags Raw Data'!$L$6:$L$4699,'Diags Raw Data'!$P$6:$P$4699)/J97)</f>
        <v>0.16666666666666666</v>
      </c>
      <c r="M97" s="418" cm="1">
        <f t="array" ref="M97">SUMPRODUCT(--(ISNUMBER(SEARCH($A97,'Diags Raw Data'!$A$6:$A$4699))),--('Diags Raw Data'!$Q$6:$Q$4699&lt;&gt;"N/A"),'Diags Raw Data'!$R$6:$R$4699)</f>
        <v>72</v>
      </c>
      <c r="N97" s="419" cm="1">
        <f t="array" ref="N97">SUMPRODUCT(--(ISNUMBER(SEARCH($A97,'Diags Raw Data'!$A$6:$A$4699))),--('Diags Raw Data'!$Q$6:$Q$4699&lt;&gt;"N/A"),'Diags Raw Data'!$T$6:$T$4699)+SUMPRODUCT(--(ISNUMBER(SEARCH($A97,'Diags Raw Data'!$A$6:$A$4699))),--('Diags Raw Data'!$Q$6:$Q$4699&lt;&gt;"N/A"),'Diags Raw Data'!$U$6:$U$4699)</f>
        <v>72</v>
      </c>
      <c r="O97" s="462">
        <f t="shared" si="45"/>
        <v>1</v>
      </c>
      <c r="P97" s="420">
        <f>SUMIF('Diags Raw Data'!$A$6:$A$4699,"*"&amp;$A97&amp;"*",'Diags Raw Data'!$Z$6:$Z$4699)</f>
        <v>0</v>
      </c>
      <c r="Q97" s="421">
        <f>SUM(SUMIF('Diags Raw Data'!$A$6:$A$4699,"*"&amp;$A97&amp;"*",'Diags Raw Data'!$AA$6:$AA$4699),SUMIF('Diags Raw Data'!$A$6:$A$4699,"*"&amp;$A97&amp;"*",'Diags Raw Data'!$AB$6:$AB$4699))</f>
        <v>0</v>
      </c>
      <c r="R97" s="422">
        <f t="shared" si="46"/>
        <v>0</v>
      </c>
      <c r="S97" s="422">
        <f t="shared" si="47"/>
        <v>0</v>
      </c>
      <c r="T97" s="423">
        <f t="shared" si="48"/>
        <v>0</v>
      </c>
      <c r="U97" s="469" t="s">
        <v>2807</v>
      </c>
      <c r="V97" s="170"/>
    </row>
    <row r="98" spans="1:22" ht="14.65" customHeight="1" x14ac:dyDescent="0.25">
      <c r="A98" s="446" t="s">
        <v>1569</v>
      </c>
      <c r="B98" s="332" t="str">
        <f>VLOOKUP(A98,'Feature Raw Data'!$A$3:$B$4067,2,FALSE)</f>
        <v>GFXHUB:GCUTCL2:VML2 - GPUVM Table Walks to Sysmem</v>
      </c>
      <c r="C98" s="273" t="str">
        <f>VLOOKUP(A98,'Feature Raw Data'!$A$3:$C$4067,3,FALSE)</f>
        <v>P2</v>
      </c>
      <c r="D98" s="82" t="str" cm="1">
        <f t="array" ref="D98">_xlfn.TEXTJOIN("",TRUE,IF(ISNUMBER(SEARCH($A98,'Diags Raw Data'!$A$6:$A$4699)),CONCATENATE('Diags Raw Data'!$H$6:$H$4699,", "),""))</f>
        <v xml:space="preserve">mhub258.1, mhub258.2, mhub258.3, mhub258.4, mhub258.5, mhub258.6, </v>
      </c>
      <c r="E98" s="169" t="str">
        <f>VLOOKUP(A98,'Diags Raw Data'!$A$6:$D$4699,4,FALSE)</f>
        <v>GCHUB</v>
      </c>
      <c r="F98" s="169" t="str">
        <f>VLOOKUP(A98,'Feature Raw Data'!$A$3:$E$4067,5,FALSE)</f>
        <v>Legacy</v>
      </c>
      <c r="G98" s="169" t="str">
        <f t="shared" si="39"/>
        <v>Yes</v>
      </c>
      <c r="H98" s="169" t="str">
        <f t="shared" si="40"/>
        <v>Yes</v>
      </c>
      <c r="I98" s="273">
        <f>SUMIF('Diags Raw Data'!$A$6:$A$4699,"*"&amp;$A98&amp;"*",'Diags Raw Data'!$K$6:$K$4699)</f>
        <v>6</v>
      </c>
      <c r="J98" s="179">
        <f>SUMIF('Diags Raw Data'!$A$6:$A$4699,"*"&amp;$A98&amp;"*",'Diags Raw Data'!$L$6:$L$4699)</f>
        <v>6</v>
      </c>
      <c r="K98" s="416" cm="1">
        <f t="array" ref="K98">IF(D98="",0, SUMPRODUCT(--(ISNUMBER(SEARCH($A98,'Diags Raw Data'!$A$6:$A$4699))),'Diags Raw Data'!$L$6:$L$4699,'Diags Raw Data'!$N$6:$N$4699)/J98)</f>
        <v>1</v>
      </c>
      <c r="L98" s="417" cm="1">
        <f t="array" ref="L98">IF(D98="",0, SUMPRODUCT(--(ISNUMBER(SEARCH($A98,'Diags Raw Data'!$A$6:$A$4699))),'Diags Raw Data'!$L$6:$L$4699,'Diags Raw Data'!$P$6:$P$4699)/J98)</f>
        <v>1</v>
      </c>
      <c r="M98" s="418" cm="1">
        <f t="array" ref="M98">SUMPRODUCT(--(ISNUMBER(SEARCH($A98,'Diags Raw Data'!$A$6:$A$4699))),--('Diags Raw Data'!$Q$6:$Q$4699&lt;&gt;"N/A"),'Diags Raw Data'!$R$6:$R$4699)</f>
        <v>6</v>
      </c>
      <c r="N98" s="419" cm="1">
        <f t="array" ref="N98">SUMPRODUCT(--(ISNUMBER(SEARCH($A98,'Diags Raw Data'!$A$6:$A$4699))),--('Diags Raw Data'!$Q$6:$Q$4699&lt;&gt;"N/A"),'Diags Raw Data'!$T$6:$T$4699)+SUMPRODUCT(--(ISNUMBER(SEARCH($A98,'Diags Raw Data'!$A$6:$A$4699))),--('Diags Raw Data'!$Q$6:$Q$4699&lt;&gt;"N/A"),'Diags Raw Data'!$U$6:$U$4699)</f>
        <v>6</v>
      </c>
      <c r="O98" s="462">
        <f t="shared" si="45"/>
        <v>1</v>
      </c>
      <c r="P98" s="420">
        <f>SUMIF('Diags Raw Data'!$A$6:$A$4699,"*"&amp;$A98&amp;"*",'Diags Raw Data'!$Z$6:$Z$4699)</f>
        <v>0</v>
      </c>
      <c r="Q98" s="421">
        <f>SUM(SUMIF('Diags Raw Data'!$A$6:$A$4699,"*"&amp;$A98&amp;"*",'Diags Raw Data'!$AA$6:$AA$4699),SUMIF('Diags Raw Data'!$A$6:$A$4699,"*"&amp;$A98&amp;"*",'Diags Raw Data'!$AB$6:$AB$4699))</f>
        <v>0</v>
      </c>
      <c r="R98" s="422">
        <f t="shared" si="46"/>
        <v>0</v>
      </c>
      <c r="S98" s="422">
        <f t="shared" si="47"/>
        <v>0</v>
      </c>
      <c r="T98" s="423">
        <f t="shared" si="48"/>
        <v>0</v>
      </c>
      <c r="U98" s="469" t="s">
        <v>2802</v>
      </c>
      <c r="V98" s="170"/>
    </row>
    <row r="99" spans="1:22" ht="75" x14ac:dyDescent="0.25">
      <c r="A99" s="446" t="s">
        <v>1474</v>
      </c>
      <c r="B99" s="332" t="str">
        <f>VLOOKUP(A99,'Feature Raw Data'!$A$3:$B$4067,2,FALSE)</f>
        <v>GFXHUB:GCUTCL2:VML2 - Translation bypass by VMID</v>
      </c>
      <c r="C99" s="273" t="str">
        <f>VLOOKUP(A99,'Feature Raw Data'!$A$3:$C$4067,3,FALSE)</f>
        <v>P2</v>
      </c>
      <c r="D99" s="82" t="str" cm="1">
        <f t="array" ref="D99">_xlfn.TEXTJOIN("",TRUE,IF(ISNUMBER(SEARCH($A99,'Diags Raw Data'!$A$6:$A$4699)),CONCATENATE('Diags Raw Data'!$H$6:$H$4699,", "),""))</f>
        <v xml:space="preserve">mhub246.1-8, mhub259.1-32, mhub260.47-60, </v>
      </c>
      <c r="E99" s="169" t="str">
        <f>VLOOKUP(A99,'Diags Raw Data'!$A$6:$D$4699,4,FALSE)</f>
        <v>GCHUB</v>
      </c>
      <c r="F99" s="169" t="str">
        <f>VLOOKUP(A99,'Feature Raw Data'!$A$3:$E$4067,5,FALSE)</f>
        <v>Legacy</v>
      </c>
      <c r="G99" s="169" t="str">
        <f t="shared" si="39"/>
        <v>Yes</v>
      </c>
      <c r="H99" s="169" t="str">
        <f t="shared" si="40"/>
        <v>Yes</v>
      </c>
      <c r="I99" s="273">
        <f>SUMIF('Diags Raw Data'!$A$6:$A$4699,"*"&amp;$A99&amp;"*",'Diags Raw Data'!$K$6:$K$4699)</f>
        <v>3</v>
      </c>
      <c r="J99" s="179">
        <f>SUMIF('Diags Raw Data'!$A$6:$A$4699,"*"&amp;$A99&amp;"*",'Diags Raw Data'!$L$6:$L$4699)</f>
        <v>54</v>
      </c>
      <c r="K99" s="416" cm="1">
        <f t="array" ref="K99">IF(D99="",0, SUMPRODUCT(--(ISNUMBER(SEARCH($A99,'Diags Raw Data'!$A$6:$A$4699))),'Diags Raw Data'!$L$6:$L$4699,'Diags Raw Data'!$N$6:$N$4699)/J99)</f>
        <v>1</v>
      </c>
      <c r="L99" s="417" cm="1">
        <f t="array" ref="L99">IF(D99="",0, SUMPRODUCT(--(ISNUMBER(SEARCH($A99,'Diags Raw Data'!$A$6:$A$4699))),'Diags Raw Data'!$L$6:$L$4699,'Diags Raw Data'!$P$6:$P$4699)/J99)</f>
        <v>0</v>
      </c>
      <c r="M99" s="418" cm="1">
        <f t="array" ref="M99">SUMPRODUCT(--(ISNUMBER(SEARCH($A99,'Diags Raw Data'!$A$6:$A$4699))),--('Diags Raw Data'!$Q$6:$Q$4699&lt;&gt;"N/A"),'Diags Raw Data'!$R$6:$R$4699)</f>
        <v>54</v>
      </c>
      <c r="N99" s="419" cm="1">
        <f t="array" ref="N99">SUMPRODUCT(--(ISNUMBER(SEARCH($A99,'Diags Raw Data'!$A$6:$A$4699))),--('Diags Raw Data'!$Q$6:$Q$4699&lt;&gt;"N/A"),'Diags Raw Data'!$T$6:$T$4699)+SUMPRODUCT(--(ISNUMBER(SEARCH($A99,'Diags Raw Data'!$A$6:$A$4699))),--('Diags Raw Data'!$Q$6:$Q$4699&lt;&gt;"N/A"),'Diags Raw Data'!$U$6:$U$4699)</f>
        <v>54</v>
      </c>
      <c r="O99" s="462">
        <f t="shared" si="45"/>
        <v>1</v>
      </c>
      <c r="P99" s="420">
        <f>SUMIF('Diags Raw Data'!$A$6:$A$4699,"*"&amp;$A99&amp;"*",'Diags Raw Data'!$Z$6:$Z$4699)</f>
        <v>0</v>
      </c>
      <c r="Q99" s="421">
        <f>SUM(SUMIF('Diags Raw Data'!$A$6:$A$4699,"*"&amp;$A99&amp;"*",'Diags Raw Data'!$AA$6:$AA$4699),SUMIF('Diags Raw Data'!$A$6:$A$4699,"*"&amp;$A99&amp;"*",'Diags Raw Data'!$AB$6:$AB$4699))</f>
        <v>0</v>
      </c>
      <c r="R99" s="422">
        <f t="shared" si="46"/>
        <v>0</v>
      </c>
      <c r="S99" s="422">
        <f t="shared" si="47"/>
        <v>0</v>
      </c>
      <c r="T99" s="423">
        <f t="shared" si="48"/>
        <v>0</v>
      </c>
      <c r="U99" s="469" t="s">
        <v>2808</v>
      </c>
      <c r="V99" s="170"/>
    </row>
    <row r="100" spans="1:22" ht="14.65" customHeight="1" x14ac:dyDescent="0.25">
      <c r="A100" s="446" t="s">
        <v>1492</v>
      </c>
      <c r="B100" s="332" t="str">
        <f>VLOOKUP(A100,'Feature Raw Data'!$A$3:$B$4067,2,FALSE)</f>
        <v>GFXHUB:GCUTCL2:VML2 - Page Size Optimization</v>
      </c>
      <c r="C100" s="273" t="str">
        <f>VLOOKUP(A100,'Feature Raw Data'!$A$3:$C$4067,3,FALSE)</f>
        <v>P2</v>
      </c>
      <c r="D100" s="82" t="str" cm="1">
        <f t="array" ref="D100">_xlfn.TEXTJOIN("",TRUE,IF(ISNUMBER(SEARCH($A100,'Diags Raw Data'!$A$6:$A$4699)),CONCATENATE('Diags Raw Data'!$H$6:$H$4699,", "),""))</f>
        <v xml:space="preserve">mhub248.1, mhub248.2, mhub248.3, </v>
      </c>
      <c r="E100" s="169" t="str">
        <f>VLOOKUP(A100,'Diags Raw Data'!$A$6:$D$4699,4,FALSE)</f>
        <v>GCHUB</v>
      </c>
      <c r="F100" s="169" t="str">
        <f>VLOOKUP(A100,'Feature Raw Data'!$A$3:$E$4067,5,FALSE)</f>
        <v>Legacy</v>
      </c>
      <c r="G100" s="169" t="str">
        <f t="shared" si="39"/>
        <v>Yes</v>
      </c>
      <c r="H100" s="169" t="str">
        <f t="shared" si="40"/>
        <v>Yes</v>
      </c>
      <c r="I100" s="273">
        <f>SUMIF('Diags Raw Data'!$A$6:$A$4699,"*"&amp;$A100&amp;"*",'Diags Raw Data'!$K$6:$K$4699)</f>
        <v>3</v>
      </c>
      <c r="J100" s="179">
        <f>SUMIF('Diags Raw Data'!$A$6:$A$4699,"*"&amp;$A100&amp;"*",'Diags Raw Data'!$L$6:$L$4699)</f>
        <v>3</v>
      </c>
      <c r="K100" s="416" cm="1">
        <f t="array" ref="K100">IF(D100="",0, SUMPRODUCT(--(ISNUMBER(SEARCH($A100,'Diags Raw Data'!$A$6:$A$4699))),'Diags Raw Data'!$L$6:$L$4699,'Diags Raw Data'!$N$6:$N$4699)/J100)</f>
        <v>1</v>
      </c>
      <c r="L100" s="417" cm="1">
        <f t="array" ref="L100">IF(D100="",0, SUMPRODUCT(--(ISNUMBER(SEARCH($A100,'Diags Raw Data'!$A$6:$A$4699))),'Diags Raw Data'!$L$6:$L$4699,'Diags Raw Data'!$P$6:$P$4699)/J100)</f>
        <v>1</v>
      </c>
      <c r="M100" s="418" cm="1">
        <f t="array" ref="M100">SUMPRODUCT(--(ISNUMBER(SEARCH($A100,'Diags Raw Data'!$A$6:$A$4699))),--('Diags Raw Data'!$Q$6:$Q$4699&lt;&gt;"N/A"),'Diags Raw Data'!$R$6:$R$4699)</f>
        <v>3</v>
      </c>
      <c r="N100" s="419" cm="1">
        <f t="array" ref="N100">SUMPRODUCT(--(ISNUMBER(SEARCH($A100,'Diags Raw Data'!$A$6:$A$4699))),--('Diags Raw Data'!$Q$6:$Q$4699&lt;&gt;"N/A"),'Diags Raw Data'!$T$6:$T$4699)+SUMPRODUCT(--(ISNUMBER(SEARCH($A100,'Diags Raw Data'!$A$6:$A$4699))),--('Diags Raw Data'!$Q$6:$Q$4699&lt;&gt;"N/A"),'Diags Raw Data'!$U$6:$U$4699)</f>
        <v>3</v>
      </c>
      <c r="O100" s="462">
        <f t="shared" si="45"/>
        <v>1</v>
      </c>
      <c r="P100" s="420">
        <f>SUMIF('Diags Raw Data'!$A$6:$A$4699,"*"&amp;$A100&amp;"*",'Diags Raw Data'!$Z$6:$Z$4699)</f>
        <v>0</v>
      </c>
      <c r="Q100" s="421">
        <f>SUM(SUMIF('Diags Raw Data'!$A$6:$A$4699,"*"&amp;$A100&amp;"*",'Diags Raw Data'!$AA$6:$AA$4699),SUMIF('Diags Raw Data'!$A$6:$A$4699,"*"&amp;$A100&amp;"*",'Diags Raw Data'!$AB$6:$AB$4699))</f>
        <v>0</v>
      </c>
      <c r="R100" s="422">
        <f t="shared" si="46"/>
        <v>0</v>
      </c>
      <c r="S100" s="422">
        <f t="shared" si="47"/>
        <v>0</v>
      </c>
      <c r="T100" s="423">
        <f t="shared" si="48"/>
        <v>0</v>
      </c>
      <c r="U100" s="469" t="s">
        <v>2807</v>
      </c>
      <c r="V100" s="170"/>
    </row>
    <row r="101" spans="1:22" ht="30" x14ac:dyDescent="0.25">
      <c r="A101" s="446" t="s">
        <v>2563</v>
      </c>
      <c r="B101" s="332" t="str">
        <f>VLOOKUP(A101,'Feature Raw Data'!$A$3:$B$4067,2,FALSE)</f>
        <v>GFXHUB:GCUTCL2:VML2 - CAM/filter to avoid duplicate table-walk reads</v>
      </c>
      <c r="C101" s="273" t="str">
        <f>VLOOKUP(A101,'Feature Raw Data'!$A$3:$C$4067,3,FALSE)</f>
        <v>P2</v>
      </c>
      <c r="D101" s="82" t="str" cm="1">
        <f t="array" ref="D101">_xlfn.TEXTJOIN("",TRUE,IF(ISNUMBER(SEARCH($A101,'Diags Raw Data'!$A$6:$A$4699)),CONCATENATE('Diags Raw Data'!$H$6:$H$4699,", "),""))</f>
        <v xml:space="preserve">mhub340.1, </v>
      </c>
      <c r="E101" s="169" t="e">
        <f>VLOOKUP(A101,'Diags Raw Data'!$A$6:$D$4699,4,FALSE)</f>
        <v>#N/A</v>
      </c>
      <c r="F101" s="169" t="str">
        <f>VLOOKUP(A101,'Feature Raw Data'!$A$3:$E$4067,5,FALSE)</f>
        <v>Legacy</v>
      </c>
      <c r="G101" s="169" t="str">
        <f t="shared" ref="G101:G109" si="49">IF(D101="","No","Yes")</f>
        <v>Yes</v>
      </c>
      <c r="H101" s="169" t="str">
        <f t="shared" ref="H101:H109" si="50">IF(D101="","No","Yes")</f>
        <v>Yes</v>
      </c>
      <c r="I101" s="273">
        <f>SUMIF('Diags Raw Data'!$A$6:$A$4699,"*"&amp;$A101&amp;"*",'Diags Raw Data'!$K$6:$K$4699)</f>
        <v>1</v>
      </c>
      <c r="J101" s="179">
        <f>SUMIF('Diags Raw Data'!$A$6:$A$4699,"*"&amp;$A101&amp;"*",'Diags Raw Data'!$L$6:$L$4699)</f>
        <v>1</v>
      </c>
      <c r="K101" s="416" cm="1">
        <f t="array" ref="K101">IF(D101="",0, SUMPRODUCT(--(ISNUMBER(SEARCH($A101,'Diags Raw Data'!$A$6:$A$4699))),'Diags Raw Data'!$L$6:$L$4699,'Diags Raw Data'!$N$6:$N$4699)/J101)</f>
        <v>1</v>
      </c>
      <c r="L101" s="417" cm="1">
        <f t="array" ref="L101">IF(D101="",0, SUMPRODUCT(--(ISNUMBER(SEARCH($A101,'Diags Raw Data'!$A$6:$A$4699))),'Diags Raw Data'!$L$6:$L$4699,'Diags Raw Data'!$P$6:$P$4699)/J101)</f>
        <v>1</v>
      </c>
      <c r="M101" s="418" cm="1">
        <f t="array" ref="M101">SUMPRODUCT(--(ISNUMBER(SEARCH($A101,'Diags Raw Data'!$A$6:$A$4699))),--('Diags Raw Data'!$Q$6:$Q$4699&lt;&gt;"N/A"),'Diags Raw Data'!$R$6:$R$4699)</f>
        <v>1</v>
      </c>
      <c r="N101" s="419" cm="1">
        <f t="array" ref="N101">SUMPRODUCT(--(ISNUMBER(SEARCH($A101,'Diags Raw Data'!$A$6:$A$4699))),--('Diags Raw Data'!$Q$6:$Q$4699&lt;&gt;"N/A"),'Diags Raw Data'!$T$6:$T$4699)+SUMPRODUCT(--(ISNUMBER(SEARCH($A101,'Diags Raw Data'!$A$6:$A$4699))),--('Diags Raw Data'!$Q$6:$Q$4699&lt;&gt;"N/A"),'Diags Raw Data'!$U$6:$U$4699)</f>
        <v>1</v>
      </c>
      <c r="O101" s="462">
        <f t="shared" ref="O101:O109" si="51">IF((M101=0),0,N101/M101)</f>
        <v>1</v>
      </c>
      <c r="P101" s="420">
        <f>SUMIF('Diags Raw Data'!$A$6:$A$4699,"*"&amp;$A101&amp;"*",'Diags Raw Data'!$Z$6:$Z$4699)</f>
        <v>0</v>
      </c>
      <c r="Q101" s="421">
        <f>SUM(SUMIF('Diags Raw Data'!$A$6:$A$4699,"*"&amp;$A101&amp;"*",'Diags Raw Data'!$AA$6:$AA$4699),SUMIF('Diags Raw Data'!$A$6:$A$4699,"*"&amp;$A101&amp;"*",'Diags Raw Data'!$AB$6:$AB$4699))</f>
        <v>0</v>
      </c>
      <c r="R101" s="422">
        <f t="shared" ref="R101:R109" si="52">IF((J101=0),0,P101/J101)</f>
        <v>0</v>
      </c>
      <c r="S101" s="422">
        <f t="shared" ref="S101:S109" si="53">IF((P101=0),0,Q101/P101)</f>
        <v>0</v>
      </c>
      <c r="T101" s="423">
        <f t="shared" ref="T101:T109" si="54">R101*S101</f>
        <v>0</v>
      </c>
      <c r="U101" s="469" t="s">
        <v>2807</v>
      </c>
      <c r="V101" s="170"/>
    </row>
    <row r="102" spans="1:22" s="176" customFormat="1" ht="18.75" customHeight="1" x14ac:dyDescent="0.25">
      <c r="A102" s="446" t="s">
        <v>1822</v>
      </c>
      <c r="B102" s="332" t="str">
        <f>VLOOKUP(A102,'Feature Raw Data'!$A$3:$B$4067,2,FALSE)</f>
        <v>GFXHUB:GCUTCL2:VML2 - GPA Mode</v>
      </c>
      <c r="C102" s="273" t="str">
        <f>VLOOKUP(A102,'Feature Raw Data'!$A$3:$C$4067,3,FALSE)</f>
        <v>P2</v>
      </c>
      <c r="D102" s="82" t="str" cm="1">
        <f t="array" ref="D102">_xlfn.TEXTJOIN("",TRUE,IF(ISNUMBER(SEARCH($A102,'Diags Raw Data'!$A$6:$A$4699)),CONCATENATE('Diags Raw Data'!$H$6:$H$4699,", "),""))</f>
        <v xml:space="preserve">mhub344.1,2, mhub344.3, </v>
      </c>
      <c r="E102" s="169" t="str">
        <f>VLOOKUP(A102,'Diags Raw Data'!$A$6:$D$4699,4,FALSE)</f>
        <v>GCHUB</v>
      </c>
      <c r="F102" s="169" t="str">
        <f>VLOOKUP(A102,'Feature Raw Data'!$A$3:$E$4067,5,FALSE)</f>
        <v>Legacy</v>
      </c>
      <c r="G102" s="169" t="str">
        <f t="shared" si="49"/>
        <v>Yes</v>
      </c>
      <c r="H102" s="169" t="str">
        <f t="shared" si="50"/>
        <v>Yes</v>
      </c>
      <c r="I102" s="273">
        <f>SUMIF('Diags Raw Data'!$A$6:$A$4699,"*"&amp;$A102&amp;"*",'Diags Raw Data'!$K$6:$K$4699)</f>
        <v>2</v>
      </c>
      <c r="J102" s="179">
        <f>SUMIF('Diags Raw Data'!$A$6:$A$4699,"*"&amp;$A102&amp;"*",'Diags Raw Data'!$L$6:$L$4699)</f>
        <v>3</v>
      </c>
      <c r="K102" s="416" cm="1">
        <f t="array" ref="K102">IF(D102="",0, SUMPRODUCT(--(ISNUMBER(SEARCH($A102,'Diags Raw Data'!$A$6:$A$4699))),'Diags Raw Data'!$L$6:$L$4699,'Diags Raw Data'!$N$6:$N$4699)/J102)</f>
        <v>1</v>
      </c>
      <c r="L102" s="417" cm="1">
        <f t="array" ref="L102">IF(D102="",0, SUMPRODUCT(--(ISNUMBER(SEARCH($A102,'Diags Raw Data'!$A$6:$A$4699))),'Diags Raw Data'!$L$6:$L$4699,'Diags Raw Data'!$P$6:$P$4699)/J102)</f>
        <v>1</v>
      </c>
      <c r="M102" s="418" cm="1">
        <f t="array" ref="M102">SUMPRODUCT(--(ISNUMBER(SEARCH($A102,'Diags Raw Data'!$A$6:$A$4699))),--('Diags Raw Data'!$Q$6:$Q$4699&lt;&gt;"N/A"),'Diags Raw Data'!$R$6:$R$4699)</f>
        <v>3</v>
      </c>
      <c r="N102" s="419" cm="1">
        <f t="array" ref="N102">SUMPRODUCT(--(ISNUMBER(SEARCH($A102,'Diags Raw Data'!$A$6:$A$4699))),--('Diags Raw Data'!$Q$6:$Q$4699&lt;&gt;"N/A"),'Diags Raw Data'!$T$6:$T$4699)+SUMPRODUCT(--(ISNUMBER(SEARCH($A102,'Diags Raw Data'!$A$6:$A$4699))),--('Diags Raw Data'!$Q$6:$Q$4699&lt;&gt;"N/A"),'Diags Raw Data'!$U$6:$U$4699)</f>
        <v>3</v>
      </c>
      <c r="O102" s="462">
        <f t="shared" si="51"/>
        <v>1</v>
      </c>
      <c r="P102" s="420">
        <f>SUMIF('Diags Raw Data'!$A$6:$A$4699,"*"&amp;$A102&amp;"*",'Diags Raw Data'!$Z$6:$Z$4699)</f>
        <v>0</v>
      </c>
      <c r="Q102" s="421">
        <f>SUM(SUMIF('Diags Raw Data'!$A$6:$A$4699,"*"&amp;$A102&amp;"*",'Diags Raw Data'!$AA$6:$AA$4699),SUMIF('Diags Raw Data'!$A$6:$A$4699,"*"&amp;$A102&amp;"*",'Diags Raw Data'!$AB$6:$AB$4699))</f>
        <v>0</v>
      </c>
      <c r="R102" s="422">
        <f t="shared" si="52"/>
        <v>0</v>
      </c>
      <c r="S102" s="422">
        <f t="shared" si="53"/>
        <v>0</v>
      </c>
      <c r="T102" s="423">
        <f t="shared" si="54"/>
        <v>0</v>
      </c>
      <c r="U102" s="469" t="s">
        <v>2804</v>
      </c>
      <c r="V102" s="175"/>
    </row>
    <row r="103" spans="1:22" ht="19.149999999999999" customHeight="1" x14ac:dyDescent="0.25">
      <c r="A103" s="446" t="s">
        <v>2566</v>
      </c>
      <c r="B103" s="332" t="str">
        <f>VLOOKUP(A103,'Feature Raw Data'!$A$3:$B$4067,2,FALSE)</f>
        <v>GFXHUB:GCUTCL2:VML2 - Range-based UTCL1 and VML1 invalidation</v>
      </c>
      <c r="C103" s="273" t="str">
        <f>VLOOKUP(A103,'Feature Raw Data'!$A$3:$C$4067,3,FALSE)</f>
        <v>P2</v>
      </c>
      <c r="D103" s="82" t="str" cm="1">
        <f t="array" ref="D103">_xlfn.TEXTJOIN("",TRUE,IF(ISNUMBER(SEARCH($A103,'Diags Raw Data'!$A$6:$A$4699)),CONCATENATE('Diags Raw Data'!$H$6:$H$4699,", "),""))</f>
        <v xml:space="preserve">mhub254.1,3,5-8, mhub255.1,2, </v>
      </c>
      <c r="E103" s="169" t="e">
        <f>VLOOKUP(A103,'Diags Raw Data'!$A$6:$D$4699,4,FALSE)</f>
        <v>#N/A</v>
      </c>
      <c r="F103" s="169" t="str">
        <f>VLOOKUP(A103,'Feature Raw Data'!$A$3:$E$4067,5,FALSE)</f>
        <v>Legacy</v>
      </c>
      <c r="G103" s="169" t="str">
        <f t="shared" si="49"/>
        <v>Yes</v>
      </c>
      <c r="H103" s="169" t="str">
        <f t="shared" si="50"/>
        <v>Yes</v>
      </c>
      <c r="I103" s="273">
        <f>SUMIF('Diags Raw Data'!$A$6:$A$4699,"*"&amp;$A103&amp;"*",'Diags Raw Data'!$K$6:$K$4699)</f>
        <v>2</v>
      </c>
      <c r="J103" s="179">
        <f>SUMIF('Diags Raw Data'!$A$6:$A$4699,"*"&amp;$A103&amp;"*",'Diags Raw Data'!$L$6:$L$4699)</f>
        <v>8</v>
      </c>
      <c r="K103" s="416" cm="1">
        <f t="array" ref="K103">IF(D103="",0, SUMPRODUCT(--(ISNUMBER(SEARCH($A103,'Diags Raw Data'!$A$6:$A$4699))),'Diags Raw Data'!$L$6:$L$4699,'Diags Raw Data'!$N$6:$N$4699)/J103)</f>
        <v>1</v>
      </c>
      <c r="L103" s="417" cm="1">
        <f t="array" ref="L103">IF(D103="",0, SUMPRODUCT(--(ISNUMBER(SEARCH($A103,'Diags Raw Data'!$A$6:$A$4699))),'Diags Raw Data'!$L$6:$L$4699,'Diags Raw Data'!$P$6:$P$4699)/J103)</f>
        <v>1</v>
      </c>
      <c r="M103" s="418" cm="1">
        <f t="array" ref="M103">SUMPRODUCT(--(ISNUMBER(SEARCH($A103,'Diags Raw Data'!$A$6:$A$4699))),--('Diags Raw Data'!$Q$6:$Q$4699&lt;&gt;"N/A"),'Diags Raw Data'!$R$6:$R$4699)</f>
        <v>8</v>
      </c>
      <c r="N103" s="419" cm="1">
        <f t="array" ref="N103">SUMPRODUCT(--(ISNUMBER(SEARCH($A103,'Diags Raw Data'!$A$6:$A$4699))),--('Diags Raw Data'!$Q$6:$Q$4699&lt;&gt;"N/A"),'Diags Raw Data'!$T$6:$T$4699)+SUMPRODUCT(--(ISNUMBER(SEARCH($A103,'Diags Raw Data'!$A$6:$A$4699))),--('Diags Raw Data'!$Q$6:$Q$4699&lt;&gt;"N/A"),'Diags Raw Data'!$U$6:$U$4699)</f>
        <v>8</v>
      </c>
      <c r="O103" s="462">
        <f t="shared" si="51"/>
        <v>1</v>
      </c>
      <c r="P103" s="420">
        <f>SUMIF('Diags Raw Data'!$A$6:$A$4699,"*"&amp;$A103&amp;"*",'Diags Raw Data'!$Z$6:$Z$4699)</f>
        <v>0</v>
      </c>
      <c r="Q103" s="421">
        <f>SUM(SUMIF('Diags Raw Data'!$A$6:$A$4699,"*"&amp;$A103&amp;"*",'Diags Raw Data'!$AA$6:$AA$4699),SUMIF('Diags Raw Data'!$A$6:$A$4699,"*"&amp;$A103&amp;"*",'Diags Raw Data'!$AB$6:$AB$4699))</f>
        <v>0</v>
      </c>
      <c r="R103" s="422">
        <f t="shared" si="52"/>
        <v>0</v>
      </c>
      <c r="S103" s="422">
        <f t="shared" si="53"/>
        <v>0</v>
      </c>
      <c r="T103" s="423">
        <f t="shared" si="54"/>
        <v>0</v>
      </c>
      <c r="U103" s="469" t="s">
        <v>2800</v>
      </c>
      <c r="V103" s="170"/>
    </row>
    <row r="104" spans="1:22" ht="18.75" customHeight="1" x14ac:dyDescent="0.25">
      <c r="A104" s="446" t="s">
        <v>2249</v>
      </c>
      <c r="B104" s="332" t="str">
        <f>VLOOKUP(A104,'Feature Raw Data'!$A$3:$B$4067,2,FALSE)</f>
        <v>GFXHUB:GCUTCL2:VML2 - TLBi Support - Invalidation rates of 1TB VA, 32M invalidates/sec</v>
      </c>
      <c r="C104" s="273" t="str">
        <f>VLOOKUP(A104,'Feature Raw Data'!$A$3:$C$4067,3,FALSE)</f>
        <v>P2</v>
      </c>
      <c r="D104" s="82" t="str" cm="1">
        <f t="array" ref="D104">_xlfn.TEXTJOIN("",TRUE,IF(ISNUMBER(SEARCH($A104,'Diags Raw Data'!$A$6:$A$4699)),CONCATENATE('Diags Raw Data'!$H$6:$H$4699,", "),""))</f>
        <v xml:space="preserve">sdma86.1-14,87.1,91.1, utci2.1, </v>
      </c>
      <c r="E104" s="169" t="str">
        <f>VLOOKUP(A104,'Diags Raw Data'!$A$6:$D$4699,4,FALSE)</f>
        <v>GCHUB</v>
      </c>
      <c r="F104" s="169" t="str">
        <f>VLOOKUP(A104,'Feature Raw Data'!$A$3:$E$4067,5,FALSE)</f>
        <v>Legacy</v>
      </c>
      <c r="G104" s="169" t="s">
        <v>31</v>
      </c>
      <c r="H104" s="169" t="str">
        <f t="shared" si="50"/>
        <v>Yes</v>
      </c>
      <c r="I104" s="273">
        <f>SUMIF('Diags Raw Data'!$A$6:$A$4699,"*"&amp;$A104&amp;"*",'Diags Raw Data'!$K$6:$K$4699)</f>
        <v>0</v>
      </c>
      <c r="J104" s="179">
        <f>SUMIF('Diags Raw Data'!$A$6:$A$4699,"*"&amp;$A104&amp;"*",'Diags Raw Data'!$L$6:$L$4699)</f>
        <v>0</v>
      </c>
      <c r="K104" s="416" t="e" cm="1">
        <f t="array" ref="K104">IF(D104="",0, SUMPRODUCT(--(ISNUMBER(SEARCH($A104,'Diags Raw Data'!$A$6:$A$4699))),'Diags Raw Data'!$L$6:$L$4699,'Diags Raw Data'!$N$6:$N$4699)/J104)</f>
        <v>#DIV/0!</v>
      </c>
      <c r="L104" s="417" t="e" cm="1">
        <f t="array" ref="L104">IF(D104="",0, SUMPRODUCT(--(ISNUMBER(SEARCH($A104,'Diags Raw Data'!$A$6:$A$4699))),'Diags Raw Data'!$L$6:$L$4699,'Diags Raw Data'!$P$6:$P$4699)/J104)</f>
        <v>#DIV/0!</v>
      </c>
      <c r="M104" s="418" cm="1">
        <f t="array" ref="M104">SUMPRODUCT(--(ISNUMBER(SEARCH($A104,'Diags Raw Data'!$A$6:$A$4699))),--('Diags Raw Data'!$Q$6:$Q$4699&lt;&gt;"N/A"),'Diags Raw Data'!$R$6:$R$4699)</f>
        <v>0</v>
      </c>
      <c r="N104" s="419" cm="1">
        <f t="array" ref="N104">SUMPRODUCT(--(ISNUMBER(SEARCH($A104,'Diags Raw Data'!$A$6:$A$4699))),--('Diags Raw Data'!$Q$6:$Q$4699&lt;&gt;"N/A"),'Diags Raw Data'!$T$6:$T$4699)+SUMPRODUCT(--(ISNUMBER(SEARCH($A104,'Diags Raw Data'!$A$6:$A$4699))),--('Diags Raw Data'!$Q$6:$Q$4699&lt;&gt;"N/A"),'Diags Raw Data'!$U$6:$U$4699)</f>
        <v>0</v>
      </c>
      <c r="O104" s="462">
        <f t="shared" si="51"/>
        <v>0</v>
      </c>
      <c r="P104" s="420">
        <f>SUMIF('Diags Raw Data'!$A$6:$A$4699,"*"&amp;$A104&amp;"*",'Diags Raw Data'!$Z$6:$Z$4699)</f>
        <v>0</v>
      </c>
      <c r="Q104" s="421">
        <f>SUM(SUMIF('Diags Raw Data'!$A$6:$A$4699,"*"&amp;$A104&amp;"*",'Diags Raw Data'!$AA$6:$AA$4699),SUMIF('Diags Raw Data'!$A$6:$A$4699,"*"&amp;$A104&amp;"*",'Diags Raw Data'!$AB$6:$AB$4699))</f>
        <v>0</v>
      </c>
      <c r="R104" s="422">
        <f t="shared" si="52"/>
        <v>0</v>
      </c>
      <c r="S104" s="422">
        <f t="shared" si="53"/>
        <v>0</v>
      </c>
      <c r="T104" s="423">
        <f t="shared" si="54"/>
        <v>0</v>
      </c>
      <c r="U104" s="469" t="s">
        <v>44</v>
      </c>
    </row>
    <row r="105" spans="1:22" ht="14.65" customHeight="1" x14ac:dyDescent="0.25">
      <c r="A105" s="446" t="s">
        <v>1810</v>
      </c>
      <c r="B105" s="332" t="str">
        <f>VLOOKUP(A105,'Feature Raw Data'!$A$3:$B$4067,2,FALSE)</f>
        <v>GFXHUB:GCUTCL2:VML2 - Page table walker read throttling</v>
      </c>
      <c r="C105" s="273" t="str">
        <f>VLOOKUP(A105,'Feature Raw Data'!$A$3:$C$4067,3,FALSE)</f>
        <v>P2</v>
      </c>
      <c r="D105" s="82" t="str" cm="1">
        <f t="array" ref="D105">_xlfn.TEXTJOIN("",TRUE,IF(ISNUMBER(SEARCH($A105,'Diags Raw Data'!$A$6:$A$4699)),CONCATENATE('Diags Raw Data'!$H$6:$H$4699,", "),""))</f>
        <v xml:space="preserve">mhub340.1, mhub341.1, mhub341.2, </v>
      </c>
      <c r="E105" s="169" t="str">
        <f>VLOOKUP(A105,'Diags Raw Data'!$A$6:$D$4699,4,FALSE)</f>
        <v>GCHUB</v>
      </c>
      <c r="F105" s="169" t="str">
        <f>VLOOKUP(A105,'Feature Raw Data'!$A$3:$E$4067,5,FALSE)</f>
        <v>Legacy</v>
      </c>
      <c r="G105" s="169" t="str">
        <f t="shared" si="49"/>
        <v>Yes</v>
      </c>
      <c r="H105" s="169" t="str">
        <f t="shared" si="50"/>
        <v>Yes</v>
      </c>
      <c r="I105" s="273">
        <f>SUMIF('Diags Raw Data'!$A$6:$A$4699,"*"&amp;$A105&amp;"*",'Diags Raw Data'!$K$6:$K$4699)</f>
        <v>3</v>
      </c>
      <c r="J105" s="179">
        <f>SUMIF('Diags Raw Data'!$A$6:$A$4699,"*"&amp;$A105&amp;"*",'Diags Raw Data'!$L$6:$L$4699)</f>
        <v>3</v>
      </c>
      <c r="K105" s="416" cm="1">
        <f t="array" ref="K105">IF(D105="",0, SUMPRODUCT(--(ISNUMBER(SEARCH($A105,'Diags Raw Data'!$A$6:$A$4699))),'Diags Raw Data'!$L$6:$L$4699,'Diags Raw Data'!$N$6:$N$4699)/J105)</f>
        <v>1</v>
      </c>
      <c r="L105" s="417" cm="1">
        <f t="array" ref="L105">IF(D105="",0, SUMPRODUCT(--(ISNUMBER(SEARCH($A105,'Diags Raw Data'!$A$6:$A$4699))),'Diags Raw Data'!$L$6:$L$4699,'Diags Raw Data'!$P$6:$P$4699)/J105)</f>
        <v>1</v>
      </c>
      <c r="M105" s="418" cm="1">
        <f t="array" ref="M105">SUMPRODUCT(--(ISNUMBER(SEARCH($A105,'Diags Raw Data'!$A$6:$A$4699))),--('Diags Raw Data'!$Q$6:$Q$4699&lt;&gt;"N/A"),'Diags Raw Data'!$R$6:$R$4699)</f>
        <v>3</v>
      </c>
      <c r="N105" s="419" cm="1">
        <f t="array" ref="N105">SUMPRODUCT(--(ISNUMBER(SEARCH($A105,'Diags Raw Data'!$A$6:$A$4699))),--('Diags Raw Data'!$Q$6:$Q$4699&lt;&gt;"N/A"),'Diags Raw Data'!$T$6:$T$4699)+SUMPRODUCT(--(ISNUMBER(SEARCH($A105,'Diags Raw Data'!$A$6:$A$4699))),--('Diags Raw Data'!$Q$6:$Q$4699&lt;&gt;"N/A"),'Diags Raw Data'!$U$6:$U$4699)</f>
        <v>3</v>
      </c>
      <c r="O105" s="462">
        <f t="shared" si="51"/>
        <v>1</v>
      </c>
      <c r="P105" s="420">
        <f>SUMIF('Diags Raw Data'!$A$6:$A$4699,"*"&amp;$A105&amp;"*",'Diags Raw Data'!$Z$6:$Z$4699)</f>
        <v>0</v>
      </c>
      <c r="Q105" s="421">
        <f>SUM(SUMIF('Diags Raw Data'!$A$6:$A$4699,"*"&amp;$A105&amp;"*",'Diags Raw Data'!$AA$6:$AA$4699),SUMIF('Diags Raw Data'!$A$6:$A$4699,"*"&amp;$A105&amp;"*",'Diags Raw Data'!$AB$6:$AB$4699))</f>
        <v>0</v>
      </c>
      <c r="R105" s="422">
        <f t="shared" si="52"/>
        <v>0</v>
      </c>
      <c r="S105" s="422">
        <f t="shared" si="53"/>
        <v>0</v>
      </c>
      <c r="T105" s="423">
        <f t="shared" si="54"/>
        <v>0</v>
      </c>
      <c r="U105" s="469" t="s">
        <v>2807</v>
      </c>
    </row>
    <row r="106" spans="1:22" ht="14.65" customHeight="1" x14ac:dyDescent="0.25">
      <c r="A106" s="446" t="s">
        <v>2572</v>
      </c>
      <c r="B106" s="332" t="str">
        <f>VLOOKUP(A106,'Feature Raw Data'!$A$3:$B$4067,2,FALSE)</f>
        <v>GFXHUB:GCUTCL2:VML2 - Full GCR Support</v>
      </c>
      <c r="C106" s="273" t="str">
        <f>VLOOKUP(A106,'Feature Raw Data'!$A$3:$C$4067,3,FALSE)</f>
        <v>P2</v>
      </c>
      <c r="D106" s="82" t="str" cm="1">
        <f t="array" ref="D106">_xlfn.TEXTJOIN("",TRUE,IF(ISNUMBER(SEARCH($A106,'Diags Raw Data'!$A$6:$A$4699)),CONCATENATE('Diags Raw Data'!$H$6:$H$4699,", "),""))</f>
        <v xml:space="preserve">utci7.1-6, </v>
      </c>
      <c r="E106" s="169" t="e">
        <f>VLOOKUP(A106,'Diags Raw Data'!$A$6:$D$4699,4,FALSE)</f>
        <v>#N/A</v>
      </c>
      <c r="F106" s="169" t="str">
        <f>VLOOKUP(A106,'Feature Raw Data'!$A$3:$E$4067,5,FALSE)</f>
        <v>Legacy</v>
      </c>
      <c r="G106" s="169" t="s">
        <v>31</v>
      </c>
      <c r="H106" s="169" t="str">
        <f t="shared" si="50"/>
        <v>Yes</v>
      </c>
      <c r="I106" s="273">
        <f>SUMIF('Diags Raw Data'!$A$6:$A$4699,"*"&amp;$A106&amp;"*",'Diags Raw Data'!$K$6:$K$4699)</f>
        <v>0</v>
      </c>
      <c r="J106" s="179">
        <f>SUMIF('Diags Raw Data'!$A$6:$A$4699,"*"&amp;$A106&amp;"*",'Diags Raw Data'!$L$6:$L$4699)</f>
        <v>0</v>
      </c>
      <c r="K106" s="416" t="e" cm="1">
        <f t="array" ref="K106">IF(D106="",0, SUMPRODUCT(--(ISNUMBER(SEARCH($A106,'Diags Raw Data'!$A$6:$A$4699))),'Diags Raw Data'!$L$6:$L$4699,'Diags Raw Data'!$N$6:$N$4699)/J106)</f>
        <v>#DIV/0!</v>
      </c>
      <c r="L106" s="417" t="e" cm="1">
        <f t="array" ref="L106">IF(D106="",0, SUMPRODUCT(--(ISNUMBER(SEARCH($A106,'Diags Raw Data'!$A$6:$A$4699))),'Diags Raw Data'!$L$6:$L$4699,'Diags Raw Data'!$P$6:$P$4699)/J106)</f>
        <v>#DIV/0!</v>
      </c>
      <c r="M106" s="418" cm="1">
        <f t="array" ref="M106">SUMPRODUCT(--(ISNUMBER(SEARCH($A106,'Diags Raw Data'!$A$6:$A$4699))),--('Diags Raw Data'!$Q$6:$Q$4699&lt;&gt;"N/A"),'Diags Raw Data'!$R$6:$R$4699)</f>
        <v>0</v>
      </c>
      <c r="N106" s="419" cm="1">
        <f t="array" ref="N106">SUMPRODUCT(--(ISNUMBER(SEARCH($A106,'Diags Raw Data'!$A$6:$A$4699))),--('Diags Raw Data'!$Q$6:$Q$4699&lt;&gt;"N/A"),'Diags Raw Data'!$T$6:$T$4699)+SUMPRODUCT(--(ISNUMBER(SEARCH($A106,'Diags Raw Data'!$A$6:$A$4699))),--('Diags Raw Data'!$Q$6:$Q$4699&lt;&gt;"N/A"),'Diags Raw Data'!$U$6:$U$4699)</f>
        <v>0</v>
      </c>
      <c r="O106" s="462">
        <f t="shared" si="51"/>
        <v>0</v>
      </c>
      <c r="P106" s="420">
        <f>SUMIF('Diags Raw Data'!$A$6:$A$4699,"*"&amp;$A106&amp;"*",'Diags Raw Data'!$Z$6:$Z$4699)</f>
        <v>0</v>
      </c>
      <c r="Q106" s="421">
        <f>SUM(SUMIF('Diags Raw Data'!$A$6:$A$4699,"*"&amp;$A106&amp;"*",'Diags Raw Data'!$AA$6:$AA$4699),SUMIF('Diags Raw Data'!$A$6:$A$4699,"*"&amp;$A106&amp;"*",'Diags Raw Data'!$AB$6:$AB$4699))</f>
        <v>0</v>
      </c>
      <c r="R106" s="422">
        <f t="shared" si="52"/>
        <v>0</v>
      </c>
      <c r="S106" s="422">
        <f t="shared" si="53"/>
        <v>0</v>
      </c>
      <c r="T106" s="423">
        <f t="shared" si="54"/>
        <v>0</v>
      </c>
      <c r="U106" s="469" t="s">
        <v>44</v>
      </c>
    </row>
    <row r="107" spans="1:22" ht="14.65" customHeight="1" x14ac:dyDescent="0.25">
      <c r="A107" s="446" t="s">
        <v>2573</v>
      </c>
      <c r="B107" s="332" t="str">
        <f>VLOOKUP(A107,'Feature Raw Data'!$A$3:$B$4067,2,FALSE)</f>
        <v>GFXHUB:GCUTCL2:VML2 - Return invalid V=0 PA to GCR w/o generating an intr</v>
      </c>
      <c r="C107" s="273" t="str">
        <f>VLOOKUP(A107,'Feature Raw Data'!$A$3:$C$4067,3,FALSE)</f>
        <v>P2</v>
      </c>
      <c r="D107" s="82" t="str" cm="1">
        <f t="array" ref="D107">_xlfn.TEXTJOIN("",TRUE,IF(ISNUMBER(SEARCH($A107,'Diags Raw Data'!$A$6:$A$4699)),CONCATENATE('Diags Raw Data'!$H$6:$H$4699,", "),""))</f>
        <v xml:space="preserve">utci7.1-6, </v>
      </c>
      <c r="E107" s="169" t="e">
        <f>VLOOKUP(A107,'Diags Raw Data'!$A$6:$D$4699,4,FALSE)</f>
        <v>#N/A</v>
      </c>
      <c r="F107" s="169" t="str">
        <f>VLOOKUP(A107,'Feature Raw Data'!$A$3:$E$4067,5,FALSE)</f>
        <v>Legacy</v>
      </c>
      <c r="G107" s="169" t="s">
        <v>31</v>
      </c>
      <c r="H107" s="169" t="str">
        <f t="shared" si="50"/>
        <v>Yes</v>
      </c>
      <c r="I107" s="273">
        <f>SUMIF('Diags Raw Data'!$A$6:$A$4699,"*"&amp;$A107&amp;"*",'Diags Raw Data'!$K$6:$K$4699)</f>
        <v>0</v>
      </c>
      <c r="J107" s="179">
        <f>SUMIF('Diags Raw Data'!$A$6:$A$4699,"*"&amp;$A107&amp;"*",'Diags Raw Data'!$L$6:$L$4699)</f>
        <v>0</v>
      </c>
      <c r="K107" s="416" t="e" cm="1">
        <f t="array" ref="K107">IF(D107="",0, SUMPRODUCT(--(ISNUMBER(SEARCH($A107,'Diags Raw Data'!$A$6:$A$4699))),'Diags Raw Data'!$L$6:$L$4699,'Diags Raw Data'!$N$6:$N$4699)/J107)</f>
        <v>#DIV/0!</v>
      </c>
      <c r="L107" s="417" t="e" cm="1">
        <f t="array" ref="L107">IF(D107="",0, SUMPRODUCT(--(ISNUMBER(SEARCH($A107,'Diags Raw Data'!$A$6:$A$4699))),'Diags Raw Data'!$L$6:$L$4699,'Diags Raw Data'!$P$6:$P$4699)/J107)</f>
        <v>#DIV/0!</v>
      </c>
      <c r="M107" s="418" cm="1">
        <f t="array" ref="M107">SUMPRODUCT(--(ISNUMBER(SEARCH($A107,'Diags Raw Data'!$A$6:$A$4699))),--('Diags Raw Data'!$Q$6:$Q$4699&lt;&gt;"N/A"),'Diags Raw Data'!$R$6:$R$4699)</f>
        <v>0</v>
      </c>
      <c r="N107" s="419" cm="1">
        <f t="array" ref="N107">SUMPRODUCT(--(ISNUMBER(SEARCH($A107,'Diags Raw Data'!$A$6:$A$4699))),--('Diags Raw Data'!$Q$6:$Q$4699&lt;&gt;"N/A"),'Diags Raw Data'!$T$6:$T$4699)+SUMPRODUCT(--(ISNUMBER(SEARCH($A107,'Diags Raw Data'!$A$6:$A$4699))),--('Diags Raw Data'!$Q$6:$Q$4699&lt;&gt;"N/A"),'Diags Raw Data'!$U$6:$U$4699)</f>
        <v>0</v>
      </c>
      <c r="O107" s="462">
        <f t="shared" si="51"/>
        <v>0</v>
      </c>
      <c r="P107" s="420">
        <f>SUMIF('Diags Raw Data'!$A$6:$A$4699,"*"&amp;$A107&amp;"*",'Diags Raw Data'!$Z$6:$Z$4699)</f>
        <v>0</v>
      </c>
      <c r="Q107" s="421">
        <f>SUM(SUMIF('Diags Raw Data'!$A$6:$A$4699,"*"&amp;$A107&amp;"*",'Diags Raw Data'!$AA$6:$AA$4699),SUMIF('Diags Raw Data'!$A$6:$A$4699,"*"&amp;$A107&amp;"*",'Diags Raw Data'!$AB$6:$AB$4699))</f>
        <v>0</v>
      </c>
      <c r="R107" s="422">
        <f t="shared" si="52"/>
        <v>0</v>
      </c>
      <c r="S107" s="422">
        <f t="shared" si="53"/>
        <v>0</v>
      </c>
      <c r="T107" s="423">
        <f t="shared" si="54"/>
        <v>0</v>
      </c>
      <c r="U107" s="469" t="s">
        <v>44</v>
      </c>
    </row>
    <row r="108" spans="1:22" ht="14.65" customHeight="1" x14ac:dyDescent="0.25">
      <c r="A108" s="446" t="s">
        <v>1830</v>
      </c>
      <c r="B108" s="332" t="str">
        <f>VLOOKUP(A108,'Feature Raw Data'!$A$3:$B$4067,2,FALSE)</f>
        <v>GFXHUB:GCUTCL2:VML2 - Register bits that enable software to control hit/miss behaviour on invalid ptes in cache</v>
      </c>
      <c r="C108" s="273" t="str">
        <f>VLOOKUP(A108,'Feature Raw Data'!$A$3:$C$4067,3,FALSE)</f>
        <v>P2</v>
      </c>
      <c r="D108" s="82" t="str" cm="1">
        <f t="array" ref="D108">_xlfn.TEXTJOIN("",TRUE,IF(ISNUMBER(SEARCH($A108,'Diags Raw Data'!$A$6:$A$4699)),CONCATENATE('Diags Raw Data'!$H$6:$H$4699,", "),""))</f>
        <v xml:space="preserve">mhub345.1-2, </v>
      </c>
      <c r="E108" s="169" t="str">
        <f>VLOOKUP(A108,'Diags Raw Data'!$A$6:$D$4699,4,FALSE)</f>
        <v>GCHUB</v>
      </c>
      <c r="F108" s="169" t="str">
        <f>VLOOKUP(A108,'Feature Raw Data'!$A$3:$E$4067,5,FALSE)</f>
        <v>Legacy</v>
      </c>
      <c r="G108" s="169" t="str">
        <f t="shared" si="49"/>
        <v>Yes</v>
      </c>
      <c r="H108" s="169" t="str">
        <f t="shared" si="50"/>
        <v>Yes</v>
      </c>
      <c r="I108" s="273">
        <f>SUMIF('Diags Raw Data'!$A$6:$A$4699,"*"&amp;$A108&amp;"*",'Diags Raw Data'!$K$6:$K$4699)</f>
        <v>1</v>
      </c>
      <c r="J108" s="179">
        <f>SUMIF('Diags Raw Data'!$A$6:$A$4699,"*"&amp;$A108&amp;"*",'Diags Raw Data'!$L$6:$L$4699)</f>
        <v>2</v>
      </c>
      <c r="K108" s="416" cm="1">
        <f t="array" ref="K108">IF(D108="",0, SUMPRODUCT(--(ISNUMBER(SEARCH($A108,'Diags Raw Data'!$A$6:$A$4699))),'Diags Raw Data'!$L$6:$L$4699,'Diags Raw Data'!$N$6:$N$4699)/J108)</f>
        <v>1</v>
      </c>
      <c r="L108" s="417" cm="1">
        <f t="array" ref="L108">IF(D108="",0, SUMPRODUCT(--(ISNUMBER(SEARCH($A108,'Diags Raw Data'!$A$6:$A$4699))),'Diags Raw Data'!$L$6:$L$4699,'Diags Raw Data'!$P$6:$P$4699)/J108)</f>
        <v>1</v>
      </c>
      <c r="M108" s="418" cm="1">
        <f t="array" ref="M108">SUMPRODUCT(--(ISNUMBER(SEARCH($A108,'Diags Raw Data'!$A$6:$A$4699))),--('Diags Raw Data'!$Q$6:$Q$4699&lt;&gt;"N/A"),'Diags Raw Data'!$R$6:$R$4699)</f>
        <v>2</v>
      </c>
      <c r="N108" s="419" cm="1">
        <f t="array" ref="N108">SUMPRODUCT(--(ISNUMBER(SEARCH($A108,'Diags Raw Data'!$A$6:$A$4699))),--('Diags Raw Data'!$Q$6:$Q$4699&lt;&gt;"N/A"),'Diags Raw Data'!$T$6:$T$4699)+SUMPRODUCT(--(ISNUMBER(SEARCH($A108,'Diags Raw Data'!$A$6:$A$4699))),--('Diags Raw Data'!$Q$6:$Q$4699&lt;&gt;"N/A"),'Diags Raw Data'!$U$6:$U$4699)</f>
        <v>2</v>
      </c>
      <c r="O108" s="462">
        <f t="shared" si="51"/>
        <v>1</v>
      </c>
      <c r="P108" s="420">
        <f>SUMIF('Diags Raw Data'!$A$6:$A$4699,"*"&amp;$A108&amp;"*",'Diags Raw Data'!$Z$6:$Z$4699)</f>
        <v>0</v>
      </c>
      <c r="Q108" s="421">
        <f>SUM(SUMIF('Diags Raw Data'!$A$6:$A$4699,"*"&amp;$A108&amp;"*",'Diags Raw Data'!$AA$6:$AA$4699),SUMIF('Diags Raw Data'!$A$6:$A$4699,"*"&amp;$A108&amp;"*",'Diags Raw Data'!$AB$6:$AB$4699))</f>
        <v>0</v>
      </c>
      <c r="R108" s="422">
        <f t="shared" si="52"/>
        <v>0</v>
      </c>
      <c r="S108" s="422">
        <f t="shared" si="53"/>
        <v>0</v>
      </c>
      <c r="T108" s="423">
        <f t="shared" si="54"/>
        <v>0</v>
      </c>
      <c r="U108" s="469" t="s">
        <v>2806</v>
      </c>
    </row>
    <row r="109" spans="1:22" ht="14.65" customHeight="1" x14ac:dyDescent="0.25">
      <c r="A109" s="446" t="s">
        <v>1836</v>
      </c>
      <c r="B109" s="332" t="str">
        <f>VLOOKUP(A109,'Feature Raw Data'!$A$3:$B$4067,2,FALSE)</f>
        <v>GFXHUB:GCUTCL2:VML2 - Register bits that enable software to control hit/miss behaviour on permission mismatch in cache</v>
      </c>
      <c r="C109" s="273" t="str">
        <f>VLOOKUP(A109,'Feature Raw Data'!$A$3:$C$4067,3,FALSE)</f>
        <v>P2</v>
      </c>
      <c r="D109" s="82" t="str" cm="1">
        <f t="array" ref="D109">_xlfn.TEXTJOIN("",TRUE,IF(ISNUMBER(SEARCH($A109,'Diags Raw Data'!$A$6:$A$4699)),CONCATENATE('Diags Raw Data'!$H$6:$H$4699,", "),""))</f>
        <v xml:space="preserve">mhub346.1-2, </v>
      </c>
      <c r="E109" s="169" t="str">
        <f>VLOOKUP(A109,'Diags Raw Data'!$A$6:$D$4699,4,FALSE)</f>
        <v>GCHUB</v>
      </c>
      <c r="F109" s="169" t="str">
        <f>VLOOKUP(A109,'Feature Raw Data'!$A$3:$E$4067,5,FALSE)</f>
        <v>Legacy</v>
      </c>
      <c r="G109" s="169" t="str">
        <f t="shared" si="49"/>
        <v>Yes</v>
      </c>
      <c r="H109" s="169" t="str">
        <f t="shared" si="50"/>
        <v>Yes</v>
      </c>
      <c r="I109" s="273">
        <f>SUMIF('Diags Raw Data'!$A$6:$A$4699,"*"&amp;$A109&amp;"*",'Diags Raw Data'!$K$6:$K$4699)</f>
        <v>1</v>
      </c>
      <c r="J109" s="179">
        <f>SUMIF('Diags Raw Data'!$A$6:$A$4699,"*"&amp;$A109&amp;"*",'Diags Raw Data'!$L$6:$L$4699)</f>
        <v>2</v>
      </c>
      <c r="K109" s="416" cm="1">
        <f t="array" ref="K109">IF(D109="",0, SUMPRODUCT(--(ISNUMBER(SEARCH($A109,'Diags Raw Data'!$A$6:$A$4699))),'Diags Raw Data'!$L$6:$L$4699,'Diags Raw Data'!$N$6:$N$4699)/J109)</f>
        <v>1</v>
      </c>
      <c r="L109" s="417" cm="1">
        <f t="array" ref="L109">IF(D109="",0, SUMPRODUCT(--(ISNUMBER(SEARCH($A109,'Diags Raw Data'!$A$6:$A$4699))),'Diags Raw Data'!$L$6:$L$4699,'Diags Raw Data'!$P$6:$P$4699)/J109)</f>
        <v>1</v>
      </c>
      <c r="M109" s="418" cm="1">
        <f t="array" ref="M109">SUMPRODUCT(--(ISNUMBER(SEARCH($A109,'Diags Raw Data'!$A$6:$A$4699))),--('Diags Raw Data'!$Q$6:$Q$4699&lt;&gt;"N/A"),'Diags Raw Data'!$R$6:$R$4699)</f>
        <v>2</v>
      </c>
      <c r="N109" s="419" cm="1">
        <f t="array" ref="N109">SUMPRODUCT(--(ISNUMBER(SEARCH($A109,'Diags Raw Data'!$A$6:$A$4699))),--('Diags Raw Data'!$Q$6:$Q$4699&lt;&gt;"N/A"),'Diags Raw Data'!$T$6:$T$4699)+SUMPRODUCT(--(ISNUMBER(SEARCH($A109,'Diags Raw Data'!$A$6:$A$4699))),--('Diags Raw Data'!$Q$6:$Q$4699&lt;&gt;"N/A"),'Diags Raw Data'!$U$6:$U$4699)</f>
        <v>2</v>
      </c>
      <c r="O109" s="462">
        <f t="shared" si="51"/>
        <v>1</v>
      </c>
      <c r="P109" s="420">
        <f>SUMIF('Diags Raw Data'!$A$6:$A$4699,"*"&amp;$A109&amp;"*",'Diags Raw Data'!$Z$6:$Z$4699)</f>
        <v>0</v>
      </c>
      <c r="Q109" s="421">
        <f>SUM(SUMIF('Diags Raw Data'!$A$6:$A$4699,"*"&amp;$A109&amp;"*",'Diags Raw Data'!$AA$6:$AA$4699),SUMIF('Diags Raw Data'!$A$6:$A$4699,"*"&amp;$A109&amp;"*",'Diags Raw Data'!$AB$6:$AB$4699))</f>
        <v>0</v>
      </c>
      <c r="R109" s="422">
        <f t="shared" si="52"/>
        <v>0</v>
      </c>
      <c r="S109" s="422">
        <f t="shared" si="53"/>
        <v>0</v>
      </c>
      <c r="T109" s="423">
        <f t="shared" si="54"/>
        <v>0</v>
      </c>
      <c r="U109" s="469" t="s">
        <v>2806</v>
      </c>
    </row>
    <row r="110" spans="1:22" ht="45" x14ac:dyDescent="0.25">
      <c r="A110" s="446" t="s">
        <v>2577</v>
      </c>
      <c r="B110" s="332" t="str">
        <f>VLOOKUP(A110,'Feature Raw Data'!$A$3:$B$4067,2,FALSE)</f>
        <v>GFXHUB:GCUTCL2:VML2 - Register bits that enable software to control hit/miss behaviour on page migration(R=W=0) in cache</v>
      </c>
      <c r="C110" s="273" t="str">
        <f>VLOOKUP(A110,'Feature Raw Data'!$A$3:$C$4067,3,FALSE)</f>
        <v>P2</v>
      </c>
      <c r="D110" s="82" t="str" cm="1">
        <f t="array" ref="D110">_xlfn.TEXTJOIN("",TRUE,IF(ISNUMBER(SEARCH($A110,'Diags Raw Data'!$A$6:$A$4699)),CONCATENATE('Diags Raw Data'!$H$6:$H$4699,", "),""))</f>
        <v xml:space="preserve">mhub209.3,4,5, </v>
      </c>
      <c r="E110" s="169" t="e">
        <f>VLOOKUP(A110,'Diags Raw Data'!$A$6:$D$4699,4,FALSE)</f>
        <v>#N/A</v>
      </c>
      <c r="F110" s="169" t="str">
        <f>VLOOKUP(A110,'Feature Raw Data'!$A$3:$E$4067,5,FALSE)</f>
        <v>Legacy</v>
      </c>
      <c r="G110" s="169" t="s">
        <v>31</v>
      </c>
      <c r="H110" s="169" t="str">
        <f t="shared" ref="H110:H118" si="55">IF(D110="","No","Yes")</f>
        <v>Yes</v>
      </c>
      <c r="I110" s="273">
        <f>SUMIF('Diags Raw Data'!$A$6:$A$4699,"*"&amp;$A110&amp;"*",'Diags Raw Data'!$K$6:$K$4699)</f>
        <v>0</v>
      </c>
      <c r="J110" s="179">
        <f>SUMIF('Diags Raw Data'!$A$6:$A$4699,"*"&amp;$A110&amp;"*",'Diags Raw Data'!$L$6:$L$4699)</f>
        <v>0</v>
      </c>
      <c r="K110" s="416" t="e" cm="1">
        <f t="array" ref="K110">IF(D110="",0, SUMPRODUCT(--(ISNUMBER(SEARCH($A110,'Diags Raw Data'!$A$6:$A$4699))),'Diags Raw Data'!$L$6:$L$4699,'Diags Raw Data'!$N$6:$N$4699)/J110)</f>
        <v>#DIV/0!</v>
      </c>
      <c r="L110" s="417" t="e" cm="1">
        <f t="array" ref="L110">IF(D110="",0, SUMPRODUCT(--(ISNUMBER(SEARCH($A110,'Diags Raw Data'!$A$6:$A$4699))),'Diags Raw Data'!$L$6:$L$4699,'Diags Raw Data'!$P$6:$P$4699)/J110)</f>
        <v>#DIV/0!</v>
      </c>
      <c r="M110" s="418" cm="1">
        <f t="array" ref="M110">SUMPRODUCT(--(ISNUMBER(SEARCH($A110,'Diags Raw Data'!$A$6:$A$4699))),--('Diags Raw Data'!$Q$6:$Q$4699&lt;&gt;"N/A"),'Diags Raw Data'!$R$6:$R$4699)</f>
        <v>0</v>
      </c>
      <c r="N110" s="419" cm="1">
        <f t="array" ref="N110">SUMPRODUCT(--(ISNUMBER(SEARCH($A110,'Diags Raw Data'!$A$6:$A$4699))),--('Diags Raw Data'!$Q$6:$Q$4699&lt;&gt;"N/A"),'Diags Raw Data'!$T$6:$T$4699)+SUMPRODUCT(--(ISNUMBER(SEARCH($A110,'Diags Raw Data'!$A$6:$A$4699))),--('Diags Raw Data'!$Q$6:$Q$4699&lt;&gt;"N/A"),'Diags Raw Data'!$U$6:$U$4699)</f>
        <v>0</v>
      </c>
      <c r="O110" s="462">
        <f t="shared" ref="O110:O118" si="56">IF((M110=0),0,N110/M110)</f>
        <v>0</v>
      </c>
      <c r="P110" s="420">
        <f>SUMIF('Diags Raw Data'!$A$6:$A$4699,"*"&amp;$A110&amp;"*",'Diags Raw Data'!$Z$6:$Z$4699)</f>
        <v>0</v>
      </c>
      <c r="Q110" s="421">
        <f>SUM(SUMIF('Diags Raw Data'!$A$6:$A$4699,"*"&amp;$A110&amp;"*",'Diags Raw Data'!$AA$6:$AA$4699),SUMIF('Diags Raw Data'!$A$6:$A$4699,"*"&amp;$A110&amp;"*",'Diags Raw Data'!$AB$6:$AB$4699))</f>
        <v>0</v>
      </c>
      <c r="R110" s="422">
        <f t="shared" ref="R110:R118" si="57">IF((J110=0),0,P110/J110)</f>
        <v>0</v>
      </c>
      <c r="S110" s="422">
        <f t="shared" ref="S110:S118" si="58">IF((P110=0),0,Q110/P110)</f>
        <v>0</v>
      </c>
      <c r="T110" s="423">
        <f t="shared" ref="T110:T118" si="59">R110*S110</f>
        <v>0</v>
      </c>
      <c r="U110" s="469" t="s">
        <v>44</v>
      </c>
    </row>
    <row r="111" spans="1:22" ht="105" x14ac:dyDescent="0.25">
      <c r="A111" s="446" t="s">
        <v>1300</v>
      </c>
      <c r="B111" s="332" t="str">
        <f>VLOOKUP(A111,'Feature Raw Data'!$A$3:$B$4067,2,FALSE)</f>
        <v>GFXHUB:GCUTCL2:VML2 - Programmable “smallK” size</v>
      </c>
      <c r="C111" s="273" t="str">
        <f>VLOOKUP(A111,'Feature Raw Data'!$A$3:$C$4067,3,FALSE)</f>
        <v>P2</v>
      </c>
      <c r="D111" s="82" t="str" cm="1">
        <f t="array" ref="D111">_xlfn.TEXTJOIN("",TRUE,IF(ISNUMBER(SEARCH($A111,'Diags Raw Data'!$A$6:$A$4699)),CONCATENATE('Diags Raw Data'!$H$6:$H$4699,", "),""))</f>
        <v xml:space="preserve">mhub232.1, mhub232.10, mhub232.11, mhub232.12, mhub234.2, mhub234.3, mhub234.4, </v>
      </c>
      <c r="E111" s="169" t="str">
        <f>VLOOKUP(A111,'Diags Raw Data'!$A$6:$D$4699,4,FALSE)</f>
        <v>GCHUB</v>
      </c>
      <c r="F111" s="169" t="str">
        <f>VLOOKUP(A111,'Feature Raw Data'!$A$3:$E$4067,5,FALSE)</f>
        <v>Legacy</v>
      </c>
      <c r="G111" s="169" t="str">
        <f t="shared" ref="G111:G118" si="60">IF(D111="","No","Yes")</f>
        <v>Yes</v>
      </c>
      <c r="H111" s="169" t="str">
        <f t="shared" si="55"/>
        <v>Yes</v>
      </c>
      <c r="I111" s="273">
        <f>SUMIF('Diags Raw Data'!$A$6:$A$4699,"*"&amp;$A111&amp;"*",'Diags Raw Data'!$K$6:$K$4699)</f>
        <v>7</v>
      </c>
      <c r="J111" s="179">
        <f>SUMIF('Diags Raw Data'!$A$6:$A$4699,"*"&amp;$A111&amp;"*",'Diags Raw Data'!$L$6:$L$4699)</f>
        <v>7</v>
      </c>
      <c r="K111" s="416" cm="1">
        <f t="array" ref="K111">IF(D111="",0, SUMPRODUCT(--(ISNUMBER(SEARCH($A111,'Diags Raw Data'!$A$6:$A$4699))),'Diags Raw Data'!$L$6:$L$4699,'Diags Raw Data'!$N$6:$N$4699)/J111)</f>
        <v>1</v>
      </c>
      <c r="L111" s="417" cm="1">
        <f t="array" ref="L111">IF(D111="",0, SUMPRODUCT(--(ISNUMBER(SEARCH($A111,'Diags Raw Data'!$A$6:$A$4699))),'Diags Raw Data'!$L$6:$L$4699,'Diags Raw Data'!$P$6:$P$4699)/J111)</f>
        <v>1</v>
      </c>
      <c r="M111" s="418" cm="1">
        <f t="array" ref="M111">SUMPRODUCT(--(ISNUMBER(SEARCH($A111,'Diags Raw Data'!$A$6:$A$4699))),--('Diags Raw Data'!$Q$6:$Q$4699&lt;&gt;"N/A"),'Diags Raw Data'!$R$6:$R$4699)</f>
        <v>7</v>
      </c>
      <c r="N111" s="419" cm="1">
        <f t="array" ref="N111">SUMPRODUCT(--(ISNUMBER(SEARCH($A111,'Diags Raw Data'!$A$6:$A$4699))),--('Diags Raw Data'!$Q$6:$Q$4699&lt;&gt;"N/A"),'Diags Raw Data'!$T$6:$T$4699)+SUMPRODUCT(--(ISNUMBER(SEARCH($A111,'Diags Raw Data'!$A$6:$A$4699))),--('Diags Raw Data'!$Q$6:$Q$4699&lt;&gt;"N/A"),'Diags Raw Data'!$U$6:$U$4699)</f>
        <v>7</v>
      </c>
      <c r="O111" s="462">
        <f t="shared" si="56"/>
        <v>1</v>
      </c>
      <c r="P111" s="420">
        <f>SUMIF('Diags Raw Data'!$A$6:$A$4699,"*"&amp;$A111&amp;"*",'Diags Raw Data'!$Z$6:$Z$4699)</f>
        <v>0</v>
      </c>
      <c r="Q111" s="421">
        <f>SUM(SUMIF('Diags Raw Data'!$A$6:$A$4699,"*"&amp;$A111&amp;"*",'Diags Raw Data'!$AA$6:$AA$4699),SUMIF('Diags Raw Data'!$A$6:$A$4699,"*"&amp;$A111&amp;"*",'Diags Raw Data'!$AB$6:$AB$4699))</f>
        <v>0</v>
      </c>
      <c r="R111" s="422">
        <f t="shared" si="57"/>
        <v>0</v>
      </c>
      <c r="S111" s="422">
        <f t="shared" si="58"/>
        <v>0</v>
      </c>
      <c r="T111" s="423">
        <f t="shared" si="59"/>
        <v>0</v>
      </c>
      <c r="U111" s="469" t="s">
        <v>2805</v>
      </c>
    </row>
    <row r="112" spans="1:22" ht="60" x14ac:dyDescent="0.25">
      <c r="A112" s="446" t="s">
        <v>1845</v>
      </c>
      <c r="B112" s="332" t="str">
        <f>VLOOKUP(A112,'Feature Raw Data'!$A$3:$B$4067,2,FALSE)</f>
        <v>GFXHUB:GCUTCL2:VML2 - Trusted Memory Zone (TMZ) Secure Filtering</v>
      </c>
      <c r="C112" s="273" t="str">
        <f>VLOOKUP(A112,'Feature Raw Data'!$A$3:$C$4067,3,FALSE)</f>
        <v>P2</v>
      </c>
      <c r="D112" s="82" t="str" cm="1">
        <f t="array" ref="D112">_xlfn.TEXTJOIN("",TRUE,IF(ISNUMBER(SEARCH($A112,'Diags Raw Data'!$A$6:$A$4699)),CONCATENATE('Diags Raw Data'!$H$6:$H$4699,", "),""))</f>
        <v xml:space="preserve">mhub232.2, mhub350.1-8,10,20,30-37, </v>
      </c>
      <c r="E112" s="169" t="str">
        <f>VLOOKUP(A112,'Diags Raw Data'!$A$6:$D$4699,4,FALSE)</f>
        <v>GCHUB</v>
      </c>
      <c r="F112" s="169" t="str">
        <f>VLOOKUP(A112,'Feature Raw Data'!$A$3:$E$4067,5,FALSE)</f>
        <v>Legacy</v>
      </c>
      <c r="G112" s="169" t="str">
        <f t="shared" si="60"/>
        <v>Yes</v>
      </c>
      <c r="H112" s="169" t="str">
        <f t="shared" si="55"/>
        <v>Yes</v>
      </c>
      <c r="I112" s="273">
        <f>SUMIF('Diags Raw Data'!$A$6:$A$4699,"*"&amp;$A112&amp;"*",'Diags Raw Data'!$K$6:$K$4699)</f>
        <v>2</v>
      </c>
      <c r="J112" s="179">
        <f>SUMIF('Diags Raw Data'!$A$6:$A$4699,"*"&amp;$A112&amp;"*",'Diags Raw Data'!$L$6:$L$4699)</f>
        <v>19</v>
      </c>
      <c r="K112" s="416" cm="1">
        <f t="array" ref="K112">IF(D112="",0, SUMPRODUCT(--(ISNUMBER(SEARCH($A112,'Diags Raw Data'!$A$6:$A$4699))),'Diags Raw Data'!$L$6:$L$4699,'Diags Raw Data'!$N$6:$N$4699)/J112)</f>
        <v>1</v>
      </c>
      <c r="L112" s="417" cm="1">
        <f t="array" ref="L112">IF(D112="",0, SUMPRODUCT(--(ISNUMBER(SEARCH($A112,'Diags Raw Data'!$A$6:$A$4699))),'Diags Raw Data'!$L$6:$L$4699,'Diags Raw Data'!$P$6:$P$4699)/J112)</f>
        <v>5.2631578947368418E-2</v>
      </c>
      <c r="M112" s="418" cm="1">
        <f t="array" ref="M112">SUMPRODUCT(--(ISNUMBER(SEARCH($A112,'Diags Raw Data'!$A$6:$A$4699))),--('Diags Raw Data'!$Q$6:$Q$4699&lt;&gt;"N/A"),'Diags Raw Data'!$R$6:$R$4699)</f>
        <v>19</v>
      </c>
      <c r="N112" s="419" cm="1">
        <f t="array" ref="N112">SUMPRODUCT(--(ISNUMBER(SEARCH($A112,'Diags Raw Data'!$A$6:$A$4699))),--('Diags Raw Data'!$Q$6:$Q$4699&lt;&gt;"N/A"),'Diags Raw Data'!$T$6:$T$4699)+SUMPRODUCT(--(ISNUMBER(SEARCH($A112,'Diags Raw Data'!$A$6:$A$4699))),--('Diags Raw Data'!$Q$6:$Q$4699&lt;&gt;"N/A"),'Diags Raw Data'!$U$6:$U$4699)</f>
        <v>19</v>
      </c>
      <c r="O112" s="462">
        <f t="shared" si="56"/>
        <v>1</v>
      </c>
      <c r="P112" s="420">
        <f>SUMIF('Diags Raw Data'!$A$6:$A$4699,"*"&amp;$A112&amp;"*",'Diags Raw Data'!$Z$6:$Z$4699)</f>
        <v>0</v>
      </c>
      <c r="Q112" s="421">
        <f>SUM(SUMIF('Diags Raw Data'!$A$6:$A$4699,"*"&amp;$A112&amp;"*",'Diags Raw Data'!$AA$6:$AA$4699),SUMIF('Diags Raw Data'!$A$6:$A$4699,"*"&amp;$A112&amp;"*",'Diags Raw Data'!$AB$6:$AB$4699))</f>
        <v>0</v>
      </c>
      <c r="R112" s="422">
        <f t="shared" si="57"/>
        <v>0</v>
      </c>
      <c r="S112" s="422">
        <f t="shared" si="58"/>
        <v>0</v>
      </c>
      <c r="T112" s="423">
        <f t="shared" si="59"/>
        <v>0</v>
      </c>
      <c r="U112" s="469" t="s">
        <v>2808</v>
      </c>
    </row>
    <row r="113" spans="1:22" ht="105" x14ac:dyDescent="0.25">
      <c r="A113" s="446" t="s">
        <v>1548</v>
      </c>
      <c r="B113" s="332" t="str">
        <f>VLOOKUP(A113,'Feature Raw Data'!$A$3:$B$4067,2,FALSE)</f>
        <v>GFXHUB:GCUTCL2:VML2 - Invalidate by Address Range and VMID aka "Sharpshooting"</v>
      </c>
      <c r="C113" s="273" t="str">
        <f>VLOOKUP(A113,'Feature Raw Data'!$A$3:$C$4067,3,FALSE)</f>
        <v>P2</v>
      </c>
      <c r="D113" s="82" t="str" cm="1">
        <f t="array" ref="D113">_xlfn.TEXTJOIN("",TRUE,IF(ISNUMBER(SEARCH($A113,'Diags Raw Data'!$A$6:$A$4699)),CONCATENATE('Diags Raw Data'!$H$6:$H$4699,", "),""))</f>
        <v xml:space="preserve">mhub232.3, mhub252.1, mhub253.1, mhub254.1,3,5-8, mhub255.1,2, mhub257.6, </v>
      </c>
      <c r="E113" s="169" t="str">
        <f>VLOOKUP(A113,'Diags Raw Data'!$A$6:$D$4699,4,FALSE)</f>
        <v>GCHUB</v>
      </c>
      <c r="F113" s="169" t="str">
        <f>VLOOKUP(A113,'Feature Raw Data'!$A$3:$E$4067,5,FALSE)</f>
        <v>Legacy</v>
      </c>
      <c r="G113" s="169" t="str">
        <f t="shared" si="60"/>
        <v>Yes</v>
      </c>
      <c r="H113" s="169" t="str">
        <f t="shared" si="55"/>
        <v>Yes</v>
      </c>
      <c r="I113" s="273">
        <f>SUMIF('Diags Raw Data'!$A$6:$A$4699,"*"&amp;$A113&amp;"*",'Diags Raw Data'!$K$6:$K$4699)</f>
        <v>6</v>
      </c>
      <c r="J113" s="179">
        <f>SUMIF('Diags Raw Data'!$A$6:$A$4699,"*"&amp;$A113&amp;"*",'Diags Raw Data'!$L$6:$L$4699)</f>
        <v>12</v>
      </c>
      <c r="K113" s="416" cm="1">
        <f t="array" ref="K113">IF(D113="",0, SUMPRODUCT(--(ISNUMBER(SEARCH($A113,'Diags Raw Data'!$A$6:$A$4699))),'Diags Raw Data'!$L$6:$L$4699,'Diags Raw Data'!$N$6:$N$4699)/J113)</f>
        <v>1</v>
      </c>
      <c r="L113" s="417" cm="1">
        <f t="array" ref="L113">IF(D113="",0, SUMPRODUCT(--(ISNUMBER(SEARCH($A113,'Diags Raw Data'!$A$6:$A$4699))),'Diags Raw Data'!$L$6:$L$4699,'Diags Raw Data'!$P$6:$P$4699)/J113)</f>
        <v>1</v>
      </c>
      <c r="M113" s="418" cm="1">
        <f t="array" ref="M113">SUMPRODUCT(--(ISNUMBER(SEARCH($A113,'Diags Raw Data'!$A$6:$A$4699))),--('Diags Raw Data'!$Q$6:$Q$4699&lt;&gt;"N/A"),'Diags Raw Data'!$R$6:$R$4699)</f>
        <v>12</v>
      </c>
      <c r="N113" s="419" cm="1">
        <f t="array" ref="N113">SUMPRODUCT(--(ISNUMBER(SEARCH($A113,'Diags Raw Data'!$A$6:$A$4699))),--('Diags Raw Data'!$Q$6:$Q$4699&lt;&gt;"N/A"),'Diags Raw Data'!$T$6:$T$4699)+SUMPRODUCT(--(ISNUMBER(SEARCH($A113,'Diags Raw Data'!$A$6:$A$4699))),--('Diags Raw Data'!$Q$6:$Q$4699&lt;&gt;"N/A"),'Diags Raw Data'!$U$6:$U$4699)</f>
        <v>12</v>
      </c>
      <c r="O113" s="462">
        <f t="shared" si="56"/>
        <v>1</v>
      </c>
      <c r="P113" s="420">
        <f>SUMIF('Diags Raw Data'!$A$6:$A$4699,"*"&amp;$A113&amp;"*",'Diags Raw Data'!$Z$6:$Z$4699)</f>
        <v>0</v>
      </c>
      <c r="Q113" s="421">
        <f>SUM(SUMIF('Diags Raw Data'!$A$6:$A$4699,"*"&amp;$A113&amp;"*",'Diags Raw Data'!$AA$6:$AA$4699),SUMIF('Diags Raw Data'!$A$6:$A$4699,"*"&amp;$A113&amp;"*",'Diags Raw Data'!$AB$6:$AB$4699))</f>
        <v>0</v>
      </c>
      <c r="R113" s="422">
        <f t="shared" si="57"/>
        <v>0</v>
      </c>
      <c r="S113" s="422">
        <f t="shared" si="58"/>
        <v>0</v>
      </c>
      <c r="T113" s="423">
        <f t="shared" si="59"/>
        <v>0</v>
      </c>
      <c r="U113" s="469" t="s">
        <v>2802</v>
      </c>
    </row>
    <row r="114" spans="1:22" ht="45" x14ac:dyDescent="0.25">
      <c r="A114" s="446" t="s">
        <v>2583</v>
      </c>
      <c r="B114" s="332" t="str">
        <f>VLOOKUP(A114,'Feature Raw Data'!$A$3:$B$4067,2,FALSE)</f>
        <v>GFXHUB:GCUTCL2:VML2 - Lightweight/Heavyweight flush-type invalidation aka GPUVM –ATC like invalidations</v>
      </c>
      <c r="C114" s="273" t="str">
        <f>VLOOKUP(A114,'Feature Raw Data'!$A$3:$C$4067,3,FALSE)</f>
        <v>P2</v>
      </c>
      <c r="D114" s="82" t="str" cm="1">
        <f t="array" ref="D114">_xlfn.TEXTJOIN("",TRUE,IF(ISNUMBER(SEARCH($A114,'Diags Raw Data'!$A$6:$A$4699)),CONCATENATE('Diags Raw Data'!$H$6:$H$4699,", "),""))</f>
        <v xml:space="preserve">mhub232.4, mhub252.1, </v>
      </c>
      <c r="E114" s="169" t="e">
        <f>VLOOKUP(A114,'Diags Raw Data'!$A$6:$D$4699,4,FALSE)</f>
        <v>#N/A</v>
      </c>
      <c r="F114" s="169" t="str">
        <f>VLOOKUP(A114,'Feature Raw Data'!$A$3:$E$4067,5,FALSE)</f>
        <v>Legacy</v>
      </c>
      <c r="G114" s="169" t="str">
        <f t="shared" si="60"/>
        <v>Yes</v>
      </c>
      <c r="H114" s="169" t="str">
        <f t="shared" si="55"/>
        <v>Yes</v>
      </c>
      <c r="I114" s="273">
        <f>SUMIF('Diags Raw Data'!$A$6:$A$4699,"*"&amp;$A114&amp;"*",'Diags Raw Data'!$K$6:$K$4699)</f>
        <v>2</v>
      </c>
      <c r="J114" s="179">
        <f>SUMIF('Diags Raw Data'!$A$6:$A$4699,"*"&amp;$A114&amp;"*",'Diags Raw Data'!$L$6:$L$4699)</f>
        <v>2</v>
      </c>
      <c r="K114" s="416" cm="1">
        <f t="array" ref="K114">IF(D114="",0, SUMPRODUCT(--(ISNUMBER(SEARCH($A114,'Diags Raw Data'!$A$6:$A$4699))),'Diags Raw Data'!$L$6:$L$4699,'Diags Raw Data'!$N$6:$N$4699)/J114)</f>
        <v>1</v>
      </c>
      <c r="L114" s="417" cm="1">
        <f t="array" ref="L114">IF(D114="",0, SUMPRODUCT(--(ISNUMBER(SEARCH($A114,'Diags Raw Data'!$A$6:$A$4699))),'Diags Raw Data'!$L$6:$L$4699,'Diags Raw Data'!$P$6:$P$4699)/J114)</f>
        <v>1</v>
      </c>
      <c r="M114" s="418" cm="1">
        <f t="array" ref="M114">SUMPRODUCT(--(ISNUMBER(SEARCH($A114,'Diags Raw Data'!$A$6:$A$4699))),--('Diags Raw Data'!$Q$6:$Q$4699&lt;&gt;"N/A"),'Diags Raw Data'!$R$6:$R$4699)</f>
        <v>2</v>
      </c>
      <c r="N114" s="419" cm="1">
        <f t="array" ref="N114">SUMPRODUCT(--(ISNUMBER(SEARCH($A114,'Diags Raw Data'!$A$6:$A$4699))),--('Diags Raw Data'!$Q$6:$Q$4699&lt;&gt;"N/A"),'Diags Raw Data'!$T$6:$T$4699)+SUMPRODUCT(--(ISNUMBER(SEARCH($A114,'Diags Raw Data'!$A$6:$A$4699))),--('Diags Raw Data'!$Q$6:$Q$4699&lt;&gt;"N/A"),'Diags Raw Data'!$U$6:$U$4699)</f>
        <v>2</v>
      </c>
      <c r="O114" s="462">
        <f t="shared" si="56"/>
        <v>1</v>
      </c>
      <c r="P114" s="420">
        <f>SUMIF('Diags Raw Data'!$A$6:$A$4699,"*"&amp;$A114&amp;"*",'Diags Raw Data'!$Z$6:$Z$4699)</f>
        <v>0</v>
      </c>
      <c r="Q114" s="421">
        <f>SUM(SUMIF('Diags Raw Data'!$A$6:$A$4699,"*"&amp;$A114&amp;"*",'Diags Raw Data'!$AA$6:$AA$4699),SUMIF('Diags Raw Data'!$A$6:$A$4699,"*"&amp;$A114&amp;"*",'Diags Raw Data'!$AB$6:$AB$4699))</f>
        <v>0</v>
      </c>
      <c r="R114" s="422">
        <f t="shared" si="57"/>
        <v>0</v>
      </c>
      <c r="S114" s="422">
        <f t="shared" si="58"/>
        <v>0</v>
      </c>
      <c r="T114" s="423">
        <f t="shared" si="59"/>
        <v>0</v>
      </c>
      <c r="U114" s="469" t="s">
        <v>2802</v>
      </c>
    </row>
    <row r="115" spans="1:22" ht="75" x14ac:dyDescent="0.25">
      <c r="A115" s="446" t="s">
        <v>1153</v>
      </c>
      <c r="B115" s="332" t="str">
        <f>VLOOKUP(A115,'Feature Raw Data'!$A$3:$B$4067,2,FALSE)</f>
        <v>GFXHUB:GCUTCL2:VML2 - Page Tables Levels</v>
      </c>
      <c r="C115" s="273" t="str">
        <f>VLOOKUP(A115,'Feature Raw Data'!$A$3:$C$4067,3,FALSE)</f>
        <v>P2</v>
      </c>
      <c r="D115" s="82" t="str" cm="1">
        <f t="array" ref="D115">_xlfn.TEXTJOIN("",TRUE,IF(ISNUMBER(SEARCH($A115,'Diags Raw Data'!$A$6:$A$4699)),CONCATENATE('Diags Raw Data'!$H$6:$H$4699,", "),""))</f>
        <v xml:space="preserve">mhub210.1, mhub211.1, mhub211.2, mhub211.4, mhub232.6, </v>
      </c>
      <c r="E115" s="169" t="str">
        <f>VLOOKUP(A115,'Diags Raw Data'!$A$6:$D$4699,4,FALSE)</f>
        <v>GCHUB</v>
      </c>
      <c r="F115" s="169" t="str">
        <f>VLOOKUP(A115,'Feature Raw Data'!$A$3:$E$4067,5,FALSE)</f>
        <v>Legacy</v>
      </c>
      <c r="G115" s="169" t="str">
        <f t="shared" si="60"/>
        <v>Yes</v>
      </c>
      <c r="H115" s="169" t="str">
        <f t="shared" si="55"/>
        <v>Yes</v>
      </c>
      <c r="I115" s="273">
        <f>SUMIF('Diags Raw Data'!$A$6:$A$4699,"*"&amp;$A115&amp;"*",'Diags Raw Data'!$K$6:$K$4699)</f>
        <v>5</v>
      </c>
      <c r="J115" s="179">
        <f>SUMIF('Diags Raw Data'!$A$6:$A$4699,"*"&amp;$A115&amp;"*",'Diags Raw Data'!$L$6:$L$4699)</f>
        <v>5</v>
      </c>
      <c r="K115" s="416" cm="1">
        <f t="array" ref="K115">IF(D115="",0, SUMPRODUCT(--(ISNUMBER(SEARCH($A115,'Diags Raw Data'!$A$6:$A$4699))),'Diags Raw Data'!$L$6:$L$4699,'Diags Raw Data'!$N$6:$N$4699)/J115)</f>
        <v>1</v>
      </c>
      <c r="L115" s="417" cm="1">
        <f t="array" ref="L115">IF(D115="",0, SUMPRODUCT(--(ISNUMBER(SEARCH($A115,'Diags Raw Data'!$A$6:$A$4699))),'Diags Raw Data'!$L$6:$L$4699,'Diags Raw Data'!$P$6:$P$4699)/J115)</f>
        <v>1</v>
      </c>
      <c r="M115" s="418" cm="1">
        <f t="array" ref="M115">SUMPRODUCT(--(ISNUMBER(SEARCH($A115,'Diags Raw Data'!$A$6:$A$4699))),--('Diags Raw Data'!$Q$6:$Q$4699&lt;&gt;"N/A"),'Diags Raw Data'!$R$6:$R$4699)</f>
        <v>5</v>
      </c>
      <c r="N115" s="419" cm="1">
        <f t="array" ref="N115">SUMPRODUCT(--(ISNUMBER(SEARCH($A115,'Diags Raw Data'!$A$6:$A$4699))),--('Diags Raw Data'!$Q$6:$Q$4699&lt;&gt;"N/A"),'Diags Raw Data'!$T$6:$T$4699)+SUMPRODUCT(--(ISNUMBER(SEARCH($A115,'Diags Raw Data'!$A$6:$A$4699))),--('Diags Raw Data'!$Q$6:$Q$4699&lt;&gt;"N/A"),'Diags Raw Data'!$U$6:$U$4699)</f>
        <v>5</v>
      </c>
      <c r="O115" s="462">
        <f t="shared" si="56"/>
        <v>1</v>
      </c>
      <c r="P115" s="420">
        <f>SUMIF('Diags Raw Data'!$A$6:$A$4699,"*"&amp;$A115&amp;"*",'Diags Raw Data'!$Z$6:$Z$4699)</f>
        <v>0</v>
      </c>
      <c r="Q115" s="421">
        <f>SUM(SUMIF('Diags Raw Data'!$A$6:$A$4699,"*"&amp;$A115&amp;"*",'Diags Raw Data'!$AA$6:$AA$4699),SUMIF('Diags Raw Data'!$A$6:$A$4699,"*"&amp;$A115&amp;"*",'Diags Raw Data'!$AB$6:$AB$4699))</f>
        <v>0</v>
      </c>
      <c r="R115" s="422">
        <f t="shared" si="57"/>
        <v>0</v>
      </c>
      <c r="S115" s="422">
        <f t="shared" si="58"/>
        <v>0</v>
      </c>
      <c r="T115" s="423">
        <f t="shared" si="59"/>
        <v>0</v>
      </c>
      <c r="U115" s="469" t="s">
        <v>2798</v>
      </c>
    </row>
    <row r="116" spans="1:22" ht="165" x14ac:dyDescent="0.25">
      <c r="A116" s="446" t="s">
        <v>1115</v>
      </c>
      <c r="B116" s="332" t="str">
        <f>VLOOKUP(A116,'Feature Raw Data'!$A$3:$B$4067,2,FALSE)</f>
        <v>GFXHUB:GCUTCL2:VML2 - PDE Attributes</v>
      </c>
      <c r="C116" s="273" t="str">
        <f>VLOOKUP(A116,'Feature Raw Data'!$A$3:$C$4067,3,FALSE)</f>
        <v>P1</v>
      </c>
      <c r="D116" s="82" t="str" cm="1">
        <f t="array" ref="D116">_xlfn.TEXTJOIN("",TRUE,IF(ISNUMBER(SEARCH($A116,'Diags Raw Data'!$A$6:$A$4699)),CONCATENATE('Diags Raw Data'!$H$6:$H$4699,", "),""))</f>
        <v xml:space="preserve">mhub206.1, mhub206.2, mhub206.3, mhub206.4, mhub208.1, mhub208.2, mhub208.3, mhub213.1, mhub213.2, mhub214.1,2, </v>
      </c>
      <c r="E116" s="169" t="str">
        <f>VLOOKUP(A116,'Diags Raw Data'!$A$6:$D$4699,4,FALSE)</f>
        <v>GCHUB</v>
      </c>
      <c r="F116" s="169" t="str">
        <f>VLOOKUP(A116,'Feature Raw Data'!$A$3:$E$4067,5,FALSE)</f>
        <v>Delta</v>
      </c>
      <c r="G116" s="169" t="str">
        <f t="shared" si="60"/>
        <v>Yes</v>
      </c>
      <c r="H116" s="169" t="str">
        <f t="shared" si="55"/>
        <v>Yes</v>
      </c>
      <c r="I116" s="273">
        <f>SUMIF('Diags Raw Data'!$A$6:$A$4699,"*"&amp;$A116&amp;"*",'Diags Raw Data'!$K$6:$K$4699)</f>
        <v>10</v>
      </c>
      <c r="J116" s="179">
        <f>SUMIF('Diags Raw Data'!$A$6:$A$4699,"*"&amp;$A116&amp;"*",'Diags Raw Data'!$L$6:$L$4699)</f>
        <v>11</v>
      </c>
      <c r="K116" s="416" cm="1">
        <f t="array" ref="K116">IF(D116="",0, SUMPRODUCT(--(ISNUMBER(SEARCH($A116,'Diags Raw Data'!$A$6:$A$4699))),'Diags Raw Data'!$L$6:$L$4699,'Diags Raw Data'!$N$6:$N$4699)/J116)</f>
        <v>1</v>
      </c>
      <c r="L116" s="417" cm="1">
        <f t="array" ref="L116">IF(D116="",0, SUMPRODUCT(--(ISNUMBER(SEARCH($A116,'Diags Raw Data'!$A$6:$A$4699))),'Diags Raw Data'!$L$6:$L$4699,'Diags Raw Data'!$P$6:$P$4699)/J116)</f>
        <v>1</v>
      </c>
      <c r="M116" s="418" cm="1">
        <f t="array" ref="M116">SUMPRODUCT(--(ISNUMBER(SEARCH($A116,'Diags Raw Data'!$A$6:$A$4699))),--('Diags Raw Data'!$Q$6:$Q$4699&lt;&gt;"N/A"),'Diags Raw Data'!$R$6:$R$4699)</f>
        <v>11</v>
      </c>
      <c r="N116" s="419" cm="1">
        <f t="array" ref="N116">SUMPRODUCT(--(ISNUMBER(SEARCH($A116,'Diags Raw Data'!$A$6:$A$4699))),--('Diags Raw Data'!$Q$6:$Q$4699&lt;&gt;"N/A"),'Diags Raw Data'!$T$6:$T$4699)+SUMPRODUCT(--(ISNUMBER(SEARCH($A116,'Diags Raw Data'!$A$6:$A$4699))),--('Diags Raw Data'!$Q$6:$Q$4699&lt;&gt;"N/A"),'Diags Raw Data'!$U$6:$U$4699)</f>
        <v>11</v>
      </c>
      <c r="O116" s="462">
        <f t="shared" si="56"/>
        <v>1</v>
      </c>
      <c r="P116" s="420">
        <f>SUMIF('Diags Raw Data'!$A$6:$A$4699,"*"&amp;$A116&amp;"*",'Diags Raw Data'!$Z$6:$Z$4699)</f>
        <v>0</v>
      </c>
      <c r="Q116" s="421">
        <f>SUM(SUMIF('Diags Raw Data'!$A$6:$A$4699,"*"&amp;$A116&amp;"*",'Diags Raw Data'!$AA$6:$AA$4699),SUMIF('Diags Raw Data'!$A$6:$A$4699,"*"&amp;$A116&amp;"*",'Diags Raw Data'!$AB$6:$AB$4699))</f>
        <v>0</v>
      </c>
      <c r="R116" s="422">
        <f t="shared" si="57"/>
        <v>0</v>
      </c>
      <c r="S116" s="422">
        <f t="shared" si="58"/>
        <v>0</v>
      </c>
      <c r="T116" s="423">
        <f t="shared" si="59"/>
        <v>0</v>
      </c>
      <c r="U116" s="469" t="s">
        <v>2797</v>
      </c>
    </row>
    <row r="117" spans="1:22" ht="60" x14ac:dyDescent="0.25">
      <c r="A117" s="446" t="s">
        <v>1740</v>
      </c>
      <c r="B117" s="332" t="str">
        <f>VLOOKUP(A117,'Feature Raw Data'!$A$3:$B$4067,2,FALSE)</f>
        <v>GFXHUB:GCUTCL2:VML2 - PTE Attributes</v>
      </c>
      <c r="C117" s="273" t="str">
        <f>VLOOKUP(A117,'Feature Raw Data'!$A$3:$C$4067,3,FALSE)</f>
        <v>P2</v>
      </c>
      <c r="D117" s="82" t="str" cm="1">
        <f t="array" ref="D117">_xlfn.TEXTJOIN("",TRUE,IF(ISNUMBER(SEARCH($A117,'Diags Raw Data'!$A$6:$A$4699)),CONCATENATE('Diags Raw Data'!$H$6:$H$4699,", "),""))</f>
        <v xml:space="preserve">mhub281.1,2, mhub286.1,2, mhub294, </v>
      </c>
      <c r="E117" s="169" t="str">
        <f>VLOOKUP(A117,'Diags Raw Data'!$A$6:$D$4699,4,FALSE)</f>
        <v>GCHUB</v>
      </c>
      <c r="F117" s="169" t="str">
        <f>VLOOKUP(A117,'Feature Raw Data'!$A$3:$E$4067,5,FALSE)</f>
        <v>Legacy</v>
      </c>
      <c r="G117" s="169" t="str">
        <f t="shared" si="60"/>
        <v>Yes</v>
      </c>
      <c r="H117" s="169" t="str">
        <f t="shared" si="55"/>
        <v>Yes</v>
      </c>
      <c r="I117" s="273">
        <f>SUMIF('Diags Raw Data'!$A$6:$A$4699,"*"&amp;$A117&amp;"*",'Diags Raw Data'!$K$6:$K$4699)</f>
        <v>3</v>
      </c>
      <c r="J117" s="179">
        <f>SUMIF('Diags Raw Data'!$A$6:$A$4699,"*"&amp;$A117&amp;"*",'Diags Raw Data'!$L$6:$L$4699)</f>
        <v>5</v>
      </c>
      <c r="K117" s="416" cm="1">
        <f t="array" ref="K117">IF(D117="",0, SUMPRODUCT(--(ISNUMBER(SEARCH($A117,'Diags Raw Data'!$A$6:$A$4699))),'Diags Raw Data'!$L$6:$L$4699,'Diags Raw Data'!$N$6:$N$4699)/J117)</f>
        <v>1</v>
      </c>
      <c r="L117" s="417" cm="1">
        <f t="array" ref="L117">IF(D117="",0, SUMPRODUCT(--(ISNUMBER(SEARCH($A117,'Diags Raw Data'!$A$6:$A$4699))),'Diags Raw Data'!$L$6:$L$4699,'Diags Raw Data'!$P$6:$P$4699)/J117)</f>
        <v>1</v>
      </c>
      <c r="M117" s="418" cm="1">
        <f t="array" ref="M117">SUMPRODUCT(--(ISNUMBER(SEARCH($A117,'Diags Raw Data'!$A$6:$A$4699))),--('Diags Raw Data'!$Q$6:$Q$4699&lt;&gt;"N/A"),'Diags Raw Data'!$R$6:$R$4699)</f>
        <v>5</v>
      </c>
      <c r="N117" s="419" cm="1">
        <f t="array" ref="N117">SUMPRODUCT(--(ISNUMBER(SEARCH($A117,'Diags Raw Data'!$A$6:$A$4699))),--('Diags Raw Data'!$Q$6:$Q$4699&lt;&gt;"N/A"),'Diags Raw Data'!$T$6:$T$4699)+SUMPRODUCT(--(ISNUMBER(SEARCH($A117,'Diags Raw Data'!$A$6:$A$4699))),--('Diags Raw Data'!$Q$6:$Q$4699&lt;&gt;"N/A"),'Diags Raw Data'!$U$6:$U$4699)</f>
        <v>5</v>
      </c>
      <c r="O117" s="462">
        <f t="shared" si="56"/>
        <v>1</v>
      </c>
      <c r="P117" s="420">
        <f>SUMIF('Diags Raw Data'!$A$6:$A$4699,"*"&amp;$A117&amp;"*",'Diags Raw Data'!$Z$6:$Z$4699)</f>
        <v>0</v>
      </c>
      <c r="Q117" s="421">
        <f>SUM(SUMIF('Diags Raw Data'!$A$6:$A$4699,"*"&amp;$A117&amp;"*",'Diags Raw Data'!$AA$6:$AA$4699),SUMIF('Diags Raw Data'!$A$6:$A$4699,"*"&amp;$A117&amp;"*",'Diags Raw Data'!$AB$6:$AB$4699))</f>
        <v>0</v>
      </c>
      <c r="R117" s="422">
        <f t="shared" si="57"/>
        <v>0</v>
      </c>
      <c r="S117" s="422">
        <f t="shared" si="58"/>
        <v>0</v>
      </c>
      <c r="T117" s="423">
        <f t="shared" si="59"/>
        <v>0</v>
      </c>
      <c r="U117" s="469" t="s">
        <v>2803</v>
      </c>
    </row>
    <row r="118" spans="1:22" ht="30" x14ac:dyDescent="0.25">
      <c r="A118" s="446" t="s">
        <v>2588</v>
      </c>
      <c r="B118" s="332" t="str">
        <f>VLOOKUP(A118,'Feature Raw Data'!$A$3:$B$4067,2,FALSE)</f>
        <v>GFXHUB:GCUTCL2:VML2 - PTE permissions returned</v>
      </c>
      <c r="C118" s="273" t="str">
        <f>VLOOKUP(A118,'Feature Raw Data'!$A$3:$C$4067,3,FALSE)</f>
        <v>P2</v>
      </c>
      <c r="D118" s="82" t="str" cm="1">
        <f t="array" ref="D118">_xlfn.TEXTJOIN("",TRUE,IF(ISNUMBER(SEARCH($A118,'Diags Raw Data'!$A$6:$A$4699)),CONCATENATE('Diags Raw Data'!$H$6:$H$4699,", "),""))</f>
        <v xml:space="preserve">mhub341.1, </v>
      </c>
      <c r="E118" s="169" t="e">
        <f>VLOOKUP(A118,'Diags Raw Data'!$A$6:$D$4699,4,FALSE)</f>
        <v>#N/A</v>
      </c>
      <c r="F118" s="169" t="str">
        <f>VLOOKUP(A118,'Feature Raw Data'!$A$3:$E$4067,5,FALSE)</f>
        <v>Legacy</v>
      </c>
      <c r="G118" s="169" t="str">
        <f t="shared" si="60"/>
        <v>Yes</v>
      </c>
      <c r="H118" s="169" t="str">
        <f t="shared" si="55"/>
        <v>Yes</v>
      </c>
      <c r="I118" s="273">
        <f>SUMIF('Diags Raw Data'!$A$6:$A$4699,"*"&amp;$A118&amp;"*",'Diags Raw Data'!$K$6:$K$4699)</f>
        <v>1</v>
      </c>
      <c r="J118" s="179">
        <f>SUMIF('Diags Raw Data'!$A$6:$A$4699,"*"&amp;$A118&amp;"*",'Diags Raw Data'!$L$6:$L$4699)</f>
        <v>1</v>
      </c>
      <c r="K118" s="416" cm="1">
        <f t="array" ref="K118">IF(D118="",0, SUMPRODUCT(--(ISNUMBER(SEARCH($A118,'Diags Raw Data'!$A$6:$A$4699))),'Diags Raw Data'!$L$6:$L$4699,'Diags Raw Data'!$N$6:$N$4699)/J118)</f>
        <v>1</v>
      </c>
      <c r="L118" s="417" cm="1">
        <f t="array" ref="L118">IF(D118="",0, SUMPRODUCT(--(ISNUMBER(SEARCH($A118,'Diags Raw Data'!$A$6:$A$4699))),'Diags Raw Data'!$L$6:$L$4699,'Diags Raw Data'!$P$6:$P$4699)/J118)</f>
        <v>1</v>
      </c>
      <c r="M118" s="418" cm="1">
        <f t="array" ref="M118">SUMPRODUCT(--(ISNUMBER(SEARCH($A118,'Diags Raw Data'!$A$6:$A$4699))),--('Diags Raw Data'!$Q$6:$Q$4699&lt;&gt;"N/A"),'Diags Raw Data'!$R$6:$R$4699)</f>
        <v>1</v>
      </c>
      <c r="N118" s="419" cm="1">
        <f t="array" ref="N118">SUMPRODUCT(--(ISNUMBER(SEARCH($A118,'Diags Raw Data'!$A$6:$A$4699))),--('Diags Raw Data'!$Q$6:$Q$4699&lt;&gt;"N/A"),'Diags Raw Data'!$T$6:$T$4699)+SUMPRODUCT(--(ISNUMBER(SEARCH($A118,'Diags Raw Data'!$A$6:$A$4699))),--('Diags Raw Data'!$Q$6:$Q$4699&lt;&gt;"N/A"),'Diags Raw Data'!$U$6:$U$4699)</f>
        <v>1</v>
      </c>
      <c r="O118" s="462">
        <f t="shared" si="56"/>
        <v>1</v>
      </c>
      <c r="P118" s="420">
        <f>SUMIF('Diags Raw Data'!$A$6:$A$4699,"*"&amp;$A118&amp;"*",'Diags Raw Data'!$Z$6:$Z$4699)</f>
        <v>0</v>
      </c>
      <c r="Q118" s="421">
        <f>SUM(SUMIF('Diags Raw Data'!$A$6:$A$4699,"*"&amp;$A118&amp;"*",'Diags Raw Data'!$AA$6:$AA$4699),SUMIF('Diags Raw Data'!$A$6:$A$4699,"*"&amp;$A118&amp;"*",'Diags Raw Data'!$AB$6:$AB$4699))</f>
        <v>0</v>
      </c>
      <c r="R118" s="422">
        <f t="shared" si="57"/>
        <v>0</v>
      </c>
      <c r="S118" s="422">
        <f t="shared" si="58"/>
        <v>0</v>
      </c>
      <c r="T118" s="423">
        <f t="shared" si="59"/>
        <v>0</v>
      </c>
      <c r="U118" s="469" t="s">
        <v>2807</v>
      </c>
    </row>
    <row r="119" spans="1:22" ht="409.5" x14ac:dyDescent="0.25">
      <c r="A119" s="446" t="s">
        <v>2590</v>
      </c>
      <c r="B119" s="332" t="str">
        <f>VLOOKUP(A119,'Feature Raw Data'!$A$3:$B$4067,2,FALSE)</f>
        <v>GFXHUB:GCUTCL2:VML2 - Increase MTYPE from 2 to 3 bits</v>
      </c>
      <c r="C119" s="273" t="str">
        <f>VLOOKUP(A119,'Feature Raw Data'!$A$3:$C$4067,3,FALSE)</f>
        <v>P2</v>
      </c>
      <c r="D119" s="82" t="str" cm="1">
        <f t="array" ref="D119">_xlfn.TEXTJOIN("",TRUE,IF(ISNUMBER(SEARCH($A119,'Diags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19" s="169" t="e">
        <f>VLOOKUP(A119,'Diags Raw Data'!$A$6:$D$4699,4,FALSE)</f>
        <v>#N/A</v>
      </c>
      <c r="F119" s="169" t="str">
        <f>VLOOKUP(A119,'Feature Raw Data'!$A$3:$E$4067,5,FALSE)</f>
        <v>Legacy</v>
      </c>
      <c r="G119" s="169" t="str">
        <f t="shared" ref="G119:G126" si="61">IF(D119="","No","Yes")</f>
        <v>Yes</v>
      </c>
      <c r="H119" s="169" t="str">
        <f t="shared" ref="H119:H126" si="62">IF(D119="","No","Yes")</f>
        <v>Yes</v>
      </c>
      <c r="I119" s="273">
        <f>SUMIF('Diags Raw Data'!$A$6:$A$4699,"*"&amp;$A119&amp;"*",'Diags Raw Data'!$K$6:$K$4699)</f>
        <v>12</v>
      </c>
      <c r="J119" s="179">
        <f>SUMIF('Diags Raw Data'!$A$6:$A$4699,"*"&amp;$A119&amp;"*",'Diags Raw Data'!$L$6:$L$4699)</f>
        <v>16</v>
      </c>
      <c r="K119" s="416" cm="1">
        <f t="array" ref="K119">IF(D119="",0, SUMPRODUCT(--(ISNUMBER(SEARCH($A119,'Diags Raw Data'!$A$6:$A$4699))),'Diags Raw Data'!$L$6:$L$4699,'Diags Raw Data'!$N$6:$N$4699)/J119)</f>
        <v>1</v>
      </c>
      <c r="L119" s="417" cm="1">
        <f t="array" ref="L119">IF(D119="",0, SUMPRODUCT(--(ISNUMBER(SEARCH($A119,'Diags Raw Data'!$A$6:$A$4699))),'Diags Raw Data'!$L$6:$L$4699,'Diags Raw Data'!$P$6:$P$4699)/J119)</f>
        <v>1</v>
      </c>
      <c r="M119" s="418" cm="1">
        <f t="array" ref="M119">SUMPRODUCT(--(ISNUMBER(SEARCH($A119,'Diags Raw Data'!$A$6:$A$4699))),--('Diags Raw Data'!$Q$6:$Q$4699&lt;&gt;"N/A"),'Diags Raw Data'!$R$6:$R$4699)</f>
        <v>16</v>
      </c>
      <c r="N119" s="419" cm="1">
        <f t="array" ref="N119">SUMPRODUCT(--(ISNUMBER(SEARCH($A119,'Diags Raw Data'!$A$6:$A$4699))),--('Diags Raw Data'!$Q$6:$Q$4699&lt;&gt;"N/A"),'Diags Raw Data'!$T$6:$T$4699)+SUMPRODUCT(--(ISNUMBER(SEARCH($A119,'Diags Raw Data'!$A$6:$A$4699))),--('Diags Raw Data'!$Q$6:$Q$4699&lt;&gt;"N/A"),'Diags Raw Data'!$U$6:$U$4699)</f>
        <v>16</v>
      </c>
      <c r="O119" s="462">
        <f t="shared" ref="O119:O126" si="63">IF((M119=0),0,N119/M119)</f>
        <v>1</v>
      </c>
      <c r="P119" s="420">
        <f>SUMIF('Diags Raw Data'!$A$6:$A$4699,"*"&amp;$A119&amp;"*",'Diags Raw Data'!$Z$6:$Z$4699)</f>
        <v>0</v>
      </c>
      <c r="Q119" s="421">
        <f>SUM(SUMIF('Diags Raw Data'!$A$6:$A$4699,"*"&amp;$A119&amp;"*",'Diags Raw Data'!$AA$6:$AA$4699),SUMIF('Diags Raw Data'!$A$6:$A$4699,"*"&amp;$A119&amp;"*",'Diags Raw Data'!$AB$6:$AB$4699))</f>
        <v>0</v>
      </c>
      <c r="R119" s="422">
        <f t="shared" ref="R119:R126" si="64">IF((J119=0),0,P119/J119)</f>
        <v>0</v>
      </c>
      <c r="S119" s="422">
        <f t="shared" ref="S119:S126" si="65">IF((P119=0),0,Q119/P119)</f>
        <v>0</v>
      </c>
      <c r="T119" s="423">
        <f t="shared" ref="T119:T126" si="66">R119*S119</f>
        <v>0</v>
      </c>
      <c r="U119" s="469" t="s">
        <v>2801</v>
      </c>
    </row>
    <row r="120" spans="1:22" ht="75" x14ac:dyDescent="0.25">
      <c r="A120" s="446" t="s">
        <v>1156</v>
      </c>
      <c r="B120" s="332" t="str">
        <f>VLOOKUP(A120,'Feature Raw Data'!$A$3:$B$4067,2,FALSE)</f>
        <v>GFXHUB:GCUTCL2:VML2 - Translate Further/PTE.F bit</v>
      </c>
      <c r="C120" s="273" t="str">
        <f>VLOOKUP(A120,'Feature Raw Data'!$A$3:$C$4067,3,FALSE)</f>
        <v>P2</v>
      </c>
      <c r="D120" s="82" t="str" cm="1">
        <f t="array" ref="D120">_xlfn.TEXTJOIN("",TRUE,IF(ISNUMBER(SEARCH($A120,'Diags Raw Data'!$A$6:$A$4699)),CONCATENATE('Diags Raw Data'!$H$6:$H$4699,", "),""))</f>
        <v xml:space="preserve">mhub210.2, mhub211.1, mhub211.2, mhub211.4, mhub232.6, </v>
      </c>
      <c r="E120" s="169" t="str">
        <f>VLOOKUP(A120,'Diags Raw Data'!$A$6:$D$4699,4,FALSE)</f>
        <v>GCHUB</v>
      </c>
      <c r="F120" s="169" t="str">
        <f>VLOOKUP(A120,'Feature Raw Data'!$A$3:$E$4067,5,FALSE)</f>
        <v>Legacy</v>
      </c>
      <c r="G120" s="169" t="str">
        <f t="shared" si="61"/>
        <v>Yes</v>
      </c>
      <c r="H120" s="169" t="str">
        <f t="shared" si="62"/>
        <v>Yes</v>
      </c>
      <c r="I120" s="273">
        <f>SUMIF('Diags Raw Data'!$A$6:$A$4699,"*"&amp;$A120&amp;"*",'Diags Raw Data'!$K$6:$K$4699)</f>
        <v>5</v>
      </c>
      <c r="J120" s="179">
        <f>SUMIF('Diags Raw Data'!$A$6:$A$4699,"*"&amp;$A120&amp;"*",'Diags Raw Data'!$L$6:$L$4699)</f>
        <v>5</v>
      </c>
      <c r="K120" s="416" cm="1">
        <f t="array" ref="K120">IF(D120="",0, SUMPRODUCT(--(ISNUMBER(SEARCH($A120,'Diags Raw Data'!$A$6:$A$4699))),'Diags Raw Data'!$L$6:$L$4699,'Diags Raw Data'!$N$6:$N$4699)/J120)</f>
        <v>1</v>
      </c>
      <c r="L120" s="417" cm="1">
        <f t="array" ref="L120">IF(D120="",0, SUMPRODUCT(--(ISNUMBER(SEARCH($A120,'Diags Raw Data'!$A$6:$A$4699))),'Diags Raw Data'!$L$6:$L$4699,'Diags Raw Data'!$P$6:$P$4699)/J120)</f>
        <v>1</v>
      </c>
      <c r="M120" s="418" cm="1">
        <f t="array" ref="M120">SUMPRODUCT(--(ISNUMBER(SEARCH($A120,'Diags Raw Data'!$A$6:$A$4699))),--('Diags Raw Data'!$Q$6:$Q$4699&lt;&gt;"N/A"),'Diags Raw Data'!$R$6:$R$4699)</f>
        <v>5</v>
      </c>
      <c r="N120" s="419" cm="1">
        <f t="array" ref="N120">SUMPRODUCT(--(ISNUMBER(SEARCH($A120,'Diags Raw Data'!$A$6:$A$4699))),--('Diags Raw Data'!$Q$6:$Q$4699&lt;&gt;"N/A"),'Diags Raw Data'!$T$6:$T$4699)+SUMPRODUCT(--(ISNUMBER(SEARCH($A120,'Diags Raw Data'!$A$6:$A$4699))),--('Diags Raw Data'!$Q$6:$Q$4699&lt;&gt;"N/A"),'Diags Raw Data'!$U$6:$U$4699)</f>
        <v>5</v>
      </c>
      <c r="O120" s="462">
        <f t="shared" si="63"/>
        <v>1</v>
      </c>
      <c r="P120" s="420">
        <f>SUMIF('Diags Raw Data'!$A$6:$A$4699,"*"&amp;$A120&amp;"*",'Diags Raw Data'!$Z$6:$Z$4699)</f>
        <v>0</v>
      </c>
      <c r="Q120" s="421">
        <f>SUM(SUMIF('Diags Raw Data'!$A$6:$A$4699,"*"&amp;$A120&amp;"*",'Diags Raw Data'!$AA$6:$AA$4699),SUMIF('Diags Raw Data'!$A$6:$A$4699,"*"&amp;$A120&amp;"*",'Diags Raw Data'!$AB$6:$AB$4699))</f>
        <v>0</v>
      </c>
      <c r="R120" s="422">
        <f t="shared" si="64"/>
        <v>0</v>
      </c>
      <c r="S120" s="422">
        <f t="shared" si="65"/>
        <v>0</v>
      </c>
      <c r="T120" s="423">
        <f t="shared" si="66"/>
        <v>0</v>
      </c>
      <c r="U120" s="469" t="s">
        <v>2803</v>
      </c>
    </row>
    <row r="121" spans="1:22" ht="75" x14ac:dyDescent="0.25">
      <c r="A121" s="446" t="s">
        <v>1231</v>
      </c>
      <c r="B121" s="332" t="str">
        <f>VLOOKUP(A121,'Feature Raw Data'!$A$3:$B$4067,2,FALSE)</f>
        <v>GFXHUB:GCUTCL2:VML2 - GPUVM fault with retry/XNACK interface</v>
      </c>
      <c r="C121" s="273" t="str">
        <f>VLOOKUP(A121,'Feature Raw Data'!$A$3:$C$4067,3,FALSE)</f>
        <v>P2</v>
      </c>
      <c r="D121" s="82" t="str" cm="1">
        <f t="array" ref="D121">_xlfn.TEXTJOIN("",TRUE,IF(ISNUMBER(SEARCH($A121,'Diags Raw Data'!$A$6:$A$4699)),CONCATENATE('Diags Raw Data'!$H$6:$H$4699,", "),""))</f>
        <v xml:space="preserve">mhub218.1, mhub219.1, mhub220.1, mhub232.7, mhub293.1, </v>
      </c>
      <c r="E121" s="169" t="str">
        <f>VLOOKUP(A121,'Diags Raw Data'!$A$6:$D$4699,4,FALSE)</f>
        <v>GCHUB</v>
      </c>
      <c r="F121" s="169" t="str">
        <f>VLOOKUP(A121,'Feature Raw Data'!$A$3:$E$4067,5,FALSE)</f>
        <v>Legacy</v>
      </c>
      <c r="G121" s="169" t="str">
        <f t="shared" si="61"/>
        <v>Yes</v>
      </c>
      <c r="H121" s="169" t="str">
        <f t="shared" si="62"/>
        <v>Yes</v>
      </c>
      <c r="I121" s="273">
        <f>SUMIF('Diags Raw Data'!$A$6:$A$4699,"*"&amp;$A121&amp;"*",'Diags Raw Data'!$K$6:$K$4699)</f>
        <v>5</v>
      </c>
      <c r="J121" s="179">
        <f>SUMIF('Diags Raw Data'!$A$6:$A$4699,"*"&amp;$A121&amp;"*",'Diags Raw Data'!$L$6:$L$4699)</f>
        <v>5</v>
      </c>
      <c r="K121" s="416" cm="1">
        <f t="array" ref="K121">IF(D121="",0, SUMPRODUCT(--(ISNUMBER(SEARCH($A121,'Diags Raw Data'!$A$6:$A$4699))),'Diags Raw Data'!$L$6:$L$4699,'Diags Raw Data'!$N$6:$N$4699)/J121)</f>
        <v>1</v>
      </c>
      <c r="L121" s="417" cm="1">
        <f t="array" ref="L121">IF(D121="",0, SUMPRODUCT(--(ISNUMBER(SEARCH($A121,'Diags Raw Data'!$A$6:$A$4699))),'Diags Raw Data'!$L$6:$L$4699,'Diags Raw Data'!$P$6:$P$4699)/J121)</f>
        <v>1</v>
      </c>
      <c r="M121" s="418" cm="1">
        <f t="array" ref="M121">SUMPRODUCT(--(ISNUMBER(SEARCH($A121,'Diags Raw Data'!$A$6:$A$4699))),--('Diags Raw Data'!$Q$6:$Q$4699&lt;&gt;"N/A"),'Diags Raw Data'!$R$6:$R$4699)</f>
        <v>5</v>
      </c>
      <c r="N121" s="419" cm="1">
        <f t="array" ref="N121">SUMPRODUCT(--(ISNUMBER(SEARCH($A121,'Diags Raw Data'!$A$6:$A$4699))),--('Diags Raw Data'!$Q$6:$Q$4699&lt;&gt;"N/A"),'Diags Raw Data'!$T$6:$T$4699)+SUMPRODUCT(--(ISNUMBER(SEARCH($A121,'Diags Raw Data'!$A$6:$A$4699))),--('Diags Raw Data'!$Q$6:$Q$4699&lt;&gt;"N/A"),'Diags Raw Data'!$U$6:$U$4699)</f>
        <v>5</v>
      </c>
      <c r="O121" s="462">
        <f t="shared" si="63"/>
        <v>1</v>
      </c>
      <c r="P121" s="420">
        <f>SUMIF('Diags Raw Data'!$A$6:$A$4699,"*"&amp;$A121&amp;"*",'Diags Raw Data'!$Z$6:$Z$4699)</f>
        <v>0</v>
      </c>
      <c r="Q121" s="421">
        <f>SUM(SUMIF('Diags Raw Data'!$A$6:$A$4699,"*"&amp;$A121&amp;"*",'Diags Raw Data'!$AA$6:$AA$4699),SUMIF('Diags Raw Data'!$A$6:$A$4699,"*"&amp;$A121&amp;"*",'Diags Raw Data'!$AB$6:$AB$4699))</f>
        <v>0</v>
      </c>
      <c r="R121" s="422">
        <f t="shared" si="64"/>
        <v>0</v>
      </c>
      <c r="S121" s="422">
        <f t="shared" si="65"/>
        <v>0</v>
      </c>
      <c r="T121" s="423">
        <f t="shared" si="66"/>
        <v>0</v>
      </c>
      <c r="U121" s="469" t="s">
        <v>2796</v>
      </c>
    </row>
    <row r="122" spans="1:22" ht="30" x14ac:dyDescent="0.25">
      <c r="A122" s="446" t="s">
        <v>1177</v>
      </c>
      <c r="B122" s="332" t="str">
        <f>VLOOKUP(A122,'Feature Raw Data'!$A$3:$B$4067,2,FALSE)</f>
        <v>GFXHUB:GCUTCL2:VML2 - Support for 2MB, 1G, 512GB pages aka PDE Block Fragment Size</v>
      </c>
      <c r="C122" s="273" t="str">
        <f>VLOOKUP(A122,'Feature Raw Data'!$A$3:$C$4067,3,FALSE)</f>
        <v>P2</v>
      </c>
      <c r="D122" s="82" t="str" cm="1">
        <f t="array" ref="D122">_xlfn.TEXTJOIN("",TRUE,IF(ISNUMBER(SEARCH($A122,'Diags Raw Data'!$A$6:$A$4699)),CONCATENATE('Diags Raw Data'!$H$6:$H$4699,", "),""))</f>
        <v xml:space="preserve">mhub212, mhub232.8, </v>
      </c>
      <c r="E122" s="169" t="str">
        <f>VLOOKUP(A122,'Diags Raw Data'!$A$6:$D$4699,4,FALSE)</f>
        <v>GCHUB</v>
      </c>
      <c r="F122" s="169" t="str">
        <f>VLOOKUP(A122,'Feature Raw Data'!$A$3:$E$4067,5,FALSE)</f>
        <v>Legacy</v>
      </c>
      <c r="G122" s="169" t="str">
        <f t="shared" si="61"/>
        <v>Yes</v>
      </c>
      <c r="H122" s="169" t="str">
        <f t="shared" si="62"/>
        <v>Yes</v>
      </c>
      <c r="I122" s="273">
        <f>SUMIF('Diags Raw Data'!$A$6:$A$4699,"*"&amp;$A122&amp;"*",'Diags Raw Data'!$K$6:$K$4699)</f>
        <v>2</v>
      </c>
      <c r="J122" s="179">
        <f>SUMIF('Diags Raw Data'!$A$6:$A$4699,"*"&amp;$A122&amp;"*",'Diags Raw Data'!$L$6:$L$4699)</f>
        <v>2</v>
      </c>
      <c r="K122" s="416" cm="1">
        <f t="array" ref="K122">IF(D122="",0, SUMPRODUCT(--(ISNUMBER(SEARCH($A122,'Diags Raw Data'!$A$6:$A$4699))),'Diags Raw Data'!$L$6:$L$4699,'Diags Raw Data'!$N$6:$N$4699)/J122)</f>
        <v>1</v>
      </c>
      <c r="L122" s="417" cm="1">
        <f t="array" ref="L122">IF(D122="",0, SUMPRODUCT(--(ISNUMBER(SEARCH($A122,'Diags Raw Data'!$A$6:$A$4699))),'Diags Raw Data'!$L$6:$L$4699,'Diags Raw Data'!$P$6:$P$4699)/J122)</f>
        <v>1</v>
      </c>
      <c r="M122" s="418" cm="1">
        <f t="array" ref="M122">SUMPRODUCT(--(ISNUMBER(SEARCH($A122,'Diags Raw Data'!$A$6:$A$4699))),--('Diags Raw Data'!$Q$6:$Q$4699&lt;&gt;"N/A"),'Diags Raw Data'!$R$6:$R$4699)</f>
        <v>2</v>
      </c>
      <c r="N122" s="419" cm="1">
        <f t="array" ref="N122">SUMPRODUCT(--(ISNUMBER(SEARCH($A122,'Diags Raw Data'!$A$6:$A$4699))),--('Diags Raw Data'!$Q$6:$Q$4699&lt;&gt;"N/A"),'Diags Raw Data'!$T$6:$T$4699)+SUMPRODUCT(--(ISNUMBER(SEARCH($A122,'Diags Raw Data'!$A$6:$A$4699))),--('Diags Raw Data'!$Q$6:$Q$4699&lt;&gt;"N/A"),'Diags Raw Data'!$U$6:$U$4699)</f>
        <v>2</v>
      </c>
      <c r="O122" s="462">
        <f t="shared" si="63"/>
        <v>1</v>
      </c>
      <c r="P122" s="420">
        <f>SUMIF('Diags Raw Data'!$A$6:$A$4699,"*"&amp;$A122&amp;"*",'Diags Raw Data'!$Z$6:$Z$4699)</f>
        <v>0</v>
      </c>
      <c r="Q122" s="421">
        <f>SUM(SUMIF('Diags Raw Data'!$A$6:$A$4699,"*"&amp;$A122&amp;"*",'Diags Raw Data'!$AA$6:$AA$4699),SUMIF('Diags Raw Data'!$A$6:$A$4699,"*"&amp;$A122&amp;"*",'Diags Raw Data'!$AB$6:$AB$4699))</f>
        <v>0</v>
      </c>
      <c r="R122" s="422">
        <f t="shared" si="64"/>
        <v>0</v>
      </c>
      <c r="S122" s="422">
        <f t="shared" si="65"/>
        <v>0</v>
      </c>
      <c r="T122" s="423">
        <f t="shared" si="66"/>
        <v>0</v>
      </c>
      <c r="U122" s="469" t="s">
        <v>2796</v>
      </c>
    </row>
    <row r="123" spans="1:22" x14ac:dyDescent="0.25">
      <c r="A123" s="446" t="s">
        <v>2594</v>
      </c>
      <c r="B123" s="332" t="str">
        <f>VLOOKUP(A123,'Feature Raw Data'!$A$3:$B$4067,2,FALSE)</f>
        <v>GFXHUB:GCUTCL2:VML2 - 44b PA</v>
      </c>
      <c r="C123" s="273" t="str">
        <f>VLOOKUP(A123,'Feature Raw Data'!$A$3:$C$4067,3,FALSE)</f>
        <v>P2</v>
      </c>
      <c r="D123" s="82" t="str" cm="1">
        <f t="array" ref="D123">_xlfn.TEXTJOIN("",TRUE,IF(ISNUMBER(SEARCH($A123,'Diags Raw Data'!$A$6:$A$4699)),CONCATENATE('Diags Raw Data'!$H$6:$H$4699,", "),""))</f>
        <v/>
      </c>
      <c r="E123" s="169" t="e">
        <f>VLOOKUP(A123,'Diags Raw Data'!$A$6:$D$4699,4,FALSE)</f>
        <v>#N/A</v>
      </c>
      <c r="F123" s="169" t="str">
        <f>VLOOKUP(A123,'Feature Raw Data'!$A$3:$E$4067,5,FALSE)</f>
        <v>Legacy</v>
      </c>
      <c r="G123" s="169" t="str">
        <f t="shared" si="61"/>
        <v>No</v>
      </c>
      <c r="H123" s="169" t="str">
        <f t="shared" si="62"/>
        <v>No</v>
      </c>
      <c r="I123" s="273">
        <f>SUMIF('Diags Raw Data'!$A$6:$A$4699,"*"&amp;$A123&amp;"*",'Diags Raw Data'!$K$6:$K$4699)</f>
        <v>0</v>
      </c>
      <c r="J123" s="179">
        <f>SUMIF('Diags Raw Data'!$A$6:$A$4699,"*"&amp;$A123&amp;"*",'Diags Raw Data'!$L$6:$L$4699)</f>
        <v>0</v>
      </c>
      <c r="K123" s="416" cm="1">
        <f t="array" ref="K123">IF(D123="",0, SUMPRODUCT(--(ISNUMBER(SEARCH($A123,'Diags Raw Data'!$A$6:$A$4699))),'Diags Raw Data'!$L$6:$L$4699,'Diags Raw Data'!$N$6:$N$4699)/J123)</f>
        <v>0</v>
      </c>
      <c r="L123" s="417" cm="1">
        <f t="array" ref="L123">IF(D123="",0, SUMPRODUCT(--(ISNUMBER(SEARCH($A123,'Diags Raw Data'!$A$6:$A$4699))),'Diags Raw Data'!$L$6:$L$4699,'Diags Raw Data'!$P$6:$P$4699)/J123)</f>
        <v>0</v>
      </c>
      <c r="M123" s="418" cm="1">
        <f t="array" ref="M123">SUMPRODUCT(--(ISNUMBER(SEARCH($A123,'Diags Raw Data'!$A$6:$A$4699))),--('Diags Raw Data'!$Q$6:$Q$4699&lt;&gt;"N/A"),'Diags Raw Data'!$R$6:$R$4699)</f>
        <v>0</v>
      </c>
      <c r="N123" s="419" cm="1">
        <f t="array" ref="N123">SUMPRODUCT(--(ISNUMBER(SEARCH($A123,'Diags Raw Data'!$A$6:$A$4699))),--('Diags Raw Data'!$Q$6:$Q$4699&lt;&gt;"N/A"),'Diags Raw Data'!$T$6:$T$4699)+SUMPRODUCT(--(ISNUMBER(SEARCH($A123,'Diags Raw Data'!$A$6:$A$4699))),--('Diags Raw Data'!$Q$6:$Q$4699&lt;&gt;"N/A"),'Diags Raw Data'!$U$6:$U$4699)</f>
        <v>0</v>
      </c>
      <c r="O123" s="462">
        <f t="shared" si="63"/>
        <v>0</v>
      </c>
      <c r="P123" s="420">
        <f>SUMIF('Diags Raw Data'!$A$6:$A$4699,"*"&amp;$A123&amp;"*",'Diags Raw Data'!$Z$6:$Z$4699)</f>
        <v>0</v>
      </c>
      <c r="Q123" s="421">
        <f>SUM(SUMIF('Diags Raw Data'!$A$6:$A$4699,"*"&amp;$A123&amp;"*",'Diags Raw Data'!$AA$6:$AA$4699),SUMIF('Diags Raw Data'!$A$6:$A$4699,"*"&amp;$A123&amp;"*",'Diags Raw Data'!$AB$6:$AB$4699))</f>
        <v>0</v>
      </c>
      <c r="R123" s="422">
        <f t="shared" si="64"/>
        <v>0</v>
      </c>
      <c r="S123" s="422">
        <f t="shared" si="65"/>
        <v>0</v>
      </c>
      <c r="T123" s="423">
        <f t="shared" si="66"/>
        <v>0</v>
      </c>
      <c r="U123" s="469" t="s">
        <v>44</v>
      </c>
    </row>
    <row r="124" spans="1:22" x14ac:dyDescent="0.25">
      <c r="A124" s="446" t="s">
        <v>2596</v>
      </c>
      <c r="B124" s="332" t="str">
        <f>VLOOKUP(A124,'Feature Raw Data'!$A$3:$B$4067,2,FALSE)</f>
        <v>GFXHUB:GCUTCL2:VML2 - L bit in PTE</v>
      </c>
      <c r="C124" s="273" t="str">
        <f>VLOOKUP(A124,'Feature Raw Data'!$A$3:$C$4067,3,FALSE)</f>
        <v>P2</v>
      </c>
      <c r="D124" s="82" t="str" cm="1">
        <f t="array" ref="D124">_xlfn.TEXTJOIN("",TRUE,IF(ISNUMBER(SEARCH($A124,'Diags Raw Data'!$A$6:$A$4699)),CONCATENATE('Diags Raw Data'!$H$6:$H$4699,", "),""))</f>
        <v/>
      </c>
      <c r="E124" s="169" t="e">
        <f>VLOOKUP(A124,'Diags Raw Data'!$A$6:$D$4699,4,FALSE)</f>
        <v>#N/A</v>
      </c>
      <c r="F124" s="169" t="str">
        <f>VLOOKUP(A124,'Feature Raw Data'!$A$3:$E$4067,5,FALSE)</f>
        <v>Legacy</v>
      </c>
      <c r="G124" s="169" t="s">
        <v>36</v>
      </c>
      <c r="H124" s="169" t="str">
        <f t="shared" si="62"/>
        <v>No</v>
      </c>
      <c r="I124" s="273">
        <f>SUMIF('Diags Raw Data'!$A$6:$A$4699,"*"&amp;$A124&amp;"*",'Diags Raw Data'!$K$6:$K$4699)</f>
        <v>0</v>
      </c>
      <c r="J124" s="179">
        <f>SUMIF('Diags Raw Data'!$A$6:$A$4699,"*"&amp;$A124&amp;"*",'Diags Raw Data'!$L$6:$L$4699)</f>
        <v>0</v>
      </c>
      <c r="K124" s="416" cm="1">
        <f t="array" ref="K124">IF(D124="",0, SUMPRODUCT(--(ISNUMBER(SEARCH($A124,'Diags Raw Data'!$A$6:$A$4699))),'Diags Raw Data'!$L$6:$L$4699,'Diags Raw Data'!$N$6:$N$4699)/J124)</f>
        <v>0</v>
      </c>
      <c r="L124" s="417" cm="1">
        <f t="array" ref="L124">IF(D124="",0, SUMPRODUCT(--(ISNUMBER(SEARCH($A124,'Diags Raw Data'!$A$6:$A$4699))),'Diags Raw Data'!$L$6:$L$4699,'Diags Raw Data'!$P$6:$P$4699)/J124)</f>
        <v>0</v>
      </c>
      <c r="M124" s="418" cm="1">
        <f t="array" ref="M124">SUMPRODUCT(--(ISNUMBER(SEARCH($A124,'Diags Raw Data'!$A$6:$A$4699))),--('Diags Raw Data'!$Q$6:$Q$4699&lt;&gt;"N/A"),'Diags Raw Data'!$R$6:$R$4699)</f>
        <v>0</v>
      </c>
      <c r="N124" s="419" cm="1">
        <f t="array" ref="N124">SUMPRODUCT(--(ISNUMBER(SEARCH($A124,'Diags Raw Data'!$A$6:$A$4699))),--('Diags Raw Data'!$Q$6:$Q$4699&lt;&gt;"N/A"),'Diags Raw Data'!$T$6:$T$4699)+SUMPRODUCT(--(ISNUMBER(SEARCH($A124,'Diags Raw Data'!$A$6:$A$4699))),--('Diags Raw Data'!$Q$6:$Q$4699&lt;&gt;"N/A"),'Diags Raw Data'!$U$6:$U$4699)</f>
        <v>0</v>
      </c>
      <c r="O124" s="462">
        <f t="shared" si="63"/>
        <v>0</v>
      </c>
      <c r="P124" s="420">
        <f>SUMIF('Diags Raw Data'!$A$6:$A$4699,"*"&amp;$A124&amp;"*",'Diags Raw Data'!$Z$6:$Z$4699)</f>
        <v>0</v>
      </c>
      <c r="Q124" s="421">
        <f>SUM(SUMIF('Diags Raw Data'!$A$6:$A$4699,"*"&amp;$A124&amp;"*",'Diags Raw Data'!$AA$6:$AA$4699),SUMIF('Diags Raw Data'!$A$6:$A$4699,"*"&amp;$A124&amp;"*",'Diags Raw Data'!$AB$6:$AB$4699))</f>
        <v>0</v>
      </c>
      <c r="R124" s="422">
        <f t="shared" si="64"/>
        <v>0</v>
      </c>
      <c r="S124" s="422">
        <f t="shared" si="65"/>
        <v>0</v>
      </c>
      <c r="T124" s="423">
        <f t="shared" si="66"/>
        <v>0</v>
      </c>
      <c r="U124" s="469" t="s">
        <v>44</v>
      </c>
      <c r="V124" s="171" t="s">
        <v>43</v>
      </c>
    </row>
    <row r="125" spans="1:22" ht="30" x14ac:dyDescent="0.25">
      <c r="A125" s="446" t="s">
        <v>2598</v>
      </c>
      <c r="B125" s="332" t="str">
        <f>VLOOKUP(A125,'Feature Raw Data'!$A$3:$B$4067,2,FALSE)</f>
        <v>GFXHUB:GCUTCL2:VML2 - Page Migration Retry state</v>
      </c>
      <c r="C125" s="273" t="str">
        <f>VLOOKUP(A125,'Feature Raw Data'!$A$3:$C$4067,3,FALSE)</f>
        <v>P2</v>
      </c>
      <c r="D125" s="82" t="str" cm="1">
        <f t="array" ref="D125">_xlfn.TEXTJOIN("",TRUE,IF(ISNUMBER(SEARCH($A125,'Diags Raw Data'!$A$6:$A$4699)),CONCATENATE('Diags Raw Data'!$H$6:$H$4699,", "),""))</f>
        <v xml:space="preserve">mhub209.3,4,5, </v>
      </c>
      <c r="E125" s="169" t="e">
        <f>VLOOKUP(A125,'Diags Raw Data'!$A$6:$D$4699,4,FALSE)</f>
        <v>#N/A</v>
      </c>
      <c r="F125" s="169" t="str">
        <f>VLOOKUP(A125,'Feature Raw Data'!$A$3:$E$4067,5,FALSE)</f>
        <v>Legacy</v>
      </c>
      <c r="G125" s="169" t="s">
        <v>31</v>
      </c>
      <c r="H125" s="169" t="str">
        <f t="shared" si="62"/>
        <v>Yes</v>
      </c>
      <c r="I125" s="273">
        <f>SUMIF('Diags Raw Data'!$A$6:$A$4699,"*"&amp;$A125&amp;"*",'Diags Raw Data'!$K$6:$K$4699)</f>
        <v>0</v>
      </c>
      <c r="J125" s="179">
        <f>SUMIF('Diags Raw Data'!$A$6:$A$4699,"*"&amp;$A125&amp;"*",'Diags Raw Data'!$L$6:$L$4699)</f>
        <v>0</v>
      </c>
      <c r="K125" s="416" t="e" cm="1">
        <f t="array" ref="K125">IF(D125="",0, SUMPRODUCT(--(ISNUMBER(SEARCH($A125,'Diags Raw Data'!$A$6:$A$4699))),'Diags Raw Data'!$L$6:$L$4699,'Diags Raw Data'!$N$6:$N$4699)/J125)</f>
        <v>#DIV/0!</v>
      </c>
      <c r="L125" s="417" t="e" cm="1">
        <f t="array" ref="L125">IF(D125="",0, SUMPRODUCT(--(ISNUMBER(SEARCH($A125,'Diags Raw Data'!$A$6:$A$4699))),'Diags Raw Data'!$L$6:$L$4699,'Diags Raw Data'!$P$6:$P$4699)/J125)</f>
        <v>#DIV/0!</v>
      </c>
      <c r="M125" s="418" cm="1">
        <f t="array" ref="M125">SUMPRODUCT(--(ISNUMBER(SEARCH($A125,'Diags Raw Data'!$A$6:$A$4699))),--('Diags Raw Data'!$Q$6:$Q$4699&lt;&gt;"N/A"),'Diags Raw Data'!$R$6:$R$4699)</f>
        <v>0</v>
      </c>
      <c r="N125" s="419" cm="1">
        <f t="array" ref="N125">SUMPRODUCT(--(ISNUMBER(SEARCH($A125,'Diags Raw Data'!$A$6:$A$4699))),--('Diags Raw Data'!$Q$6:$Q$4699&lt;&gt;"N/A"),'Diags Raw Data'!$T$6:$T$4699)+SUMPRODUCT(--(ISNUMBER(SEARCH($A125,'Diags Raw Data'!$A$6:$A$4699))),--('Diags Raw Data'!$Q$6:$Q$4699&lt;&gt;"N/A"),'Diags Raw Data'!$U$6:$U$4699)</f>
        <v>0</v>
      </c>
      <c r="O125" s="462">
        <f t="shared" si="63"/>
        <v>0</v>
      </c>
      <c r="P125" s="420">
        <f>SUMIF('Diags Raw Data'!$A$6:$A$4699,"*"&amp;$A125&amp;"*",'Diags Raw Data'!$Z$6:$Z$4699)</f>
        <v>0</v>
      </c>
      <c r="Q125" s="421">
        <f>SUM(SUMIF('Diags Raw Data'!$A$6:$A$4699,"*"&amp;$A125&amp;"*",'Diags Raw Data'!$AA$6:$AA$4699),SUMIF('Diags Raw Data'!$A$6:$A$4699,"*"&amp;$A125&amp;"*",'Diags Raw Data'!$AB$6:$AB$4699))</f>
        <v>0</v>
      </c>
      <c r="R125" s="422">
        <f t="shared" si="64"/>
        <v>0</v>
      </c>
      <c r="S125" s="422">
        <f t="shared" si="65"/>
        <v>0</v>
      </c>
      <c r="T125" s="423">
        <f t="shared" si="66"/>
        <v>0</v>
      </c>
      <c r="U125" s="469" t="s">
        <v>44</v>
      </c>
    </row>
    <row r="126" spans="1:22" ht="60" x14ac:dyDescent="0.25">
      <c r="A126" s="446" t="s">
        <v>1371</v>
      </c>
      <c r="B126" s="332" t="str">
        <f>VLOOKUP(A126,'Feature Raw Data'!$A$3:$B$4067,2,FALSE)</f>
        <v>GFXHUB:GCUTCL2:VML2 - VML2 BigK/4K Cache Swap</v>
      </c>
      <c r="C126" s="273" t="str">
        <f>VLOOKUP(A126,'Feature Raw Data'!$A$3:$C$4067,3,FALSE)</f>
        <v>P2</v>
      </c>
      <c r="D126" s="82" t="str" cm="1">
        <f t="array" ref="D126">_xlfn.TEXTJOIN("",TRUE,IF(ISNUMBER(SEARCH($A126,'Diags Raw Data'!$A$6:$A$4699)),CONCATENATE('Diags Raw Data'!$H$6:$H$4699,", "),""))</f>
        <v xml:space="preserve">mhub234.1, mhub234.2, mhub234.3, mhub234.4, </v>
      </c>
      <c r="E126" s="169" t="str">
        <f>VLOOKUP(A126,'Diags Raw Data'!$A$6:$D$4699,4,FALSE)</f>
        <v>GCHUB</v>
      </c>
      <c r="F126" s="169" t="str">
        <f>VLOOKUP(A126,'Feature Raw Data'!$A$3:$E$4067,5,FALSE)</f>
        <v>Legacy</v>
      </c>
      <c r="G126" s="169" t="str">
        <f t="shared" si="61"/>
        <v>Yes</v>
      </c>
      <c r="H126" s="169" t="str">
        <f t="shared" si="62"/>
        <v>Yes</v>
      </c>
      <c r="I126" s="273">
        <f>SUMIF('Diags Raw Data'!$A$6:$A$4699,"*"&amp;$A126&amp;"*",'Diags Raw Data'!$K$6:$K$4699)</f>
        <v>4</v>
      </c>
      <c r="J126" s="179">
        <f>SUMIF('Diags Raw Data'!$A$6:$A$4699,"*"&amp;$A126&amp;"*",'Diags Raw Data'!$L$6:$L$4699)</f>
        <v>4</v>
      </c>
      <c r="K126" s="416" cm="1">
        <f t="array" ref="K126">IF(D126="",0, SUMPRODUCT(--(ISNUMBER(SEARCH($A126,'Diags Raw Data'!$A$6:$A$4699))),'Diags Raw Data'!$L$6:$L$4699,'Diags Raw Data'!$N$6:$N$4699)/J126)</f>
        <v>1</v>
      </c>
      <c r="L126" s="417" cm="1">
        <f t="array" ref="L126">IF(D126="",0, SUMPRODUCT(--(ISNUMBER(SEARCH($A126,'Diags Raw Data'!$A$6:$A$4699))),'Diags Raw Data'!$L$6:$L$4699,'Diags Raw Data'!$P$6:$P$4699)/J126)</f>
        <v>1</v>
      </c>
      <c r="M126" s="418" cm="1">
        <f t="array" ref="M126">SUMPRODUCT(--(ISNUMBER(SEARCH($A126,'Diags Raw Data'!$A$6:$A$4699))),--('Diags Raw Data'!$Q$6:$Q$4699&lt;&gt;"N/A"),'Diags Raw Data'!$R$6:$R$4699)</f>
        <v>4</v>
      </c>
      <c r="N126" s="419" cm="1">
        <f t="array" ref="N126">SUMPRODUCT(--(ISNUMBER(SEARCH($A126,'Diags Raw Data'!$A$6:$A$4699))),--('Diags Raw Data'!$Q$6:$Q$4699&lt;&gt;"N/A"),'Diags Raw Data'!$T$6:$T$4699)+SUMPRODUCT(--(ISNUMBER(SEARCH($A126,'Diags Raw Data'!$A$6:$A$4699))),--('Diags Raw Data'!$Q$6:$Q$4699&lt;&gt;"N/A"),'Diags Raw Data'!$U$6:$U$4699)</f>
        <v>4</v>
      </c>
      <c r="O126" s="462">
        <f t="shared" si="63"/>
        <v>1</v>
      </c>
      <c r="P126" s="420">
        <f>SUMIF('Diags Raw Data'!$A$6:$A$4699,"*"&amp;$A126&amp;"*",'Diags Raw Data'!$Z$6:$Z$4699)</f>
        <v>0</v>
      </c>
      <c r="Q126" s="421">
        <f>SUM(SUMIF('Diags Raw Data'!$A$6:$A$4699,"*"&amp;$A126&amp;"*",'Diags Raw Data'!$AA$6:$AA$4699),SUMIF('Diags Raw Data'!$A$6:$A$4699,"*"&amp;$A126&amp;"*",'Diags Raw Data'!$AB$6:$AB$4699))</f>
        <v>0</v>
      </c>
      <c r="R126" s="422">
        <f t="shared" si="64"/>
        <v>0</v>
      </c>
      <c r="S126" s="422">
        <f t="shared" si="65"/>
        <v>0</v>
      </c>
      <c r="T126" s="423">
        <f t="shared" si="66"/>
        <v>0</v>
      </c>
      <c r="U126" s="469" t="s">
        <v>2804</v>
      </c>
    </row>
    <row r="127" spans="1:22" ht="30" x14ac:dyDescent="0.25">
      <c r="A127" s="446" t="s">
        <v>2184</v>
      </c>
      <c r="B127" s="332" t="str">
        <f>VLOOKUP(A127,'Feature Raw Data'!$A$3:$B$4067,2,FALSE)</f>
        <v>GFXHUB:GCUTCL2:VML2 - "is_local" enable / disable register</v>
      </c>
      <c r="C127" s="273" t="str">
        <f>VLOOKUP(A127,'Feature Raw Data'!$A$3:$C$4067,3,FALSE)</f>
        <v>P2</v>
      </c>
      <c r="D127" s="82" t="str" cm="1">
        <f t="array" ref="D127">_xlfn.TEXTJOIN("",TRUE,IF(ISNUMBER(SEARCH($A127,'Diags Raw Data'!$A$6:$A$4699)),CONCATENATE('Diags Raw Data'!$H$6:$H$4699,", "),""))</f>
        <v xml:space="preserve">mhub348.1-4, </v>
      </c>
      <c r="E127" s="169" t="str">
        <f>VLOOKUP(A127,'Diags Raw Data'!$A$6:$D$4699,4,FALSE)</f>
        <v>GCHUB</v>
      </c>
      <c r="F127" s="169" t="str">
        <f>VLOOKUP(A127,'Feature Raw Data'!$A$3:$E$4067,5,FALSE)</f>
        <v>Legacy</v>
      </c>
      <c r="G127" s="169" t="str">
        <f t="shared" ref="G127:G134" si="67">IF(D127="","No","Yes")</f>
        <v>Yes</v>
      </c>
      <c r="H127" s="169" t="str">
        <f t="shared" ref="H127:H134" si="68">IF(D127="","No","Yes")</f>
        <v>Yes</v>
      </c>
      <c r="I127" s="273">
        <f>SUMIF('Diags Raw Data'!$A$6:$A$4699,"*"&amp;$A127&amp;"*",'Diags Raw Data'!$K$6:$K$4699)</f>
        <v>1</v>
      </c>
      <c r="J127" s="179">
        <f>SUMIF('Diags Raw Data'!$A$6:$A$4699,"*"&amp;$A127&amp;"*",'Diags Raw Data'!$L$6:$L$4699)</f>
        <v>4</v>
      </c>
      <c r="K127" s="416" cm="1">
        <f t="array" ref="K127">IF(D127="",0, SUMPRODUCT(--(ISNUMBER(SEARCH($A127,'Diags Raw Data'!$A$6:$A$4699))),'Diags Raw Data'!$L$6:$L$4699,'Diags Raw Data'!$N$6:$N$4699)/J127)</f>
        <v>1</v>
      </c>
      <c r="L127" s="417" cm="1">
        <f t="array" ref="L127">IF(D127="",0, SUMPRODUCT(--(ISNUMBER(SEARCH($A127,'Diags Raw Data'!$A$6:$A$4699))),'Diags Raw Data'!$L$6:$L$4699,'Diags Raw Data'!$P$6:$P$4699)/J127)</f>
        <v>1</v>
      </c>
      <c r="M127" s="418" cm="1">
        <f t="array" ref="M127">SUMPRODUCT(--(ISNUMBER(SEARCH($A127,'Diags Raw Data'!$A$6:$A$4699))),--('Diags Raw Data'!$Q$6:$Q$4699&lt;&gt;"N/A"),'Diags Raw Data'!$R$6:$R$4699)</f>
        <v>4</v>
      </c>
      <c r="N127" s="419" cm="1">
        <f t="array" ref="N127">SUMPRODUCT(--(ISNUMBER(SEARCH($A127,'Diags Raw Data'!$A$6:$A$4699))),--('Diags Raw Data'!$Q$6:$Q$4699&lt;&gt;"N/A"),'Diags Raw Data'!$T$6:$T$4699)+SUMPRODUCT(--(ISNUMBER(SEARCH($A127,'Diags Raw Data'!$A$6:$A$4699))),--('Diags Raw Data'!$Q$6:$Q$4699&lt;&gt;"N/A"),'Diags Raw Data'!$U$6:$U$4699)</f>
        <v>4</v>
      </c>
      <c r="O127" s="462">
        <f t="shared" ref="O127:O134" si="69">IF((M127=0),0,N127/M127)</f>
        <v>1</v>
      </c>
      <c r="P127" s="420">
        <f>SUMIF('Diags Raw Data'!$A$6:$A$4699,"*"&amp;$A127&amp;"*",'Diags Raw Data'!$Z$6:$Z$4699)</f>
        <v>0</v>
      </c>
      <c r="Q127" s="421">
        <f>SUM(SUMIF('Diags Raw Data'!$A$6:$A$4699,"*"&amp;$A127&amp;"*",'Diags Raw Data'!$AA$6:$AA$4699),SUMIF('Diags Raw Data'!$A$6:$A$4699,"*"&amp;$A127&amp;"*",'Diags Raw Data'!$AB$6:$AB$4699))</f>
        <v>0</v>
      </c>
      <c r="R127" s="422">
        <f t="shared" ref="R127:R134" si="70">IF((J127=0),0,P127/J127)</f>
        <v>0</v>
      </c>
      <c r="S127" s="422">
        <f t="shared" ref="S127:S134" si="71">IF((P127=0),0,Q127/P127)</f>
        <v>0</v>
      </c>
      <c r="T127" s="423">
        <f t="shared" ref="T127:T134" si="72">R127*S127</f>
        <v>0</v>
      </c>
      <c r="U127" s="469" t="s">
        <v>2799</v>
      </c>
    </row>
    <row r="128" spans="1:22" ht="120" x14ac:dyDescent="0.25">
      <c r="A128" s="446" t="s">
        <v>2609</v>
      </c>
      <c r="B128" s="332" t="str">
        <f>VLOOKUP(A128,'Feature Raw Data'!$A$3:$B$4067,2,FALSE)</f>
        <v>GFXHUB:GCUTCL2:VML2 - Mtype Attribute</v>
      </c>
      <c r="C128" s="273" t="str">
        <f>VLOOKUP(A128,'Feature Raw Data'!$A$3:$C$4067,3,FALSE)</f>
        <v>P2</v>
      </c>
      <c r="D128" s="82" t="str" cm="1">
        <f t="array" ref="D128">_xlfn.TEXTJOIN("",TRUE,IF(ISNUMBER(SEARCH($A128,'Diags Raw Data'!$A$6:$A$4699)),CONCATENATE('Diags Raw Data'!$H$6:$H$4699,", "),""))</f>
        <v xml:space="preserve">mhub408.81, mhub408.83, mhub408.85, mhub408.87, mhub408.91, mhub408.93, mhub408.95, mhub408.97, </v>
      </c>
      <c r="E128" s="169" t="e">
        <f>VLOOKUP(A128,'Diags Raw Data'!$A$6:$D$4699,4,FALSE)</f>
        <v>#N/A</v>
      </c>
      <c r="F128" s="169" t="str">
        <f>VLOOKUP(A128,'Feature Raw Data'!$A$3:$E$4067,5,FALSE)</f>
        <v>Legacy</v>
      </c>
      <c r="G128" s="169" t="str">
        <f t="shared" si="67"/>
        <v>Yes</v>
      </c>
      <c r="H128" s="169" t="str">
        <f t="shared" si="68"/>
        <v>Yes</v>
      </c>
      <c r="I128" s="273">
        <f>SUMIF('Diags Raw Data'!$A$6:$A$4699,"*"&amp;$A128&amp;"*",'Diags Raw Data'!$K$6:$K$4699)</f>
        <v>4</v>
      </c>
      <c r="J128" s="179">
        <f>SUMIF('Diags Raw Data'!$A$6:$A$4699,"*"&amp;$A128&amp;"*",'Diags Raw Data'!$L$6:$L$4699)</f>
        <v>4</v>
      </c>
      <c r="K128" s="416" cm="1">
        <f t="array" ref="K128">IF(D128="",0, SUMPRODUCT(--(ISNUMBER(SEARCH($A128,'Diags Raw Data'!$A$6:$A$4699))),'Diags Raw Data'!$L$6:$L$4699,'Diags Raw Data'!$N$6:$N$4699)/J128)</f>
        <v>1</v>
      </c>
      <c r="L128" s="417" cm="1">
        <f t="array" ref="L128">IF(D128="",0, SUMPRODUCT(--(ISNUMBER(SEARCH($A128,'Diags Raw Data'!$A$6:$A$4699))),'Diags Raw Data'!$L$6:$L$4699,'Diags Raw Data'!$P$6:$P$4699)/J128)</f>
        <v>1</v>
      </c>
      <c r="M128" s="418" cm="1">
        <f t="array" ref="M128">SUMPRODUCT(--(ISNUMBER(SEARCH($A128,'Diags Raw Data'!$A$6:$A$4699))),--('Diags Raw Data'!$Q$6:$Q$4699&lt;&gt;"N/A"),'Diags Raw Data'!$R$6:$R$4699)</f>
        <v>4</v>
      </c>
      <c r="N128" s="419" cm="1">
        <f t="array" ref="N128">SUMPRODUCT(--(ISNUMBER(SEARCH($A128,'Diags Raw Data'!$A$6:$A$4699))),--('Diags Raw Data'!$Q$6:$Q$4699&lt;&gt;"N/A"),'Diags Raw Data'!$T$6:$T$4699)+SUMPRODUCT(--(ISNUMBER(SEARCH($A128,'Diags Raw Data'!$A$6:$A$4699))),--('Diags Raw Data'!$Q$6:$Q$4699&lt;&gt;"N/A"),'Diags Raw Data'!$U$6:$U$4699)</f>
        <v>4</v>
      </c>
      <c r="O128" s="462">
        <f t="shared" si="69"/>
        <v>1</v>
      </c>
      <c r="P128" s="420">
        <f>SUMIF('Diags Raw Data'!$A$6:$A$4699,"*"&amp;$A128&amp;"*",'Diags Raw Data'!$Z$6:$Z$4699)</f>
        <v>0</v>
      </c>
      <c r="Q128" s="421">
        <f>SUM(SUMIF('Diags Raw Data'!$A$6:$A$4699,"*"&amp;$A128&amp;"*",'Diags Raw Data'!$AA$6:$AA$4699),SUMIF('Diags Raw Data'!$A$6:$A$4699,"*"&amp;$A128&amp;"*",'Diags Raw Data'!$AB$6:$AB$4699))</f>
        <v>0</v>
      </c>
      <c r="R128" s="422">
        <f t="shared" si="70"/>
        <v>0</v>
      </c>
      <c r="S128" s="422">
        <f t="shared" si="71"/>
        <v>0</v>
      </c>
      <c r="T128" s="423">
        <f t="shared" si="72"/>
        <v>0</v>
      </c>
      <c r="U128" s="469" t="s">
        <v>2801</v>
      </c>
    </row>
    <row r="129" spans="1:22" ht="30" x14ac:dyDescent="0.25">
      <c r="A129" s="446" t="s">
        <v>2611</v>
      </c>
      <c r="B129" s="332" t="str">
        <f>VLOOKUP(A129,'Feature Raw Data'!$A$3:$B$4067,2,FALSE)</f>
        <v>GFXHUB:GCUTCL2:VML2 - Qualify eXecute bit for gfx clients</v>
      </c>
      <c r="C129" s="273" t="str">
        <f>VLOOKUP(A129,'Feature Raw Data'!$A$3:$C$4067,3,FALSE)</f>
        <v>P2</v>
      </c>
      <c r="D129" s="82" t="str" cm="1">
        <f t="array" ref="D129">_xlfn.TEXTJOIN("",TRUE,IF(ISNUMBER(SEARCH($A129,'Diags Raw Data'!$A$6:$A$4699)),CONCATENATE('Diags Raw Data'!$H$6:$H$4699,", "),""))</f>
        <v xml:space="preserve">mhub208.3, </v>
      </c>
      <c r="E129" s="169" t="e">
        <f>VLOOKUP(A129,'Diags Raw Data'!$A$6:$D$4699,4,FALSE)</f>
        <v>#N/A</v>
      </c>
      <c r="F129" s="169" t="str">
        <f>VLOOKUP(A129,'Feature Raw Data'!$A$3:$E$4067,5,FALSE)</f>
        <v>Legacy</v>
      </c>
      <c r="G129" s="169" t="str">
        <f t="shared" si="67"/>
        <v>Yes</v>
      </c>
      <c r="H129" s="169" t="str">
        <f t="shared" si="68"/>
        <v>Yes</v>
      </c>
      <c r="I129" s="273">
        <f>SUMIF('Diags Raw Data'!$A$6:$A$4699,"*"&amp;$A129&amp;"*",'Diags Raw Data'!$K$6:$K$4699)</f>
        <v>1</v>
      </c>
      <c r="J129" s="179">
        <f>SUMIF('Diags Raw Data'!$A$6:$A$4699,"*"&amp;$A129&amp;"*",'Diags Raw Data'!$L$6:$L$4699)</f>
        <v>1</v>
      </c>
      <c r="K129" s="416" cm="1">
        <f t="array" ref="K129">IF(D129="",0, SUMPRODUCT(--(ISNUMBER(SEARCH($A129,'Diags Raw Data'!$A$6:$A$4699))),'Diags Raw Data'!$L$6:$L$4699,'Diags Raw Data'!$N$6:$N$4699)/J129)</f>
        <v>1</v>
      </c>
      <c r="L129" s="417" cm="1">
        <f t="array" ref="L129">IF(D129="",0, SUMPRODUCT(--(ISNUMBER(SEARCH($A129,'Diags Raw Data'!$A$6:$A$4699))),'Diags Raw Data'!$L$6:$L$4699,'Diags Raw Data'!$P$6:$P$4699)/J129)</f>
        <v>1</v>
      </c>
      <c r="M129" s="418" cm="1">
        <f t="array" ref="M129">SUMPRODUCT(--(ISNUMBER(SEARCH($A129,'Diags Raw Data'!$A$6:$A$4699))),--('Diags Raw Data'!$Q$6:$Q$4699&lt;&gt;"N/A"),'Diags Raw Data'!$R$6:$R$4699)</f>
        <v>1</v>
      </c>
      <c r="N129" s="419" cm="1">
        <f t="array" ref="N129">SUMPRODUCT(--(ISNUMBER(SEARCH($A129,'Diags Raw Data'!$A$6:$A$4699))),--('Diags Raw Data'!$Q$6:$Q$4699&lt;&gt;"N/A"),'Diags Raw Data'!$T$6:$T$4699)+SUMPRODUCT(--(ISNUMBER(SEARCH($A129,'Diags Raw Data'!$A$6:$A$4699))),--('Diags Raw Data'!$Q$6:$Q$4699&lt;&gt;"N/A"),'Diags Raw Data'!$U$6:$U$4699)</f>
        <v>1</v>
      </c>
      <c r="O129" s="462">
        <f t="shared" si="69"/>
        <v>1</v>
      </c>
      <c r="P129" s="420">
        <f>SUMIF('Diags Raw Data'!$A$6:$A$4699,"*"&amp;$A129&amp;"*",'Diags Raw Data'!$Z$6:$Z$4699)</f>
        <v>0</v>
      </c>
      <c r="Q129" s="421">
        <f>SUM(SUMIF('Diags Raw Data'!$A$6:$A$4699,"*"&amp;$A129&amp;"*",'Diags Raw Data'!$AA$6:$AA$4699),SUMIF('Diags Raw Data'!$A$6:$A$4699,"*"&amp;$A129&amp;"*",'Diags Raw Data'!$AB$6:$AB$4699))</f>
        <v>0</v>
      </c>
      <c r="R129" s="422">
        <f t="shared" si="70"/>
        <v>0</v>
      </c>
      <c r="S129" s="422">
        <f t="shared" si="71"/>
        <v>0</v>
      </c>
      <c r="T129" s="423">
        <f t="shared" si="72"/>
        <v>0</v>
      </c>
      <c r="U129" s="469" t="s">
        <v>2798</v>
      </c>
    </row>
    <row r="130" spans="1:22" ht="30" x14ac:dyDescent="0.25">
      <c r="A130" s="446" t="s">
        <v>2613</v>
      </c>
      <c r="B130" s="332" t="str">
        <f>VLOOKUP(A130,'Feature Raw Data'!$A$3:$B$4067,2,FALSE)</f>
        <v>GFXHUB:GCUTCL2:VML2 - "noalloc" support (MALL)</v>
      </c>
      <c r="C130" s="273" t="str">
        <f>VLOOKUP(A130,'Feature Raw Data'!$A$3:$C$4067,3,FALSE)</f>
        <v>N/A</v>
      </c>
      <c r="D130" s="82" t="str" cm="1">
        <f t="array" ref="D130">_xlfn.TEXTJOIN("",TRUE,IF(ISNUMBER(SEARCH($A130,'Diags Raw Data'!$A$6:$A$4699)),CONCATENATE('Diags Raw Data'!$H$6:$H$4699,", "),""))</f>
        <v/>
      </c>
      <c r="E130" s="169" t="e">
        <f>VLOOKUP(A130,'Diags Raw Data'!$A$6:$D$4699,4,FALSE)</f>
        <v>#N/A</v>
      </c>
      <c r="F130" s="169" t="str">
        <f>VLOOKUP(A130,'Feature Raw Data'!$A$3:$E$4067,5,FALSE)</f>
        <v>Legacy</v>
      </c>
      <c r="G130" s="169" t="s">
        <v>36</v>
      </c>
      <c r="H130" s="169" t="str">
        <f t="shared" si="68"/>
        <v>No</v>
      </c>
      <c r="I130" s="273">
        <f>SUMIF('Diags Raw Data'!$A$6:$A$4699,"*"&amp;$A130&amp;"*",'Diags Raw Data'!$K$6:$K$4699)</f>
        <v>0</v>
      </c>
      <c r="J130" s="179">
        <f>SUMIF('Diags Raw Data'!$A$6:$A$4699,"*"&amp;$A130&amp;"*",'Diags Raw Data'!$L$6:$L$4699)</f>
        <v>0</v>
      </c>
      <c r="K130" s="416" cm="1">
        <f t="array" ref="K130">IF(D130="",0, SUMPRODUCT(--(ISNUMBER(SEARCH($A130,'Diags Raw Data'!$A$6:$A$4699))),'Diags Raw Data'!$L$6:$L$4699,'Diags Raw Data'!$N$6:$N$4699)/J130)</f>
        <v>0</v>
      </c>
      <c r="L130" s="417" cm="1">
        <f t="array" ref="L130">IF(D130="",0, SUMPRODUCT(--(ISNUMBER(SEARCH($A130,'Diags Raw Data'!$A$6:$A$4699))),'Diags Raw Data'!$L$6:$L$4699,'Diags Raw Data'!$P$6:$P$4699)/J130)</f>
        <v>0</v>
      </c>
      <c r="M130" s="418" cm="1">
        <f t="array" ref="M130">SUMPRODUCT(--(ISNUMBER(SEARCH($A130,'Diags Raw Data'!$A$6:$A$4699))),--('Diags Raw Data'!$Q$6:$Q$4699&lt;&gt;"N/A"),'Diags Raw Data'!$R$6:$R$4699)</f>
        <v>0</v>
      </c>
      <c r="N130" s="419" cm="1">
        <f t="array" ref="N130">SUMPRODUCT(--(ISNUMBER(SEARCH($A130,'Diags Raw Data'!$A$6:$A$4699))),--('Diags Raw Data'!$Q$6:$Q$4699&lt;&gt;"N/A"),'Diags Raw Data'!$T$6:$T$4699)+SUMPRODUCT(--(ISNUMBER(SEARCH($A130,'Diags Raw Data'!$A$6:$A$4699))),--('Diags Raw Data'!$Q$6:$Q$4699&lt;&gt;"N/A"),'Diags Raw Data'!$U$6:$U$4699)</f>
        <v>0</v>
      </c>
      <c r="O130" s="462">
        <f t="shared" si="69"/>
        <v>0</v>
      </c>
      <c r="P130" s="420">
        <f>SUMIF('Diags Raw Data'!$A$6:$A$4699,"*"&amp;$A130&amp;"*",'Diags Raw Data'!$Z$6:$Z$4699)</f>
        <v>0</v>
      </c>
      <c r="Q130" s="421">
        <f>SUM(SUMIF('Diags Raw Data'!$A$6:$A$4699,"*"&amp;$A130&amp;"*",'Diags Raw Data'!$AA$6:$AA$4699),SUMIF('Diags Raw Data'!$A$6:$A$4699,"*"&amp;$A130&amp;"*",'Diags Raw Data'!$AB$6:$AB$4699))</f>
        <v>0</v>
      </c>
      <c r="R130" s="422">
        <f t="shared" si="70"/>
        <v>0</v>
      </c>
      <c r="S130" s="422">
        <f t="shared" si="71"/>
        <v>0</v>
      </c>
      <c r="T130" s="423">
        <f t="shared" si="72"/>
        <v>0</v>
      </c>
      <c r="U130" s="469" t="s">
        <v>44</v>
      </c>
    </row>
    <row r="131" spans="1:22" x14ac:dyDescent="0.25">
      <c r="A131" s="446" t="s">
        <v>2615</v>
      </c>
      <c r="B131" s="332" t="str">
        <f>VLOOKUP(A131,'Feature Raw Data'!$A$3:$B$4067,2,FALSE)</f>
        <v>GFXHUB:GCUTCL2:VML2 - SA/SE Harvesting</v>
      </c>
      <c r="C131" s="273" t="str">
        <f>VLOOKUP(A131,'Feature Raw Data'!$A$3:$C$4067,3,FALSE)</f>
        <v>P2</v>
      </c>
      <c r="D131" s="82" t="str" cm="1">
        <f t="array" ref="D131">_xlfn.TEXTJOIN("",TRUE,IF(ISNUMBER(SEARCH($A131,'Diags Raw Data'!$A$6:$A$4699)),CONCATENATE('Diags Raw Data'!$H$6:$H$4699,", "),""))</f>
        <v/>
      </c>
      <c r="E131" s="169" t="e">
        <f>VLOOKUP(A131,'Diags Raw Data'!$A$6:$D$4699,4,FALSE)</f>
        <v>#N/A</v>
      </c>
      <c r="F131" s="169" t="str">
        <f>VLOOKUP(A131,'Feature Raw Data'!$A$3:$E$4067,5,FALSE)</f>
        <v>Legacy</v>
      </c>
      <c r="G131" s="169" t="s">
        <v>36</v>
      </c>
      <c r="H131" s="169" t="str">
        <f t="shared" si="68"/>
        <v>No</v>
      </c>
      <c r="I131" s="273">
        <f>SUMIF('Diags Raw Data'!$A$6:$A$4699,"*"&amp;$A131&amp;"*",'Diags Raw Data'!$K$6:$K$4699)</f>
        <v>0</v>
      </c>
      <c r="J131" s="179">
        <f>SUMIF('Diags Raw Data'!$A$6:$A$4699,"*"&amp;$A131&amp;"*",'Diags Raw Data'!$L$6:$L$4699)</f>
        <v>0</v>
      </c>
      <c r="K131" s="416" cm="1">
        <f t="array" ref="K131">IF(D131="",0, SUMPRODUCT(--(ISNUMBER(SEARCH($A131,'Diags Raw Data'!$A$6:$A$4699))),'Diags Raw Data'!$L$6:$L$4699,'Diags Raw Data'!$N$6:$N$4699)/J131)</f>
        <v>0</v>
      </c>
      <c r="L131" s="417" cm="1">
        <f t="array" ref="L131">IF(D131="",0, SUMPRODUCT(--(ISNUMBER(SEARCH($A131,'Diags Raw Data'!$A$6:$A$4699))),'Diags Raw Data'!$L$6:$L$4699,'Diags Raw Data'!$P$6:$P$4699)/J131)</f>
        <v>0</v>
      </c>
      <c r="M131" s="418" cm="1">
        <f t="array" ref="M131">SUMPRODUCT(--(ISNUMBER(SEARCH($A131,'Diags Raw Data'!$A$6:$A$4699))),--('Diags Raw Data'!$Q$6:$Q$4699&lt;&gt;"N/A"),'Diags Raw Data'!$R$6:$R$4699)</f>
        <v>0</v>
      </c>
      <c r="N131" s="419" cm="1">
        <f t="array" ref="N131">SUMPRODUCT(--(ISNUMBER(SEARCH($A131,'Diags Raw Data'!$A$6:$A$4699))),--('Diags Raw Data'!$Q$6:$Q$4699&lt;&gt;"N/A"),'Diags Raw Data'!$T$6:$T$4699)+SUMPRODUCT(--(ISNUMBER(SEARCH($A131,'Diags Raw Data'!$A$6:$A$4699))),--('Diags Raw Data'!$Q$6:$Q$4699&lt;&gt;"N/A"),'Diags Raw Data'!$U$6:$U$4699)</f>
        <v>0</v>
      </c>
      <c r="O131" s="462">
        <f t="shared" si="69"/>
        <v>0</v>
      </c>
      <c r="P131" s="420">
        <f>SUMIF('Diags Raw Data'!$A$6:$A$4699,"*"&amp;$A131&amp;"*",'Diags Raw Data'!$Z$6:$Z$4699)</f>
        <v>0</v>
      </c>
      <c r="Q131" s="421">
        <f>SUM(SUMIF('Diags Raw Data'!$A$6:$A$4699,"*"&amp;$A131&amp;"*",'Diags Raw Data'!$AA$6:$AA$4699),SUMIF('Diags Raw Data'!$A$6:$A$4699,"*"&amp;$A131&amp;"*",'Diags Raw Data'!$AB$6:$AB$4699))</f>
        <v>0</v>
      </c>
      <c r="R131" s="422">
        <f t="shared" si="70"/>
        <v>0</v>
      </c>
      <c r="S131" s="422">
        <f t="shared" si="71"/>
        <v>0</v>
      </c>
      <c r="T131" s="423">
        <f t="shared" si="72"/>
        <v>0</v>
      </c>
      <c r="U131" s="469" t="s">
        <v>44</v>
      </c>
      <c r="V131" s="171" t="s">
        <v>43</v>
      </c>
    </row>
    <row r="132" spans="1:22" ht="30" x14ac:dyDescent="0.25">
      <c r="A132" s="446" t="s">
        <v>1852</v>
      </c>
      <c r="B132" s="332" t="str">
        <f>VLOOKUP(A132,'Feature Raw Data'!$A$3:$B$4067,2,FALSE)</f>
        <v>GFXHUB:GCUTCL2:VML2 - Programmable bank select in UTCL1/UTCL2</v>
      </c>
      <c r="C132" s="273" t="str">
        <f>VLOOKUP(A132,'Feature Raw Data'!$A$3:$C$4067,3,FALSE)</f>
        <v>P2</v>
      </c>
      <c r="D132" s="82" t="str" cm="1">
        <f t="array" ref="D132">_xlfn.TEXTJOIN("",TRUE,IF(ISNUMBER(SEARCH($A132,'Diags Raw Data'!$A$6:$A$4699)),CONCATENATE('Diags Raw Data'!$H$6:$H$4699,", "),""))</f>
        <v xml:space="preserve">mhub354.1,2, </v>
      </c>
      <c r="E132" s="169" t="str">
        <f>VLOOKUP(A132,'Diags Raw Data'!$A$6:$D$4699,4,FALSE)</f>
        <v>GCHUB</v>
      </c>
      <c r="F132" s="169" t="str">
        <f>VLOOKUP(A132,'Feature Raw Data'!$A$3:$E$4067,5,FALSE)</f>
        <v>Legacy</v>
      </c>
      <c r="G132" s="169" t="str">
        <f t="shared" si="67"/>
        <v>Yes</v>
      </c>
      <c r="H132" s="169" t="str">
        <f t="shared" si="68"/>
        <v>Yes</v>
      </c>
      <c r="I132" s="273">
        <f>SUMIF('Diags Raw Data'!$A$6:$A$4699,"*"&amp;$A132&amp;"*",'Diags Raw Data'!$K$6:$K$4699)</f>
        <v>6</v>
      </c>
      <c r="J132" s="179">
        <f>SUMIF('Diags Raw Data'!$A$6:$A$4699,"*"&amp;$A132&amp;"*",'Diags Raw Data'!$L$6:$L$4699)</f>
        <v>2</v>
      </c>
      <c r="K132" s="416" cm="1">
        <f t="array" ref="K132">IF(D132="",0, SUMPRODUCT(--(ISNUMBER(SEARCH($A132,'Diags Raw Data'!$A$6:$A$4699))),'Diags Raw Data'!$L$6:$L$4699,'Diags Raw Data'!$N$6:$N$4699)/J132)</f>
        <v>1</v>
      </c>
      <c r="L132" s="417" cm="1">
        <f t="array" ref="L132">IF(D132="",0, SUMPRODUCT(--(ISNUMBER(SEARCH($A132,'Diags Raw Data'!$A$6:$A$4699))),'Diags Raw Data'!$L$6:$L$4699,'Diags Raw Data'!$P$6:$P$4699)/J132)</f>
        <v>1</v>
      </c>
      <c r="M132" s="418" cm="1">
        <f t="array" ref="M132">SUMPRODUCT(--(ISNUMBER(SEARCH($A132,'Diags Raw Data'!$A$6:$A$4699))),--('Diags Raw Data'!$Q$6:$Q$4699&lt;&gt;"N/A"),'Diags Raw Data'!$R$6:$R$4699)</f>
        <v>2</v>
      </c>
      <c r="N132" s="419" cm="1">
        <f t="array" ref="N132">SUMPRODUCT(--(ISNUMBER(SEARCH($A132,'Diags Raw Data'!$A$6:$A$4699))),--('Diags Raw Data'!$Q$6:$Q$4699&lt;&gt;"N/A"),'Diags Raw Data'!$T$6:$T$4699)+SUMPRODUCT(--(ISNUMBER(SEARCH($A132,'Diags Raw Data'!$A$6:$A$4699))),--('Diags Raw Data'!$Q$6:$Q$4699&lt;&gt;"N/A"),'Diags Raw Data'!$U$6:$U$4699)</f>
        <v>2</v>
      </c>
      <c r="O132" s="462">
        <f t="shared" si="69"/>
        <v>1</v>
      </c>
      <c r="P132" s="420">
        <f>SUMIF('Diags Raw Data'!$A$6:$A$4699,"*"&amp;$A132&amp;"*",'Diags Raw Data'!$Z$6:$Z$4699)</f>
        <v>0</v>
      </c>
      <c r="Q132" s="421">
        <f>SUM(SUMIF('Diags Raw Data'!$A$6:$A$4699,"*"&amp;$A132&amp;"*",'Diags Raw Data'!$AA$6:$AA$4699),SUMIF('Diags Raw Data'!$A$6:$A$4699,"*"&amp;$A132&amp;"*",'Diags Raw Data'!$AB$6:$AB$4699))</f>
        <v>0</v>
      </c>
      <c r="R132" s="422">
        <f t="shared" si="70"/>
        <v>0</v>
      </c>
      <c r="S132" s="422">
        <f t="shared" si="71"/>
        <v>0</v>
      </c>
      <c r="T132" s="423">
        <f t="shared" si="72"/>
        <v>0</v>
      </c>
      <c r="U132" s="469" t="s">
        <v>2808</v>
      </c>
    </row>
    <row r="133" spans="1:22" ht="30" x14ac:dyDescent="0.25">
      <c r="A133" s="446" t="s">
        <v>2620</v>
      </c>
      <c r="B133" s="332" t="str">
        <f>VLOOKUP(A133,'Feature Raw Data'!$A$3:$B$4067,2,FALSE)</f>
        <v>GFXHUB:GCUTCL2:VML2 - Per VMID BigK support/SmallK/Bank_Select Support</v>
      </c>
      <c r="C133" s="273" t="str">
        <f>VLOOKUP(A133,'Feature Raw Data'!$A$3:$C$4067,3,FALSE)</f>
        <v>P2</v>
      </c>
      <c r="D133" s="82" t="str" cm="1">
        <f t="array" ref="D133">_xlfn.TEXTJOIN("",TRUE,IF(ISNUMBER(SEARCH($A133,'Diags Raw Data'!$A$6:$A$4699)),CONCATENATE('Diags Raw Data'!$H$6:$H$4699,", "),""))</f>
        <v xml:space="preserve">mhub259.1-32, </v>
      </c>
      <c r="E133" s="169" t="e">
        <f>VLOOKUP(A133,'Diags Raw Data'!$A$6:$D$4699,4,FALSE)</f>
        <v>#N/A</v>
      </c>
      <c r="F133" s="169" t="str">
        <f>VLOOKUP(A133,'Feature Raw Data'!$A$3:$E$4067,5,FALSE)</f>
        <v>Legacy</v>
      </c>
      <c r="G133" s="169" t="str">
        <f t="shared" si="67"/>
        <v>Yes</v>
      </c>
      <c r="H133" s="169" t="str">
        <f t="shared" si="68"/>
        <v>Yes</v>
      </c>
      <c r="I133" s="273">
        <f>SUMIF('Diags Raw Data'!$A$6:$A$4699,"*"&amp;$A133&amp;"*",'Diags Raw Data'!$K$6:$K$4699)</f>
        <v>1</v>
      </c>
      <c r="J133" s="179">
        <f>SUMIF('Diags Raw Data'!$A$6:$A$4699,"*"&amp;$A133&amp;"*",'Diags Raw Data'!$L$6:$L$4699)</f>
        <v>32</v>
      </c>
      <c r="K133" s="416" cm="1">
        <f t="array" ref="K133">IF(D133="",0, SUMPRODUCT(--(ISNUMBER(SEARCH($A133,'Diags Raw Data'!$A$6:$A$4699))),'Diags Raw Data'!$L$6:$L$4699,'Diags Raw Data'!$N$6:$N$4699)/J133)</f>
        <v>1</v>
      </c>
      <c r="L133" s="417" cm="1">
        <f t="array" ref="L133">IF(D133="",0, SUMPRODUCT(--(ISNUMBER(SEARCH($A133,'Diags Raw Data'!$A$6:$A$4699))),'Diags Raw Data'!$L$6:$L$4699,'Diags Raw Data'!$P$6:$P$4699)/J133)</f>
        <v>0</v>
      </c>
      <c r="M133" s="418" cm="1">
        <f t="array" ref="M133">SUMPRODUCT(--(ISNUMBER(SEARCH($A133,'Diags Raw Data'!$A$6:$A$4699))),--('Diags Raw Data'!$Q$6:$Q$4699&lt;&gt;"N/A"),'Diags Raw Data'!$R$6:$R$4699)</f>
        <v>32</v>
      </c>
      <c r="N133" s="419" cm="1">
        <f t="array" ref="N133">SUMPRODUCT(--(ISNUMBER(SEARCH($A133,'Diags Raw Data'!$A$6:$A$4699))),--('Diags Raw Data'!$Q$6:$Q$4699&lt;&gt;"N/A"),'Diags Raw Data'!$T$6:$T$4699)+SUMPRODUCT(--(ISNUMBER(SEARCH($A133,'Diags Raw Data'!$A$6:$A$4699))),--('Diags Raw Data'!$Q$6:$Q$4699&lt;&gt;"N/A"),'Diags Raw Data'!$U$6:$U$4699)</f>
        <v>32</v>
      </c>
      <c r="O133" s="462">
        <f t="shared" si="69"/>
        <v>1</v>
      </c>
      <c r="P133" s="420">
        <f>SUMIF('Diags Raw Data'!$A$6:$A$4699,"*"&amp;$A133&amp;"*",'Diags Raw Data'!$Z$6:$Z$4699)</f>
        <v>0</v>
      </c>
      <c r="Q133" s="421">
        <f>SUM(SUMIF('Diags Raw Data'!$A$6:$A$4699,"*"&amp;$A133&amp;"*",'Diags Raw Data'!$AA$6:$AA$4699),SUMIF('Diags Raw Data'!$A$6:$A$4699,"*"&amp;$A133&amp;"*",'Diags Raw Data'!$AB$6:$AB$4699))</f>
        <v>0</v>
      </c>
      <c r="R133" s="422">
        <f t="shared" si="70"/>
        <v>0</v>
      </c>
      <c r="S133" s="422">
        <f t="shared" si="71"/>
        <v>0</v>
      </c>
      <c r="T133" s="423">
        <f t="shared" si="72"/>
        <v>0</v>
      </c>
      <c r="U133" s="469" t="s">
        <v>2804</v>
      </c>
    </row>
    <row r="134" spans="1:22" ht="60" x14ac:dyDescent="0.25">
      <c r="A134" s="446" t="s">
        <v>1256</v>
      </c>
      <c r="B134" s="332" t="str">
        <f>VLOOKUP(A134,'Feature Raw Data'!$A$3:$B$4067,2,FALSE)</f>
        <v>GFXHUB:GCUTCL2:VML2 - GPUVM L2 cache read/dump capabilities</v>
      </c>
      <c r="C134" s="273" t="str">
        <f>VLOOKUP(A134,'Feature Raw Data'!$A$3:$C$4067,3,FALSE)</f>
        <v>P2</v>
      </c>
      <c r="D134" s="82" t="str" cm="1">
        <f t="array" ref="D134">_xlfn.TEXTJOIN("",TRUE,IF(ISNUMBER(SEARCH($A134,'Diags Raw Data'!$A$6:$A$4699)),CONCATENATE('Diags Raw Data'!$H$6:$H$4699,", "),""))</f>
        <v xml:space="preserve">mhub231.10-11, mhub233.101,103, </v>
      </c>
      <c r="E134" s="169" t="str">
        <f>VLOOKUP(A134,'Diags Raw Data'!$A$6:$D$4699,4,FALSE)</f>
        <v>GCHUB</v>
      </c>
      <c r="F134" s="169" t="str">
        <f>VLOOKUP(A134,'Feature Raw Data'!$A$3:$E$4067,5,FALSE)</f>
        <v>Legacy</v>
      </c>
      <c r="G134" s="169" t="str">
        <f t="shared" si="67"/>
        <v>Yes</v>
      </c>
      <c r="H134" s="169" t="str">
        <f t="shared" si="68"/>
        <v>Yes</v>
      </c>
      <c r="I134" s="273">
        <f>SUMIF('Diags Raw Data'!$A$6:$A$4699,"*"&amp;$A134&amp;"*",'Diags Raw Data'!$K$6:$K$4699)</f>
        <v>2</v>
      </c>
      <c r="J134" s="179">
        <f>SUMIF('Diags Raw Data'!$A$6:$A$4699,"*"&amp;$A134&amp;"*",'Diags Raw Data'!$L$6:$L$4699)</f>
        <v>4</v>
      </c>
      <c r="K134" s="416" cm="1">
        <f t="array" ref="K134">IF(D134="",0, SUMPRODUCT(--(ISNUMBER(SEARCH($A134,'Diags Raw Data'!$A$6:$A$4699))),'Diags Raw Data'!$L$6:$L$4699,'Diags Raw Data'!$N$6:$N$4699)/J134)</f>
        <v>1</v>
      </c>
      <c r="L134" s="417" cm="1">
        <f t="array" ref="L134">IF(D134="",0, SUMPRODUCT(--(ISNUMBER(SEARCH($A134,'Diags Raw Data'!$A$6:$A$4699))),'Diags Raw Data'!$L$6:$L$4699,'Diags Raw Data'!$P$6:$P$4699)/J134)</f>
        <v>1</v>
      </c>
      <c r="M134" s="418" cm="1">
        <f t="array" ref="M134">SUMPRODUCT(--(ISNUMBER(SEARCH($A134,'Diags Raw Data'!$A$6:$A$4699))),--('Diags Raw Data'!$Q$6:$Q$4699&lt;&gt;"N/A"),'Diags Raw Data'!$R$6:$R$4699)</f>
        <v>4</v>
      </c>
      <c r="N134" s="419" cm="1">
        <f t="array" ref="N134">SUMPRODUCT(--(ISNUMBER(SEARCH($A134,'Diags Raw Data'!$A$6:$A$4699))),--('Diags Raw Data'!$Q$6:$Q$4699&lt;&gt;"N/A"),'Diags Raw Data'!$T$6:$T$4699)+SUMPRODUCT(--(ISNUMBER(SEARCH($A134,'Diags Raw Data'!$A$6:$A$4699))),--('Diags Raw Data'!$Q$6:$Q$4699&lt;&gt;"N/A"),'Diags Raw Data'!$U$6:$U$4699)</f>
        <v>4</v>
      </c>
      <c r="O134" s="462">
        <f t="shared" si="69"/>
        <v>1</v>
      </c>
      <c r="P134" s="420">
        <f>SUMIF('Diags Raw Data'!$A$6:$A$4699,"*"&amp;$A134&amp;"*",'Diags Raw Data'!$Z$6:$Z$4699)</f>
        <v>0</v>
      </c>
      <c r="Q134" s="421">
        <f>SUM(SUMIF('Diags Raw Data'!$A$6:$A$4699,"*"&amp;$A134&amp;"*",'Diags Raw Data'!$AA$6:$AA$4699),SUMIF('Diags Raw Data'!$A$6:$A$4699,"*"&amp;$A134&amp;"*",'Diags Raw Data'!$AB$6:$AB$4699))</f>
        <v>0</v>
      </c>
      <c r="R134" s="422">
        <f t="shared" si="70"/>
        <v>0</v>
      </c>
      <c r="S134" s="422">
        <f t="shared" si="71"/>
        <v>0</v>
      </c>
      <c r="T134" s="423">
        <f t="shared" si="72"/>
        <v>0</v>
      </c>
      <c r="U134" s="469" t="s">
        <v>2803</v>
      </c>
    </row>
    <row r="135" spans="1:22" ht="30" x14ac:dyDescent="0.25">
      <c r="A135" s="446" t="s">
        <v>2260</v>
      </c>
      <c r="B135" s="332" t="str">
        <f>VLOOKUP(A135,'Feature Raw Data'!$A$3:$B$4067,2,FALSE)</f>
        <v>GFXHUB:GCUTCL2:VML2 - Virtual FIFOs to maximize bank probes</v>
      </c>
      <c r="C135" s="273" t="str">
        <f>VLOOKUP(A135,'Feature Raw Data'!$A$3:$C$4067,3,FALSE)</f>
        <v>P2</v>
      </c>
      <c r="D135" s="82" t="str" cm="1">
        <f t="array" ref="D135">_xlfn.TEXTJOIN("",TRUE,IF(ISNUMBER(SEARCH($A135,'Diags Raw Data'!$A$6:$A$4699)),CONCATENATE('Diags Raw Data'!$H$6:$H$4699,", "),""))</f>
        <v xml:space="preserve">gci30.xxxx, </v>
      </c>
      <c r="E135" s="169" t="str">
        <f>VLOOKUP(A135,'Diags Raw Data'!$A$6:$D$4699,4,FALSE)</f>
        <v>GCHUB</v>
      </c>
      <c r="F135" s="169" t="str">
        <f>VLOOKUP(A135,'Feature Raw Data'!$A$3:$E$4067,5,FALSE)</f>
        <v>Legacy</v>
      </c>
      <c r="G135" s="169" t="s">
        <v>31</v>
      </c>
      <c r="H135" s="169" t="str">
        <f t="shared" ref="H135:H146" si="73">IF(D135="","No","Yes")</f>
        <v>Yes</v>
      </c>
      <c r="I135" s="273">
        <f>SUMIF('Diags Raw Data'!$A$6:$A$4699,"*"&amp;$A135&amp;"*",'Diags Raw Data'!$K$6:$K$4699)</f>
        <v>0</v>
      </c>
      <c r="J135" s="179">
        <f>SUMIF('Diags Raw Data'!$A$6:$A$4699,"*"&amp;$A135&amp;"*",'Diags Raw Data'!$L$6:$L$4699)</f>
        <v>0</v>
      </c>
      <c r="K135" s="416" t="e" cm="1">
        <f t="array" ref="K135">IF(D135="",0, SUMPRODUCT(--(ISNUMBER(SEARCH($A135,'Diags Raw Data'!$A$6:$A$4699))),'Diags Raw Data'!$L$6:$L$4699,'Diags Raw Data'!$N$6:$N$4699)/J135)</f>
        <v>#DIV/0!</v>
      </c>
      <c r="L135" s="417" t="e" cm="1">
        <f t="array" ref="L135">IF(D135="",0, SUMPRODUCT(--(ISNUMBER(SEARCH($A135,'Diags Raw Data'!$A$6:$A$4699))),'Diags Raw Data'!$L$6:$L$4699,'Diags Raw Data'!$P$6:$P$4699)/J135)</f>
        <v>#DIV/0!</v>
      </c>
      <c r="M135" s="418" cm="1">
        <f t="array" ref="M135">SUMPRODUCT(--(ISNUMBER(SEARCH($A135,'Diags Raw Data'!$A$6:$A$4699))),--('Diags Raw Data'!$Q$6:$Q$4699&lt;&gt;"N/A"),'Diags Raw Data'!$R$6:$R$4699)</f>
        <v>0</v>
      </c>
      <c r="N135" s="419" cm="1">
        <f t="array" ref="N135">SUMPRODUCT(--(ISNUMBER(SEARCH($A135,'Diags Raw Data'!$A$6:$A$4699))),--('Diags Raw Data'!$Q$6:$Q$4699&lt;&gt;"N/A"),'Diags Raw Data'!$T$6:$T$4699)+SUMPRODUCT(--(ISNUMBER(SEARCH($A135,'Diags Raw Data'!$A$6:$A$4699))),--('Diags Raw Data'!$Q$6:$Q$4699&lt;&gt;"N/A"),'Diags Raw Data'!$U$6:$U$4699)</f>
        <v>0</v>
      </c>
      <c r="O135" s="462">
        <f t="shared" ref="O135:O146" si="74">IF((M135=0),0,N135/M135)</f>
        <v>0</v>
      </c>
      <c r="P135" s="420">
        <f>SUMIF('Diags Raw Data'!$A$6:$A$4699,"*"&amp;$A135&amp;"*",'Diags Raw Data'!$Z$6:$Z$4699)</f>
        <v>0</v>
      </c>
      <c r="Q135" s="421">
        <f>SUM(SUMIF('Diags Raw Data'!$A$6:$A$4699,"*"&amp;$A135&amp;"*",'Diags Raw Data'!$AA$6:$AA$4699),SUMIF('Diags Raw Data'!$A$6:$A$4699,"*"&amp;$A135&amp;"*",'Diags Raw Data'!$AB$6:$AB$4699))</f>
        <v>0</v>
      </c>
      <c r="R135" s="422">
        <f t="shared" ref="R135:R146" si="75">IF((J135=0),0,P135/J135)</f>
        <v>0</v>
      </c>
      <c r="S135" s="422">
        <f t="shared" ref="S135:S146" si="76">IF((P135=0),0,Q135/P135)</f>
        <v>0</v>
      </c>
      <c r="T135" s="423">
        <f t="shared" ref="T135:T146" si="77">R135*S135</f>
        <v>0</v>
      </c>
      <c r="U135" s="469" t="s">
        <v>44</v>
      </c>
      <c r="V135" s="171" t="s">
        <v>2625</v>
      </c>
    </row>
    <row r="136" spans="1:22" ht="75" x14ac:dyDescent="0.25">
      <c r="A136" s="446" t="s">
        <v>2626</v>
      </c>
      <c r="B136" s="332" t="str">
        <f>VLOOKUP(A136,'Feature Raw Data'!$A$3:$B$4067,2,FALSE)</f>
        <v>GFXHUB:GCUTCL2:ATCL2 - Caches</v>
      </c>
      <c r="C136" s="273" t="str">
        <f>VLOOKUP(A136,'Feature Raw Data'!$A$3:$C$4067,3,FALSE)</f>
        <v>P2</v>
      </c>
      <c r="D136" s="82" t="str" cm="1">
        <f t="array" ref="D136">_xlfn.TEXTJOIN("",TRUE,IF(ISNUMBER(SEARCH($A136,'Diags Raw Data'!$A$6:$A$4699)),CONCATENATE('Diags Raw Data'!$H$6:$H$4699,", "),""))</f>
        <v xml:space="preserve">mhub240.1, mhub240.2, mhub240.3, mhub240.4, mhub240.5, </v>
      </c>
      <c r="E136" s="169" t="e">
        <f>VLOOKUP(A136,'Diags Raw Data'!$A$6:$D$4699,4,FALSE)</f>
        <v>#N/A</v>
      </c>
      <c r="F136" s="169" t="str">
        <f>VLOOKUP(A136,'Feature Raw Data'!$A$3:$E$4067,5,FALSE)</f>
        <v>Legacy</v>
      </c>
      <c r="G136" s="169" t="str">
        <f t="shared" ref="G136:G146" si="78">IF(D136="","No","Yes")</f>
        <v>Yes</v>
      </c>
      <c r="H136" s="169" t="str">
        <f t="shared" si="73"/>
        <v>Yes</v>
      </c>
      <c r="I136" s="273">
        <f>SUMIF('Diags Raw Data'!$A$6:$A$4699,"*"&amp;$A136&amp;"*",'Diags Raw Data'!$K$6:$K$4699)</f>
        <v>5</v>
      </c>
      <c r="J136" s="179">
        <f>SUMIF('Diags Raw Data'!$A$6:$A$4699,"*"&amp;$A136&amp;"*",'Diags Raw Data'!$L$6:$L$4699)</f>
        <v>5</v>
      </c>
      <c r="K136" s="416" cm="1">
        <f t="array" ref="K136">IF(D136="",0, SUMPRODUCT(--(ISNUMBER(SEARCH($A136,'Diags Raw Data'!$A$6:$A$4699))),'Diags Raw Data'!$L$6:$L$4699,'Diags Raw Data'!$N$6:$N$4699)/J136)</f>
        <v>1</v>
      </c>
      <c r="L136" s="417" cm="1">
        <f t="array" ref="L136">IF(D136="",0, SUMPRODUCT(--(ISNUMBER(SEARCH($A136,'Diags Raw Data'!$A$6:$A$4699))),'Diags Raw Data'!$L$6:$L$4699,'Diags Raw Data'!$P$6:$P$4699)/J136)</f>
        <v>1</v>
      </c>
      <c r="M136" s="418" cm="1">
        <f t="array" ref="M136">SUMPRODUCT(--(ISNUMBER(SEARCH($A136,'Diags Raw Data'!$A$6:$A$4699))),--('Diags Raw Data'!$Q$6:$Q$4699&lt;&gt;"N/A"),'Diags Raw Data'!$R$6:$R$4699)</f>
        <v>5</v>
      </c>
      <c r="N136" s="419" cm="1">
        <f t="array" ref="N136">SUMPRODUCT(--(ISNUMBER(SEARCH($A136,'Diags Raw Data'!$A$6:$A$4699))),--('Diags Raw Data'!$Q$6:$Q$4699&lt;&gt;"N/A"),'Diags Raw Data'!$T$6:$T$4699)+SUMPRODUCT(--(ISNUMBER(SEARCH($A136,'Diags Raw Data'!$A$6:$A$4699))),--('Diags Raw Data'!$Q$6:$Q$4699&lt;&gt;"N/A"),'Diags Raw Data'!$U$6:$U$4699)</f>
        <v>5</v>
      </c>
      <c r="O136" s="462">
        <f t="shared" si="74"/>
        <v>1</v>
      </c>
      <c r="P136" s="420">
        <f>SUMIF('Diags Raw Data'!$A$6:$A$4699,"*"&amp;$A136&amp;"*",'Diags Raw Data'!$Z$6:$Z$4699)</f>
        <v>0</v>
      </c>
      <c r="Q136" s="421">
        <f>SUM(SUMIF('Diags Raw Data'!$A$6:$A$4699,"*"&amp;$A136&amp;"*",'Diags Raw Data'!$AA$6:$AA$4699),SUMIF('Diags Raw Data'!$A$6:$A$4699,"*"&amp;$A136&amp;"*",'Diags Raw Data'!$AB$6:$AB$4699))</f>
        <v>0</v>
      </c>
      <c r="R136" s="422">
        <f t="shared" si="75"/>
        <v>0</v>
      </c>
      <c r="S136" s="422">
        <f t="shared" si="76"/>
        <v>0</v>
      </c>
      <c r="T136" s="423">
        <f t="shared" si="77"/>
        <v>0</v>
      </c>
      <c r="U136" s="469" t="s">
        <v>2805</v>
      </c>
    </row>
    <row r="137" spans="1:22" x14ac:dyDescent="0.25">
      <c r="A137" s="446" t="s">
        <v>2630</v>
      </c>
      <c r="B137" s="332" t="str">
        <f>VLOOKUP(A137,'Feature Raw Data'!$A$3:$B$4067,2,FALSE)</f>
        <v>GFXHUB:GCUTCL2:ATCL2 - Virtual FIFOs</v>
      </c>
      <c r="C137" s="273" t="str">
        <f>VLOOKUP(A137,'Feature Raw Data'!$A$3:$C$4067,3,FALSE)</f>
        <v>P2</v>
      </c>
      <c r="D137" s="82" t="str" cm="1">
        <f t="array" ref="D137">_xlfn.TEXTJOIN("",TRUE,IF(ISNUMBER(SEARCH($A137,'Diags Raw Data'!$A$6:$A$4699)),CONCATENATE('Diags Raw Data'!$H$6:$H$4699,", "),""))</f>
        <v/>
      </c>
      <c r="E137" s="169" t="e">
        <f>VLOOKUP(A137,'Diags Raw Data'!$A$6:$D$4699,4,FALSE)</f>
        <v>#N/A</v>
      </c>
      <c r="F137" s="169" t="str">
        <f>VLOOKUP(A137,'Feature Raw Data'!$A$3:$E$4067,5,FALSE)</f>
        <v>Legacy</v>
      </c>
      <c r="G137" s="169" t="s">
        <v>36</v>
      </c>
      <c r="H137" s="169" t="str">
        <f t="shared" si="73"/>
        <v>No</v>
      </c>
      <c r="I137" s="273">
        <f>SUMIF('Diags Raw Data'!$A$6:$A$4699,"*"&amp;$A137&amp;"*",'Diags Raw Data'!$K$6:$K$4699)</f>
        <v>0</v>
      </c>
      <c r="J137" s="179">
        <f>SUMIF('Diags Raw Data'!$A$6:$A$4699,"*"&amp;$A137&amp;"*",'Diags Raw Data'!$L$6:$L$4699)</f>
        <v>0</v>
      </c>
      <c r="K137" s="416" cm="1">
        <f t="array" ref="K137">IF(D137="",0, SUMPRODUCT(--(ISNUMBER(SEARCH($A137,'Diags Raw Data'!$A$6:$A$4699))),'Diags Raw Data'!$L$6:$L$4699,'Diags Raw Data'!$N$6:$N$4699)/J137)</f>
        <v>0</v>
      </c>
      <c r="L137" s="417" cm="1">
        <f t="array" ref="L137">IF(D137="",0, SUMPRODUCT(--(ISNUMBER(SEARCH($A137,'Diags Raw Data'!$A$6:$A$4699))),'Diags Raw Data'!$L$6:$L$4699,'Diags Raw Data'!$P$6:$P$4699)/J137)</f>
        <v>0</v>
      </c>
      <c r="M137" s="418" cm="1">
        <f t="array" ref="M137">SUMPRODUCT(--(ISNUMBER(SEARCH($A137,'Diags Raw Data'!$A$6:$A$4699))),--('Diags Raw Data'!$Q$6:$Q$4699&lt;&gt;"N/A"),'Diags Raw Data'!$R$6:$R$4699)</f>
        <v>0</v>
      </c>
      <c r="N137" s="419" cm="1">
        <f t="array" ref="N137">SUMPRODUCT(--(ISNUMBER(SEARCH($A137,'Diags Raw Data'!$A$6:$A$4699))),--('Diags Raw Data'!$Q$6:$Q$4699&lt;&gt;"N/A"),'Diags Raw Data'!$T$6:$T$4699)+SUMPRODUCT(--(ISNUMBER(SEARCH($A137,'Diags Raw Data'!$A$6:$A$4699))),--('Diags Raw Data'!$Q$6:$Q$4699&lt;&gt;"N/A"),'Diags Raw Data'!$U$6:$U$4699)</f>
        <v>0</v>
      </c>
      <c r="O137" s="462">
        <f t="shared" si="74"/>
        <v>0</v>
      </c>
      <c r="P137" s="420">
        <f>SUMIF('Diags Raw Data'!$A$6:$A$4699,"*"&amp;$A137&amp;"*",'Diags Raw Data'!$Z$6:$Z$4699)</f>
        <v>0</v>
      </c>
      <c r="Q137" s="421">
        <f>SUM(SUMIF('Diags Raw Data'!$A$6:$A$4699,"*"&amp;$A137&amp;"*",'Diags Raw Data'!$AA$6:$AA$4699),SUMIF('Diags Raw Data'!$A$6:$A$4699,"*"&amp;$A137&amp;"*",'Diags Raw Data'!$AB$6:$AB$4699))</f>
        <v>0</v>
      </c>
      <c r="R137" s="422">
        <f t="shared" si="75"/>
        <v>0</v>
      </c>
      <c r="S137" s="422">
        <f t="shared" si="76"/>
        <v>0</v>
      </c>
      <c r="T137" s="423">
        <f t="shared" si="77"/>
        <v>0</v>
      </c>
      <c r="U137" s="469" t="s">
        <v>44</v>
      </c>
      <c r="V137" s="171" t="s">
        <v>2625</v>
      </c>
    </row>
    <row r="138" spans="1:22" ht="285" x14ac:dyDescent="0.25">
      <c r="A138" s="446" t="s">
        <v>2632</v>
      </c>
      <c r="B138" s="332" t="str">
        <f>VLOOKUP(A138,'Feature Raw Data'!$A$3:$B$4067,2,FALSE)</f>
        <v>GFXHUB:GCUTCL2:ATCL2 - Console IOV (Pseudo-IOV) - Support multiple VMID_VEC for invalidation</v>
      </c>
      <c r="C138" s="273" t="str">
        <f>VLOOKUP(A138,'Feature Raw Data'!$A$3:$C$4067,3,FALSE)</f>
        <v>P2</v>
      </c>
      <c r="D138" s="82" t="str" cm="1">
        <f t="array" ref="D138">_xlfn.TEXTJOIN("",TRUE,IF(ISNUMBER(SEARCH($A138,'Diags Raw Data'!$A$6:$A$4699)),CONCATENATE('Diags Raw Data'!$H$6:$H$4699,", "),""))</f>
        <v xml:space="preserve">mhub414.4, mhub414.8, mhub414.101, mhub414.102, mhub414.103, mhub414.104, mhub414.105, mhub414.106, mhub414.107, mhub414.108, mhub416.1-4, </v>
      </c>
      <c r="E138" s="169" t="e">
        <f>VLOOKUP(A138,'Diags Raw Data'!$A$6:$D$4699,4,FALSE)</f>
        <v>#N/A</v>
      </c>
      <c r="F138" s="169" t="str">
        <f>VLOOKUP(A138,'Feature Raw Data'!$A$3:$E$4067,5,FALSE)</f>
        <v>Legacy</v>
      </c>
      <c r="G138" s="169" t="str">
        <f t="shared" si="78"/>
        <v>Yes</v>
      </c>
      <c r="H138" s="169" t="str">
        <f t="shared" si="73"/>
        <v>Yes</v>
      </c>
      <c r="I138" s="273">
        <f>SUMIF('Diags Raw Data'!$A$6:$A$4699,"*"&amp;$A138&amp;"*",'Diags Raw Data'!$K$6:$K$4699)</f>
        <v>11</v>
      </c>
      <c r="J138" s="179">
        <f>SUMIF('Diags Raw Data'!$A$6:$A$4699,"*"&amp;$A138&amp;"*",'Diags Raw Data'!$L$6:$L$4699)</f>
        <v>14</v>
      </c>
      <c r="K138" s="416" cm="1">
        <f t="array" ref="K138">IF(D138="",0, SUMPRODUCT(--(ISNUMBER(SEARCH($A138,'Diags Raw Data'!$A$6:$A$4699))),'Diags Raw Data'!$L$6:$L$4699,'Diags Raw Data'!$N$6:$N$4699)/J138)</f>
        <v>1</v>
      </c>
      <c r="L138" s="417" cm="1">
        <f t="array" ref="L138">IF(D138="",0, SUMPRODUCT(--(ISNUMBER(SEARCH($A138,'Diags Raw Data'!$A$6:$A$4699))),'Diags Raw Data'!$L$6:$L$4699,'Diags Raw Data'!$P$6:$P$4699)/J138)</f>
        <v>1</v>
      </c>
      <c r="M138" s="418" cm="1">
        <f t="array" ref="M138">SUMPRODUCT(--(ISNUMBER(SEARCH($A138,'Diags Raw Data'!$A$6:$A$4699))),--('Diags Raw Data'!$Q$6:$Q$4699&lt;&gt;"N/A"),'Diags Raw Data'!$R$6:$R$4699)</f>
        <v>14</v>
      </c>
      <c r="N138" s="419" cm="1">
        <f t="array" ref="N138">SUMPRODUCT(--(ISNUMBER(SEARCH($A138,'Diags Raw Data'!$A$6:$A$4699))),--('Diags Raw Data'!$Q$6:$Q$4699&lt;&gt;"N/A"),'Diags Raw Data'!$T$6:$T$4699)+SUMPRODUCT(--(ISNUMBER(SEARCH($A138,'Diags Raw Data'!$A$6:$A$4699))),--('Diags Raw Data'!$Q$6:$Q$4699&lt;&gt;"N/A"),'Diags Raw Data'!$U$6:$U$4699)</f>
        <v>14</v>
      </c>
      <c r="O138" s="462">
        <f t="shared" si="74"/>
        <v>1</v>
      </c>
      <c r="P138" s="420">
        <f>SUMIF('Diags Raw Data'!$A$6:$A$4699,"*"&amp;$A138&amp;"*",'Diags Raw Data'!$Z$6:$Z$4699)</f>
        <v>0</v>
      </c>
      <c r="Q138" s="421">
        <f>SUM(SUMIF('Diags Raw Data'!$A$6:$A$4699,"*"&amp;$A138&amp;"*",'Diags Raw Data'!$AA$6:$AA$4699),SUMIF('Diags Raw Data'!$A$6:$A$4699,"*"&amp;$A138&amp;"*",'Diags Raw Data'!$AB$6:$AB$4699))</f>
        <v>0</v>
      </c>
      <c r="R138" s="422">
        <f t="shared" si="75"/>
        <v>0</v>
      </c>
      <c r="S138" s="422">
        <f t="shared" si="76"/>
        <v>0</v>
      </c>
      <c r="T138" s="423">
        <f t="shared" si="77"/>
        <v>0</v>
      </c>
      <c r="U138" s="469" t="s">
        <v>2803</v>
      </c>
    </row>
    <row r="139" spans="1:22" x14ac:dyDescent="0.25">
      <c r="A139" s="446" t="s">
        <v>2634</v>
      </c>
      <c r="B139" s="332" t="str">
        <f>VLOOKUP(A139,'Feature Raw Data'!$A$3:$B$4067,2,FALSE)</f>
        <v>GFXHUB:GCUTCL2:ATCL2 - U-bit support</v>
      </c>
      <c r="C139" s="273" t="str">
        <f>VLOOKUP(A139,'Feature Raw Data'!$A$3:$C$4067,3,FALSE)</f>
        <v>P2</v>
      </c>
      <c r="D139" s="82" t="str" cm="1">
        <f t="array" ref="D139">_xlfn.TEXTJOIN("",TRUE,IF(ISNUMBER(SEARCH($A139,'Diags Raw Data'!$A$6:$A$4699)),CONCATENATE('Diags Raw Data'!$H$6:$H$4699,", "),""))</f>
        <v xml:space="preserve">mhub237.5, </v>
      </c>
      <c r="E139" s="169" t="e">
        <f>VLOOKUP(A139,'Diags Raw Data'!$A$6:$D$4699,4,FALSE)</f>
        <v>#N/A</v>
      </c>
      <c r="F139" s="169" t="str">
        <f>VLOOKUP(A139,'Feature Raw Data'!$A$3:$E$4067,5,FALSE)</f>
        <v>Legacy</v>
      </c>
      <c r="G139" s="169" t="str">
        <f t="shared" si="78"/>
        <v>Yes</v>
      </c>
      <c r="H139" s="169" t="str">
        <f t="shared" si="73"/>
        <v>Yes</v>
      </c>
      <c r="I139" s="273">
        <f>SUMIF('Diags Raw Data'!$A$6:$A$4699,"*"&amp;$A139&amp;"*",'Diags Raw Data'!$K$6:$K$4699)</f>
        <v>1</v>
      </c>
      <c r="J139" s="179">
        <f>SUMIF('Diags Raw Data'!$A$6:$A$4699,"*"&amp;$A139&amp;"*",'Diags Raw Data'!$L$6:$L$4699)</f>
        <v>1</v>
      </c>
      <c r="K139" s="416" cm="1">
        <f t="array" ref="K139">IF(D139="",0, SUMPRODUCT(--(ISNUMBER(SEARCH($A139,'Diags Raw Data'!$A$6:$A$4699))),'Diags Raw Data'!$L$6:$L$4699,'Diags Raw Data'!$N$6:$N$4699)/J139)</f>
        <v>1</v>
      </c>
      <c r="L139" s="417" cm="1">
        <f t="array" ref="L139">IF(D139="",0, SUMPRODUCT(--(ISNUMBER(SEARCH($A139,'Diags Raw Data'!$A$6:$A$4699))),'Diags Raw Data'!$L$6:$L$4699,'Diags Raw Data'!$P$6:$P$4699)/J139)</f>
        <v>1</v>
      </c>
      <c r="M139" s="418" cm="1">
        <f t="array" ref="M139">SUMPRODUCT(--(ISNUMBER(SEARCH($A139,'Diags Raw Data'!$A$6:$A$4699))),--('Diags Raw Data'!$Q$6:$Q$4699&lt;&gt;"N/A"),'Diags Raw Data'!$R$6:$R$4699)</f>
        <v>1</v>
      </c>
      <c r="N139" s="419" cm="1">
        <f t="array" ref="N139">SUMPRODUCT(--(ISNUMBER(SEARCH($A139,'Diags Raw Data'!$A$6:$A$4699))),--('Diags Raw Data'!$Q$6:$Q$4699&lt;&gt;"N/A"),'Diags Raw Data'!$T$6:$T$4699)+SUMPRODUCT(--(ISNUMBER(SEARCH($A139,'Diags Raw Data'!$A$6:$A$4699))),--('Diags Raw Data'!$Q$6:$Q$4699&lt;&gt;"N/A"),'Diags Raw Data'!$U$6:$U$4699)</f>
        <v>1</v>
      </c>
      <c r="O139" s="462">
        <f t="shared" si="74"/>
        <v>1</v>
      </c>
      <c r="P139" s="420">
        <f>SUMIF('Diags Raw Data'!$A$6:$A$4699,"*"&amp;$A139&amp;"*",'Diags Raw Data'!$Z$6:$Z$4699)</f>
        <v>0</v>
      </c>
      <c r="Q139" s="421">
        <f>SUM(SUMIF('Diags Raw Data'!$A$6:$A$4699,"*"&amp;$A139&amp;"*",'Diags Raw Data'!$AA$6:$AA$4699),SUMIF('Diags Raw Data'!$A$6:$A$4699,"*"&amp;$A139&amp;"*",'Diags Raw Data'!$AB$6:$AB$4699))</f>
        <v>0</v>
      </c>
      <c r="R139" s="422">
        <f t="shared" si="75"/>
        <v>0</v>
      </c>
      <c r="S139" s="422">
        <f t="shared" si="76"/>
        <v>0</v>
      </c>
      <c r="T139" s="423">
        <f t="shared" si="77"/>
        <v>0</v>
      </c>
      <c r="U139" s="469" t="s">
        <v>2808</v>
      </c>
    </row>
    <row r="140" spans="1:22" ht="30" x14ac:dyDescent="0.25">
      <c r="A140" s="446" t="s">
        <v>2636</v>
      </c>
      <c r="B140" s="332" t="str">
        <f>VLOOKUP(A140,'Feature Raw Data'!$A$3:$B$4067,2,FALSE)</f>
        <v>GFXHUB:GCUTCL2:ATCL2 - Snoop Override</v>
      </c>
      <c r="C140" s="273" t="str">
        <f>VLOOKUP(A140,'Feature Raw Data'!$A$3:$C$4067,3,FALSE)</f>
        <v>P2</v>
      </c>
      <c r="D140" s="82" t="str" cm="1">
        <f t="array" ref="D140">_xlfn.TEXTJOIN("",TRUE,IF(ISNUMBER(SEARCH($A140,'Diags Raw Data'!$A$6:$A$4699)),CONCATENATE('Diags Raw Data'!$H$6:$H$4699,", "),""))</f>
        <v xml:space="preserve">mhub416.1-4, </v>
      </c>
      <c r="E140" s="169" t="e">
        <f>VLOOKUP(A140,'Diags Raw Data'!$A$6:$D$4699,4,FALSE)</f>
        <v>#N/A</v>
      </c>
      <c r="F140" s="169" t="str">
        <f>VLOOKUP(A140,'Feature Raw Data'!$A$3:$E$4067,5,FALSE)</f>
        <v>Legacy</v>
      </c>
      <c r="G140" s="169" t="str">
        <f t="shared" si="78"/>
        <v>Yes</v>
      </c>
      <c r="H140" s="169" t="str">
        <f t="shared" si="73"/>
        <v>Yes</v>
      </c>
      <c r="I140" s="273">
        <f>SUMIF('Diags Raw Data'!$A$6:$A$4699,"*"&amp;$A140&amp;"*",'Diags Raw Data'!$K$6:$K$4699)</f>
        <v>1</v>
      </c>
      <c r="J140" s="179">
        <f>SUMIF('Diags Raw Data'!$A$6:$A$4699,"*"&amp;$A140&amp;"*",'Diags Raw Data'!$L$6:$L$4699)</f>
        <v>4</v>
      </c>
      <c r="K140" s="416" cm="1">
        <f t="array" ref="K140">IF(D140="",0, SUMPRODUCT(--(ISNUMBER(SEARCH($A140,'Diags Raw Data'!$A$6:$A$4699))),'Diags Raw Data'!$L$6:$L$4699,'Diags Raw Data'!$N$6:$N$4699)/J140)</f>
        <v>1</v>
      </c>
      <c r="L140" s="417" cm="1">
        <f t="array" ref="L140">IF(D140="",0, SUMPRODUCT(--(ISNUMBER(SEARCH($A140,'Diags Raw Data'!$A$6:$A$4699))),'Diags Raw Data'!$L$6:$L$4699,'Diags Raw Data'!$P$6:$P$4699)/J140)</f>
        <v>1</v>
      </c>
      <c r="M140" s="418" cm="1">
        <f t="array" ref="M140">SUMPRODUCT(--(ISNUMBER(SEARCH($A140,'Diags Raw Data'!$A$6:$A$4699))),--('Diags Raw Data'!$Q$6:$Q$4699&lt;&gt;"N/A"),'Diags Raw Data'!$R$6:$R$4699)</f>
        <v>4</v>
      </c>
      <c r="N140" s="419" cm="1">
        <f t="array" ref="N140">SUMPRODUCT(--(ISNUMBER(SEARCH($A140,'Diags Raw Data'!$A$6:$A$4699))),--('Diags Raw Data'!$Q$6:$Q$4699&lt;&gt;"N/A"),'Diags Raw Data'!$T$6:$T$4699)+SUMPRODUCT(--(ISNUMBER(SEARCH($A140,'Diags Raw Data'!$A$6:$A$4699))),--('Diags Raw Data'!$Q$6:$Q$4699&lt;&gt;"N/A"),'Diags Raw Data'!$U$6:$U$4699)</f>
        <v>4</v>
      </c>
      <c r="O140" s="462">
        <f t="shared" si="74"/>
        <v>1</v>
      </c>
      <c r="P140" s="420">
        <f>SUMIF('Diags Raw Data'!$A$6:$A$4699,"*"&amp;$A140&amp;"*",'Diags Raw Data'!$Z$6:$Z$4699)</f>
        <v>0</v>
      </c>
      <c r="Q140" s="421">
        <f>SUM(SUMIF('Diags Raw Data'!$A$6:$A$4699,"*"&amp;$A140&amp;"*",'Diags Raw Data'!$AA$6:$AA$4699),SUMIF('Diags Raw Data'!$A$6:$A$4699,"*"&amp;$A140&amp;"*",'Diags Raw Data'!$AB$6:$AB$4699))</f>
        <v>0</v>
      </c>
      <c r="R140" s="422">
        <f t="shared" si="75"/>
        <v>0</v>
      </c>
      <c r="S140" s="422">
        <f t="shared" si="76"/>
        <v>0</v>
      </c>
      <c r="T140" s="423">
        <f t="shared" si="77"/>
        <v>0</v>
      </c>
      <c r="U140" s="469" t="s">
        <v>2802</v>
      </c>
    </row>
    <row r="141" spans="1:22" ht="30" x14ac:dyDescent="0.25">
      <c r="A141" s="446" t="s">
        <v>2639</v>
      </c>
      <c r="B141" s="332" t="str">
        <f>VLOOKUP(A141,'Feature Raw Data'!$A$3:$B$4067,2,FALSE)</f>
        <v>GFXHUB:GCUTCL2:ATCL2 - Invalidate by Address Range and VMID aka "Sharpshooting"</v>
      </c>
      <c r="C141" s="273" t="str">
        <f>VLOOKUP(A141,'Feature Raw Data'!$A$3:$C$4067,3,FALSE)</f>
        <v>P2</v>
      </c>
      <c r="D141" s="82" t="str" cm="1">
        <f t="array" ref="D141">_xlfn.TEXTJOIN("",TRUE,IF(ISNUMBER(SEARCH($A141,'Diags Raw Data'!$A$6:$A$4699)),CONCATENATE('Diags Raw Data'!$H$6:$H$4699,", "),""))</f>
        <v xml:space="preserve">mhub269.1-5, </v>
      </c>
      <c r="E141" s="169" t="e">
        <f>VLOOKUP(A141,'Diags Raw Data'!$A$6:$D$4699,4,FALSE)</f>
        <v>#N/A</v>
      </c>
      <c r="F141" s="169" t="str">
        <f>VLOOKUP(A141,'Feature Raw Data'!$A$3:$E$4067,5,FALSE)</f>
        <v>Legacy</v>
      </c>
      <c r="G141" s="169" t="str">
        <f t="shared" si="78"/>
        <v>Yes</v>
      </c>
      <c r="H141" s="169" t="str">
        <f t="shared" si="73"/>
        <v>Yes</v>
      </c>
      <c r="I141" s="273">
        <f>SUMIF('Diags Raw Data'!$A$6:$A$4699,"*"&amp;$A141&amp;"*",'Diags Raw Data'!$K$6:$K$4699)</f>
        <v>1</v>
      </c>
      <c r="J141" s="179">
        <f>SUMIF('Diags Raw Data'!$A$6:$A$4699,"*"&amp;$A141&amp;"*",'Diags Raw Data'!$L$6:$L$4699)</f>
        <v>5</v>
      </c>
      <c r="K141" s="416" cm="1">
        <f t="array" ref="K141">IF(D141="",0, SUMPRODUCT(--(ISNUMBER(SEARCH($A141,'Diags Raw Data'!$A$6:$A$4699))),'Diags Raw Data'!$L$6:$L$4699,'Diags Raw Data'!$N$6:$N$4699)/J141)</f>
        <v>1</v>
      </c>
      <c r="L141" s="417" cm="1">
        <f t="array" ref="L141">IF(D141="",0, SUMPRODUCT(--(ISNUMBER(SEARCH($A141,'Diags Raw Data'!$A$6:$A$4699))),'Diags Raw Data'!$L$6:$L$4699,'Diags Raw Data'!$P$6:$P$4699)/J141)</f>
        <v>1</v>
      </c>
      <c r="M141" s="418" cm="1">
        <f t="array" ref="M141">SUMPRODUCT(--(ISNUMBER(SEARCH($A141,'Diags Raw Data'!$A$6:$A$4699))),--('Diags Raw Data'!$Q$6:$Q$4699&lt;&gt;"N/A"),'Diags Raw Data'!$R$6:$R$4699)</f>
        <v>5</v>
      </c>
      <c r="N141" s="419" cm="1">
        <f t="array" ref="N141">SUMPRODUCT(--(ISNUMBER(SEARCH($A141,'Diags Raw Data'!$A$6:$A$4699))),--('Diags Raw Data'!$Q$6:$Q$4699&lt;&gt;"N/A"),'Diags Raw Data'!$T$6:$T$4699)+SUMPRODUCT(--(ISNUMBER(SEARCH($A141,'Diags Raw Data'!$A$6:$A$4699))),--('Diags Raw Data'!$Q$6:$Q$4699&lt;&gt;"N/A"),'Diags Raw Data'!$U$6:$U$4699)</f>
        <v>5</v>
      </c>
      <c r="O141" s="462">
        <f t="shared" si="74"/>
        <v>1</v>
      </c>
      <c r="P141" s="420">
        <f>SUMIF('Diags Raw Data'!$A$6:$A$4699,"*"&amp;$A141&amp;"*",'Diags Raw Data'!$Z$6:$Z$4699)</f>
        <v>0</v>
      </c>
      <c r="Q141" s="421">
        <f>SUM(SUMIF('Diags Raw Data'!$A$6:$A$4699,"*"&amp;$A141&amp;"*",'Diags Raw Data'!$AA$6:$AA$4699),SUMIF('Diags Raw Data'!$A$6:$A$4699,"*"&amp;$A141&amp;"*",'Diags Raw Data'!$AB$6:$AB$4699))</f>
        <v>0</v>
      </c>
      <c r="R141" s="422">
        <f t="shared" si="75"/>
        <v>0</v>
      </c>
      <c r="S141" s="422">
        <f t="shared" si="76"/>
        <v>0</v>
      </c>
      <c r="T141" s="423">
        <f t="shared" si="77"/>
        <v>0</v>
      </c>
      <c r="U141" s="469" t="s">
        <v>2804</v>
      </c>
    </row>
    <row r="142" spans="1:22" ht="90" x14ac:dyDescent="0.25">
      <c r="A142" s="446" t="s">
        <v>2641</v>
      </c>
      <c r="B142" s="332" t="str">
        <f>VLOOKUP(A142,'Feature Raw Data'!$A$3:$B$4067,2,FALSE)</f>
        <v>GFXHUB:GCUTCL2:ATCL2 - lightweight/heavyweight flush-type invalidation</v>
      </c>
      <c r="C142" s="273" t="str">
        <f>VLOOKUP(A142,'Feature Raw Data'!$A$3:$C$4067,3,FALSE)</f>
        <v>P2</v>
      </c>
      <c r="D142" s="82" t="str" cm="1">
        <f t="array" ref="D142">_xlfn.TEXTJOIN("",TRUE,IF(ISNUMBER(SEARCH($A142,'Diags Raw Data'!$A$6:$A$4699)),CONCATENATE('Diags Raw Data'!$H$6:$H$4699,", "),""))</f>
        <v xml:space="preserve">mhub264.1,3, mhub264.2,4, mhub267.1-4, mhub50.1-4, </v>
      </c>
      <c r="E142" s="169" t="e">
        <f>VLOOKUP(A142,'Diags Raw Data'!$A$6:$D$4699,4,FALSE)</f>
        <v>#N/A</v>
      </c>
      <c r="F142" s="169" t="str">
        <f>VLOOKUP(A142,'Feature Raw Data'!$A$3:$E$4067,5,FALSE)</f>
        <v>Legacy</v>
      </c>
      <c r="G142" s="169" t="str">
        <f t="shared" si="78"/>
        <v>Yes</v>
      </c>
      <c r="H142" s="169" t="str">
        <f t="shared" si="73"/>
        <v>Yes</v>
      </c>
      <c r="I142" s="273">
        <f>SUMIF('Diags Raw Data'!$A$6:$A$4699,"*"&amp;$A142&amp;"*",'Diags Raw Data'!$K$6:$K$4699)</f>
        <v>7</v>
      </c>
      <c r="J142" s="179">
        <f>SUMIF('Diags Raw Data'!$A$6:$A$4699,"*"&amp;$A142&amp;"*",'Diags Raw Data'!$L$6:$L$4699)</f>
        <v>12</v>
      </c>
      <c r="K142" s="416" cm="1">
        <f t="array" ref="K142">IF(D142="",0, SUMPRODUCT(--(ISNUMBER(SEARCH($A142,'Diags Raw Data'!$A$6:$A$4699))),'Diags Raw Data'!$L$6:$L$4699,'Diags Raw Data'!$N$6:$N$4699)/J142)</f>
        <v>1</v>
      </c>
      <c r="L142" s="417" cm="1">
        <f t="array" ref="L142">IF(D142="",0, SUMPRODUCT(--(ISNUMBER(SEARCH($A142,'Diags Raw Data'!$A$6:$A$4699))),'Diags Raw Data'!$L$6:$L$4699,'Diags Raw Data'!$P$6:$P$4699)/J142)</f>
        <v>1</v>
      </c>
      <c r="M142" s="418" cm="1">
        <f t="array" ref="M142">SUMPRODUCT(--(ISNUMBER(SEARCH($A142,'Diags Raw Data'!$A$6:$A$4699))),--('Diags Raw Data'!$Q$6:$Q$4699&lt;&gt;"N/A"),'Diags Raw Data'!$R$6:$R$4699)</f>
        <v>8</v>
      </c>
      <c r="N142" s="419" cm="1">
        <f t="array" ref="N142">SUMPRODUCT(--(ISNUMBER(SEARCH($A142,'Diags Raw Data'!$A$6:$A$4699))),--('Diags Raw Data'!$Q$6:$Q$4699&lt;&gt;"N/A"),'Diags Raw Data'!$T$6:$T$4699)+SUMPRODUCT(--(ISNUMBER(SEARCH($A142,'Diags Raw Data'!$A$6:$A$4699))),--('Diags Raw Data'!$Q$6:$Q$4699&lt;&gt;"N/A"),'Diags Raw Data'!$U$6:$U$4699)</f>
        <v>8</v>
      </c>
      <c r="O142" s="462">
        <f t="shared" si="74"/>
        <v>1</v>
      </c>
      <c r="P142" s="420">
        <f>SUMIF('Diags Raw Data'!$A$6:$A$4699,"*"&amp;$A142&amp;"*",'Diags Raw Data'!$Z$6:$Z$4699)</f>
        <v>0</v>
      </c>
      <c r="Q142" s="421">
        <f>SUM(SUMIF('Diags Raw Data'!$A$6:$A$4699,"*"&amp;$A142&amp;"*",'Diags Raw Data'!$AA$6:$AA$4699),SUMIF('Diags Raw Data'!$A$6:$A$4699,"*"&amp;$A142&amp;"*",'Diags Raw Data'!$AB$6:$AB$4699))</f>
        <v>0</v>
      </c>
      <c r="R142" s="422">
        <f t="shared" si="75"/>
        <v>0</v>
      </c>
      <c r="S142" s="422">
        <f t="shared" si="76"/>
        <v>0</v>
      </c>
      <c r="T142" s="423">
        <f t="shared" si="77"/>
        <v>0</v>
      </c>
      <c r="U142" s="469" t="s">
        <v>2801</v>
      </c>
    </row>
    <row r="143" spans="1:22" ht="120" x14ac:dyDescent="0.25">
      <c r="A143" s="446" t="s">
        <v>2643</v>
      </c>
      <c r="B143" s="332" t="str">
        <f>VLOOKUP(A143,'Feature Raw Data'!$A$3:$B$4067,2,FALSE)</f>
        <v>GFXHUB:GCUTCL2:ATCL2 - Swappable smallK/midk/bigK caches</v>
      </c>
      <c r="C143" s="273" t="str">
        <f>VLOOKUP(A143,'Feature Raw Data'!$A$3:$C$4067,3,FALSE)</f>
        <v>P2</v>
      </c>
      <c r="D143" s="82" t="str" cm="1">
        <f t="array" ref="D143">_xlfn.TEXTJOIN("",TRUE,IF(ISNUMBER(SEARCH($A143,'Diags Raw Data'!$A$6:$A$4699)),CONCATENATE('Diags Raw Data'!$H$6:$H$4699,", "),""))</f>
        <v xml:space="preserve">mhub240.1, mhub240.2, mhub240.3, mhub240.4, mhub240.5, mhub240.6, mhub264.1,3, </v>
      </c>
      <c r="E143" s="169" t="e">
        <f>VLOOKUP(A143,'Diags Raw Data'!$A$6:$D$4699,4,FALSE)</f>
        <v>#N/A</v>
      </c>
      <c r="F143" s="169" t="str">
        <f>VLOOKUP(A143,'Feature Raw Data'!$A$3:$E$4067,5,FALSE)</f>
        <v>Legacy</v>
      </c>
      <c r="G143" s="169" t="str">
        <f t="shared" si="78"/>
        <v>Yes</v>
      </c>
      <c r="H143" s="169" t="str">
        <f t="shared" si="73"/>
        <v>Yes</v>
      </c>
      <c r="I143" s="273">
        <f>SUMIF('Diags Raw Data'!$A$6:$A$4699,"*"&amp;$A143&amp;"*",'Diags Raw Data'!$K$6:$K$4699)</f>
        <v>7</v>
      </c>
      <c r="J143" s="179">
        <f>SUMIF('Diags Raw Data'!$A$6:$A$4699,"*"&amp;$A143&amp;"*",'Diags Raw Data'!$L$6:$L$4699)</f>
        <v>8</v>
      </c>
      <c r="K143" s="416" cm="1">
        <f t="array" ref="K143">IF(D143="",0, SUMPRODUCT(--(ISNUMBER(SEARCH($A143,'Diags Raw Data'!$A$6:$A$4699))),'Diags Raw Data'!$L$6:$L$4699,'Diags Raw Data'!$N$6:$N$4699)/J143)</f>
        <v>1</v>
      </c>
      <c r="L143" s="417" cm="1">
        <f t="array" ref="L143">IF(D143="",0, SUMPRODUCT(--(ISNUMBER(SEARCH($A143,'Diags Raw Data'!$A$6:$A$4699))),'Diags Raw Data'!$L$6:$L$4699,'Diags Raw Data'!$P$6:$P$4699)/J143)</f>
        <v>1</v>
      </c>
      <c r="M143" s="418" cm="1">
        <f t="array" ref="M143">SUMPRODUCT(--(ISNUMBER(SEARCH($A143,'Diags Raw Data'!$A$6:$A$4699))),--('Diags Raw Data'!$Q$6:$Q$4699&lt;&gt;"N/A"),'Diags Raw Data'!$R$6:$R$4699)</f>
        <v>8</v>
      </c>
      <c r="N143" s="419" cm="1">
        <f t="array" ref="N143">SUMPRODUCT(--(ISNUMBER(SEARCH($A143,'Diags Raw Data'!$A$6:$A$4699))),--('Diags Raw Data'!$Q$6:$Q$4699&lt;&gt;"N/A"),'Diags Raw Data'!$T$6:$T$4699)+SUMPRODUCT(--(ISNUMBER(SEARCH($A143,'Diags Raw Data'!$A$6:$A$4699))),--('Diags Raw Data'!$Q$6:$Q$4699&lt;&gt;"N/A"),'Diags Raw Data'!$U$6:$U$4699)</f>
        <v>8</v>
      </c>
      <c r="O143" s="462">
        <f t="shared" si="74"/>
        <v>1</v>
      </c>
      <c r="P143" s="420">
        <f>SUMIF('Diags Raw Data'!$A$6:$A$4699,"*"&amp;$A143&amp;"*",'Diags Raw Data'!$Z$6:$Z$4699)</f>
        <v>0</v>
      </c>
      <c r="Q143" s="421">
        <f>SUM(SUMIF('Diags Raw Data'!$A$6:$A$4699,"*"&amp;$A143&amp;"*",'Diags Raw Data'!$AA$6:$AA$4699),SUMIF('Diags Raw Data'!$A$6:$A$4699,"*"&amp;$A143&amp;"*",'Diags Raw Data'!$AB$6:$AB$4699))</f>
        <v>0</v>
      </c>
      <c r="R143" s="422">
        <f t="shared" si="75"/>
        <v>0</v>
      </c>
      <c r="S143" s="422">
        <f t="shared" si="76"/>
        <v>0</v>
      </c>
      <c r="T143" s="423">
        <f t="shared" si="77"/>
        <v>0</v>
      </c>
      <c r="U143" s="469" t="s">
        <v>2805</v>
      </c>
    </row>
    <row r="144" spans="1:22" x14ac:dyDescent="0.25">
      <c r="A144" s="446" t="s">
        <v>2647</v>
      </c>
      <c r="B144" s="332" t="str">
        <f>VLOOKUP(A144,'Feature Raw Data'!$A$3:$B$4067,2,FALSE)</f>
        <v>GFXHUB:GCUTCL2:ATCL2 - Work queue QoS</v>
      </c>
      <c r="C144" s="273" t="str">
        <f>VLOOKUP(A144,'Feature Raw Data'!$A$3:$C$4067,3,FALSE)</f>
        <v>P2</v>
      </c>
      <c r="D144" s="82" t="str" cm="1">
        <f t="array" ref="D144">_xlfn.TEXTJOIN("",TRUE,IF(ISNUMBER(SEARCH($A144,'Diags Raw Data'!$A$6:$A$4699)),CONCATENATE('Diags Raw Data'!$H$6:$H$4699,", "),""))</f>
        <v xml:space="preserve">mhub340.1, </v>
      </c>
      <c r="E144" s="169" t="e">
        <f>VLOOKUP(A144,'Diags Raw Data'!$A$6:$D$4699,4,FALSE)</f>
        <v>#N/A</v>
      </c>
      <c r="F144" s="169" t="str">
        <f>VLOOKUP(A144,'Feature Raw Data'!$A$3:$E$4067,5,FALSE)</f>
        <v>Legacy</v>
      </c>
      <c r="G144" s="169" t="str">
        <f t="shared" si="78"/>
        <v>Yes</v>
      </c>
      <c r="H144" s="169" t="str">
        <f t="shared" si="73"/>
        <v>Yes</v>
      </c>
      <c r="I144" s="273">
        <f>SUMIF('Diags Raw Data'!$A$6:$A$4699,"*"&amp;$A144&amp;"*",'Diags Raw Data'!$K$6:$K$4699)</f>
        <v>1</v>
      </c>
      <c r="J144" s="179">
        <f>SUMIF('Diags Raw Data'!$A$6:$A$4699,"*"&amp;$A144&amp;"*",'Diags Raw Data'!$L$6:$L$4699)</f>
        <v>1</v>
      </c>
      <c r="K144" s="416" cm="1">
        <f t="array" ref="K144">IF(D144="",0, SUMPRODUCT(--(ISNUMBER(SEARCH($A144,'Diags Raw Data'!$A$6:$A$4699))),'Diags Raw Data'!$L$6:$L$4699,'Diags Raw Data'!$N$6:$N$4699)/J144)</f>
        <v>1</v>
      </c>
      <c r="L144" s="417" cm="1">
        <f t="array" ref="L144">IF(D144="",0, SUMPRODUCT(--(ISNUMBER(SEARCH($A144,'Diags Raw Data'!$A$6:$A$4699))),'Diags Raw Data'!$L$6:$L$4699,'Diags Raw Data'!$P$6:$P$4699)/J144)</f>
        <v>1</v>
      </c>
      <c r="M144" s="418" cm="1">
        <f t="array" ref="M144">SUMPRODUCT(--(ISNUMBER(SEARCH($A144,'Diags Raw Data'!$A$6:$A$4699))),--('Diags Raw Data'!$Q$6:$Q$4699&lt;&gt;"N/A"),'Diags Raw Data'!$R$6:$R$4699)</f>
        <v>1</v>
      </c>
      <c r="N144" s="419" cm="1">
        <f t="array" ref="N144">SUMPRODUCT(--(ISNUMBER(SEARCH($A144,'Diags Raw Data'!$A$6:$A$4699))),--('Diags Raw Data'!$Q$6:$Q$4699&lt;&gt;"N/A"),'Diags Raw Data'!$T$6:$T$4699)+SUMPRODUCT(--(ISNUMBER(SEARCH($A144,'Diags Raw Data'!$A$6:$A$4699))),--('Diags Raw Data'!$Q$6:$Q$4699&lt;&gt;"N/A"),'Diags Raw Data'!$U$6:$U$4699)</f>
        <v>1</v>
      </c>
      <c r="O144" s="462">
        <f t="shared" si="74"/>
        <v>1</v>
      </c>
      <c r="P144" s="420">
        <f>SUMIF('Diags Raw Data'!$A$6:$A$4699,"*"&amp;$A144&amp;"*",'Diags Raw Data'!$Z$6:$Z$4699)</f>
        <v>0</v>
      </c>
      <c r="Q144" s="421">
        <f>SUM(SUMIF('Diags Raw Data'!$A$6:$A$4699,"*"&amp;$A144&amp;"*",'Diags Raw Data'!$AA$6:$AA$4699),SUMIF('Diags Raw Data'!$A$6:$A$4699,"*"&amp;$A144&amp;"*",'Diags Raw Data'!$AB$6:$AB$4699))</f>
        <v>0</v>
      </c>
      <c r="R144" s="422">
        <f t="shared" si="75"/>
        <v>0</v>
      </c>
      <c r="S144" s="422">
        <f t="shared" si="76"/>
        <v>0</v>
      </c>
      <c r="T144" s="423">
        <f t="shared" si="77"/>
        <v>0</v>
      </c>
      <c r="U144" s="469" t="s">
        <v>2807</v>
      </c>
    </row>
    <row r="145" spans="1:22" ht="45" x14ac:dyDescent="0.25">
      <c r="A145" s="446" t="s">
        <v>2649</v>
      </c>
      <c r="B145" s="332" t="str">
        <f>VLOOKUP(A145,'Feature Raw Data'!$A$3:$B$4067,2,FALSE)</f>
        <v>GFXHUB:GCUTCL2:ATCL2 - Combines both VM and ATC translations into one response</v>
      </c>
      <c r="C145" s="273" t="str">
        <f>VLOOKUP(A145,'Feature Raw Data'!$A$3:$C$4067,3,FALSE)</f>
        <v>P2</v>
      </c>
      <c r="D145" s="82" t="str" cm="1">
        <f t="array" ref="D145">_xlfn.TEXTJOIN("",TRUE,IF(ISNUMBER(SEARCH($A145,'Diags Raw Data'!$A$6:$A$4699)),CONCATENATE('Diags Raw Data'!$H$6:$H$4699,", "),""))</f>
        <v xml:space="preserve">mhub402.1-6,11-16,21-26, </v>
      </c>
      <c r="E145" s="169" t="e">
        <f>VLOOKUP(A145,'Diags Raw Data'!$A$6:$D$4699,4,FALSE)</f>
        <v>#N/A</v>
      </c>
      <c r="F145" s="169" t="str">
        <f>VLOOKUP(A145,'Feature Raw Data'!$A$3:$E$4067,5,FALSE)</f>
        <v>Legacy</v>
      </c>
      <c r="G145" s="169" t="str">
        <f t="shared" si="78"/>
        <v>Yes</v>
      </c>
      <c r="H145" s="169" t="str">
        <f t="shared" si="73"/>
        <v>Yes</v>
      </c>
      <c r="I145" s="273">
        <f>SUMIF('Diags Raw Data'!$A$6:$A$4699,"*"&amp;$A145&amp;"*",'Diags Raw Data'!$K$6:$K$4699)</f>
        <v>1</v>
      </c>
      <c r="J145" s="179">
        <f>SUMIF('Diags Raw Data'!$A$6:$A$4699,"*"&amp;$A145&amp;"*",'Diags Raw Data'!$L$6:$L$4699)</f>
        <v>18</v>
      </c>
      <c r="K145" s="416" cm="1">
        <f t="array" ref="K145">IF(D145="",0, SUMPRODUCT(--(ISNUMBER(SEARCH($A145,'Diags Raw Data'!$A$6:$A$4699))),'Diags Raw Data'!$L$6:$L$4699,'Diags Raw Data'!$N$6:$N$4699)/J145)</f>
        <v>1</v>
      </c>
      <c r="L145" s="417" cm="1">
        <f t="array" ref="L145">IF(D145="",0, SUMPRODUCT(--(ISNUMBER(SEARCH($A145,'Diags Raw Data'!$A$6:$A$4699))),'Diags Raw Data'!$L$6:$L$4699,'Diags Raw Data'!$P$6:$P$4699)/J145)</f>
        <v>0</v>
      </c>
      <c r="M145" s="418" cm="1">
        <f t="array" ref="M145">SUMPRODUCT(--(ISNUMBER(SEARCH($A145,'Diags Raw Data'!$A$6:$A$4699))),--('Diags Raw Data'!$Q$6:$Q$4699&lt;&gt;"N/A"),'Diags Raw Data'!$R$6:$R$4699)</f>
        <v>18</v>
      </c>
      <c r="N145" s="419" cm="1">
        <f t="array" ref="N145">SUMPRODUCT(--(ISNUMBER(SEARCH($A145,'Diags Raw Data'!$A$6:$A$4699))),--('Diags Raw Data'!$Q$6:$Q$4699&lt;&gt;"N/A"),'Diags Raw Data'!$T$6:$T$4699)+SUMPRODUCT(--(ISNUMBER(SEARCH($A145,'Diags Raw Data'!$A$6:$A$4699))),--('Diags Raw Data'!$Q$6:$Q$4699&lt;&gt;"N/A"),'Diags Raw Data'!$U$6:$U$4699)</f>
        <v>18</v>
      </c>
      <c r="O145" s="462">
        <f t="shared" si="74"/>
        <v>1</v>
      </c>
      <c r="P145" s="420">
        <f>SUMIF('Diags Raw Data'!$A$6:$A$4699,"*"&amp;$A145&amp;"*",'Diags Raw Data'!$Z$6:$Z$4699)</f>
        <v>0</v>
      </c>
      <c r="Q145" s="421">
        <f>SUM(SUMIF('Diags Raw Data'!$A$6:$A$4699,"*"&amp;$A145&amp;"*",'Diags Raw Data'!$AA$6:$AA$4699),SUMIF('Diags Raw Data'!$A$6:$A$4699,"*"&amp;$A145&amp;"*",'Diags Raw Data'!$AB$6:$AB$4699))</f>
        <v>0</v>
      </c>
      <c r="R145" s="422">
        <f t="shared" si="75"/>
        <v>0</v>
      </c>
      <c r="S145" s="422">
        <f t="shared" si="76"/>
        <v>0</v>
      </c>
      <c r="T145" s="423">
        <f t="shared" si="77"/>
        <v>0</v>
      </c>
      <c r="U145" s="469" t="s">
        <v>2796</v>
      </c>
    </row>
    <row r="146" spans="1:22" ht="30" x14ac:dyDescent="0.25">
      <c r="A146" s="446" t="s">
        <v>2651</v>
      </c>
      <c r="B146" s="332" t="str">
        <f>VLOOKUP(A146,'Feature Raw Data'!$A$3:$B$4067,2,FALSE)</f>
        <v>GFXHUB:GCUTCL2:ATCL2 - PTE permissions returned</v>
      </c>
      <c r="C146" s="273" t="str">
        <f>VLOOKUP(A146,'Feature Raw Data'!$A$3:$C$4067,3,FALSE)</f>
        <v>P2</v>
      </c>
      <c r="D146" s="82" t="str" cm="1">
        <f t="array" ref="D146">_xlfn.TEXTJOIN("",TRUE,IF(ISNUMBER(SEARCH($A146,'Diags Raw Data'!$A$6:$A$4699)),CONCATENATE('Diags Raw Data'!$H$6:$H$4699,", "),""))</f>
        <v xml:space="preserve">mhub341.1, </v>
      </c>
      <c r="E146" s="169" t="e">
        <f>VLOOKUP(A146,'Diags Raw Data'!$A$6:$D$4699,4,FALSE)</f>
        <v>#N/A</v>
      </c>
      <c r="F146" s="169" t="str">
        <f>VLOOKUP(A146,'Feature Raw Data'!$A$3:$E$4067,5,FALSE)</f>
        <v>Legacy</v>
      </c>
      <c r="G146" s="169" t="str">
        <f t="shared" si="78"/>
        <v>Yes</v>
      </c>
      <c r="H146" s="169" t="str">
        <f t="shared" si="73"/>
        <v>Yes</v>
      </c>
      <c r="I146" s="273">
        <f>SUMIF('Diags Raw Data'!$A$6:$A$4699,"*"&amp;$A146&amp;"*",'Diags Raw Data'!$K$6:$K$4699)</f>
        <v>1</v>
      </c>
      <c r="J146" s="179">
        <f>SUMIF('Diags Raw Data'!$A$6:$A$4699,"*"&amp;$A146&amp;"*",'Diags Raw Data'!$L$6:$L$4699)</f>
        <v>1</v>
      </c>
      <c r="K146" s="416" cm="1">
        <f t="array" ref="K146">IF(D146="",0, SUMPRODUCT(--(ISNUMBER(SEARCH($A146,'Diags Raw Data'!$A$6:$A$4699))),'Diags Raw Data'!$L$6:$L$4699,'Diags Raw Data'!$N$6:$N$4699)/J146)</f>
        <v>1</v>
      </c>
      <c r="L146" s="417" cm="1">
        <f t="array" ref="L146">IF(D146="",0, SUMPRODUCT(--(ISNUMBER(SEARCH($A146,'Diags Raw Data'!$A$6:$A$4699))),'Diags Raw Data'!$L$6:$L$4699,'Diags Raw Data'!$P$6:$P$4699)/J146)</f>
        <v>1</v>
      </c>
      <c r="M146" s="418" cm="1">
        <f t="array" ref="M146">SUMPRODUCT(--(ISNUMBER(SEARCH($A146,'Diags Raw Data'!$A$6:$A$4699))),--('Diags Raw Data'!$Q$6:$Q$4699&lt;&gt;"N/A"),'Diags Raw Data'!$R$6:$R$4699)</f>
        <v>1</v>
      </c>
      <c r="N146" s="419" cm="1">
        <f t="array" ref="N146">SUMPRODUCT(--(ISNUMBER(SEARCH($A146,'Diags Raw Data'!$A$6:$A$4699))),--('Diags Raw Data'!$Q$6:$Q$4699&lt;&gt;"N/A"),'Diags Raw Data'!$T$6:$T$4699)+SUMPRODUCT(--(ISNUMBER(SEARCH($A146,'Diags Raw Data'!$A$6:$A$4699))),--('Diags Raw Data'!$Q$6:$Q$4699&lt;&gt;"N/A"),'Diags Raw Data'!$U$6:$U$4699)</f>
        <v>1</v>
      </c>
      <c r="O146" s="462">
        <f t="shared" si="74"/>
        <v>1</v>
      </c>
      <c r="P146" s="420">
        <f>SUMIF('Diags Raw Data'!$A$6:$A$4699,"*"&amp;$A146&amp;"*",'Diags Raw Data'!$Z$6:$Z$4699)</f>
        <v>0</v>
      </c>
      <c r="Q146" s="421">
        <f>SUM(SUMIF('Diags Raw Data'!$A$6:$A$4699,"*"&amp;$A146&amp;"*",'Diags Raw Data'!$AA$6:$AA$4699),SUMIF('Diags Raw Data'!$A$6:$A$4699,"*"&amp;$A146&amp;"*",'Diags Raw Data'!$AB$6:$AB$4699))</f>
        <v>0</v>
      </c>
      <c r="R146" s="422">
        <f t="shared" si="75"/>
        <v>0</v>
      </c>
      <c r="S146" s="422">
        <f t="shared" si="76"/>
        <v>0</v>
      </c>
      <c r="T146" s="423">
        <f t="shared" si="77"/>
        <v>0</v>
      </c>
      <c r="U146" s="469" t="s">
        <v>2807</v>
      </c>
    </row>
    <row r="147" spans="1:22" ht="45" x14ac:dyDescent="0.25">
      <c r="A147" s="446" t="s">
        <v>2653</v>
      </c>
      <c r="B147" s="332" t="str">
        <f>VLOOKUP(A147,'Feature Raw Data'!$A$3:$B$4067,2,FALSE)</f>
        <v>GFXHUB:GCUTCL2:ATCL2 - Quiesce ATCL2 &lt;-&gt; ATHUB address translation SDP interface (GC and MM</v>
      </c>
      <c r="C147" s="273" t="str">
        <f>VLOOKUP(A147,'Feature Raw Data'!$A$3:$C$4067,3,FALSE)</f>
        <v>P2</v>
      </c>
      <c r="D147" s="82" t="str" cm="1">
        <f t="array" ref="D147">_xlfn.TEXTJOIN("",TRUE,IF(ISNUMBER(SEARCH($A147,'Diags Raw Data'!$A$6:$A$4699)),CONCATENATE('Diags Raw Data'!$H$6:$H$4699,", "),""))</f>
        <v/>
      </c>
      <c r="E147" s="169" t="e">
        <f>VLOOKUP(A147,'Diags Raw Data'!$A$6:$D$4699,4,FALSE)</f>
        <v>#N/A</v>
      </c>
      <c r="F147" s="169" t="str">
        <f>VLOOKUP(A147,'Feature Raw Data'!$A$3:$E$4067,5,FALSE)</f>
        <v>Legacy</v>
      </c>
      <c r="G147" s="169" t="str">
        <f t="shared" ref="G147:G152" si="79">IF(D147="","No","Yes")</f>
        <v>No</v>
      </c>
      <c r="H147" s="169" t="str">
        <f t="shared" ref="H147:H152" si="80">IF(D147="","No","Yes")</f>
        <v>No</v>
      </c>
      <c r="I147" s="273">
        <f>SUMIF('Diags Raw Data'!$A$6:$A$4699,"*"&amp;$A147&amp;"*",'Diags Raw Data'!$K$6:$K$4699)</f>
        <v>0</v>
      </c>
      <c r="J147" s="179">
        <f>SUMIF('Diags Raw Data'!$A$6:$A$4699,"*"&amp;$A147&amp;"*",'Diags Raw Data'!$L$6:$L$4699)</f>
        <v>0</v>
      </c>
      <c r="K147" s="416" cm="1">
        <f t="array" ref="K147">IF(D147="",0, SUMPRODUCT(--(ISNUMBER(SEARCH($A147,'Diags Raw Data'!$A$6:$A$4699))),'Diags Raw Data'!$L$6:$L$4699,'Diags Raw Data'!$N$6:$N$4699)/J147)</f>
        <v>0</v>
      </c>
      <c r="L147" s="417" cm="1">
        <f t="array" ref="L147">IF(D147="",0, SUMPRODUCT(--(ISNUMBER(SEARCH($A147,'Diags Raw Data'!$A$6:$A$4699))),'Diags Raw Data'!$L$6:$L$4699,'Diags Raw Data'!$P$6:$P$4699)/J147)</f>
        <v>0</v>
      </c>
      <c r="M147" s="418" cm="1">
        <f t="array" ref="M147">SUMPRODUCT(--(ISNUMBER(SEARCH($A147,'Diags Raw Data'!$A$6:$A$4699))),--('Diags Raw Data'!$Q$6:$Q$4699&lt;&gt;"N/A"),'Diags Raw Data'!$R$6:$R$4699)</f>
        <v>0</v>
      </c>
      <c r="N147" s="419" cm="1">
        <f t="array" ref="N147">SUMPRODUCT(--(ISNUMBER(SEARCH($A147,'Diags Raw Data'!$A$6:$A$4699))),--('Diags Raw Data'!$Q$6:$Q$4699&lt;&gt;"N/A"),'Diags Raw Data'!$T$6:$T$4699)+SUMPRODUCT(--(ISNUMBER(SEARCH($A147,'Diags Raw Data'!$A$6:$A$4699))),--('Diags Raw Data'!$Q$6:$Q$4699&lt;&gt;"N/A"),'Diags Raw Data'!$U$6:$U$4699)</f>
        <v>0</v>
      </c>
      <c r="O147" s="462">
        <f t="shared" ref="O147:O152" si="81">IF((M147=0),0,N147/M147)</f>
        <v>0</v>
      </c>
      <c r="P147" s="420">
        <f>SUMIF('Diags Raw Data'!$A$6:$A$4699,"*"&amp;$A147&amp;"*",'Diags Raw Data'!$Z$6:$Z$4699)</f>
        <v>0</v>
      </c>
      <c r="Q147" s="421">
        <f>SUM(SUMIF('Diags Raw Data'!$A$6:$A$4699,"*"&amp;$A147&amp;"*",'Diags Raw Data'!$AA$6:$AA$4699),SUMIF('Diags Raw Data'!$A$6:$A$4699,"*"&amp;$A147&amp;"*",'Diags Raw Data'!$AB$6:$AB$4699))</f>
        <v>0</v>
      </c>
      <c r="R147" s="422">
        <f t="shared" ref="R147:R152" si="82">IF((J147=0),0,P147/J147)</f>
        <v>0</v>
      </c>
      <c r="S147" s="422">
        <f t="shared" ref="S147:S152" si="83">IF((P147=0),0,Q147/P147)</f>
        <v>0</v>
      </c>
      <c r="T147" s="423">
        <f t="shared" ref="T147:T152" si="84">R147*S147</f>
        <v>0</v>
      </c>
      <c r="U147" s="469" t="s">
        <v>44</v>
      </c>
      <c r="V147" s="171" t="s">
        <v>43</v>
      </c>
    </row>
    <row r="148" spans="1:22" x14ac:dyDescent="0.25">
      <c r="A148" s="446" t="s">
        <v>2659</v>
      </c>
      <c r="B148" s="332" t="str">
        <f>VLOOKUP(A148,'Feature Raw Data'!$A$3:$B$4067,2,FALSE)</f>
        <v>GFXHUB:MAM - Configuration Registers</v>
      </c>
      <c r="C148" s="273" t="str">
        <f>VLOOKUP(A148,'Feature Raw Data'!$A$3:$C$4067,3,FALSE)</f>
        <v>N/A</v>
      </c>
      <c r="D148" s="82" t="str" cm="1">
        <f t="array" ref="D148">_xlfn.TEXTJOIN("",TRUE,IF(ISNUMBER(SEARCH($A148,'Diags Raw Data'!$A$6:$A$4699)),CONCATENATE('Diags Raw Data'!$H$6:$H$4699,", "),""))</f>
        <v/>
      </c>
      <c r="E148" s="169" t="e">
        <f>VLOOKUP(A148,'Diags Raw Data'!$A$6:$D$4699,4,FALSE)</f>
        <v>#N/A</v>
      </c>
      <c r="F148" s="169" t="str">
        <f>VLOOKUP(A148,'Feature Raw Data'!$A$3:$E$4067,5,FALSE)</f>
        <v>Legacy</v>
      </c>
      <c r="G148" s="169" t="str">
        <f t="shared" si="79"/>
        <v>No</v>
      </c>
      <c r="H148" s="169" t="str">
        <f t="shared" si="80"/>
        <v>No</v>
      </c>
      <c r="I148" s="273">
        <f>SUMIF('Diags Raw Data'!$A$6:$A$4699,"*"&amp;$A148&amp;"*",'Diags Raw Data'!$K$6:$K$4699)</f>
        <v>0</v>
      </c>
      <c r="J148" s="179">
        <f>SUMIF('Diags Raw Data'!$A$6:$A$4699,"*"&amp;$A148&amp;"*",'Diags Raw Data'!$L$6:$L$4699)</f>
        <v>0</v>
      </c>
      <c r="K148" s="416" cm="1">
        <f t="array" ref="K148">IF(D148="",0, SUMPRODUCT(--(ISNUMBER(SEARCH($A148,'Diags Raw Data'!$A$6:$A$4699))),'Diags Raw Data'!$L$6:$L$4699,'Diags Raw Data'!$N$6:$N$4699)/J148)</f>
        <v>0</v>
      </c>
      <c r="L148" s="417" cm="1">
        <f t="array" ref="L148">IF(D148="",0, SUMPRODUCT(--(ISNUMBER(SEARCH($A148,'Diags Raw Data'!$A$6:$A$4699))),'Diags Raw Data'!$L$6:$L$4699,'Diags Raw Data'!$P$6:$P$4699)/J148)</f>
        <v>0</v>
      </c>
      <c r="M148" s="418" cm="1">
        <f t="array" ref="M148">SUMPRODUCT(--(ISNUMBER(SEARCH($A148,'Diags Raw Data'!$A$6:$A$4699))),--('Diags Raw Data'!$Q$6:$Q$4699&lt;&gt;"N/A"),'Diags Raw Data'!$R$6:$R$4699)</f>
        <v>0</v>
      </c>
      <c r="N148" s="419" cm="1">
        <f t="array" ref="N148">SUMPRODUCT(--(ISNUMBER(SEARCH($A148,'Diags Raw Data'!$A$6:$A$4699))),--('Diags Raw Data'!$Q$6:$Q$4699&lt;&gt;"N/A"),'Diags Raw Data'!$T$6:$T$4699)+SUMPRODUCT(--(ISNUMBER(SEARCH($A148,'Diags Raw Data'!$A$6:$A$4699))),--('Diags Raw Data'!$Q$6:$Q$4699&lt;&gt;"N/A"),'Diags Raw Data'!$U$6:$U$4699)</f>
        <v>0</v>
      </c>
      <c r="O148" s="462">
        <f t="shared" si="81"/>
        <v>0</v>
      </c>
      <c r="P148" s="420">
        <f>SUMIF('Diags Raw Data'!$A$6:$A$4699,"*"&amp;$A148&amp;"*",'Diags Raw Data'!$Z$6:$Z$4699)</f>
        <v>0</v>
      </c>
      <c r="Q148" s="421">
        <f>SUM(SUMIF('Diags Raw Data'!$A$6:$A$4699,"*"&amp;$A148&amp;"*",'Diags Raw Data'!$AA$6:$AA$4699),SUMIF('Diags Raw Data'!$A$6:$A$4699,"*"&amp;$A148&amp;"*",'Diags Raw Data'!$AB$6:$AB$4699))</f>
        <v>0</v>
      </c>
      <c r="R148" s="422">
        <f t="shared" si="82"/>
        <v>0</v>
      </c>
      <c r="S148" s="422">
        <f t="shared" si="83"/>
        <v>0</v>
      </c>
      <c r="T148" s="423">
        <f t="shared" si="84"/>
        <v>0</v>
      </c>
      <c r="U148" s="469" t="s">
        <v>44</v>
      </c>
      <c r="V148" s="171" t="s">
        <v>43</v>
      </c>
    </row>
    <row r="149" spans="1:22" x14ac:dyDescent="0.25">
      <c r="A149" s="446" t="s">
        <v>2264</v>
      </c>
      <c r="B149" s="332" t="str">
        <f>VLOOKUP(A149,'Feature Raw Data'!$A$3:$B$4067,2,FALSE)</f>
        <v>GFXHUB:GCEA - Physical Addressing</v>
      </c>
      <c r="C149" s="273" t="str">
        <f>VLOOKUP(A149,'Feature Raw Data'!$A$3:$C$4067,3,FALSE)</f>
        <v>P2</v>
      </c>
      <c r="D149" s="82" t="str" cm="1">
        <f t="array" ref="D149">_xlfn.TEXTJOIN("",TRUE,IF(ISNUMBER(SEARCH($A149,'Diags Raw Data'!$A$6:$A$4699)),CONCATENATE('Diags Raw Data'!$H$6:$H$4699,", "),""))</f>
        <v xml:space="preserve">sdmaxxx, </v>
      </c>
      <c r="E149" s="169" t="str">
        <f>VLOOKUP(A149,'Diags Raw Data'!$A$6:$D$4699,4,FALSE)</f>
        <v>GCHUB</v>
      </c>
      <c r="F149" s="169" t="str">
        <f>VLOOKUP(A149,'Feature Raw Data'!$A$3:$E$4067,5,FALSE)</f>
        <v>Legacy</v>
      </c>
      <c r="G149" s="169" t="s">
        <v>31</v>
      </c>
      <c r="H149" s="169" t="str">
        <f>IF(D149="","No","Yes")</f>
        <v>Yes</v>
      </c>
      <c r="I149" s="273">
        <f>SUMIF('Diags Raw Data'!$A$6:$A$4699,"*"&amp;$A149&amp;"*",'Diags Raw Data'!$K$6:$K$4699)</f>
        <v>0</v>
      </c>
      <c r="J149" s="179">
        <f>SUMIF('Diags Raw Data'!$A$6:$A$4699,"*"&amp;$A149&amp;"*",'Diags Raw Data'!$L$6:$L$4699)</f>
        <v>0</v>
      </c>
      <c r="K149" s="416" t="e" cm="1">
        <f t="array" ref="K149">IF(D149="",0, SUMPRODUCT(--(ISNUMBER(SEARCH($A149,'Diags Raw Data'!$A$6:$A$4699))),'Diags Raw Data'!$L$6:$L$4699,'Diags Raw Data'!$N$6:$N$4699)/J149)</f>
        <v>#DIV/0!</v>
      </c>
      <c r="L149" s="417" t="e" cm="1">
        <f t="array" ref="L149">IF(D149="",0, SUMPRODUCT(--(ISNUMBER(SEARCH($A149,'Diags Raw Data'!$A$6:$A$4699))),'Diags Raw Data'!$L$6:$L$4699,'Diags Raw Data'!$P$6:$P$4699)/J149)</f>
        <v>#DIV/0!</v>
      </c>
      <c r="M149" s="418" cm="1">
        <f t="array" ref="M149">SUMPRODUCT(--(ISNUMBER(SEARCH($A149,'Diags Raw Data'!$A$6:$A$4699))),--('Diags Raw Data'!$Q$6:$Q$4699&lt;&gt;"N/A"),'Diags Raw Data'!$R$6:$R$4699)</f>
        <v>0</v>
      </c>
      <c r="N149" s="419" cm="1">
        <f t="array" ref="N149">SUMPRODUCT(--(ISNUMBER(SEARCH($A149,'Diags Raw Data'!$A$6:$A$4699))),--('Diags Raw Data'!$Q$6:$Q$4699&lt;&gt;"N/A"),'Diags Raw Data'!$T$6:$T$4699)+SUMPRODUCT(--(ISNUMBER(SEARCH($A149,'Diags Raw Data'!$A$6:$A$4699))),--('Diags Raw Data'!$Q$6:$Q$4699&lt;&gt;"N/A"),'Diags Raw Data'!$U$6:$U$4699)</f>
        <v>0</v>
      </c>
      <c r="O149" s="462">
        <f t="shared" si="81"/>
        <v>0</v>
      </c>
      <c r="P149" s="420">
        <f>SUMIF('Diags Raw Data'!$A$6:$A$4699,"*"&amp;$A149&amp;"*",'Diags Raw Data'!$Z$6:$Z$4699)</f>
        <v>0</v>
      </c>
      <c r="Q149" s="421">
        <f>SUM(SUMIF('Diags Raw Data'!$A$6:$A$4699,"*"&amp;$A149&amp;"*",'Diags Raw Data'!$AA$6:$AA$4699),SUMIF('Diags Raw Data'!$A$6:$A$4699,"*"&amp;$A149&amp;"*",'Diags Raw Data'!$AB$6:$AB$4699))</f>
        <v>0</v>
      </c>
      <c r="R149" s="422">
        <f t="shared" si="82"/>
        <v>0</v>
      </c>
      <c r="S149" s="422">
        <f t="shared" si="83"/>
        <v>0</v>
      </c>
      <c r="T149" s="423">
        <f t="shared" si="84"/>
        <v>0</v>
      </c>
      <c r="U149" s="469" t="s">
        <v>44</v>
      </c>
      <c r="V149" s="171" t="s">
        <v>2665</v>
      </c>
    </row>
    <row r="150" spans="1:22" ht="30" x14ac:dyDescent="0.25">
      <c r="A150" s="446" t="s">
        <v>2666</v>
      </c>
      <c r="B150" s="332" t="str">
        <f>VLOOKUP(A150,'Feature Raw Data'!$A$3:$B$4067,2,FALSE)</f>
        <v>GFXHUB:GCEA - Data bus</v>
      </c>
      <c r="C150" s="273" t="str">
        <f>VLOOKUP(A150,'Feature Raw Data'!$A$3:$C$4067,3,FALSE)</f>
        <v>P2</v>
      </c>
      <c r="D150" s="82" t="str" cm="1">
        <f t="array" ref="D150">_xlfn.TEXTJOIN("",TRUE,IF(ISNUMBER(SEARCH($A150,'Diags Raw Data'!$A$6:$A$4699)),CONCATENATE('Diags Raw Data'!$H$6:$H$4699,", "),""))</f>
        <v xml:space="preserve">mhub311.1-4, </v>
      </c>
      <c r="E150" s="169" t="e">
        <f>VLOOKUP(A150,'Diags Raw Data'!$A$6:$D$4699,4,FALSE)</f>
        <v>#N/A</v>
      </c>
      <c r="F150" s="169" t="str">
        <f>VLOOKUP(A150,'Feature Raw Data'!$A$3:$E$4067,5,FALSE)</f>
        <v>Legacy</v>
      </c>
      <c r="G150" s="169" t="str">
        <f t="shared" si="79"/>
        <v>Yes</v>
      </c>
      <c r="H150" s="169" t="str">
        <f t="shared" si="80"/>
        <v>Yes</v>
      </c>
      <c r="I150" s="273">
        <f>SUMIF('Diags Raw Data'!$A$6:$A$4699,"*"&amp;$A150&amp;"*",'Diags Raw Data'!$K$6:$K$4699)</f>
        <v>1</v>
      </c>
      <c r="J150" s="179">
        <f>SUMIF('Diags Raw Data'!$A$6:$A$4699,"*"&amp;$A150&amp;"*",'Diags Raw Data'!$L$6:$L$4699)</f>
        <v>4</v>
      </c>
      <c r="K150" s="416" cm="1">
        <f t="array" ref="K150">IF(D150="",0, SUMPRODUCT(--(ISNUMBER(SEARCH($A150,'Diags Raw Data'!$A$6:$A$4699))),'Diags Raw Data'!$L$6:$L$4699,'Diags Raw Data'!$N$6:$N$4699)/J150)</f>
        <v>1</v>
      </c>
      <c r="L150" s="417" cm="1">
        <f t="array" ref="L150">IF(D150="",0, SUMPRODUCT(--(ISNUMBER(SEARCH($A150,'Diags Raw Data'!$A$6:$A$4699))),'Diags Raw Data'!$L$6:$L$4699,'Diags Raw Data'!$P$6:$P$4699)/J150)</f>
        <v>1</v>
      </c>
      <c r="M150" s="418" cm="1">
        <f t="array" ref="M150">SUMPRODUCT(--(ISNUMBER(SEARCH($A150,'Diags Raw Data'!$A$6:$A$4699))),--('Diags Raw Data'!$Q$6:$Q$4699&lt;&gt;"N/A"),'Diags Raw Data'!$R$6:$R$4699)</f>
        <v>4</v>
      </c>
      <c r="N150" s="419" cm="1">
        <f t="array" ref="N150">SUMPRODUCT(--(ISNUMBER(SEARCH($A150,'Diags Raw Data'!$A$6:$A$4699))),--('Diags Raw Data'!$Q$6:$Q$4699&lt;&gt;"N/A"),'Diags Raw Data'!$T$6:$T$4699)+SUMPRODUCT(--(ISNUMBER(SEARCH($A150,'Diags Raw Data'!$A$6:$A$4699))),--('Diags Raw Data'!$Q$6:$Q$4699&lt;&gt;"N/A"),'Diags Raw Data'!$U$6:$U$4699)</f>
        <v>4</v>
      </c>
      <c r="O150" s="462">
        <f t="shared" si="81"/>
        <v>1</v>
      </c>
      <c r="P150" s="420">
        <f>SUMIF('Diags Raw Data'!$A$6:$A$4699,"*"&amp;$A150&amp;"*",'Diags Raw Data'!$Z$6:$Z$4699)</f>
        <v>0</v>
      </c>
      <c r="Q150" s="421">
        <f>SUM(SUMIF('Diags Raw Data'!$A$6:$A$4699,"*"&amp;$A150&amp;"*",'Diags Raw Data'!$AA$6:$AA$4699),SUMIF('Diags Raw Data'!$A$6:$A$4699,"*"&amp;$A150&amp;"*",'Diags Raw Data'!$AB$6:$AB$4699))</f>
        <v>0</v>
      </c>
      <c r="R150" s="422">
        <f t="shared" si="82"/>
        <v>0</v>
      </c>
      <c r="S150" s="422">
        <f t="shared" si="83"/>
        <v>0</v>
      </c>
      <c r="T150" s="423">
        <f t="shared" si="84"/>
        <v>0</v>
      </c>
      <c r="U150" s="469" t="s">
        <v>2800</v>
      </c>
    </row>
    <row r="151" spans="1:22" ht="30" x14ac:dyDescent="0.25">
      <c r="A151" s="446" t="s">
        <v>2668</v>
      </c>
      <c r="B151" s="332" t="str">
        <f>VLOOKUP(A151,'Feature Raw Data'!$A$3:$B$4067,2,FALSE)</f>
        <v>GFXHUB:GCEA - Number of GCEAs Supported</v>
      </c>
      <c r="C151" s="273" t="str">
        <f>VLOOKUP(A151,'Feature Raw Data'!$A$3:$C$4067,3,FALSE)</f>
        <v>P2</v>
      </c>
      <c r="D151" s="82" t="str" cm="1">
        <f t="array" ref="D151">_xlfn.TEXTJOIN("",TRUE,IF(ISNUMBER(SEARCH($A151,'Diags Raw Data'!$A$6:$A$4699)),CONCATENATE('Diags Raw Data'!$H$6:$H$4699,", "),""))</f>
        <v xml:space="preserve">mhub311.1-4, </v>
      </c>
      <c r="E151" s="169" t="e">
        <f>VLOOKUP(A151,'Diags Raw Data'!$A$6:$D$4699,4,FALSE)</f>
        <v>#N/A</v>
      </c>
      <c r="F151" s="169" t="str">
        <f>VLOOKUP(A151,'Feature Raw Data'!$A$3:$E$4067,5,FALSE)</f>
        <v>Legacy</v>
      </c>
      <c r="G151" s="169" t="str">
        <f t="shared" si="79"/>
        <v>Yes</v>
      </c>
      <c r="H151" s="169" t="str">
        <f t="shared" si="80"/>
        <v>Yes</v>
      </c>
      <c r="I151" s="273">
        <f>SUMIF('Diags Raw Data'!$A$6:$A$4699,"*"&amp;$A151&amp;"*",'Diags Raw Data'!$K$6:$K$4699)</f>
        <v>1</v>
      </c>
      <c r="J151" s="179">
        <f>SUMIF('Diags Raw Data'!$A$6:$A$4699,"*"&amp;$A151&amp;"*",'Diags Raw Data'!$L$6:$L$4699)</f>
        <v>4</v>
      </c>
      <c r="K151" s="416" cm="1">
        <f t="array" ref="K151">IF(D151="",0, SUMPRODUCT(--(ISNUMBER(SEARCH($A151,'Diags Raw Data'!$A$6:$A$4699))),'Diags Raw Data'!$L$6:$L$4699,'Diags Raw Data'!$N$6:$N$4699)/J151)</f>
        <v>1</v>
      </c>
      <c r="L151" s="417" cm="1">
        <f t="array" ref="L151">IF(D151="",0, SUMPRODUCT(--(ISNUMBER(SEARCH($A151,'Diags Raw Data'!$A$6:$A$4699))),'Diags Raw Data'!$L$6:$L$4699,'Diags Raw Data'!$P$6:$P$4699)/J151)</f>
        <v>1</v>
      </c>
      <c r="M151" s="418" cm="1">
        <f t="array" ref="M151">SUMPRODUCT(--(ISNUMBER(SEARCH($A151,'Diags Raw Data'!$A$6:$A$4699))),--('Diags Raw Data'!$Q$6:$Q$4699&lt;&gt;"N/A"),'Diags Raw Data'!$R$6:$R$4699)</f>
        <v>4</v>
      </c>
      <c r="N151" s="419" cm="1">
        <f t="array" ref="N151">SUMPRODUCT(--(ISNUMBER(SEARCH($A151,'Diags Raw Data'!$A$6:$A$4699))),--('Diags Raw Data'!$Q$6:$Q$4699&lt;&gt;"N/A"),'Diags Raw Data'!$T$6:$T$4699)+SUMPRODUCT(--(ISNUMBER(SEARCH($A151,'Diags Raw Data'!$A$6:$A$4699))),--('Diags Raw Data'!$Q$6:$Q$4699&lt;&gt;"N/A"),'Diags Raw Data'!$U$6:$U$4699)</f>
        <v>4</v>
      </c>
      <c r="O151" s="462">
        <f t="shared" si="81"/>
        <v>1</v>
      </c>
      <c r="P151" s="420">
        <f>SUMIF('Diags Raw Data'!$A$6:$A$4699,"*"&amp;$A151&amp;"*",'Diags Raw Data'!$Z$6:$Z$4699)</f>
        <v>0</v>
      </c>
      <c r="Q151" s="421">
        <f>SUM(SUMIF('Diags Raw Data'!$A$6:$A$4699,"*"&amp;$A151&amp;"*",'Diags Raw Data'!$AA$6:$AA$4699),SUMIF('Diags Raw Data'!$A$6:$A$4699,"*"&amp;$A151&amp;"*",'Diags Raw Data'!$AB$6:$AB$4699))</f>
        <v>0</v>
      </c>
      <c r="R151" s="422">
        <f t="shared" si="82"/>
        <v>0</v>
      </c>
      <c r="S151" s="422">
        <f t="shared" si="83"/>
        <v>0</v>
      </c>
      <c r="T151" s="423">
        <f t="shared" si="84"/>
        <v>0</v>
      </c>
      <c r="U151" s="469" t="s">
        <v>2800</v>
      </c>
    </row>
    <row r="152" spans="1:22" x14ac:dyDescent="0.25">
      <c r="A152" s="446" t="s">
        <v>2670</v>
      </c>
      <c r="B152" s="332" t="str">
        <f>VLOOKUP(A152,'Feature Raw Data'!$A$3:$B$4067,2,FALSE)</f>
        <v>GFXHUB:GCEA - Safe TDR</v>
      </c>
      <c r="C152" s="273" t="str">
        <f>VLOOKUP(A152,'Feature Raw Data'!$A$3:$C$4067,3,FALSE)</f>
        <v>P2</v>
      </c>
      <c r="D152" s="82" t="str" cm="1">
        <f t="array" ref="D152">_xlfn.TEXTJOIN("",TRUE,IF(ISNUMBER(SEARCH($A152,'Diags Raw Data'!$A$6:$A$4699)),CONCATENATE('Diags Raw Data'!$H$6:$H$4699,", "),""))</f>
        <v/>
      </c>
      <c r="E152" s="169" t="e">
        <f>VLOOKUP(A152,'Diags Raw Data'!$A$6:$D$4699,4,FALSE)</f>
        <v>#N/A</v>
      </c>
      <c r="F152" s="169" t="str">
        <f>VLOOKUP(A152,'Feature Raw Data'!$A$3:$E$4067,5,FALSE)</f>
        <v>Legacy</v>
      </c>
      <c r="G152" s="169" t="str">
        <f t="shared" si="79"/>
        <v>No</v>
      </c>
      <c r="H152" s="169" t="str">
        <f t="shared" si="80"/>
        <v>No</v>
      </c>
      <c r="I152" s="273">
        <f>SUMIF('Diags Raw Data'!$A$6:$A$4699,"*"&amp;$A152&amp;"*",'Diags Raw Data'!$K$6:$K$4699)</f>
        <v>0</v>
      </c>
      <c r="J152" s="179">
        <f>SUMIF('Diags Raw Data'!$A$6:$A$4699,"*"&amp;$A152&amp;"*",'Diags Raw Data'!$L$6:$L$4699)</f>
        <v>0</v>
      </c>
      <c r="K152" s="416" cm="1">
        <f t="array" ref="K152">IF(D152="",0, SUMPRODUCT(--(ISNUMBER(SEARCH($A152,'Diags Raw Data'!$A$6:$A$4699))),'Diags Raw Data'!$L$6:$L$4699,'Diags Raw Data'!$N$6:$N$4699)/J152)</f>
        <v>0</v>
      </c>
      <c r="L152" s="417" cm="1">
        <f t="array" ref="L152">IF(D152="",0, SUMPRODUCT(--(ISNUMBER(SEARCH($A152,'Diags Raw Data'!$A$6:$A$4699))),'Diags Raw Data'!$L$6:$L$4699,'Diags Raw Data'!$P$6:$P$4699)/J152)</f>
        <v>0</v>
      </c>
      <c r="M152" s="418" cm="1">
        <f t="array" ref="M152">SUMPRODUCT(--(ISNUMBER(SEARCH($A152,'Diags Raw Data'!$A$6:$A$4699))),--('Diags Raw Data'!$Q$6:$Q$4699&lt;&gt;"N/A"),'Diags Raw Data'!$R$6:$R$4699)</f>
        <v>0</v>
      </c>
      <c r="N152" s="419" cm="1">
        <f t="array" ref="N152">SUMPRODUCT(--(ISNUMBER(SEARCH($A152,'Diags Raw Data'!$A$6:$A$4699))),--('Diags Raw Data'!$Q$6:$Q$4699&lt;&gt;"N/A"),'Diags Raw Data'!$T$6:$T$4699)+SUMPRODUCT(--(ISNUMBER(SEARCH($A152,'Diags Raw Data'!$A$6:$A$4699))),--('Diags Raw Data'!$Q$6:$Q$4699&lt;&gt;"N/A"),'Diags Raw Data'!$U$6:$U$4699)</f>
        <v>0</v>
      </c>
      <c r="O152" s="462">
        <f t="shared" si="81"/>
        <v>0</v>
      </c>
      <c r="P152" s="420">
        <f>SUMIF('Diags Raw Data'!$A$6:$A$4699,"*"&amp;$A152&amp;"*",'Diags Raw Data'!$Z$6:$Z$4699)</f>
        <v>0</v>
      </c>
      <c r="Q152" s="421">
        <f>SUM(SUMIF('Diags Raw Data'!$A$6:$A$4699,"*"&amp;$A152&amp;"*",'Diags Raw Data'!$AA$6:$AA$4699),SUMIF('Diags Raw Data'!$A$6:$A$4699,"*"&amp;$A152&amp;"*",'Diags Raw Data'!$AB$6:$AB$4699))</f>
        <v>0</v>
      </c>
      <c r="R152" s="422">
        <f t="shared" si="82"/>
        <v>0</v>
      </c>
      <c r="S152" s="422">
        <f t="shared" si="83"/>
        <v>0</v>
      </c>
      <c r="T152" s="423">
        <f t="shared" si="84"/>
        <v>0</v>
      </c>
      <c r="U152" s="469" t="s">
        <v>44</v>
      </c>
      <c r="V152" s="171" t="s">
        <v>43</v>
      </c>
    </row>
    <row r="153" spans="1:22" ht="30" x14ac:dyDescent="0.25">
      <c r="A153" s="446" t="s">
        <v>2268</v>
      </c>
      <c r="B153" s="332" t="str">
        <f>VLOOKUP(A153,'Feature Raw Data'!$A$3:$B$4067,2,FALSE)</f>
        <v>GFXHUB:GCEA - Programmable security level on SDP per client</v>
      </c>
      <c r="C153" s="273" t="str">
        <f>VLOOKUP(A153,'Feature Raw Data'!$A$3:$C$4067,3,FALSE)</f>
        <v>P2</v>
      </c>
      <c r="D153" s="82" t="str" cm="1">
        <f t="array" ref="D153">_xlfn.TEXTJOIN("",TRUE,IF(ISNUMBER(SEARCH($A153,'Diags Raw Data'!$A$6:$A$4699)),CONCATENATE('Diags Raw Data'!$H$6:$H$4699,", "),""))</f>
        <v xml:space="preserve">sdmaxxx, </v>
      </c>
      <c r="E153" s="169" t="str">
        <f>VLOOKUP(A153,'Diags Raw Data'!$A$6:$D$4699,4,FALSE)</f>
        <v>GCHUB</v>
      </c>
      <c r="F153" s="169" t="str">
        <f>VLOOKUP(A153,'Feature Raw Data'!$A$3:$E$4067,5,FALSE)</f>
        <v>Legacy</v>
      </c>
      <c r="G153" s="169" t="s">
        <v>31</v>
      </c>
      <c r="H153" s="169" t="str">
        <f t="shared" ref="H153:H157" si="85">IF(D153="","No","Yes")</f>
        <v>Yes</v>
      </c>
      <c r="I153" s="273">
        <f>SUMIF('Diags Raw Data'!$A$6:$A$4699,"*"&amp;$A153&amp;"*",'Diags Raw Data'!$K$6:$K$4699)</f>
        <v>0</v>
      </c>
      <c r="J153" s="179">
        <f>SUMIF('Diags Raw Data'!$A$6:$A$4699,"*"&amp;$A153&amp;"*",'Diags Raw Data'!$L$6:$L$4699)</f>
        <v>0</v>
      </c>
      <c r="K153" s="416" t="e" cm="1">
        <f t="array" ref="K153">IF(D153="",0, SUMPRODUCT(--(ISNUMBER(SEARCH($A153,'Diags Raw Data'!$A$6:$A$4699))),'Diags Raw Data'!$L$6:$L$4699,'Diags Raw Data'!$N$6:$N$4699)/J153)</f>
        <v>#DIV/0!</v>
      </c>
      <c r="L153" s="417" t="e" cm="1">
        <f t="array" ref="L153">IF(D153="",0, SUMPRODUCT(--(ISNUMBER(SEARCH($A153,'Diags Raw Data'!$A$6:$A$4699))),'Diags Raw Data'!$L$6:$L$4699,'Diags Raw Data'!$P$6:$P$4699)/J153)</f>
        <v>#DIV/0!</v>
      </c>
      <c r="M153" s="418" cm="1">
        <f t="array" ref="M153">SUMPRODUCT(--(ISNUMBER(SEARCH($A153,'Diags Raw Data'!$A$6:$A$4699))),--('Diags Raw Data'!$Q$6:$Q$4699&lt;&gt;"N/A"),'Diags Raw Data'!$R$6:$R$4699)</f>
        <v>0</v>
      </c>
      <c r="N153" s="419" cm="1">
        <f t="array" ref="N153">SUMPRODUCT(--(ISNUMBER(SEARCH($A153,'Diags Raw Data'!$A$6:$A$4699))),--('Diags Raw Data'!$Q$6:$Q$4699&lt;&gt;"N/A"),'Diags Raw Data'!$T$6:$T$4699)+SUMPRODUCT(--(ISNUMBER(SEARCH($A153,'Diags Raw Data'!$A$6:$A$4699))),--('Diags Raw Data'!$Q$6:$Q$4699&lt;&gt;"N/A"),'Diags Raw Data'!$U$6:$U$4699)</f>
        <v>0</v>
      </c>
      <c r="O153" s="462">
        <f t="shared" ref="O153:O157" si="86">IF((M153=0),0,N153/M153)</f>
        <v>0</v>
      </c>
      <c r="P153" s="420">
        <f>SUMIF('Diags Raw Data'!$A$6:$A$4699,"*"&amp;$A153&amp;"*",'Diags Raw Data'!$Z$6:$Z$4699)</f>
        <v>0</v>
      </c>
      <c r="Q153" s="421">
        <f>SUM(SUMIF('Diags Raw Data'!$A$6:$A$4699,"*"&amp;$A153&amp;"*",'Diags Raw Data'!$AA$6:$AA$4699),SUMIF('Diags Raw Data'!$A$6:$A$4699,"*"&amp;$A153&amp;"*",'Diags Raw Data'!$AB$6:$AB$4699))</f>
        <v>0</v>
      </c>
      <c r="R153" s="422">
        <f t="shared" ref="R153:R157" si="87">IF((J153=0),0,P153/J153)</f>
        <v>0</v>
      </c>
      <c r="S153" s="422">
        <f t="shared" ref="S153:S157" si="88">IF((P153=0),0,Q153/P153)</f>
        <v>0</v>
      </c>
      <c r="T153" s="423">
        <f t="shared" ref="T153:T157" si="89">R153*S153</f>
        <v>0</v>
      </c>
      <c r="U153" s="469" t="s">
        <v>44</v>
      </c>
      <c r="V153" s="171" t="s">
        <v>2665</v>
      </c>
    </row>
    <row r="154" spans="1:22" x14ac:dyDescent="0.25">
      <c r="A154" s="446" t="s">
        <v>2682</v>
      </c>
      <c r="B154" s="332" t="str">
        <f>VLOOKUP(A154,'Feature Raw Data'!$A$3:$B$4067,2,FALSE)</f>
        <v>GFXHUB:GCEA - Age-based Arbitration</v>
      </c>
      <c r="C154" s="273" t="str">
        <f>VLOOKUP(A154,'Feature Raw Data'!$A$3:$C$4067,3,FALSE)</f>
        <v>P2</v>
      </c>
      <c r="D154" s="82" t="str" cm="1">
        <f t="array" ref="D154">_xlfn.TEXTJOIN("",TRUE,IF(ISNUMBER(SEARCH($A154,'Diags Raw Data'!$A$6:$A$4699)),CONCATENATE('Diags Raw Data'!$H$6:$H$4699,", "),""))</f>
        <v/>
      </c>
      <c r="E154" s="169" t="e">
        <f>VLOOKUP(A154,'Diags Raw Data'!$A$6:$D$4699,4,FALSE)</f>
        <v>#N/A</v>
      </c>
      <c r="F154" s="169" t="str">
        <f>VLOOKUP(A154,'Feature Raw Data'!$A$3:$E$4067,5,FALSE)</f>
        <v>Legacy</v>
      </c>
      <c r="G154" s="169" t="str">
        <f t="shared" ref="G154:G156" si="90">IF(D154="","No","Yes")</f>
        <v>No</v>
      </c>
      <c r="H154" s="169" t="str">
        <f t="shared" si="85"/>
        <v>No</v>
      </c>
      <c r="I154" s="273">
        <f>SUMIF('Diags Raw Data'!$A$6:$A$4699,"*"&amp;$A154&amp;"*",'Diags Raw Data'!$K$6:$K$4699)</f>
        <v>0</v>
      </c>
      <c r="J154" s="179">
        <f>SUMIF('Diags Raw Data'!$A$6:$A$4699,"*"&amp;$A154&amp;"*",'Diags Raw Data'!$L$6:$L$4699)</f>
        <v>0</v>
      </c>
      <c r="K154" s="416" cm="1">
        <f t="array" ref="K154">IF(D154="",0, SUMPRODUCT(--(ISNUMBER(SEARCH($A154,'Diags Raw Data'!$A$6:$A$4699))),'Diags Raw Data'!$L$6:$L$4699,'Diags Raw Data'!$N$6:$N$4699)/J154)</f>
        <v>0</v>
      </c>
      <c r="L154" s="417" cm="1">
        <f t="array" ref="L154">IF(D154="",0, SUMPRODUCT(--(ISNUMBER(SEARCH($A154,'Diags Raw Data'!$A$6:$A$4699))),'Diags Raw Data'!$L$6:$L$4699,'Diags Raw Data'!$P$6:$P$4699)/J154)</f>
        <v>0</v>
      </c>
      <c r="M154" s="418" cm="1">
        <f t="array" ref="M154">SUMPRODUCT(--(ISNUMBER(SEARCH($A154,'Diags Raw Data'!$A$6:$A$4699))),--('Diags Raw Data'!$Q$6:$Q$4699&lt;&gt;"N/A"),'Diags Raw Data'!$R$6:$R$4699)</f>
        <v>0</v>
      </c>
      <c r="N154" s="419" cm="1">
        <f t="array" ref="N154">SUMPRODUCT(--(ISNUMBER(SEARCH($A154,'Diags Raw Data'!$A$6:$A$4699))),--('Diags Raw Data'!$Q$6:$Q$4699&lt;&gt;"N/A"),'Diags Raw Data'!$T$6:$T$4699)+SUMPRODUCT(--(ISNUMBER(SEARCH($A154,'Diags Raw Data'!$A$6:$A$4699))),--('Diags Raw Data'!$Q$6:$Q$4699&lt;&gt;"N/A"),'Diags Raw Data'!$U$6:$U$4699)</f>
        <v>0</v>
      </c>
      <c r="O154" s="462">
        <f t="shared" si="86"/>
        <v>0</v>
      </c>
      <c r="P154" s="420">
        <f>SUMIF('Diags Raw Data'!$A$6:$A$4699,"*"&amp;$A154&amp;"*",'Diags Raw Data'!$Z$6:$Z$4699)</f>
        <v>0</v>
      </c>
      <c r="Q154" s="421">
        <f>SUM(SUMIF('Diags Raw Data'!$A$6:$A$4699,"*"&amp;$A154&amp;"*",'Diags Raw Data'!$AA$6:$AA$4699),SUMIF('Diags Raw Data'!$A$6:$A$4699,"*"&amp;$A154&amp;"*",'Diags Raw Data'!$AB$6:$AB$4699))</f>
        <v>0</v>
      </c>
      <c r="R154" s="422">
        <f t="shared" si="87"/>
        <v>0</v>
      </c>
      <c r="S154" s="422">
        <f t="shared" si="88"/>
        <v>0</v>
      </c>
      <c r="T154" s="423">
        <f t="shared" si="89"/>
        <v>0</v>
      </c>
      <c r="U154" s="469" t="s">
        <v>44</v>
      </c>
      <c r="V154" s="171" t="s">
        <v>43</v>
      </c>
    </row>
    <row r="155" spans="1:22" x14ac:dyDescent="0.25">
      <c r="A155" s="446" t="s">
        <v>2684</v>
      </c>
      <c r="B155" s="332" t="str">
        <f>VLOOKUP(A155,'Feature Raw Data'!$A$3:$B$4067,2,FALSE)</f>
        <v>GFXHUB:GCEA - Write-Request Accumulation</v>
      </c>
      <c r="C155" s="273" t="str">
        <f>VLOOKUP(A155,'Feature Raw Data'!$A$3:$C$4067,3,FALSE)</f>
        <v>P2</v>
      </c>
      <c r="D155" s="82" t="str" cm="1">
        <f t="array" ref="D155">_xlfn.TEXTJOIN("",TRUE,IF(ISNUMBER(SEARCH($A155,'Diags Raw Data'!$A$6:$A$4699)),CONCATENATE('Diags Raw Data'!$H$6:$H$4699,", "),""))</f>
        <v/>
      </c>
      <c r="E155" s="169" t="e">
        <f>VLOOKUP(A155,'Diags Raw Data'!$A$6:$D$4699,4,FALSE)</f>
        <v>#N/A</v>
      </c>
      <c r="F155" s="169" t="str">
        <f>VLOOKUP(A155,'Feature Raw Data'!$A$3:$E$4067,5,FALSE)</f>
        <v>Legacy</v>
      </c>
      <c r="G155" s="169" t="str">
        <f t="shared" si="90"/>
        <v>No</v>
      </c>
      <c r="H155" s="169" t="str">
        <f t="shared" si="85"/>
        <v>No</v>
      </c>
      <c r="I155" s="273">
        <f>SUMIF('Diags Raw Data'!$A$6:$A$4699,"*"&amp;$A155&amp;"*",'Diags Raw Data'!$K$6:$K$4699)</f>
        <v>0</v>
      </c>
      <c r="J155" s="179">
        <f>SUMIF('Diags Raw Data'!$A$6:$A$4699,"*"&amp;$A155&amp;"*",'Diags Raw Data'!$L$6:$L$4699)</f>
        <v>0</v>
      </c>
      <c r="K155" s="416" cm="1">
        <f t="array" ref="K155">IF(D155="",0, SUMPRODUCT(--(ISNUMBER(SEARCH($A155,'Diags Raw Data'!$A$6:$A$4699))),'Diags Raw Data'!$L$6:$L$4699,'Diags Raw Data'!$N$6:$N$4699)/J155)</f>
        <v>0</v>
      </c>
      <c r="L155" s="417" cm="1">
        <f t="array" ref="L155">IF(D155="",0, SUMPRODUCT(--(ISNUMBER(SEARCH($A155,'Diags Raw Data'!$A$6:$A$4699))),'Diags Raw Data'!$L$6:$L$4699,'Diags Raw Data'!$P$6:$P$4699)/J155)</f>
        <v>0</v>
      </c>
      <c r="M155" s="418" cm="1">
        <f t="array" ref="M155">SUMPRODUCT(--(ISNUMBER(SEARCH($A155,'Diags Raw Data'!$A$6:$A$4699))),--('Diags Raw Data'!$Q$6:$Q$4699&lt;&gt;"N/A"),'Diags Raw Data'!$R$6:$R$4699)</f>
        <v>0</v>
      </c>
      <c r="N155" s="419" cm="1">
        <f t="array" ref="N155">SUMPRODUCT(--(ISNUMBER(SEARCH($A155,'Diags Raw Data'!$A$6:$A$4699))),--('Diags Raw Data'!$Q$6:$Q$4699&lt;&gt;"N/A"),'Diags Raw Data'!$T$6:$T$4699)+SUMPRODUCT(--(ISNUMBER(SEARCH($A155,'Diags Raw Data'!$A$6:$A$4699))),--('Diags Raw Data'!$Q$6:$Q$4699&lt;&gt;"N/A"),'Diags Raw Data'!$U$6:$U$4699)</f>
        <v>0</v>
      </c>
      <c r="O155" s="462">
        <f t="shared" si="86"/>
        <v>0</v>
      </c>
      <c r="P155" s="420">
        <f>SUMIF('Diags Raw Data'!$A$6:$A$4699,"*"&amp;$A155&amp;"*",'Diags Raw Data'!$Z$6:$Z$4699)</f>
        <v>0</v>
      </c>
      <c r="Q155" s="421">
        <f>SUM(SUMIF('Diags Raw Data'!$A$6:$A$4699,"*"&amp;$A155&amp;"*",'Diags Raw Data'!$AA$6:$AA$4699),SUMIF('Diags Raw Data'!$A$6:$A$4699,"*"&amp;$A155&amp;"*",'Diags Raw Data'!$AB$6:$AB$4699))</f>
        <v>0</v>
      </c>
      <c r="R155" s="422">
        <f t="shared" si="87"/>
        <v>0</v>
      </c>
      <c r="S155" s="422">
        <f t="shared" si="88"/>
        <v>0</v>
      </c>
      <c r="T155" s="423">
        <f t="shared" si="89"/>
        <v>0</v>
      </c>
      <c r="U155" s="469" t="s">
        <v>44</v>
      </c>
      <c r="V155" s="171" t="s">
        <v>43</v>
      </c>
    </row>
    <row r="156" spans="1:22" ht="30" x14ac:dyDescent="0.25">
      <c r="A156" s="446" t="s">
        <v>2686</v>
      </c>
      <c r="B156" s="332" t="str">
        <f>VLOOKUP(A156,'Feature Raw Data'!$A$3:$B$4067,2,FALSE)</f>
        <v>GFXHUB:GCEA - Arbiters</v>
      </c>
      <c r="C156" s="273" t="str">
        <f>VLOOKUP(A156,'Feature Raw Data'!$A$3:$C$4067,3,FALSE)</f>
        <v>P2</v>
      </c>
      <c r="D156" s="82" t="str" cm="1">
        <f t="array" ref="D156">_xlfn.TEXTJOIN("",TRUE,IF(ISNUMBER(SEARCH($A156,'Diags Raw Data'!$A$6:$A$4699)),CONCATENATE('Diags Raw Data'!$H$6:$H$4699,", "),""))</f>
        <v xml:space="preserve">mhub311.1-4, </v>
      </c>
      <c r="E156" s="169" t="e">
        <f>VLOOKUP(A156,'Diags Raw Data'!$A$6:$D$4699,4,FALSE)</f>
        <v>#N/A</v>
      </c>
      <c r="F156" s="169" t="str">
        <f>VLOOKUP(A156,'Feature Raw Data'!$A$3:$E$4067,5,FALSE)</f>
        <v>Legacy</v>
      </c>
      <c r="G156" s="169" t="str">
        <f t="shared" si="90"/>
        <v>Yes</v>
      </c>
      <c r="H156" s="169" t="str">
        <f t="shared" si="85"/>
        <v>Yes</v>
      </c>
      <c r="I156" s="273">
        <f>SUMIF('Diags Raw Data'!$A$6:$A$4699,"*"&amp;$A156&amp;"*",'Diags Raw Data'!$K$6:$K$4699)</f>
        <v>1</v>
      </c>
      <c r="J156" s="179">
        <f>SUMIF('Diags Raw Data'!$A$6:$A$4699,"*"&amp;$A156&amp;"*",'Diags Raw Data'!$L$6:$L$4699)</f>
        <v>4</v>
      </c>
      <c r="K156" s="416" cm="1">
        <f t="array" ref="K156">IF(D156="",0, SUMPRODUCT(--(ISNUMBER(SEARCH($A156,'Diags Raw Data'!$A$6:$A$4699))),'Diags Raw Data'!$L$6:$L$4699,'Diags Raw Data'!$N$6:$N$4699)/J156)</f>
        <v>1</v>
      </c>
      <c r="L156" s="417" cm="1">
        <f t="array" ref="L156">IF(D156="",0, SUMPRODUCT(--(ISNUMBER(SEARCH($A156,'Diags Raw Data'!$A$6:$A$4699))),'Diags Raw Data'!$L$6:$L$4699,'Diags Raw Data'!$P$6:$P$4699)/J156)</f>
        <v>1</v>
      </c>
      <c r="M156" s="418" cm="1">
        <f t="array" ref="M156">SUMPRODUCT(--(ISNUMBER(SEARCH($A156,'Diags Raw Data'!$A$6:$A$4699))),--('Diags Raw Data'!$Q$6:$Q$4699&lt;&gt;"N/A"),'Diags Raw Data'!$R$6:$R$4699)</f>
        <v>4</v>
      </c>
      <c r="N156" s="419" cm="1">
        <f t="array" ref="N156">SUMPRODUCT(--(ISNUMBER(SEARCH($A156,'Diags Raw Data'!$A$6:$A$4699))),--('Diags Raw Data'!$Q$6:$Q$4699&lt;&gt;"N/A"),'Diags Raw Data'!$T$6:$T$4699)+SUMPRODUCT(--(ISNUMBER(SEARCH($A156,'Diags Raw Data'!$A$6:$A$4699))),--('Diags Raw Data'!$Q$6:$Q$4699&lt;&gt;"N/A"),'Diags Raw Data'!$U$6:$U$4699)</f>
        <v>4</v>
      </c>
      <c r="O156" s="462">
        <f t="shared" si="86"/>
        <v>1</v>
      </c>
      <c r="P156" s="420">
        <f>SUMIF('Diags Raw Data'!$A$6:$A$4699,"*"&amp;$A156&amp;"*",'Diags Raw Data'!$Z$6:$Z$4699)</f>
        <v>0</v>
      </c>
      <c r="Q156" s="421">
        <f>SUM(SUMIF('Diags Raw Data'!$A$6:$A$4699,"*"&amp;$A156&amp;"*",'Diags Raw Data'!$AA$6:$AA$4699),SUMIF('Diags Raw Data'!$A$6:$A$4699,"*"&amp;$A156&amp;"*",'Diags Raw Data'!$AB$6:$AB$4699))</f>
        <v>0</v>
      </c>
      <c r="R156" s="422">
        <f t="shared" si="87"/>
        <v>0</v>
      </c>
      <c r="S156" s="422">
        <f t="shared" si="88"/>
        <v>0</v>
      </c>
      <c r="T156" s="423">
        <f t="shared" si="89"/>
        <v>0</v>
      </c>
      <c r="U156" s="469" t="s">
        <v>2800</v>
      </c>
    </row>
    <row r="157" spans="1:22" x14ac:dyDescent="0.25">
      <c r="A157" s="446" t="s">
        <v>2688</v>
      </c>
      <c r="B157" s="332" t="str">
        <f>VLOOKUP(A157,'Feature Raw Data'!$A$3:$B$4067,2,FALSE)</f>
        <v>GFXHUB:GCEA - SDP request tags</v>
      </c>
      <c r="C157" s="273" t="str">
        <f>VLOOKUP(A157,'Feature Raw Data'!$A$3:$C$4067,3,FALSE)</f>
        <v>P2</v>
      </c>
      <c r="D157" s="82" t="str" cm="1">
        <f t="array" ref="D157">_xlfn.TEXTJOIN("",TRUE,IF(ISNUMBER(SEARCH($A157,'Diags Raw Data'!$A$6:$A$4699)),CONCATENATE('Diags Raw Data'!$H$6:$H$4699,", "),""))</f>
        <v/>
      </c>
      <c r="E157" s="169" t="e">
        <f>VLOOKUP(A157,'Diags Raw Data'!$A$6:$D$4699,4,FALSE)</f>
        <v>#N/A</v>
      </c>
      <c r="F157" s="169" t="str">
        <f>VLOOKUP(A157,'Feature Raw Data'!$A$3:$E$4067,5,FALSE)</f>
        <v>Legacy</v>
      </c>
      <c r="G157" s="169" t="s">
        <v>36</v>
      </c>
      <c r="H157" s="169" t="str">
        <f t="shared" si="85"/>
        <v>No</v>
      </c>
      <c r="I157" s="273">
        <f>SUMIF('Diags Raw Data'!$A$6:$A$4699,"*"&amp;$A157&amp;"*",'Diags Raw Data'!$K$6:$K$4699)</f>
        <v>0</v>
      </c>
      <c r="J157" s="179">
        <f>SUMIF('Diags Raw Data'!$A$6:$A$4699,"*"&amp;$A157&amp;"*",'Diags Raw Data'!$L$6:$L$4699)</f>
        <v>0</v>
      </c>
      <c r="K157" s="416" cm="1">
        <f t="array" ref="K157">IF(D157="",0, SUMPRODUCT(--(ISNUMBER(SEARCH($A157,'Diags Raw Data'!$A$6:$A$4699))),'Diags Raw Data'!$L$6:$L$4699,'Diags Raw Data'!$N$6:$N$4699)/J157)</f>
        <v>0</v>
      </c>
      <c r="L157" s="417" cm="1">
        <f t="array" ref="L157">IF(D157="",0, SUMPRODUCT(--(ISNUMBER(SEARCH($A157,'Diags Raw Data'!$A$6:$A$4699))),'Diags Raw Data'!$L$6:$L$4699,'Diags Raw Data'!$P$6:$P$4699)/J157)</f>
        <v>0</v>
      </c>
      <c r="M157" s="418" cm="1">
        <f t="array" ref="M157">SUMPRODUCT(--(ISNUMBER(SEARCH($A157,'Diags Raw Data'!$A$6:$A$4699))),--('Diags Raw Data'!$Q$6:$Q$4699&lt;&gt;"N/A"),'Diags Raw Data'!$R$6:$R$4699)</f>
        <v>0</v>
      </c>
      <c r="N157" s="419" cm="1">
        <f t="array" ref="N157">SUMPRODUCT(--(ISNUMBER(SEARCH($A157,'Diags Raw Data'!$A$6:$A$4699))),--('Diags Raw Data'!$Q$6:$Q$4699&lt;&gt;"N/A"),'Diags Raw Data'!$T$6:$T$4699)+SUMPRODUCT(--(ISNUMBER(SEARCH($A157,'Diags Raw Data'!$A$6:$A$4699))),--('Diags Raw Data'!$Q$6:$Q$4699&lt;&gt;"N/A"),'Diags Raw Data'!$U$6:$U$4699)</f>
        <v>0</v>
      </c>
      <c r="O157" s="462">
        <f t="shared" si="86"/>
        <v>0</v>
      </c>
      <c r="P157" s="420">
        <f>SUMIF('Diags Raw Data'!$A$6:$A$4699,"*"&amp;$A157&amp;"*",'Diags Raw Data'!$Z$6:$Z$4699)</f>
        <v>0</v>
      </c>
      <c r="Q157" s="421">
        <f>SUM(SUMIF('Diags Raw Data'!$A$6:$A$4699,"*"&amp;$A157&amp;"*",'Diags Raw Data'!$AA$6:$AA$4699),SUMIF('Diags Raw Data'!$A$6:$A$4699,"*"&amp;$A157&amp;"*",'Diags Raw Data'!$AB$6:$AB$4699))</f>
        <v>0</v>
      </c>
      <c r="R157" s="422">
        <f t="shared" si="87"/>
        <v>0</v>
      </c>
      <c r="S157" s="422">
        <f t="shared" si="88"/>
        <v>0</v>
      </c>
      <c r="T157" s="423">
        <f t="shared" si="89"/>
        <v>0</v>
      </c>
      <c r="U157" s="469" t="s">
        <v>44</v>
      </c>
      <c r="V157" s="171" t="s">
        <v>43</v>
      </c>
    </row>
    <row r="158" spans="1:22" ht="315" x14ac:dyDescent="0.25">
      <c r="A158" s="446" t="s">
        <v>2714</v>
      </c>
      <c r="B158" s="332" t="str">
        <f>VLOOKUP(A158,'Feature Raw Data'!$A$3:$B$4067,2,FALSE)</f>
        <v>ATHUB:SOC - SOC-15 SDP interfaces (SOC-15 baseline)</v>
      </c>
      <c r="C158" s="273" t="str">
        <f>VLOOKUP(A158,'Feature Raw Data'!$A$3:$C$4067,3,FALSE)</f>
        <v>P2</v>
      </c>
      <c r="D158" s="82" t="str" cm="1">
        <f t="array" ref="D158">_xlfn.TEXTJOIN("",TRUE,IF(ISNUMBER(SEARCH($A158,'Diags Raw Data'!$A$6:$A$4699)),CONCATENATE('Diags Raw Data'!$H$6:$H$4699,", "),""))</f>
        <v xml:space="preserve">mhub001.1, mhub001.2, mhub001.3, mhub001.4, mhub001.5, mhub001.6, mhub001.7, mhub001.9, mhub401.1-6,11-16,21-26, mhub401.34, mhub405.1, mhub405.2, mhub405.3, mhub405.4-5, mhub405.6, mhub405.7, mhub405.8, mhub405.9, </v>
      </c>
      <c r="E158" s="169" t="e">
        <f>VLOOKUP(A158,'Diags Raw Data'!$A$6:$D$4699,4,FALSE)</f>
        <v>#N/A</v>
      </c>
      <c r="F158" s="169" t="str">
        <f>VLOOKUP(A158,'Feature Raw Data'!$A$3:$E$4067,5,FALSE)</f>
        <v>Legacy</v>
      </c>
      <c r="G158" s="169" t="str">
        <f t="shared" ref="G158:G170" si="91">IF(D158="","No","Yes")</f>
        <v>Yes</v>
      </c>
      <c r="H158" s="169" t="str">
        <f t="shared" ref="H158:H170" si="92">IF(D158="","No","Yes")</f>
        <v>Yes</v>
      </c>
      <c r="I158" s="273">
        <f>SUMIF('Diags Raw Data'!$A$6:$A$4699,"*"&amp;$A158&amp;"*",'Diags Raw Data'!$K$6:$K$4699)</f>
        <v>18</v>
      </c>
      <c r="J158" s="179">
        <f>SUMIF('Diags Raw Data'!$A$6:$A$4699,"*"&amp;$A158&amp;"*",'Diags Raw Data'!$L$6:$L$4699)</f>
        <v>36</v>
      </c>
      <c r="K158" s="416" cm="1">
        <f t="array" ref="K158">IF(D158="",0, SUMPRODUCT(--(ISNUMBER(SEARCH($A158,'Diags Raw Data'!$A$6:$A$4699))),'Diags Raw Data'!$L$6:$L$4699,'Diags Raw Data'!$N$6:$N$4699)/J158)</f>
        <v>1</v>
      </c>
      <c r="L158" s="417" cm="1">
        <f t="array" ref="L158">IF(D158="",0, SUMPRODUCT(--(ISNUMBER(SEARCH($A158,'Diags Raw Data'!$A$6:$A$4699))),'Diags Raw Data'!$L$6:$L$4699,'Diags Raw Data'!$P$6:$P$4699)/J158)</f>
        <v>0.5</v>
      </c>
      <c r="M158" s="418" cm="1">
        <f t="array" ref="M158">SUMPRODUCT(--(ISNUMBER(SEARCH($A158,'Diags Raw Data'!$A$6:$A$4699))),--('Diags Raw Data'!$Q$6:$Q$4699&lt;&gt;"N/A"),'Diags Raw Data'!$R$6:$R$4699)</f>
        <v>36</v>
      </c>
      <c r="N158" s="419" cm="1">
        <f t="array" ref="N158">SUMPRODUCT(--(ISNUMBER(SEARCH($A158,'Diags Raw Data'!$A$6:$A$4699))),--('Diags Raw Data'!$Q$6:$Q$4699&lt;&gt;"N/A"),'Diags Raw Data'!$T$6:$T$4699)+SUMPRODUCT(--(ISNUMBER(SEARCH($A158,'Diags Raw Data'!$A$6:$A$4699))),--('Diags Raw Data'!$Q$6:$Q$4699&lt;&gt;"N/A"),'Diags Raw Data'!$U$6:$U$4699)</f>
        <v>36</v>
      </c>
      <c r="O158" s="462">
        <f t="shared" ref="O158:O170" si="93">IF((M158=0),0,N158/M158)</f>
        <v>1</v>
      </c>
      <c r="P158" s="420">
        <f>SUMIF('Diags Raw Data'!$A$6:$A$4699,"*"&amp;$A158&amp;"*",'Diags Raw Data'!$Z$6:$Z$4699)</f>
        <v>0</v>
      </c>
      <c r="Q158" s="421">
        <f>SUM(SUMIF('Diags Raw Data'!$A$6:$A$4699,"*"&amp;$A158&amp;"*",'Diags Raw Data'!$AA$6:$AA$4699),SUMIF('Diags Raw Data'!$A$6:$A$4699,"*"&amp;$A158&amp;"*",'Diags Raw Data'!$AB$6:$AB$4699))</f>
        <v>0</v>
      </c>
      <c r="R158" s="422">
        <f t="shared" ref="R158:R170" si="94">IF((J158=0),0,P158/J158)</f>
        <v>0</v>
      </c>
      <c r="S158" s="422">
        <f t="shared" ref="S158:S170" si="95">IF((P158=0),0,Q158/P158)</f>
        <v>0</v>
      </c>
      <c r="T158" s="423">
        <f t="shared" ref="T158:T170" si="96">R158*S158</f>
        <v>0</v>
      </c>
      <c r="U158" s="469" t="s">
        <v>2799</v>
      </c>
    </row>
    <row r="159" spans="1:22" ht="30" x14ac:dyDescent="0.25">
      <c r="A159" s="446" t="s">
        <v>2716</v>
      </c>
      <c r="B159" s="332" t="str">
        <f>VLOOKUP(A159,'Feature Raw Data'!$A$3:$B$4067,2,FALSE)</f>
        <v>ATHUB:SOC - SOC-15 SCF interfaces (SOC-15 baseline)</v>
      </c>
      <c r="C159" s="273" t="str">
        <f>VLOOKUP(A159,'Feature Raw Data'!$A$3:$C$4067,3,FALSE)</f>
        <v>P2</v>
      </c>
      <c r="D159" s="82" t="str" cm="1">
        <f t="array" ref="D159">_xlfn.TEXTJOIN("",TRUE,IF(ISNUMBER(SEARCH($A159,'Diags Raw Data'!$A$6:$A$4699)),CONCATENATE('Diags Raw Data'!$H$6:$H$4699,", "),""))</f>
        <v/>
      </c>
      <c r="E159" s="169" t="e">
        <f>VLOOKUP(A159,'Diags Raw Data'!$A$6:$D$4699,4,FALSE)</f>
        <v>#N/A</v>
      </c>
      <c r="F159" s="169" t="str">
        <f>VLOOKUP(A159,'Feature Raw Data'!$A$3:$E$4067,5,FALSE)</f>
        <v>Legacy</v>
      </c>
      <c r="G159" s="169" t="str">
        <f t="shared" si="91"/>
        <v>No</v>
      </c>
      <c r="H159" s="169" t="str">
        <f t="shared" si="92"/>
        <v>No</v>
      </c>
      <c r="I159" s="273">
        <f>SUMIF('Diags Raw Data'!$A$6:$A$4699,"*"&amp;$A159&amp;"*",'Diags Raw Data'!$K$6:$K$4699)</f>
        <v>0</v>
      </c>
      <c r="J159" s="179">
        <f>SUMIF('Diags Raw Data'!$A$6:$A$4699,"*"&amp;$A159&amp;"*",'Diags Raw Data'!$L$6:$L$4699)</f>
        <v>0</v>
      </c>
      <c r="K159" s="416" cm="1">
        <f t="array" ref="K159">IF(D159="",0, SUMPRODUCT(--(ISNUMBER(SEARCH($A159,'Diags Raw Data'!$A$6:$A$4699))),'Diags Raw Data'!$L$6:$L$4699,'Diags Raw Data'!$N$6:$N$4699)/J159)</f>
        <v>0</v>
      </c>
      <c r="L159" s="417" cm="1">
        <f t="array" ref="L159">IF(D159="",0, SUMPRODUCT(--(ISNUMBER(SEARCH($A159,'Diags Raw Data'!$A$6:$A$4699))),'Diags Raw Data'!$L$6:$L$4699,'Diags Raw Data'!$P$6:$P$4699)/J159)</f>
        <v>0</v>
      </c>
      <c r="M159" s="418" cm="1">
        <f t="array" ref="M159">SUMPRODUCT(--(ISNUMBER(SEARCH($A159,'Diags Raw Data'!$A$6:$A$4699))),--('Diags Raw Data'!$Q$6:$Q$4699&lt;&gt;"N/A"),'Diags Raw Data'!$R$6:$R$4699)</f>
        <v>0</v>
      </c>
      <c r="N159" s="419" cm="1">
        <f t="array" ref="N159">SUMPRODUCT(--(ISNUMBER(SEARCH($A159,'Diags Raw Data'!$A$6:$A$4699))),--('Diags Raw Data'!$Q$6:$Q$4699&lt;&gt;"N/A"),'Diags Raw Data'!$T$6:$T$4699)+SUMPRODUCT(--(ISNUMBER(SEARCH($A159,'Diags Raw Data'!$A$6:$A$4699))),--('Diags Raw Data'!$Q$6:$Q$4699&lt;&gt;"N/A"),'Diags Raw Data'!$U$6:$U$4699)</f>
        <v>0</v>
      </c>
      <c r="O159" s="462">
        <f t="shared" si="93"/>
        <v>0</v>
      </c>
      <c r="P159" s="420">
        <f>SUMIF('Diags Raw Data'!$A$6:$A$4699,"*"&amp;$A159&amp;"*",'Diags Raw Data'!$Z$6:$Z$4699)</f>
        <v>0</v>
      </c>
      <c r="Q159" s="421">
        <f>SUM(SUMIF('Diags Raw Data'!$A$6:$A$4699,"*"&amp;$A159&amp;"*",'Diags Raw Data'!$AA$6:$AA$4699),SUMIF('Diags Raw Data'!$A$6:$A$4699,"*"&amp;$A159&amp;"*",'Diags Raw Data'!$AB$6:$AB$4699))</f>
        <v>0</v>
      </c>
      <c r="R159" s="422">
        <f t="shared" si="94"/>
        <v>0</v>
      </c>
      <c r="S159" s="422">
        <f t="shared" si="95"/>
        <v>0</v>
      </c>
      <c r="T159" s="423">
        <f t="shared" si="96"/>
        <v>0</v>
      </c>
      <c r="U159" s="469" t="s">
        <v>44</v>
      </c>
      <c r="V159" s="171" t="s">
        <v>43</v>
      </c>
    </row>
    <row r="160" spans="1:22" ht="60" x14ac:dyDescent="0.25">
      <c r="A160" s="446" t="s">
        <v>2718</v>
      </c>
      <c r="B160" s="332" t="str">
        <f>VLOOKUP(A160,'Feature Raw Data'!$A$3:$B$4067,2,FALSE)</f>
        <v>ATHUB:SOC - VDCI on GFX SDP interfaces</v>
      </c>
      <c r="C160" s="273" t="str">
        <f>VLOOKUP(A160,'Feature Raw Data'!$A$3:$C$4067,3,FALSE)</f>
        <v>P2</v>
      </c>
      <c r="D160" s="82" t="str" cm="1">
        <f t="array" ref="D160">_xlfn.TEXTJOIN("",TRUE,IF(ISNUMBER(SEARCH($A160,'Diags Raw Data'!$A$6:$A$4699)),CONCATENATE('Diags Raw Data'!$H$6:$H$4699,", "),""))</f>
        <v xml:space="preserve">mhub401.1-6,11-16,21-26, mhub405.1, </v>
      </c>
      <c r="E160" s="169" t="e">
        <f>VLOOKUP(A160,'Diags Raw Data'!$A$6:$D$4699,4,FALSE)</f>
        <v>#N/A</v>
      </c>
      <c r="F160" s="169" t="str">
        <f>VLOOKUP(A160,'Feature Raw Data'!$A$3:$E$4067,5,FALSE)</f>
        <v>Legacy</v>
      </c>
      <c r="G160" s="169" t="str">
        <f t="shared" si="91"/>
        <v>Yes</v>
      </c>
      <c r="H160" s="169" t="str">
        <f t="shared" si="92"/>
        <v>Yes</v>
      </c>
      <c r="I160" s="273">
        <f>SUMIF('Diags Raw Data'!$A$6:$A$4699,"*"&amp;$A160&amp;"*",'Diags Raw Data'!$K$6:$K$4699)</f>
        <v>2</v>
      </c>
      <c r="J160" s="179">
        <f>SUMIF('Diags Raw Data'!$A$6:$A$4699,"*"&amp;$A160&amp;"*",'Diags Raw Data'!$L$6:$L$4699)</f>
        <v>19</v>
      </c>
      <c r="K160" s="416" cm="1">
        <f t="array" ref="K160">IF(D160="",0, SUMPRODUCT(--(ISNUMBER(SEARCH($A160,'Diags Raw Data'!$A$6:$A$4699))),'Diags Raw Data'!$L$6:$L$4699,'Diags Raw Data'!$N$6:$N$4699)/J160)</f>
        <v>1</v>
      </c>
      <c r="L160" s="417" cm="1">
        <f t="array" ref="L160">IF(D160="",0, SUMPRODUCT(--(ISNUMBER(SEARCH($A160,'Diags Raw Data'!$A$6:$A$4699))),'Diags Raw Data'!$L$6:$L$4699,'Diags Raw Data'!$P$6:$P$4699)/J160)</f>
        <v>5.2631578947368418E-2</v>
      </c>
      <c r="M160" s="418" cm="1">
        <f t="array" ref="M160">SUMPRODUCT(--(ISNUMBER(SEARCH($A160,'Diags Raw Data'!$A$6:$A$4699))),--('Diags Raw Data'!$Q$6:$Q$4699&lt;&gt;"N/A"),'Diags Raw Data'!$R$6:$R$4699)</f>
        <v>19</v>
      </c>
      <c r="N160" s="419" cm="1">
        <f t="array" ref="N160">SUMPRODUCT(--(ISNUMBER(SEARCH($A160,'Diags Raw Data'!$A$6:$A$4699))),--('Diags Raw Data'!$Q$6:$Q$4699&lt;&gt;"N/A"),'Diags Raw Data'!$T$6:$T$4699)+SUMPRODUCT(--(ISNUMBER(SEARCH($A160,'Diags Raw Data'!$A$6:$A$4699))),--('Diags Raw Data'!$Q$6:$Q$4699&lt;&gt;"N/A"),'Diags Raw Data'!$U$6:$U$4699)</f>
        <v>19</v>
      </c>
      <c r="O160" s="462">
        <f t="shared" si="93"/>
        <v>1</v>
      </c>
      <c r="P160" s="420">
        <f>SUMIF('Diags Raw Data'!$A$6:$A$4699,"*"&amp;$A160&amp;"*",'Diags Raw Data'!$Z$6:$Z$4699)</f>
        <v>0</v>
      </c>
      <c r="Q160" s="421">
        <f>SUM(SUMIF('Diags Raw Data'!$A$6:$A$4699,"*"&amp;$A160&amp;"*",'Diags Raw Data'!$AA$6:$AA$4699),SUMIF('Diags Raw Data'!$A$6:$A$4699,"*"&amp;$A160&amp;"*",'Diags Raw Data'!$AB$6:$AB$4699))</f>
        <v>0</v>
      </c>
      <c r="R160" s="422">
        <f t="shared" si="94"/>
        <v>0</v>
      </c>
      <c r="S160" s="422">
        <f t="shared" si="95"/>
        <v>0</v>
      </c>
      <c r="T160" s="423">
        <f t="shared" si="96"/>
        <v>0</v>
      </c>
      <c r="U160" s="469" t="s">
        <v>2796</v>
      </c>
    </row>
    <row r="161" spans="1:22" x14ac:dyDescent="0.25">
      <c r="A161" s="446" t="s">
        <v>2721</v>
      </c>
      <c r="B161" s="332" t="str">
        <f>VLOOKUP(A161,'Feature Raw Data'!$A$3:$B$4067,2,FALSE)</f>
        <v>ATHUB:SOC - VDCI on DF SDP interfaces</v>
      </c>
      <c r="C161" s="273" t="str">
        <f>VLOOKUP(A161,'Feature Raw Data'!$A$3:$C$4067,3,FALSE)</f>
        <v>P2</v>
      </c>
      <c r="D161" s="82" t="str" cm="1">
        <f t="array" ref="D161">_xlfn.TEXTJOIN("",TRUE,IF(ISNUMBER(SEARCH($A161,'Diags Raw Data'!$A$6:$A$4699)),CONCATENATE('Diags Raw Data'!$H$6:$H$4699,", "),""))</f>
        <v xml:space="preserve">mhub201.5, </v>
      </c>
      <c r="E161" s="169" t="e">
        <f>VLOOKUP(A161,'Diags Raw Data'!$A$6:$D$4699,4,FALSE)</f>
        <v>#N/A</v>
      </c>
      <c r="F161" s="169" t="str">
        <f>VLOOKUP(A161,'Feature Raw Data'!$A$3:$E$4067,5,FALSE)</f>
        <v>Legacy</v>
      </c>
      <c r="G161" s="169" t="str">
        <f t="shared" si="91"/>
        <v>Yes</v>
      </c>
      <c r="H161" s="169" t="str">
        <f t="shared" si="92"/>
        <v>Yes</v>
      </c>
      <c r="I161" s="273">
        <f>SUMIF('Diags Raw Data'!$A$6:$A$4699,"*"&amp;$A161&amp;"*",'Diags Raw Data'!$K$6:$K$4699)</f>
        <v>1</v>
      </c>
      <c r="J161" s="179">
        <f>SUMIF('Diags Raw Data'!$A$6:$A$4699,"*"&amp;$A161&amp;"*",'Diags Raw Data'!$L$6:$L$4699)</f>
        <v>1</v>
      </c>
      <c r="K161" s="416" cm="1">
        <f t="array" ref="K161">IF(D161="",0, SUMPRODUCT(--(ISNUMBER(SEARCH($A161,'Diags Raw Data'!$A$6:$A$4699))),'Diags Raw Data'!$L$6:$L$4699,'Diags Raw Data'!$N$6:$N$4699)/J161)</f>
        <v>1</v>
      </c>
      <c r="L161" s="417" cm="1">
        <f t="array" ref="L161">IF(D161="",0, SUMPRODUCT(--(ISNUMBER(SEARCH($A161,'Diags Raw Data'!$A$6:$A$4699))),'Diags Raw Data'!$L$6:$L$4699,'Diags Raw Data'!$P$6:$P$4699)/J161)</f>
        <v>1</v>
      </c>
      <c r="M161" s="418" cm="1">
        <f t="array" ref="M161">SUMPRODUCT(--(ISNUMBER(SEARCH($A161,'Diags Raw Data'!$A$6:$A$4699))),--('Diags Raw Data'!$Q$6:$Q$4699&lt;&gt;"N/A"),'Diags Raw Data'!$R$6:$R$4699)</f>
        <v>1</v>
      </c>
      <c r="N161" s="419" cm="1">
        <f t="array" ref="N161">SUMPRODUCT(--(ISNUMBER(SEARCH($A161,'Diags Raw Data'!$A$6:$A$4699))),--('Diags Raw Data'!$Q$6:$Q$4699&lt;&gt;"N/A"),'Diags Raw Data'!$T$6:$T$4699)+SUMPRODUCT(--(ISNUMBER(SEARCH($A161,'Diags Raw Data'!$A$6:$A$4699))),--('Diags Raw Data'!$Q$6:$Q$4699&lt;&gt;"N/A"),'Diags Raw Data'!$U$6:$U$4699)</f>
        <v>1</v>
      </c>
      <c r="O161" s="462">
        <f t="shared" si="93"/>
        <v>1</v>
      </c>
      <c r="P161" s="420">
        <f>SUMIF('Diags Raw Data'!$A$6:$A$4699,"*"&amp;$A161&amp;"*",'Diags Raw Data'!$Z$6:$Z$4699)</f>
        <v>0</v>
      </c>
      <c r="Q161" s="421">
        <f>SUM(SUMIF('Diags Raw Data'!$A$6:$A$4699,"*"&amp;$A161&amp;"*",'Diags Raw Data'!$AA$6:$AA$4699),SUMIF('Diags Raw Data'!$A$6:$A$4699,"*"&amp;$A161&amp;"*",'Diags Raw Data'!$AB$6:$AB$4699))</f>
        <v>0</v>
      </c>
      <c r="R161" s="422">
        <f t="shared" si="94"/>
        <v>0</v>
      </c>
      <c r="S161" s="422">
        <f t="shared" si="95"/>
        <v>0</v>
      </c>
      <c r="T161" s="423">
        <f t="shared" si="96"/>
        <v>0</v>
      </c>
      <c r="U161" s="469" t="s">
        <v>2797</v>
      </c>
    </row>
    <row r="162" spans="1:22" x14ac:dyDescent="0.25">
      <c r="A162" s="446" t="s">
        <v>2723</v>
      </c>
      <c r="B162" s="332" t="str">
        <f>VLOOKUP(A162,'Feature Raw Data'!$A$3:$B$4067,2,FALSE)</f>
        <v>ATHUB:SOC - OpenCL Platform Atomics</v>
      </c>
      <c r="C162" s="273" t="str">
        <f>VLOOKUP(A162,'Feature Raw Data'!$A$3:$C$4067,3,FALSE)</f>
        <v>P2</v>
      </c>
      <c r="D162" s="82" t="str" cm="1">
        <f t="array" ref="D162">_xlfn.TEXTJOIN("",TRUE,IF(ISNUMBER(SEARCH($A162,'Diags Raw Data'!$A$6:$A$4699)),CONCATENATE('Diags Raw Data'!$H$6:$H$4699,", "),""))</f>
        <v xml:space="preserve">vcn005.1-4, </v>
      </c>
      <c r="E162" s="169" t="e">
        <f>VLOOKUP(A162,'Diags Raw Data'!$A$6:$D$4699,4,FALSE)</f>
        <v>#N/A</v>
      </c>
      <c r="F162" s="169" t="str">
        <f>VLOOKUP(A162,'Feature Raw Data'!$A$3:$E$4067,5,FALSE)</f>
        <v>Legacy</v>
      </c>
      <c r="G162" s="169" t="s">
        <v>31</v>
      </c>
      <c r="H162" s="169" t="str">
        <f t="shared" si="92"/>
        <v>Yes</v>
      </c>
      <c r="I162" s="273">
        <f>SUMIF('Diags Raw Data'!$A$6:$A$4699,"*"&amp;$A162&amp;"*",'Diags Raw Data'!$K$6:$K$4699)</f>
        <v>0</v>
      </c>
      <c r="J162" s="179">
        <f>SUMIF('Diags Raw Data'!$A$6:$A$4699,"*"&amp;$A162&amp;"*",'Diags Raw Data'!$L$6:$L$4699)</f>
        <v>0</v>
      </c>
      <c r="K162" s="416" t="e" cm="1">
        <f t="array" ref="K162">IF(D162="",0, SUMPRODUCT(--(ISNUMBER(SEARCH($A162,'Diags Raw Data'!$A$6:$A$4699))),'Diags Raw Data'!$L$6:$L$4699,'Diags Raw Data'!$N$6:$N$4699)/J162)</f>
        <v>#DIV/0!</v>
      </c>
      <c r="L162" s="417" t="e" cm="1">
        <f t="array" ref="L162">IF(D162="",0, SUMPRODUCT(--(ISNUMBER(SEARCH($A162,'Diags Raw Data'!$A$6:$A$4699))),'Diags Raw Data'!$L$6:$L$4699,'Diags Raw Data'!$P$6:$P$4699)/J162)</f>
        <v>#DIV/0!</v>
      </c>
      <c r="M162" s="418" cm="1">
        <f t="array" ref="M162">SUMPRODUCT(--(ISNUMBER(SEARCH($A162,'Diags Raw Data'!$A$6:$A$4699))),--('Diags Raw Data'!$Q$6:$Q$4699&lt;&gt;"N/A"),'Diags Raw Data'!$R$6:$R$4699)</f>
        <v>0</v>
      </c>
      <c r="N162" s="419" cm="1">
        <f t="array" ref="N162">SUMPRODUCT(--(ISNUMBER(SEARCH($A162,'Diags Raw Data'!$A$6:$A$4699))),--('Diags Raw Data'!$Q$6:$Q$4699&lt;&gt;"N/A"),'Diags Raw Data'!$T$6:$T$4699)+SUMPRODUCT(--(ISNUMBER(SEARCH($A162,'Diags Raw Data'!$A$6:$A$4699))),--('Diags Raw Data'!$Q$6:$Q$4699&lt;&gt;"N/A"),'Diags Raw Data'!$U$6:$U$4699)</f>
        <v>0</v>
      </c>
      <c r="O162" s="462">
        <f t="shared" si="93"/>
        <v>0</v>
      </c>
      <c r="P162" s="420">
        <f>SUMIF('Diags Raw Data'!$A$6:$A$4699,"*"&amp;$A162&amp;"*",'Diags Raw Data'!$Z$6:$Z$4699)</f>
        <v>0</v>
      </c>
      <c r="Q162" s="421">
        <f>SUM(SUMIF('Diags Raw Data'!$A$6:$A$4699,"*"&amp;$A162&amp;"*",'Diags Raw Data'!$AA$6:$AA$4699),SUMIF('Diags Raw Data'!$A$6:$A$4699,"*"&amp;$A162&amp;"*",'Diags Raw Data'!$AB$6:$AB$4699))</f>
        <v>0</v>
      </c>
      <c r="R162" s="422">
        <f t="shared" si="94"/>
        <v>0</v>
      </c>
      <c r="S162" s="422">
        <f t="shared" si="95"/>
        <v>0</v>
      </c>
      <c r="T162" s="423">
        <f t="shared" si="96"/>
        <v>0</v>
      </c>
      <c r="U162" s="469" t="s">
        <v>44</v>
      </c>
      <c r="V162" s="171" t="s">
        <v>2665</v>
      </c>
    </row>
    <row r="163" spans="1:22" ht="30" x14ac:dyDescent="0.25">
      <c r="A163" s="446" t="s">
        <v>2728</v>
      </c>
      <c r="B163" s="332" t="str">
        <f>VLOOKUP(A163,'Feature Raw Data'!$A$3:$B$4067,2,FALSE)</f>
        <v>ATHUB:ATS - SOC-15 QoS 1.0 (Qos for mmhub translation)</v>
      </c>
      <c r="C163" s="273" t="str">
        <f>VLOOKUP(A163,'Feature Raw Data'!$A$3:$C$4067,3,FALSE)</f>
        <v>P2</v>
      </c>
      <c r="D163" s="82" t="str" cm="1">
        <f t="array" ref="D163">_xlfn.TEXTJOIN("",TRUE,IF(ISNUMBER(SEARCH($A163,'Diags Raw Data'!$A$6:$A$4699)),CONCATENATE('Diags Raw Data'!$H$6:$H$4699,", "),""))</f>
        <v/>
      </c>
      <c r="E163" s="169" t="e">
        <f>VLOOKUP(A163,'Diags Raw Data'!$A$6:$D$4699,4,FALSE)</f>
        <v>#N/A</v>
      </c>
      <c r="F163" s="169" t="str">
        <f>VLOOKUP(A163,'Feature Raw Data'!$A$3:$E$4067,5,FALSE)</f>
        <v>Legacy</v>
      </c>
      <c r="G163" s="169" t="str">
        <f t="shared" si="91"/>
        <v>No</v>
      </c>
      <c r="H163" s="169" t="str">
        <f t="shared" si="92"/>
        <v>No</v>
      </c>
      <c r="I163" s="273">
        <f>SUMIF('Diags Raw Data'!$A$6:$A$4699,"*"&amp;$A163&amp;"*",'Diags Raw Data'!$K$6:$K$4699)</f>
        <v>0</v>
      </c>
      <c r="J163" s="179">
        <f>SUMIF('Diags Raw Data'!$A$6:$A$4699,"*"&amp;$A163&amp;"*",'Diags Raw Data'!$L$6:$L$4699)</f>
        <v>0</v>
      </c>
      <c r="K163" s="416" cm="1">
        <f t="array" ref="K163">IF(D163="",0, SUMPRODUCT(--(ISNUMBER(SEARCH($A163,'Diags Raw Data'!$A$6:$A$4699))),'Diags Raw Data'!$L$6:$L$4699,'Diags Raw Data'!$N$6:$N$4699)/J163)</f>
        <v>0</v>
      </c>
      <c r="L163" s="417" cm="1">
        <f t="array" ref="L163">IF(D163="",0, SUMPRODUCT(--(ISNUMBER(SEARCH($A163,'Diags Raw Data'!$A$6:$A$4699))),'Diags Raw Data'!$L$6:$L$4699,'Diags Raw Data'!$P$6:$P$4699)/J163)</f>
        <v>0</v>
      </c>
      <c r="M163" s="418" cm="1">
        <f t="array" ref="M163">SUMPRODUCT(--(ISNUMBER(SEARCH($A163,'Diags Raw Data'!$A$6:$A$4699))),--('Diags Raw Data'!$Q$6:$Q$4699&lt;&gt;"N/A"),'Diags Raw Data'!$R$6:$R$4699)</f>
        <v>0</v>
      </c>
      <c r="N163" s="419" cm="1">
        <f t="array" ref="N163">SUMPRODUCT(--(ISNUMBER(SEARCH($A163,'Diags Raw Data'!$A$6:$A$4699))),--('Diags Raw Data'!$Q$6:$Q$4699&lt;&gt;"N/A"),'Diags Raw Data'!$T$6:$T$4699)+SUMPRODUCT(--(ISNUMBER(SEARCH($A163,'Diags Raw Data'!$A$6:$A$4699))),--('Diags Raw Data'!$Q$6:$Q$4699&lt;&gt;"N/A"),'Diags Raw Data'!$U$6:$U$4699)</f>
        <v>0</v>
      </c>
      <c r="O163" s="462">
        <f t="shared" si="93"/>
        <v>0</v>
      </c>
      <c r="P163" s="420">
        <f>SUMIF('Diags Raw Data'!$A$6:$A$4699,"*"&amp;$A163&amp;"*",'Diags Raw Data'!$Z$6:$Z$4699)</f>
        <v>0</v>
      </c>
      <c r="Q163" s="421">
        <f>SUM(SUMIF('Diags Raw Data'!$A$6:$A$4699,"*"&amp;$A163&amp;"*",'Diags Raw Data'!$AA$6:$AA$4699),SUMIF('Diags Raw Data'!$A$6:$A$4699,"*"&amp;$A163&amp;"*",'Diags Raw Data'!$AB$6:$AB$4699))</f>
        <v>0</v>
      </c>
      <c r="R163" s="422">
        <f t="shared" si="94"/>
        <v>0</v>
      </c>
      <c r="S163" s="422">
        <f t="shared" si="95"/>
        <v>0</v>
      </c>
      <c r="T163" s="423">
        <f t="shared" si="96"/>
        <v>0</v>
      </c>
      <c r="U163" s="469" t="s">
        <v>44</v>
      </c>
      <c r="V163" s="171" t="s">
        <v>43</v>
      </c>
    </row>
    <row r="164" spans="1:22" ht="90" x14ac:dyDescent="0.25">
      <c r="A164" s="446" t="s">
        <v>2730</v>
      </c>
      <c r="B164" s="332" t="str">
        <f>VLOOKUP(A164,'Feature Raw Data'!$A$3:$B$4067,2,FALSE)</f>
        <v>ATHUB:ATS - Address Translation Requests and Completions</v>
      </c>
      <c r="C164" s="273" t="str">
        <f>VLOOKUP(A164,'Feature Raw Data'!$A$3:$C$4067,3,FALSE)</f>
        <v>P2</v>
      </c>
      <c r="D164" s="82" t="str" cm="1">
        <f t="array" ref="D164">_xlfn.TEXTJOIN("",TRUE,IF(ISNUMBER(SEARCH($A164,'Diags Raw Data'!$A$6:$A$4699)),CONCATENATE('Diags Raw Data'!$H$6:$H$4699,", "),""))</f>
        <v xml:space="preserve">mhub201.5, mhub401.1-6,11-16,21-26, mhub401.34, mhub405.1, </v>
      </c>
      <c r="E164" s="169" t="e">
        <f>VLOOKUP(A164,'Diags Raw Data'!$A$6:$D$4699,4,FALSE)</f>
        <v>#N/A</v>
      </c>
      <c r="F164" s="169" t="str">
        <f>VLOOKUP(A164,'Feature Raw Data'!$A$3:$E$4067,5,FALSE)</f>
        <v>Legacy</v>
      </c>
      <c r="G164" s="169" t="str">
        <f t="shared" si="91"/>
        <v>Yes</v>
      </c>
      <c r="H164" s="169" t="str">
        <f t="shared" si="92"/>
        <v>Yes</v>
      </c>
      <c r="I164" s="273">
        <f>SUMIF('Diags Raw Data'!$A$6:$A$4699,"*"&amp;$A164&amp;"*",'Diags Raw Data'!$K$6:$K$4699)</f>
        <v>4</v>
      </c>
      <c r="J164" s="179">
        <f>SUMIF('Diags Raw Data'!$A$6:$A$4699,"*"&amp;$A164&amp;"*",'Diags Raw Data'!$L$6:$L$4699)</f>
        <v>21</v>
      </c>
      <c r="K164" s="416" cm="1">
        <f t="array" ref="K164">IF(D164="",0, SUMPRODUCT(--(ISNUMBER(SEARCH($A164,'Diags Raw Data'!$A$6:$A$4699))),'Diags Raw Data'!$L$6:$L$4699,'Diags Raw Data'!$N$6:$N$4699)/J164)</f>
        <v>1</v>
      </c>
      <c r="L164" s="417" cm="1">
        <f t="array" ref="L164">IF(D164="",0, SUMPRODUCT(--(ISNUMBER(SEARCH($A164,'Diags Raw Data'!$A$6:$A$4699))),'Diags Raw Data'!$L$6:$L$4699,'Diags Raw Data'!$P$6:$P$4699)/J164)</f>
        <v>0.14285714285714285</v>
      </c>
      <c r="M164" s="418" cm="1">
        <f t="array" ref="M164">SUMPRODUCT(--(ISNUMBER(SEARCH($A164,'Diags Raw Data'!$A$6:$A$4699))),--('Diags Raw Data'!$Q$6:$Q$4699&lt;&gt;"N/A"),'Diags Raw Data'!$R$6:$R$4699)</f>
        <v>21</v>
      </c>
      <c r="N164" s="419" cm="1">
        <f t="array" ref="N164">SUMPRODUCT(--(ISNUMBER(SEARCH($A164,'Diags Raw Data'!$A$6:$A$4699))),--('Diags Raw Data'!$Q$6:$Q$4699&lt;&gt;"N/A"),'Diags Raw Data'!$T$6:$T$4699)+SUMPRODUCT(--(ISNUMBER(SEARCH($A164,'Diags Raw Data'!$A$6:$A$4699))),--('Diags Raw Data'!$Q$6:$Q$4699&lt;&gt;"N/A"),'Diags Raw Data'!$U$6:$U$4699)</f>
        <v>21</v>
      </c>
      <c r="O164" s="462">
        <f t="shared" si="93"/>
        <v>1</v>
      </c>
      <c r="P164" s="420">
        <f>SUMIF('Diags Raw Data'!$A$6:$A$4699,"*"&amp;$A164&amp;"*",'Diags Raw Data'!$Z$6:$Z$4699)</f>
        <v>0</v>
      </c>
      <c r="Q164" s="421">
        <f>SUM(SUMIF('Diags Raw Data'!$A$6:$A$4699,"*"&amp;$A164&amp;"*",'Diags Raw Data'!$AA$6:$AA$4699),SUMIF('Diags Raw Data'!$A$6:$A$4699,"*"&amp;$A164&amp;"*",'Diags Raw Data'!$AB$6:$AB$4699))</f>
        <v>0</v>
      </c>
      <c r="R164" s="422">
        <f t="shared" si="94"/>
        <v>0</v>
      </c>
      <c r="S164" s="422">
        <f t="shared" si="95"/>
        <v>0</v>
      </c>
      <c r="T164" s="423">
        <f t="shared" si="96"/>
        <v>0</v>
      </c>
      <c r="U164" s="469" t="s">
        <v>2799</v>
      </c>
    </row>
    <row r="165" spans="1:22" ht="135" x14ac:dyDescent="0.25">
      <c r="A165" s="446" t="s">
        <v>2732</v>
      </c>
      <c r="B165" s="332" t="str">
        <f>VLOOKUP(A165,'Feature Raw Data'!$A$3:$B$4067,2,FALSE)</f>
        <v>ATHUB:ATS - PRI Page Requests and Responses</v>
      </c>
      <c r="C165" s="273" t="str">
        <f>VLOOKUP(A165,'Feature Raw Data'!$A$3:$C$4067,3,FALSE)</f>
        <v>P2</v>
      </c>
      <c r="D165" s="82" t="str" cm="1">
        <f t="array" ref="D165">_xlfn.TEXTJOIN("",TRUE,IF(ISNUMBER(SEARCH($A165,'Diags Raw Data'!$A$6:$A$4699)),CONCATENATE('Diags Raw Data'!$H$6:$H$4699,", "),""))</f>
        <v xml:space="preserve">mhub405.2, mhub405.3, mhub405.4-5, mhub405.6, mhub406.1, mhub406.2, mhub406.11, mhub406.12, </v>
      </c>
      <c r="E165" s="169" t="e">
        <f>VLOOKUP(A165,'Diags Raw Data'!$A$6:$D$4699,4,FALSE)</f>
        <v>#N/A</v>
      </c>
      <c r="F165" s="169" t="str">
        <f>VLOOKUP(A165,'Feature Raw Data'!$A$3:$E$4067,5,FALSE)</f>
        <v>Legacy</v>
      </c>
      <c r="G165" s="169" t="str">
        <f t="shared" si="91"/>
        <v>Yes</v>
      </c>
      <c r="H165" s="169" t="str">
        <f t="shared" si="92"/>
        <v>Yes</v>
      </c>
      <c r="I165" s="273">
        <f>SUMIF('Diags Raw Data'!$A$6:$A$4699,"*"&amp;$A165&amp;"*",'Diags Raw Data'!$K$6:$K$4699)</f>
        <v>8</v>
      </c>
      <c r="J165" s="179">
        <f>SUMIF('Diags Raw Data'!$A$6:$A$4699,"*"&amp;$A165&amp;"*",'Diags Raw Data'!$L$6:$L$4699)</f>
        <v>9</v>
      </c>
      <c r="K165" s="416" cm="1">
        <f t="array" ref="K165">IF(D165="",0, SUMPRODUCT(--(ISNUMBER(SEARCH($A165,'Diags Raw Data'!$A$6:$A$4699))),'Diags Raw Data'!$L$6:$L$4699,'Diags Raw Data'!$N$6:$N$4699)/J165)</f>
        <v>1</v>
      </c>
      <c r="L165" s="417" cm="1">
        <f t="array" ref="L165">IF(D165="",0, SUMPRODUCT(--(ISNUMBER(SEARCH($A165,'Diags Raw Data'!$A$6:$A$4699))),'Diags Raw Data'!$L$6:$L$4699,'Diags Raw Data'!$P$6:$P$4699)/J165)</f>
        <v>1</v>
      </c>
      <c r="M165" s="418" cm="1">
        <f t="array" ref="M165">SUMPRODUCT(--(ISNUMBER(SEARCH($A165,'Diags Raw Data'!$A$6:$A$4699))),--('Diags Raw Data'!$Q$6:$Q$4699&lt;&gt;"N/A"),'Diags Raw Data'!$R$6:$R$4699)</f>
        <v>9</v>
      </c>
      <c r="N165" s="419" cm="1">
        <f t="array" ref="N165">SUMPRODUCT(--(ISNUMBER(SEARCH($A165,'Diags Raw Data'!$A$6:$A$4699))),--('Diags Raw Data'!$Q$6:$Q$4699&lt;&gt;"N/A"),'Diags Raw Data'!$T$6:$T$4699)+SUMPRODUCT(--(ISNUMBER(SEARCH($A165,'Diags Raw Data'!$A$6:$A$4699))),--('Diags Raw Data'!$Q$6:$Q$4699&lt;&gt;"N/A"),'Diags Raw Data'!$U$6:$U$4699)</f>
        <v>9</v>
      </c>
      <c r="O165" s="462">
        <f t="shared" si="93"/>
        <v>1</v>
      </c>
      <c r="P165" s="420">
        <f>SUMIF('Diags Raw Data'!$A$6:$A$4699,"*"&amp;$A165&amp;"*",'Diags Raw Data'!$Z$6:$Z$4699)</f>
        <v>0</v>
      </c>
      <c r="Q165" s="421">
        <f>SUM(SUMIF('Diags Raw Data'!$A$6:$A$4699,"*"&amp;$A165&amp;"*",'Diags Raw Data'!$AA$6:$AA$4699),SUMIF('Diags Raw Data'!$A$6:$A$4699,"*"&amp;$A165&amp;"*",'Diags Raw Data'!$AB$6:$AB$4699))</f>
        <v>0</v>
      </c>
      <c r="R165" s="422">
        <f t="shared" si="94"/>
        <v>0</v>
      </c>
      <c r="S165" s="422">
        <f t="shared" si="95"/>
        <v>0</v>
      </c>
      <c r="T165" s="423">
        <f t="shared" si="96"/>
        <v>0</v>
      </c>
      <c r="U165" s="469" t="s">
        <v>2808</v>
      </c>
    </row>
    <row r="166" spans="1:22" ht="45" x14ac:dyDescent="0.25">
      <c r="A166" s="446" t="s">
        <v>2734</v>
      </c>
      <c r="B166" s="332" t="str">
        <f>VLOOKUP(A166,'Feature Raw Data'!$A$3:$B$4067,2,FALSE)</f>
        <v>ATHUB:ATS - Invalidate Requests and Completions</v>
      </c>
      <c r="C166" s="273" t="str">
        <f>VLOOKUP(A166,'Feature Raw Data'!$A$3:$C$4067,3,FALSE)</f>
        <v>P2</v>
      </c>
      <c r="D166" s="82" t="str" cm="1">
        <f t="array" ref="D166">_xlfn.TEXTJOIN("",TRUE,IF(ISNUMBER(SEARCH($A166,'Diags Raw Data'!$A$6:$A$4699)),CONCATENATE('Diags Raw Data'!$H$6:$H$4699,", "),""))</f>
        <v xml:space="preserve">mhub067.1-4, mhub405.3, </v>
      </c>
      <c r="E166" s="169" t="e">
        <f>VLOOKUP(A166,'Diags Raw Data'!$A$6:$D$4699,4,FALSE)</f>
        <v>#N/A</v>
      </c>
      <c r="F166" s="169" t="str">
        <f>VLOOKUP(A166,'Feature Raw Data'!$A$3:$E$4067,5,FALSE)</f>
        <v>Legacy</v>
      </c>
      <c r="G166" s="169" t="str">
        <f t="shared" si="91"/>
        <v>Yes</v>
      </c>
      <c r="H166" s="169" t="str">
        <f t="shared" si="92"/>
        <v>Yes</v>
      </c>
      <c r="I166" s="273">
        <f>SUMIF('Diags Raw Data'!$A$6:$A$4699,"*"&amp;$A166&amp;"*",'Diags Raw Data'!$K$6:$K$4699)</f>
        <v>2</v>
      </c>
      <c r="J166" s="179">
        <f>SUMIF('Diags Raw Data'!$A$6:$A$4699,"*"&amp;$A166&amp;"*",'Diags Raw Data'!$L$6:$L$4699)</f>
        <v>5</v>
      </c>
      <c r="K166" s="416" cm="1">
        <f t="array" ref="K166">IF(D166="",0, SUMPRODUCT(--(ISNUMBER(SEARCH($A166,'Diags Raw Data'!$A$6:$A$4699))),'Diags Raw Data'!$L$6:$L$4699,'Diags Raw Data'!$N$6:$N$4699)/J166)</f>
        <v>1</v>
      </c>
      <c r="L166" s="417" cm="1">
        <f t="array" ref="L166">IF(D166="",0, SUMPRODUCT(--(ISNUMBER(SEARCH($A166,'Diags Raw Data'!$A$6:$A$4699))),'Diags Raw Data'!$L$6:$L$4699,'Diags Raw Data'!$P$6:$P$4699)/J166)</f>
        <v>1</v>
      </c>
      <c r="M166" s="418" cm="1">
        <f t="array" ref="M166">SUMPRODUCT(--(ISNUMBER(SEARCH($A166,'Diags Raw Data'!$A$6:$A$4699))),--('Diags Raw Data'!$Q$6:$Q$4699&lt;&gt;"N/A"),'Diags Raw Data'!$R$6:$R$4699)</f>
        <v>5</v>
      </c>
      <c r="N166" s="419" cm="1">
        <f t="array" ref="N166">SUMPRODUCT(--(ISNUMBER(SEARCH($A166,'Diags Raw Data'!$A$6:$A$4699))),--('Diags Raw Data'!$Q$6:$Q$4699&lt;&gt;"N/A"),'Diags Raw Data'!$T$6:$T$4699)+SUMPRODUCT(--(ISNUMBER(SEARCH($A166,'Diags Raw Data'!$A$6:$A$4699))),--('Diags Raw Data'!$Q$6:$Q$4699&lt;&gt;"N/A"),'Diags Raw Data'!$U$6:$U$4699)</f>
        <v>5</v>
      </c>
      <c r="O166" s="462">
        <f t="shared" si="93"/>
        <v>1</v>
      </c>
      <c r="P166" s="420">
        <f>SUMIF('Diags Raw Data'!$A$6:$A$4699,"*"&amp;$A166&amp;"*",'Diags Raw Data'!$Z$6:$Z$4699)</f>
        <v>0</v>
      </c>
      <c r="Q166" s="421">
        <f>SUM(SUMIF('Diags Raw Data'!$A$6:$A$4699,"*"&amp;$A166&amp;"*",'Diags Raw Data'!$AA$6:$AA$4699),SUMIF('Diags Raw Data'!$A$6:$A$4699,"*"&amp;$A166&amp;"*",'Diags Raw Data'!$AB$6:$AB$4699))</f>
        <v>0</v>
      </c>
      <c r="R166" s="422">
        <f t="shared" si="94"/>
        <v>0</v>
      </c>
      <c r="S166" s="422">
        <f t="shared" si="95"/>
        <v>0</v>
      </c>
      <c r="T166" s="423">
        <f t="shared" si="96"/>
        <v>0</v>
      </c>
      <c r="U166" s="469" t="s">
        <v>2801</v>
      </c>
    </row>
    <row r="167" spans="1:22" ht="135" x14ac:dyDescent="0.25">
      <c r="A167" s="446" t="s">
        <v>2034</v>
      </c>
      <c r="B167" s="332" t="str">
        <f>VLOOKUP(A167,'Feature Raw Data'!$A$3:$B$4067,2,FALSE)</f>
        <v>ATHUB:ATS - Invalidation Flow Stall</v>
      </c>
      <c r="C167" s="273" t="str">
        <f>VLOOKUP(A167,'Feature Raw Data'!$A$3:$C$4067,3,FALSE)</f>
        <v>P2</v>
      </c>
      <c r="D167" s="82" t="str" cm="1">
        <f t="array" ref="D167">_xlfn.TEXTJOIN("",TRUE,IF(ISNUMBER(SEARCH($A167,'Diags Raw Data'!$A$6:$A$4699)),CONCATENATE('Diags Raw Data'!$H$6:$H$4699,", "),""))</f>
        <v xml:space="preserve">mhub405.4-5, mhub406.1, mhub406.2, mhub406.11, mhub406.12, mhub412.1, mhub412.2, mhub412.3, </v>
      </c>
      <c r="E167" s="169" t="str">
        <f>VLOOKUP(A167,'Diags Raw Data'!$A$6:$D$4699,4,FALSE)</f>
        <v>ATHUB</v>
      </c>
      <c r="F167" s="169" t="str">
        <f>VLOOKUP(A167,'Feature Raw Data'!$A$3:$E$4067,5,FALSE)</f>
        <v>Legacy</v>
      </c>
      <c r="G167" s="169" t="str">
        <f t="shared" si="91"/>
        <v>Yes</v>
      </c>
      <c r="H167" s="169" t="str">
        <f t="shared" si="92"/>
        <v>Yes</v>
      </c>
      <c r="I167" s="273">
        <f>SUMIF('Diags Raw Data'!$A$6:$A$4699,"*"&amp;$A167&amp;"*",'Diags Raw Data'!$K$6:$K$4699)</f>
        <v>8</v>
      </c>
      <c r="J167" s="179">
        <f>SUMIF('Diags Raw Data'!$A$6:$A$4699,"*"&amp;$A167&amp;"*",'Diags Raw Data'!$L$6:$L$4699)</f>
        <v>9</v>
      </c>
      <c r="K167" s="416" cm="1">
        <f t="array" ref="K167">IF(D167="",0, SUMPRODUCT(--(ISNUMBER(SEARCH($A167,'Diags Raw Data'!$A$6:$A$4699))),'Diags Raw Data'!$L$6:$L$4699,'Diags Raw Data'!$N$6:$N$4699)/J167)</f>
        <v>1</v>
      </c>
      <c r="L167" s="417" cm="1">
        <f t="array" ref="L167">IF(D167="",0, SUMPRODUCT(--(ISNUMBER(SEARCH($A167,'Diags Raw Data'!$A$6:$A$4699))),'Diags Raw Data'!$L$6:$L$4699,'Diags Raw Data'!$P$6:$P$4699)/J167)</f>
        <v>1</v>
      </c>
      <c r="M167" s="418" cm="1">
        <f t="array" ref="M167">SUMPRODUCT(--(ISNUMBER(SEARCH($A167,'Diags Raw Data'!$A$6:$A$4699))),--('Diags Raw Data'!$Q$6:$Q$4699&lt;&gt;"N/A"),'Diags Raw Data'!$R$6:$R$4699)</f>
        <v>9</v>
      </c>
      <c r="N167" s="419" cm="1">
        <f t="array" ref="N167">SUMPRODUCT(--(ISNUMBER(SEARCH($A167,'Diags Raw Data'!$A$6:$A$4699))),--('Diags Raw Data'!$Q$6:$Q$4699&lt;&gt;"N/A"),'Diags Raw Data'!$T$6:$T$4699)+SUMPRODUCT(--(ISNUMBER(SEARCH($A167,'Diags Raw Data'!$A$6:$A$4699))),--('Diags Raw Data'!$Q$6:$Q$4699&lt;&gt;"N/A"),'Diags Raw Data'!$U$6:$U$4699)</f>
        <v>9</v>
      </c>
      <c r="O167" s="462">
        <f t="shared" si="93"/>
        <v>1</v>
      </c>
      <c r="P167" s="420">
        <f>SUMIF('Diags Raw Data'!$A$6:$A$4699,"*"&amp;$A167&amp;"*",'Diags Raw Data'!$Z$6:$Z$4699)</f>
        <v>0</v>
      </c>
      <c r="Q167" s="421">
        <f>SUM(SUMIF('Diags Raw Data'!$A$6:$A$4699,"*"&amp;$A167&amp;"*",'Diags Raw Data'!$AA$6:$AA$4699),SUMIF('Diags Raw Data'!$A$6:$A$4699,"*"&amp;$A167&amp;"*",'Diags Raw Data'!$AB$6:$AB$4699))</f>
        <v>0</v>
      </c>
      <c r="R167" s="422">
        <f t="shared" si="94"/>
        <v>0</v>
      </c>
      <c r="S167" s="422">
        <f t="shared" si="95"/>
        <v>0</v>
      </c>
      <c r="T167" s="423">
        <f t="shared" si="96"/>
        <v>0</v>
      </c>
      <c r="U167" s="469" t="s">
        <v>2808</v>
      </c>
    </row>
    <row r="168" spans="1:22" ht="45" x14ac:dyDescent="0.25">
      <c r="A168" s="446" t="s">
        <v>2737</v>
      </c>
      <c r="B168" s="332" t="str">
        <f>VLOOKUP(A168,'Feature Raw Data'!$A$3:$B$4067,2,FALSE)</f>
        <v>ATHUB:ATS - ATC Host Trans Enable Mode</v>
      </c>
      <c r="C168" s="273" t="str">
        <f>VLOOKUP(A168,'Feature Raw Data'!$A$3:$C$4067,3,FALSE)</f>
        <v>P2</v>
      </c>
      <c r="D168" s="82" t="str" cm="1">
        <f t="array" ref="D168">_xlfn.TEXTJOIN("",TRUE,IF(ISNUMBER(SEARCH($A168,'Diags Raw Data'!$A$6:$A$4699)),CONCATENATE('Diags Raw Data'!$H$6:$H$4699,", "),""))</f>
        <v xml:space="preserve">mhub405.6, mhub413.1-3, </v>
      </c>
      <c r="E168" s="169" t="e">
        <f>VLOOKUP(A168,'Diags Raw Data'!$A$6:$D$4699,4,FALSE)</f>
        <v>#N/A</v>
      </c>
      <c r="F168" s="169" t="str">
        <f>VLOOKUP(A168,'Feature Raw Data'!$A$3:$E$4067,5,FALSE)</f>
        <v>Legacy</v>
      </c>
      <c r="G168" s="169" t="str">
        <f t="shared" si="91"/>
        <v>Yes</v>
      </c>
      <c r="H168" s="169" t="str">
        <f t="shared" si="92"/>
        <v>Yes</v>
      </c>
      <c r="I168" s="273">
        <f>SUMIF('Diags Raw Data'!$A$6:$A$4699,"*"&amp;$A168&amp;"*",'Diags Raw Data'!$K$6:$K$4699)</f>
        <v>2</v>
      </c>
      <c r="J168" s="179">
        <f>SUMIF('Diags Raw Data'!$A$6:$A$4699,"*"&amp;$A168&amp;"*",'Diags Raw Data'!$L$6:$L$4699)</f>
        <v>4</v>
      </c>
      <c r="K168" s="416" cm="1">
        <f t="array" ref="K168">IF(D168="",0, SUMPRODUCT(--(ISNUMBER(SEARCH($A168,'Diags Raw Data'!$A$6:$A$4699))),'Diags Raw Data'!$L$6:$L$4699,'Diags Raw Data'!$N$6:$N$4699)/J168)</f>
        <v>1</v>
      </c>
      <c r="L168" s="417" cm="1">
        <f t="array" ref="L168">IF(D168="",0, SUMPRODUCT(--(ISNUMBER(SEARCH($A168,'Diags Raw Data'!$A$6:$A$4699))),'Diags Raw Data'!$L$6:$L$4699,'Diags Raw Data'!$P$6:$P$4699)/J168)</f>
        <v>1</v>
      </c>
      <c r="M168" s="418" cm="1">
        <f t="array" ref="M168">SUMPRODUCT(--(ISNUMBER(SEARCH($A168,'Diags Raw Data'!$A$6:$A$4699))),--('Diags Raw Data'!$Q$6:$Q$4699&lt;&gt;"N/A"),'Diags Raw Data'!$R$6:$R$4699)</f>
        <v>4</v>
      </c>
      <c r="N168" s="419" cm="1">
        <f t="array" ref="N168">SUMPRODUCT(--(ISNUMBER(SEARCH($A168,'Diags Raw Data'!$A$6:$A$4699))),--('Diags Raw Data'!$Q$6:$Q$4699&lt;&gt;"N/A"),'Diags Raw Data'!$T$6:$T$4699)+SUMPRODUCT(--(ISNUMBER(SEARCH($A168,'Diags Raw Data'!$A$6:$A$4699))),--('Diags Raw Data'!$Q$6:$Q$4699&lt;&gt;"N/A"),'Diags Raw Data'!$U$6:$U$4699)</f>
        <v>4</v>
      </c>
      <c r="O168" s="462">
        <f t="shared" si="93"/>
        <v>1</v>
      </c>
      <c r="P168" s="420">
        <f>SUMIF('Diags Raw Data'!$A$6:$A$4699,"*"&amp;$A168&amp;"*",'Diags Raw Data'!$Z$6:$Z$4699)</f>
        <v>0</v>
      </c>
      <c r="Q168" s="421">
        <f>SUM(SUMIF('Diags Raw Data'!$A$6:$A$4699,"*"&amp;$A168&amp;"*",'Diags Raw Data'!$AA$6:$AA$4699),SUMIF('Diags Raw Data'!$A$6:$A$4699,"*"&amp;$A168&amp;"*",'Diags Raw Data'!$AB$6:$AB$4699))</f>
        <v>0</v>
      </c>
      <c r="R168" s="422">
        <f t="shared" si="94"/>
        <v>0</v>
      </c>
      <c r="S168" s="422">
        <f t="shared" si="95"/>
        <v>0</v>
      </c>
      <c r="T168" s="423">
        <f t="shared" si="96"/>
        <v>0</v>
      </c>
      <c r="U168" s="469" t="s">
        <v>2799</v>
      </c>
    </row>
    <row r="169" spans="1:22" ht="150" x14ac:dyDescent="0.25">
      <c r="A169" s="446" t="s">
        <v>1678</v>
      </c>
      <c r="B169" s="332" t="str">
        <f>VLOOKUP(A169,'Feature Raw Data'!$A$3:$B$4067,2,FALSE)</f>
        <v>ATHUB:ATS - Support PASID</v>
      </c>
      <c r="C169" s="273" t="str">
        <f>VLOOKUP(A169,'Feature Raw Data'!$A$3:$C$4067,3,FALSE)</f>
        <v>P2</v>
      </c>
      <c r="D169" s="82" t="str" cm="1">
        <f t="array" ref="D169">_xlfn.TEXTJOIN("",TRUE,IF(ISNUMBER(SEARCH($A169,'Diags Raw Data'!$A$6:$A$4699)),CONCATENATE('Diags Raw Data'!$H$6:$H$4699,", "),""))</f>
        <v xml:space="preserve">mhub263.1, mhub264.2,4, mhub266.2,4, mhub403.1, mhub403.2, mhub403.3, mhub403.4, mhub403.5, mhub403.6, </v>
      </c>
      <c r="E169" s="169" t="str">
        <f>VLOOKUP(A169,'Diags Raw Data'!$A$6:$D$4699,4,FALSE)</f>
        <v>GCHUB</v>
      </c>
      <c r="F169" s="169" t="str">
        <f>VLOOKUP(A169,'Feature Raw Data'!$A$3:$E$4067,5,FALSE)</f>
        <v>Legacy</v>
      </c>
      <c r="G169" s="169" t="str">
        <f t="shared" si="91"/>
        <v>Yes</v>
      </c>
      <c r="H169" s="169" t="str">
        <f t="shared" si="92"/>
        <v>Yes</v>
      </c>
      <c r="I169" s="273">
        <f>SUMIF('Diags Raw Data'!$A$6:$A$4699,"*"&amp;$A169&amp;"*",'Diags Raw Data'!$K$6:$K$4699)</f>
        <v>9</v>
      </c>
      <c r="J169" s="179">
        <f>SUMIF('Diags Raw Data'!$A$6:$A$4699,"*"&amp;$A169&amp;"*",'Diags Raw Data'!$L$6:$L$4699)</f>
        <v>11</v>
      </c>
      <c r="K169" s="416" cm="1">
        <f t="array" ref="K169">IF(D169="",0, SUMPRODUCT(--(ISNUMBER(SEARCH($A169,'Diags Raw Data'!$A$6:$A$4699))),'Diags Raw Data'!$L$6:$L$4699,'Diags Raw Data'!$N$6:$N$4699)/J169)</f>
        <v>1</v>
      </c>
      <c r="L169" s="417" cm="1">
        <f t="array" ref="L169">IF(D169="",0, SUMPRODUCT(--(ISNUMBER(SEARCH($A169,'Diags Raw Data'!$A$6:$A$4699))),'Diags Raw Data'!$L$6:$L$4699,'Diags Raw Data'!$P$6:$P$4699)/J169)</f>
        <v>1</v>
      </c>
      <c r="M169" s="418" cm="1">
        <f t="array" ref="M169">SUMPRODUCT(--(ISNUMBER(SEARCH($A169,'Diags Raw Data'!$A$6:$A$4699))),--('Diags Raw Data'!$Q$6:$Q$4699&lt;&gt;"N/A"),'Diags Raw Data'!$R$6:$R$4699)</f>
        <v>11</v>
      </c>
      <c r="N169" s="419" cm="1">
        <f t="array" ref="N169">SUMPRODUCT(--(ISNUMBER(SEARCH($A169,'Diags Raw Data'!$A$6:$A$4699))),--('Diags Raw Data'!$Q$6:$Q$4699&lt;&gt;"N/A"),'Diags Raw Data'!$T$6:$T$4699)+SUMPRODUCT(--(ISNUMBER(SEARCH($A169,'Diags Raw Data'!$A$6:$A$4699))),--('Diags Raw Data'!$Q$6:$Q$4699&lt;&gt;"N/A"),'Diags Raw Data'!$U$6:$U$4699)</f>
        <v>11</v>
      </c>
      <c r="O169" s="462">
        <f t="shared" si="93"/>
        <v>1</v>
      </c>
      <c r="P169" s="420">
        <f>SUMIF('Diags Raw Data'!$A$6:$A$4699,"*"&amp;$A169&amp;"*",'Diags Raw Data'!$Z$6:$Z$4699)</f>
        <v>0</v>
      </c>
      <c r="Q169" s="421">
        <f>SUM(SUMIF('Diags Raw Data'!$A$6:$A$4699,"*"&amp;$A169&amp;"*",'Diags Raw Data'!$AA$6:$AA$4699),SUMIF('Diags Raw Data'!$A$6:$A$4699,"*"&amp;$A169&amp;"*",'Diags Raw Data'!$AB$6:$AB$4699))</f>
        <v>0</v>
      </c>
      <c r="R169" s="422">
        <f t="shared" si="94"/>
        <v>0</v>
      </c>
      <c r="S169" s="422">
        <f t="shared" si="95"/>
        <v>0</v>
      </c>
      <c r="T169" s="423">
        <f t="shared" si="96"/>
        <v>0</v>
      </c>
      <c r="U169" s="469" t="s">
        <v>2801</v>
      </c>
    </row>
    <row r="170" spans="1:22" ht="45" x14ac:dyDescent="0.25">
      <c r="A170" s="446" t="s">
        <v>2740</v>
      </c>
      <c r="B170" s="332" t="str">
        <f>VLOOKUP(A170,'Feature Raw Data'!$A$3:$B$4067,2,FALSE)</f>
        <v>ATHUB:ATS - VMID-&gt;PASID table security</v>
      </c>
      <c r="C170" s="273" t="str">
        <f>VLOOKUP(A170,'Feature Raw Data'!$A$3:$C$4067,3,FALSE)</f>
        <v>P2</v>
      </c>
      <c r="D170" s="82" t="str" cm="1">
        <f t="array" ref="D170">_xlfn.TEXTJOIN("",TRUE,IF(ISNUMBER(SEARCH($A170,'Diags Raw Data'!$A$6:$A$4699)),CONCATENATE('Diags Raw Data'!$H$6:$H$4699,", "),""))</f>
        <v xml:space="preserve">mhub405.7, mhub413.1-3, </v>
      </c>
      <c r="E170" s="169" t="e">
        <f>VLOOKUP(A170,'Diags Raw Data'!$A$6:$D$4699,4,FALSE)</f>
        <v>#N/A</v>
      </c>
      <c r="F170" s="169" t="str">
        <f>VLOOKUP(A170,'Feature Raw Data'!$A$3:$E$4067,5,FALSE)</f>
        <v>Legacy</v>
      </c>
      <c r="G170" s="169" t="str">
        <f t="shared" si="91"/>
        <v>Yes</v>
      </c>
      <c r="H170" s="169" t="str">
        <f t="shared" si="92"/>
        <v>Yes</v>
      </c>
      <c r="I170" s="273">
        <f>SUMIF('Diags Raw Data'!$A$6:$A$4699,"*"&amp;$A170&amp;"*",'Diags Raw Data'!$K$6:$K$4699)</f>
        <v>2</v>
      </c>
      <c r="J170" s="179">
        <f>SUMIF('Diags Raw Data'!$A$6:$A$4699,"*"&amp;$A170&amp;"*",'Diags Raw Data'!$L$6:$L$4699)</f>
        <v>4</v>
      </c>
      <c r="K170" s="416" cm="1">
        <f t="array" ref="K170">IF(D170="",0, SUMPRODUCT(--(ISNUMBER(SEARCH($A170,'Diags Raw Data'!$A$6:$A$4699))),'Diags Raw Data'!$L$6:$L$4699,'Diags Raw Data'!$N$6:$N$4699)/J170)</f>
        <v>1</v>
      </c>
      <c r="L170" s="417" cm="1">
        <f t="array" ref="L170">IF(D170="",0, SUMPRODUCT(--(ISNUMBER(SEARCH($A170,'Diags Raw Data'!$A$6:$A$4699))),'Diags Raw Data'!$L$6:$L$4699,'Diags Raw Data'!$P$6:$P$4699)/J170)</f>
        <v>1</v>
      </c>
      <c r="M170" s="418" cm="1">
        <f t="array" ref="M170">SUMPRODUCT(--(ISNUMBER(SEARCH($A170,'Diags Raw Data'!$A$6:$A$4699))),--('Diags Raw Data'!$Q$6:$Q$4699&lt;&gt;"N/A"),'Diags Raw Data'!$R$6:$R$4699)</f>
        <v>4</v>
      </c>
      <c r="N170" s="419" cm="1">
        <f t="array" ref="N170">SUMPRODUCT(--(ISNUMBER(SEARCH($A170,'Diags Raw Data'!$A$6:$A$4699))),--('Diags Raw Data'!$Q$6:$Q$4699&lt;&gt;"N/A"),'Diags Raw Data'!$T$6:$T$4699)+SUMPRODUCT(--(ISNUMBER(SEARCH($A170,'Diags Raw Data'!$A$6:$A$4699))),--('Diags Raw Data'!$Q$6:$Q$4699&lt;&gt;"N/A"),'Diags Raw Data'!$U$6:$U$4699)</f>
        <v>4</v>
      </c>
      <c r="O170" s="462">
        <f t="shared" si="93"/>
        <v>1</v>
      </c>
      <c r="P170" s="420">
        <f>SUMIF('Diags Raw Data'!$A$6:$A$4699,"*"&amp;$A170&amp;"*",'Diags Raw Data'!$Z$6:$Z$4699)</f>
        <v>0</v>
      </c>
      <c r="Q170" s="421">
        <f>SUM(SUMIF('Diags Raw Data'!$A$6:$A$4699,"*"&amp;$A170&amp;"*",'Diags Raw Data'!$AA$6:$AA$4699),SUMIF('Diags Raw Data'!$A$6:$A$4699,"*"&amp;$A170&amp;"*",'Diags Raw Data'!$AB$6:$AB$4699))</f>
        <v>0</v>
      </c>
      <c r="R170" s="422">
        <f t="shared" si="94"/>
        <v>0</v>
      </c>
      <c r="S170" s="422">
        <f t="shared" si="95"/>
        <v>0</v>
      </c>
      <c r="T170" s="423">
        <f t="shared" si="96"/>
        <v>0</v>
      </c>
      <c r="U170" s="469" t="s">
        <v>2799</v>
      </c>
    </row>
    <row r="171" spans="1:22" ht="360" x14ac:dyDescent="0.25">
      <c r="A171" s="446" t="s">
        <v>1893</v>
      </c>
      <c r="B171" s="332" t="str">
        <f>VLOOKUP(A171,'Feature Raw Data'!$A$3:$B$4067,2,FALSE)</f>
        <v>ATHUB:ATS - Fault check and control</v>
      </c>
      <c r="C171" s="273" t="str">
        <f>VLOOKUP(A171,'Feature Raw Data'!$A$3:$C$4067,3,FALSE)</f>
        <v>P2</v>
      </c>
      <c r="D171" s="82" t="str" cm="1">
        <f t="array" ref="D171">_xlfn.TEXTJOIN("",TRUE,IF(ISNUMBER(SEARCH($A171,'Diags Raw Data'!$A$6:$A$4699)),CONCATENATE('Diags Raw Data'!$H$6:$H$4699,",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Data'!$A$6:$D$4699,4,FALSE)</f>
        <v>ATHUB</v>
      </c>
      <c r="F171" s="169" t="str">
        <f>VLOOKUP(A171,'Feature Raw Data'!$A$3:$E$4067,5,FALSE)</f>
        <v>Legacy</v>
      </c>
      <c r="G171" s="169" t="str">
        <f t="shared" ref="G171:G179" si="97">IF(D171="","No","Yes")</f>
        <v>Yes</v>
      </c>
      <c r="H171" s="169" t="str">
        <f t="shared" ref="H171:H181" si="98">IF(D171="","No","Yes")</f>
        <v>Yes</v>
      </c>
      <c r="I171" s="273">
        <f>SUMIF('Diags Raw Data'!$A$6:$A$4699,"*"&amp;$A171&amp;"*",'Diags Raw Data'!$K$6:$K$4699)</f>
        <v>21</v>
      </c>
      <c r="J171" s="179">
        <f>SUMIF('Diags Raw Data'!$A$6:$A$4699,"*"&amp;$A171&amp;"*",'Diags Raw Data'!$L$6:$L$4699)</f>
        <v>27</v>
      </c>
      <c r="K171" s="416" cm="1">
        <f t="array" ref="K171">IF(D171="",0, SUMPRODUCT(--(ISNUMBER(SEARCH($A171,'Diags Raw Data'!$A$6:$A$4699))),'Diags Raw Data'!$L$6:$L$4699,'Diags Raw Data'!$N$6:$N$4699)/J171)</f>
        <v>1</v>
      </c>
      <c r="L171" s="417" cm="1">
        <f t="array" ref="L171">IF(D171="",0, SUMPRODUCT(--(ISNUMBER(SEARCH($A171,'Diags Raw Data'!$A$6:$A$4699))),'Diags Raw Data'!$L$6:$L$4699,'Diags Raw Data'!$P$6:$P$4699)/J171)</f>
        <v>1</v>
      </c>
      <c r="M171" s="418" cm="1">
        <f t="array" ref="M171">SUMPRODUCT(--(ISNUMBER(SEARCH($A171,'Diags Raw Data'!$A$6:$A$4699))),--('Diags Raw Data'!$Q$6:$Q$4699&lt;&gt;"N/A"),'Diags Raw Data'!$R$6:$R$4699)</f>
        <v>27</v>
      </c>
      <c r="N171" s="419" cm="1">
        <f t="array" ref="N171">SUMPRODUCT(--(ISNUMBER(SEARCH($A171,'Diags Raw Data'!$A$6:$A$4699))),--('Diags Raw Data'!$Q$6:$Q$4699&lt;&gt;"N/A"),'Diags Raw Data'!$T$6:$T$4699)+SUMPRODUCT(--(ISNUMBER(SEARCH($A171,'Diags Raw Data'!$A$6:$A$4699))),--('Diags Raw Data'!$Q$6:$Q$4699&lt;&gt;"N/A"),'Diags Raw Data'!$U$6:$U$4699)</f>
        <v>27</v>
      </c>
      <c r="O171" s="462">
        <f t="shared" ref="O171:O181" si="99">IF((M171=0),0,N171/M171)</f>
        <v>1</v>
      </c>
      <c r="P171" s="420">
        <f>SUMIF('Diags Raw Data'!$A$6:$A$4699,"*"&amp;$A171&amp;"*",'Diags Raw Data'!$Z$6:$Z$4699)</f>
        <v>0</v>
      </c>
      <c r="Q171" s="421">
        <f>SUM(SUMIF('Diags Raw Data'!$A$6:$A$4699,"*"&amp;$A171&amp;"*",'Diags Raw Data'!$AA$6:$AA$4699),SUMIF('Diags Raw Data'!$A$6:$A$4699,"*"&amp;$A171&amp;"*",'Diags Raw Data'!$AB$6:$AB$4699))</f>
        <v>0</v>
      </c>
      <c r="R171" s="422">
        <f t="shared" ref="R171:R181" si="100">IF((J171=0),0,P171/J171)</f>
        <v>0</v>
      </c>
      <c r="S171" s="422">
        <f t="shared" ref="S171:S181" si="101">IF((P171=0),0,Q171/P171)</f>
        <v>0</v>
      </c>
      <c r="T171" s="423">
        <f t="shared" ref="T171:T181" si="102">R171*S171</f>
        <v>0</v>
      </c>
      <c r="U171" s="469" t="s">
        <v>2808</v>
      </c>
    </row>
    <row r="172" spans="1:22" ht="135" x14ac:dyDescent="0.25">
      <c r="A172" s="446" t="s">
        <v>2745</v>
      </c>
      <c r="B172" s="332" t="str">
        <f>VLOOKUP(A172,'Feature Raw Data'!$A$3:$B$4067,2,FALSE)</f>
        <v>ATHUB:ATS - Console IOV (Pseudo-IOV) - VMID-&gt;VFID mapping for ATS req to RPB</v>
      </c>
      <c r="C172" s="273" t="str">
        <f>VLOOKUP(A172,'Feature Raw Data'!$A$3:$C$4067,3,FALSE)</f>
        <v>P2</v>
      </c>
      <c r="D172" s="82" t="str" cm="1">
        <f t="array" ref="D172">_xlfn.TEXTJOIN("",TRUE,IF(ISNUMBER(SEARCH($A172,'Diags Raw Data'!$A$6:$A$4699)),CONCATENATE('Diags Raw Data'!$H$6:$H$4699,", "),""))</f>
        <v xml:space="preserve">mhub405.8, mhub414.1, mhub414.2, mhub414.3, mhub414.4, mhub414.5, mhub414.6, mhub414.7, mhub414.8, </v>
      </c>
      <c r="E172" s="169" t="e">
        <f>VLOOKUP(A172,'Diags Raw Data'!$A$6:$D$4699,4,FALSE)</f>
        <v>#N/A</v>
      </c>
      <c r="F172" s="169" t="str">
        <f>VLOOKUP(A172,'Feature Raw Data'!$A$3:$E$4067,5,FALSE)</f>
        <v>Legacy</v>
      </c>
      <c r="G172" s="169" t="str">
        <f t="shared" si="97"/>
        <v>Yes</v>
      </c>
      <c r="H172" s="169" t="str">
        <f t="shared" si="98"/>
        <v>Yes</v>
      </c>
      <c r="I172" s="273">
        <f>SUMIF('Diags Raw Data'!$A$6:$A$4699,"*"&amp;$A172&amp;"*",'Diags Raw Data'!$K$6:$K$4699)</f>
        <v>9</v>
      </c>
      <c r="J172" s="179">
        <f>SUMIF('Diags Raw Data'!$A$6:$A$4699,"*"&amp;$A172&amp;"*",'Diags Raw Data'!$L$6:$L$4699)</f>
        <v>9</v>
      </c>
      <c r="K172" s="416" cm="1">
        <f t="array" ref="K172">IF(D172="",0, SUMPRODUCT(--(ISNUMBER(SEARCH($A172,'Diags Raw Data'!$A$6:$A$4699))),'Diags Raw Data'!$L$6:$L$4699,'Diags Raw Data'!$N$6:$N$4699)/J172)</f>
        <v>1</v>
      </c>
      <c r="L172" s="417" cm="1">
        <f t="array" ref="L172">IF(D172="",0, SUMPRODUCT(--(ISNUMBER(SEARCH($A172,'Diags Raw Data'!$A$6:$A$4699))),'Diags Raw Data'!$L$6:$L$4699,'Diags Raw Data'!$P$6:$P$4699)/J172)</f>
        <v>1</v>
      </c>
      <c r="M172" s="418" cm="1">
        <f t="array" ref="M172">SUMPRODUCT(--(ISNUMBER(SEARCH($A172,'Diags Raw Data'!$A$6:$A$4699))),--('Diags Raw Data'!$Q$6:$Q$4699&lt;&gt;"N/A"),'Diags Raw Data'!$R$6:$R$4699)</f>
        <v>9</v>
      </c>
      <c r="N172" s="419" cm="1">
        <f t="array" ref="N172">SUMPRODUCT(--(ISNUMBER(SEARCH($A172,'Diags Raw Data'!$A$6:$A$4699))),--('Diags Raw Data'!$Q$6:$Q$4699&lt;&gt;"N/A"),'Diags Raw Data'!$T$6:$T$4699)+SUMPRODUCT(--(ISNUMBER(SEARCH($A172,'Diags Raw Data'!$A$6:$A$4699))),--('Diags Raw Data'!$Q$6:$Q$4699&lt;&gt;"N/A"),'Diags Raw Data'!$U$6:$U$4699)</f>
        <v>9</v>
      </c>
      <c r="O172" s="462">
        <f t="shared" si="99"/>
        <v>1</v>
      </c>
      <c r="P172" s="420">
        <f>SUMIF('Diags Raw Data'!$A$6:$A$4699,"*"&amp;$A172&amp;"*",'Diags Raw Data'!$Z$6:$Z$4699)</f>
        <v>0</v>
      </c>
      <c r="Q172" s="421">
        <f>SUM(SUMIF('Diags Raw Data'!$A$6:$A$4699,"*"&amp;$A172&amp;"*",'Diags Raw Data'!$AA$6:$AA$4699),SUMIF('Diags Raw Data'!$A$6:$A$4699,"*"&amp;$A172&amp;"*",'Diags Raw Data'!$AB$6:$AB$4699))</f>
        <v>0</v>
      </c>
      <c r="R172" s="422">
        <f t="shared" si="100"/>
        <v>0</v>
      </c>
      <c r="S172" s="422">
        <f t="shared" si="101"/>
        <v>0</v>
      </c>
      <c r="T172" s="423">
        <f t="shared" si="102"/>
        <v>0</v>
      </c>
      <c r="U172" s="469" t="s">
        <v>2803</v>
      </c>
    </row>
    <row r="173" spans="1:22" ht="105" x14ac:dyDescent="0.25">
      <c r="A173" s="446" t="s">
        <v>2747</v>
      </c>
      <c r="B173" s="332" t="str">
        <f>VLOOKUP(A173,'Feature Raw Data'!$A$3:$B$4067,2,FALSE)</f>
        <v>ATHUB:ATS - Console IOV (Pseudo-IOV) - VFID-&gt;VMID mapping for invalidation requests to UTCL2</v>
      </c>
      <c r="C173" s="273" t="str">
        <f>VLOOKUP(A173,'Feature Raw Data'!$A$3:$C$4067,3,FALSE)</f>
        <v>P2</v>
      </c>
      <c r="D173" s="82" t="str" cm="1">
        <f t="array" ref="D173">_xlfn.TEXTJOIN("",TRUE,IF(ISNUMBER(SEARCH($A173,'Diags Raw Data'!$A$6:$A$4699)),CONCATENATE('Diags Raw Data'!$H$6:$H$4699,", "),""))</f>
        <v xml:space="preserve">mhub405.9, mhub414.3, mhub414.4, mhub414.5, mhub414.6, mhub414.7, mhub414.8, </v>
      </c>
      <c r="E173" s="169" t="e">
        <f>VLOOKUP(A173,'Diags Raw Data'!$A$6:$D$4699,4,FALSE)</f>
        <v>#N/A</v>
      </c>
      <c r="F173" s="169" t="str">
        <f>VLOOKUP(A173,'Feature Raw Data'!$A$3:$E$4067,5,FALSE)</f>
        <v>Legacy</v>
      </c>
      <c r="G173" s="169" t="str">
        <f t="shared" si="97"/>
        <v>Yes</v>
      </c>
      <c r="H173" s="169" t="str">
        <f t="shared" si="98"/>
        <v>Yes</v>
      </c>
      <c r="I173" s="273">
        <f>SUMIF('Diags Raw Data'!$A$6:$A$4699,"*"&amp;$A173&amp;"*",'Diags Raw Data'!$K$6:$K$4699)</f>
        <v>7</v>
      </c>
      <c r="J173" s="179">
        <f>SUMIF('Diags Raw Data'!$A$6:$A$4699,"*"&amp;$A173&amp;"*",'Diags Raw Data'!$L$6:$L$4699)</f>
        <v>7</v>
      </c>
      <c r="K173" s="416" cm="1">
        <f t="array" ref="K173">IF(D173="",0, SUMPRODUCT(--(ISNUMBER(SEARCH($A173,'Diags Raw Data'!$A$6:$A$4699))),'Diags Raw Data'!$L$6:$L$4699,'Diags Raw Data'!$N$6:$N$4699)/J173)</f>
        <v>1</v>
      </c>
      <c r="L173" s="417" cm="1">
        <f t="array" ref="L173">IF(D173="",0, SUMPRODUCT(--(ISNUMBER(SEARCH($A173,'Diags Raw Data'!$A$6:$A$4699))),'Diags Raw Data'!$L$6:$L$4699,'Diags Raw Data'!$P$6:$P$4699)/J173)</f>
        <v>1</v>
      </c>
      <c r="M173" s="418" cm="1">
        <f t="array" ref="M173">SUMPRODUCT(--(ISNUMBER(SEARCH($A173,'Diags Raw Data'!$A$6:$A$4699))),--('Diags Raw Data'!$Q$6:$Q$4699&lt;&gt;"N/A"),'Diags Raw Data'!$R$6:$R$4699)</f>
        <v>7</v>
      </c>
      <c r="N173" s="419" cm="1">
        <f t="array" ref="N173">SUMPRODUCT(--(ISNUMBER(SEARCH($A173,'Diags Raw Data'!$A$6:$A$4699))),--('Diags Raw Data'!$Q$6:$Q$4699&lt;&gt;"N/A"),'Diags Raw Data'!$T$6:$T$4699)+SUMPRODUCT(--(ISNUMBER(SEARCH($A173,'Diags Raw Data'!$A$6:$A$4699))),--('Diags Raw Data'!$Q$6:$Q$4699&lt;&gt;"N/A"),'Diags Raw Data'!$U$6:$U$4699)</f>
        <v>7</v>
      </c>
      <c r="O173" s="462">
        <f t="shared" si="99"/>
        <v>1</v>
      </c>
      <c r="P173" s="420">
        <f>SUMIF('Diags Raw Data'!$A$6:$A$4699,"*"&amp;$A173&amp;"*",'Diags Raw Data'!$Z$6:$Z$4699)</f>
        <v>0</v>
      </c>
      <c r="Q173" s="421">
        <f>SUM(SUMIF('Diags Raw Data'!$A$6:$A$4699,"*"&amp;$A173&amp;"*",'Diags Raw Data'!$AA$6:$AA$4699),SUMIF('Diags Raw Data'!$A$6:$A$4699,"*"&amp;$A173&amp;"*",'Diags Raw Data'!$AB$6:$AB$4699))</f>
        <v>0</v>
      </c>
      <c r="R173" s="422">
        <f t="shared" si="100"/>
        <v>0</v>
      </c>
      <c r="S173" s="422">
        <f t="shared" si="101"/>
        <v>0</v>
      </c>
      <c r="T173" s="423">
        <f t="shared" si="102"/>
        <v>0</v>
      </c>
      <c r="U173" s="469" t="s">
        <v>2803</v>
      </c>
    </row>
    <row r="174" spans="1:22" ht="90" x14ac:dyDescent="0.25">
      <c r="A174" s="446" t="s">
        <v>2749</v>
      </c>
      <c r="B174" s="332" t="str">
        <f>VLOOKUP(A174,'Feature Raw Data'!$A$3:$B$4067,2,FALSE)</f>
        <v>ATHUB:ATS - Console IOV (Pseudo-IOV) - address range based host invalidation</v>
      </c>
      <c r="C174" s="273" t="str">
        <f>VLOOKUP(A174,'Feature Raw Data'!$A$3:$C$4067,3,FALSE)</f>
        <v>P2</v>
      </c>
      <c r="D174" s="82" t="str" cm="1">
        <f t="array" ref="D174">_xlfn.TEXTJOIN("",TRUE,IF(ISNUMBER(SEARCH($A174,'Diags Raw Data'!$A$6:$A$4699)),CONCATENATE('Diags Raw Data'!$H$6:$H$4699,", "),""))</f>
        <v xml:space="preserve">mhub414.4, mhub414.8, mhub414.104, mhub414.108, </v>
      </c>
      <c r="E174" s="169" t="e">
        <f>VLOOKUP(A174,'Diags Raw Data'!$A$6:$D$4699,4,FALSE)</f>
        <v>#N/A</v>
      </c>
      <c r="F174" s="169" t="str">
        <f>VLOOKUP(A174,'Feature Raw Data'!$A$3:$E$4067,5,FALSE)</f>
        <v>Legacy</v>
      </c>
      <c r="G174" s="169" t="str">
        <f t="shared" si="97"/>
        <v>Yes</v>
      </c>
      <c r="H174" s="169" t="str">
        <f t="shared" si="98"/>
        <v>Yes</v>
      </c>
      <c r="I174" s="273">
        <f>SUMIF('Diags Raw Data'!$A$6:$A$4699,"*"&amp;$A174&amp;"*",'Diags Raw Data'!$K$6:$K$4699)</f>
        <v>4</v>
      </c>
      <c r="J174" s="179">
        <f>SUMIF('Diags Raw Data'!$A$6:$A$4699,"*"&amp;$A174&amp;"*",'Diags Raw Data'!$L$6:$L$4699)</f>
        <v>4</v>
      </c>
      <c r="K174" s="416" cm="1">
        <f t="array" ref="K174">IF(D174="",0, SUMPRODUCT(--(ISNUMBER(SEARCH($A174,'Diags Raw Data'!$A$6:$A$4699))),'Diags Raw Data'!$L$6:$L$4699,'Diags Raw Data'!$N$6:$N$4699)/J174)</f>
        <v>1</v>
      </c>
      <c r="L174" s="417" cm="1">
        <f t="array" ref="L174">IF(D174="",0, SUMPRODUCT(--(ISNUMBER(SEARCH($A174,'Diags Raw Data'!$A$6:$A$4699))),'Diags Raw Data'!$L$6:$L$4699,'Diags Raw Data'!$P$6:$P$4699)/J174)</f>
        <v>1</v>
      </c>
      <c r="M174" s="418" cm="1">
        <f t="array" ref="M174">SUMPRODUCT(--(ISNUMBER(SEARCH($A174,'Diags Raw Data'!$A$6:$A$4699))),--('Diags Raw Data'!$Q$6:$Q$4699&lt;&gt;"N/A"),'Diags Raw Data'!$R$6:$R$4699)</f>
        <v>4</v>
      </c>
      <c r="N174" s="419" cm="1">
        <f t="array" ref="N174">SUMPRODUCT(--(ISNUMBER(SEARCH($A174,'Diags Raw Data'!$A$6:$A$4699))),--('Diags Raw Data'!$Q$6:$Q$4699&lt;&gt;"N/A"),'Diags Raw Data'!$T$6:$T$4699)+SUMPRODUCT(--(ISNUMBER(SEARCH($A174,'Diags Raw Data'!$A$6:$A$4699))),--('Diags Raw Data'!$Q$6:$Q$4699&lt;&gt;"N/A"),'Diags Raw Data'!$U$6:$U$4699)</f>
        <v>4</v>
      </c>
      <c r="O174" s="462">
        <f t="shared" si="99"/>
        <v>1</v>
      </c>
      <c r="P174" s="420">
        <f>SUMIF('Diags Raw Data'!$A$6:$A$4699,"*"&amp;$A174&amp;"*",'Diags Raw Data'!$Z$6:$Z$4699)</f>
        <v>0</v>
      </c>
      <c r="Q174" s="421">
        <f>SUM(SUMIF('Diags Raw Data'!$A$6:$A$4699,"*"&amp;$A174&amp;"*",'Diags Raw Data'!$AA$6:$AA$4699),SUMIF('Diags Raw Data'!$A$6:$A$4699,"*"&amp;$A174&amp;"*",'Diags Raw Data'!$AB$6:$AB$4699))</f>
        <v>0</v>
      </c>
      <c r="R174" s="422">
        <f t="shared" si="100"/>
        <v>0</v>
      </c>
      <c r="S174" s="422">
        <f t="shared" si="101"/>
        <v>0</v>
      </c>
      <c r="T174" s="423">
        <f t="shared" si="102"/>
        <v>0</v>
      </c>
      <c r="U174" s="469" t="s">
        <v>2803</v>
      </c>
    </row>
    <row r="175" spans="1:22" ht="30" x14ac:dyDescent="0.25">
      <c r="A175" s="446" t="s">
        <v>2751</v>
      </c>
      <c r="B175" s="332" t="str">
        <f>VLOOKUP(A175,'Feature Raw Data'!$A$3:$B$4067,2,FALSE)</f>
        <v>ATHUB:RPB - Supports multiple VCs (SDP Virtual Channel)</v>
      </c>
      <c r="C175" s="273" t="str">
        <f>VLOOKUP(A175,'Feature Raw Data'!$A$3:$C$4067,3,FALSE)</f>
        <v>P2</v>
      </c>
      <c r="D175" s="82" t="str" cm="1">
        <f t="array" ref="D175">_xlfn.TEXTJOIN("",TRUE,IF(ISNUMBER(SEARCH($A175,'Diags Raw Data'!$A$6:$A$4699)),CONCATENATE('Diags Raw Data'!$H$6:$H$4699,", "),""))</f>
        <v/>
      </c>
      <c r="E175" s="169" t="e">
        <f>VLOOKUP(A175,'Diags Raw Data'!$A$6:$D$4699,4,FALSE)</f>
        <v>#N/A</v>
      </c>
      <c r="F175" s="169" t="str">
        <f>VLOOKUP(A175,'Feature Raw Data'!$A$3:$E$4067,5,FALSE)</f>
        <v>Legacy</v>
      </c>
      <c r="G175" s="169" t="str">
        <f t="shared" si="97"/>
        <v>No</v>
      </c>
      <c r="H175" s="169" t="str">
        <f t="shared" si="98"/>
        <v>No</v>
      </c>
      <c r="I175" s="273">
        <f>SUMIF('Diags Raw Data'!$A$6:$A$4699,"*"&amp;$A175&amp;"*",'Diags Raw Data'!$K$6:$K$4699)</f>
        <v>0</v>
      </c>
      <c r="J175" s="179">
        <f>SUMIF('Diags Raw Data'!$A$6:$A$4699,"*"&amp;$A175&amp;"*",'Diags Raw Data'!$L$6:$L$4699)</f>
        <v>0</v>
      </c>
      <c r="K175" s="416" cm="1">
        <f t="array" ref="K175">IF(D175="",0, SUMPRODUCT(--(ISNUMBER(SEARCH($A175,'Diags Raw Data'!$A$6:$A$4699))),'Diags Raw Data'!$L$6:$L$4699,'Diags Raw Data'!$N$6:$N$4699)/J175)</f>
        <v>0</v>
      </c>
      <c r="L175" s="417" cm="1">
        <f t="array" ref="L175">IF(D175="",0, SUMPRODUCT(--(ISNUMBER(SEARCH($A175,'Diags Raw Data'!$A$6:$A$4699))),'Diags Raw Data'!$L$6:$L$4699,'Diags Raw Data'!$P$6:$P$4699)/J175)</f>
        <v>0</v>
      </c>
      <c r="M175" s="418" cm="1">
        <f t="array" ref="M175">SUMPRODUCT(--(ISNUMBER(SEARCH($A175,'Diags Raw Data'!$A$6:$A$4699))),--('Diags Raw Data'!$Q$6:$Q$4699&lt;&gt;"N/A"),'Diags Raw Data'!$R$6:$R$4699)</f>
        <v>0</v>
      </c>
      <c r="N175" s="419" cm="1">
        <f t="array" ref="N175">SUMPRODUCT(--(ISNUMBER(SEARCH($A175,'Diags Raw Data'!$A$6:$A$4699))),--('Diags Raw Data'!$Q$6:$Q$4699&lt;&gt;"N/A"),'Diags Raw Data'!$T$6:$T$4699)+SUMPRODUCT(--(ISNUMBER(SEARCH($A175,'Diags Raw Data'!$A$6:$A$4699))),--('Diags Raw Data'!$Q$6:$Q$4699&lt;&gt;"N/A"),'Diags Raw Data'!$U$6:$U$4699)</f>
        <v>0</v>
      </c>
      <c r="O175" s="462">
        <f t="shared" si="99"/>
        <v>0</v>
      </c>
      <c r="P175" s="420">
        <f>SUMIF('Diags Raw Data'!$A$6:$A$4699,"*"&amp;$A175&amp;"*",'Diags Raw Data'!$Z$6:$Z$4699)</f>
        <v>0</v>
      </c>
      <c r="Q175" s="421">
        <f>SUM(SUMIF('Diags Raw Data'!$A$6:$A$4699,"*"&amp;$A175&amp;"*",'Diags Raw Data'!$AA$6:$AA$4699),SUMIF('Diags Raw Data'!$A$6:$A$4699,"*"&amp;$A175&amp;"*",'Diags Raw Data'!$AB$6:$AB$4699))</f>
        <v>0</v>
      </c>
      <c r="R175" s="422">
        <f t="shared" si="100"/>
        <v>0</v>
      </c>
      <c r="S175" s="422">
        <f t="shared" si="101"/>
        <v>0</v>
      </c>
      <c r="T175" s="423">
        <f t="shared" si="102"/>
        <v>0</v>
      </c>
      <c r="U175" s="469" t="s">
        <v>44</v>
      </c>
      <c r="V175" s="171" t="s">
        <v>43</v>
      </c>
    </row>
    <row r="176" spans="1:22" ht="120" x14ac:dyDescent="0.25">
      <c r="A176" s="446" t="s">
        <v>1876</v>
      </c>
      <c r="B176" s="332" t="str">
        <f>VLOOKUP(A176,'Feature Raw Data'!$A$3:$B$4067,2,FALSE)</f>
        <v>ATHUB:RPB - Supports write grouping (de-interleave ea write stream)
formerly:RPB to reassemble writes (Total GCEA/MMEA/DCE)</v>
      </c>
      <c r="C176" s="273" t="str">
        <f>VLOOKUP(A176,'Feature Raw Data'!$A$3:$C$4067,3,FALSE)</f>
        <v>P2</v>
      </c>
      <c r="D176" s="82" t="str" cm="1">
        <f t="array" ref="D176">_xlfn.TEXTJOIN("",TRUE,IF(ISNUMBER(SEARCH($A176,'Diags Raw Data'!$A$6:$A$4699)),CONCATENATE('Diags Raw Data'!$H$6:$H$4699,", "),""))</f>
        <v xml:space="preserve">mhub401.1-6,11-16,21-26, mhub401.34, mhub402.1-6,11-16,21-26, mhub402.34, </v>
      </c>
      <c r="E176" s="169" t="str">
        <f>VLOOKUP(A176,'Diags Raw Data'!$A$6:$D$4699,4,FALSE)</f>
        <v>ATHUB</v>
      </c>
      <c r="F176" s="169" t="str">
        <f>VLOOKUP(A176,'Feature Raw Data'!$A$3:$E$4067,5,FALSE)</f>
        <v>Legacy</v>
      </c>
      <c r="G176" s="169" t="str">
        <f t="shared" ref="G176" si="103">IF(D176="","No","Yes")</f>
        <v>Yes</v>
      </c>
      <c r="H176" s="169" t="str">
        <f t="shared" ref="H176" si="104">IF(D176="","No","Yes")</f>
        <v>Yes</v>
      </c>
      <c r="I176" s="273">
        <f>SUMIF('Diags Raw Data'!$A$6:$A$4699,"*"&amp;$A176&amp;"*",'Diags Raw Data'!$K$6:$K$4699)</f>
        <v>4</v>
      </c>
      <c r="J176" s="179">
        <f>SUMIF('Diags Raw Data'!$A$6:$A$4699,"*"&amp;$A176&amp;"*",'Diags Raw Data'!$L$6:$L$4699)</f>
        <v>38</v>
      </c>
      <c r="K176" s="416" cm="1">
        <f t="array" ref="K176">IF(D176="",0, SUMPRODUCT(--(ISNUMBER(SEARCH($A176,'Diags Raw Data'!$A$6:$A$4699))),'Diags Raw Data'!$L$6:$L$4699,'Diags Raw Data'!$N$6:$N$4699)/J176)</f>
        <v>1</v>
      </c>
      <c r="L176" s="417" cm="1">
        <f t="array" ref="L176">IF(D176="",0, SUMPRODUCT(--(ISNUMBER(SEARCH($A176,'Diags Raw Data'!$A$6:$A$4699))),'Diags Raw Data'!$L$6:$L$4699,'Diags Raw Data'!$P$6:$P$4699)/J176)</f>
        <v>5.2631578947368418E-2</v>
      </c>
      <c r="M176" s="418" cm="1">
        <f t="array" ref="M176">SUMPRODUCT(--(ISNUMBER(SEARCH($A176,'Diags Raw Data'!$A$6:$A$4699))),--('Diags Raw Data'!$Q$6:$Q$4699&lt;&gt;"N/A"),'Diags Raw Data'!$R$6:$R$4699)</f>
        <v>38</v>
      </c>
      <c r="N176" s="419" cm="1">
        <f t="array" ref="N176">SUMPRODUCT(--(ISNUMBER(SEARCH($A176,'Diags Raw Data'!$A$6:$A$4699))),--('Diags Raw Data'!$Q$6:$Q$4699&lt;&gt;"N/A"),'Diags Raw Data'!$T$6:$T$4699)+SUMPRODUCT(--(ISNUMBER(SEARCH($A176,'Diags Raw Data'!$A$6:$A$4699))),--('Diags Raw Data'!$Q$6:$Q$4699&lt;&gt;"N/A"),'Diags Raw Data'!$U$6:$U$4699)</f>
        <v>38</v>
      </c>
      <c r="O176" s="462">
        <f t="shared" ref="O176" si="105">IF((M176=0),0,N176/M176)</f>
        <v>1</v>
      </c>
      <c r="P176" s="420">
        <f>SUMIF('Diags Raw Data'!$A$6:$A$4699,"*"&amp;$A176&amp;"*",'Diags Raw Data'!$Z$6:$Z$4699)</f>
        <v>0</v>
      </c>
      <c r="Q176" s="421">
        <f>SUM(SUMIF('Diags Raw Data'!$A$6:$A$4699,"*"&amp;$A176&amp;"*",'Diags Raw Data'!$AA$6:$AA$4699),SUMIF('Diags Raw Data'!$A$6:$A$4699,"*"&amp;$A176&amp;"*",'Diags Raw Data'!$AB$6:$AB$4699))</f>
        <v>0</v>
      </c>
      <c r="R176" s="422">
        <f t="shared" ref="R176" si="106">IF((J176=0),0,P176/J176)</f>
        <v>0</v>
      </c>
      <c r="S176" s="422">
        <f t="shared" ref="S176" si="107">IF((P176=0),0,Q176/P176)</f>
        <v>0</v>
      </c>
      <c r="T176" s="423">
        <f t="shared" ref="T176" si="108">R176*S176</f>
        <v>0</v>
      </c>
      <c r="U176" s="469" t="s">
        <v>2796</v>
      </c>
    </row>
    <row r="177" spans="1:22" ht="30" x14ac:dyDescent="0.25">
      <c r="A177" s="446" t="s">
        <v>2754</v>
      </c>
      <c r="B177" s="332" t="str">
        <f>VLOOKUP(A177,'Feature Raw Data'!$A$3:$B$4067,2,FALSE)</f>
        <v>ATHUB:RPB - Support configurable tag partition for read/write requests</v>
      </c>
      <c r="C177" s="273" t="str">
        <f>VLOOKUP(A177,'Feature Raw Data'!$A$3:$C$4067,3,FALSE)</f>
        <v>P2</v>
      </c>
      <c r="D177" s="82" t="str" cm="1">
        <f t="array" ref="D177">_xlfn.TEXTJOIN("",TRUE,IF(ISNUMBER(SEARCH($A177,'Diags Raw Data'!$A$6:$A$4699)),CONCATENATE('Diags Raw Data'!$H$6:$H$4699,", "),""))</f>
        <v/>
      </c>
      <c r="E177" s="169" t="e">
        <f>VLOOKUP(A177,'Diags Raw Data'!$A$6:$D$4699,4,FALSE)</f>
        <v>#N/A</v>
      </c>
      <c r="F177" s="169" t="str">
        <f>VLOOKUP(A177,'Feature Raw Data'!$A$3:$E$4067,5,FALSE)</f>
        <v>Legacy</v>
      </c>
      <c r="G177" s="169" t="str">
        <f t="shared" ref="G177:G178" si="109">IF(D177="","No","Yes")</f>
        <v>No</v>
      </c>
      <c r="H177" s="169" t="str">
        <f t="shared" ref="H177:H178" si="110">IF(D177="","No","Yes")</f>
        <v>No</v>
      </c>
      <c r="I177" s="273">
        <f>SUMIF('Diags Raw Data'!$A$6:$A$4699,"*"&amp;$A177&amp;"*",'Diags Raw Data'!$K$6:$K$4699)</f>
        <v>0</v>
      </c>
      <c r="J177" s="179">
        <f>SUMIF('Diags Raw Data'!$A$6:$A$4699,"*"&amp;$A177&amp;"*",'Diags Raw Data'!$L$6:$L$4699)</f>
        <v>0</v>
      </c>
      <c r="K177" s="416" cm="1">
        <f t="array" ref="K177">IF(D177="",0, SUMPRODUCT(--(ISNUMBER(SEARCH($A177,'Diags Raw Data'!$A$6:$A$4699))),'Diags Raw Data'!$L$6:$L$4699,'Diags Raw Data'!$N$6:$N$4699)/J177)</f>
        <v>0</v>
      </c>
      <c r="L177" s="417" cm="1">
        <f t="array" ref="L177">IF(D177="",0, SUMPRODUCT(--(ISNUMBER(SEARCH($A177,'Diags Raw Data'!$A$6:$A$4699))),'Diags Raw Data'!$L$6:$L$4699,'Diags Raw Data'!$P$6:$P$4699)/J177)</f>
        <v>0</v>
      </c>
      <c r="M177" s="418" cm="1">
        <f t="array" ref="M177">SUMPRODUCT(--(ISNUMBER(SEARCH($A177,'Diags Raw Data'!$A$6:$A$4699))),--('Diags Raw Data'!$Q$6:$Q$4699&lt;&gt;"N/A"),'Diags Raw Data'!$R$6:$R$4699)</f>
        <v>0</v>
      </c>
      <c r="N177" s="419" cm="1">
        <f t="array" ref="N177">SUMPRODUCT(--(ISNUMBER(SEARCH($A177,'Diags Raw Data'!$A$6:$A$4699))),--('Diags Raw Data'!$Q$6:$Q$4699&lt;&gt;"N/A"),'Diags Raw Data'!$T$6:$T$4699)+SUMPRODUCT(--(ISNUMBER(SEARCH($A177,'Diags Raw Data'!$A$6:$A$4699))),--('Diags Raw Data'!$Q$6:$Q$4699&lt;&gt;"N/A"),'Diags Raw Data'!$U$6:$U$4699)</f>
        <v>0</v>
      </c>
      <c r="O177" s="462">
        <f t="shared" ref="O177:O178" si="111">IF((M177=0),0,N177/M177)</f>
        <v>0</v>
      </c>
      <c r="P177" s="420">
        <f>SUMIF('Diags Raw Data'!$A$6:$A$4699,"*"&amp;$A177&amp;"*",'Diags Raw Data'!$Z$6:$Z$4699)</f>
        <v>0</v>
      </c>
      <c r="Q177" s="421">
        <f>SUM(SUMIF('Diags Raw Data'!$A$6:$A$4699,"*"&amp;$A177&amp;"*",'Diags Raw Data'!$AA$6:$AA$4699),SUMIF('Diags Raw Data'!$A$6:$A$4699,"*"&amp;$A177&amp;"*",'Diags Raw Data'!$AB$6:$AB$4699))</f>
        <v>0</v>
      </c>
      <c r="R177" s="422">
        <f t="shared" ref="R177:R178" si="112">IF((J177=0),0,P177/J177)</f>
        <v>0</v>
      </c>
      <c r="S177" s="422">
        <f t="shared" ref="S177:S178" si="113">IF((P177=0),0,Q177/P177)</f>
        <v>0</v>
      </c>
      <c r="T177" s="423">
        <f t="shared" ref="T177:T178" si="114">R177*S177</f>
        <v>0</v>
      </c>
      <c r="U177" s="469" t="s">
        <v>44</v>
      </c>
      <c r="V177" s="171" t="s">
        <v>43</v>
      </c>
    </row>
    <row r="178" spans="1:22" ht="30" x14ac:dyDescent="0.25">
      <c r="A178" s="446" t="s">
        <v>2756</v>
      </c>
      <c r="B178" s="332" t="str">
        <f>VLOOKUP(A178,'Feature Raw Data'!$A$3:$B$4067,2,FALSE)</f>
        <v>ATHUB:RPB - Support more arbitration method between different streams and channels</v>
      </c>
      <c r="C178" s="273" t="str">
        <f>VLOOKUP(A178,'Feature Raw Data'!$A$3:$C$4067,3,FALSE)</f>
        <v>P2</v>
      </c>
      <c r="D178" s="82" t="str" cm="1">
        <f t="array" ref="D178">_xlfn.TEXTJOIN("",TRUE,IF(ISNUMBER(SEARCH($A178,'Diags Raw Data'!$A$6:$A$4699)),CONCATENATE('Diags Raw Data'!$H$6:$H$4699,", "),""))</f>
        <v/>
      </c>
      <c r="E178" s="169" t="e">
        <f>VLOOKUP(A178,'Diags Raw Data'!$A$6:$D$4699,4,FALSE)</f>
        <v>#N/A</v>
      </c>
      <c r="F178" s="169" t="str">
        <f>VLOOKUP(A178,'Feature Raw Data'!$A$3:$E$4067,5,FALSE)</f>
        <v>Legacy</v>
      </c>
      <c r="G178" s="169" t="str">
        <f t="shared" si="109"/>
        <v>No</v>
      </c>
      <c r="H178" s="169" t="str">
        <f t="shared" si="110"/>
        <v>No</v>
      </c>
      <c r="I178" s="273">
        <f>SUMIF('Diags Raw Data'!$A$6:$A$4699,"*"&amp;$A178&amp;"*",'Diags Raw Data'!$K$6:$K$4699)</f>
        <v>0</v>
      </c>
      <c r="J178" s="179">
        <f>SUMIF('Diags Raw Data'!$A$6:$A$4699,"*"&amp;$A178&amp;"*",'Diags Raw Data'!$L$6:$L$4699)</f>
        <v>0</v>
      </c>
      <c r="K178" s="416" cm="1">
        <f t="array" ref="K178">IF(D178="",0, SUMPRODUCT(--(ISNUMBER(SEARCH($A178,'Diags Raw Data'!$A$6:$A$4699))),'Diags Raw Data'!$L$6:$L$4699,'Diags Raw Data'!$N$6:$N$4699)/J178)</f>
        <v>0</v>
      </c>
      <c r="L178" s="417" cm="1">
        <f t="array" ref="L178">IF(D178="",0, SUMPRODUCT(--(ISNUMBER(SEARCH($A178,'Diags Raw Data'!$A$6:$A$4699))),'Diags Raw Data'!$L$6:$L$4699,'Diags Raw Data'!$P$6:$P$4699)/J178)</f>
        <v>0</v>
      </c>
      <c r="M178" s="418" cm="1">
        <f t="array" ref="M178">SUMPRODUCT(--(ISNUMBER(SEARCH($A178,'Diags Raw Data'!$A$6:$A$4699))),--('Diags Raw Data'!$Q$6:$Q$4699&lt;&gt;"N/A"),'Diags Raw Data'!$R$6:$R$4699)</f>
        <v>0</v>
      </c>
      <c r="N178" s="419" cm="1">
        <f t="array" ref="N178">SUMPRODUCT(--(ISNUMBER(SEARCH($A178,'Diags Raw Data'!$A$6:$A$4699))),--('Diags Raw Data'!$Q$6:$Q$4699&lt;&gt;"N/A"),'Diags Raw Data'!$T$6:$T$4699)+SUMPRODUCT(--(ISNUMBER(SEARCH($A178,'Diags Raw Data'!$A$6:$A$4699))),--('Diags Raw Data'!$Q$6:$Q$4699&lt;&gt;"N/A"),'Diags Raw Data'!$U$6:$U$4699)</f>
        <v>0</v>
      </c>
      <c r="O178" s="462">
        <f t="shared" si="111"/>
        <v>0</v>
      </c>
      <c r="P178" s="420">
        <f>SUMIF('Diags Raw Data'!$A$6:$A$4699,"*"&amp;$A178&amp;"*",'Diags Raw Data'!$Z$6:$Z$4699)</f>
        <v>0</v>
      </c>
      <c r="Q178" s="421">
        <f>SUM(SUMIF('Diags Raw Data'!$A$6:$A$4699,"*"&amp;$A178&amp;"*",'Diags Raw Data'!$AA$6:$AA$4699),SUMIF('Diags Raw Data'!$A$6:$A$4699,"*"&amp;$A178&amp;"*",'Diags Raw Data'!$AB$6:$AB$4699))</f>
        <v>0</v>
      </c>
      <c r="R178" s="422">
        <f t="shared" si="112"/>
        <v>0</v>
      </c>
      <c r="S178" s="422">
        <f t="shared" si="113"/>
        <v>0</v>
      </c>
      <c r="T178" s="423">
        <f t="shared" si="114"/>
        <v>0</v>
      </c>
      <c r="U178" s="469" t="s">
        <v>44</v>
      </c>
      <c r="V178" s="171" t="s">
        <v>43</v>
      </c>
    </row>
    <row r="179" spans="1:22" x14ac:dyDescent="0.25">
      <c r="A179" s="446" t="s">
        <v>2775</v>
      </c>
      <c r="B179" s="332" t="str">
        <f>VLOOKUP(A179,'Feature Raw Data'!$A$3:$B$4067,2,FALSE)</f>
        <v>ATHUB:Power - Dynamic Clock Gating</v>
      </c>
      <c r="C179" s="273" t="str">
        <f>VLOOKUP(A179,'Feature Raw Data'!$A$3:$C$4067,3,FALSE)</f>
        <v>P2</v>
      </c>
      <c r="D179" s="82" t="str" cm="1">
        <f t="array" ref="D179">_xlfn.TEXTJOIN("",TRUE,IF(ISNUMBER(SEARCH($A179,'Diags Raw Data'!$A$6:$A$4699)),CONCATENATE('Diags Raw Data'!$H$6:$H$4699,", "),""))</f>
        <v/>
      </c>
      <c r="E179" s="169" t="e">
        <f>VLOOKUP(A179,'Diags Raw Data'!$A$6:$D$4699,4,FALSE)</f>
        <v>#N/A</v>
      </c>
      <c r="F179" s="169" t="str">
        <f>VLOOKUP(A179,'Feature Raw Data'!$A$3:$E$4067,5,FALSE)</f>
        <v>Legacy</v>
      </c>
      <c r="G179" s="169" t="str">
        <f t="shared" si="97"/>
        <v>No</v>
      </c>
      <c r="H179" s="169" t="str">
        <f t="shared" si="98"/>
        <v>No</v>
      </c>
      <c r="I179" s="273">
        <f>SUMIF('Diags Raw Data'!$A$6:$A$4699,"*"&amp;$A179&amp;"*",'Diags Raw Data'!$K$6:$K$4699)</f>
        <v>0</v>
      </c>
      <c r="J179" s="179">
        <f>SUMIF('Diags Raw Data'!$A$6:$A$4699,"*"&amp;$A179&amp;"*",'Diags Raw Data'!$L$6:$L$4699)</f>
        <v>0</v>
      </c>
      <c r="K179" s="416" cm="1">
        <f t="array" ref="K179">IF(D179="",0, SUMPRODUCT(--(ISNUMBER(SEARCH($A179,'Diags Raw Data'!$A$6:$A$4699))),'Diags Raw Data'!$L$6:$L$4699,'Diags Raw Data'!$N$6:$N$4699)/J179)</f>
        <v>0</v>
      </c>
      <c r="L179" s="417" cm="1">
        <f t="array" ref="L179">IF(D179="",0, SUMPRODUCT(--(ISNUMBER(SEARCH($A179,'Diags Raw Data'!$A$6:$A$4699))),'Diags Raw Data'!$L$6:$L$4699,'Diags Raw Data'!$P$6:$P$4699)/J179)</f>
        <v>0</v>
      </c>
      <c r="M179" s="418" cm="1">
        <f t="array" ref="M179">SUMPRODUCT(--(ISNUMBER(SEARCH($A179,'Diags Raw Data'!$A$6:$A$4699))),--('Diags Raw Data'!$Q$6:$Q$4699&lt;&gt;"N/A"),'Diags Raw Data'!$R$6:$R$4699)</f>
        <v>0</v>
      </c>
      <c r="N179" s="419" cm="1">
        <f t="array" ref="N179">SUMPRODUCT(--(ISNUMBER(SEARCH($A179,'Diags Raw Data'!$A$6:$A$4699))),--('Diags Raw Data'!$Q$6:$Q$4699&lt;&gt;"N/A"),'Diags Raw Data'!$T$6:$T$4699)+SUMPRODUCT(--(ISNUMBER(SEARCH($A179,'Diags Raw Data'!$A$6:$A$4699))),--('Diags Raw Data'!$Q$6:$Q$4699&lt;&gt;"N/A"),'Diags Raw Data'!$U$6:$U$4699)</f>
        <v>0</v>
      </c>
      <c r="O179" s="462">
        <f t="shared" si="99"/>
        <v>0</v>
      </c>
      <c r="P179" s="420">
        <f>SUMIF('Diags Raw Data'!$A$6:$A$4699,"*"&amp;$A179&amp;"*",'Diags Raw Data'!$Z$6:$Z$4699)</f>
        <v>0</v>
      </c>
      <c r="Q179" s="421">
        <f>SUM(SUMIF('Diags Raw Data'!$A$6:$A$4699,"*"&amp;$A179&amp;"*",'Diags Raw Data'!$AA$6:$AA$4699),SUMIF('Diags Raw Data'!$A$6:$A$4699,"*"&amp;$A179&amp;"*",'Diags Raw Data'!$AB$6:$AB$4699))</f>
        <v>0</v>
      </c>
      <c r="R179" s="422">
        <f t="shared" si="100"/>
        <v>0</v>
      </c>
      <c r="S179" s="422">
        <f t="shared" si="101"/>
        <v>0</v>
      </c>
      <c r="T179" s="423">
        <f t="shared" si="102"/>
        <v>0</v>
      </c>
      <c r="U179" s="469" t="s">
        <v>44</v>
      </c>
      <c r="V179" s="171" t="s">
        <v>43</v>
      </c>
    </row>
    <row r="180" spans="1:22" x14ac:dyDescent="0.25">
      <c r="A180" s="446" t="s">
        <v>2777</v>
      </c>
      <c r="B180" s="332" t="str">
        <f>VLOOKUP(A180,'Feature Raw Data'!$A$3:$B$4067,2,FALSE)</f>
        <v>ATHUB:Power - Dynamic Power Gating</v>
      </c>
      <c r="C180" s="273" t="str">
        <f>VLOOKUP(A180,'Feature Raw Data'!$A$3:$C$4067,3,FALSE)</f>
        <v>P2</v>
      </c>
      <c r="D180" s="82" t="str" cm="1">
        <f t="array" ref="D180">_xlfn.TEXTJOIN("",TRUE,IF(ISNUMBER(SEARCH($A180,'Diags Raw Data'!$A$6:$A$4699)),CONCATENATE('Diags Raw Data'!$H$6:$H$4699,", "),""))</f>
        <v/>
      </c>
      <c r="E180" s="169" t="e">
        <f>VLOOKUP(A180,'Diags Raw Data'!$A$6:$D$4699,4,FALSE)</f>
        <v>#N/A</v>
      </c>
      <c r="F180" s="169" t="str">
        <f>VLOOKUP(A180,'Feature Raw Data'!$A$3:$E$4067,5,FALSE)</f>
        <v>Legacy</v>
      </c>
      <c r="G180" s="169" t="s">
        <v>36</v>
      </c>
      <c r="H180" s="169" t="str">
        <f t="shared" si="98"/>
        <v>No</v>
      </c>
      <c r="I180" s="273">
        <f>SUMIF('Diags Raw Data'!$A$6:$A$4699,"*"&amp;$A180&amp;"*",'Diags Raw Data'!$K$6:$K$4699)</f>
        <v>0</v>
      </c>
      <c r="J180" s="179">
        <f>SUMIF('Diags Raw Data'!$A$6:$A$4699,"*"&amp;$A180&amp;"*",'Diags Raw Data'!$L$6:$L$4699)</f>
        <v>0</v>
      </c>
      <c r="K180" s="416" cm="1">
        <f t="array" ref="K180">IF(D180="",0, SUMPRODUCT(--(ISNUMBER(SEARCH($A180,'Diags Raw Data'!$A$6:$A$4699))),'Diags Raw Data'!$L$6:$L$4699,'Diags Raw Data'!$N$6:$N$4699)/J180)</f>
        <v>0</v>
      </c>
      <c r="L180" s="417" cm="1">
        <f t="array" ref="L180">IF(D180="",0, SUMPRODUCT(--(ISNUMBER(SEARCH($A180,'Diags Raw Data'!$A$6:$A$4699))),'Diags Raw Data'!$L$6:$L$4699,'Diags Raw Data'!$P$6:$P$4699)/J180)</f>
        <v>0</v>
      </c>
      <c r="M180" s="418" cm="1">
        <f t="array" ref="M180">SUMPRODUCT(--(ISNUMBER(SEARCH($A180,'Diags Raw Data'!$A$6:$A$4699))),--('Diags Raw Data'!$Q$6:$Q$4699&lt;&gt;"N/A"),'Diags Raw Data'!$R$6:$R$4699)</f>
        <v>0</v>
      </c>
      <c r="N180" s="419" cm="1">
        <f t="array" ref="N180">SUMPRODUCT(--(ISNUMBER(SEARCH($A180,'Diags Raw Data'!$A$6:$A$4699))),--('Diags Raw Data'!$Q$6:$Q$4699&lt;&gt;"N/A"),'Diags Raw Data'!$T$6:$T$4699)+SUMPRODUCT(--(ISNUMBER(SEARCH($A180,'Diags Raw Data'!$A$6:$A$4699))),--('Diags Raw Data'!$Q$6:$Q$4699&lt;&gt;"N/A"),'Diags Raw Data'!$U$6:$U$4699)</f>
        <v>0</v>
      </c>
      <c r="O180" s="462">
        <f t="shared" si="99"/>
        <v>0</v>
      </c>
      <c r="P180" s="420">
        <f>SUMIF('Diags Raw Data'!$A$6:$A$4699,"*"&amp;$A180&amp;"*",'Diags Raw Data'!$Z$6:$Z$4699)</f>
        <v>0</v>
      </c>
      <c r="Q180" s="421">
        <f>SUM(SUMIF('Diags Raw Data'!$A$6:$A$4699,"*"&amp;$A180&amp;"*",'Diags Raw Data'!$AA$6:$AA$4699),SUMIF('Diags Raw Data'!$A$6:$A$4699,"*"&amp;$A180&amp;"*",'Diags Raw Data'!$AB$6:$AB$4699))</f>
        <v>0</v>
      </c>
      <c r="R180" s="422">
        <f t="shared" si="100"/>
        <v>0</v>
      </c>
      <c r="S180" s="422">
        <f t="shared" si="101"/>
        <v>0</v>
      </c>
      <c r="T180" s="423">
        <f t="shared" si="102"/>
        <v>0</v>
      </c>
      <c r="U180" s="469" t="s">
        <v>44</v>
      </c>
      <c r="V180" s="171" t="s">
        <v>43</v>
      </c>
    </row>
    <row r="181" spans="1:22" x14ac:dyDescent="0.25">
      <c r="A181" s="446" t="s">
        <v>2783</v>
      </c>
      <c r="B181" s="332" t="str">
        <f>VLOOKUP(A181,'Feature Raw Data'!$A$3:$B$4067,2,FALSE)</f>
        <v>ATHUB:Debug - Debug Bus</v>
      </c>
      <c r="C181" s="273" t="str">
        <f>VLOOKUP(A181,'Feature Raw Data'!$A$3:$C$4067,3,FALSE)</f>
        <v>P2</v>
      </c>
      <c r="D181" s="82" t="str" cm="1">
        <f t="array" ref="D181">_xlfn.TEXTJOIN("",TRUE,IF(ISNUMBER(SEARCH($A181,'Diags Raw Data'!$A$6:$A$4699)),CONCATENATE('Diags Raw Data'!$H$6:$H$4699,", "),""))</f>
        <v/>
      </c>
      <c r="E181" s="169" t="e">
        <f>VLOOKUP(A181,'Diags Raw Data'!$A$6:$D$4699,4,FALSE)</f>
        <v>#N/A</v>
      </c>
      <c r="F181" s="169" t="str">
        <f>VLOOKUP(A181,'Feature Raw Data'!$A$3:$E$4067,5,FALSE)</f>
        <v>Legacy</v>
      </c>
      <c r="G181" s="169" t="s">
        <v>36</v>
      </c>
      <c r="H181" s="169" t="str">
        <f t="shared" si="98"/>
        <v>No</v>
      </c>
      <c r="I181" s="273">
        <f>SUMIF('Diags Raw Data'!$A$6:$A$4699,"*"&amp;$A181&amp;"*",'Diags Raw Data'!$K$6:$K$4699)</f>
        <v>0</v>
      </c>
      <c r="J181" s="179">
        <f>SUMIF('Diags Raw Data'!$A$6:$A$4699,"*"&amp;$A181&amp;"*",'Diags Raw Data'!$L$6:$L$4699)</f>
        <v>0</v>
      </c>
      <c r="K181" s="416" cm="1">
        <f t="array" ref="K181">IF(D181="",0, SUMPRODUCT(--(ISNUMBER(SEARCH($A181,'Diags Raw Data'!$A$6:$A$4699))),'Diags Raw Data'!$L$6:$L$4699,'Diags Raw Data'!$N$6:$N$4699)/J181)</f>
        <v>0</v>
      </c>
      <c r="L181" s="417" cm="1">
        <f t="array" ref="L181">IF(D181="",0, SUMPRODUCT(--(ISNUMBER(SEARCH($A181,'Diags Raw Data'!$A$6:$A$4699))),'Diags Raw Data'!$L$6:$L$4699,'Diags Raw Data'!$P$6:$P$4699)/J181)</f>
        <v>0</v>
      </c>
      <c r="M181" s="418" cm="1">
        <f t="array" ref="M181">SUMPRODUCT(--(ISNUMBER(SEARCH($A181,'Diags Raw Data'!$A$6:$A$4699))),--('Diags Raw Data'!$Q$6:$Q$4699&lt;&gt;"N/A"),'Diags Raw Data'!$R$6:$R$4699)</f>
        <v>0</v>
      </c>
      <c r="N181" s="419" cm="1">
        <f t="array" ref="N181">SUMPRODUCT(--(ISNUMBER(SEARCH($A181,'Diags Raw Data'!$A$6:$A$4699))),--('Diags Raw Data'!$Q$6:$Q$4699&lt;&gt;"N/A"),'Diags Raw Data'!$T$6:$T$4699)+SUMPRODUCT(--(ISNUMBER(SEARCH($A181,'Diags Raw Data'!$A$6:$A$4699))),--('Diags Raw Data'!$Q$6:$Q$4699&lt;&gt;"N/A"),'Diags Raw Data'!$U$6:$U$4699)</f>
        <v>0</v>
      </c>
      <c r="O181" s="462">
        <f t="shared" si="99"/>
        <v>0</v>
      </c>
      <c r="P181" s="420">
        <f>SUMIF('Diags Raw Data'!$A$6:$A$4699,"*"&amp;$A181&amp;"*",'Diags Raw Data'!$Z$6:$Z$4699)</f>
        <v>0</v>
      </c>
      <c r="Q181" s="421">
        <f>SUM(SUMIF('Diags Raw Data'!$A$6:$A$4699,"*"&amp;$A181&amp;"*",'Diags Raw Data'!$AA$6:$AA$4699),SUMIF('Diags Raw Data'!$A$6:$A$4699,"*"&amp;$A181&amp;"*",'Diags Raw Data'!$AB$6:$AB$4699))</f>
        <v>0</v>
      </c>
      <c r="R181" s="422">
        <f t="shared" si="100"/>
        <v>0</v>
      </c>
      <c r="S181" s="422">
        <f t="shared" si="101"/>
        <v>0</v>
      </c>
      <c r="T181" s="423">
        <f t="shared" si="102"/>
        <v>0</v>
      </c>
      <c r="U181" s="469" t="s">
        <v>44</v>
      </c>
      <c r="V181" s="171" t="s">
        <v>43</v>
      </c>
    </row>
    <row r="182" spans="1:22" x14ac:dyDescent="0.25">
      <c r="A182" s="446" t="s">
        <v>2785</v>
      </c>
      <c r="B182" s="332" t="str">
        <f>VLOOKUP(A182,'Feature Raw Data'!$A$3:$B$4067,2,FALSE)</f>
        <v>ATHUB:Power - SRAM FGCG</v>
      </c>
      <c r="C182" s="273" t="str">
        <f>VLOOKUP(A182,'Feature Raw Data'!$A$3:$C$4067,3,FALSE)</f>
        <v>P1</v>
      </c>
      <c r="D182" s="82" t="str" cm="1">
        <f t="array" ref="D182">_xlfn.TEXTJOIN("",TRUE,IF(ISNUMBER(SEARCH($A182,'Diags Raw Data'!$A$6:$A$4699)),CONCATENATE('Diags Raw Data'!$H$6:$H$4699,", "),""))</f>
        <v/>
      </c>
      <c r="E182" s="169" t="e">
        <f>VLOOKUP(A182,'Diags Raw Data'!$A$6:$D$4699,4,FALSE)</f>
        <v>#N/A</v>
      </c>
      <c r="F182" s="169" t="str">
        <f>VLOOKUP(A182,'Feature Raw Data'!$A$3:$E$4067,5,FALSE)</f>
        <v>New</v>
      </c>
      <c r="G182" s="169" t="str">
        <f t="shared" ref="G182" si="115">IF(D182="","No","Yes")</f>
        <v>No</v>
      </c>
      <c r="H182" s="169" t="str">
        <f t="shared" ref="H182" si="116">IF(D182="","No","Yes")</f>
        <v>No</v>
      </c>
      <c r="I182" s="273">
        <f>SUMIF('Diags Raw Data'!$A$6:$A$4699,"*"&amp;$A182&amp;"*",'Diags Raw Data'!$K$6:$K$4699)</f>
        <v>0</v>
      </c>
      <c r="J182" s="179">
        <f>SUMIF('Diags Raw Data'!$A$6:$A$4699,"*"&amp;$A182&amp;"*",'Diags Raw Data'!$L$6:$L$4699)</f>
        <v>0</v>
      </c>
      <c r="K182" s="416" cm="1">
        <f t="array" ref="K182">IF(D182="",0, SUMPRODUCT(--(ISNUMBER(SEARCH($A182,'Diags Raw Data'!$A$6:$A$4699))),'Diags Raw Data'!$L$6:$L$4699,'Diags Raw Data'!$N$6:$N$4699)/J182)</f>
        <v>0</v>
      </c>
      <c r="L182" s="417" cm="1">
        <f t="array" ref="L182">IF(D182="",0, SUMPRODUCT(--(ISNUMBER(SEARCH($A182,'Diags Raw Data'!$A$6:$A$4699))),'Diags Raw Data'!$L$6:$L$4699,'Diags Raw Data'!$P$6:$P$4699)/J182)</f>
        <v>0</v>
      </c>
      <c r="M182" s="418" cm="1">
        <f t="array" ref="M182">SUMPRODUCT(--(ISNUMBER(SEARCH($A182,'Diags Raw Data'!$A$6:$A$4699))),--('Diags Raw Data'!$Q$6:$Q$4699&lt;&gt;"N/A"),'Diags Raw Data'!$R$6:$R$4699)</f>
        <v>0</v>
      </c>
      <c r="N182" s="419" cm="1">
        <f t="array" ref="N182">SUMPRODUCT(--(ISNUMBER(SEARCH($A182,'Diags Raw Data'!$A$6:$A$4699))),--('Diags Raw Data'!$Q$6:$Q$4699&lt;&gt;"N/A"),'Diags Raw Data'!$T$6:$T$4699)+SUMPRODUCT(--(ISNUMBER(SEARCH($A182,'Diags Raw Data'!$A$6:$A$4699))),--('Diags Raw Data'!$Q$6:$Q$4699&lt;&gt;"N/A"),'Diags Raw Data'!$U$6:$U$4699)</f>
        <v>0</v>
      </c>
      <c r="O182" s="462">
        <f t="shared" ref="O182" si="117">IF((M182=0),0,N182/M182)</f>
        <v>0</v>
      </c>
      <c r="P182" s="420">
        <f>SUMIF('Diags Raw Data'!$A$6:$A$4699,"*"&amp;$A182&amp;"*",'Diags Raw Data'!$Z$6:$Z$4699)</f>
        <v>0</v>
      </c>
      <c r="Q182" s="421">
        <f>SUM(SUMIF('Diags Raw Data'!$A$6:$A$4699,"*"&amp;$A182&amp;"*",'Diags Raw Data'!$AA$6:$AA$4699),SUMIF('Diags Raw Data'!$A$6:$A$4699,"*"&amp;$A182&amp;"*",'Diags Raw Data'!$AB$6:$AB$4699))</f>
        <v>0</v>
      </c>
      <c r="R182" s="422">
        <f t="shared" ref="R182" si="118">IF((J182=0),0,P182/J182)</f>
        <v>0</v>
      </c>
      <c r="S182" s="422">
        <f t="shared" ref="S182" si="119">IF((P182=0),0,Q182/P182)</f>
        <v>0</v>
      </c>
      <c r="T182" s="423">
        <f t="shared" ref="T182" si="120">R182*S182</f>
        <v>0</v>
      </c>
      <c r="U182" s="469" t="s">
        <v>44</v>
      </c>
      <c r="V182" s="171" t="s">
        <v>43</v>
      </c>
    </row>
    <row r="183" spans="1:22" ht="18.75" x14ac:dyDescent="0.25">
      <c r="A183" s="763" t="s">
        <v>252</v>
      </c>
      <c r="B183" s="764"/>
      <c r="C183" s="764"/>
      <c r="D183" s="764"/>
      <c r="E183" s="764"/>
      <c r="F183" s="765"/>
      <c r="G183" s="629">
        <f>COUNTIF(G7:G182,"Yes")</f>
        <v>133</v>
      </c>
      <c r="H183" s="629">
        <f>COUNTIF(H7:H182,"Yes")</f>
        <v>133</v>
      </c>
      <c r="I183" s="769">
        <f>'Diags Raw Data'!K1089</f>
        <v>637</v>
      </c>
      <c r="J183" s="769">
        <f>'Diags Raw Data'!L1089</f>
        <v>1160</v>
      </c>
      <c r="K183" s="771">
        <f>'Diags Raw Data'!N1089</f>
        <v>1</v>
      </c>
      <c r="L183" s="771">
        <f>'Diags Raw Data'!P1089</f>
        <v>0.88147566718995285</v>
      </c>
      <c r="M183" s="779">
        <f>'Diags Raw Data'!R1089</f>
        <v>1157</v>
      </c>
      <c r="N183" s="779">
        <f>SUM('Diags Raw Data'!T1089+'Diags Raw Data'!U1089)</f>
        <v>1156</v>
      </c>
      <c r="O183" s="781">
        <f>IF((M183=0),0,N183/M183)</f>
        <v>0.99913569576490924</v>
      </c>
      <c r="P183" s="783">
        <f>'Diags Raw Data'!Z1089</f>
        <v>0</v>
      </c>
      <c r="Q183" s="783">
        <f>SUM('Diags Raw Data'!AA1089+'Diags Raw Data'!AB1089)</f>
        <v>0</v>
      </c>
      <c r="R183" s="773">
        <f>IF((J183=0),0,P183/J183)</f>
        <v>0</v>
      </c>
      <c r="S183" s="773">
        <f>IF((P183=0),0,Q183/P183)</f>
        <v>0</v>
      </c>
      <c r="T183" s="775">
        <f>R183*S183</f>
        <v>0</v>
      </c>
      <c r="U183" s="777"/>
    </row>
    <row r="184" spans="1:22" ht="18.75" x14ac:dyDescent="0.25">
      <c r="A184" s="766"/>
      <c r="B184" s="767"/>
      <c r="C184" s="767"/>
      <c r="D184" s="767"/>
      <c r="E184" s="767"/>
      <c r="F184" s="768"/>
      <c r="G184" s="629">
        <f>COUNTIF(G7:G182,"Yes")/COUNTA(A7:A182)</f>
        <v>0.75568181818181823</v>
      </c>
      <c r="H184" s="629">
        <f>(COUNTIF(H7:H182,"Yes")/G183)</f>
        <v>1</v>
      </c>
      <c r="I184" s="770"/>
      <c r="J184" s="770"/>
      <c r="K184" s="772"/>
      <c r="L184" s="772"/>
      <c r="M184" s="780"/>
      <c r="N184" s="780"/>
      <c r="O184" s="782"/>
      <c r="P184" s="784"/>
      <c r="Q184" s="784"/>
      <c r="R184" s="774"/>
      <c r="S184" s="774"/>
      <c r="T184" s="776"/>
      <c r="U184" s="778"/>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2809</v>
      </c>
      <c r="C1" s="36" t="s">
        <v>2810</v>
      </c>
      <c r="D1" s="36" t="s">
        <v>2811</v>
      </c>
      <c r="E1" s="36" t="s">
        <v>2812</v>
      </c>
      <c r="F1" s="36" t="s">
        <v>2813</v>
      </c>
      <c r="G1" s="37" t="s">
        <v>2814</v>
      </c>
      <c r="H1" s="12"/>
      <c r="I1" s="12"/>
      <c r="J1" s="12"/>
      <c r="K1" s="12"/>
      <c r="L1" s="13"/>
      <c r="M1" s="1"/>
      <c r="N1" s="11"/>
      <c r="X1" s="11"/>
      <c r="AB1" s="785" t="s">
        <v>2815</v>
      </c>
      <c r="AM1" s="785" t="s">
        <v>2816</v>
      </c>
    </row>
    <row r="2" spans="1:40" s="14" customFormat="1" ht="12" x14ac:dyDescent="0.2">
      <c r="A2" s="35" t="s">
        <v>2817</v>
      </c>
      <c r="B2" s="15">
        <v>42994</v>
      </c>
      <c r="C2" s="15">
        <v>43190</v>
      </c>
      <c r="D2" s="16" t="e">
        <f>#REF!</f>
        <v>#REF!</v>
      </c>
      <c r="E2" s="16" t="e">
        <f>#REF!</f>
        <v>#REF!</v>
      </c>
      <c r="F2" s="16">
        <f>(C2-B2)/7</f>
        <v>28</v>
      </c>
      <c r="G2" s="17" t="e">
        <f>E2/F2</f>
        <v>#REF!</v>
      </c>
      <c r="H2" s="18"/>
      <c r="I2" s="18"/>
      <c r="J2" s="18"/>
      <c r="K2" s="18"/>
      <c r="L2" s="19"/>
      <c r="M2" s="20"/>
      <c r="N2" s="21"/>
      <c r="X2" s="21"/>
      <c r="AB2" s="786"/>
      <c r="AM2" s="78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7" t="s">
        <v>2818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88"/>
      <c r="B5" s="47" t="s">
        <v>2819</v>
      </c>
      <c r="C5" s="47" t="s">
        <v>2820</v>
      </c>
      <c r="D5" s="47" t="s">
        <v>2821</v>
      </c>
      <c r="E5" s="47" t="s">
        <v>2822</v>
      </c>
      <c r="F5" s="47" t="s">
        <v>2823</v>
      </c>
      <c r="G5" s="47" t="s">
        <v>2824</v>
      </c>
      <c r="H5" s="47" t="s">
        <v>2825</v>
      </c>
      <c r="I5" s="47" t="s">
        <v>2826</v>
      </c>
      <c r="J5" s="47" t="s">
        <v>2827</v>
      </c>
      <c r="K5" s="47" t="s">
        <v>2828</v>
      </c>
      <c r="L5" s="47" t="s">
        <v>2829</v>
      </c>
      <c r="M5" s="47" t="s">
        <v>2830</v>
      </c>
      <c r="N5" s="47" t="s">
        <v>2831</v>
      </c>
      <c r="O5" s="47" t="s">
        <v>2832</v>
      </c>
      <c r="P5" s="47" t="s">
        <v>2833</v>
      </c>
      <c r="Q5" s="47" t="s">
        <v>2834</v>
      </c>
      <c r="R5" s="47" t="s">
        <v>2835</v>
      </c>
      <c r="S5" s="47" t="s">
        <v>2836</v>
      </c>
      <c r="T5" s="47" t="s">
        <v>2837</v>
      </c>
      <c r="U5" s="47" t="s">
        <v>2838</v>
      </c>
      <c r="V5" s="47" t="s">
        <v>2839</v>
      </c>
      <c r="W5" s="47" t="s">
        <v>2840</v>
      </c>
      <c r="X5" s="47" t="s">
        <v>2841</v>
      </c>
      <c r="Y5" s="47" t="s">
        <v>2842</v>
      </c>
      <c r="Z5" s="47" t="s">
        <v>2843</v>
      </c>
      <c r="AA5" s="47" t="s">
        <v>2844</v>
      </c>
      <c r="AB5" s="47" t="s">
        <v>2845</v>
      </c>
      <c r="AC5" s="47" t="s">
        <v>2846</v>
      </c>
      <c r="AD5" s="47" t="s">
        <v>2847</v>
      </c>
      <c r="AE5" s="47" t="s">
        <v>2848</v>
      </c>
      <c r="AF5" s="47" t="s">
        <v>2849</v>
      </c>
      <c r="AG5" s="47" t="s">
        <v>2850</v>
      </c>
      <c r="AH5" s="47" t="s">
        <v>2851</v>
      </c>
      <c r="AI5" s="47" t="s">
        <v>2852</v>
      </c>
      <c r="AJ5" s="47" t="s">
        <v>2853</v>
      </c>
      <c r="AK5" s="47" t="s">
        <v>2854</v>
      </c>
      <c r="AL5" s="66" t="s">
        <v>2855</v>
      </c>
      <c r="AM5" s="65" t="s">
        <v>2856</v>
      </c>
      <c r="AN5" s="50"/>
    </row>
    <row r="6" spans="1:40" ht="12" x14ac:dyDescent="0.2">
      <c r="A6" s="48" t="s">
        <v>2857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2858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7" t="s">
        <v>2859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89"/>
      <c r="B10" s="32" t="s">
        <v>2819</v>
      </c>
      <c r="C10" s="32" t="s">
        <v>2820</v>
      </c>
      <c r="D10" s="32" t="s">
        <v>2821</v>
      </c>
      <c r="E10" s="32" t="s">
        <v>2822</v>
      </c>
      <c r="F10" s="32" t="s">
        <v>2823</v>
      </c>
      <c r="G10" s="32" t="s">
        <v>2824</v>
      </c>
      <c r="H10" s="32" t="s">
        <v>2825</v>
      </c>
      <c r="I10" s="32" t="s">
        <v>2826</v>
      </c>
      <c r="J10" s="32" t="s">
        <v>2827</v>
      </c>
      <c r="K10" s="32" t="s">
        <v>2828</v>
      </c>
      <c r="L10" s="32" t="s">
        <v>2829</v>
      </c>
      <c r="M10" s="32" t="s">
        <v>2830</v>
      </c>
      <c r="N10" s="32" t="s">
        <v>2831</v>
      </c>
      <c r="O10" s="32" t="s">
        <v>2832</v>
      </c>
      <c r="P10" s="32" t="s">
        <v>2833</v>
      </c>
      <c r="Q10" s="32" t="s">
        <v>2834</v>
      </c>
      <c r="R10" s="32" t="s">
        <v>2835</v>
      </c>
      <c r="S10" s="32" t="s">
        <v>2836</v>
      </c>
      <c r="T10" s="32" t="s">
        <v>2837</v>
      </c>
      <c r="U10" s="32" t="s">
        <v>2838</v>
      </c>
      <c r="V10" s="32" t="s">
        <v>2839</v>
      </c>
      <c r="W10" s="32" t="s">
        <v>2840</v>
      </c>
      <c r="X10" s="32" t="s">
        <v>2841</v>
      </c>
      <c r="Y10" s="32" t="s">
        <v>2842</v>
      </c>
      <c r="Z10" s="32" t="s">
        <v>2843</v>
      </c>
      <c r="AA10" s="32" t="s">
        <v>2844</v>
      </c>
      <c r="AB10" s="32" t="s">
        <v>2845</v>
      </c>
      <c r="AC10" s="32" t="s">
        <v>2846</v>
      </c>
      <c r="AD10" s="32" t="s">
        <v>2847</v>
      </c>
      <c r="AE10" s="32" t="s">
        <v>2848</v>
      </c>
      <c r="AF10" s="32" t="s">
        <v>2849</v>
      </c>
      <c r="AG10" s="32" t="s">
        <v>2850</v>
      </c>
      <c r="AH10" s="32" t="s">
        <v>2851</v>
      </c>
      <c r="AI10" s="32" t="s">
        <v>2852</v>
      </c>
      <c r="AJ10" s="64" t="s">
        <v>2853</v>
      </c>
      <c r="AK10" s="63" t="s">
        <v>2854</v>
      </c>
      <c r="AL10" s="47" t="s">
        <v>2855</v>
      </c>
      <c r="AM10" s="72" t="s">
        <v>2856</v>
      </c>
      <c r="AN10" s="68"/>
    </row>
    <row r="11" spans="1:40" x14ac:dyDescent="0.25">
      <c r="A11" s="42" t="s">
        <v>2857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2858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2860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2861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2862</v>
      </c>
      <c r="B1" s="150" t="s">
        <v>2863</v>
      </c>
      <c r="C1" s="151" t="s">
        <v>2864</v>
      </c>
      <c r="D1" s="151" t="s">
        <v>2865</v>
      </c>
      <c r="E1" s="151" t="s">
        <v>2866</v>
      </c>
      <c r="F1" s="151" t="s">
        <v>2867</v>
      </c>
      <c r="G1" s="151" t="s">
        <v>2868</v>
      </c>
      <c r="H1" s="151" t="s">
        <v>2869</v>
      </c>
      <c r="I1" s="151" t="s">
        <v>2870</v>
      </c>
      <c r="J1" s="151" t="s">
        <v>2871</v>
      </c>
      <c r="K1" s="151" t="s">
        <v>2872</v>
      </c>
      <c r="L1" s="151" t="s">
        <v>2873</v>
      </c>
      <c r="M1" s="151" t="s">
        <v>2874</v>
      </c>
      <c r="N1" s="151" t="s">
        <v>2875</v>
      </c>
      <c r="O1" s="151" t="s">
        <v>2876</v>
      </c>
      <c r="P1" s="151" t="s">
        <v>2877</v>
      </c>
      <c r="Q1" s="151" t="s">
        <v>2878</v>
      </c>
      <c r="R1" s="151" t="s">
        <v>2879</v>
      </c>
      <c r="S1" s="151" t="s">
        <v>2880</v>
      </c>
      <c r="T1" s="151" t="s">
        <v>2881</v>
      </c>
      <c r="U1" s="151" t="s">
        <v>2882</v>
      </c>
      <c r="V1" s="151" t="s">
        <v>2883</v>
      </c>
      <c r="W1" s="151" t="s">
        <v>2884</v>
      </c>
      <c r="X1" s="151" t="s">
        <v>2885</v>
      </c>
      <c r="Y1" s="151" t="s">
        <v>2886</v>
      </c>
      <c r="Z1" s="151" t="s">
        <v>2887</v>
      </c>
      <c r="AA1" s="151" t="s">
        <v>2888</v>
      </c>
      <c r="AB1" s="151" t="s">
        <v>2889</v>
      </c>
      <c r="AC1" s="151" t="s">
        <v>2890</v>
      </c>
      <c r="AD1" s="151" t="s">
        <v>2891</v>
      </c>
      <c r="AE1" s="151" t="s">
        <v>2892</v>
      </c>
      <c r="AF1" s="151" t="s">
        <v>2893</v>
      </c>
      <c r="AG1" s="151" t="s">
        <v>2894</v>
      </c>
      <c r="AH1" s="151" t="s">
        <v>2895</v>
      </c>
      <c r="AI1" s="151" t="s">
        <v>2896</v>
      </c>
      <c r="AJ1" s="151" t="s">
        <v>2897</v>
      </c>
      <c r="AK1" s="151" t="s">
        <v>2898</v>
      </c>
      <c r="AL1" s="151" t="s">
        <v>2899</v>
      </c>
      <c r="AM1" s="151" t="s">
        <v>2900</v>
      </c>
      <c r="AN1" s="151" t="s">
        <v>2901</v>
      </c>
      <c r="AO1" s="151" t="s">
        <v>2902</v>
      </c>
      <c r="AP1" s="151" t="s">
        <v>2903</v>
      </c>
      <c r="AQ1" s="151" t="s">
        <v>2904</v>
      </c>
      <c r="AR1" s="151" t="s">
        <v>2905</v>
      </c>
      <c r="AS1" s="151" t="s">
        <v>2906</v>
      </c>
      <c r="AT1" s="151" t="s">
        <v>2907</v>
      </c>
      <c r="AU1" s="151" t="s">
        <v>2908</v>
      </c>
      <c r="AV1" s="151" t="s">
        <v>2909</v>
      </c>
      <c r="AW1" s="151" t="s">
        <v>2910</v>
      </c>
      <c r="AX1" s="151" t="s">
        <v>2911</v>
      </c>
      <c r="AY1" s="151" t="s">
        <v>2912</v>
      </c>
      <c r="AZ1" s="151" t="s">
        <v>2913</v>
      </c>
      <c r="BA1" s="151" t="s">
        <v>2914</v>
      </c>
      <c r="BB1" s="152" t="s">
        <v>2915</v>
      </c>
    </row>
    <row r="2" spans="1:54" s="134" customFormat="1" x14ac:dyDescent="0.2">
      <c r="A2" s="146" t="s">
        <v>2858</v>
      </c>
      <c r="B2" s="426">
        <v>0.1</v>
      </c>
      <c r="C2" s="427">
        <v>0.15</v>
      </c>
      <c r="D2" s="427">
        <v>0.17</v>
      </c>
      <c r="E2" s="427">
        <v>0.23</v>
      </c>
      <c r="F2" s="427">
        <v>0.28000000000000003</v>
      </c>
      <c r="G2" s="427">
        <v>0.35</v>
      </c>
      <c r="H2" s="427">
        <v>0.4</v>
      </c>
      <c r="I2" s="427">
        <v>0.45</v>
      </c>
      <c r="J2" s="427">
        <v>0.5</v>
      </c>
      <c r="K2" s="427">
        <v>0.57999999999999996</v>
      </c>
      <c r="L2" s="427">
        <v>0.62</v>
      </c>
      <c r="M2" s="427">
        <v>0.68</v>
      </c>
      <c r="N2" s="427">
        <v>0.71000000000000008</v>
      </c>
      <c r="O2" s="427">
        <v>0.7400000000000001</v>
      </c>
      <c r="P2" s="427">
        <v>0.75000000000000011</v>
      </c>
      <c r="Q2" s="427">
        <v>0.76000000000000012</v>
      </c>
      <c r="R2" s="427">
        <v>0.79000000000000015</v>
      </c>
      <c r="S2" s="427">
        <v>0.82000000000000017</v>
      </c>
      <c r="T2" s="427">
        <v>0.8500000000000002</v>
      </c>
      <c r="U2" s="427">
        <v>0.88000000000000023</v>
      </c>
      <c r="V2" s="427">
        <v>0.91000000000000025</v>
      </c>
      <c r="W2" s="427">
        <v>0.94000000000000028</v>
      </c>
      <c r="X2" s="427">
        <v>0.97000000000000031</v>
      </c>
      <c r="Y2" s="427">
        <v>1.0000000000000002</v>
      </c>
      <c r="Z2" s="427"/>
      <c r="AA2" s="427"/>
      <c r="AB2" s="427"/>
      <c r="AC2" s="427"/>
      <c r="AD2" s="427"/>
      <c r="AE2" s="427"/>
      <c r="AF2" s="427"/>
      <c r="AG2" s="427"/>
      <c r="AH2" s="427"/>
      <c r="AI2" s="427"/>
      <c r="AJ2" s="427"/>
      <c r="AK2" s="427"/>
      <c r="AL2" s="427"/>
      <c r="AM2" s="147"/>
      <c r="AN2" s="147"/>
      <c r="AO2" s="147"/>
      <c r="AP2" s="147"/>
      <c r="AQ2" s="147"/>
      <c r="AR2" s="147"/>
      <c r="AS2" s="147"/>
      <c r="AT2" s="147"/>
      <c r="AU2" s="147"/>
      <c r="AV2" s="147"/>
      <c r="AW2" s="147"/>
      <c r="AX2" s="147"/>
      <c r="AY2" s="147"/>
      <c r="AZ2" s="147"/>
      <c r="BA2" s="147"/>
      <c r="BB2" s="148"/>
    </row>
    <row r="3" spans="1:54" s="134" customFormat="1" x14ac:dyDescent="0.2">
      <c r="A3" s="143" t="s">
        <v>2861</v>
      </c>
      <c r="B3" s="428"/>
      <c r="C3" s="429"/>
      <c r="D3" s="429"/>
      <c r="E3" s="429"/>
      <c r="F3" s="429"/>
      <c r="G3" s="429"/>
      <c r="H3" s="429"/>
      <c r="I3" s="429"/>
      <c r="J3" s="429"/>
      <c r="K3" s="429"/>
      <c r="L3" s="429">
        <v>0.1</v>
      </c>
      <c r="M3" s="429">
        <v>0.15</v>
      </c>
      <c r="N3" s="429">
        <v>0.2</v>
      </c>
      <c r="O3" s="429">
        <v>0.3</v>
      </c>
      <c r="P3" s="429">
        <v>0.35</v>
      </c>
      <c r="Q3" s="429">
        <v>0.4</v>
      </c>
      <c r="R3" s="429">
        <v>0.4</v>
      </c>
      <c r="S3" s="429">
        <v>0.4</v>
      </c>
      <c r="T3" s="429">
        <v>0.4</v>
      </c>
      <c r="U3" s="429">
        <v>0.4</v>
      </c>
      <c r="V3" s="429">
        <v>0.5</v>
      </c>
      <c r="W3" s="429">
        <v>0.6</v>
      </c>
      <c r="X3" s="429">
        <v>0.65</v>
      </c>
      <c r="Y3" s="429">
        <v>0.7</v>
      </c>
      <c r="Z3" s="429">
        <v>0.8</v>
      </c>
      <c r="AA3" s="429">
        <v>0.9</v>
      </c>
      <c r="AB3" s="429">
        <v>1</v>
      </c>
      <c r="AC3" s="429"/>
      <c r="AD3" s="429"/>
      <c r="AE3" s="429"/>
      <c r="AF3" s="429"/>
      <c r="AG3" s="429"/>
      <c r="AH3" s="429"/>
      <c r="AI3" s="429"/>
      <c r="AJ3" s="429"/>
      <c r="AK3" s="429"/>
      <c r="AL3" s="429"/>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30"/>
      <c r="C4" s="431"/>
      <c r="D4" s="431"/>
      <c r="E4" s="431"/>
      <c r="F4" s="431"/>
      <c r="G4" s="431"/>
      <c r="H4" s="431"/>
      <c r="I4" s="431"/>
      <c r="J4" s="431"/>
      <c r="K4" s="431"/>
      <c r="L4" s="431"/>
      <c r="M4" s="431"/>
      <c r="N4" s="431"/>
      <c r="O4" s="431"/>
      <c r="P4" s="431"/>
      <c r="Q4" s="431"/>
      <c r="R4" s="431"/>
      <c r="S4" s="431"/>
      <c r="T4" s="431"/>
      <c r="U4" s="431"/>
      <c r="V4" s="431"/>
      <c r="W4" s="431"/>
      <c r="X4" s="431"/>
      <c r="Y4" s="431"/>
      <c r="Z4" s="431"/>
      <c r="AA4" s="431"/>
      <c r="AB4" s="431">
        <v>0.05</v>
      </c>
      <c r="AC4" s="431">
        <v>0.2</v>
      </c>
      <c r="AD4" s="431">
        <v>0.3</v>
      </c>
      <c r="AE4" s="431">
        <v>0.5</v>
      </c>
      <c r="AF4" s="431">
        <v>0.6</v>
      </c>
      <c r="AG4" s="431">
        <v>0.65</v>
      </c>
      <c r="AH4" s="431">
        <v>0.7</v>
      </c>
      <c r="AI4" s="431">
        <v>0.85</v>
      </c>
      <c r="AJ4" s="431">
        <v>0.9</v>
      </c>
      <c r="AK4" s="431">
        <v>0.95</v>
      </c>
      <c r="AL4" s="431">
        <v>1</v>
      </c>
      <c r="AM4" s="138"/>
      <c r="AN4" s="138"/>
      <c r="AO4" s="138"/>
      <c r="AP4" s="138"/>
      <c r="AQ4" s="138"/>
      <c r="AR4" s="138"/>
      <c r="AS4" s="138"/>
      <c r="AT4" s="138"/>
      <c r="AU4" s="138"/>
      <c r="AV4" s="138"/>
      <c r="AW4" s="138"/>
      <c r="AX4" s="138"/>
      <c r="AY4" s="138"/>
      <c r="AZ4" s="138"/>
      <c r="BA4" s="138"/>
      <c r="BB4" s="139"/>
    </row>
    <row r="5" spans="1:54" x14ac:dyDescent="0.2">
      <c r="A5" s="153" t="s">
        <v>2859</v>
      </c>
      <c r="B5" s="432">
        <v>5</v>
      </c>
      <c r="C5" s="433">
        <v>6</v>
      </c>
      <c r="D5" s="433">
        <v>7</v>
      </c>
      <c r="E5" s="433">
        <v>8</v>
      </c>
      <c r="F5" s="433">
        <v>9</v>
      </c>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4"/>
      <c r="AG5" s="435"/>
      <c r="AH5" s="43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2858</v>
      </c>
      <c r="B6" s="428">
        <v>0.08</v>
      </c>
      <c r="C6" s="429">
        <v>0.12</v>
      </c>
      <c r="D6" s="429">
        <v>0.15</v>
      </c>
      <c r="E6" s="429">
        <v>0.18</v>
      </c>
      <c r="F6" s="429">
        <v>0.24</v>
      </c>
      <c r="G6" s="429">
        <v>0.3</v>
      </c>
      <c r="H6" s="429">
        <v>0.35</v>
      </c>
      <c r="I6" s="429">
        <v>0.4</v>
      </c>
      <c r="J6" s="429">
        <v>0.45</v>
      </c>
      <c r="K6" s="429">
        <v>0.5</v>
      </c>
      <c r="L6" s="429">
        <v>0.57999999999999996</v>
      </c>
      <c r="M6" s="429">
        <v>0.59</v>
      </c>
      <c r="N6" s="429">
        <v>0.6</v>
      </c>
      <c r="O6" s="429">
        <v>0.65</v>
      </c>
      <c r="P6" s="429">
        <v>0.68</v>
      </c>
      <c r="Q6" s="429">
        <v>0.7</v>
      </c>
      <c r="R6" s="429">
        <v>0.72</v>
      </c>
      <c r="S6" s="429">
        <v>0.74</v>
      </c>
      <c r="T6" s="429">
        <v>0.76</v>
      </c>
      <c r="U6" s="429">
        <v>0.78</v>
      </c>
      <c r="V6" s="429">
        <v>0.8</v>
      </c>
      <c r="W6" s="429">
        <v>0.85</v>
      </c>
      <c r="X6" s="429">
        <v>0.88</v>
      </c>
      <c r="Y6" s="429">
        <v>0.9</v>
      </c>
      <c r="Z6" s="429"/>
      <c r="AA6" s="429"/>
      <c r="AB6" s="429"/>
      <c r="AC6" s="429"/>
      <c r="AD6" s="429"/>
      <c r="AE6" s="429"/>
      <c r="AF6" s="429"/>
      <c r="AG6" s="429"/>
      <c r="AH6" s="429"/>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2860</v>
      </c>
      <c r="B7" s="428"/>
      <c r="C7" s="429"/>
      <c r="D7" s="429"/>
      <c r="E7" s="429"/>
      <c r="F7" s="429"/>
      <c r="G7" s="429"/>
      <c r="H7" s="429"/>
      <c r="I7" s="429"/>
      <c r="J7" s="429"/>
      <c r="K7" s="429"/>
      <c r="L7" s="429"/>
      <c r="M7" s="429">
        <v>7.0000000000000007E-2</v>
      </c>
      <c r="N7" s="429">
        <v>0.12</v>
      </c>
      <c r="O7" s="429">
        <v>0.17</v>
      </c>
      <c r="P7" s="429">
        <v>0.27</v>
      </c>
      <c r="Q7" s="429">
        <v>0.31999999999999995</v>
      </c>
      <c r="R7" s="429">
        <v>0.37</v>
      </c>
      <c r="S7" s="429">
        <v>0.37</v>
      </c>
      <c r="T7" s="429">
        <v>0.37</v>
      </c>
      <c r="U7" s="429">
        <v>0.37</v>
      </c>
      <c r="V7" s="429">
        <v>0.37</v>
      </c>
      <c r="W7" s="429">
        <v>0.47</v>
      </c>
      <c r="X7" s="429">
        <v>0.56999999999999995</v>
      </c>
      <c r="Y7" s="429">
        <v>0.62</v>
      </c>
      <c r="Z7" s="429">
        <v>0.66999999999999993</v>
      </c>
      <c r="AA7" s="429">
        <v>0.77</v>
      </c>
      <c r="AB7" s="429">
        <v>0.87</v>
      </c>
      <c r="AC7" s="429">
        <v>0.97</v>
      </c>
      <c r="AD7" s="429"/>
      <c r="AE7" s="429"/>
      <c r="AF7" s="436"/>
      <c r="AG7" s="429"/>
      <c r="AH7" s="436"/>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30"/>
      <c r="C8" s="431"/>
      <c r="D8" s="431"/>
      <c r="E8" s="431"/>
      <c r="F8" s="431"/>
      <c r="G8" s="431"/>
      <c r="H8" s="431"/>
      <c r="I8" s="431"/>
      <c r="J8" s="431"/>
      <c r="K8" s="431"/>
      <c r="L8" s="431"/>
      <c r="M8" s="431"/>
      <c r="N8" s="431"/>
      <c r="O8" s="431"/>
      <c r="P8" s="431"/>
      <c r="Q8" s="431"/>
      <c r="R8" s="431"/>
      <c r="S8" s="431"/>
      <c r="T8" s="431"/>
      <c r="U8" s="431"/>
      <c r="V8" s="431"/>
      <c r="W8" s="431"/>
      <c r="X8" s="431"/>
      <c r="Y8" s="431"/>
      <c r="Z8" s="431"/>
      <c r="AA8" s="431"/>
      <c r="AB8" s="431">
        <v>0.08</v>
      </c>
      <c r="AC8" s="431">
        <v>0.15</v>
      </c>
      <c r="AD8" s="431">
        <v>0.26</v>
      </c>
      <c r="AE8" s="431">
        <v>0.4</v>
      </c>
      <c r="AF8" s="431">
        <v>0.5</v>
      </c>
      <c r="AG8" s="431">
        <v>0.55000000000000004</v>
      </c>
      <c r="AH8" s="431">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575" t="s">
        <v>2916</v>
      </c>
    </row>
    <row r="3" spans="1:9" x14ac:dyDescent="0.25">
      <c r="A3" s="22"/>
      <c r="B3" s="576" t="s">
        <v>2917</v>
      </c>
      <c r="C3" s="576" t="s">
        <v>655</v>
      </c>
      <c r="D3" s="576" t="s">
        <v>445</v>
      </c>
      <c r="E3" s="576" t="s">
        <v>2918</v>
      </c>
      <c r="F3" s="576" t="s">
        <v>2919</v>
      </c>
      <c r="G3" s="576" t="s">
        <v>354</v>
      </c>
      <c r="H3" s="576" t="s">
        <v>260</v>
      </c>
      <c r="I3" s="576" t="s">
        <v>2920</v>
      </c>
    </row>
    <row r="4" spans="1:9" x14ac:dyDescent="0.25">
      <c r="A4" s="576" t="s">
        <v>2921</v>
      </c>
      <c r="B4" s="208">
        <f>SUMIFS('Diags Raw Data'!$L$6:$L$4944,'Diags Raw Data'!$C$6:$C$4944,B3)</f>
        <v>0</v>
      </c>
      <c r="C4" s="208">
        <f>SUMIFS('Diags Raw Data'!$L$6:$L$4944,'Diags Raw Data'!$C$6:$C$4944,C3)</f>
        <v>201</v>
      </c>
      <c r="D4" s="208">
        <f>SUMIFS('Diags Raw Data'!$L$6:$L$4944,'Diags Raw Data'!$C$6:$C$4944,D3)</f>
        <v>271</v>
      </c>
      <c r="E4" s="208">
        <f>SUMIFS('Diags Raw Data'!$L$6:$L$4944,'Diags Raw Data'!$C$6:$C$4944,E3)</f>
        <v>0</v>
      </c>
      <c r="F4" s="208">
        <f>SUMIFS('Diags Raw Data'!$L$6:$L$4944,'Diags Raw Data'!$C$6:$C$4944,F3)</f>
        <v>0</v>
      </c>
      <c r="G4" s="208">
        <f>SUMIFS('Diags Raw Data'!$L$6:$L$4944,'Diags Raw Data'!$C$6:$C$4944,G3)</f>
        <v>88</v>
      </c>
      <c r="H4" s="208">
        <f>SUMIFS('Diags Raw Data'!$L$6:$L$4944,'Diags Raw Data'!$C$6:$C$4944,H3)</f>
        <v>196</v>
      </c>
      <c r="I4" s="208">
        <f>SUMIFS('Diags Raw Data'!$L$6:$L$4944,'Diags Raw Data'!$C$6:$C$4944,I3)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2922</v>
      </c>
      <c r="B3" s="129" t="s">
        <v>2923</v>
      </c>
      <c r="C3" s="129"/>
      <c r="D3" s="192"/>
      <c r="E3" s="129"/>
    </row>
    <row r="4" spans="1:5" x14ac:dyDescent="0.25">
      <c r="A4" s="79" t="s">
        <v>44</v>
      </c>
      <c r="B4">
        <v>0</v>
      </c>
    </row>
    <row r="5" spans="1:5" x14ac:dyDescent="0.25">
      <c r="A5" s="79" t="s">
        <v>2924</v>
      </c>
      <c r="B5">
        <v>85</v>
      </c>
      <c r="D5" s="130">
        <f>GETPIVOTDATA("#Tests",$A$3,"ETA","wk-1")/GETPIVOTDATA("#Tests",$A$3)</f>
        <v>0.17</v>
      </c>
      <c r="E5" s="131">
        <f>D5</f>
        <v>0.17</v>
      </c>
    </row>
    <row r="6" spans="1:5" x14ac:dyDescent="0.25">
      <c r="A6" s="79" t="s">
        <v>2925</v>
      </c>
      <c r="B6">
        <v>48</v>
      </c>
      <c r="D6" s="130">
        <f>GETPIVOTDATA("#Tests",$A$3,"ETA","wk-2")/GETPIVOTDATA("#Tests",$A$3)</f>
        <v>9.6000000000000002E-2</v>
      </c>
      <c r="E6" s="131">
        <f t="shared" ref="E6:E12" si="0">E5+D6</f>
        <v>0.26600000000000001</v>
      </c>
    </row>
    <row r="7" spans="1:5" x14ac:dyDescent="0.25">
      <c r="A7" s="79" t="s">
        <v>2926</v>
      </c>
      <c r="B7">
        <v>96</v>
      </c>
      <c r="D7" s="130">
        <f>GETPIVOTDATA("#Tests",$A$3,"ETA","wk-3")/GETPIVOTDATA("#Tests",$A$3)</f>
        <v>0.192</v>
      </c>
      <c r="E7" s="131">
        <f t="shared" si="0"/>
        <v>0.45800000000000002</v>
      </c>
    </row>
    <row r="8" spans="1:5" x14ac:dyDescent="0.25">
      <c r="A8" s="79" t="s">
        <v>2927</v>
      </c>
      <c r="B8">
        <v>79</v>
      </c>
      <c r="D8" s="130">
        <f>GETPIVOTDATA("#Tests",$A$3,"ETA","wk-4")/GETPIVOTDATA("#Tests",$A$3)</f>
        <v>0.158</v>
      </c>
      <c r="E8" s="131">
        <f t="shared" si="0"/>
        <v>0.61599999999999999</v>
      </c>
    </row>
    <row r="9" spans="1:5" x14ac:dyDescent="0.25">
      <c r="A9" s="79" t="s">
        <v>2928</v>
      </c>
      <c r="B9">
        <v>82</v>
      </c>
      <c r="D9" s="130">
        <f>GETPIVOTDATA("#Tests",$A$3,"ETA","wk-5")/GETPIVOTDATA("#Tests",$A$3)</f>
        <v>0.16400000000000001</v>
      </c>
      <c r="E9" s="131">
        <f t="shared" si="0"/>
        <v>0.78</v>
      </c>
    </row>
    <row r="10" spans="1:5" x14ac:dyDescent="0.25">
      <c r="A10" s="79" t="s">
        <v>2929</v>
      </c>
      <c r="B10">
        <v>60</v>
      </c>
      <c r="D10" s="130">
        <f>GETPIVOTDATA("#Tests",$A$3,"ETA","wk-6")/GETPIVOTDATA("#Tests",$A$3)</f>
        <v>0.12</v>
      </c>
      <c r="E10" s="131">
        <f t="shared" si="0"/>
        <v>0.9</v>
      </c>
    </row>
    <row r="11" spans="1:5" x14ac:dyDescent="0.25">
      <c r="A11" s="79" t="s">
        <v>2930</v>
      </c>
      <c r="B11">
        <v>30</v>
      </c>
      <c r="D11" s="130">
        <f>GETPIVOTDATA("#Tests",$A$3,"ETA","wk-7")/GETPIVOTDATA("#Tests",$A$3)</f>
        <v>0.06</v>
      </c>
      <c r="E11" s="131">
        <f t="shared" si="0"/>
        <v>0.96</v>
      </c>
    </row>
    <row r="12" spans="1:5" x14ac:dyDescent="0.25">
      <c r="A12" s="79" t="s">
        <v>2931</v>
      </c>
      <c r="B12">
        <v>20</v>
      </c>
      <c r="D12" s="130">
        <f>GETPIVOTDATA("#Tests",$A$3,"ETA","wk-8")/GETPIVOTDATA("#Tests",$A$3)</f>
        <v>0.04</v>
      </c>
      <c r="E12" s="131">
        <f t="shared" si="0"/>
        <v>1</v>
      </c>
    </row>
    <row r="13" spans="1:5" x14ac:dyDescent="0.25">
      <c r="A13" s="79" t="s">
        <v>2283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Props1.xml><?xml version="1.0" encoding="utf-8"?>
<ds:datastoreItem xmlns:ds="http://schemas.openxmlformats.org/officeDocument/2006/customXml" ds:itemID="{AD1344CA-0833-42F6-B620-FBE2683D62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2024-03-25T13:33:01Z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