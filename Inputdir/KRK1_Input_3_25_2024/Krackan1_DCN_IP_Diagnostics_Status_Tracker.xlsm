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KRK1_Input_3_25_2024\"/>
    </mc:Choice>
  </mc:AlternateContent>
  <xr:revisionPtr revIDLastSave="0" documentId="8_{AF22C45A-AC12-4105-B32A-811358923882}" xr6:coauthVersionLast="47" xr6:coauthVersionMax="47" xr10:uidLastSave="{00000000-0000-0000-0000-000000000000}"/>
  <bookViews>
    <workbookView xWindow="-25200" yWindow="360" windowWidth="20115" windowHeight="14325" tabRatio="614"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Feature Summary" sheetId="55" r:id="rId7"/>
    <sheet name="Sub-IP Block Summary" sheetId="59" r:id="rId8"/>
    <sheet name="Feature Raw Data" sheetId="52" r:id="rId9"/>
    <sheet name="Progress (WIP)" sheetId="26" state="hidden" r:id="rId10"/>
    <sheet name="Coverage Plan" sheetId="57" state="hidden" r:id="rId11"/>
    <sheet name="Progress" sheetId="51" r:id="rId12"/>
  </sheets>
  <definedNames>
    <definedName name="_xlnm._FilterDatabase" localSheetId="5" hidden="1">'Diags Raw Data'!$A$5:$AH$211</definedName>
    <definedName name="_xlnm._FilterDatabase" localSheetId="8" hidden="1">'Feature Raw Data'!$A$2:$E$141</definedName>
    <definedName name="_xlnm._FilterDatabase" localSheetId="6" hidden="1">'Feature Summary'!$A$6:$U$138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96"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14" i="55" l="1" a="1"/>
  <c r="D14" i="55" s="1"/>
  <c r="E14" i="55"/>
  <c r="F14" i="55"/>
  <c r="I14" i="55"/>
  <c r="J14" i="55"/>
  <c r="R14" i="55" s="1"/>
  <c r="R211" i="53"/>
  <c r="M14" i="55" a="1"/>
  <c r="M14" i="55" s="1"/>
  <c r="Q14" i="55"/>
  <c r="S14" i="55"/>
  <c r="S9" i="53"/>
  <c r="S10" i="53"/>
  <c r="S11" i="53"/>
  <c r="S12" i="53"/>
  <c r="X12" i="53"/>
  <c r="S13" i="53"/>
  <c r="S14" i="53"/>
  <c r="X14" i="53" s="1"/>
  <c r="S15" i="53"/>
  <c r="X15" i="53" s="1"/>
  <c r="S16" i="53"/>
  <c r="X16" i="53"/>
  <c r="S17" i="53"/>
  <c r="S18" i="53"/>
  <c r="X18" i="53" s="1"/>
  <c r="S19" i="53"/>
  <c r="X19" i="53"/>
  <c r="S20" i="53"/>
  <c r="X20" i="53" s="1"/>
  <c r="S21" i="53"/>
  <c r="S22" i="53"/>
  <c r="X22" i="53"/>
  <c r="S23" i="53"/>
  <c r="S24" i="53"/>
  <c r="S25" i="53"/>
  <c r="X25" i="53" s="1"/>
  <c r="S26" i="53"/>
  <c r="X26" i="53" s="1"/>
  <c r="S27" i="53"/>
  <c r="S28" i="53"/>
  <c r="X28" i="53" s="1"/>
  <c r="S29" i="53"/>
  <c r="X29" i="53"/>
  <c r="S30" i="53"/>
  <c r="S31" i="53"/>
  <c r="S32" i="53"/>
  <c r="X32" i="53" s="1"/>
  <c r="S33" i="53"/>
  <c r="S34" i="53"/>
  <c r="S35" i="53"/>
  <c r="X35" i="53" s="1"/>
  <c r="S36" i="53"/>
  <c r="X36" i="53"/>
  <c r="S37" i="53"/>
  <c r="X37" i="53" s="1"/>
  <c r="S38" i="53"/>
  <c r="S39" i="53"/>
  <c r="X39" i="53"/>
  <c r="S40" i="53"/>
  <c r="X40" i="53"/>
  <c r="S41" i="53"/>
  <c r="S42" i="53"/>
  <c r="S43" i="53"/>
  <c r="X43" i="53" s="1"/>
  <c r="S44" i="53"/>
  <c r="X44" i="53" s="1"/>
  <c r="S45" i="53"/>
  <c r="S46" i="53"/>
  <c r="X46" i="53" s="1"/>
  <c r="S47" i="53"/>
  <c r="S48" i="53"/>
  <c r="X48" i="53"/>
  <c r="S49" i="53"/>
  <c r="S50" i="53"/>
  <c r="S51" i="53"/>
  <c r="X51" i="53"/>
  <c r="S52" i="53"/>
  <c r="X52" i="53" s="1"/>
  <c r="S53" i="53"/>
  <c r="X53" i="53" s="1"/>
  <c r="S54" i="53"/>
  <c r="X54" i="53"/>
  <c r="S55" i="53"/>
  <c r="X55" i="53" s="1"/>
  <c r="S56" i="53"/>
  <c r="S57" i="53"/>
  <c r="S58" i="53"/>
  <c r="S59" i="53"/>
  <c r="X59" i="53" s="1"/>
  <c r="S60" i="53"/>
  <c r="S61" i="53"/>
  <c r="X61" i="53" s="1"/>
  <c r="S62" i="53"/>
  <c r="X62" i="53"/>
  <c r="S63" i="53"/>
  <c r="S64" i="53"/>
  <c r="X64" i="53" s="1"/>
  <c r="S65" i="53"/>
  <c r="S66" i="53"/>
  <c r="X66" i="53" s="1"/>
  <c r="S67" i="53"/>
  <c r="X67" i="53" s="1"/>
  <c r="S68" i="53"/>
  <c r="X68" i="53" s="1"/>
  <c r="S69" i="53"/>
  <c r="X69" i="53"/>
  <c r="S70" i="53"/>
  <c r="X70" i="53" s="1"/>
  <c r="S71" i="53"/>
  <c r="S72" i="53"/>
  <c r="X72" i="53"/>
  <c r="S73" i="53"/>
  <c r="X73" i="53"/>
  <c r="S74" i="53"/>
  <c r="X74" i="53"/>
  <c r="S75" i="53"/>
  <c r="S76" i="53"/>
  <c r="S77" i="53"/>
  <c r="S78" i="53"/>
  <c r="X78" i="53" s="1"/>
  <c r="S79" i="53"/>
  <c r="S80" i="53"/>
  <c r="X80" i="53"/>
  <c r="S81" i="53"/>
  <c r="S82" i="53"/>
  <c r="X82" i="53" s="1"/>
  <c r="S83" i="53"/>
  <c r="X83" i="53"/>
  <c r="S84" i="53"/>
  <c r="X84" i="53" s="1"/>
  <c r="S85" i="53"/>
  <c r="X85" i="53" s="1"/>
  <c r="S86" i="53"/>
  <c r="X86" i="53"/>
  <c r="S87" i="53"/>
  <c r="X87" i="53" s="1"/>
  <c r="S88" i="53"/>
  <c r="X88" i="53" s="1"/>
  <c r="S89" i="53"/>
  <c r="X89" i="53"/>
  <c r="S90" i="53"/>
  <c r="S91" i="53"/>
  <c r="S92" i="53"/>
  <c r="S93" i="53"/>
  <c r="S94" i="53"/>
  <c r="X94" i="53" s="1"/>
  <c r="S95" i="53"/>
  <c r="S96" i="53"/>
  <c r="X96" i="53" s="1"/>
  <c r="S97" i="53"/>
  <c r="X97" i="53"/>
  <c r="S98" i="53"/>
  <c r="X98" i="53" s="1"/>
  <c r="S99" i="53"/>
  <c r="X99" i="53" s="1"/>
  <c r="S100" i="53"/>
  <c r="X100" i="53"/>
  <c r="S101" i="53"/>
  <c r="X101" i="53" s="1"/>
  <c r="S102" i="53"/>
  <c r="X102" i="53"/>
  <c r="S103" i="53"/>
  <c r="X103" i="53" s="1"/>
  <c r="S104" i="53"/>
  <c r="X104" i="53" s="1"/>
  <c r="S105" i="53"/>
  <c r="X105" i="53"/>
  <c r="S106" i="53"/>
  <c r="X106" i="53" s="1"/>
  <c r="S107" i="53"/>
  <c r="X107" i="53" s="1"/>
  <c r="S108" i="53"/>
  <c r="X108" i="53"/>
  <c r="S109" i="53"/>
  <c r="X109" i="53" s="1"/>
  <c r="S110" i="53"/>
  <c r="S111" i="53"/>
  <c r="X111" i="53" s="1"/>
  <c r="S112" i="53"/>
  <c r="X112" i="53"/>
  <c r="S113" i="53"/>
  <c r="X113" i="53" s="1"/>
  <c r="S114" i="53"/>
  <c r="X114" i="53" s="1"/>
  <c r="S115" i="53"/>
  <c r="X115" i="53"/>
  <c r="S116" i="53"/>
  <c r="X116" i="53" s="1"/>
  <c r="S117" i="53"/>
  <c r="X117" i="53"/>
  <c r="S118" i="53"/>
  <c r="X118" i="53"/>
  <c r="S119" i="53"/>
  <c r="X119" i="53" s="1"/>
  <c r="S120" i="53"/>
  <c r="X120" i="53" s="1"/>
  <c r="S121" i="53"/>
  <c r="S122" i="53"/>
  <c r="X122" i="53" s="1"/>
  <c r="S123" i="53"/>
  <c r="S124" i="53"/>
  <c r="S125" i="53"/>
  <c r="X125" i="53"/>
  <c r="S126" i="53"/>
  <c r="X126" i="53" s="1"/>
  <c r="S127" i="53"/>
  <c r="S128" i="53"/>
  <c r="X128" i="53"/>
  <c r="S129" i="53"/>
  <c r="X129" i="53"/>
  <c r="S130" i="53"/>
  <c r="X130" i="53" s="1"/>
  <c r="S131" i="53"/>
  <c r="X131" i="53" s="1"/>
  <c r="S132" i="53"/>
  <c r="X132" i="53"/>
  <c r="S133" i="53"/>
  <c r="S134" i="53"/>
  <c r="X134" i="53" s="1"/>
  <c r="S135" i="53"/>
  <c r="X135" i="53"/>
  <c r="S136" i="53"/>
  <c r="X136" i="53" s="1"/>
  <c r="S137" i="53"/>
  <c r="X137" i="53" s="1"/>
  <c r="S138" i="53"/>
  <c r="S139" i="53"/>
  <c r="S140" i="53"/>
  <c r="X140" i="53" s="1"/>
  <c r="S141" i="53"/>
  <c r="S142" i="53"/>
  <c r="X142" i="53" s="1"/>
  <c r="S143" i="53"/>
  <c r="X143" i="53"/>
  <c r="S144" i="53"/>
  <c r="X144" i="53"/>
  <c r="S145" i="53"/>
  <c r="S146" i="53"/>
  <c r="S147" i="53"/>
  <c r="X147" i="53" s="1"/>
  <c r="S148" i="53"/>
  <c r="X148" i="53"/>
  <c r="S149" i="53"/>
  <c r="X149" i="53"/>
  <c r="S150" i="53"/>
  <c r="X150" i="53" s="1"/>
  <c r="S151" i="53"/>
  <c r="X151" i="53" s="1"/>
  <c r="S152" i="53"/>
  <c r="X152" i="53"/>
  <c r="S153" i="53"/>
  <c r="S154" i="53"/>
  <c r="S155" i="53"/>
  <c r="S156" i="53"/>
  <c r="S157" i="53"/>
  <c r="S158" i="53"/>
  <c r="S159" i="53"/>
  <c r="S160" i="53"/>
  <c r="X160" i="53" s="1"/>
  <c r="S161" i="53"/>
  <c r="S162" i="53"/>
  <c r="S163" i="53"/>
  <c r="X163" i="53" s="1"/>
  <c r="S164" i="53"/>
  <c r="X164" i="53"/>
  <c r="S165" i="53"/>
  <c r="X165" i="53" s="1"/>
  <c r="S166" i="53"/>
  <c r="X166" i="53" s="1"/>
  <c r="S167" i="53"/>
  <c r="X167" i="53"/>
  <c r="S168" i="53"/>
  <c r="X168" i="53" s="1"/>
  <c r="S169" i="53"/>
  <c r="S170" i="53"/>
  <c r="S171" i="53"/>
  <c r="S172" i="53"/>
  <c r="X172" i="53" s="1"/>
  <c r="S173" i="53"/>
  <c r="S174" i="53"/>
  <c r="S175" i="53"/>
  <c r="S176" i="53"/>
  <c r="X176" i="53"/>
  <c r="S177" i="53"/>
  <c r="X177" i="53"/>
  <c r="S178" i="53"/>
  <c r="S179" i="53"/>
  <c r="X179" i="53"/>
  <c r="S180" i="53"/>
  <c r="X180" i="53" s="1"/>
  <c r="S181" i="53"/>
  <c r="X181" i="53" s="1"/>
  <c r="S182" i="53"/>
  <c r="X182" i="53"/>
  <c r="S183" i="53"/>
  <c r="X183" i="53" s="1"/>
  <c r="S184" i="53"/>
  <c r="X184" i="53"/>
  <c r="S185" i="53"/>
  <c r="S186" i="53"/>
  <c r="S187" i="53"/>
  <c r="S188" i="53"/>
  <c r="S189" i="53"/>
  <c r="S190" i="53"/>
  <c r="X190" i="53" s="1"/>
  <c r="S191" i="53"/>
  <c r="S192" i="53"/>
  <c r="G43" i="59"/>
  <c r="S193" i="53"/>
  <c r="S194" i="53"/>
  <c r="S195" i="53"/>
  <c r="G47" i="59" s="1"/>
  <c r="S196" i="53"/>
  <c r="S197" i="53"/>
  <c r="S198" i="53"/>
  <c r="X198" i="53"/>
  <c r="S199" i="53"/>
  <c r="X199" i="53"/>
  <c r="S200" i="53"/>
  <c r="X200" i="53"/>
  <c r="S201" i="53"/>
  <c r="X201" i="53" s="1"/>
  <c r="S202" i="53"/>
  <c r="S203" i="53"/>
  <c r="S204" i="53"/>
  <c r="G36" i="59" s="1"/>
  <c r="M36" i="59" s="1"/>
  <c r="S205" i="53"/>
  <c r="Z36" i="53"/>
  <c r="AE36" i="53"/>
  <c r="Z37" i="53"/>
  <c r="Z38" i="53"/>
  <c r="Z39" i="53"/>
  <c r="Z40" i="53"/>
  <c r="Z41" i="53"/>
  <c r="Z42" i="53"/>
  <c r="Z43" i="53"/>
  <c r="AE43" i="53" s="1"/>
  <c r="Z44" i="53"/>
  <c r="AE44" i="53"/>
  <c r="Z45" i="53"/>
  <c r="AE45" i="53" s="1"/>
  <c r="Z46" i="53"/>
  <c r="AE46" i="53" s="1"/>
  <c r="Z47" i="53"/>
  <c r="AE47" i="53"/>
  <c r="Z48" i="53"/>
  <c r="AE48" i="53" s="1"/>
  <c r="Z49" i="53"/>
  <c r="AE49" i="53"/>
  <c r="Z50" i="53"/>
  <c r="AE50" i="53" s="1"/>
  <c r="Z51" i="53"/>
  <c r="P34" i="55" s="1"/>
  <c r="S34" i="55" s="1"/>
  <c r="Z52" i="53"/>
  <c r="AE52" i="53" s="1"/>
  <c r="Z53" i="53"/>
  <c r="Z54" i="53"/>
  <c r="Z55" i="53"/>
  <c r="P51" i="55" s="1"/>
  <c r="S51" i="55" s="1"/>
  <c r="Z56" i="53"/>
  <c r="Z57" i="53"/>
  <c r="P53" i="55"/>
  <c r="S53" i="55" s="1"/>
  <c r="Z58" i="53"/>
  <c r="Z59" i="53"/>
  <c r="Z60" i="53"/>
  <c r="AE60" i="53"/>
  <c r="Z61" i="53"/>
  <c r="AE61" i="53"/>
  <c r="Z62" i="53"/>
  <c r="P52" i="55"/>
  <c r="Z63" i="53"/>
  <c r="Z64" i="53"/>
  <c r="Z65" i="53"/>
  <c r="AE65" i="53"/>
  <c r="Z66" i="53"/>
  <c r="AE66" i="53"/>
  <c r="Z67" i="53"/>
  <c r="AE67" i="53" s="1"/>
  <c r="Z68" i="53"/>
  <c r="Z69" i="53"/>
  <c r="Z70" i="53"/>
  <c r="Z71" i="53"/>
  <c r="AE71" i="53" s="1"/>
  <c r="Z72" i="53"/>
  <c r="AE72" i="53" s="1"/>
  <c r="Z73" i="53"/>
  <c r="AE73" i="53"/>
  <c r="Z74" i="53"/>
  <c r="AE74" i="53" s="1"/>
  <c r="Z75" i="53"/>
  <c r="AE75" i="53" s="1"/>
  <c r="Z76" i="53"/>
  <c r="AE76" i="53" s="1"/>
  <c r="Z77" i="53"/>
  <c r="AE77" i="53"/>
  <c r="Z78" i="53"/>
  <c r="Z79" i="53"/>
  <c r="AE79" i="53" s="1"/>
  <c r="Z80" i="53"/>
  <c r="Z81" i="53"/>
  <c r="AE81" i="53" s="1"/>
  <c r="Z82" i="53"/>
  <c r="AE82" i="53" s="1"/>
  <c r="Z83" i="53"/>
  <c r="AE83" i="53"/>
  <c r="Z84" i="53"/>
  <c r="Z85" i="53"/>
  <c r="Z86" i="53"/>
  <c r="AE86" i="53" s="1"/>
  <c r="Z87" i="53"/>
  <c r="Z88" i="53"/>
  <c r="Z89" i="53"/>
  <c r="Z90" i="53"/>
  <c r="Z91" i="53"/>
  <c r="AE91" i="53"/>
  <c r="Z92" i="53"/>
  <c r="Z93" i="53"/>
  <c r="AE93" i="53" s="1"/>
  <c r="Z94" i="53"/>
  <c r="AE94" i="53"/>
  <c r="Z95" i="53"/>
  <c r="AE95" i="53" s="1"/>
  <c r="Z96" i="53"/>
  <c r="AE96" i="53" s="1"/>
  <c r="Z97" i="53"/>
  <c r="AE97" i="53"/>
  <c r="Z98" i="53"/>
  <c r="Z99" i="53"/>
  <c r="P74" i="55" s="1"/>
  <c r="S74" i="55" s="1"/>
  <c r="Z100" i="53"/>
  <c r="Z101" i="53"/>
  <c r="Z102" i="53"/>
  <c r="AE102" i="53" s="1"/>
  <c r="Z103" i="53"/>
  <c r="Z104" i="53"/>
  <c r="Z105" i="53"/>
  <c r="Z106" i="53"/>
  <c r="Z107" i="53"/>
  <c r="Z108" i="53"/>
  <c r="AE108" i="53" s="1"/>
  <c r="Z109" i="53"/>
  <c r="AE109" i="53" s="1"/>
  <c r="Z110" i="53"/>
  <c r="AE110" i="53"/>
  <c r="Z111" i="53"/>
  <c r="AE111" i="53" s="1"/>
  <c r="Z112" i="53"/>
  <c r="AE112" i="53"/>
  <c r="Z113" i="53"/>
  <c r="AE113" i="53" s="1"/>
  <c r="Z114" i="53"/>
  <c r="AE114" i="53" s="1"/>
  <c r="Z115" i="53"/>
  <c r="AE115" i="53"/>
  <c r="Z116" i="53"/>
  <c r="Z117" i="53"/>
  <c r="AE117" i="53"/>
  <c r="Z118" i="53"/>
  <c r="Z119" i="53"/>
  <c r="Z120" i="53"/>
  <c r="AE120" i="53" s="1"/>
  <c r="Z121" i="53"/>
  <c r="AE121" i="53" s="1"/>
  <c r="Z122" i="53"/>
  <c r="AE122" i="53"/>
  <c r="Z123" i="53"/>
  <c r="Z124" i="53"/>
  <c r="Z125" i="53"/>
  <c r="Z126" i="53"/>
  <c r="AE126" i="53"/>
  <c r="Z127" i="53"/>
  <c r="AE127" i="53" s="1"/>
  <c r="Z128" i="53"/>
  <c r="AE128" i="53" s="1"/>
  <c r="Z129" i="53"/>
  <c r="AE129" i="53"/>
  <c r="Z130" i="53"/>
  <c r="Z131" i="53"/>
  <c r="AE131" i="53" s="1"/>
  <c r="Z132" i="53"/>
  <c r="Z133" i="53"/>
  <c r="Z134" i="53"/>
  <c r="Z135" i="53"/>
  <c r="Z136" i="53"/>
  <c r="Z137" i="53"/>
  <c r="Z138" i="53"/>
  <c r="Z139" i="53"/>
  <c r="Z140" i="53"/>
  <c r="AE140" i="53"/>
  <c r="Z141" i="53"/>
  <c r="Z142" i="53"/>
  <c r="Z143" i="53"/>
  <c r="Z144" i="53"/>
  <c r="AE144" i="53" s="1"/>
  <c r="Z145" i="53"/>
  <c r="AE145" i="53"/>
  <c r="Z146" i="53"/>
  <c r="AE146" i="53" s="1"/>
  <c r="Z147" i="53"/>
  <c r="AE147" i="53" s="1"/>
  <c r="Z148" i="53"/>
  <c r="Z149" i="53"/>
  <c r="Z150" i="53"/>
  <c r="AE150" i="53" s="1"/>
  <c r="Z151" i="53"/>
  <c r="AE151" i="53" s="1"/>
  <c r="Z152" i="53"/>
  <c r="Z153" i="53"/>
  <c r="AE153" i="53"/>
  <c r="Z154" i="53"/>
  <c r="Z155" i="53"/>
  <c r="AE155" i="53" s="1"/>
  <c r="Z156" i="53"/>
  <c r="Z157" i="53"/>
  <c r="AE157" i="53" s="1"/>
  <c r="Z158" i="53"/>
  <c r="AE158" i="53" s="1"/>
  <c r="Z159" i="53"/>
  <c r="AE159" i="53"/>
  <c r="Z160" i="53"/>
  <c r="AE160" i="53" s="1"/>
  <c r="Z161" i="53"/>
  <c r="AE161" i="53" s="1"/>
  <c r="Z162" i="53"/>
  <c r="AE162" i="53"/>
  <c r="Z163" i="53"/>
  <c r="AE163" i="53" s="1"/>
  <c r="Z164" i="53"/>
  <c r="Z165" i="53"/>
  <c r="AE165" i="53"/>
  <c r="Z166" i="53"/>
  <c r="AE166" i="53"/>
  <c r="Z167" i="53"/>
  <c r="AE167" i="53"/>
  <c r="Z168" i="53"/>
  <c r="Z169" i="53"/>
  <c r="Z170" i="53"/>
  <c r="Z171" i="53"/>
  <c r="AE171" i="53" s="1"/>
  <c r="Z172" i="53"/>
  <c r="AE172" i="53"/>
  <c r="Z173" i="53"/>
  <c r="AE173" i="53" s="1"/>
  <c r="Z174" i="53"/>
  <c r="AE174" i="53"/>
  <c r="Z175" i="53"/>
  <c r="AE175" i="53" s="1"/>
  <c r="Z176" i="53"/>
  <c r="AE176" i="53" s="1"/>
  <c r="Z177" i="53"/>
  <c r="AE177" i="53"/>
  <c r="Z178" i="53"/>
  <c r="AE178" i="53" s="1"/>
  <c r="Z179" i="53"/>
  <c r="AE179" i="53" s="1"/>
  <c r="Z180" i="53"/>
  <c r="Z181" i="53"/>
  <c r="AE181" i="53" s="1"/>
  <c r="Z182" i="53"/>
  <c r="Z183" i="53"/>
  <c r="Z184" i="53"/>
  <c r="Z185" i="53"/>
  <c r="AE185" i="53" s="1"/>
  <c r="Z186" i="53"/>
  <c r="AE186" i="53" s="1"/>
  <c r="Z187" i="53"/>
  <c r="Z188" i="53"/>
  <c r="AE188" i="53"/>
  <c r="Z189" i="53"/>
  <c r="Z190" i="53"/>
  <c r="Z191" i="53"/>
  <c r="AE191" i="53" s="1"/>
  <c r="Z192" i="53"/>
  <c r="AE192" i="53"/>
  <c r="Z193" i="53"/>
  <c r="AE193" i="53" s="1"/>
  <c r="Z194" i="53"/>
  <c r="AE194" i="53" s="1"/>
  <c r="Z195" i="53"/>
  <c r="AE195" i="53"/>
  <c r="Z196" i="53"/>
  <c r="AE196" i="53"/>
  <c r="Z197" i="53"/>
  <c r="Z198" i="53"/>
  <c r="Z199" i="53"/>
  <c r="Z200" i="53"/>
  <c r="Z201" i="53"/>
  <c r="Z202" i="53"/>
  <c r="P17" i="55" s="1"/>
  <c r="S17" i="55" s="1"/>
  <c r="Z203" i="53"/>
  <c r="Z204" i="53"/>
  <c r="O36" i="59" s="1"/>
  <c r="T36" i="59" s="1"/>
  <c r="Z205" i="53"/>
  <c r="AE205" i="53" s="1"/>
  <c r="AG6" i="53"/>
  <c r="AE203" i="53"/>
  <c r="AG20" i="53"/>
  <c r="Z6" i="53"/>
  <c r="Z7" i="53"/>
  <c r="AG81" i="53"/>
  <c r="X81" i="53"/>
  <c r="P81" i="53"/>
  <c r="Z35" i="53"/>
  <c r="D13" i="55" a="1"/>
  <c r="D13" i="55" s="1"/>
  <c r="H13" i="55" s="1"/>
  <c r="Z25" i="53"/>
  <c r="AE25" i="53" s="1"/>
  <c r="AG8" i="53"/>
  <c r="Z8" i="53"/>
  <c r="AG201" i="53"/>
  <c r="P7" i="53"/>
  <c r="S6" i="53"/>
  <c r="S7" i="53"/>
  <c r="X7" i="53" s="1"/>
  <c r="S8" i="53"/>
  <c r="X8" i="53"/>
  <c r="X9" i="53"/>
  <c r="X17" i="53"/>
  <c r="X23" i="53"/>
  <c r="X24" i="53"/>
  <c r="X27" i="53"/>
  <c r="X30" i="53"/>
  <c r="X31" i="53"/>
  <c r="X33" i="53"/>
  <c r="X34" i="53"/>
  <c r="X41" i="53"/>
  <c r="X42" i="53"/>
  <c r="X45" i="53"/>
  <c r="X47" i="53"/>
  <c r="X49" i="53"/>
  <c r="X50" i="53"/>
  <c r="X57" i="53"/>
  <c r="X58" i="53"/>
  <c r="X60" i="53"/>
  <c r="X63" i="53"/>
  <c r="X65" i="53"/>
  <c r="X76" i="53"/>
  <c r="X77" i="53"/>
  <c r="G49" i="59"/>
  <c r="X79" i="53"/>
  <c r="X90" i="53"/>
  <c r="X91" i="53"/>
  <c r="X92" i="53"/>
  <c r="X93" i="53"/>
  <c r="X95" i="53"/>
  <c r="X110" i="53"/>
  <c r="X121" i="53"/>
  <c r="X123" i="53"/>
  <c r="X124" i="53"/>
  <c r="X127" i="53"/>
  <c r="X138" i="53"/>
  <c r="X139" i="53"/>
  <c r="X141" i="53"/>
  <c r="X146" i="53"/>
  <c r="X153" i="53"/>
  <c r="X154" i="53"/>
  <c r="X155" i="53"/>
  <c r="X156" i="53"/>
  <c r="X157" i="53"/>
  <c r="X158" i="53"/>
  <c r="X159" i="53"/>
  <c r="X170" i="53"/>
  <c r="X171" i="53"/>
  <c r="X173" i="53"/>
  <c r="X174" i="53"/>
  <c r="X175" i="53"/>
  <c r="X178" i="53"/>
  <c r="X186" i="53"/>
  <c r="X187" i="53"/>
  <c r="X188" i="53"/>
  <c r="X189" i="53"/>
  <c r="X191" i="53"/>
  <c r="X196" i="53"/>
  <c r="X197" i="53"/>
  <c r="X202" i="53"/>
  <c r="X205" i="53"/>
  <c r="B55" i="59"/>
  <c r="F55" i="59"/>
  <c r="C55" i="59"/>
  <c r="L55" i="59" s="1"/>
  <c r="D55" i="59"/>
  <c r="E55" i="59"/>
  <c r="G55" i="59"/>
  <c r="M55" i="59" s="1"/>
  <c r="H55" i="59"/>
  <c r="I55" i="59"/>
  <c r="J55" i="59"/>
  <c r="K55" i="59"/>
  <c r="U55" i="59"/>
  <c r="P55" i="59"/>
  <c r="Q55" i="59"/>
  <c r="R55" i="59"/>
  <c r="S55" i="59"/>
  <c r="B51" i="59"/>
  <c r="F51" i="59" s="1"/>
  <c r="C51" i="59"/>
  <c r="L51" i="59" s="1"/>
  <c r="D51" i="59"/>
  <c r="E51" i="59"/>
  <c r="G51" i="59"/>
  <c r="M51" i="59"/>
  <c r="H51" i="59"/>
  <c r="I51" i="59"/>
  <c r="J51" i="59"/>
  <c r="K51" i="59"/>
  <c r="O51" i="59"/>
  <c r="U51" i="59"/>
  <c r="P51" i="59"/>
  <c r="Q51" i="59"/>
  <c r="R51" i="59"/>
  <c r="S51" i="59"/>
  <c r="P204" i="53"/>
  <c r="P203" i="53"/>
  <c r="B36" i="59"/>
  <c r="C36" i="59"/>
  <c r="N36" i="59" s="1"/>
  <c r="D36" i="59"/>
  <c r="E36" i="59"/>
  <c r="H36" i="59"/>
  <c r="I36" i="59"/>
  <c r="J36" i="59"/>
  <c r="K36" i="59"/>
  <c r="P36" i="59"/>
  <c r="Q36" i="59"/>
  <c r="R36" i="59"/>
  <c r="S36" i="59"/>
  <c r="B17" i="59"/>
  <c r="C17" i="59"/>
  <c r="N17" i="59" s="1"/>
  <c r="D17" i="59"/>
  <c r="E17" i="59"/>
  <c r="H17" i="59"/>
  <c r="I17" i="59"/>
  <c r="J17" i="59"/>
  <c r="K17" i="59"/>
  <c r="P17" i="59"/>
  <c r="V17" i="59" s="1"/>
  <c r="Q17" i="59"/>
  <c r="R17" i="59"/>
  <c r="S17" i="59"/>
  <c r="B16" i="59"/>
  <c r="T16" i="59"/>
  <c r="G107" i="53"/>
  <c r="AG155" i="53"/>
  <c r="P155" i="53"/>
  <c r="AG130" i="53"/>
  <c r="AE130" i="53"/>
  <c r="P130" i="53"/>
  <c r="P83" i="53"/>
  <c r="AG83" i="53"/>
  <c r="B48" i="59"/>
  <c r="C48" i="59"/>
  <c r="D48" i="59"/>
  <c r="E48" i="59"/>
  <c r="H48" i="59"/>
  <c r="I48" i="59"/>
  <c r="J48" i="59"/>
  <c r="K48" i="59"/>
  <c r="P48" i="59"/>
  <c r="Q48" i="59"/>
  <c r="R48" i="59"/>
  <c r="S48" i="59"/>
  <c r="B49" i="59"/>
  <c r="C49" i="59"/>
  <c r="D49" i="59"/>
  <c r="E49" i="59"/>
  <c r="H49" i="59"/>
  <c r="I49" i="59"/>
  <c r="J49" i="59"/>
  <c r="K49" i="59"/>
  <c r="P49" i="59"/>
  <c r="U49" i="59"/>
  <c r="Q49" i="59"/>
  <c r="R49" i="59"/>
  <c r="S49" i="59"/>
  <c r="B50" i="59"/>
  <c r="E50" i="59"/>
  <c r="P50" i="59"/>
  <c r="U50" i="59"/>
  <c r="C50" i="59"/>
  <c r="H50" i="59"/>
  <c r="I50" i="59"/>
  <c r="D50" i="59"/>
  <c r="J50" i="59"/>
  <c r="K50" i="59"/>
  <c r="Q50" i="59"/>
  <c r="R50" i="59"/>
  <c r="S50" i="59"/>
  <c r="B24" i="59"/>
  <c r="F24" i="59"/>
  <c r="C24" i="59"/>
  <c r="L24" i="59" s="1"/>
  <c r="D24" i="59"/>
  <c r="E24" i="59"/>
  <c r="G24" i="59"/>
  <c r="M24" i="59"/>
  <c r="H24" i="59"/>
  <c r="I24" i="59"/>
  <c r="J24" i="59"/>
  <c r="K24" i="59"/>
  <c r="O24" i="59"/>
  <c r="U24" i="59"/>
  <c r="P24" i="59"/>
  <c r="P23" i="59"/>
  <c r="P25" i="59"/>
  <c r="P26" i="59"/>
  <c r="P27" i="59"/>
  <c r="P28" i="59"/>
  <c r="P29" i="59"/>
  <c r="P30" i="59"/>
  <c r="P31" i="59"/>
  <c r="P32" i="59"/>
  <c r="B32" i="59"/>
  <c r="V32" i="59" s="1"/>
  <c r="P33" i="59"/>
  <c r="P34" i="59"/>
  <c r="P35" i="59"/>
  <c r="P37" i="59"/>
  <c r="B23" i="59"/>
  <c r="B25" i="59"/>
  <c r="T25" i="59" s="1"/>
  <c r="B26" i="59"/>
  <c r="V26" i="59"/>
  <c r="B27" i="59"/>
  <c r="T27" i="59"/>
  <c r="B28" i="59"/>
  <c r="B29" i="59"/>
  <c r="T29" i="59"/>
  <c r="B30" i="59"/>
  <c r="B31" i="59"/>
  <c r="B33" i="59"/>
  <c r="T33" i="59" s="1"/>
  <c r="B34" i="59"/>
  <c r="F34" i="59"/>
  <c r="B35" i="59"/>
  <c r="V35" i="59" s="1"/>
  <c r="B37" i="59"/>
  <c r="Q23" i="59"/>
  <c r="Q24" i="59"/>
  <c r="Q25" i="59"/>
  <c r="Q26" i="59"/>
  <c r="Q27" i="59"/>
  <c r="Q28" i="59"/>
  <c r="Q29" i="59"/>
  <c r="Q30" i="59"/>
  <c r="Q31" i="59"/>
  <c r="Q32" i="59"/>
  <c r="Q33" i="59"/>
  <c r="Q34" i="59"/>
  <c r="Q35" i="59"/>
  <c r="Q37" i="59"/>
  <c r="R24" i="59"/>
  <c r="R23" i="59"/>
  <c r="R25" i="59"/>
  <c r="R26" i="59"/>
  <c r="R27" i="59"/>
  <c r="R28" i="59"/>
  <c r="R29" i="59"/>
  <c r="R30" i="59"/>
  <c r="R31" i="59"/>
  <c r="R32" i="59"/>
  <c r="R33" i="59"/>
  <c r="R34" i="59"/>
  <c r="R35" i="59"/>
  <c r="R37" i="59"/>
  <c r="S24" i="59"/>
  <c r="C25" i="59"/>
  <c r="N25" i="59" s="1"/>
  <c r="D25" i="59"/>
  <c r="E25" i="59"/>
  <c r="G25" i="59"/>
  <c r="M25" i="59" s="1"/>
  <c r="H25" i="59"/>
  <c r="I25" i="59"/>
  <c r="J25" i="59"/>
  <c r="K25" i="59"/>
  <c r="O25" i="59"/>
  <c r="U25" i="59" s="1"/>
  <c r="S25" i="59"/>
  <c r="C26" i="59"/>
  <c r="L26" i="59"/>
  <c r="D26" i="59"/>
  <c r="E26" i="59"/>
  <c r="G26" i="59"/>
  <c r="M26" i="59" s="1"/>
  <c r="H26" i="59"/>
  <c r="I26" i="59"/>
  <c r="J26" i="59"/>
  <c r="K26" i="59"/>
  <c r="O26" i="59"/>
  <c r="U26" i="59" s="1"/>
  <c r="S26" i="59"/>
  <c r="C27" i="59"/>
  <c r="L27" i="59" s="1"/>
  <c r="D27" i="59"/>
  <c r="E27" i="59"/>
  <c r="G27" i="59"/>
  <c r="M27" i="59"/>
  <c r="H27" i="59"/>
  <c r="I27" i="59"/>
  <c r="J27" i="59"/>
  <c r="K27" i="59"/>
  <c r="O27" i="59"/>
  <c r="U27" i="59" s="1"/>
  <c r="S27" i="59"/>
  <c r="V28" i="59"/>
  <c r="C28" i="59"/>
  <c r="N28" i="59"/>
  <c r="D28" i="59"/>
  <c r="E28" i="59"/>
  <c r="G28" i="59"/>
  <c r="M28" i="59" s="1"/>
  <c r="H28" i="59"/>
  <c r="I28" i="59"/>
  <c r="J28" i="59"/>
  <c r="K28" i="59"/>
  <c r="O28" i="59"/>
  <c r="U28" i="59"/>
  <c r="S28" i="59"/>
  <c r="C29" i="59"/>
  <c r="D29" i="59"/>
  <c r="E29" i="59"/>
  <c r="G29" i="59"/>
  <c r="M29" i="59"/>
  <c r="H29" i="59"/>
  <c r="I29" i="59"/>
  <c r="J29" i="59"/>
  <c r="K29" i="59"/>
  <c r="O29" i="59"/>
  <c r="U29" i="59"/>
  <c r="S29" i="59"/>
  <c r="T30" i="59"/>
  <c r="C30" i="59"/>
  <c r="L30" i="59"/>
  <c r="D30" i="59"/>
  <c r="E30" i="59"/>
  <c r="G30" i="59"/>
  <c r="M30" i="59" s="1"/>
  <c r="H30" i="59"/>
  <c r="I30" i="59"/>
  <c r="J30" i="59"/>
  <c r="K30" i="59"/>
  <c r="O30" i="59"/>
  <c r="U30" i="59" s="1"/>
  <c r="S30" i="59"/>
  <c r="C31" i="59"/>
  <c r="N31" i="59" s="1"/>
  <c r="D31" i="59"/>
  <c r="E31" i="59"/>
  <c r="G31" i="59"/>
  <c r="M31" i="59"/>
  <c r="H31" i="59"/>
  <c r="I31" i="59"/>
  <c r="J31" i="59"/>
  <c r="K31" i="59"/>
  <c r="O31" i="59"/>
  <c r="U31" i="59" s="1"/>
  <c r="S31" i="59"/>
  <c r="E32" i="59"/>
  <c r="C32" i="59"/>
  <c r="D32" i="59"/>
  <c r="H32" i="59"/>
  <c r="I32" i="59"/>
  <c r="J32" i="59"/>
  <c r="K32" i="59"/>
  <c r="Z9" i="53"/>
  <c r="Z17" i="53"/>
  <c r="AE17" i="53"/>
  <c r="Z10" i="53"/>
  <c r="AE10" i="53"/>
  <c r="Z11" i="53"/>
  <c r="AE11" i="53" s="1"/>
  <c r="Z12" i="53"/>
  <c r="AE12" i="53"/>
  <c r="Z13" i="53"/>
  <c r="AE13" i="53"/>
  <c r="Z14" i="53"/>
  <c r="AE14" i="53" s="1"/>
  <c r="Z15" i="53"/>
  <c r="Z16" i="53"/>
  <c r="AE16" i="53"/>
  <c r="Z19" i="53"/>
  <c r="AE19" i="53" s="1"/>
  <c r="Z21" i="53"/>
  <c r="AE23" i="53"/>
  <c r="AE24" i="53"/>
  <c r="Z26" i="53"/>
  <c r="Z27" i="53"/>
  <c r="AE27" i="53" s="1"/>
  <c r="Z28" i="53"/>
  <c r="Z29" i="53"/>
  <c r="Z30" i="53"/>
  <c r="P38" i="55"/>
  <c r="S38" i="55" s="1"/>
  <c r="P40" i="55"/>
  <c r="S40" i="55" s="1"/>
  <c r="Q43" i="55"/>
  <c r="Z31" i="53"/>
  <c r="AE31" i="53" s="1"/>
  <c r="Z32" i="53"/>
  <c r="P36" i="55" s="1"/>
  <c r="S36" i="55" s="1"/>
  <c r="Z33" i="53"/>
  <c r="AE33" i="53" s="1"/>
  <c r="Z34" i="53"/>
  <c r="U10" i="59"/>
  <c r="AE37" i="53"/>
  <c r="AE42" i="53"/>
  <c r="P121" i="55"/>
  <c r="S121" i="55"/>
  <c r="Q48" i="55"/>
  <c r="J48" i="55"/>
  <c r="R48" i="55"/>
  <c r="P54" i="55"/>
  <c r="S54" i="55"/>
  <c r="AE58" i="53"/>
  <c r="AE59" i="53"/>
  <c r="P116" i="55"/>
  <c r="S116" i="55" s="1"/>
  <c r="P14" i="59"/>
  <c r="AE68" i="53"/>
  <c r="AE70" i="53"/>
  <c r="AE80" i="53"/>
  <c r="P61" i="55"/>
  <c r="S61" i="55" s="1"/>
  <c r="AE85" i="53"/>
  <c r="AE89" i="53"/>
  <c r="AE90" i="53"/>
  <c r="Q79" i="55"/>
  <c r="AE100" i="53"/>
  <c r="AE101" i="53"/>
  <c r="AE103" i="53"/>
  <c r="P7" i="59"/>
  <c r="AE116" i="53"/>
  <c r="AE118" i="53"/>
  <c r="AE119" i="53"/>
  <c r="AE123" i="53"/>
  <c r="AE124" i="53"/>
  <c r="AE125" i="53"/>
  <c r="AE134" i="53"/>
  <c r="AE148" i="53"/>
  <c r="AE154" i="53"/>
  <c r="J95" i="55"/>
  <c r="R95" i="55" s="1"/>
  <c r="S81" i="55"/>
  <c r="J81" i="55"/>
  <c r="R81" i="55"/>
  <c r="AE169" i="53"/>
  <c r="AE180" i="53"/>
  <c r="AE183" i="53"/>
  <c r="S109" i="55"/>
  <c r="S47" i="55"/>
  <c r="AE200" i="53"/>
  <c r="J88" i="55"/>
  <c r="R88" i="55"/>
  <c r="J109" i="55"/>
  <c r="R109" i="55" s="1"/>
  <c r="S32" i="59"/>
  <c r="C33" i="59"/>
  <c r="L33" i="59"/>
  <c r="D33" i="59"/>
  <c r="E33" i="59"/>
  <c r="G33" i="59"/>
  <c r="M33" i="59"/>
  <c r="H33" i="59"/>
  <c r="I33" i="59"/>
  <c r="J33" i="59"/>
  <c r="K33" i="59"/>
  <c r="O33" i="59"/>
  <c r="U33" i="59"/>
  <c r="S33" i="59"/>
  <c r="C34" i="59"/>
  <c r="D34" i="59"/>
  <c r="E34" i="59"/>
  <c r="G34" i="59"/>
  <c r="M34" i="59"/>
  <c r="H34" i="59"/>
  <c r="I34" i="59"/>
  <c r="J34" i="59"/>
  <c r="K34" i="59"/>
  <c r="O34" i="59"/>
  <c r="U34" i="59"/>
  <c r="S34" i="59"/>
  <c r="C35" i="59"/>
  <c r="N35" i="59" s="1"/>
  <c r="D35" i="59"/>
  <c r="E35" i="59"/>
  <c r="G35" i="59"/>
  <c r="M35" i="59" s="1"/>
  <c r="H35" i="59"/>
  <c r="I35" i="59"/>
  <c r="J35" i="59"/>
  <c r="K35" i="59"/>
  <c r="O35" i="59"/>
  <c r="U35" i="59"/>
  <c r="S35" i="59"/>
  <c r="C37" i="59"/>
  <c r="N37" i="59"/>
  <c r="D37" i="59"/>
  <c r="E37" i="59"/>
  <c r="G37" i="59"/>
  <c r="M37" i="59"/>
  <c r="H37" i="59"/>
  <c r="I37" i="59"/>
  <c r="J37" i="59"/>
  <c r="K37" i="59"/>
  <c r="O37" i="59"/>
  <c r="U37" i="59"/>
  <c r="S37" i="59"/>
  <c r="C16" i="59"/>
  <c r="D16" i="59"/>
  <c r="E16" i="59"/>
  <c r="H16" i="59"/>
  <c r="I16" i="59"/>
  <c r="J16" i="59"/>
  <c r="K16" i="59"/>
  <c r="P16" i="59"/>
  <c r="Q16" i="59"/>
  <c r="V16" i="59"/>
  <c r="R16" i="59"/>
  <c r="S16" i="59"/>
  <c r="B10" i="59"/>
  <c r="V10" i="59" s="1"/>
  <c r="C10" i="59"/>
  <c r="D10" i="59"/>
  <c r="E10" i="59"/>
  <c r="H10" i="59"/>
  <c r="I10" i="59"/>
  <c r="J10" i="59"/>
  <c r="K10" i="59"/>
  <c r="P10" i="59"/>
  <c r="Q10" i="59"/>
  <c r="R10" i="59"/>
  <c r="S10" i="59"/>
  <c r="B11" i="59"/>
  <c r="V11" i="59" s="1"/>
  <c r="C11" i="59"/>
  <c r="D11" i="59"/>
  <c r="E11" i="59"/>
  <c r="H11" i="59"/>
  <c r="I11" i="59"/>
  <c r="J11" i="59"/>
  <c r="K11" i="59"/>
  <c r="P11" i="59"/>
  <c r="Q11" i="59"/>
  <c r="R11" i="59"/>
  <c r="S11" i="59"/>
  <c r="B12" i="59"/>
  <c r="V12" i="59" s="1"/>
  <c r="C12" i="59"/>
  <c r="D12" i="59"/>
  <c r="E12" i="59"/>
  <c r="H12" i="59"/>
  <c r="I12" i="59"/>
  <c r="J12" i="59"/>
  <c r="K12" i="59"/>
  <c r="P12" i="59"/>
  <c r="Q12" i="59"/>
  <c r="R12" i="59"/>
  <c r="R4" i="59"/>
  <c r="R5" i="59"/>
  <c r="R6" i="59"/>
  <c r="R7" i="59"/>
  <c r="R8" i="59"/>
  <c r="R9" i="59"/>
  <c r="R13" i="59"/>
  <c r="R14" i="59"/>
  <c r="R15" i="59"/>
  <c r="R18" i="59"/>
  <c r="S12" i="59"/>
  <c r="D30" i="55" a="1"/>
  <c r="D30" i="55" s="1"/>
  <c r="E30" i="55"/>
  <c r="F30" i="55"/>
  <c r="I30" i="55"/>
  <c r="J30" i="55"/>
  <c r="Q30" i="55"/>
  <c r="D31" i="55" a="1"/>
  <c r="D31" i="55" s="1"/>
  <c r="H31" i="55" s="1"/>
  <c r="E31" i="55"/>
  <c r="F31" i="55"/>
  <c r="I31" i="55"/>
  <c r="J31" i="55"/>
  <c r="Q31" i="55"/>
  <c r="D32" i="55" a="1"/>
  <c r="D32" i="55" s="1"/>
  <c r="E32" i="55"/>
  <c r="F32" i="55"/>
  <c r="I32" i="55"/>
  <c r="J32" i="55"/>
  <c r="Q32" i="55"/>
  <c r="D33" i="55" a="1"/>
  <c r="D33" i="55" s="1"/>
  <c r="H33" i="55" s="1"/>
  <c r="E33" i="55"/>
  <c r="F33" i="55"/>
  <c r="I33" i="55"/>
  <c r="J33" i="55"/>
  <c r="Q33" i="55"/>
  <c r="D34" i="55" a="1"/>
  <c r="D34" i="55" s="1"/>
  <c r="H34" i="55" s="1"/>
  <c r="E34" i="55"/>
  <c r="F34" i="55"/>
  <c r="I34" i="55"/>
  <c r="J34" i="55"/>
  <c r="Q34" i="55"/>
  <c r="D35" i="55" a="1"/>
  <c r="D35" i="55" s="1"/>
  <c r="E35" i="55"/>
  <c r="F35" i="55"/>
  <c r="I35" i="55"/>
  <c r="J35" i="55"/>
  <c r="Q35" i="55"/>
  <c r="D36" i="55" a="1"/>
  <c r="D36" i="55"/>
  <c r="E36" i="55"/>
  <c r="F36" i="55"/>
  <c r="I36" i="55"/>
  <c r="J36" i="55"/>
  <c r="Q36" i="55"/>
  <c r="D37" i="55" a="1"/>
  <c r="D37" i="55" s="1"/>
  <c r="H37" i="55" s="1"/>
  <c r="E37" i="55"/>
  <c r="F37" i="55"/>
  <c r="I37" i="55"/>
  <c r="J37" i="55"/>
  <c r="Q37" i="55"/>
  <c r="D38" i="55" a="1"/>
  <c r="D38" i="55" s="1"/>
  <c r="H38" i="55" s="1"/>
  <c r="J84" i="55"/>
  <c r="R84" i="55" s="1"/>
  <c r="K211" i="53"/>
  <c r="N211" i="53" s="1"/>
  <c r="J38" i="55"/>
  <c r="E38" i="55"/>
  <c r="F38" i="55"/>
  <c r="I38" i="55"/>
  <c r="Q38" i="55"/>
  <c r="D39" i="55" a="1"/>
  <c r="D39" i="55" s="1"/>
  <c r="E39" i="55"/>
  <c r="F39" i="55"/>
  <c r="I39" i="55"/>
  <c r="J39" i="55"/>
  <c r="Q39" i="55"/>
  <c r="D40" i="55" a="1"/>
  <c r="D40" i="55" s="1"/>
  <c r="H40" i="55" s="1"/>
  <c r="E40" i="55"/>
  <c r="F40" i="55"/>
  <c r="I40" i="55"/>
  <c r="J40" i="55"/>
  <c r="Q40" i="55"/>
  <c r="G29" i="53"/>
  <c r="D41" i="55" a="1"/>
  <c r="D41" i="55" s="1"/>
  <c r="H41" i="55" s="1"/>
  <c r="E41" i="55"/>
  <c r="F41" i="55"/>
  <c r="I41" i="55"/>
  <c r="J41" i="55"/>
  <c r="Q41" i="55"/>
  <c r="D42" i="55" a="1"/>
  <c r="D42" i="55" s="1"/>
  <c r="E42" i="55"/>
  <c r="F42" i="55"/>
  <c r="I42" i="55"/>
  <c r="J42" i="55"/>
  <c r="Q42" i="55"/>
  <c r="D43" i="55" a="1"/>
  <c r="D43" i="55"/>
  <c r="G43" i="55" s="1"/>
  <c r="E43" i="55"/>
  <c r="F43" i="55"/>
  <c r="I43" i="55"/>
  <c r="J43" i="55"/>
  <c r="D44" i="55" a="1"/>
  <c r="D44" i="55" s="1"/>
  <c r="G44" i="55" s="1"/>
  <c r="E44" i="55"/>
  <c r="F44" i="55"/>
  <c r="I44" i="55"/>
  <c r="J44" i="55"/>
  <c r="Q44" i="55"/>
  <c r="D45" i="55" a="1"/>
  <c r="D45" i="55" s="1"/>
  <c r="G45" i="55" s="1"/>
  <c r="E45" i="55"/>
  <c r="F45" i="55"/>
  <c r="I45" i="55"/>
  <c r="J45" i="55"/>
  <c r="Q45" i="55"/>
  <c r="G31" i="53"/>
  <c r="D46" i="55" a="1"/>
  <c r="D46" i="55" s="1"/>
  <c r="E46" i="55"/>
  <c r="F46" i="55"/>
  <c r="I46" i="55"/>
  <c r="J46" i="55"/>
  <c r="Q46" i="55"/>
  <c r="D47" i="55" a="1"/>
  <c r="D47" i="55" s="1"/>
  <c r="G47" i="55" s="1"/>
  <c r="J47" i="55"/>
  <c r="R47" i="55"/>
  <c r="Q47" i="55"/>
  <c r="E47" i="55"/>
  <c r="F47" i="55"/>
  <c r="I47" i="55"/>
  <c r="D48" i="55" a="1"/>
  <c r="D48" i="55" s="1"/>
  <c r="E48" i="55"/>
  <c r="F48" i="55"/>
  <c r="I48" i="55"/>
  <c r="D49" i="55" a="1"/>
  <c r="D49" i="55" s="1"/>
  <c r="H49" i="55" s="1"/>
  <c r="J49" i="55"/>
  <c r="R49" i="55"/>
  <c r="E49" i="55"/>
  <c r="F49" i="55"/>
  <c r="I49" i="55"/>
  <c r="Q49" i="55"/>
  <c r="D50" i="55" a="1"/>
  <c r="D50" i="55"/>
  <c r="H50" i="55" s="1"/>
  <c r="E50" i="55"/>
  <c r="F50" i="55"/>
  <c r="I50" i="55"/>
  <c r="J50" i="55"/>
  <c r="R50" i="55"/>
  <c r="Q50" i="55"/>
  <c r="D51" i="55" a="1"/>
  <c r="D51" i="55" s="1"/>
  <c r="H51" i="55" s="1"/>
  <c r="E51" i="55"/>
  <c r="F51" i="55"/>
  <c r="I51" i="55"/>
  <c r="J51" i="55"/>
  <c r="Q51" i="55"/>
  <c r="D52" i="55" a="1"/>
  <c r="D52" i="55" s="1"/>
  <c r="J52" i="55"/>
  <c r="E52" i="55"/>
  <c r="F52" i="55"/>
  <c r="I52" i="55"/>
  <c r="Q52" i="55"/>
  <c r="D53" i="55" a="1"/>
  <c r="D53" i="55"/>
  <c r="G53" i="55" s="1"/>
  <c r="E53" i="55"/>
  <c r="F53" i="55"/>
  <c r="I53" i="55"/>
  <c r="J53" i="55"/>
  <c r="Q53" i="55"/>
  <c r="G58" i="53"/>
  <c r="D54" i="55" a="1"/>
  <c r="D54" i="55" s="1"/>
  <c r="E54" i="55"/>
  <c r="F54" i="55"/>
  <c r="I54" i="55"/>
  <c r="J54" i="55"/>
  <c r="Q54" i="55"/>
  <c r="D55" i="55" a="1"/>
  <c r="D55" i="55"/>
  <c r="G55" i="55" s="1"/>
  <c r="J55" i="55"/>
  <c r="E55" i="55"/>
  <c r="F55" i="55"/>
  <c r="I55" i="55"/>
  <c r="Q55" i="55"/>
  <c r="D56" i="55" a="1"/>
  <c r="D56" i="55"/>
  <c r="H56" i="55" s="1"/>
  <c r="E56" i="55"/>
  <c r="F56" i="55"/>
  <c r="I56" i="55"/>
  <c r="J56" i="55"/>
  <c r="R56" i="55"/>
  <c r="Q56" i="55"/>
  <c r="D57" i="55" a="1"/>
  <c r="D57" i="55" s="1"/>
  <c r="E57" i="55"/>
  <c r="F57" i="55"/>
  <c r="I57" i="55"/>
  <c r="J57" i="55"/>
  <c r="Q57" i="55"/>
  <c r="D58" i="55" a="1"/>
  <c r="D58" i="55"/>
  <c r="G58" i="55" s="1"/>
  <c r="E58" i="55"/>
  <c r="F58" i="55"/>
  <c r="I58" i="55"/>
  <c r="J58" i="55"/>
  <c r="L211" i="53"/>
  <c r="J2" i="55"/>
  <c r="Q58" i="55"/>
  <c r="G75" i="53"/>
  <c r="D59" i="55" a="1"/>
  <c r="D59" i="55" s="1"/>
  <c r="E59" i="55"/>
  <c r="F59" i="55"/>
  <c r="I59" i="55"/>
  <c r="J59" i="55"/>
  <c r="Q59" i="55"/>
  <c r="D60" i="55" a="1"/>
  <c r="D60" i="55" s="1"/>
  <c r="H60" i="55" s="1"/>
  <c r="J60" i="55"/>
  <c r="E60" i="55"/>
  <c r="F60" i="55"/>
  <c r="I60" i="55"/>
  <c r="Q60" i="55"/>
  <c r="D61" i="55" a="1"/>
  <c r="D61" i="55"/>
  <c r="H61" i="55" s="1"/>
  <c r="E61" i="55"/>
  <c r="F61" i="55"/>
  <c r="I61" i="55"/>
  <c r="J61" i="55"/>
  <c r="Q61" i="55"/>
  <c r="D62" i="55" a="1"/>
  <c r="D62" i="55" s="1"/>
  <c r="E62" i="55"/>
  <c r="F62" i="55"/>
  <c r="I62" i="55"/>
  <c r="J62" i="55"/>
  <c r="Q62" i="55"/>
  <c r="D63" i="55" a="1"/>
  <c r="D63" i="55" s="1"/>
  <c r="H63" i="55" s="1"/>
  <c r="E63" i="55"/>
  <c r="F63" i="55"/>
  <c r="I63" i="55"/>
  <c r="J63" i="55"/>
  <c r="R63" i="55"/>
  <c r="Q63" i="55"/>
  <c r="D64" i="55" a="1"/>
  <c r="D64" i="55" s="1"/>
  <c r="J64" i="55"/>
  <c r="R64" i="55" s="1"/>
  <c r="E64" i="55"/>
  <c r="F64" i="55"/>
  <c r="I64" i="55"/>
  <c r="Q64" i="55"/>
  <c r="D65" i="55" a="1"/>
  <c r="D65" i="55"/>
  <c r="H65" i="55" s="1"/>
  <c r="E65" i="55"/>
  <c r="F65" i="55"/>
  <c r="I65" i="55"/>
  <c r="J65" i="55"/>
  <c r="R65" i="55"/>
  <c r="Q65" i="55"/>
  <c r="G82" i="53"/>
  <c r="D66" i="55" a="1"/>
  <c r="D66" i="55" s="1"/>
  <c r="G66" i="55" s="1"/>
  <c r="E66" i="55"/>
  <c r="F66" i="55"/>
  <c r="I66" i="55"/>
  <c r="J66" i="55"/>
  <c r="Q66" i="55"/>
  <c r="D67" i="55" a="1"/>
  <c r="D67" i="55" s="1"/>
  <c r="G67" i="55" s="1"/>
  <c r="E67" i="55"/>
  <c r="F67" i="55"/>
  <c r="I67" i="55"/>
  <c r="J67" i="55"/>
  <c r="R67" i="55" s="1"/>
  <c r="Q67" i="55"/>
  <c r="S67" i="55"/>
  <c r="G133" i="53"/>
  <c r="D68" i="55" a="1"/>
  <c r="D68" i="55" s="1"/>
  <c r="E68" i="55"/>
  <c r="F68" i="55"/>
  <c r="I68" i="55"/>
  <c r="J68" i="55"/>
  <c r="R68" i="55" s="1"/>
  <c r="Q68" i="55"/>
  <c r="G136" i="53"/>
  <c r="D69" i="55" a="1"/>
  <c r="D69" i="55"/>
  <c r="G69" i="55" s="1"/>
  <c r="J69" i="55"/>
  <c r="R69" i="55"/>
  <c r="E69" i="55"/>
  <c r="F69" i="55"/>
  <c r="I69" i="55"/>
  <c r="Q69" i="55"/>
  <c r="G93" i="53"/>
  <c r="D70" i="55" a="1"/>
  <c r="D70" i="55" s="1"/>
  <c r="H70" i="55" s="1"/>
  <c r="E70" i="55"/>
  <c r="F70" i="55"/>
  <c r="I70" i="55"/>
  <c r="J70" i="55"/>
  <c r="Q70" i="55"/>
  <c r="D71" i="55" a="1"/>
  <c r="D71" i="55" s="1"/>
  <c r="H71" i="55" s="1"/>
  <c r="E71" i="55"/>
  <c r="F71" i="55"/>
  <c r="I71" i="55"/>
  <c r="J71" i="55"/>
  <c r="Q71" i="55"/>
  <c r="G97" i="53"/>
  <c r="D72" i="55" a="1"/>
  <c r="D72" i="55" s="1"/>
  <c r="H72" i="55" s="1"/>
  <c r="E72" i="55"/>
  <c r="F72" i="55"/>
  <c r="I72" i="55"/>
  <c r="J72" i="55"/>
  <c r="R72" i="55" s="1"/>
  <c r="Q72" i="55"/>
  <c r="G86" i="53"/>
  <c r="D73" i="55" a="1"/>
  <c r="D73" i="55" s="1"/>
  <c r="H73" i="55" s="1"/>
  <c r="J73" i="55"/>
  <c r="E73" i="55"/>
  <c r="F73" i="55"/>
  <c r="I73" i="55"/>
  <c r="Q73" i="55"/>
  <c r="G87" i="53"/>
  <c r="D74" i="55" a="1"/>
  <c r="D74" i="55" s="1"/>
  <c r="H74" i="55" s="1"/>
  <c r="J74" i="55"/>
  <c r="E74" i="55"/>
  <c r="F74" i="55"/>
  <c r="I74" i="55"/>
  <c r="Q74" i="55"/>
  <c r="G90" i="53"/>
  <c r="D75" i="55" a="1"/>
  <c r="D75" i="55" s="1"/>
  <c r="H75" i="55" s="1"/>
  <c r="J75" i="55"/>
  <c r="E75" i="55"/>
  <c r="F75" i="55"/>
  <c r="I75" i="55"/>
  <c r="Q75" i="55"/>
  <c r="G102" i="53"/>
  <c r="D76" i="55" a="1"/>
  <c r="D76" i="55"/>
  <c r="H76" i="55" s="1"/>
  <c r="E76" i="55"/>
  <c r="F76" i="55"/>
  <c r="I76" i="55"/>
  <c r="J76" i="55"/>
  <c r="Q76" i="55"/>
  <c r="G94" i="53"/>
  <c r="D77" i="55" a="1"/>
  <c r="D77" i="55" s="1"/>
  <c r="H77" i="55" s="1"/>
  <c r="E77" i="55"/>
  <c r="F77" i="55"/>
  <c r="I77" i="55"/>
  <c r="J77" i="55"/>
  <c r="Q77" i="55"/>
  <c r="D78" i="55" a="1"/>
  <c r="D78" i="55" s="1"/>
  <c r="E78" i="55"/>
  <c r="F78" i="55"/>
  <c r="I78" i="55"/>
  <c r="J78" i="55"/>
  <c r="R78" i="55"/>
  <c r="Q78" i="55"/>
  <c r="G91" i="53"/>
  <c r="D79" i="55" a="1"/>
  <c r="D79" i="55" s="1"/>
  <c r="K79" i="55" s="1" a="1"/>
  <c r="J79" i="55"/>
  <c r="E79" i="55"/>
  <c r="F79" i="55"/>
  <c r="I79" i="55"/>
  <c r="G123" i="53"/>
  <c r="D80" i="55" a="1"/>
  <c r="D80" i="55" s="1"/>
  <c r="H80" i="55" s="1"/>
  <c r="E80" i="55"/>
  <c r="F80" i="55"/>
  <c r="I80" i="55"/>
  <c r="J80" i="55"/>
  <c r="R80" i="55" s="1"/>
  <c r="Q80" i="55"/>
  <c r="D81" i="55" a="1"/>
  <c r="D81" i="55" s="1"/>
  <c r="E81" i="55"/>
  <c r="F81" i="55"/>
  <c r="I81" i="55"/>
  <c r="Q81" i="55"/>
  <c r="D82" i="55" a="1"/>
  <c r="D82" i="55"/>
  <c r="H82" i="55" s="1"/>
  <c r="E82" i="55"/>
  <c r="F82" i="55"/>
  <c r="I82" i="55"/>
  <c r="J82" i="55"/>
  <c r="Q82" i="55"/>
  <c r="G110" i="53"/>
  <c r="D83" i="55" a="1"/>
  <c r="D83" i="55" s="1"/>
  <c r="E83" i="55"/>
  <c r="F83" i="55"/>
  <c r="I83" i="55"/>
  <c r="J83" i="55"/>
  <c r="Q83" i="55"/>
  <c r="D84" i="55" a="1"/>
  <c r="D84" i="55"/>
  <c r="E84" i="55"/>
  <c r="F84" i="55"/>
  <c r="I84" i="55"/>
  <c r="Q84" i="55"/>
  <c r="D85" i="55" a="1"/>
  <c r="D85" i="55"/>
  <c r="H85" i="55" s="1"/>
  <c r="E85" i="55"/>
  <c r="F85" i="55"/>
  <c r="I85" i="55"/>
  <c r="J85" i="55"/>
  <c r="Q85" i="55"/>
  <c r="D86" i="55" a="1"/>
  <c r="D86" i="55" s="1"/>
  <c r="H86" i="55" s="1"/>
  <c r="E86" i="55"/>
  <c r="F86" i="55"/>
  <c r="I86" i="55"/>
  <c r="J86" i="55"/>
  <c r="R86" i="55" s="1"/>
  <c r="Q86" i="55"/>
  <c r="D87" i="55" a="1"/>
  <c r="D87" i="55" s="1"/>
  <c r="E87" i="55"/>
  <c r="F87" i="55"/>
  <c r="I87" i="55"/>
  <c r="J87" i="55"/>
  <c r="R87" i="55" s="1"/>
  <c r="P87" i="55"/>
  <c r="S87" i="55" s="1"/>
  <c r="Q87" i="55"/>
  <c r="G104" i="53"/>
  <c r="D88" i="55" a="1"/>
  <c r="D88" i="55" s="1"/>
  <c r="G88" i="55" s="1"/>
  <c r="E88" i="55"/>
  <c r="F88" i="55"/>
  <c r="I88" i="55"/>
  <c r="Q88" i="55"/>
  <c r="D89" i="55" a="1"/>
  <c r="D89" i="55" s="1"/>
  <c r="L89" i="55" s="1" a="1"/>
  <c r="L89" i="55" s="1"/>
  <c r="E89" i="55"/>
  <c r="F89" i="55"/>
  <c r="I89" i="55"/>
  <c r="J89" i="55"/>
  <c r="R89" i="55"/>
  <c r="Q89" i="55"/>
  <c r="D90" i="55" a="1"/>
  <c r="D90" i="55"/>
  <c r="E90" i="55"/>
  <c r="F90" i="55"/>
  <c r="I90" i="55"/>
  <c r="J90" i="55"/>
  <c r="R90" i="55"/>
  <c r="Q90" i="55"/>
  <c r="S90" i="55"/>
  <c r="G188" i="53"/>
  <c r="D91" i="55" a="1"/>
  <c r="D91" i="55"/>
  <c r="H91" i="55" s="1"/>
  <c r="E91" i="55"/>
  <c r="F91" i="55"/>
  <c r="I91" i="55"/>
  <c r="J91" i="55"/>
  <c r="R91" i="55"/>
  <c r="Q91" i="55"/>
  <c r="G191" i="53"/>
  <c r="D92" i="55" a="1"/>
  <c r="D92" i="55" s="1"/>
  <c r="H92" i="55" s="1"/>
  <c r="E92" i="55"/>
  <c r="F92" i="55"/>
  <c r="I92" i="55"/>
  <c r="J92" i="55"/>
  <c r="R92" i="55"/>
  <c r="Q92" i="55"/>
  <c r="D93" i="55" a="1"/>
  <c r="D93" i="55"/>
  <c r="G93" i="55" s="1"/>
  <c r="E93" i="55"/>
  <c r="F93" i="55"/>
  <c r="I93" i="55"/>
  <c r="J93" i="55"/>
  <c r="R93" i="55"/>
  <c r="Q93" i="55"/>
  <c r="G192" i="53"/>
  <c r="D94" i="55" a="1"/>
  <c r="D94" i="55" s="1"/>
  <c r="E94" i="55"/>
  <c r="F94" i="55"/>
  <c r="I94" i="55"/>
  <c r="J94" i="55"/>
  <c r="R94" i="55"/>
  <c r="Q94" i="55"/>
  <c r="S94" i="55"/>
  <c r="G160" i="53"/>
  <c r="D95" i="55" a="1"/>
  <c r="D95" i="55" s="1"/>
  <c r="H95" i="55" s="1"/>
  <c r="E95" i="55"/>
  <c r="F95" i="55"/>
  <c r="I95" i="55"/>
  <c r="Q95" i="55"/>
  <c r="G193" i="53"/>
  <c r="D96" i="55" a="1"/>
  <c r="D96" i="55" s="1"/>
  <c r="E96" i="55"/>
  <c r="F96" i="55"/>
  <c r="I96" i="55"/>
  <c r="J96" i="55"/>
  <c r="R96" i="55"/>
  <c r="Q96" i="55"/>
  <c r="G194" i="53"/>
  <c r="D97" i="55" a="1"/>
  <c r="D97" i="55" s="1"/>
  <c r="E97" i="55"/>
  <c r="F97" i="55"/>
  <c r="I97" i="55"/>
  <c r="J97" i="55"/>
  <c r="Q97" i="55"/>
  <c r="S97" i="55"/>
  <c r="O211" i="53"/>
  <c r="O2" i="53"/>
  <c r="B4" i="59"/>
  <c r="P4" i="59"/>
  <c r="T2" i="53"/>
  <c r="M39" i="55" a="1"/>
  <c r="M39" i="55" s="1"/>
  <c r="K2" i="53"/>
  <c r="P6" i="53"/>
  <c r="G16" i="53"/>
  <c r="G26" i="53"/>
  <c r="K44" i="59"/>
  <c r="C18" i="59"/>
  <c r="C23" i="59"/>
  <c r="L23" i="59" s="1"/>
  <c r="I7" i="55"/>
  <c r="D56" i="59"/>
  <c r="D44" i="59"/>
  <c r="D45" i="59"/>
  <c r="D46" i="59"/>
  <c r="D47" i="59"/>
  <c r="D52" i="59"/>
  <c r="D53" i="59"/>
  <c r="D54" i="59"/>
  <c r="D43" i="59"/>
  <c r="D42" i="59"/>
  <c r="D23" i="59"/>
  <c r="D38" i="59"/>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2"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31" i="53"/>
  <c r="P128" i="53"/>
  <c r="P129"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2" i="53"/>
  <c r="P205" i="53"/>
  <c r="D18" i="59"/>
  <c r="D4" i="59"/>
  <c r="D5" i="59"/>
  <c r="D6" i="59"/>
  <c r="D7" i="59"/>
  <c r="D8" i="59"/>
  <c r="D9" i="59"/>
  <c r="D13" i="59"/>
  <c r="D14" i="59"/>
  <c r="D15" i="59"/>
  <c r="E8" i="59"/>
  <c r="I8" i="55"/>
  <c r="AD2" i="53"/>
  <c r="AC2" i="53"/>
  <c r="AB2" i="53"/>
  <c r="AA2" i="53"/>
  <c r="W2" i="53"/>
  <c r="V2" i="53"/>
  <c r="U2" i="53"/>
  <c r="R2" i="53"/>
  <c r="S18" i="59"/>
  <c r="Q18" i="59"/>
  <c r="P18" i="59"/>
  <c r="B18" i="59"/>
  <c r="T18" i="59" s="1"/>
  <c r="E18" i="59"/>
  <c r="F18" i="59"/>
  <c r="K18" i="59"/>
  <c r="J18" i="59"/>
  <c r="I18" i="59"/>
  <c r="H18" i="59"/>
  <c r="S15" i="59"/>
  <c r="Q15" i="59"/>
  <c r="P15" i="59"/>
  <c r="B15" i="59"/>
  <c r="F15" i="59" s="1"/>
  <c r="K15" i="59"/>
  <c r="J15" i="59"/>
  <c r="I15" i="59"/>
  <c r="H15" i="59"/>
  <c r="C15" i="59"/>
  <c r="N15" i="59"/>
  <c r="E15" i="59"/>
  <c r="S14" i="59"/>
  <c r="Q14" i="59"/>
  <c r="B14" i="59"/>
  <c r="V14" i="59" s="1"/>
  <c r="K14" i="59"/>
  <c r="J14" i="59"/>
  <c r="I14" i="59"/>
  <c r="H14" i="59"/>
  <c r="C14" i="59"/>
  <c r="N14" i="59" s="1"/>
  <c r="E14" i="59"/>
  <c r="S13" i="59"/>
  <c r="Q13" i="59"/>
  <c r="P13" i="59"/>
  <c r="B13" i="59"/>
  <c r="V13" i="59" s="1"/>
  <c r="K13" i="59"/>
  <c r="J13" i="59"/>
  <c r="I13" i="59"/>
  <c r="C13" i="59"/>
  <c r="N13" i="59"/>
  <c r="H13" i="59"/>
  <c r="E13" i="59"/>
  <c r="C4" i="59"/>
  <c r="C5" i="59"/>
  <c r="C6" i="59"/>
  <c r="C7" i="59"/>
  <c r="C8" i="59"/>
  <c r="C9" i="59"/>
  <c r="S9" i="59"/>
  <c r="Q9" i="59"/>
  <c r="U9" i="59"/>
  <c r="B9" i="59"/>
  <c r="P9" i="59"/>
  <c r="P5" i="59"/>
  <c r="P6" i="59"/>
  <c r="B6" i="59"/>
  <c r="V6" i="59" s="1"/>
  <c r="P8" i="59"/>
  <c r="V8" i="59" s="1"/>
  <c r="K9" i="59"/>
  <c r="J9" i="59"/>
  <c r="I9" i="59"/>
  <c r="H9" i="59"/>
  <c r="E9" i="59"/>
  <c r="S8" i="59"/>
  <c r="Q8" i="59"/>
  <c r="B8" i="59"/>
  <c r="K8" i="59"/>
  <c r="K4" i="59"/>
  <c r="K5" i="59"/>
  <c r="K6" i="59"/>
  <c r="K7" i="59"/>
  <c r="J8" i="59"/>
  <c r="I8" i="59"/>
  <c r="H8" i="59"/>
  <c r="S7" i="59"/>
  <c r="S4" i="59"/>
  <c r="S5" i="59"/>
  <c r="S6" i="59"/>
  <c r="S19" i="59" s="1"/>
  <c r="Q7" i="59"/>
  <c r="J7" i="59"/>
  <c r="I7" i="59"/>
  <c r="H7" i="59"/>
  <c r="Q6" i="59"/>
  <c r="J6" i="59"/>
  <c r="I6" i="59"/>
  <c r="H6" i="59"/>
  <c r="N6" i="59" s="1"/>
  <c r="E6" i="59"/>
  <c r="E4" i="59"/>
  <c r="E5" i="59"/>
  <c r="E7" i="59"/>
  <c r="Q5" i="59"/>
  <c r="B5" i="59"/>
  <c r="V5" i="59"/>
  <c r="J5" i="59"/>
  <c r="J19" i="59" s="1"/>
  <c r="I5" i="59"/>
  <c r="H5" i="59"/>
  <c r="Q4" i="59"/>
  <c r="J4" i="59"/>
  <c r="I4" i="59"/>
  <c r="H4" i="59"/>
  <c r="I106"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8" i="53"/>
  <c r="AG79" i="53"/>
  <c r="AG80" i="53"/>
  <c r="AG82" i="53"/>
  <c r="AG84" i="53"/>
  <c r="AG85" i="53"/>
  <c r="AG86" i="53"/>
  <c r="AG87" i="53"/>
  <c r="AG88" i="53"/>
  <c r="AG89" i="53"/>
  <c r="AG90" i="53"/>
  <c r="AG91" i="53"/>
  <c r="AG92" i="53"/>
  <c r="AG93"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7" i="53"/>
  <c r="AG118" i="53"/>
  <c r="AG119" i="53"/>
  <c r="AG120" i="53"/>
  <c r="AG121" i="53"/>
  <c r="AG122" i="53"/>
  <c r="AG123" i="53"/>
  <c r="AG124" i="53"/>
  <c r="AG125" i="53"/>
  <c r="AG126" i="53"/>
  <c r="AG127" i="53"/>
  <c r="AG131" i="53"/>
  <c r="AG128" i="53"/>
  <c r="AG129"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6" i="53"/>
  <c r="AG157" i="53"/>
  <c r="AG158" i="53"/>
  <c r="AG159" i="53"/>
  <c r="AG160" i="53"/>
  <c r="AG161" i="53"/>
  <c r="AG162" i="53"/>
  <c r="AG163" i="53"/>
  <c r="AG164" i="53"/>
  <c r="AG165" i="53"/>
  <c r="AG166" i="53"/>
  <c r="AG167" i="53"/>
  <c r="AG168" i="53"/>
  <c r="AG169" i="53"/>
  <c r="AG170" i="53"/>
  <c r="AG171" i="53"/>
  <c r="AG172" i="53"/>
  <c r="AG173" i="53"/>
  <c r="AG174" i="53"/>
  <c r="AG175" i="53"/>
  <c r="AG176" i="53"/>
  <c r="AG177" i="53"/>
  <c r="AG178" i="53"/>
  <c r="AG179" i="53"/>
  <c r="AG180" i="53"/>
  <c r="AG181" i="53"/>
  <c r="AG182" i="53"/>
  <c r="AG183" i="53"/>
  <c r="AG184" i="53"/>
  <c r="AG185" i="53"/>
  <c r="AG186" i="53"/>
  <c r="AG187" i="53"/>
  <c r="AG188" i="53"/>
  <c r="AG189" i="53"/>
  <c r="AG190" i="53"/>
  <c r="AG191" i="53"/>
  <c r="AG192" i="53"/>
  <c r="AG193" i="53"/>
  <c r="AG194" i="53"/>
  <c r="AG195" i="53"/>
  <c r="AG196" i="53"/>
  <c r="AG197" i="53"/>
  <c r="AG198" i="53"/>
  <c r="AG199" i="53"/>
  <c r="AG200" i="53"/>
  <c r="AG202" i="53"/>
  <c r="AG205" i="53"/>
  <c r="AG9" i="53"/>
  <c r="AG10" i="53"/>
  <c r="AG11" i="53"/>
  <c r="AG12" i="53"/>
  <c r="AG13" i="53"/>
  <c r="AG14" i="53"/>
  <c r="AG15" i="53"/>
  <c r="AG16" i="53"/>
  <c r="AG17" i="53"/>
  <c r="AG18" i="53"/>
  <c r="AG19" i="53"/>
  <c r="AG21" i="53"/>
  <c r="AG22" i="53"/>
  <c r="AG23" i="53"/>
  <c r="AG24" i="53"/>
  <c r="AG25" i="53"/>
  <c r="AG26" i="53"/>
  <c r="AG7" i="53"/>
  <c r="D9" i="55" a="1"/>
  <c r="D9" i="55"/>
  <c r="L9" i="55" s="1" a="1"/>
  <c r="L9" i="55" s="1"/>
  <c r="D10" i="55" a="1"/>
  <c r="D10" i="55" s="1"/>
  <c r="H10" i="55" s="1"/>
  <c r="D11" i="55" a="1"/>
  <c r="D11" i="55"/>
  <c r="H11" i="55"/>
  <c r="J11" i="55"/>
  <c r="D12" i="55" a="1"/>
  <c r="D12" i="55"/>
  <c r="J12" i="55"/>
  <c r="D15" i="55" a="1"/>
  <c r="D15" i="55"/>
  <c r="D16" i="55" a="1"/>
  <c r="D16" i="55"/>
  <c r="G16" i="55" s="1"/>
  <c r="D17" i="55" a="1"/>
  <c r="D17" i="55" s="1"/>
  <c r="D18" i="55" a="1"/>
  <c r="D18" i="55"/>
  <c r="D19" i="55" a="1"/>
  <c r="D19" i="55"/>
  <c r="D20" i="55" a="1"/>
  <c r="D20" i="55" s="1"/>
  <c r="D21" i="55" a="1"/>
  <c r="D21" i="55" s="1"/>
  <c r="D22" i="55" a="1"/>
  <c r="D22" i="55"/>
  <c r="G22" i="55" s="1"/>
  <c r="D23" i="55" a="1"/>
  <c r="D23" i="55" s="1"/>
  <c r="D24" i="55" a="1"/>
  <c r="D24" i="55" s="1"/>
  <c r="H24" i="55" s="1"/>
  <c r="D25" i="55" a="1"/>
  <c r="D25" i="55" s="1"/>
  <c r="J25" i="55"/>
  <c r="D26" i="55" a="1"/>
  <c r="D26" i="55" s="1"/>
  <c r="D27" i="55" a="1"/>
  <c r="D27" i="55" s="1"/>
  <c r="H27" i="55" s="1"/>
  <c r="D28" i="55" a="1"/>
  <c r="D28" i="55" s="1"/>
  <c r="D29" i="55" a="1"/>
  <c r="D29" i="55" s="1"/>
  <c r="J29" i="55"/>
  <c r="D98" i="55" a="1"/>
  <c r="D98" i="55" s="1"/>
  <c r="D99" i="55" a="1"/>
  <c r="D99" i="55" s="1"/>
  <c r="J99" i="55"/>
  <c r="R99" i="55" s="1"/>
  <c r="T99" i="55" s="1"/>
  <c r="D100" i="55" a="1"/>
  <c r="D100" i="55"/>
  <c r="H100" i="55" s="1"/>
  <c r="D101" i="55" a="1"/>
  <c r="D101" i="55"/>
  <c r="D102" i="55" a="1"/>
  <c r="D102" i="55"/>
  <c r="D103" i="55" a="1"/>
  <c r="D103" i="55" s="1"/>
  <c r="D104" i="55" a="1"/>
  <c r="D104" i="55" s="1"/>
  <c r="G104" i="55" s="1"/>
  <c r="D105" i="55" a="1"/>
  <c r="D105" i="55"/>
  <c r="J105" i="55"/>
  <c r="R105" i="55" s="1"/>
  <c r="T105" i="55" s="1"/>
  <c r="D106" i="55" a="1"/>
  <c r="D106" i="55"/>
  <c r="G106" i="55" s="1"/>
  <c r="D107" i="55" a="1"/>
  <c r="D107" i="55" s="1"/>
  <c r="D108" i="55" a="1"/>
  <c r="D108" i="55"/>
  <c r="D109" i="55" a="1"/>
  <c r="D109" i="55" s="1"/>
  <c r="D110" i="55" a="1"/>
  <c r="D110" i="55" s="1"/>
  <c r="D111" i="55" a="1"/>
  <c r="D111" i="55" s="1"/>
  <c r="H111" i="55" s="1"/>
  <c r="D112" i="55" a="1"/>
  <c r="D112" i="55" s="1"/>
  <c r="D113" i="55" a="1"/>
  <c r="D113" i="55"/>
  <c r="D114" i="55" a="1"/>
  <c r="D114" i="55"/>
  <c r="D115" i="55" a="1"/>
  <c r="D115" i="55" s="1"/>
  <c r="D116" i="55" a="1"/>
  <c r="D116" i="55" s="1"/>
  <c r="D117" i="55" a="1"/>
  <c r="D117" i="55" s="1"/>
  <c r="D118" i="55" a="1"/>
  <c r="D118" i="55"/>
  <c r="G118" i="55" s="1"/>
  <c r="D119" i="55" a="1"/>
  <c r="D119" i="55"/>
  <c r="D120" i="55" a="1"/>
  <c r="D120" i="55" s="1"/>
  <c r="G120" i="55" s="1"/>
  <c r="J120" i="55"/>
  <c r="D121" i="55" a="1"/>
  <c r="D121" i="55" s="1"/>
  <c r="H121" i="55" s="1"/>
  <c r="D122" i="55" a="1"/>
  <c r="D122" i="55"/>
  <c r="G122" i="55" s="1"/>
  <c r="D123" i="55" a="1"/>
  <c r="D123" i="55" s="1"/>
  <c r="D124" i="55" a="1"/>
  <c r="D124" i="55" s="1"/>
  <c r="D125" i="55" a="1"/>
  <c r="D125" i="55"/>
  <c r="D126" i="55" a="1"/>
  <c r="D126" i="55" s="1"/>
  <c r="D127" i="55" a="1"/>
  <c r="D127" i="55" s="1"/>
  <c r="D128" i="55" a="1"/>
  <c r="D128" i="55" s="1"/>
  <c r="H128" i="55" s="1"/>
  <c r="D129" i="55" a="1"/>
  <c r="D129" i="55" s="1"/>
  <c r="D130" i="55" a="1"/>
  <c r="D130" i="55" s="1"/>
  <c r="D131" i="55" a="1"/>
  <c r="D131" i="55" s="1"/>
  <c r="I9" i="55"/>
  <c r="I10" i="55"/>
  <c r="I11" i="55"/>
  <c r="I12" i="55"/>
  <c r="I13" i="55"/>
  <c r="I15" i="55"/>
  <c r="I16" i="55"/>
  <c r="I17" i="55"/>
  <c r="I18" i="55"/>
  <c r="I19" i="55"/>
  <c r="I20" i="55"/>
  <c r="I21" i="55"/>
  <c r="I22" i="55"/>
  <c r="I23" i="55"/>
  <c r="I24" i="55"/>
  <c r="I25" i="55"/>
  <c r="I26" i="55"/>
  <c r="I27" i="55"/>
  <c r="I28" i="55"/>
  <c r="I29" i="55"/>
  <c r="I98" i="55"/>
  <c r="I99" i="55"/>
  <c r="I100" i="55"/>
  <c r="I101" i="55"/>
  <c r="I102" i="55"/>
  <c r="I103" i="55"/>
  <c r="I104" i="55"/>
  <c r="I105" i="55"/>
  <c r="I107" i="55"/>
  <c r="I108" i="55"/>
  <c r="I109" i="55"/>
  <c r="I110" i="55"/>
  <c r="I111" i="55"/>
  <c r="I112" i="55"/>
  <c r="I113" i="55"/>
  <c r="I114" i="55"/>
  <c r="I115" i="55"/>
  <c r="I116" i="55"/>
  <c r="I117" i="55"/>
  <c r="I118" i="55"/>
  <c r="I119" i="55"/>
  <c r="I120" i="55"/>
  <c r="I121" i="55"/>
  <c r="I122" i="55"/>
  <c r="I123" i="55"/>
  <c r="I124" i="55"/>
  <c r="I125" i="55"/>
  <c r="I126" i="55"/>
  <c r="I127" i="55"/>
  <c r="I128" i="55"/>
  <c r="I129" i="55"/>
  <c r="I130" i="55"/>
  <c r="I131" i="55"/>
  <c r="I52" i="59"/>
  <c r="P52" i="59"/>
  <c r="Q9" i="55"/>
  <c r="Q10" i="55"/>
  <c r="Q11" i="55"/>
  <c r="Q12" i="55"/>
  <c r="P12" i="55"/>
  <c r="S12" i="55"/>
  <c r="Q13" i="55"/>
  <c r="Q15" i="55"/>
  <c r="Q16" i="55"/>
  <c r="Q17" i="55"/>
  <c r="J17" i="55"/>
  <c r="Q18" i="55"/>
  <c r="Q19" i="55"/>
  <c r="S19" i="55"/>
  <c r="Q20" i="55"/>
  <c r="S20" i="55"/>
  <c r="Q21" i="55"/>
  <c r="Q22" i="55"/>
  <c r="Q23" i="55"/>
  <c r="Q24" i="55"/>
  <c r="Q25" i="55"/>
  <c r="Q26" i="55"/>
  <c r="Q27" i="55"/>
  <c r="S27" i="55"/>
  <c r="Q28" i="55"/>
  <c r="Q29" i="55"/>
  <c r="Q98" i="55"/>
  <c r="Q99" i="55"/>
  <c r="S99" i="55"/>
  <c r="Q100" i="55"/>
  <c r="Q101" i="55"/>
  <c r="J101" i="55"/>
  <c r="Q102" i="55"/>
  <c r="Q103" i="55"/>
  <c r="Q104" i="55"/>
  <c r="J104" i="55"/>
  <c r="Q105" i="55"/>
  <c r="S105" i="55"/>
  <c r="Q106" i="55"/>
  <c r="Q107" i="55"/>
  <c r="Q108" i="55"/>
  <c r="Q109" i="55"/>
  <c r="Q110" i="55"/>
  <c r="S110" i="55"/>
  <c r="Q111" i="55"/>
  <c r="Q112" i="55"/>
  <c r="S112" i="55"/>
  <c r="Q113" i="55"/>
  <c r="S113" i="55"/>
  <c r="Q114" i="55"/>
  <c r="Q115" i="55"/>
  <c r="Q116" i="55"/>
  <c r="Q117" i="55"/>
  <c r="Q118" i="55"/>
  <c r="Q119" i="55"/>
  <c r="Q120" i="55"/>
  <c r="P120" i="55"/>
  <c r="S120" i="55"/>
  <c r="Q121" i="55"/>
  <c r="Q122" i="55"/>
  <c r="Q123" i="55"/>
  <c r="Q124" i="55"/>
  <c r="Q125" i="55"/>
  <c r="Q126" i="55"/>
  <c r="Q127" i="55"/>
  <c r="Q128" i="55"/>
  <c r="Q129" i="55"/>
  <c r="Q130" i="55"/>
  <c r="Q131" i="55"/>
  <c r="Q8" i="55"/>
  <c r="P8" i="55"/>
  <c r="S8" i="55"/>
  <c r="Q7" i="55"/>
  <c r="J9" i="55"/>
  <c r="R9" i="55" s="1"/>
  <c r="T9" i="55" s="1"/>
  <c r="P9" i="55"/>
  <c r="S9" i="55" s="1"/>
  <c r="J10" i="55"/>
  <c r="R10" i="55" s="1"/>
  <c r="J13" i="55"/>
  <c r="J15" i="55"/>
  <c r="J16" i="55"/>
  <c r="J18" i="55"/>
  <c r="R18" i="55"/>
  <c r="J19" i="55"/>
  <c r="R19" i="55"/>
  <c r="J20" i="55"/>
  <c r="R20" i="55"/>
  <c r="J21" i="55"/>
  <c r="J22" i="55"/>
  <c r="J23" i="55"/>
  <c r="J24" i="55"/>
  <c r="J26" i="55"/>
  <c r="J27" i="55"/>
  <c r="R27" i="55" s="1"/>
  <c r="J28" i="55"/>
  <c r="J98" i="55"/>
  <c r="R98" i="55" s="1"/>
  <c r="J100" i="55"/>
  <c r="J102" i="55"/>
  <c r="R102" i="55" s="1"/>
  <c r="J103" i="55"/>
  <c r="R103" i="55" s="1"/>
  <c r="J106" i="55"/>
  <c r="R106" i="55" s="1"/>
  <c r="J107" i="55"/>
  <c r="J108" i="55"/>
  <c r="R108" i="55"/>
  <c r="J110" i="55"/>
  <c r="R110" i="55"/>
  <c r="J111" i="55"/>
  <c r="R111" i="55"/>
  <c r="J112" i="55"/>
  <c r="R112" i="55" s="1"/>
  <c r="J113" i="55"/>
  <c r="R113" i="55"/>
  <c r="J114" i="55"/>
  <c r="R114" i="55"/>
  <c r="J115" i="55"/>
  <c r="R115" i="55"/>
  <c r="J116" i="55"/>
  <c r="J117" i="55"/>
  <c r="P117" i="55"/>
  <c r="S117" i="55" s="1"/>
  <c r="T117" i="55" s="1"/>
  <c r="J118" i="55"/>
  <c r="J119" i="55"/>
  <c r="J121" i="55"/>
  <c r="J122" i="55"/>
  <c r="R122" i="55" s="1"/>
  <c r="J123" i="55"/>
  <c r="R123" i="55"/>
  <c r="P123" i="55"/>
  <c r="S123" i="55" s="1"/>
  <c r="J124" i="55"/>
  <c r="R124" i="55" s="1"/>
  <c r="P124" i="55"/>
  <c r="S124" i="55" s="1"/>
  <c r="J125" i="55"/>
  <c r="R125" i="55" s="1"/>
  <c r="J126" i="55"/>
  <c r="R126" i="55" s="1"/>
  <c r="P126" i="55"/>
  <c r="S126" i="55" s="1"/>
  <c r="J127" i="55"/>
  <c r="R127" i="55" s="1"/>
  <c r="P127" i="55"/>
  <c r="S127" i="55"/>
  <c r="J128" i="55"/>
  <c r="R128" i="55" s="1"/>
  <c r="J129" i="55"/>
  <c r="R129" i="55" s="1"/>
  <c r="J130" i="55"/>
  <c r="R130" i="55" s="1"/>
  <c r="J131" i="55"/>
  <c r="R131" i="55"/>
  <c r="J8" i="55"/>
  <c r="J7" i="55"/>
  <c r="R7" i="55"/>
  <c r="E9" i="55"/>
  <c r="E10" i="55"/>
  <c r="E11" i="55"/>
  <c r="E12" i="55"/>
  <c r="E13" i="55"/>
  <c r="E15" i="55"/>
  <c r="E16" i="55"/>
  <c r="E17" i="55"/>
  <c r="E18" i="55"/>
  <c r="E19" i="55"/>
  <c r="E20" i="55"/>
  <c r="E21" i="55"/>
  <c r="E22" i="55"/>
  <c r="E23" i="55"/>
  <c r="E24" i="55"/>
  <c r="E25" i="55"/>
  <c r="E26" i="55"/>
  <c r="E27" i="55"/>
  <c r="E28" i="55"/>
  <c r="E29"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8" i="55"/>
  <c r="E7" i="55"/>
  <c r="D8" i="55" a="1"/>
  <c r="D8" i="55"/>
  <c r="D7" i="55" a="1"/>
  <c r="D7" i="55"/>
  <c r="G7" i="55"/>
  <c r="T211" i="53"/>
  <c r="U211" i="53"/>
  <c r="G10" i="53"/>
  <c r="F17" i="55"/>
  <c r="F18" i="55"/>
  <c r="F24" i="55"/>
  <c r="F26" i="55"/>
  <c r="F99" i="55"/>
  <c r="F101" i="55"/>
  <c r="F106" i="55"/>
  <c r="F111" i="55"/>
  <c r="F113" i="55"/>
  <c r="F119" i="55"/>
  <c r="F121" i="55"/>
  <c r="F127" i="55"/>
  <c r="F129" i="55"/>
  <c r="F8" i="55"/>
  <c r="I3" i="52"/>
  <c r="F9" i="55"/>
  <c r="F10" i="55"/>
  <c r="F11" i="55"/>
  <c r="F12" i="55"/>
  <c r="F13" i="55"/>
  <c r="F15" i="55"/>
  <c r="F16" i="55"/>
  <c r="F19" i="55"/>
  <c r="F20" i="55"/>
  <c r="F21" i="55"/>
  <c r="F22" i="55"/>
  <c r="F23" i="55"/>
  <c r="F25" i="55"/>
  <c r="F27" i="55"/>
  <c r="F28" i="55"/>
  <c r="F29" i="55"/>
  <c r="F98" i="55"/>
  <c r="F100" i="55"/>
  <c r="F102" i="55"/>
  <c r="F103" i="55"/>
  <c r="F104" i="55"/>
  <c r="F105" i="55"/>
  <c r="F107" i="55"/>
  <c r="F108" i="55"/>
  <c r="F109" i="55"/>
  <c r="F110" i="55"/>
  <c r="F112" i="55"/>
  <c r="F114" i="55"/>
  <c r="F115" i="55"/>
  <c r="F116" i="55"/>
  <c r="F117" i="55"/>
  <c r="F118" i="55"/>
  <c r="F120" i="55"/>
  <c r="F122" i="55"/>
  <c r="F123" i="55"/>
  <c r="F124" i="55"/>
  <c r="F125" i="55"/>
  <c r="F126" i="55"/>
  <c r="F128" i="55"/>
  <c r="F130" i="55"/>
  <c r="F131" i="55"/>
  <c r="G15" i="53"/>
  <c r="G14" i="53"/>
  <c r="G63" i="53"/>
  <c r="G109" i="53"/>
  <c r="G132" i="53"/>
  <c r="G20" i="53"/>
  <c r="G24" i="53"/>
  <c r="G21" i="53"/>
  <c r="G12" i="53"/>
  <c r="G40" i="53"/>
  <c r="G22" i="53"/>
  <c r="G13" i="53"/>
  <c r="G184" i="53"/>
  <c r="G134" i="53"/>
  <c r="G196" i="53"/>
  <c r="G199" i="53"/>
  <c r="G200" i="53"/>
  <c r="G139" i="53"/>
  <c r="G173" i="53"/>
  <c r="G44" i="53"/>
  <c r="G45" i="53"/>
  <c r="G165" i="53"/>
  <c r="G167" i="53"/>
  <c r="G169" i="53"/>
  <c r="G170" i="53"/>
  <c r="G59" i="53"/>
  <c r="G61" i="53"/>
  <c r="G46" i="53"/>
  <c r="G57" i="53"/>
  <c r="G50" i="53"/>
  <c r="G53" i="53"/>
  <c r="G161" i="53"/>
  <c r="G162" i="53"/>
  <c r="G76" i="53"/>
  <c r="G79" i="53"/>
  <c r="G197" i="53"/>
  <c r="I13" i="52"/>
  <c r="I12" i="52"/>
  <c r="I11" i="52"/>
  <c r="I10" i="52"/>
  <c r="I9" i="52"/>
  <c r="I8" i="52"/>
  <c r="I7" i="52"/>
  <c r="I6" i="52"/>
  <c r="I5" i="52"/>
  <c r="I4" i="52"/>
  <c r="G27" i="53"/>
  <c r="C56" i="59"/>
  <c r="B43" i="59"/>
  <c r="B42" i="59"/>
  <c r="V42" i="59" s="1"/>
  <c r="B44" i="59"/>
  <c r="F44" i="59" s="1"/>
  <c r="B45" i="59"/>
  <c r="E45" i="59"/>
  <c r="B46" i="59"/>
  <c r="B47" i="59"/>
  <c r="T47" i="59" s="1"/>
  <c r="B52" i="59"/>
  <c r="B53" i="59"/>
  <c r="B54" i="59"/>
  <c r="B56" i="59"/>
  <c r="E44" i="59"/>
  <c r="E42" i="59"/>
  <c r="E43" i="59"/>
  <c r="E46" i="59"/>
  <c r="E47" i="59"/>
  <c r="E52" i="59"/>
  <c r="F52" i="59" s="1"/>
  <c r="E53" i="59"/>
  <c r="E54" i="59"/>
  <c r="E56" i="59"/>
  <c r="P46" i="59"/>
  <c r="Q46" i="59"/>
  <c r="F54" i="59"/>
  <c r="K56" i="59"/>
  <c r="J56" i="59"/>
  <c r="K54" i="59"/>
  <c r="J54" i="59"/>
  <c r="K53" i="59"/>
  <c r="J53" i="59"/>
  <c r="K52" i="59"/>
  <c r="J52" i="59"/>
  <c r="K47" i="59"/>
  <c r="J47" i="59"/>
  <c r="K46" i="59"/>
  <c r="J46" i="59"/>
  <c r="K45" i="59"/>
  <c r="J45" i="59"/>
  <c r="J42" i="59"/>
  <c r="J43" i="59"/>
  <c r="J44" i="59"/>
  <c r="K43" i="59"/>
  <c r="K42" i="59"/>
  <c r="K23" i="59"/>
  <c r="K38" i="59" s="1"/>
  <c r="J23" i="59"/>
  <c r="S23" i="59"/>
  <c r="S56" i="59"/>
  <c r="R56" i="59"/>
  <c r="S54" i="59"/>
  <c r="R54" i="59"/>
  <c r="S53" i="59"/>
  <c r="R53" i="59"/>
  <c r="S52" i="59"/>
  <c r="S42" i="59"/>
  <c r="S43" i="59"/>
  <c r="S44" i="59"/>
  <c r="S45" i="59"/>
  <c r="S46" i="59"/>
  <c r="S47" i="59"/>
  <c r="R52" i="59"/>
  <c r="R47" i="59"/>
  <c r="R46" i="59"/>
  <c r="R45" i="59"/>
  <c r="R44" i="59"/>
  <c r="R43" i="59"/>
  <c r="R42" i="59"/>
  <c r="AD211" i="53"/>
  <c r="AC211" i="53"/>
  <c r="AB211" i="53"/>
  <c r="AA211" i="53"/>
  <c r="W211" i="53"/>
  <c r="V211" i="53"/>
  <c r="H42" i="59"/>
  <c r="C43" i="59"/>
  <c r="C44" i="59"/>
  <c r="C45" i="59"/>
  <c r="C46" i="59"/>
  <c r="H46" i="59"/>
  <c r="N46" i="59" s="1"/>
  <c r="I46" i="59"/>
  <c r="C47" i="59"/>
  <c r="C52" i="59"/>
  <c r="C53" i="59"/>
  <c r="C54" i="59"/>
  <c r="H54" i="59"/>
  <c r="I54" i="59"/>
  <c r="C42" i="59"/>
  <c r="I42" i="59"/>
  <c r="U42" i="59"/>
  <c r="P42" i="59"/>
  <c r="Q42" i="59"/>
  <c r="V23" i="59"/>
  <c r="I23" i="59"/>
  <c r="H23" i="59"/>
  <c r="G23" i="59"/>
  <c r="M23" i="59"/>
  <c r="E23" i="59"/>
  <c r="E38" i="59"/>
  <c r="Q43" i="59"/>
  <c r="V43" i="59" s="1"/>
  <c r="Q44" i="59"/>
  <c r="Q45" i="59"/>
  <c r="Q57" i="59" s="1"/>
  <c r="V57" i="59" s="1"/>
  <c r="P45" i="59"/>
  <c r="Q47" i="59"/>
  <c r="P47" i="59"/>
  <c r="Q52" i="59"/>
  <c r="Q53" i="59"/>
  <c r="P53" i="59"/>
  <c r="Q54" i="59"/>
  <c r="Q56" i="59"/>
  <c r="P43" i="59"/>
  <c r="P44" i="59"/>
  <c r="P54" i="59"/>
  <c r="P56" i="59"/>
  <c r="I43" i="59"/>
  <c r="I44" i="59"/>
  <c r="I45" i="59"/>
  <c r="I47" i="59"/>
  <c r="N47" i="59"/>
  <c r="I53" i="59"/>
  <c r="H53" i="59"/>
  <c r="I56" i="59"/>
  <c r="H43" i="59"/>
  <c r="H44" i="59"/>
  <c r="H45" i="59"/>
  <c r="H47" i="59"/>
  <c r="H52" i="59"/>
  <c r="H56" i="59"/>
  <c r="X169" i="53"/>
  <c r="X162" i="53"/>
  <c r="X161" i="53"/>
  <c r="X145" i="53"/>
  <c r="X133" i="53"/>
  <c r="X75" i="53"/>
  <c r="X71" i="53"/>
  <c r="X11" i="53"/>
  <c r="P129" i="55"/>
  <c r="S129" i="55" s="1"/>
  <c r="AE199" i="53"/>
  <c r="P11" i="55"/>
  <c r="S11" i="55"/>
  <c r="S92" i="55"/>
  <c r="AE190" i="53"/>
  <c r="AE189" i="53"/>
  <c r="AE187" i="53"/>
  <c r="AE184" i="53"/>
  <c r="AE182" i="53"/>
  <c r="AE170" i="53"/>
  <c r="AE168" i="53"/>
  <c r="AE164" i="53"/>
  <c r="AE156" i="53"/>
  <c r="AE143" i="53"/>
  <c r="AE142" i="53"/>
  <c r="AE141" i="53"/>
  <c r="AE139" i="53"/>
  <c r="AE138" i="53"/>
  <c r="AE137" i="53"/>
  <c r="AE136" i="53"/>
  <c r="AE132" i="53"/>
  <c r="AE106" i="53"/>
  <c r="AE105" i="53"/>
  <c r="P70" i="55"/>
  <c r="S70" i="55" s="1"/>
  <c r="AE84" i="53"/>
  <c r="AE78" i="53"/>
  <c r="AE64" i="53"/>
  <c r="AE35" i="53"/>
  <c r="AE30" i="53"/>
  <c r="P41" i="55"/>
  <c r="S41" i="55" s="1"/>
  <c r="AE21" i="53"/>
  <c r="AE20" i="53"/>
  <c r="AE15" i="53"/>
  <c r="AE6" i="53"/>
  <c r="C7" i="26"/>
  <c r="D7" i="26" s="1"/>
  <c r="E7" i="26" s="1"/>
  <c r="E6" i="26" s="1"/>
  <c r="C9" i="26"/>
  <c r="D9" i="26" s="1"/>
  <c r="E9" i="26"/>
  <c r="F9" i="26"/>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V12" i="26" s="1"/>
  <c r="AE12" i="26"/>
  <c r="F7" i="55"/>
  <c r="P128" i="55"/>
  <c r="S128" i="55" s="1"/>
  <c r="P122" i="55"/>
  <c r="S122" i="55" s="1"/>
  <c r="T122" i="55" s="1"/>
  <c r="P131" i="55"/>
  <c r="S131" i="55"/>
  <c r="O23" i="59"/>
  <c r="U23" i="59"/>
  <c r="U32" i="59"/>
  <c r="G42" i="53"/>
  <c r="G28" i="53"/>
  <c r="G11" i="53"/>
  <c r="G7" i="53"/>
  <c r="G9" i="53"/>
  <c r="AE9" i="53"/>
  <c r="AE201" i="53"/>
  <c r="AE34" i="53"/>
  <c r="AE135" i="53"/>
  <c r="S93" i="55"/>
  <c r="S103" i="55"/>
  <c r="AE92" i="53"/>
  <c r="S78" i="55"/>
  <c r="U12" i="59"/>
  <c r="P29" i="55"/>
  <c r="S29" i="55" s="1"/>
  <c r="T49" i="59"/>
  <c r="S63" i="55"/>
  <c r="S64" i="55"/>
  <c r="P55" i="55"/>
  <c r="S55" i="55"/>
  <c r="AE29" i="53"/>
  <c r="U43" i="59"/>
  <c r="P37" i="55"/>
  <c r="S37" i="55" s="1"/>
  <c r="X13" i="53"/>
  <c r="G6" i="53"/>
  <c r="G201" i="53"/>
  <c r="G202" i="53"/>
  <c r="G99" i="53"/>
  <c r="G85" i="53"/>
  <c r="G198" i="53"/>
  <c r="G205" i="53"/>
  <c r="G43" i="53"/>
  <c r="G128" i="53"/>
  <c r="G141" i="53"/>
  <c r="G131" i="53"/>
  <c r="G100" i="53"/>
  <c r="G73" i="53"/>
  <c r="G25" i="53"/>
  <c r="G137" i="53"/>
  <c r="G145" i="53"/>
  <c r="G17" i="53"/>
  <c r="G175" i="53"/>
  <c r="G148" i="53"/>
  <c r="G152" i="53"/>
  <c r="G147" i="53"/>
  <c r="G146" i="53"/>
  <c r="G190" i="53"/>
  <c r="G48" i="53"/>
  <c r="G153" i="53"/>
  <c r="G52" i="53"/>
  <c r="G51" i="53"/>
  <c r="G185" i="53"/>
  <c r="G55" i="53"/>
  <c r="G140" i="53"/>
  <c r="G8" i="53"/>
  <c r="G179" i="53"/>
  <c r="G178" i="53"/>
  <c r="G71" i="53"/>
  <c r="G176" i="53"/>
  <c r="G101" i="53"/>
  <c r="G35" i="53"/>
  <c r="G98" i="53"/>
  <c r="G144" i="53"/>
  <c r="G138" i="53"/>
  <c r="G143" i="53"/>
  <c r="G96" i="53"/>
  <c r="G47" i="53"/>
  <c r="G38" i="53"/>
  <c r="G30" i="53"/>
  <c r="G195" i="53"/>
  <c r="G62" i="53"/>
  <c r="G95" i="53"/>
  <c r="G54" i="53"/>
  <c r="G34" i="53"/>
  <c r="G32" i="53"/>
  <c r="G92" i="53"/>
  <c r="G84" i="53"/>
  <c r="G154" i="53"/>
  <c r="G36" i="53"/>
  <c r="G177" i="53"/>
  <c r="AE22" i="53"/>
  <c r="P10" i="55"/>
  <c r="S10" i="55"/>
  <c r="P130" i="55"/>
  <c r="S130" i="55"/>
  <c r="AE18" i="53"/>
  <c r="P125" i="55"/>
  <c r="S125" i="55"/>
  <c r="AE63" i="53"/>
  <c r="G142" i="53"/>
  <c r="G39" i="53"/>
  <c r="G56" i="53"/>
  <c r="G37" i="53"/>
  <c r="G23" i="53"/>
  <c r="G41" i="53"/>
  <c r="G174" i="53"/>
  <c r="G33" i="53"/>
  <c r="G163" i="53"/>
  <c r="N26" i="59"/>
  <c r="N55" i="59"/>
  <c r="L36" i="59"/>
  <c r="N24" i="59"/>
  <c r="L25" i="59"/>
  <c r="L31" i="59"/>
  <c r="V37" i="59"/>
  <c r="AE104" i="53"/>
  <c r="AE198" i="53"/>
  <c r="AE54" i="53"/>
  <c r="AE149" i="53"/>
  <c r="AE197" i="53"/>
  <c r="AE133" i="53"/>
  <c r="AE69" i="53"/>
  <c r="N2" i="53"/>
  <c r="X21" i="53"/>
  <c r="B7" i="59"/>
  <c r="V7" i="59" s="1"/>
  <c r="G69" i="53"/>
  <c r="T26" i="59"/>
  <c r="G66" i="53"/>
  <c r="G72" i="53"/>
  <c r="G65" i="53"/>
  <c r="AE39" i="53"/>
  <c r="P44" i="55"/>
  <c r="S44" i="55" s="1"/>
  <c r="L2" i="53"/>
  <c r="S69" i="55"/>
  <c r="P89" i="55"/>
  <c r="S89" i="55"/>
  <c r="AE152" i="53"/>
  <c r="S88" i="55"/>
  <c r="G120" i="53"/>
  <c r="G122" i="53"/>
  <c r="AE26" i="53"/>
  <c r="G11" i="59"/>
  <c r="M11" i="59" s="1"/>
  <c r="G124" i="53"/>
  <c r="G135" i="53"/>
  <c r="G88" i="53"/>
  <c r="G125" i="53"/>
  <c r="G106" i="53"/>
  <c r="G114" i="53"/>
  <c r="G118" i="53"/>
  <c r="G89" i="53"/>
  <c r="G129" i="53"/>
  <c r="G127" i="53"/>
  <c r="G121" i="53"/>
  <c r="G108" i="53"/>
  <c r="G74" i="53"/>
  <c r="P156" i="53"/>
  <c r="X38" i="53"/>
  <c r="AE41" i="53"/>
  <c r="X194" i="53"/>
  <c r="G80" i="53"/>
  <c r="G126" i="53"/>
  <c r="G112" i="53"/>
  <c r="G115" i="53"/>
  <c r="X10" i="53"/>
  <c r="G81" i="53"/>
  <c r="AE53" i="53"/>
  <c r="F33" i="59"/>
  <c r="V25" i="59"/>
  <c r="F25" i="59"/>
  <c r="V30" i="59"/>
  <c r="F30" i="59"/>
  <c r="F48" i="59"/>
  <c r="F26" i="59"/>
  <c r="P111" i="55"/>
  <c r="S111" i="55"/>
  <c r="T35" i="59"/>
  <c r="F35" i="59"/>
  <c r="V31" i="59"/>
  <c r="AE8" i="53"/>
  <c r="V34" i="59"/>
  <c r="G155" i="53"/>
  <c r="G60" i="53"/>
  <c r="P46" i="55"/>
  <c r="S46" i="55"/>
  <c r="AE202" i="53"/>
  <c r="L37" i="59"/>
  <c r="V51" i="59"/>
  <c r="I137" i="55"/>
  <c r="I2" i="55"/>
  <c r="P39" i="55"/>
  <c r="S39" i="55"/>
  <c r="P45" i="55"/>
  <c r="S45" i="55" s="1"/>
  <c r="T28" i="59"/>
  <c r="AE38" i="53"/>
  <c r="F28" i="59"/>
  <c r="L28" i="59"/>
  <c r="S48" i="55"/>
  <c r="G180" i="53"/>
  <c r="G83" i="53"/>
  <c r="V49" i="59"/>
  <c r="L17" i="59"/>
  <c r="F16" i="59"/>
  <c r="P75" i="55"/>
  <c r="S75" i="55" s="1"/>
  <c r="T24" i="59"/>
  <c r="P28" i="55"/>
  <c r="R28" i="55" s="1"/>
  <c r="G187" i="53"/>
  <c r="G189" i="53"/>
  <c r="P71" i="55"/>
  <c r="S71" i="55"/>
  <c r="V33" i="59"/>
  <c r="V29" i="59"/>
  <c r="F29" i="59"/>
  <c r="X185" i="53"/>
  <c r="V24" i="59"/>
  <c r="X193" i="53"/>
  <c r="G105" i="53"/>
  <c r="G186" i="53"/>
  <c r="V50" i="59"/>
  <c r="M105" i="55" a="1"/>
  <c r="M105" i="55"/>
  <c r="P60" i="55"/>
  <c r="S60" i="55" s="1"/>
  <c r="P58" i="55"/>
  <c r="S58" i="55" s="1"/>
  <c r="M93" i="55" a="1"/>
  <c r="M93" i="55" s="1"/>
  <c r="O93" i="55"/>
  <c r="N33" i="59"/>
  <c r="M127" i="55" a="1"/>
  <c r="M127" i="55" s="1"/>
  <c r="O127" i="55" s="1"/>
  <c r="G103" i="53"/>
  <c r="T55" i="59"/>
  <c r="V55" i="59"/>
  <c r="N27" i="59"/>
  <c r="M12" i="55" a="1"/>
  <c r="M12" i="55"/>
  <c r="O12" i="55" s="1"/>
  <c r="M60" i="55" a="1"/>
  <c r="M60" i="55" s="1"/>
  <c r="AE32" i="53"/>
  <c r="M69" i="55" a="1"/>
  <c r="M69" i="55"/>
  <c r="J137" i="55"/>
  <c r="R137" i="55"/>
  <c r="V27" i="59"/>
  <c r="M62" i="55" a="1"/>
  <c r="M62" i="55" s="1"/>
  <c r="M34" i="55" a="1"/>
  <c r="M34" i="55" s="1"/>
  <c r="M103" i="55" a="1"/>
  <c r="M103" i="55"/>
  <c r="M26" i="55" a="1"/>
  <c r="M26" i="55" s="1"/>
  <c r="T34" i="59"/>
  <c r="F11" i="59"/>
  <c r="F50" i="59"/>
  <c r="F17" i="59"/>
  <c r="N51" i="59"/>
  <c r="F49" i="59"/>
  <c r="F5" i="59"/>
  <c r="F10" i="59"/>
  <c r="L35" i="59"/>
  <c r="M111" i="55" a="1"/>
  <c r="M111" i="55"/>
  <c r="O111" i="55" s="1"/>
  <c r="M131" i="55" a="1"/>
  <c r="M131" i="55"/>
  <c r="O131" i="55" s="1"/>
  <c r="M36" i="55" a="1"/>
  <c r="M36" i="55"/>
  <c r="M70" i="55" a="1"/>
  <c r="M70" i="55"/>
  <c r="M90" i="55" a="1"/>
  <c r="M90" i="55"/>
  <c r="M48" i="55" a="1"/>
  <c r="M48" i="55"/>
  <c r="N30" i="59"/>
  <c r="F12" i="59"/>
  <c r="T51" i="59"/>
  <c r="F36" i="59"/>
  <c r="F27" i="59"/>
  <c r="M65" i="55" a="1"/>
  <c r="M65" i="55"/>
  <c r="M109" i="55" a="1"/>
  <c r="M109" i="55" s="1"/>
  <c r="M53" i="55" a="1"/>
  <c r="M53" i="55"/>
  <c r="M75" i="55" a="1"/>
  <c r="M75" i="55"/>
  <c r="N23" i="59"/>
  <c r="M10" i="55" a="1"/>
  <c r="M10" i="55" s="1"/>
  <c r="O10" i="55" s="1"/>
  <c r="M104" i="55" a="1"/>
  <c r="M104" i="55"/>
  <c r="M20" i="55" a="1"/>
  <c r="M20" i="55"/>
  <c r="M97" i="55" a="1"/>
  <c r="M97" i="55" s="1"/>
  <c r="O97" i="55" s="1"/>
  <c r="M28" i="55" a="1"/>
  <c r="M28" i="55"/>
  <c r="M68" i="55" a="1"/>
  <c r="M68" i="55"/>
  <c r="M64" i="55" a="1"/>
  <c r="M64" i="55"/>
  <c r="M46" i="55" a="1"/>
  <c r="M46" i="55"/>
  <c r="M123" i="55" a="1"/>
  <c r="M123" i="55"/>
  <c r="O123" i="55" s="1"/>
  <c r="M74" i="55" a="1"/>
  <c r="M74" i="55" s="1"/>
  <c r="M18" i="55" a="1"/>
  <c r="M18" i="55"/>
  <c r="M71" i="55" a="1"/>
  <c r="M71" i="55"/>
  <c r="M85" i="55" a="1"/>
  <c r="M85" i="55" s="1"/>
  <c r="M76" i="55" a="1"/>
  <c r="M76" i="55" s="1"/>
  <c r="M78" i="55" a="1"/>
  <c r="M78" i="55" s="1"/>
  <c r="AE14" i="26"/>
  <c r="D12" i="26"/>
  <c r="U12" i="26"/>
  <c r="G172" i="53"/>
  <c r="K137" i="55"/>
  <c r="M15" i="55" a="1"/>
  <c r="M15" i="55"/>
  <c r="M37" i="55" a="1"/>
  <c r="M37" i="55"/>
  <c r="M45" i="55" a="1"/>
  <c r="M45" i="55"/>
  <c r="M57" i="55" a="1"/>
  <c r="M57" i="55"/>
  <c r="M126" i="55" a="1"/>
  <c r="M126" i="55"/>
  <c r="O126" i="55" s="1"/>
  <c r="M30" i="55" a="1"/>
  <c r="M30" i="55" s="1"/>
  <c r="F42" i="59"/>
  <c r="M73" i="55" a="1"/>
  <c r="M73" i="55"/>
  <c r="M84" i="55" a="1"/>
  <c r="M84" i="55" s="1"/>
  <c r="O84" i="55" s="1"/>
  <c r="M43" i="55" a="1"/>
  <c r="M43" i="55"/>
  <c r="M13" i="55" a="1"/>
  <c r="M13" i="55" s="1"/>
  <c r="M8" i="55" a="1"/>
  <c r="M8" i="55"/>
  <c r="O8" i="55" s="1"/>
  <c r="M88" i="55" a="1"/>
  <c r="M88" i="55" s="1"/>
  <c r="M120" i="55" a="1"/>
  <c r="M120" i="55" s="1"/>
  <c r="M99" i="55" a="1"/>
  <c r="M99" i="55" s="1"/>
  <c r="M22" i="55" a="1"/>
  <c r="M22" i="55" s="1"/>
  <c r="M56" i="55" a="1"/>
  <c r="M56" i="55" s="1"/>
  <c r="M24" i="55" a="1"/>
  <c r="M24" i="55"/>
  <c r="M113" i="55" a="1"/>
  <c r="M113" i="55" s="1"/>
  <c r="M80" i="55" a="1"/>
  <c r="M80" i="55" s="1"/>
  <c r="M87" i="55" a="1"/>
  <c r="M87" i="55" s="1"/>
  <c r="O87" i="55" s="1"/>
  <c r="M38" i="55" a="1"/>
  <c r="M38" i="55"/>
  <c r="M101" i="55" a="1"/>
  <c r="M101" i="55"/>
  <c r="M122" i="55" a="1"/>
  <c r="M122" i="55" s="1"/>
  <c r="O122" i="55" s="1"/>
  <c r="M25" i="55" a="1"/>
  <c r="M25" i="55" s="1"/>
  <c r="O25" i="55" s="1"/>
  <c r="M81" i="55" a="1"/>
  <c r="M81" i="55" s="1"/>
  <c r="M27" i="55" a="1"/>
  <c r="M27" i="55" s="1"/>
  <c r="M67" i="55" a="1"/>
  <c r="M67" i="55" s="1"/>
  <c r="M89" i="55" a="1"/>
  <c r="M89" i="55" s="1"/>
  <c r="O89" i="55"/>
  <c r="M42" i="55" a="1"/>
  <c r="M42" i="55" s="1"/>
  <c r="O42" i="55" s="1"/>
  <c r="M29" i="55" a="1"/>
  <c r="M29" i="55"/>
  <c r="M77" i="55" a="1"/>
  <c r="M77" i="55"/>
  <c r="M31" i="55" a="1"/>
  <c r="M31" i="55" s="1"/>
  <c r="O31" i="55" s="1"/>
  <c r="M130" i="55" a="1"/>
  <c r="M130" i="55" s="1"/>
  <c r="O130" i="55" s="1"/>
  <c r="M94" i="55" a="1"/>
  <c r="M94" i="55" s="1"/>
  <c r="M59" i="55" a="1"/>
  <c r="M59" i="55" s="1"/>
  <c r="M2" i="55"/>
  <c r="M54" i="55" a="1"/>
  <c r="M54" i="55" s="1"/>
  <c r="O54" i="55" s="1"/>
  <c r="M52" i="55" a="1"/>
  <c r="M52" i="55" s="1"/>
  <c r="O52" i="55" s="1"/>
  <c r="M11" i="55" a="1"/>
  <c r="M11" i="55"/>
  <c r="O11" i="55"/>
  <c r="M19" i="55" a="1"/>
  <c r="M19" i="55"/>
  <c r="M21" i="55" a="1"/>
  <c r="M21" i="55" s="1"/>
  <c r="M33" i="55" a="1"/>
  <c r="M33" i="55" s="1"/>
  <c r="M72" i="55" a="1"/>
  <c r="M72" i="55" s="1"/>
  <c r="M100" i="55" a="1"/>
  <c r="M100" i="55"/>
  <c r="M55" i="55" a="1"/>
  <c r="M55" i="55"/>
  <c r="M49" i="55" a="1"/>
  <c r="M49" i="55" s="1"/>
  <c r="O49" i="55" s="1"/>
  <c r="M17" i="55" a="1"/>
  <c r="M17" i="55" s="1"/>
  <c r="O17" i="55" s="1"/>
  <c r="M66" i="55" a="1"/>
  <c r="M66" i="55"/>
  <c r="M50" i="55" a="1"/>
  <c r="M50" i="55" s="1"/>
  <c r="M95" i="55" a="1"/>
  <c r="M95" i="55" s="1"/>
  <c r="M51" i="55" a="1"/>
  <c r="M51" i="55" s="1"/>
  <c r="M47" i="55" a="1"/>
  <c r="M47" i="55" s="1"/>
  <c r="M102" i="55" a="1"/>
  <c r="M102" i="55" s="1"/>
  <c r="N82" i="55" a="1"/>
  <c r="N82" i="55" s="1"/>
  <c r="O82" i="55" s="1"/>
  <c r="M118" i="55" a="1"/>
  <c r="M118" i="55"/>
  <c r="M44" i="55" a="1"/>
  <c r="M44" i="55"/>
  <c r="M92" i="55" a="1"/>
  <c r="M92" i="55" s="1"/>
  <c r="M114" i="55" a="1"/>
  <c r="M114" i="55" s="1"/>
  <c r="M35" i="55" a="1"/>
  <c r="M35" i="55" s="1"/>
  <c r="M116" i="55" a="1"/>
  <c r="M116" i="55" s="1"/>
  <c r="O116" i="55" s="1"/>
  <c r="M83" i="55" a="1"/>
  <c r="M83" i="55"/>
  <c r="M82" i="55" a="1"/>
  <c r="M82" i="55"/>
  <c r="M58" i="55" a="1"/>
  <c r="M58" i="55"/>
  <c r="M79" i="55" a="1"/>
  <c r="M79" i="55"/>
  <c r="M117" i="55" a="1"/>
  <c r="M117" i="55" s="1"/>
  <c r="F4" i="59"/>
  <c r="T42" i="59"/>
  <c r="M23" i="55" a="1"/>
  <c r="M23" i="55"/>
  <c r="M91" i="55" a="1"/>
  <c r="M91" i="55"/>
  <c r="M61" i="55" a="1"/>
  <c r="M61" i="55"/>
  <c r="M63" i="55" a="1"/>
  <c r="M63" i="55" s="1"/>
  <c r="M112" i="55" a="1"/>
  <c r="M112" i="55" s="1"/>
  <c r="O112" i="55" s="1"/>
  <c r="M110" i="55" a="1"/>
  <c r="M110" i="55" s="1"/>
  <c r="O110" i="55" s="1"/>
  <c r="M128" i="55" a="1"/>
  <c r="M128" i="55"/>
  <c r="O128" i="55" s="1"/>
  <c r="N124" i="55" a="1"/>
  <c r="N124" i="55"/>
  <c r="M108" i="55" a="1"/>
  <c r="M108" i="55" s="1"/>
  <c r="F8" i="59"/>
  <c r="M106" i="55" a="1"/>
  <c r="M106" i="55" s="1"/>
  <c r="M86" i="55" a="1"/>
  <c r="M86" i="55"/>
  <c r="M98" i="55" a="1"/>
  <c r="M98" i="55"/>
  <c r="M137" i="55"/>
  <c r="M115" i="55" a="1"/>
  <c r="M115" i="55" s="1"/>
  <c r="M40" i="55" a="1"/>
  <c r="M40" i="55" s="1"/>
  <c r="M7" i="55" a="1"/>
  <c r="M7" i="55"/>
  <c r="O7" i="55" s="1"/>
  <c r="M41" i="55" a="1"/>
  <c r="M41" i="55" s="1"/>
  <c r="M9" i="55" a="1"/>
  <c r="M9" i="55" s="1"/>
  <c r="O9" i="55" s="1"/>
  <c r="M96" i="55" a="1"/>
  <c r="M96" i="55"/>
  <c r="M124" i="55" a="1"/>
  <c r="M124" i="55" s="1"/>
  <c r="O124" i="55" s="1"/>
  <c r="M16" i="55" a="1"/>
  <c r="M16" i="55"/>
  <c r="F23" i="59"/>
  <c r="M107" i="55" a="1"/>
  <c r="M107" i="55" s="1"/>
  <c r="O107" i="55" s="1"/>
  <c r="M125" i="55" a="1"/>
  <c r="M125" i="55"/>
  <c r="O125" i="55" s="1"/>
  <c r="M32" i="55" a="1"/>
  <c r="M32" i="55" s="1"/>
  <c r="O32" i="55" s="1"/>
  <c r="T23" i="59"/>
  <c r="F32" i="59"/>
  <c r="F43" i="59"/>
  <c r="F46" i="59"/>
  <c r="F53" i="59"/>
  <c r="F9" i="59"/>
  <c r="D6" i="26"/>
  <c r="F7" i="26"/>
  <c r="F6" i="26" s="1"/>
  <c r="G111" i="53"/>
  <c r="G116" i="53"/>
  <c r="G117" i="53"/>
  <c r="G130" i="53"/>
  <c r="G113" i="53"/>
  <c r="AA12" i="26"/>
  <c r="G166" i="53"/>
  <c r="G164" i="53"/>
  <c r="Z14" i="26"/>
  <c r="R85" i="55"/>
  <c r="AD14" i="26"/>
  <c r="F12" i="26"/>
  <c r="O12" i="26"/>
  <c r="G18" i="53"/>
  <c r="M12" i="26"/>
  <c r="N106" i="55" a="1"/>
  <c r="N106" i="55" s="1"/>
  <c r="G149" i="53"/>
  <c r="G150" i="53"/>
  <c r="G151" i="53"/>
  <c r="N12" i="26"/>
  <c r="B6" i="26"/>
  <c r="J12" i="26"/>
  <c r="W12" i="26"/>
  <c r="I12" i="26"/>
  <c r="N14" i="26"/>
  <c r="O14" i="26"/>
  <c r="Q12" i="26"/>
  <c r="AB12" i="26"/>
  <c r="AJ12" i="26"/>
  <c r="AA14" i="26"/>
  <c r="J14" i="26"/>
  <c r="V14" i="26"/>
  <c r="M14" i="26"/>
  <c r="AI12" i="26"/>
  <c r="L12" i="26"/>
  <c r="AG12" i="26"/>
  <c r="AG14" i="26"/>
  <c r="AL12" i="26"/>
  <c r="S12" i="26"/>
  <c r="T12" i="26"/>
  <c r="AB14" i="26"/>
  <c r="K14" i="26"/>
  <c r="K12" i="26"/>
  <c r="AK12" i="26"/>
  <c r="AC14" i="26"/>
  <c r="T14" i="26"/>
  <c r="AL14" i="26"/>
  <c r="G67" i="53"/>
  <c r="G68" i="53"/>
  <c r="G70" i="53"/>
  <c r="Y14" i="26"/>
  <c r="G2" i="26"/>
  <c r="Q14" i="26"/>
  <c r="P12" i="26"/>
  <c r="I14" i="26"/>
  <c r="X14" i="26"/>
  <c r="U14" i="26"/>
  <c r="AK14" i="26"/>
  <c r="M121" i="55" a="1"/>
  <c r="M121" i="55"/>
  <c r="V47" i="59"/>
  <c r="S7" i="55"/>
  <c r="V53" i="59"/>
  <c r="AH14" i="26"/>
  <c r="F14" i="26"/>
  <c r="Z12" i="26"/>
  <c r="L29" i="59"/>
  <c r="N29" i="59"/>
  <c r="H14" i="26"/>
  <c r="C6" i="26"/>
  <c r="W14" i="26"/>
  <c r="N34" i="59"/>
  <c r="L34" i="59"/>
  <c r="R12" i="26"/>
  <c r="C12" i="26"/>
  <c r="F47" i="59"/>
  <c r="S14" i="26"/>
  <c r="AH12" i="26"/>
  <c r="B12" i="26"/>
  <c r="L14" i="26"/>
  <c r="AI14" i="26"/>
  <c r="E12" i="26"/>
  <c r="F31" i="59"/>
  <c r="T31" i="59"/>
  <c r="F37" i="59"/>
  <c r="T37" i="59"/>
  <c r="G64" i="53"/>
  <c r="AF14" i="26"/>
  <c r="X192" i="53"/>
  <c r="P42" i="55"/>
  <c r="AE28" i="53"/>
  <c r="AC12" i="26"/>
  <c r="S104" i="55"/>
  <c r="S102" i="55"/>
  <c r="S18" i="55"/>
  <c r="S115" i="55"/>
  <c r="U5" i="59"/>
  <c r="U13" i="59"/>
  <c r="S95" i="55"/>
  <c r="G38" i="55"/>
  <c r="F14" i="59"/>
  <c r="S65" i="55"/>
  <c r="F7" i="59"/>
  <c r="S56" i="55"/>
  <c r="V52" i="59"/>
  <c r="G49" i="53"/>
  <c r="X12" i="26"/>
  <c r="AD12" i="26"/>
  <c r="N126" i="55" a="1"/>
  <c r="N126" i="55" s="1"/>
  <c r="N115" i="55" a="1"/>
  <c r="N115" i="55" s="1"/>
  <c r="O115" i="55" s="1"/>
  <c r="N24" i="55" a="1"/>
  <c r="N24" i="55"/>
  <c r="N60" i="55" a="1"/>
  <c r="N60" i="55" s="1"/>
  <c r="O60" i="55" s="1"/>
  <c r="G14" i="26"/>
  <c r="T50" i="59"/>
  <c r="V44" i="59"/>
  <c r="V18" i="59"/>
  <c r="T17" i="59"/>
  <c r="N56" i="59"/>
  <c r="X195" i="53"/>
  <c r="V56" i="59"/>
  <c r="J38" i="59"/>
  <c r="T15" i="59"/>
  <c r="L47" i="59"/>
  <c r="T14" i="59"/>
  <c r="T13" i="59"/>
  <c r="I19" i="59"/>
  <c r="T12" i="59"/>
  <c r="L43" i="59"/>
  <c r="M119" i="55" a="1"/>
  <c r="M119" i="55" s="1"/>
  <c r="O119" i="55" s="1"/>
  <c r="P43" i="55"/>
  <c r="S43" i="55" s="1"/>
  <c r="T43" i="55" s="1"/>
  <c r="T11" i="59"/>
  <c r="Q19" i="59"/>
  <c r="T10" i="59"/>
  <c r="T9" i="59"/>
  <c r="N89" i="55" a="1"/>
  <c r="N89" i="55" s="1"/>
  <c r="N53" i="59"/>
  <c r="P21" i="55"/>
  <c r="T8" i="59"/>
  <c r="P76" i="55"/>
  <c r="S76" i="55"/>
  <c r="Q38" i="59"/>
  <c r="T7" i="59"/>
  <c r="F56" i="59"/>
  <c r="T6" i="59"/>
  <c r="T5" i="59"/>
  <c r="T4" i="59"/>
  <c r="N11" i="59"/>
  <c r="L49" i="59"/>
  <c r="V54" i="59"/>
  <c r="B38" i="59"/>
  <c r="V38" i="59" s="1"/>
  <c r="V36" i="59"/>
  <c r="P22" i="55"/>
  <c r="S22" i="55"/>
  <c r="G19" i="53"/>
  <c r="G119" i="53"/>
  <c r="G78" i="53"/>
  <c r="G168" i="53"/>
  <c r="G15" i="59"/>
  <c r="M15" i="59" s="1"/>
  <c r="G12" i="59"/>
  <c r="X56" i="53"/>
  <c r="U36" i="59"/>
  <c r="AE99" i="53"/>
  <c r="P82" i="55"/>
  <c r="S82" i="55"/>
  <c r="T82" i="55" s="1"/>
  <c r="P79" i="55"/>
  <c r="S79" i="55"/>
  <c r="P57" i="55"/>
  <c r="S57" i="55" s="1"/>
  <c r="T57" i="55" s="1"/>
  <c r="AE51" i="53"/>
  <c r="P83" i="55"/>
  <c r="S83" i="55"/>
  <c r="P118" i="55"/>
  <c r="S118" i="55" s="1"/>
  <c r="P119" i="55"/>
  <c r="S119" i="55" s="1"/>
  <c r="P77" i="55"/>
  <c r="S77" i="55" s="1"/>
  <c r="AE62" i="53"/>
  <c r="AE98" i="53"/>
  <c r="V48" i="59"/>
  <c r="S114" i="55"/>
  <c r="AE107" i="53"/>
  <c r="P62" i="55"/>
  <c r="S62" i="55" s="1"/>
  <c r="U8" i="59"/>
  <c r="AE88" i="53"/>
  <c r="S98" i="55"/>
  <c r="R19" i="59"/>
  <c r="P33" i="55"/>
  <c r="S38" i="59"/>
  <c r="S86" i="55"/>
  <c r="O38" i="59"/>
  <c r="U17" i="59"/>
  <c r="S91" i="55"/>
  <c r="R38" i="59"/>
  <c r="Q2" i="55"/>
  <c r="Q137" i="55"/>
  <c r="S57" i="59"/>
  <c r="P107" i="55"/>
  <c r="S107" i="55" s="1"/>
  <c r="P73" i="55"/>
  <c r="S73" i="55" s="1"/>
  <c r="U4" i="59"/>
  <c r="P32" i="55"/>
  <c r="P13" i="55"/>
  <c r="S13" i="55"/>
  <c r="Z211" i="53"/>
  <c r="AE2" i="53" s="1"/>
  <c r="P24" i="55"/>
  <c r="S24" i="55" s="1"/>
  <c r="S85" i="55"/>
  <c r="T85" i="55" s="1"/>
  <c r="P35" i="55"/>
  <c r="S35" i="55"/>
  <c r="U18" i="59"/>
  <c r="S96" i="55"/>
  <c r="P15" i="55"/>
  <c r="S15" i="55" s="1"/>
  <c r="T15" i="55" s="1"/>
  <c r="P38" i="59"/>
  <c r="R57" i="59"/>
  <c r="Z2" i="53"/>
  <c r="P31" i="55"/>
  <c r="P26" i="55"/>
  <c r="AE57" i="53"/>
  <c r="P66" i="55"/>
  <c r="U54" i="59"/>
  <c r="P100" i="55"/>
  <c r="S100" i="55" s="1"/>
  <c r="S108" i="55"/>
  <c r="P101" i="55"/>
  <c r="S101" i="55" s="1"/>
  <c r="P59" i="55"/>
  <c r="S59" i="55" s="1"/>
  <c r="P57" i="59"/>
  <c r="U47" i="59"/>
  <c r="P23" i="55"/>
  <c r="S23" i="55" s="1"/>
  <c r="P19" i="59"/>
  <c r="U11" i="59"/>
  <c r="T32" i="59"/>
  <c r="S16" i="55"/>
  <c r="AE56" i="53"/>
  <c r="T43" i="59"/>
  <c r="P30" i="55"/>
  <c r="R30" i="55" s="1"/>
  <c r="AE7" i="53"/>
  <c r="N12" i="59"/>
  <c r="L7" i="59"/>
  <c r="I38" i="59"/>
  <c r="N50" i="59"/>
  <c r="N52" i="59"/>
  <c r="G8" i="59"/>
  <c r="L8" i="59" s="1"/>
  <c r="N43" i="59"/>
  <c r="G54" i="59"/>
  <c r="L54" i="59"/>
  <c r="G13" i="59"/>
  <c r="M13" i="59"/>
  <c r="G42" i="59"/>
  <c r="N16" i="59"/>
  <c r="N45" i="59"/>
  <c r="N44" i="59"/>
  <c r="G14" i="59"/>
  <c r="L14" i="59"/>
  <c r="G10" i="59"/>
  <c r="L10" i="59" s="1"/>
  <c r="G56" i="59"/>
  <c r="L56" i="59"/>
  <c r="G50" i="59"/>
  <c r="L50" i="59"/>
  <c r="N32" i="59"/>
  <c r="G18" i="59"/>
  <c r="L18" i="59" s="1"/>
  <c r="N48" i="59"/>
  <c r="G4" i="59"/>
  <c r="L4" i="59"/>
  <c r="M49" i="59"/>
  <c r="N62" i="55" a="1"/>
  <c r="N62" i="55" s="1"/>
  <c r="G9" i="59"/>
  <c r="N10" i="59"/>
  <c r="G44" i="59"/>
  <c r="M44" i="59" s="1"/>
  <c r="L45" i="59"/>
  <c r="G46" i="59"/>
  <c r="G48" i="59"/>
  <c r="L48" i="59"/>
  <c r="N95" i="55" a="1"/>
  <c r="N95" i="55"/>
  <c r="G32" i="59"/>
  <c r="L32" i="59"/>
  <c r="G5" i="59"/>
  <c r="L5" i="59"/>
  <c r="N104" i="55" a="1"/>
  <c r="N104" i="55" s="1"/>
  <c r="G16" i="59"/>
  <c r="M16" i="59"/>
  <c r="N8" i="55" a="1"/>
  <c r="N8" i="55" s="1"/>
  <c r="G52" i="59"/>
  <c r="L52" i="59"/>
  <c r="N35" i="55" a="1"/>
  <c r="N35" i="55" s="1"/>
  <c r="O35" i="55" s="1"/>
  <c r="N98" i="55" a="1"/>
  <c r="N98" i="55" s="1"/>
  <c r="O98" i="55" s="1"/>
  <c r="N11" i="55" a="1"/>
  <c r="N11" i="55" s="1"/>
  <c r="N80" i="55" a="1"/>
  <c r="N80" i="55" s="1"/>
  <c r="O80" i="55" s="1"/>
  <c r="N110" i="55" a="1"/>
  <c r="N110" i="55" s="1"/>
  <c r="N33" i="55" a="1"/>
  <c r="N33" i="55" s="1"/>
  <c r="O33" i="55" s="1"/>
  <c r="N105" i="55" a="1"/>
  <c r="N105" i="55" s="1"/>
  <c r="O105" i="55" s="1"/>
  <c r="N87" i="55" a="1"/>
  <c r="N87" i="55" s="1"/>
  <c r="N5" i="59"/>
  <c r="H57" i="59"/>
  <c r="M7" i="59"/>
  <c r="N49" i="59"/>
  <c r="N12" i="55" a="1"/>
  <c r="N12" i="55"/>
  <c r="N122" i="55" a="1"/>
  <c r="N122" i="55"/>
  <c r="N10" i="55" a="1"/>
  <c r="N10" i="55" s="1"/>
  <c r="N108" i="55" a="1"/>
  <c r="N108" i="55" s="1"/>
  <c r="N97" i="55" a="1"/>
  <c r="N97" i="55"/>
  <c r="N23" i="55" a="1"/>
  <c r="N23" i="55" s="1"/>
  <c r="O23" i="55" s="1"/>
  <c r="N34" i="55" a="1"/>
  <c r="N34" i="55"/>
  <c r="N130" i="55" a="1"/>
  <c r="N130" i="55" s="1"/>
  <c r="N65" i="55" a="1"/>
  <c r="N65" i="55" s="1"/>
  <c r="O65" i="55" s="1"/>
  <c r="N77" i="55" a="1"/>
  <c r="N77" i="55" s="1"/>
  <c r="O77" i="55" s="1"/>
  <c r="N79" i="55" a="1"/>
  <c r="N79" i="55" s="1"/>
  <c r="N100" i="55" a="1"/>
  <c r="N100" i="55"/>
  <c r="O100" i="55" s="1"/>
  <c r="N113" i="55" a="1"/>
  <c r="N113" i="55" s="1"/>
  <c r="N40" i="55" a="1"/>
  <c r="N40" i="55" s="1"/>
  <c r="O40" i="55" s="1"/>
  <c r="N42" i="59"/>
  <c r="N58" i="55" a="1"/>
  <c r="N58" i="55" s="1"/>
  <c r="O58" i="55" s="1"/>
  <c r="N101" i="55" a="1"/>
  <c r="N101" i="55" s="1"/>
  <c r="O101" i="55" s="1"/>
  <c r="N73" i="55" a="1"/>
  <c r="N73" i="55" s="1"/>
  <c r="O73" i="55" s="1"/>
  <c r="M47" i="59"/>
  <c r="H19" i="59"/>
  <c r="N18" i="55" a="1"/>
  <c r="N18" i="55"/>
  <c r="L11" i="59"/>
  <c r="S211" i="53"/>
  <c r="X2" i="53"/>
  <c r="N63" i="55" a="1"/>
  <c r="N63" i="55" s="1"/>
  <c r="N28" i="55" a="1"/>
  <c r="N28" i="55" s="1"/>
  <c r="O28" i="55" s="1"/>
  <c r="N64" i="55" a="1"/>
  <c r="N64" i="55" s="1"/>
  <c r="O64" i="55" s="1"/>
  <c r="N38" i="55" a="1"/>
  <c r="N38" i="55" s="1"/>
  <c r="O38" i="55" s="1"/>
  <c r="N68" i="55" a="1"/>
  <c r="N68" i="55" s="1"/>
  <c r="N107" i="55" a="1"/>
  <c r="N107" i="55"/>
  <c r="N52" i="55" a="1"/>
  <c r="N52" i="55"/>
  <c r="N55" i="55" a="1"/>
  <c r="N55" i="55" s="1"/>
  <c r="O55" i="55" s="1"/>
  <c r="N66" i="55" a="1"/>
  <c r="N66" i="55" s="1"/>
  <c r="O66" i="55" s="1"/>
  <c r="N7" i="59"/>
  <c r="N26" i="55" a="1"/>
  <c r="N26" i="55" s="1"/>
  <c r="O26" i="55" s="1"/>
  <c r="N27" i="55" a="1"/>
  <c r="N27" i="55" s="1"/>
  <c r="N43" i="55" a="1"/>
  <c r="N43" i="55" s="1"/>
  <c r="O43" i="55" s="1"/>
  <c r="N121" i="55" a="1"/>
  <c r="N121" i="55"/>
  <c r="N45" i="55" a="1"/>
  <c r="N45" i="55"/>
  <c r="O45" i="55" s="1"/>
  <c r="N36" i="55" a="1"/>
  <c r="N36" i="55" s="1"/>
  <c r="O36" i="55" s="1"/>
  <c r="N103" i="55" a="1"/>
  <c r="N103" i="55" s="1"/>
  <c r="O103" i="55" s="1"/>
  <c r="N42" i="55" a="1"/>
  <c r="N42" i="55"/>
  <c r="N17" i="55" a="1"/>
  <c r="N17" i="55"/>
  <c r="N83" i="55" a="1"/>
  <c r="N83" i="55"/>
  <c r="N21" i="55" a="1"/>
  <c r="N21" i="55" s="1"/>
  <c r="N119" i="55" a="1"/>
  <c r="N119" i="55"/>
  <c r="N90" i="55" a="1"/>
  <c r="N90" i="55" s="1"/>
  <c r="O90" i="55" s="1"/>
  <c r="N25" i="55" a="1"/>
  <c r="N25" i="55"/>
  <c r="H38" i="59"/>
  <c r="N20" i="55" a="1"/>
  <c r="N20" i="55"/>
  <c r="N31" i="55" a="1"/>
  <c r="N31" i="55"/>
  <c r="N88" i="55" a="1"/>
  <c r="N88" i="55" s="1"/>
  <c r="N2" i="55"/>
  <c r="N54" i="55" a="1"/>
  <c r="N54" i="55"/>
  <c r="N67" i="55" a="1"/>
  <c r="N67" i="55"/>
  <c r="G6" i="59"/>
  <c r="L6" i="59"/>
  <c r="N94" i="55" a="1"/>
  <c r="N94" i="55" s="1"/>
  <c r="O94" i="55" s="1"/>
  <c r="N71" i="55" a="1"/>
  <c r="N71" i="55" s="1"/>
  <c r="O71" i="55" s="1"/>
  <c r="N48" i="55" a="1"/>
  <c r="N48" i="55"/>
  <c r="N85" i="55" a="1"/>
  <c r="N85" i="55"/>
  <c r="O85" i="55" s="1"/>
  <c r="N99" i="55" a="1"/>
  <c r="N99" i="55" s="1"/>
  <c r="N72" i="55" a="1"/>
  <c r="N72" i="55" s="1"/>
  <c r="N61" i="55" a="1"/>
  <c r="N61" i="55" s="1"/>
  <c r="O61" i="55" s="1"/>
  <c r="N39" i="55" a="1"/>
  <c r="N39" i="55"/>
  <c r="O39" i="55" s="1"/>
  <c r="N8" i="59"/>
  <c r="N131" i="55" a="1"/>
  <c r="N131" i="55" s="1"/>
  <c r="X6" i="53"/>
  <c r="N16" i="55" a="1"/>
  <c r="N16" i="55" s="1"/>
  <c r="O16" i="55" s="1"/>
  <c r="N120" i="55" a="1"/>
  <c r="N120" i="55"/>
  <c r="O120" i="55" s="1"/>
  <c r="N57" i="55" a="1"/>
  <c r="N57" i="55"/>
  <c r="N9" i="55" a="1"/>
  <c r="N9" i="55"/>
  <c r="N32" i="55" a="1"/>
  <c r="N32" i="55"/>
  <c r="N117" i="55" a="1"/>
  <c r="N117" i="55" s="1"/>
  <c r="O117" i="55" s="1"/>
  <c r="N114" i="55" a="1"/>
  <c r="N114" i="55" s="1"/>
  <c r="O114" i="55" s="1"/>
  <c r="N111" i="55" a="1"/>
  <c r="N111" i="55"/>
  <c r="N41" i="55" a="1"/>
  <c r="N41" i="55" s="1"/>
  <c r="N51" i="55" a="1"/>
  <c r="N51" i="55" s="1"/>
  <c r="O51" i="55" s="1"/>
  <c r="N92" i="55" a="1"/>
  <c r="N92" i="55" s="1"/>
  <c r="O92" i="55" s="1"/>
  <c r="S2" i="53"/>
  <c r="N4" i="59"/>
  <c r="N53" i="55" a="1"/>
  <c r="N53" i="55"/>
  <c r="N118" i="55" a="1"/>
  <c r="N118" i="55"/>
  <c r="O118" i="55" s="1"/>
  <c r="N74" i="55" a="1"/>
  <c r="N74" i="55" s="1"/>
  <c r="O74" i="55" s="1"/>
  <c r="N70" i="55" a="1"/>
  <c r="N70" i="55"/>
  <c r="N59" i="55" a="1"/>
  <c r="N59" i="55"/>
  <c r="N78" i="55" a="1"/>
  <c r="N78" i="55"/>
  <c r="N125" i="55" a="1"/>
  <c r="N125" i="55"/>
  <c r="N49" i="55" a="1"/>
  <c r="N49" i="55"/>
  <c r="N30" i="55" a="1"/>
  <c r="N30" i="55" s="1"/>
  <c r="O30" i="55" s="1"/>
  <c r="N75" i="55" a="1"/>
  <c r="N75" i="55" s="1"/>
  <c r="O75" i="55" s="1"/>
  <c r="N19" i="55" a="1"/>
  <c r="N19" i="55"/>
  <c r="N54" i="59"/>
  <c r="T54" i="59"/>
  <c r="G182" i="53"/>
  <c r="G181" i="53"/>
  <c r="G171" i="53"/>
  <c r="G183" i="53"/>
  <c r="G158" i="53"/>
  <c r="G157" i="53"/>
  <c r="G159" i="53"/>
  <c r="G156" i="53"/>
  <c r="K2" i="55"/>
  <c r="M43" i="59"/>
  <c r="N9" i="59"/>
  <c r="N47" i="55" a="1"/>
  <c r="N47" i="55" s="1"/>
  <c r="N29" i="55" a="1"/>
  <c r="N29" i="55" s="1"/>
  <c r="O29" i="55" s="1"/>
  <c r="S106" i="55"/>
  <c r="T106" i="55" s="1"/>
  <c r="N15" i="55" a="1"/>
  <c r="N15" i="55"/>
  <c r="N102" i="55" a="1"/>
  <c r="N102" i="55" s="1"/>
  <c r="L15" i="59"/>
  <c r="Y12" i="26"/>
  <c r="H12" i="26"/>
  <c r="N112" i="55" a="1"/>
  <c r="N112" i="55"/>
  <c r="N116" i="55" a="1"/>
  <c r="N116" i="55" s="1"/>
  <c r="N84" i="55" a="1"/>
  <c r="N84" i="55"/>
  <c r="N123" i="55" a="1"/>
  <c r="N123" i="55"/>
  <c r="N44" i="55" a="1"/>
  <c r="N44" i="55"/>
  <c r="O44" i="55" s="1"/>
  <c r="N81" i="55" a="1"/>
  <c r="N81" i="55" s="1"/>
  <c r="N96" i="55" a="1"/>
  <c r="N96" i="55"/>
  <c r="O96" i="55" s="1"/>
  <c r="N127" i="55" a="1"/>
  <c r="N127" i="55" s="1"/>
  <c r="N76" i="55" a="1"/>
  <c r="N76" i="55" s="1"/>
  <c r="O76" i="55" s="1"/>
  <c r="N129" i="55" a="1"/>
  <c r="N129" i="55" s="1"/>
  <c r="F6" i="59"/>
  <c r="G77" i="53"/>
  <c r="AE40" i="53"/>
  <c r="C38" i="59"/>
  <c r="L38" i="59" s="1"/>
  <c r="M32" i="59"/>
  <c r="M4" i="59"/>
  <c r="M52" i="59"/>
  <c r="M42" i="59"/>
  <c r="M8" i="59"/>
  <c r="M50" i="59"/>
  <c r="T46" i="59"/>
  <c r="U46" i="59"/>
  <c r="O19" i="59"/>
  <c r="AE211" i="53"/>
  <c r="T56" i="59"/>
  <c r="U56" i="59"/>
  <c r="T38" i="59"/>
  <c r="U38" i="59"/>
  <c r="U6" i="59"/>
  <c r="U7" i="59"/>
  <c r="S49" i="55"/>
  <c r="S84" i="55"/>
  <c r="U52" i="59"/>
  <c r="T52" i="59"/>
  <c r="S50" i="55"/>
  <c r="T50" i="55" s="1"/>
  <c r="O57" i="59"/>
  <c r="U57" i="59" s="1"/>
  <c r="U45" i="59"/>
  <c r="T45" i="59"/>
  <c r="U16" i="59"/>
  <c r="U14" i="59"/>
  <c r="S68" i="55"/>
  <c r="S80" i="55"/>
  <c r="T48" i="59"/>
  <c r="U48" i="59"/>
  <c r="T53" i="59"/>
  <c r="U53" i="59"/>
  <c r="S72" i="55"/>
  <c r="T72" i="55" s="1"/>
  <c r="U15" i="59"/>
  <c r="T44" i="59"/>
  <c r="U44" i="59"/>
  <c r="M14" i="59"/>
  <c r="L44" i="59"/>
  <c r="L13" i="59"/>
  <c r="M56" i="59"/>
  <c r="M54" i="59"/>
  <c r="L9" i="59"/>
  <c r="M9" i="59"/>
  <c r="G38" i="59"/>
  <c r="M38" i="59"/>
  <c r="M5" i="59"/>
  <c r="M45" i="59"/>
  <c r="M48" i="59"/>
  <c r="M6" i="59"/>
  <c r="X211" i="53"/>
  <c r="U19" i="59"/>
  <c r="S137" i="55"/>
  <c r="S2" i="55"/>
  <c r="R120" i="55"/>
  <c r="T120" i="55"/>
  <c r="R53" i="55"/>
  <c r="H104" i="55"/>
  <c r="H89" i="55"/>
  <c r="G34" i="55"/>
  <c r="R21" i="55"/>
  <c r="O67" i="55"/>
  <c r="R44" i="55"/>
  <c r="T44" i="55" s="1"/>
  <c r="T113" i="55"/>
  <c r="R66" i="55"/>
  <c r="R101" i="55"/>
  <c r="T101" i="55"/>
  <c r="K79" i="55"/>
  <c r="T81" i="55"/>
  <c r="G13" i="55"/>
  <c r="K54" i="55" a="1"/>
  <c r="K54" i="55" s="1"/>
  <c r="R15" i="55"/>
  <c r="T14" i="55"/>
  <c r="G65" i="55"/>
  <c r="R74" i="55"/>
  <c r="T74" i="55"/>
  <c r="R52" i="55"/>
  <c r="K104" i="55" a="1"/>
  <c r="K104" i="55"/>
  <c r="R29" i="55"/>
  <c r="T29" i="55"/>
  <c r="K14" i="55" a="1"/>
  <c r="K14" i="55" s="1"/>
  <c r="G14" i="55"/>
  <c r="H14" i="55"/>
  <c r="P211" i="53"/>
  <c r="L80" i="55" s="1" a="1"/>
  <c r="L80" i="55" s="1"/>
  <c r="H9" i="55"/>
  <c r="T87" i="55"/>
  <c r="R71" i="55"/>
  <c r="T71" i="55" s="1"/>
  <c r="L111" i="55" a="1"/>
  <c r="L111" i="55"/>
  <c r="G61" i="55"/>
  <c r="G51" i="55"/>
  <c r="H79" i="55"/>
  <c r="G82" i="55"/>
  <c r="K8" i="55" a="1"/>
  <c r="K8" i="55"/>
  <c r="R54" i="55"/>
  <c r="T54" i="55"/>
  <c r="R61" i="55"/>
  <c r="T61" i="55"/>
  <c r="G79" i="55"/>
  <c r="G100" i="55"/>
  <c r="R17" i="55"/>
  <c r="T17" i="55" s="1"/>
  <c r="R34" i="55"/>
  <c r="T34" i="55" s="1"/>
  <c r="R42" i="55"/>
  <c r="H16" i="55"/>
  <c r="T53" i="55"/>
  <c r="K32" i="55" a="1"/>
  <c r="K32" i="55" s="1"/>
  <c r="R26" i="55"/>
  <c r="T26" i="55" s="1"/>
  <c r="O57" i="55"/>
  <c r="O78" i="55"/>
  <c r="R57" i="55"/>
  <c r="K55" i="55" a="1"/>
  <c r="K55" i="55" s="1"/>
  <c r="T63" i="55"/>
  <c r="K82" i="55" a="1"/>
  <c r="K82" i="55" s="1"/>
  <c r="K68" i="55" a="1"/>
  <c r="K68" i="55" s="1"/>
  <c r="K61" i="55" a="1"/>
  <c r="K61" i="55" s="1"/>
  <c r="T56" i="55"/>
  <c r="R51" i="55"/>
  <c r="T51" i="55"/>
  <c r="R38" i="55"/>
  <c r="T38" i="55" s="1"/>
  <c r="K120" i="55" a="1"/>
  <c r="K120" i="55" s="1"/>
  <c r="G50" i="55"/>
  <c r="G60" i="55"/>
  <c r="H69" i="55"/>
  <c r="R31" i="55"/>
  <c r="T31" i="55" s="1"/>
  <c r="K67" i="55" a="1"/>
  <c r="K67" i="55"/>
  <c r="T88" i="55"/>
  <c r="H55" i="55"/>
  <c r="G31" i="55"/>
  <c r="R23" i="55"/>
  <c r="T23" i="55"/>
  <c r="K58" i="55" a="1"/>
  <c r="K58" i="55" s="1"/>
  <c r="O34" i="55"/>
  <c r="H8" i="55"/>
  <c r="H45" i="55"/>
  <c r="H43" i="55"/>
  <c r="T94" i="55"/>
  <c r="R33" i="55"/>
  <c r="S26" i="55"/>
  <c r="K50" i="55" a="1"/>
  <c r="K50" i="55"/>
  <c r="H53" i="55"/>
  <c r="K69" i="55" a="1"/>
  <c r="K69" i="55" s="1"/>
  <c r="O20" i="55"/>
  <c r="S52" i="55"/>
  <c r="H118" i="55"/>
  <c r="G24" i="55"/>
  <c r="R40" i="55"/>
  <c r="T40" i="55" s="1"/>
  <c r="K91" i="55" a="1"/>
  <c r="K91" i="55"/>
  <c r="R75" i="55"/>
  <c r="T75" i="55" s="1"/>
  <c r="S42" i="55"/>
  <c r="R59" i="55"/>
  <c r="T59" i="55"/>
  <c r="L93" i="55" a="1"/>
  <c r="L93" i="55"/>
  <c r="G71" i="55"/>
  <c r="T98" i="55"/>
  <c r="S31" i="55"/>
  <c r="R55" i="55"/>
  <c r="T55" i="55"/>
  <c r="K72" i="55" a="1"/>
  <c r="K72" i="55"/>
  <c r="K75" i="55" a="1"/>
  <c r="K75" i="55"/>
  <c r="T80" i="55"/>
  <c r="R82" i="55"/>
  <c r="H68" i="55"/>
  <c r="R39" i="55"/>
  <c r="T39" i="55" s="1"/>
  <c r="T89" i="55"/>
  <c r="K121" i="55" a="1"/>
  <c r="K121" i="55" s="1"/>
  <c r="O24" i="55"/>
  <c r="K118" i="55" a="1"/>
  <c r="K118" i="55" s="1"/>
  <c r="K33" i="55" a="1"/>
  <c r="K33" i="55" s="1"/>
  <c r="K113" i="55" a="1"/>
  <c r="K113" i="55"/>
  <c r="O48" i="55"/>
  <c r="T109" i="55"/>
  <c r="H97" i="55"/>
  <c r="G97" i="55"/>
  <c r="H12" i="55"/>
  <c r="K12" i="55" a="1"/>
  <c r="K12" i="55"/>
  <c r="G12" i="55"/>
  <c r="G57" i="55"/>
  <c r="H57" i="55"/>
  <c r="K100" i="55" a="1"/>
  <c r="K100" i="55" s="1"/>
  <c r="T67" i="55"/>
  <c r="G77" i="55"/>
  <c r="O27" i="55"/>
  <c r="K40" i="55" a="1"/>
  <c r="K40" i="55" s="1"/>
  <c r="T65" i="55"/>
  <c r="K114" i="55" a="1"/>
  <c r="K114" i="55"/>
  <c r="R58" i="55"/>
  <c r="T58" i="55"/>
  <c r="T86" i="55"/>
  <c r="G40" i="55"/>
  <c r="T7" i="55"/>
  <c r="L122" i="55" a="1"/>
  <c r="L122" i="55"/>
  <c r="G8" i="55"/>
  <c r="R13" i="55"/>
  <c r="T13" i="55" s="1"/>
  <c r="K101" i="55" a="1"/>
  <c r="K101" i="55" s="1"/>
  <c r="K71" i="55" a="1"/>
  <c r="K71" i="55" s="1"/>
  <c r="R83" i="55"/>
  <c r="T83" i="55"/>
  <c r="K49" i="55" a="1"/>
  <c r="K49" i="55" s="1"/>
  <c r="R104" i="55"/>
  <c r="T104" i="55" s="1"/>
  <c r="K97" i="55" a="1"/>
  <c r="K97" i="55"/>
  <c r="S21" i="55"/>
  <c r="R62" i="55"/>
  <c r="T62" i="55" s="1"/>
  <c r="G70" i="55"/>
  <c r="T129" i="55"/>
  <c r="R22" i="55"/>
  <c r="T22" i="55" s="1"/>
  <c r="K34" i="55" a="1"/>
  <c r="K34" i="55" s="1"/>
  <c r="T20" i="55"/>
  <c r="T91" i="55"/>
  <c r="G111" i="55"/>
  <c r="T128" i="55"/>
  <c r="O53" i="55"/>
  <c r="K111" i="55" a="1"/>
  <c r="K111" i="55"/>
  <c r="K106" i="55" a="1"/>
  <c r="K106" i="55" s="1"/>
  <c r="H25" i="55"/>
  <c r="G25" i="55"/>
  <c r="K25" i="55" a="1"/>
  <c r="K25" i="55" s="1"/>
  <c r="T10" i="55"/>
  <c r="H94" i="55"/>
  <c r="G94" i="55"/>
  <c r="G123" i="55"/>
  <c r="H123" i="55"/>
  <c r="K123" i="55" a="1"/>
  <c r="K123" i="55"/>
  <c r="H81" i="55"/>
  <c r="K81" i="55" a="1"/>
  <c r="K81" i="55"/>
  <c r="K17" i="55" a="1"/>
  <c r="K17" i="55" s="1"/>
  <c r="G17" i="55"/>
  <c r="K83" i="55" a="1"/>
  <c r="K83" i="55"/>
  <c r="G83" i="55"/>
  <c r="H83" i="55"/>
  <c r="H28" i="55"/>
  <c r="G28" i="55"/>
  <c r="K28" i="55" a="1"/>
  <c r="K28" i="55"/>
  <c r="G62" i="55"/>
  <c r="K62" i="55" a="1"/>
  <c r="K62" i="55" s="1"/>
  <c r="H62" i="55"/>
  <c r="G117" i="55"/>
  <c r="H117" i="55"/>
  <c r="T47" i="55"/>
  <c r="G9" i="55"/>
  <c r="R24" i="55"/>
  <c r="T24" i="55" s="1"/>
  <c r="R35" i="55"/>
  <c r="T35" i="55" s="1"/>
  <c r="R76" i="55"/>
  <c r="T76" i="55" s="1"/>
  <c r="K84" i="55" a="1"/>
  <c r="K84" i="55"/>
  <c r="O59" i="55"/>
  <c r="R117" i="55"/>
  <c r="T112" i="55"/>
  <c r="R119" i="55"/>
  <c r="T119" i="55" s="1"/>
  <c r="T127" i="55"/>
  <c r="K103" i="55" a="1"/>
  <c r="K103" i="55" s="1"/>
  <c r="T69" i="55"/>
  <c r="T92" i="55"/>
  <c r="T93" i="55"/>
  <c r="T115" i="55"/>
  <c r="K63" i="55" a="1"/>
  <c r="K63" i="55" s="1"/>
  <c r="O88" i="55"/>
  <c r="T90" i="55"/>
  <c r="R121" i="55"/>
  <c r="T121" i="55" s="1"/>
  <c r="K9" i="55" a="1"/>
  <c r="K9" i="55" s="1"/>
  <c r="T125" i="55"/>
  <c r="T95" i="55"/>
  <c r="O95" i="55"/>
  <c r="G114" i="55"/>
  <c r="T103" i="55"/>
  <c r="S66" i="55"/>
  <c r="K89" i="55" a="1"/>
  <c r="K89" i="55" s="1"/>
  <c r="H114" i="55"/>
  <c r="T111" i="55"/>
  <c r="T102" i="55"/>
  <c r="R73" i="55"/>
  <c r="T73" i="55" s="1"/>
  <c r="R41" i="55"/>
  <c r="T41" i="55"/>
  <c r="T48" i="55"/>
  <c r="G89" i="55"/>
  <c r="T96" i="55"/>
  <c r="R77" i="55"/>
  <c r="T77" i="55" s="1"/>
  <c r="K70" i="55" a="1"/>
  <c r="K70" i="55"/>
  <c r="R36" i="55"/>
  <c r="T36" i="55"/>
  <c r="O68" i="55"/>
  <c r="T110" i="55"/>
  <c r="R11" i="55"/>
  <c r="T11" i="55"/>
  <c r="R100" i="55"/>
  <c r="T100" i="55"/>
  <c r="T123" i="55"/>
  <c r="K98" i="55" a="1"/>
  <c r="K98" i="55" s="1"/>
  <c r="R43" i="55"/>
  <c r="T27" i="55"/>
  <c r="T64" i="55"/>
  <c r="G105" i="55"/>
  <c r="H105" i="55"/>
  <c r="K105" i="55" a="1"/>
  <c r="K105" i="55" s="1"/>
  <c r="T124" i="55"/>
  <c r="G124" i="55"/>
  <c r="H124" i="55"/>
  <c r="K48" i="55" a="1"/>
  <c r="K48" i="55" s="1"/>
  <c r="H48" i="55"/>
  <c r="G48" i="55"/>
  <c r="K102" i="55" a="1"/>
  <c r="K102" i="55"/>
  <c r="G102" i="55"/>
  <c r="H102" i="55"/>
  <c r="H15" i="55"/>
  <c r="G15" i="55"/>
  <c r="K15" i="55" a="1"/>
  <c r="K15" i="55"/>
  <c r="O72" i="55"/>
  <c r="G109" i="55"/>
  <c r="H109" i="55"/>
  <c r="K109" i="55" a="1"/>
  <c r="K109" i="55" s="1"/>
  <c r="K42" i="55" a="1"/>
  <c r="K42" i="55"/>
  <c r="G42" i="55"/>
  <c r="G35" i="55"/>
  <c r="K35" i="55" a="1"/>
  <c r="K35" i="55"/>
  <c r="H35" i="55"/>
  <c r="H23" i="55"/>
  <c r="K23" i="55" a="1"/>
  <c r="K23" i="55"/>
  <c r="G23" i="55"/>
  <c r="H78" i="55"/>
  <c r="G78" i="55"/>
  <c r="G46" i="55"/>
  <c r="H46" i="55"/>
  <c r="G126" i="55"/>
  <c r="L126" i="55" a="1"/>
  <c r="L126" i="55" s="1"/>
  <c r="K126" i="55" a="1"/>
  <c r="K126" i="55" s="1"/>
  <c r="H126" i="55"/>
  <c r="K125" i="55" a="1"/>
  <c r="K125" i="55" s="1"/>
  <c r="G125" i="55"/>
  <c r="L125" i="55" a="1"/>
  <c r="L125" i="55"/>
  <c r="H125" i="55"/>
  <c r="K21" i="55" a="1"/>
  <c r="K21" i="55" s="1"/>
  <c r="G21" i="55"/>
  <c r="H21" i="55"/>
  <c r="G39" i="55"/>
  <c r="K39" i="55" a="1"/>
  <c r="K39" i="55" s="1"/>
  <c r="H39" i="55"/>
  <c r="G87" i="55"/>
  <c r="H87" i="55"/>
  <c r="K87" i="55" a="1"/>
  <c r="K87" i="55"/>
  <c r="L87" i="55" a="1"/>
  <c r="L87" i="55" s="1"/>
  <c r="H90" i="55"/>
  <c r="K90" i="55" a="1"/>
  <c r="K90" i="55" s="1"/>
  <c r="G90" i="55"/>
  <c r="K119" i="55" a="1"/>
  <c r="K119" i="55"/>
  <c r="G119" i="55"/>
  <c r="H119" i="55"/>
  <c r="H108" i="55"/>
  <c r="G108" i="55"/>
  <c r="K108" i="55" a="1"/>
  <c r="K108" i="55" s="1"/>
  <c r="K131" i="55" a="1"/>
  <c r="K131" i="55"/>
  <c r="G131" i="55"/>
  <c r="L131" i="55" a="1"/>
  <c r="L131" i="55" s="1"/>
  <c r="H131" i="55"/>
  <c r="H19" i="55"/>
  <c r="G19" i="55"/>
  <c r="K19" i="55" a="1"/>
  <c r="K19" i="55" s="1"/>
  <c r="L130" i="55" a="1"/>
  <c r="L130" i="55" s="1"/>
  <c r="K130" i="55" a="1"/>
  <c r="K130" i="55" s="1"/>
  <c r="G130" i="55"/>
  <c r="H130" i="55"/>
  <c r="H107" i="55"/>
  <c r="K107" i="55" a="1"/>
  <c r="K107" i="55" s="1"/>
  <c r="G107" i="55"/>
  <c r="G18" i="55"/>
  <c r="H18" i="55"/>
  <c r="K18" i="55" a="1"/>
  <c r="K18" i="55"/>
  <c r="T126" i="55"/>
  <c r="L127" i="55" a="1"/>
  <c r="L127" i="55"/>
  <c r="G127" i="55"/>
  <c r="H127" i="55"/>
  <c r="K127" i="55" a="1"/>
  <c r="K127" i="55" s="1"/>
  <c r="H29" i="55"/>
  <c r="K29" i="55" a="1"/>
  <c r="K29" i="55"/>
  <c r="G29" i="55"/>
  <c r="H96" i="55"/>
  <c r="K96" i="55" a="1"/>
  <c r="K96" i="55" s="1"/>
  <c r="G96" i="55"/>
  <c r="G59" i="55"/>
  <c r="K59" i="55" a="1"/>
  <c r="K59" i="55" s="1"/>
  <c r="H59" i="55"/>
  <c r="T137" i="55"/>
  <c r="O18" i="55"/>
  <c r="O79" i="55"/>
  <c r="R60" i="55"/>
  <c r="T60" i="55"/>
  <c r="R118" i="55"/>
  <c r="T118" i="55" s="1"/>
  <c r="K43" i="55" a="1"/>
  <c r="K43" i="55"/>
  <c r="R37" i="55"/>
  <c r="T37" i="55" s="1"/>
  <c r="G27" i="55"/>
  <c r="K44" i="55" a="1"/>
  <c r="K44" i="55"/>
  <c r="H66" i="55"/>
  <c r="T130" i="55"/>
  <c r="K41" i="55" a="1"/>
  <c r="K41" i="55" s="1"/>
  <c r="O121" i="55"/>
  <c r="K77" i="55" a="1"/>
  <c r="K77" i="55" s="1"/>
  <c r="H67" i="55"/>
  <c r="H98" i="55"/>
  <c r="K10" i="55" a="1"/>
  <c r="K10" i="55" s="1"/>
  <c r="R70" i="55"/>
  <c r="T70" i="55" s="1"/>
  <c r="G101" i="55"/>
  <c r="G68" i="55"/>
  <c r="K73" i="55" a="1"/>
  <c r="K73" i="55"/>
  <c r="G98" i="55"/>
  <c r="G10" i="55"/>
  <c r="G75" i="55"/>
  <c r="H44" i="55"/>
  <c r="K36" i="55" a="1"/>
  <c r="K36" i="55" s="1"/>
  <c r="O83" i="55"/>
  <c r="L10" i="55" a="1"/>
  <c r="L10" i="55"/>
  <c r="G73" i="55"/>
  <c r="H106" i="55"/>
  <c r="G33" i="55"/>
  <c r="R97" i="55"/>
  <c r="T97" i="55"/>
  <c r="L123" i="55" a="1"/>
  <c r="L123" i="55" s="1"/>
  <c r="G72" i="55"/>
  <c r="R45" i="55"/>
  <c r="T45" i="55" s="1"/>
  <c r="R2" i="55"/>
  <c r="R8" i="55"/>
  <c r="T8" i="55" s="1"/>
  <c r="G85" i="55"/>
  <c r="R107" i="55"/>
  <c r="T107" i="55"/>
  <c r="R79" i="55"/>
  <c r="T79" i="55"/>
  <c r="O15" i="55"/>
  <c r="H17" i="55"/>
  <c r="H120" i="55"/>
  <c r="K117" i="55" a="1"/>
  <c r="K117" i="55"/>
  <c r="R12" i="55"/>
  <c r="T12" i="55"/>
  <c r="T68" i="55"/>
  <c r="K7" i="55" a="1"/>
  <c r="K7" i="55"/>
  <c r="H122" i="55"/>
  <c r="H93" i="55"/>
  <c r="G63" i="55"/>
  <c r="H7" i="55"/>
  <c r="O62" i="55"/>
  <c r="K80" i="55" a="1"/>
  <c r="K80" i="55" s="1"/>
  <c r="K122" i="55" a="1"/>
  <c r="K122" i="55" s="1"/>
  <c r="H113" i="55"/>
  <c r="K74" i="55" a="1"/>
  <c r="K74" i="55"/>
  <c r="K65" i="55" a="1"/>
  <c r="K65" i="55" s="1"/>
  <c r="O70" i="55"/>
  <c r="G80" i="55"/>
  <c r="H22" i="55"/>
  <c r="K93" i="55" a="1"/>
  <c r="K93" i="55"/>
  <c r="G74" i="55"/>
  <c r="S33" i="55"/>
  <c r="T84" i="55"/>
  <c r="O104" i="55"/>
  <c r="H101" i="55"/>
  <c r="K22" i="55" a="1"/>
  <c r="K22" i="55" s="1"/>
  <c r="H88" i="55"/>
  <c r="G113" i="55"/>
  <c r="T49" i="55"/>
  <c r="K85" i="55" a="1"/>
  <c r="K85" i="55" s="1"/>
  <c r="K88" i="55" a="1"/>
  <c r="K88" i="55" s="1"/>
  <c r="T18" i="55"/>
  <c r="R32" i="55"/>
  <c r="T114" i="55"/>
  <c r="T131" i="55"/>
  <c r="O19" i="55"/>
  <c r="T2" i="55"/>
  <c r="M46" i="59"/>
  <c r="L46" i="59"/>
  <c r="K128" i="55" a="1"/>
  <c r="K128" i="55" s="1"/>
  <c r="L128" i="55" a="1"/>
  <c r="L128" i="55"/>
  <c r="H110" i="55"/>
  <c r="G110" i="55"/>
  <c r="M18" i="59"/>
  <c r="R116" i="55"/>
  <c r="T116" i="55" s="1"/>
  <c r="O21" i="55"/>
  <c r="S32" i="55"/>
  <c r="T19" i="55"/>
  <c r="L12" i="59"/>
  <c r="M12" i="59"/>
  <c r="K46" i="55" a="1"/>
  <c r="K46" i="55"/>
  <c r="R46" i="55"/>
  <c r="T46" i="55" s="1"/>
  <c r="G37" i="55"/>
  <c r="K37" i="55" a="1"/>
  <c r="K37" i="55" s="1"/>
  <c r="K110" i="55" a="1"/>
  <c r="K110" i="55"/>
  <c r="T108" i="55"/>
  <c r="K64" i="55" a="1"/>
  <c r="K64" i="55"/>
  <c r="G64" i="55"/>
  <c r="H64" i="55"/>
  <c r="K52" i="55" a="1"/>
  <c r="K52" i="55" s="1"/>
  <c r="G52" i="55"/>
  <c r="H52" i="55"/>
  <c r="G128" i="55"/>
  <c r="L42" i="59"/>
  <c r="G49" i="55"/>
  <c r="L120" i="55" a="1"/>
  <c r="L120" i="55" s="1"/>
  <c r="L30" i="55" a="1"/>
  <c r="L30" i="55"/>
  <c r="L83" i="55" a="1"/>
  <c r="L83" i="55" s="1"/>
  <c r="L85" i="55" a="1"/>
  <c r="L85" i="55" s="1"/>
  <c r="R16" i="55"/>
  <c r="T16" i="55"/>
  <c r="K16" i="55" a="1"/>
  <c r="K16" i="55"/>
  <c r="K57" i="55" a="1"/>
  <c r="K57" i="55"/>
  <c r="K94" i="55" a="1"/>
  <c r="K94" i="55" s="1"/>
  <c r="K78" i="55" a="1"/>
  <c r="K78" i="55"/>
  <c r="K66" i="55" a="1"/>
  <c r="K66" i="55" s="1"/>
  <c r="K115" i="55" a="1"/>
  <c r="K115" i="55" s="1"/>
  <c r="H115" i="55"/>
  <c r="G115" i="55"/>
  <c r="L124" i="55" a="1"/>
  <c r="L124" i="55"/>
  <c r="C57" i="59"/>
  <c r="K60" i="55" a="1"/>
  <c r="K60" i="55" s="1"/>
  <c r="K53" i="55" a="1"/>
  <c r="K53" i="55" s="1"/>
  <c r="K38" i="55" a="1"/>
  <c r="K38" i="55"/>
  <c r="K99" i="55" a="1"/>
  <c r="K99" i="55" s="1"/>
  <c r="K24" i="55" a="1"/>
  <c r="K24" i="55"/>
  <c r="G91" i="55"/>
  <c r="G30" i="55"/>
  <c r="K30" i="55" a="1"/>
  <c r="K30" i="55" s="1"/>
  <c r="H30" i="55"/>
  <c r="L16" i="59"/>
  <c r="V46" i="59"/>
  <c r="K95" i="55" a="1"/>
  <c r="K95" i="55"/>
  <c r="G95" i="55"/>
  <c r="K45" i="55" a="1"/>
  <c r="K45" i="55" s="1"/>
  <c r="K124" i="55" a="1"/>
  <c r="K124" i="55"/>
  <c r="T78" i="55"/>
  <c r="H84" i="55"/>
  <c r="G84" i="55"/>
  <c r="I57" i="59"/>
  <c r="K47" i="55" a="1"/>
  <c r="K47" i="55"/>
  <c r="H47" i="55"/>
  <c r="V4" i="59"/>
  <c r="B19" i="59"/>
  <c r="L100" i="55" a="1"/>
  <c r="L100" i="55" s="1"/>
  <c r="H103" i="55"/>
  <c r="L114" i="55" a="1"/>
  <c r="L114" i="55" s="1"/>
  <c r="L91" i="55" a="1"/>
  <c r="L91" i="55" s="1"/>
  <c r="B57" i="59"/>
  <c r="G81" i="55"/>
  <c r="G86" i="55"/>
  <c r="K86" i="55" a="1"/>
  <c r="K86" i="55" s="1"/>
  <c r="H54" i="55"/>
  <c r="G54" i="55"/>
  <c r="D19" i="59"/>
  <c r="L58" i="55" a="1"/>
  <c r="L58" i="55" s="1"/>
  <c r="L113" i="55" a="1"/>
  <c r="L113" i="55" s="1"/>
  <c r="L46" i="55" a="1"/>
  <c r="L46" i="55" s="1"/>
  <c r="G92" i="55"/>
  <c r="K92" i="55" a="1"/>
  <c r="K92" i="55"/>
  <c r="G11" i="55"/>
  <c r="H58" i="55"/>
  <c r="E57" i="59"/>
  <c r="K27" i="55" a="1"/>
  <c r="K27" i="55" s="1"/>
  <c r="G41" i="55"/>
  <c r="G121" i="55"/>
  <c r="G103" i="55"/>
  <c r="K11" i="55" a="1"/>
  <c r="K11" i="55" s="1"/>
  <c r="L24" i="55" a="1"/>
  <c r="L24" i="55" s="1"/>
  <c r="L27" i="55" a="1"/>
  <c r="L27" i="55" s="1"/>
  <c r="G76" i="55"/>
  <c r="H42" i="55"/>
  <c r="K31" i="55" a="1"/>
  <c r="K31" i="55"/>
  <c r="K13" i="55" a="1"/>
  <c r="K13" i="55" s="1"/>
  <c r="L129" i="55" a="1"/>
  <c r="L129" i="55" s="1"/>
  <c r="P2" i="53"/>
  <c r="K57" i="59"/>
  <c r="K56" i="55" a="1"/>
  <c r="K56" i="55"/>
  <c r="G56" i="55"/>
  <c r="K51" i="55" a="1"/>
  <c r="K51" i="55" s="1"/>
  <c r="H36" i="55"/>
  <c r="G36" i="55"/>
  <c r="K76" i="55" a="1"/>
  <c r="K76" i="55" s="1"/>
  <c r="V15" i="59"/>
  <c r="G53" i="59"/>
  <c r="L53" i="59" s="1"/>
  <c r="AE87" i="53"/>
  <c r="P25" i="55"/>
  <c r="M129" i="55" a="1"/>
  <c r="M129" i="55"/>
  <c r="O129" i="55" s="1"/>
  <c r="T21" i="55"/>
  <c r="T66" i="55"/>
  <c r="T52" i="55"/>
  <c r="T42" i="55"/>
  <c r="T33" i="55"/>
  <c r="T32" i="55"/>
  <c r="L32" i="55" a="1"/>
  <c r="L32" i="55" s="1"/>
  <c r="L42" i="55" a="1"/>
  <c r="L42" i="55" s="1"/>
  <c r="L2" i="55"/>
  <c r="L137" i="55"/>
  <c r="L115" i="55" a="1"/>
  <c r="L115" i="55" s="1"/>
  <c r="L7" i="55" a="1"/>
  <c r="L7" i="55" s="1"/>
  <c r="L75" i="55" a="1"/>
  <c r="L75" i="55" s="1"/>
  <c r="L64" i="55" a="1"/>
  <c r="L64" i="55" s="1"/>
  <c r="L72" i="55" a="1"/>
  <c r="L72" i="55" s="1"/>
  <c r="L47" i="55" a="1"/>
  <c r="L47" i="55" s="1"/>
  <c r="L116" i="55" a="1"/>
  <c r="L116" i="55" s="1"/>
  <c r="L101" i="55" a="1"/>
  <c r="L101" i="55" s="1"/>
  <c r="L119" i="55" a="1"/>
  <c r="L119" i="55" s="1"/>
  <c r="L95" i="55" a="1"/>
  <c r="L95" i="55" s="1"/>
  <c r="L104" i="55" a="1"/>
  <c r="L104" i="55" s="1"/>
  <c r="L26" i="55" a="1"/>
  <c r="L26" i="55" s="1"/>
  <c r="L29" i="55" a="1"/>
  <c r="L29" i="55" s="1"/>
  <c r="L51" i="55" a="1"/>
  <c r="L51" i="55"/>
  <c r="L76" i="55" a="1"/>
  <c r="L76" i="55" s="1"/>
  <c r="L63" i="55" a="1"/>
  <c r="L63" i="55" s="1"/>
  <c r="L50" i="55" a="1"/>
  <c r="L50" i="55" s="1"/>
  <c r="L112" i="55" a="1"/>
  <c r="L112" i="55" s="1"/>
  <c r="L82" i="55" a="1"/>
  <c r="L82" i="55" s="1"/>
  <c r="N57" i="59"/>
  <c r="L98" i="55" a="1"/>
  <c r="L98" i="55" s="1"/>
  <c r="L62" i="55" a="1"/>
  <c r="L62" i="55" s="1"/>
  <c r="L74" i="55" a="1"/>
  <c r="L74" i="55"/>
  <c r="L84" i="55" a="1"/>
  <c r="L84" i="55" s="1"/>
  <c r="L70" i="55" a="1"/>
  <c r="L70" i="55" s="1"/>
  <c r="V19" i="59"/>
  <c r="T19" i="59"/>
  <c r="L105" i="55" a="1"/>
  <c r="L105" i="55"/>
  <c r="L17" i="55" a="1"/>
  <c r="L17" i="55" s="1"/>
  <c r="L18" i="55" a="1"/>
  <c r="L18" i="55" s="1"/>
  <c r="L49" i="55" a="1"/>
  <c r="L49" i="55"/>
  <c r="L94" i="55" a="1"/>
  <c r="L94" i="55" s="1"/>
  <c r="L8" i="55" a="1"/>
  <c r="L8" i="55"/>
  <c r="L67" i="55" a="1"/>
  <c r="L67" i="55"/>
  <c r="G57" i="59"/>
  <c r="M57" i="59" s="1"/>
  <c r="L34" i="55" a="1"/>
  <c r="L34" i="55" s="1"/>
  <c r="L31" i="55" a="1"/>
  <c r="L31" i="55"/>
  <c r="L97" i="55" a="1"/>
  <c r="L97" i="55" s="1"/>
  <c r="T57" i="59"/>
  <c r="L33" i="55" a="1"/>
  <c r="L33" i="55" s="1"/>
  <c r="L110" i="55" a="1"/>
  <c r="L110" i="55"/>
  <c r="L96" i="55" a="1"/>
  <c r="L96" i="55" s="1"/>
  <c r="L61" i="55" a="1"/>
  <c r="L61" i="55" s="1"/>
  <c r="D12" i="57"/>
  <c r="D8" i="57"/>
  <c r="D11" i="57"/>
  <c r="D9" i="57"/>
  <c r="D5" i="57"/>
  <c r="D7" i="57"/>
  <c r="D10" i="57"/>
  <c r="D6" i="57"/>
  <c r="E5" i="57" l="1"/>
  <c r="E6" i="57" s="1"/>
  <c r="E7" i="57" s="1"/>
  <c r="E8" i="57" s="1"/>
  <c r="E9" i="57" s="1"/>
  <c r="E10" i="57" s="1"/>
  <c r="E11" i="57" s="1"/>
  <c r="E12" i="57" s="1"/>
  <c r="D13" i="57"/>
  <c r="G129" i="55"/>
  <c r="H129" i="55"/>
  <c r="K129" i="55" a="1"/>
  <c r="K129" i="55" s="1"/>
  <c r="H116" i="55"/>
  <c r="G116" i="55"/>
  <c r="K116" i="55" a="1"/>
  <c r="K116" i="55" s="1"/>
  <c r="G2" i="55"/>
  <c r="G26" i="55"/>
  <c r="H26" i="55"/>
  <c r="K26" i="55" a="1"/>
  <c r="K26" i="55" s="1"/>
  <c r="O106" i="55"/>
  <c r="O109" i="55"/>
  <c r="L57" i="59"/>
  <c r="O108" i="55"/>
  <c r="O113" i="55"/>
  <c r="G112" i="55"/>
  <c r="H112" i="55"/>
  <c r="K112" i="55" a="1"/>
  <c r="K112" i="55" s="1"/>
  <c r="O102" i="55"/>
  <c r="O47" i="55"/>
  <c r="H20" i="55"/>
  <c r="H137" i="55" s="1"/>
  <c r="K20" i="55" a="1"/>
  <c r="K20" i="55" s="1"/>
  <c r="G20" i="55"/>
  <c r="L20" i="55" a="1"/>
  <c r="L20" i="55" s="1"/>
  <c r="O41" i="55"/>
  <c r="O99" i="55"/>
  <c r="R25" i="55"/>
  <c r="T25" i="55" s="1"/>
  <c r="S25" i="55"/>
  <c r="O63" i="55"/>
  <c r="O81" i="55"/>
  <c r="L117" i="55" a="1"/>
  <c r="L117" i="55" s="1"/>
  <c r="L41" i="55" a="1"/>
  <c r="L41" i="55" s="1"/>
  <c r="H32" i="55"/>
  <c r="G32" i="55"/>
  <c r="F38" i="59" a="1"/>
  <c r="F38" i="59" s="1"/>
  <c r="L52" i="55" a="1"/>
  <c r="L52" i="55" s="1"/>
  <c r="L40" i="55" a="1"/>
  <c r="L40" i="55" s="1"/>
  <c r="F19" i="59" a="1"/>
  <c r="F19" i="59" s="1"/>
  <c r="L35" i="55" a="1"/>
  <c r="L35" i="55" s="1"/>
  <c r="L45" i="55" a="1"/>
  <c r="L45" i="55" s="1"/>
  <c r="J57" i="59"/>
  <c r="S30" i="55"/>
  <c r="T30" i="55" s="1"/>
  <c r="N7" i="55" a="1"/>
  <c r="N7" i="55" s="1"/>
  <c r="N46" i="55" a="1"/>
  <c r="N46" i="55" s="1"/>
  <c r="O46" i="55" s="1"/>
  <c r="N22" i="55" a="1"/>
  <c r="N22" i="55" s="1"/>
  <c r="O22" i="55" s="1"/>
  <c r="N50" i="55" a="1"/>
  <c r="N50" i="55" s="1"/>
  <c r="O50" i="55" s="1"/>
  <c r="N37" i="55" a="1"/>
  <c r="N37" i="55" s="1"/>
  <c r="O37" i="55" s="1"/>
  <c r="N86" i="55" a="1"/>
  <c r="N86" i="55" s="1"/>
  <c r="O86" i="55" s="1"/>
  <c r="N128" i="55" a="1"/>
  <c r="N128" i="55" s="1"/>
  <c r="N93" i="55" a="1"/>
  <c r="N93" i="55" s="1"/>
  <c r="N69" i="55" a="1"/>
  <c r="N69" i="55" s="1"/>
  <c r="O69" i="55" s="1"/>
  <c r="N109" i="55" a="1"/>
  <c r="N109" i="55" s="1"/>
  <c r="N13" i="55" a="1"/>
  <c r="N13" i="55" s="1"/>
  <c r="O13" i="55" s="1"/>
  <c r="N91" i="55" a="1"/>
  <c r="N91" i="55" s="1"/>
  <c r="O91" i="55" s="1"/>
  <c r="N137" i="55"/>
  <c r="N14" i="55" a="1"/>
  <c r="N14" i="55" s="1"/>
  <c r="O14" i="55" s="1"/>
  <c r="G7" i="26"/>
  <c r="F45" i="59"/>
  <c r="V45" i="59"/>
  <c r="L77" i="55" a="1"/>
  <c r="L77" i="55" s="1"/>
  <c r="L108" i="55" a="1"/>
  <c r="L108" i="55" s="1"/>
  <c r="L59" i="55" a="1"/>
  <c r="L59" i="55" s="1"/>
  <c r="L71" i="55" a="1"/>
  <c r="L71" i="55" s="1"/>
  <c r="L102" i="55" a="1"/>
  <c r="L102" i="55" s="1"/>
  <c r="L60" i="55" a="1"/>
  <c r="L60" i="55" s="1"/>
  <c r="L21" i="55" a="1"/>
  <c r="L21" i="55" s="1"/>
  <c r="L15" i="55" a="1"/>
  <c r="L15" i="55" s="1"/>
  <c r="L81" i="55" a="1"/>
  <c r="L81" i="55" s="1"/>
  <c r="L53" i="55" a="1"/>
  <c r="L53" i="55" s="1"/>
  <c r="M53" i="59"/>
  <c r="L88" i="55" a="1"/>
  <c r="L88" i="55" s="1"/>
  <c r="L56" i="55" a="1"/>
  <c r="L56" i="55" s="1"/>
  <c r="N56" i="55" a="1"/>
  <c r="N56" i="55" s="1"/>
  <c r="O56" i="55" s="1"/>
  <c r="G99" i="55"/>
  <c r="G3" i="55" s="1"/>
  <c r="H99" i="55"/>
  <c r="E19" i="59"/>
  <c r="L12" i="55" a="1"/>
  <c r="L12" i="55" s="1"/>
  <c r="L16" i="55" a="1"/>
  <c r="L16" i="55" s="1"/>
  <c r="L79" i="55" a="1"/>
  <c r="L79" i="55" s="1"/>
  <c r="L73" i="55" a="1"/>
  <c r="L73" i="55" s="1"/>
  <c r="L118" i="55" a="1"/>
  <c r="L118" i="55" s="1"/>
  <c r="L54" i="55" a="1"/>
  <c r="L54" i="55" s="1"/>
  <c r="L55" i="55" a="1"/>
  <c r="L55" i="55" s="1"/>
  <c r="L28" i="55" a="1"/>
  <c r="L28" i="55" s="1"/>
  <c r="L66" i="55" a="1"/>
  <c r="L66" i="55" s="1"/>
  <c r="N38" i="59"/>
  <c r="D57" i="59"/>
  <c r="F57" i="59" s="1" a="1"/>
  <c r="F57" i="59" s="1"/>
  <c r="K19" i="59"/>
  <c r="V9" i="59"/>
  <c r="L121" i="55" a="1"/>
  <c r="L121" i="55" s="1"/>
  <c r="L36" i="55" a="1"/>
  <c r="L36" i="55" s="1"/>
  <c r="L37" i="55" a="1"/>
  <c r="L37" i="55" s="1"/>
  <c r="L92" i="55" a="1"/>
  <c r="L92" i="55" s="1"/>
  <c r="L43" i="55" a="1"/>
  <c r="L43" i="55" s="1"/>
  <c r="L68" i="55" a="1"/>
  <c r="L68" i="55" s="1"/>
  <c r="L14" i="55" a="1"/>
  <c r="L14" i="55" s="1"/>
  <c r="F13" i="59"/>
  <c r="L65" i="55" a="1"/>
  <c r="L65" i="55" s="1"/>
  <c r="L106" i="55" a="1"/>
  <c r="L106" i="55" s="1"/>
  <c r="L99" i="55" a="1"/>
  <c r="L99" i="55" s="1"/>
  <c r="L57" i="55" a="1"/>
  <c r="L57" i="55" s="1"/>
  <c r="L109" i="55" a="1"/>
  <c r="L109" i="55" s="1"/>
  <c r="L44" i="55" a="1"/>
  <c r="L44" i="55" s="1"/>
  <c r="L39" i="55" a="1"/>
  <c r="L39" i="55" s="1"/>
  <c r="L107" i="55" a="1"/>
  <c r="L107" i="55" s="1"/>
  <c r="L69" i="55" a="1"/>
  <c r="L69" i="55" s="1"/>
  <c r="L25" i="55" a="1"/>
  <c r="L25" i="55" s="1"/>
  <c r="L103" i="55" a="1"/>
  <c r="L103" i="55" s="1"/>
  <c r="L48" i="55" a="1"/>
  <c r="L48" i="55" s="1"/>
  <c r="L86" i="55" a="1"/>
  <c r="L86" i="55" s="1"/>
  <c r="L22" i="55" a="1"/>
  <c r="L22" i="55" s="1"/>
  <c r="M10" i="59"/>
  <c r="S28" i="55"/>
  <c r="T28" i="55" s="1"/>
  <c r="L19" i="55" a="1"/>
  <c r="L19" i="55" s="1"/>
  <c r="L38" i="55" a="1"/>
  <c r="L38" i="55" s="1"/>
  <c r="L13" i="55" a="1"/>
  <c r="L13" i="55" s="1"/>
  <c r="L78" i="55" a="1"/>
  <c r="L78" i="55" s="1"/>
  <c r="L23" i="55" a="1"/>
  <c r="L23" i="55" s="1"/>
  <c r="L90" i="55" a="1"/>
  <c r="L90" i="55" s="1"/>
  <c r="L11" i="55" a="1"/>
  <c r="L11" i="55" s="1"/>
  <c r="N18" i="59"/>
  <c r="C19" i="59"/>
  <c r="G17" i="59"/>
  <c r="AE55" i="53"/>
  <c r="P14" i="26"/>
  <c r="G12" i="26"/>
  <c r="R14" i="26"/>
  <c r="AJ14" i="26"/>
  <c r="AF12" i="26"/>
  <c r="AE204" i="53"/>
  <c r="G6" i="26" l="1"/>
  <c r="H7" i="26"/>
  <c r="H2" i="55"/>
  <c r="O137" i="55"/>
  <c r="O2" i="55"/>
  <c r="G137" i="55"/>
  <c r="G138" i="55"/>
  <c r="M17" i="59"/>
  <c r="G19" i="59"/>
  <c r="M19" i="59" s="1"/>
  <c r="N19" i="59"/>
  <c r="L19" i="59" l="1"/>
  <c r="H3" i="55"/>
  <c r="H138" i="55"/>
  <c r="H6" i="26"/>
  <c r="I7" i="26"/>
  <c r="J7" i="26" l="1"/>
  <c r="I6" i="26"/>
  <c r="J6" i="26" l="1"/>
  <c r="K7" i="26"/>
  <c r="K6" i="26" l="1"/>
  <c r="L7" i="26"/>
  <c r="M7" i="26" l="1"/>
  <c r="L6" i="26"/>
  <c r="M6" i="26" l="1"/>
  <c r="N7" i="26"/>
  <c r="O7" i="26" l="1"/>
  <c r="N6" i="26"/>
  <c r="P7" i="26" l="1"/>
  <c r="O6" i="26"/>
  <c r="P6" i="26" l="1"/>
  <c r="Q7" i="26"/>
  <c r="R7" i="26" l="1"/>
  <c r="Q6" i="26"/>
  <c r="S7" i="26" l="1"/>
  <c r="R6" i="26"/>
  <c r="T7" i="26" l="1"/>
  <c r="S6" i="26"/>
  <c r="U7" i="26" l="1"/>
  <c r="T6" i="26"/>
  <c r="V7" i="26" l="1"/>
  <c r="U6" i="26"/>
  <c r="V6" i="26" l="1"/>
  <c r="W7" i="26"/>
  <c r="W6" i="26" l="1"/>
  <c r="X7" i="26"/>
  <c r="Y7" i="26" l="1"/>
  <c r="X6" i="26"/>
  <c r="Y6" i="26" l="1"/>
  <c r="Z7" i="26"/>
  <c r="AA7" i="26" l="1"/>
  <c r="Z6" i="26"/>
  <c r="AB7" i="26" l="1"/>
  <c r="AA6" i="26"/>
  <c r="AB6" i="26" l="1"/>
  <c r="AC7" i="26"/>
  <c r="AD7" i="26" l="1"/>
  <c r="AC6" i="26"/>
  <c r="AD6" i="26" l="1"/>
  <c r="AE7" i="26"/>
  <c r="AF7" i="26" l="1"/>
  <c r="AE6" i="26"/>
  <c r="AG7" i="26" l="1"/>
  <c r="AF6" i="26"/>
  <c r="AG6" i="26" l="1"/>
  <c r="AH7" i="26"/>
  <c r="AH6" i="26" l="1"/>
  <c r="AI7" i="26"/>
  <c r="AI6" i="26" l="1"/>
  <c r="AJ7" i="26"/>
  <c r="AJ6" i="26" l="1"/>
  <c r="AK7"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2"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4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<sst xmlns="http://schemas.openxmlformats.org/spreadsheetml/2006/main" count="3823" uniqueCount="1282">
  <si>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</si>
  <si>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</si>
  <si>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</si>
  <si>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</si>
  <si>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</si>
  <si>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</si>
  <si>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</si>
  <si>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</si>
  <si>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</si>
  <si>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</si>
  <si>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</si>
  <si>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</si>
  <si>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</si>
  <si>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</si>
  <si>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</si>
  <si>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</si>
  <si>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</si>
  <si>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</si>
  <si>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</si>
  <si>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</si>
  <si>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</si>
  <si>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</si>
  <si>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</si>
  <si>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</si>
  <si>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</si>
  <si>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</si>
  <si>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</si>
  <si>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</si>
  <si>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</si>
  <si>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</si>
  <si>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</si>
  <si>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</si>
  <si>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</si>
  <si>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</si>
  <si>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</si>
  <si>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</si>
  <si>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</si>
  <si>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</si>
  <si>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</si>
  <si>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</si>
  <si>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</si>
  <si>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</si>
  <si>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</si>
  <si>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</si>
  <si>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</si>
  <si>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</si>
  <si>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</si>
  <si>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</si>
  <si>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</si>
  <si>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</si>
  <si>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</si>
  <si>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</si>
  <si>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</si>
  <si>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</si>
  <si>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</si>
  <si>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</si>
  <si>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</si>
  <si>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</si>
  <si>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</si>
  <si>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</si>
  <si>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</si>
  <si>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</si>
  <si>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</si>
  <si>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</si>
  <si>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</si>
  <si>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</si>
  <si>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</si>
  <si>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</si>
  <si>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</si>
  <si>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</si>
  <si>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</si>
  <si>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</si>
  <si>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</si>
  <si>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</si>
  <si>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</si>
  <si>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</si>
  <si>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</si>
  <si>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</si>
  <si>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</si>
  <si>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</si>
  <si>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</si>
  <si>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</si>
  <si>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</si>
  <si>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</si>
  <si>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</si>
  <si>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</si>
  <si>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</si>
  <si>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</si>
  <si>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</si>
  <si>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</si>
  <si>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</si>
  <si>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</si>
  <si>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</si>
  <si>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</si>
  <si>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</si>
  <si>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</si>
  <si>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</si>
  <si>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</si>
  <si>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</si>
  <si>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</si>
  <si>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</si>
  <si>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</si>
  <si>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</si>
  <si>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</si>
  <si>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</si>
  <si>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</si>
  <si>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</si>
  <si>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</si>
  <si>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</si>
  <si>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</si>
  <si>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</si>
  <si>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</si>
  <si>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</si>
  <si>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</si>
  <si>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</si>
  <si>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</si>
  <si>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</si>
  <si>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</si>
  <si>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</si>
  <si>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</si>
  <si>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</si>
  <si>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</si>
  <si>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</si>
  <si>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</si>
  <si>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</si>
  <si>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</si>
  <si>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</si>
  <si>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</si>
  <si>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</si>
  <si>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</si>
  <si>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</si>
  <si>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</si>
  <si>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</si>
  <si>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</si>
  <si>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</si>
  <si>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</si>
  <si>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</si>
  <si>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</si>
  <si>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</si>
  <si>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</si>
  <si>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</si>
  <si>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</si>
  <si>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</si>
  <si>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</si>
  <si>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</si>
  <si>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</si>
  <si>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</si>
  <si>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</si>
  <si>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</si>
  <si>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</si>
  <si>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</si>
  <si>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</si>
  <si>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</si>
  <si>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</si>
  <si>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</si>
  <si>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</si>
  <si>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</si>
  <si>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</si>
  <si>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</si>
  <si>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</si>
  <si>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</si>
  <si>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</si>
  <si>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</si>
  <si>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</si>
  <si>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</si>
  <si>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</si>
  <si>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</si>
  <si>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</si>
  <si>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</si>
  <si>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</si>
  <si>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</si>
  <si>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</si>
  <si>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</si>
  <si>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</si>
  <si>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</si>
  <si>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</si>
  <si>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</si>
  <si>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</si>
  <si>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</si>
  <si>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</si>
  <si>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</si>
  <si>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</si>
  <si>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</si>
  <si>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</si>
  <si>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</si>
  <si>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</si>
  <si>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</si>
  <si>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</si>
  <si>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</si>
  <si>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</si>
  <si>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</si>
  <si>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</si>
  <si>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</si>
  <si>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</si>
  <si>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</si>
  <si>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</si>
  <si>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</si>
  <si>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</si>
  <si>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</si>
  <si>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</si>
  <si>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</si>
  <si>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</si>
  <si>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</si>
  <si>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</si>
  <si>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</si>
  <si>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</si>
  <si>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</si>
  <si>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</si>
  <si>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</si>
  <si>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</si>
  <si>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</si>
  <si>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</si>
  <si>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</si>
  <si>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</si>
  <si>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</si>
  <si>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</si>
  <si>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</si>
  <si>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</si>
  <si>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</si>
  <si>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</si>
  <si>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</si>
  <si>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</si>
  <si>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</si>
  <si>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</si>
  <si>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</si>
  <si>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</si>
  <si>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</si>
  <si>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</si>
  <si>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</si>
  <si>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</si>
  <si>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</si>
  <si>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</si>
  <si>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</si>
  <si>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</si>
  <si>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</si>
  <si>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</si>
  <si>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</si>
  <si>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</si>
  <si>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</si>
  <si>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</si>
  <si>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</si>
  <si>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</si>
  <si>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</si>
  <si>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</si>
  <si>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</si>
  <si>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</si>
  <si>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</si>
  <si>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</si>
  <si>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</si>
  <si>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</si>
  <si>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</si>
  <si>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</si>
  <si>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</si>
  <si>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</si>
  <si>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</si>
  <si>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</si>
  <si>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</si>
  <si>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</si>
  <si>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</si>
  <si>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</si>
  <si>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</si>
  <si>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</si>
  <si>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</si>
  <si>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</si>
  <si>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</si>
  <si>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</si>
  <si>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</si>
  <si>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</si>
  <si>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</si>
  <si>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</si>
  <si>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</si>
  <si>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</si>
  <si>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</si>
  <si>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</si>
  <si>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</si>
  <si>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</si>
  <si>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</si>
  <si>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</si>
  <si>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</si>
  <si>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</si>
  <si>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</si>
  <si>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</si>
  <si>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</si>
  <si>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</si>
  <si>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</si>
  <si>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</si>
  <si>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</si>
  <si>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</si>
  <si>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</si>
  <si>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</si>
  <si>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</si>
  <si>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</si>
  <si>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</si>
  <si>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</si>
  <si>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</si>
  <si>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</si>
  <si>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</si>
  <si>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</si>
  <si>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</si>
  <si>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</si>
  <si>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</si>
  <si>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</si>
  <si>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</si>
  <si>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</si>
  <si>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</si>
  <si>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</si>
  <si>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</si>
  <si>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</si>
  <si>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DCN-020,
DCN-019,
DCN-009,</t>
  </si>
  <si>
    <t>[DCHUB]4 level Host VM
[DCHUB]1 level GPUVM support,
[DCHUB]DCC Decompression Support</t>
  </si>
  <si>
    <t>DCC Decompression Test</t>
  </si>
  <si>
    <t>DCHB002</t>
  </si>
  <si>
    <t>DCN-015,
DCN-021,
DCN-105</t>
  </si>
  <si>
    <t>[DCHUB]DCHUBBUB Watermark Change Support,
[DCHUB]HW Rotation and Mirror Support,
[DCHUB][DMU]DMCU: Secure Firmware Load Support and DMCUB support</t>
  </si>
  <si>
    <t>Rotation &amp; Mirroring Test</t>
  </si>
  <si>
    <t>DCHB004</t>
  </si>
  <si>
    <t>DCN-020,
DCN-019,
DCN-028,
DCN-022</t>
  </si>
  <si>
    <t>[DCHUB]4 level Host VM,
[DCHUB]1 level GPUVM support,
[DCHUB]Stereo 3D Vsync Flip,
[DCHUB]V-flip and I-flip type surface flip</t>
  </si>
  <si>
    <t>Basic Flip Test</t>
  </si>
  <si>
    <t>DCHB005</t>
  </si>
  <si>
    <t>DCN-028,
DCN-022</t>
  </si>
  <si>
    <t>[DCHUB]Stereo 3D Vsync Flip,
[DCHUB]V-flip and I-flip type surface flip</t>
  </si>
  <si>
    <t>Stereoscopic Flip Test</t>
  </si>
  <si>
    <t>DCHB006</t>
  </si>
  <si>
    <t>DCN-024,
DCN-021</t>
  </si>
  <si>
    <t>[DCHUB]Global Flip Control Support,
[DCHUB]HW Rotation and Mirror Support</t>
  </si>
  <si>
    <t>Viewport Panning Test</t>
  </si>
  <si>
    <t>DCHB007</t>
  </si>
  <si>
    <t>DCN-022,
DCN-i024,
DCN-023</t>
  </si>
  <si>
    <t>[DCHUB]V-flip and I-flip type surface flip,
[DCHUB]I-Flip latency
[DCHUB]I-Flip testing with YUV420 and VM</t>
  </si>
  <si>
    <t>Immediate Flip Stress Test</t>
  </si>
  <si>
    <t>DCHB008</t>
  </si>
  <si>
    <t>DCN-024</t>
  </si>
  <si>
    <t>[DCHUB]Global Flip Control Support</t>
  </si>
  <si>
    <t>Global Flip Control Test</t>
  </si>
  <si>
    <t>DCHB010</t>
  </si>
  <si>
    <t>DCN-029</t>
  </si>
  <si>
    <t>[DCHUB]Reader Line Position Support</t>
  </si>
  <si>
    <t>Reader Line Position Test</t>
  </si>
  <si>
    <t>DCHB011</t>
  </si>
  <si>
    <t>DCN-009</t>
  </si>
  <si>
    <t>[DCHUB]DCC Decompression Support</t>
  </si>
  <si>
    <t>DCC Zero-Sized Request Test</t>
  </si>
  <si>
    <t>DCHB012</t>
  </si>
  <si>
    <t>DCC Dynamic Decompression Test</t>
  </si>
  <si>
    <t>DCHB013</t>
  </si>
  <si>
    <t>DCN-026
DCN-025</t>
  </si>
  <si>
    <t>[DCHUB]GFx 10.3 Tiling Formats Support
[DCHUB]Surface Address support linear and 2D tiled</t>
  </si>
  <si>
    <t>GFX10 Tiling/Swizzle Modes Test</t>
  </si>
  <si>
    <t>DCHB014</t>
  </si>
  <si>
    <t>[DCHUB]?4 level Host VM,
[DCHUB]1 level GPUVM support,
[DCHUB]Stereo 3D Vsync Flip,
[DCHUB]V-flip and I-flip type surface flip</t>
  </si>
  <si>
    <t>Advanced Flip Test</t>
  </si>
  <si>
    <t>DCHB021</t>
  </si>
  <si>
    <t>DCN-027</t>
  </si>
  <si>
    <t>[DCHUB]DCHUBBUB TMZ Support</t>
  </si>
  <si>
    <t>Display Surface TMZ Test</t>
  </si>
  <si>
    <t>DCHB030</t>
  </si>
  <si>
    <t>Colour Component Crossbar Test</t>
  </si>
  <si>
    <t>DCHB033</t>
  </si>
  <si>
    <t>DCN-019</t>
  </si>
  <si>
    <t>[DCHUB]VM support</t>
  </si>
  <si>
    <t>Basic Virtual Memory(GPUVM) Testing</t>
  </si>
  <si>
    <t>DCHB022</t>
  </si>
  <si>
    <t>DCN-020</t>
  </si>
  <si>
    <t>[DCHUB]4 level Host VM,</t>
  </si>
  <si>
    <t>DCHUB HOST VM &amp; Invalidation Test</t>
  </si>
  <si>
    <t>DCHB040</t>
  </si>
  <si>
    <t>DCHUBBUB TMR Support Test</t>
  </si>
  <si>
    <t>DCHB050</t>
  </si>
  <si>
    <t>DCN-020，
DCN-112</t>
  </si>
  <si>
    <t>[DCHUB]4 level Host VM,
[DCHUB]Z9/Z10 Deep Cstate</t>
  </si>
  <si>
    <t>DCHUB RIOMMU Event Logging Test</t>
  </si>
  <si>
    <t>DCHB060</t>
  </si>
  <si>
    <t>DCHUB RIOMMU Z-state (Z10) Invalidation Test</t>
  </si>
  <si>
    <t>DCHB061</t>
  </si>
  <si>
    <t>DCN-030</t>
  </si>
  <si>
    <t>[DPP]Format Conversion Support</t>
  </si>
  <si>
    <t>DPP</t>
  </si>
  <si>
    <t>CNVC Dynamic Pixel Expansion Test</t>
  </si>
  <si>
    <t>DPP002</t>
  </si>
  <si>
    <t>DCN-031</t>
  </si>
  <si>
    <t>[DPP]Cursor Composition</t>
  </si>
  <si>
    <t>Stereoscopic Cursor Test</t>
  </si>
  <si>
    <t>DPP005</t>
  </si>
  <si>
    <t>DCN-043</t>
  </si>
  <si>
    <t>[DPP]Scaling: Auto Calculation Mode</t>
  </si>
  <si>
    <t>Scaler Bypass Mode Test</t>
  </si>
  <si>
    <t>DPP006</t>
  </si>
  <si>
    <t>Scaler Hardcoded 2-Tap Scaling Test</t>
  </si>
  <si>
    <t>DPP007</t>
  </si>
  <si>
    <t>DCN-042</t>
  </si>
  <si>
    <t>[DPP]Scaling: Sharpening Support</t>
  </si>
  <si>
    <t>Scaler Hardcoded 2-Tap Sharpening Test</t>
  </si>
  <si>
    <t>DPP008</t>
  </si>
  <si>
    <t>DCN-044, DCN-046, DCN-039,
DCN-038</t>
  </si>
  <si>
    <t>[DPP]Scaling: Underscan/Overscan,
[DPP]Scaling: Scaler Boundary Condition Support,
[DPP]Scaling: Downscaling,
[DPP]Scaling: Pre-Scaling Linearization</t>
  </si>
  <si>
    <t>Scaler N-Tap Scaling Test</t>
  </si>
  <si>
    <t>DPP009</t>
  </si>
  <si>
    <t>DCN-047</t>
  </si>
  <si>
    <t>[DPP]Line buffer dynamic memory allocation and partitioning</t>
  </si>
  <si>
    <t>Line Buffer Memory Size Test</t>
  </si>
  <si>
    <t>DPP010</t>
  </si>
  <si>
    <t>DCN-036</t>
  </si>
  <si>
    <t>[DPP]Color Processing: Gamut Remap after blend</t>
  </si>
  <si>
    <t>Gamut Remap Test</t>
  </si>
  <si>
    <t>DPP016</t>
  </si>
  <si>
    <t>DCN-035</t>
  </si>
  <si>
    <t>[DPP]Color Processing: HDR Multiplier coefficients</t>
  </si>
  <si>
    <t>HDR Multiplier Test</t>
  </si>
  <si>
    <t>DPP020</t>
  </si>
  <si>
    <t>DCN-033</t>
  </si>
  <si>
    <t>Color Keyer Alpha Generation Test</t>
  </si>
  <si>
    <t>DPP024</t>
  </si>
  <si>
    <t>DCN-033,
DCN-020,
DCN-019</t>
  </si>
  <si>
    <t>[DPP]Format Conversion Support,
?4 level Host VM,
VM support</t>
  </si>
  <si>
    <t>Basic Pixel Unpacking Test</t>
  </si>
  <si>
    <t>DPP029</t>
  </si>
  <si>
    <t>[DPP]Format Conversion Support,</t>
  </si>
  <si>
    <t>Format Converter Bias &amp; Scale Test</t>
  </si>
  <si>
    <t>DPP030</t>
  </si>
  <si>
    <t>Alpha Expansion LUT Test</t>
  </si>
  <si>
    <t>DPP031</t>
  </si>
  <si>
    <t>DCN-036,
DCN-039,
DCN-046，
DCN-041，
DCN-040，
DCN-044</t>
  </si>
  <si>
    <t>[DPP]Pre-scaling enabled Scaling Support
[DPP]Scaler Downscaling Support
[DPP]Scaling: Scaler Boundary Condition Support,
[DPP]Scaling: Alpha Scaling,
[DPP]Scaling: Upscaling,
[DPP]Scaling: Underscan/Overscan</t>
  </si>
  <si>
    <t>Scaler Scenario Test</t>
  </si>
  <si>
    <t>DPP034</t>
  </si>
  <si>
    <t>DCN-045</t>
  </si>
  <si>
    <t>[DPP]Scaling: Stereo scaling</t>
  </si>
  <si>
    <t>Stereoscopic Scaling Test</t>
  </si>
  <si>
    <t>DPP036</t>
  </si>
  <si>
    <t>DCN-032</t>
  </si>
  <si>
    <t>[DPP]Color Processing: De-alpha &amp; Bias</t>
  </si>
  <si>
    <t>De-alpha and Bias Test</t>
  </si>
  <si>
    <t>DPP037</t>
  </si>
  <si>
    <t>Gamut Reamp S3.12 Coefficient Format Test</t>
  </si>
  <si>
    <t>DPP039</t>
  </si>
  <si>
    <t>FCNV Clamp to Positive Test</t>
  </si>
  <si>
    <t>DPP042</t>
  </si>
  <si>
    <t>Basic Cursor Test</t>
  </si>
  <si>
    <t>DPP043</t>
  </si>
  <si>
    <t>Cursor Combo Test</t>
  </si>
  <si>
    <t>DPP044</t>
  </si>
  <si>
    <t>Cursor Blending Stereoscopic Test</t>
  </si>
  <si>
    <t>DPP045</t>
  </si>
  <si>
    <t>DCN-127</t>
  </si>
  <si>
    <t>[DPP]Color Processing: Pre-DeAlpha</t>
  </si>
  <si>
    <t>CNVC Pre-DeAlpha Test</t>
  </si>
  <si>
    <t>DPP046</t>
  </si>
  <si>
    <t>[DPP]Color Processing: Pre-color Space Conversion Support</t>
  </si>
  <si>
    <t>CNVC PreCSC S2.13 Coefcient Format Test</t>
  </si>
  <si>
    <t>DPP047</t>
  </si>
  <si>
    <t>CNVC PreCSC S3.12 Coefficient Format Test</t>
  </si>
  <si>
    <t>DPP048</t>
  </si>
  <si>
    <t>DCN-128</t>
  </si>
  <si>
    <t>[DPP]Color Processing: Post-scaler CSC</t>
  </si>
  <si>
    <t>CM PostCSC S2.13 Coefcient Format Test</t>
  </si>
  <si>
    <t>DPP049</t>
  </si>
  <si>
    <t>CM PostCSC S3.12 Coefficient Format Test</t>
  </si>
  <si>
    <t>DPP050</t>
  </si>
  <si>
    <t>DCN-034</t>
  </si>
  <si>
    <t>[DPP]Color Processing: Pre-DeGamma Support</t>
  </si>
  <si>
    <t>CNVC Pre-DeGamma Test</t>
  </si>
  <si>
    <t>DPP051</t>
  </si>
  <si>
    <t>DCN-032，
DCN-129</t>
  </si>
  <si>
    <t>[DPP]Color Processing: De-alpha &amp; Bias,
[DPP]Color Processing: Pre-ReAlpha Support</t>
  </si>
  <si>
    <t>Pre-ReAlpha and De-Alpha Test</t>
  </si>
  <si>
    <t>DPP052</t>
  </si>
  <si>
    <t>DCN-130</t>
  </si>
  <si>
    <t>[DPP]Color Processing: Gamma Correction</t>
  </si>
  <si>
    <t>CM Gamma Correction Test</t>
  </si>
  <si>
    <t>DPP053</t>
  </si>
  <si>
    <t>DCN-049, DCN-050, DCN-051</t>
  </si>
  <si>
    <t>[MPC]Top-layer Pass-through Mode Support,
[MPC]Pre-Pixel Alpha Blending with Gain Support,
[MPC]Global Alpha Blending with Gain Support</t>
  </si>
  <si>
    <t>MPC</t>
  </si>
  <si>
    <t>MPCC Mode Test</t>
  </si>
  <si>
    <t>MPC003</t>
  </si>
  <si>
    <t>DCN-052</t>
  </si>
  <si>
    <t>[MPC]Stereo Format Blending Support</t>
  </si>
  <si>
    <t>MPCC Stereo Mixing Test</t>
  </si>
  <si>
    <t>MPC005</t>
  </si>
  <si>
    <t>DCN-050, DCN-051</t>
  </si>
  <si>
    <t>[MPC]Pre-Pixel Alpha Blending with Gain Support,
[MPC]Global Alpha Blending with Gain Support</t>
  </si>
  <si>
    <t>Alpha Blending Per-Layer Gain Test</t>
  </si>
  <si>
    <t>MPC007</t>
  </si>
  <si>
    <t>DCN-054</t>
  </si>
  <si>
    <t>[MPC]Output Color Space Conversion</t>
  </si>
  <si>
    <t>MPC Output CSC Test</t>
  </si>
  <si>
    <t>MPC009</t>
  </si>
  <si>
    <t>DCN-055</t>
  </si>
  <si>
    <t>[MPC]De-normalization, Rounding and Clamping Support</t>
  </si>
  <si>
    <t>MPC Denormalization and Clamping Test</t>
  </si>
  <si>
    <t>MPC010</t>
  </si>
  <si>
    <t>DCN-125</t>
  </si>
  <si>
    <t>[MPC]MPCC 3D LUT Support</t>
  </si>
  <si>
    <t>MPC 3D LUT Test</t>
  </si>
  <si>
    <t>MPC017</t>
  </si>
  <si>
    <t>DCN-126</t>
  </si>
  <si>
    <t>[MPC]MPCC Gamut Remap Support</t>
  </si>
  <si>
    <t>MPC Gamut Remap Test</t>
  </si>
  <si>
    <t>MPC012</t>
  </si>
  <si>
    <t>MPC Gamut Remap S3.12 Coefficient Format Test</t>
  </si>
  <si>
    <t>MPC013</t>
  </si>
  <si>
    <t>DCN-060
DCN-053</t>
  </si>
  <si>
    <t>[OPP]Formatter: 4:2:2 and 4:2:0 Sub-sampling Support
[MPC]Output Gamma</t>
  </si>
  <si>
    <t>MPCC Extend Output Gamma Test</t>
  </si>
  <si>
    <t>MPC015</t>
  </si>
  <si>
    <t>DCN-010</t>
  </si>
  <si>
    <t>[OPP]ABM</t>
  </si>
  <si>
    <t>ABM</t>
  </si>
  <si>
    <t>ABM Histogram</t>
  </si>
  <si>
    <t>ABM066</t>
  </si>
  <si>
    <t>ABM Luma Statistics</t>
  </si>
  <si>
    <t>ABM067</t>
  </si>
  <si>
    <t>DCN-058</t>
  </si>
  <si>
    <t>[OPP]Formatter: Truncation or rounding</t>
  </si>
  <si>
    <t>FMT</t>
  </si>
  <si>
    <t xml:space="preserve"> FMT Truncation Test</t>
  </si>
  <si>
    <t>FMT001</t>
  </si>
  <si>
    <t>FMT Basic Spatial Dither Test</t>
  </si>
  <si>
    <t>FMT002</t>
  </si>
  <si>
    <t>FMT Spatial Dither Mode Test</t>
  </si>
  <si>
    <t>FMT003</t>
  </si>
  <si>
    <t>FMT Frame Random Spatial Dither Test</t>
  </si>
  <si>
    <t>FMT004</t>
  </si>
  <si>
    <t>FMT Spatial Dither Frame Counter Test</t>
  </si>
  <si>
    <t>FMT005</t>
  </si>
  <si>
    <t>FMT Temporal Dither Test</t>
  </si>
  <si>
    <t>FMT006</t>
  </si>
  <si>
    <t>DCN-059</t>
  </si>
  <si>
    <t>[OPP]Formatter: Legal Color Space Clamping Support</t>
  </si>
  <si>
    <t>FMT Clamping Test</t>
  </si>
  <si>
    <t>FMT007</t>
  </si>
  <si>
    <t>FMT Random Dither with Stereo Test</t>
  </si>
  <si>
    <t>FMT008</t>
  </si>
  <si>
    <t>DCN-060</t>
  </si>
  <si>
    <t>[OPP]Formatter: 4:2:2 and 4:2:0 Sub-sampling Support</t>
  </si>
  <si>
    <t>FMT 4:2:2 Subsampling Test</t>
  </si>
  <si>
    <t>FMT009</t>
  </si>
  <si>
    <t>FMT 4:2:0 Basic Subsampling Test</t>
  </si>
  <si>
    <t>FMT010</t>
  </si>
  <si>
    <t xml:space="preserve"> FMT 4:2:0 Stereoscopic (Side-by-Side Half) Subsampling Test</t>
  </si>
  <si>
    <t>FMT011</t>
  </si>
  <si>
    <t>DCN-061</t>
  </si>
  <si>
    <t>[OPP]Formatter: Dynamic &amp; Zero expansion</t>
  </si>
  <si>
    <t>FMT Dynamic Expansion Test</t>
  </si>
  <si>
    <t>FMT012</t>
  </si>
  <si>
    <t>FMT 4:2:2 Subsampling with ODM Combine Test</t>
  </si>
  <si>
    <t>FMT014</t>
  </si>
  <si>
    <t>Basic Subsampling with ODM Combine Test</t>
  </si>
  <si>
    <t>FMT015</t>
  </si>
  <si>
    <t>DCN-065,
DCN-066,
DCN-064,
DCN-xxx</t>
  </si>
  <si>
    <t>[DSC] DSC for DP,
[DSC] DSC for HDMI2.1,
[DIO]DP FEC support,
[OPP]DSC Resource Manager Support</t>
  </si>
  <si>
    <t>DSC</t>
  </si>
  <si>
    <t>Multi-Stream DSC Test</t>
  </si>
  <si>
    <t>DSC004</t>
  </si>
  <si>
    <t>DCN-068</t>
  </si>
  <si>
    <t>[ODM]ODM: Combine mode for 2:1 and 4:1</t>
  </si>
  <si>
    <t>ODM</t>
  </si>
  <si>
    <t>ODM Combine Mode Basic Test</t>
  </si>
  <si>
    <t>ODM001</t>
  </si>
  <si>
    <t>ODM Combine Mode DSC Test</t>
  </si>
  <si>
    <t>ODM003</t>
  </si>
  <si>
    <t>ODM Combine Mode (4:1) with DSC Test (For HPO FRL or DP2.0)</t>
  </si>
  <si>
    <t>ODM004</t>
  </si>
  <si>
    <t xml:space="preserve">ODM Combine Mode with HBR3 Test </t>
  </si>
  <si>
    <t>ODM005</t>
  </si>
  <si>
    <t>DCN-141</t>
  </si>
  <si>
    <t>[ODM] Dynamic switch of ODM</t>
  </si>
  <si>
    <t>Dynamic Switch Of ODM Test</t>
  </si>
  <si>
    <t>ODM007</t>
  </si>
  <si>
    <t>DCN-062,
DCN-073</t>
  </si>
  <si>
    <t>[OPP]Formatter: OPPBUF Pixel Repetition Support,
[OPTC]Horizontal pixel repetition</t>
  </si>
  <si>
    <t>OTG</t>
  </si>
  <si>
    <t>OTG Pixel Repetition Test</t>
  </si>
  <si>
    <t>OTG005</t>
  </si>
  <si>
    <t>DCN-075</t>
  </si>
  <si>
    <t>[OPTC]Forced Vsync Support</t>
  </si>
  <si>
    <t>OTG Force VSYNC Next Line Test</t>
  </si>
  <si>
    <t>OTG007</t>
  </si>
  <si>
    <t>DCN-076</t>
  </si>
  <si>
    <t>[OPTC]H, V and Frame Count Snapshot Support</t>
  </si>
  <si>
    <t>OTG Snapshot Test</t>
  </si>
  <si>
    <t>OTG008</t>
  </si>
  <si>
    <t>DCN-070</t>
  </si>
  <si>
    <t>[OPTC]Stereo 3D Timing Support</t>
  </si>
  <si>
    <t>OTG Frame-Sequential Stereoscopic Test</t>
  </si>
  <si>
    <t>OTG009</t>
  </si>
  <si>
    <t>DCN-074</t>
  </si>
  <si>
    <t>[OPTC]OTG Trigger Support</t>
  </si>
  <si>
    <t>OTG Trigger Detection Test</t>
  </si>
  <si>
    <t>OTG011</t>
  </si>
  <si>
    <t>DCN-077</t>
  </si>
  <si>
    <t>[OPTC]Forced H and V Counter Support</t>
  </si>
  <si>
    <t>OTG Force Count Test</t>
  </si>
  <si>
    <t>OTG013</t>
  </si>
  <si>
    <t>DCN-081</t>
  </si>
  <si>
    <t>[OPTC]DRR</t>
  </si>
  <si>
    <t>OTG Dynamic Refresh Rate Test</t>
  </si>
  <si>
    <t>OTG014</t>
  </si>
  <si>
    <t>DCN-080,
DCN-069</t>
  </si>
  <si>
    <t>[OPTC]GSL,
[OPTC]SLS Mode Timing Sync Support</t>
  </si>
  <si>
    <t>OTG017</t>
  </si>
  <si>
    <t>DCN-072</t>
  </si>
  <si>
    <t>[OPTC]Underflow Detection and Recovery</t>
  </si>
  <si>
    <t>Underflow Recovery Test</t>
  </si>
  <si>
    <t>OTG025</t>
  </si>
  <si>
    <t>DCN-079</t>
  </si>
  <si>
    <t>[OPTC]Static Screen Support</t>
  </si>
  <si>
    <t>OTG Static Screen Event Test</t>
  </si>
  <si>
    <t>OTG026</t>
  </si>
  <si>
    <t>DCN-057
DCN-064</t>
  </si>
  <si>
    <t>[OPP]Video Blanking Generation Support
DPG</t>
  </si>
  <si>
    <t>Display Pattern Generator Test</t>
  </si>
  <si>
    <t>OTG027</t>
  </si>
  <si>
    <t>DCN-057</t>
  </si>
  <si>
    <t>[OPP]Video Blanking Generation Support</t>
  </si>
  <si>
    <t>OTG Dynamic V-active Support Test</t>
  </si>
  <si>
    <t>OTG032</t>
  </si>
  <si>
    <t>OTG Stream Synchronization Support</t>
  </si>
  <si>
    <t>OTG033</t>
  </si>
  <si>
    <t>DCN-078，
DCN-106</t>
  </si>
  <si>
    <t>[OPTC]Vstartup, Vupdate and Vready Interrupt Support,
[DMU]Interrupt Handler Client Support</t>
  </si>
  <si>
    <t>OTG VUPDATE Interrupt Test</t>
  </si>
  <si>
    <t>OTG800</t>
  </si>
  <si>
    <t>DCN-078，
DCN-076</t>
  </si>
  <si>
    <t>[OPTC]Vstartup, Vupdate and Vready Interrupt Support,
[OPTC]H, V and Frame Count Snapshot Support</t>
  </si>
  <si>
    <t>OTG Snapshot Interrupt Test</t>
  </si>
  <si>
    <t>OTG801</t>
  </si>
  <si>
    <t>DCN-106，
DCN-074</t>
  </si>
  <si>
    <t>[DMU]Interrupt Handler Client Support
[OPTC]OTG Trigger Support</t>
  </si>
  <si>
    <t>OTG TRIGA Interrupt Test</t>
  </si>
  <si>
    <t>OTG804</t>
  </si>
  <si>
    <t>OTG TRIGB Interrupt Test</t>
  </si>
  <si>
    <t>OTG805</t>
  </si>
  <si>
    <t>DCN-078</t>
  </si>
  <si>
    <t>[OPTC]Vstartup, Vupdate and Vready Interrupt Support</t>
  </si>
  <si>
    <t>OTG VSTARTUP Interrupt Test</t>
  </si>
  <si>
    <t>OTG809</t>
  </si>
  <si>
    <t>OTG VREADY Interrupt Test</t>
  </si>
  <si>
    <t>OTG810</t>
  </si>
  <si>
    <t>DCN-090</t>
  </si>
  <si>
    <t>[DIO]AUX/I2C</t>
  </si>
  <si>
    <t>EDID Read Tests</t>
  </si>
  <si>
    <t>DIO002</t>
  </si>
  <si>
    <t>Aux Channel DPCD Read/Write Tests</t>
  </si>
  <si>
    <t>DIO003</t>
  </si>
  <si>
    <t>EDID Variable Length Read</t>
  </si>
  <si>
    <t>DIO011</t>
  </si>
  <si>
    <t>DCN-070,
DCN-082,
DCN-063</t>
  </si>
  <si>
    <t>[OPTC]Stereo 3D Timing Support,
[DIO]HDMI 1.4b and 2.0b,
[OPP]Stereo Dummy Data Insertion Support</t>
  </si>
  <si>
    <t>HDMI 1.4 Frame Packing 3D Test</t>
  </si>
  <si>
    <t>DIO220</t>
  </si>
  <si>
    <t>DCN-082</t>
  </si>
  <si>
    <t>[DIO]HDMI 1.4b and 2.0b</t>
  </si>
  <si>
    <t>HDMI 2.0 Scrambler Test</t>
  </si>
  <si>
    <t>DIO221</t>
  </si>
  <si>
    <t>DCN-084, 
DCN-088,
DCN-020, 
DCN-019</t>
  </si>
  <si>
    <t>[DIO]HDMI Dolby Vision Support,
[DIO]HDMI Dynamic Metadata,
?4 level Host VM,
VM support</t>
  </si>
  <si>
    <t>HDMI 2.0 Dynamic Metadata Test</t>
  </si>
  <si>
    <t>DIO222</t>
  </si>
  <si>
    <t>DCN-085</t>
  </si>
  <si>
    <t>[DIO]HDMI and DP SPDIF Control Bits Support</t>
  </si>
  <si>
    <t xml:space="preserve"> HDMI SPDIF Control Bits Test </t>
  </si>
  <si>
    <t>DIO223</t>
  </si>
  <si>
    <t>HDMI Basic Output Test on PHYA</t>
  </si>
  <si>
    <t>DIO217</t>
  </si>
  <si>
    <t>HDMI Random Audio Test</t>
  </si>
  <si>
    <t>DIO224</t>
  </si>
  <si>
    <t>HDMI Ramp Audio Test</t>
  </si>
  <si>
    <t>DIO225</t>
  </si>
  <si>
    <t>HDMI Azalia Basic Audio Sine Wave Test</t>
  </si>
  <si>
    <t>DIO226</t>
  </si>
  <si>
    <t xml:space="preserve"> HDMI Azalia Basic Audio Test</t>
  </si>
  <si>
    <t>DIO227</t>
  </si>
  <si>
    <t>HDMI Azalia 2.0 Channel HD Audio Test</t>
  </si>
  <si>
    <t>DIO228</t>
  </si>
  <si>
    <t>HDMI Azalia 4.0 Channel HD Audio Test</t>
  </si>
  <si>
    <t>DIO229</t>
  </si>
  <si>
    <t>HDMI Azalia 5.1 Channel HD Audio Test</t>
  </si>
  <si>
    <t>DIO230</t>
  </si>
  <si>
    <t>HDMI Azalia 6.1 Channel HD Audio Test</t>
  </si>
  <si>
    <t>DIO231</t>
  </si>
  <si>
    <t>HDMI Azalia 7.1 Channel HD Audio Test</t>
  </si>
  <si>
    <t>DIO232</t>
  </si>
  <si>
    <t>HDMI Azalia HBR Audio Test</t>
  </si>
  <si>
    <t>DIO233</t>
  </si>
  <si>
    <t>HDMI Multi-Channel Single Stream DMA Out</t>
  </si>
  <si>
    <t>DIO234</t>
  </si>
  <si>
    <t>HDMI Keep-alive Enable Azalia Audio Test</t>
  </si>
  <si>
    <t>DIO235</t>
  </si>
  <si>
    <t>HDMI Deep Color Azalia 2.0 Channel HD Audio Test</t>
  </si>
  <si>
    <t>DIO236</t>
  </si>
  <si>
    <t>HDMI Deep Color Azalia 7.1 Channel HD Audio Test</t>
  </si>
  <si>
    <t>DIO237</t>
  </si>
  <si>
    <t>HDMI Deep Color Azalia HBR Audio Test</t>
  </si>
  <si>
    <t>DIO238</t>
  </si>
  <si>
    <t>HDMI 1.4 Frame Packing 3D Test with Azalia Audio</t>
  </si>
  <si>
    <t>DIO240</t>
  </si>
  <si>
    <t>DCN-99</t>
  </si>
  <si>
    <t>[AZ]Audio Content Protection/Management Support</t>
  </si>
  <si>
    <t>HDMI Audio Content Management Packet Test</t>
  </si>
  <si>
    <t>DIO241</t>
  </si>
  <si>
    <t>[DIO]Generic infoframe packet for DP and HDMI</t>
  </si>
  <si>
    <t>HDMI2.0 Packet Generation test</t>
  </si>
  <si>
    <t>DIO242</t>
  </si>
  <si>
    <t>HDMI 2.0</t>
  </si>
  <si>
    <t>HDMI Azalia Audio Test</t>
  </si>
  <si>
    <t>DIO253</t>
  </si>
  <si>
    <t>DCN-086</t>
  </si>
  <si>
    <t>DP 1.4 Support</t>
  </si>
  <si>
    <t>Multi-Stream HD Audio Test</t>
  </si>
  <si>
    <t>DIO270</t>
  </si>
  <si>
    <t>DCN-018</t>
  </si>
  <si>
    <t>[DIO]HDR support</t>
  </si>
  <si>
    <t>DisplayPort Dynamic Metadata Test</t>
  </si>
  <si>
    <t>DIO359</t>
  </si>
  <si>
    <t>DP Frame Packing 3D Test</t>
  </si>
  <si>
    <t>DIO365</t>
  </si>
  <si>
    <t>DP Frame Packing 3D Test with Scaling</t>
  </si>
  <si>
    <t>DIO366</t>
  </si>
  <si>
    <t>DCN-071</t>
  </si>
  <si>
    <t>[OPTC]Ranged timing</t>
  </si>
  <si>
    <t>DisplayPort Ranged Timing H/V TOTAL Change Test</t>
  </si>
  <si>
    <t>DIO367</t>
  </si>
  <si>
    <t>DisplayPort Ranged Timing Pixel Rate Change Test</t>
  </si>
  <si>
    <t>DIO368</t>
  </si>
  <si>
    <t>DCN-086,
DCN-092</t>
  </si>
  <si>
    <t>[DIO]DP 1.4 support,
[DIO]usb-c alt mode</t>
  </si>
  <si>
    <t>DP 1.62GHz 1 Lane Test</t>
  </si>
  <si>
    <t>DIO369</t>
  </si>
  <si>
    <t>DP 1.62GHz 2 Lane Test</t>
  </si>
  <si>
    <t>DIO370</t>
  </si>
  <si>
    <t>DP 1.62GHz 4 Lane Test</t>
  </si>
  <si>
    <t>DIO371</t>
  </si>
  <si>
    <t>DP 2.70GHz 1 Lane Test</t>
  </si>
  <si>
    <t>DIO372</t>
  </si>
  <si>
    <t>DP 2.70GHz 2 Lane Test</t>
  </si>
  <si>
    <t>DIO373</t>
  </si>
  <si>
    <t>DP 2.70GHz 4 Lane Test</t>
  </si>
  <si>
    <t>DIO374</t>
  </si>
  <si>
    <t>DP 5.40GHz 1 Lane Test</t>
  </si>
  <si>
    <t>DIO375</t>
  </si>
  <si>
    <t>DP 5.40GHz 2 Lane Test</t>
  </si>
  <si>
    <t>DIO376</t>
  </si>
  <si>
    <t>DP 5.40GHz 4 Lane Test</t>
  </si>
  <si>
    <t>DIO377</t>
  </si>
  <si>
    <t>DP 8.10GHz 1 Lane Test</t>
  </si>
  <si>
    <t>DIO378</t>
  </si>
  <si>
    <t>DP 8.10GHz 2 Lane Test</t>
  </si>
  <si>
    <t>DIO379</t>
  </si>
  <si>
    <t>DCN-086
DCN-092</t>
  </si>
  <si>
    <t>DP 8.10GHz 4 Lane Test</t>
  </si>
  <si>
    <t>DIO380</t>
  </si>
  <si>
    <t>DCN-087</t>
  </si>
  <si>
    <t>[DIO]DP 1.4 MST support</t>
  </si>
  <si>
    <t>DP MST Source Test</t>
  </si>
  <si>
    <t>DIO322</t>
  </si>
  <si>
    <t>DP MST Combo Test: UNIPHYB</t>
  </si>
  <si>
    <t>DIO324</t>
  </si>
  <si>
    <t>DP MST Combo Test: UNIPHYC</t>
  </si>
  <si>
    <t>DIO325</t>
  </si>
  <si>
    <t>[DIO]DP 1.4 support</t>
  </si>
  <si>
    <t>DisplayPort 4:2:0 Subsampling Test</t>
  </si>
  <si>
    <t>DIO381</t>
  </si>
  <si>
    <t>DCN-056</t>
  </si>
  <si>
    <t>[OPP]DP Link Layer Compliance Pattern Support</t>
  </si>
  <si>
    <t>DisplayPort Link Layer Compliance Pattern Test</t>
  </si>
  <si>
    <t>DIO328</t>
  </si>
  <si>
    <t>DisplayPort Audio Content Management Packet Test</t>
  </si>
  <si>
    <t>DIO382</t>
  </si>
  <si>
    <t>DisplayPort 1.4 basic output Test on PHYA</t>
  </si>
  <si>
    <t>DIO335</t>
  </si>
  <si>
    <t>DisplayPort Basic Output Test on PHYA/B</t>
  </si>
  <si>
    <t>DIO337</t>
  </si>
  <si>
    <t>DP Random Audio Test</t>
  </si>
  <si>
    <t>DIO383</t>
  </si>
  <si>
    <t>DP Ramp Audio Test</t>
  </si>
  <si>
    <t>DIO384</t>
  </si>
  <si>
    <t>DP Azalia Audio Test</t>
  </si>
  <si>
    <t>DIO385</t>
  </si>
  <si>
    <t>DCN-097</t>
  </si>
  <si>
    <t>[AZ]Hardware Silent Stream Support</t>
  </si>
  <si>
    <t>DisplayPort Keep-alive Enable Azalia Audio Test</t>
  </si>
  <si>
    <t>DIO386</t>
  </si>
  <si>
    <t>DCN-088,
DCN-020,
DCN-019</t>
  </si>
  <si>
    <t>[DIO]DP Dynamic Metadata,
?4 level Host VM,
VM support</t>
  </si>
  <si>
    <t>DisplayPort Tx-Rx CRC Test</t>
  </si>
  <si>
    <t>DIO389</t>
  </si>
  <si>
    <t>DCN-115，
DCN-083</t>
  </si>
  <si>
    <t>[HPO]HDMI2.1 Timing Support，
[DIO]HDMI 2.1 support VRR</t>
  </si>
  <si>
    <t>HPO Video Ouput test on PHYx</t>
  </si>
  <si>
    <t>DIO620</t>
  </si>
  <si>
    <t>DCN-121</t>
  </si>
  <si>
    <t>[HPO]HDMI 2.1 Audio Support</t>
  </si>
  <si>
    <t>HDMI2.1 Azalia 2.0 Channel HD Audio test</t>
  </si>
  <si>
    <t>DIO602</t>
  </si>
  <si>
    <t>HDMI2.1 Azalia 7.1 Channel HD Audio test</t>
  </si>
  <si>
    <t>DIO603</t>
  </si>
  <si>
    <t>HDMI2.1 Azalia HBR Audio test</t>
  </si>
  <si>
    <t>DIO604</t>
  </si>
  <si>
    <t>DCN-122</t>
  </si>
  <si>
    <t>[HPO]HDMI2.1 Stereo 3D Timing Support</t>
  </si>
  <si>
    <t>HPO Stereo test on PHYA</t>
  </si>
  <si>
    <t>DIO605</t>
  </si>
  <si>
    <t>DCN-123</t>
  </si>
  <si>
    <t>[HPO]HDMI 2.1 Frame Accurate metadata Support</t>
  </si>
  <si>
    <t>HDMI2.1 Frame Accurate Metadata test</t>
  </si>
  <si>
    <t>DIO606</t>
  </si>
  <si>
    <t>HDMI2.1 EM Data Non-interleave Transmission test</t>
  </si>
  <si>
    <t>DIO607</t>
  </si>
  <si>
    <t>DCN-124</t>
  </si>
  <si>
    <t>[HPO]HDMI 2.1 Packet Generation Support</t>
  </si>
  <si>
    <t>HDMI2.1 Packet Generation test</t>
  </si>
  <si>
    <t>DIO608</t>
  </si>
  <si>
    <t>DCN-113</t>
  </si>
  <si>
    <t>DP2.0</t>
  </si>
  <si>
    <t>DP2.0 10GHz 1 Lane Test</t>
  </si>
  <si>
    <t>DIO650</t>
  </si>
  <si>
    <t>DP2.0 10GHz 2 Lane Test</t>
  </si>
  <si>
    <t>DIO651</t>
  </si>
  <si>
    <t>DP2.0 10GHz 4 Lane Test</t>
  </si>
  <si>
    <t>DIO652</t>
  </si>
  <si>
    <t>DCN-113
DCN-142</t>
  </si>
  <si>
    <t>DP2.0
[DIO] C20 combo PHY</t>
  </si>
  <si>
    <t>DP2.0 13.5GHz 1 Lane Test</t>
  </si>
  <si>
    <t>DIO653</t>
  </si>
  <si>
    <t>DIO654</t>
  </si>
  <si>
    <t>DIO655</t>
  </si>
  <si>
    <t>DP2.0 20GHz 1 Lane Test</t>
  </si>
  <si>
    <t>DIO656</t>
  </si>
  <si>
    <t>DIO657</t>
  </si>
  <si>
    <t>DIO658</t>
  </si>
  <si>
    <t>DP2.0 Audio Content Management Packet Test</t>
  </si>
  <si>
    <t>DIO659</t>
  </si>
  <si>
    <t>DP2.0 Random Audio Test</t>
  </si>
  <si>
    <t>DIO660</t>
  </si>
  <si>
    <t>DP2.0 Ramp Audio Test</t>
  </si>
  <si>
    <t>DIO661</t>
  </si>
  <si>
    <t>DP2.0 Azalia Audio Test</t>
  </si>
  <si>
    <t>DIO662</t>
  </si>
  <si>
    <t>DCN-102</t>
  </si>
  <si>
    <t>[DWB]DWB Stereo 3D</t>
  </si>
  <si>
    <t>DWB</t>
  </si>
  <si>
    <t>Stereo</t>
  </si>
  <si>
    <t>DWB002</t>
  </si>
  <si>
    <t>DCN-102,
DCN-015</t>
  </si>
  <si>
    <t>[DWB]DWBSCL Bypass Mode,
[MMHUBBUB]MMHUBBUB Watermark Change Support</t>
  </si>
  <si>
    <t>DWB Bypass Mode Test</t>
  </si>
  <si>
    <t>DWB018</t>
  </si>
  <si>
    <t>DCN-093</t>
  </si>
  <si>
    <t>[DIO]HDCP1.4</t>
  </si>
  <si>
    <t>EB</t>
  </si>
  <si>
    <t>HDCP Check Keys</t>
  </si>
  <si>
    <t>EB001</t>
  </si>
  <si>
    <t>HDCP 1.x HDMI with Azalia Audio Test: PHYA</t>
  </si>
  <si>
    <t>EB200</t>
  </si>
  <si>
    <t>HDCP 1.x HDMI 1.4 Frame Packing 3D with 7.1 LPCM Audio
Test: PHYA</t>
  </si>
  <si>
    <t>EB213</t>
  </si>
  <si>
    <t>HDCP 1.x DisplayPort Test</t>
  </si>
  <si>
    <t>EB300</t>
  </si>
  <si>
    <t>[AZ]Audio HDCP Support</t>
  </si>
  <si>
    <t>DisplayPort with Audio HDCP Test</t>
  </si>
  <si>
    <t>EB302</t>
  </si>
  <si>
    <t>DCN-094</t>
  </si>
  <si>
    <t>[HPO]HDMI2.1 HPCP2.2 Support</t>
  </si>
  <si>
    <t>HDCP 2.2 DisplayPort Cipher Test</t>
  </si>
  <si>
    <t>EB303</t>
  </si>
  <si>
    <t>DCN-096</t>
  </si>
  <si>
    <t>[AZ]Jack Presence Support</t>
  </si>
  <si>
    <t>CE</t>
  </si>
  <si>
    <t>Auto payload in unsolicited response</t>
  </si>
  <si>
    <t>CE005</t>
  </si>
  <si>
    <t>DCN-100</t>
  </si>
  <si>
    <t>[AZ]Audio Controller Clock Gating and Deep Sleep Support</t>
  </si>
  <si>
    <t>Azalia Controller Clock Gating Test</t>
  </si>
  <si>
    <t>CE012</t>
  </si>
  <si>
    <t>DCN-101</t>
  </si>
  <si>
    <t>[AZ]External Event and Unsolicited Response Support</t>
  </si>
  <si>
    <t>Azalia Unsolicited Response Holding Test</t>
  </si>
  <si>
    <t>CE013</t>
  </si>
  <si>
    <t>DCN-119
DCN-104</t>
  </si>
  <si>
    <t>[DMU]Unallocated space access,
[DMU]RSMU-RBBM-DC Interface Support</t>
  </si>
  <si>
    <t>DMU</t>
  </si>
  <si>
    <t>Unallocated Register Access Test</t>
  </si>
  <si>
    <t>DMU001</t>
  </si>
  <si>
    <t>DCN-107</t>
  </si>
  <si>
    <t>[DMU]Fine Grain Security Gasket Support</t>
  </si>
  <si>
    <t>Fine-Grained Security Gasket Test</t>
  </si>
  <si>
    <t>DMU002</t>
  </si>
  <si>
    <t>DCN-104,
DCN-118</t>
  </si>
  <si>
    <t>[DMU]RSMU-RBBM-DC Interface Support,
[DMU]Register access and timeout Support</t>
  </si>
  <si>
    <t>Register Access Timeout Test</t>
  </si>
  <si>
    <t>DMU003</t>
  </si>
  <si>
    <t>DCN-110,
DCN-048</t>
  </si>
  <si>
    <t>[MISC] Digital bypass mode,
[MPC]Blender Bypass Mode Support</t>
  </si>
  <si>
    <t>DISP</t>
  </si>
  <si>
    <t>Direct Digital Bypass Mode Test</t>
  </si>
  <si>
    <t>DISP001</t>
  </si>
  <si>
    <t>DCN-108</t>
  </si>
  <si>
    <t>[MISC] Double Buffered Register Update Support</t>
  </si>
  <si>
    <t>Display Register Double-Buffering Test</t>
  </si>
  <si>
    <t>DISP002</t>
  </si>
  <si>
    <t>DCN-109</t>
  </si>
  <si>
    <t>[MISC] Triple Buffered Register Update Support</t>
  </si>
  <si>
    <t>Triple Buffered Register Update Test</t>
  </si>
  <si>
    <t>DISP007</t>
  </si>
  <si>
    <t>DCN-98</t>
  </si>
  <si>
    <t>[AZ]Audio Latency Hiding Support</t>
  </si>
  <si>
    <t>Display High Bandwidth Usage Test</t>
  </si>
  <si>
    <t>DISP005</t>
  </si>
  <si>
    <t>DCN-014
DCN-016</t>
  </si>
  <si>
    <t>DRAM Clock Change Support
DRAM Self-Refresh and C-States</t>
  </si>
  <si>
    <t>Memory P-State Switching at High Refresh Rate</t>
  </si>
  <si>
    <t>DISP014</t>
  </si>
  <si>
    <t>DCN-001
 DCN-002</t>
  </si>
  <si>
    <t>Optimize power gating for long vblank video
Hierarchical power gating(IPx DLDO)</t>
  </si>
  <si>
    <t>DLPC</t>
  </si>
  <si>
    <t>IPS Transition Test</t>
  </si>
  <si>
    <t>DLPC001</t>
  </si>
  <si>
    <t>DCN-005
DCN-006</t>
  </si>
  <si>
    <t xml:space="preserve">SRAM retention in DPP &amp; MPC to reduce restore time 
0pin retention/Security group 2 retention </t>
  </si>
  <si>
    <t>IPS SRAM / 0 pin flop retention test</t>
  </si>
  <si>
    <t>DLPC002
DLPC003</t>
  </si>
  <si>
    <t>DCN-xxx</t>
  </si>
  <si>
    <t>SLT test suite</t>
  </si>
  <si>
    <t>Display Non-Stream Test</t>
  </si>
  <si>
    <t>DISP016</t>
  </si>
  <si>
    <t xml:space="preserve">PLEASE DO NOT CROSS THIS LINE.   Insert New Rows OR Copied Cells "Above" The Last Known Good Row Only So Each Copied Cells &amp; Rows Still Contains The Right Formulas (Similar Concept for Removing or Deleting Rows)        </t>
  </si>
  <si>
    <t xml:space="preserve"> </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</si>
  <si>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</si>
  <si>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</si>
  <si>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</si>
  <si>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DCN-001</t>
  </si>
  <si>
    <t>Optimize power gating for long vblank video</t>
  </si>
  <si>
    <t>wk-7</t>
  </si>
  <si>
    <t>DCN-002</t>
  </si>
  <si>
    <t>Hierarchical power gating(IPx DLDO)</t>
  </si>
  <si>
    <t>DCN-003</t>
  </si>
  <si>
    <t>Clock gating on DCN cloks</t>
  </si>
  <si>
    <t>wk-1</t>
  </si>
  <si>
    <t>DCN-004</t>
  </si>
  <si>
    <t>DCFCLK deep sleep</t>
  </si>
  <si>
    <t>DCN-005</t>
  </si>
  <si>
    <t xml:space="preserve">SRAM retention in DPP &amp; MPC to reduce restore time </t>
  </si>
  <si>
    <t>wk-8</t>
  </si>
  <si>
    <t>DCN-006</t>
  </si>
  <si>
    <t xml:space="preserve">0pin retention/Security group 2 retention </t>
  </si>
  <si>
    <t>DCC</t>
  </si>
  <si>
    <t>wk-2</t>
  </si>
  <si>
    <t>DCN-014</t>
  </si>
  <si>
    <t>P-State/DRAM Clock Switching</t>
  </si>
  <si>
    <t>DCN-015</t>
  </si>
  <si>
    <t>DCHUBBUB watermark change (SR enter/exit, DRAM CLK change, Urgency)</t>
  </si>
  <si>
    <t>DCN-016</t>
  </si>
  <si>
    <t>DRAM Self-Refresh ,C-State and stutter efficency</t>
  </si>
  <si>
    <t>HDR support</t>
  </si>
  <si>
    <t>wk-6</t>
  </si>
  <si>
    <t>1 level GPUVM</t>
  </si>
  <si>
    <t>4 level Host VM</t>
  </si>
  <si>
    <t>DCN-021</t>
  </si>
  <si>
    <t>HW rotation and mirroring</t>
  </si>
  <si>
    <t>wk-4</t>
  </si>
  <si>
    <t>DCN-022</t>
  </si>
  <si>
    <t>V-flip and I-flip type surface flip</t>
  </si>
  <si>
    <t>wk-3</t>
  </si>
  <si>
    <t>DCN-023</t>
  </si>
  <si>
    <t>I-Flip testing with YUV420 and VM</t>
  </si>
  <si>
    <t>Global Flip Control Support</t>
  </si>
  <si>
    <t>wk-5</t>
  </si>
  <si>
    <t>DCN-025</t>
  </si>
  <si>
    <t>Surface Address support linear and 2D tiled</t>
  </si>
  <si>
    <t>DCN-026</t>
  </si>
  <si>
    <t>Surface Format: GFX11 tiling library</t>
  </si>
  <si>
    <t>TMZ</t>
  </si>
  <si>
    <t>DCN-028</t>
  </si>
  <si>
    <t>3D Stereo Display</t>
  </si>
  <si>
    <t>Reader Line Position Support</t>
  </si>
  <si>
    <t>Format Conversion</t>
  </si>
  <si>
    <t>Cursor Composition</t>
  </si>
  <si>
    <t>Color Processing: De-alpha &amp; Bias</t>
  </si>
  <si>
    <t>Color Processing: Input Color Space Conversion</t>
  </si>
  <si>
    <t>Color Processing: Degamma</t>
  </si>
  <si>
    <t>Color Processing: HDR Multiplier coefficients</t>
  </si>
  <si>
    <t>Color Processing: Gamut Remap after blend</t>
  </si>
  <si>
    <t>DCN-038</t>
  </si>
  <si>
    <t>Scaling: Pre-Scaling Linearization</t>
  </si>
  <si>
    <t>DCN-039</t>
  </si>
  <si>
    <t>Scaling: Downscaling</t>
  </si>
  <si>
    <t>DCN-040</t>
  </si>
  <si>
    <t>Scaling: Upscaling</t>
  </si>
  <si>
    <t>DCN-041</t>
  </si>
  <si>
    <t>Scaling: Alpha Scaling</t>
  </si>
  <si>
    <t>Scaling: Sharpening Support</t>
  </si>
  <si>
    <t>Scaling: Auto Calculation Mode</t>
  </si>
  <si>
    <t>DCN-044</t>
  </si>
  <si>
    <t>Scaling: Underscan/Overscan</t>
  </si>
  <si>
    <t>Scaling: Stereo scaling</t>
  </si>
  <si>
    <t>DCN-046</t>
  </si>
  <si>
    <t>Scaling: Scaler Boundary Condition Support</t>
  </si>
  <si>
    <t>Line buffer dynamic memory allocation and partitioning</t>
  </si>
  <si>
    <t>DCN-048</t>
  </si>
  <si>
    <t>Blender Bypass Mode Support</t>
  </si>
  <si>
    <t>DCN-049</t>
  </si>
  <si>
    <t>Top-layer Pass-through Mode Support</t>
  </si>
  <si>
    <t>DCN-050</t>
  </si>
  <si>
    <t>Pre-Pixel Alpha Blending with Gain Support</t>
  </si>
  <si>
    <t>DCN-051</t>
  </si>
  <si>
    <t>Global Alpha Blending with Gain Support</t>
  </si>
  <si>
    <t>Stereo Format Blending Support</t>
  </si>
  <si>
    <t>DCN-053</t>
  </si>
  <si>
    <t>Output Gamma</t>
  </si>
  <si>
    <t>Output Color Space Conversion</t>
  </si>
  <si>
    <t>De-normalization, Rounding and Clamping Support</t>
  </si>
  <si>
    <t>DP Link Layer Compliance Pattern Support</t>
  </si>
  <si>
    <t>Video Blanking Generation Support</t>
  </si>
  <si>
    <t>Formatter: Truncation or rounding</t>
  </si>
  <si>
    <t>Formatter: Legal Color Space Clamping Support</t>
  </si>
  <si>
    <t>Formatter: 4:2:2 and 4:2:0 Sub-sampling Support</t>
  </si>
  <si>
    <t>Formatter: Dynamic &amp; Zero expansion</t>
  </si>
  <si>
    <t>DCN-062</t>
  </si>
  <si>
    <t>Formatter: Pixel Repetition Support</t>
  </si>
  <si>
    <t>DCN-063</t>
  </si>
  <si>
    <t>Stereo Dummy Data Insertion Support</t>
  </si>
  <si>
    <t>DCN-064</t>
  </si>
  <si>
    <t>DPG</t>
  </si>
  <si>
    <t>DCN-065</t>
  </si>
  <si>
    <t>DSC for DP</t>
  </si>
  <si>
    <t>DCN-066</t>
  </si>
  <si>
    <t>DSC for HDMI FRL</t>
  </si>
  <si>
    <t>ODM: Combine mode for 2: 1 and 4:1 for w/o DSC and with DSC</t>
  </si>
  <si>
    <t>DCN-069</t>
  </si>
  <si>
    <t>SLS Mode Timing Sync Support</t>
  </si>
  <si>
    <t>Stereo 3D Timing Support</t>
  </si>
  <si>
    <t>Ranged timing</t>
  </si>
  <si>
    <t>Underflow Detection and Recovery</t>
  </si>
  <si>
    <t>DCN-073</t>
  </si>
  <si>
    <t>Horizontal pixel repetition</t>
  </si>
  <si>
    <t>OTG Trigger Support</t>
  </si>
  <si>
    <t>Forced Vsync Support</t>
  </si>
  <si>
    <t>H, V and Frame Count Snapshot Support</t>
  </si>
  <si>
    <t>Forced H and V Counter Support</t>
  </si>
  <si>
    <t>Vstartup, Vupdate and Vready Interrupt Support</t>
  </si>
  <si>
    <t>Static Screen Support</t>
  </si>
  <si>
    <t>DCN-080</t>
  </si>
  <si>
    <t>GSL</t>
  </si>
  <si>
    <t>DRR</t>
  </si>
  <si>
    <t>DCN-083</t>
  </si>
  <si>
    <t xml:space="preserve">HDMI 2.1 support VRR, FVA, QMS for TMDS operation </t>
  </si>
  <si>
    <t>DCN-084</t>
  </si>
  <si>
    <t>HDMI Dolby Vision Support</t>
  </si>
  <si>
    <t>HDMI and DP SPDIF Control Bits Support</t>
  </si>
  <si>
    <t>DP 1.4 support</t>
  </si>
  <si>
    <t>DP 1.4 MST support</t>
  </si>
  <si>
    <t>DCN-088</t>
  </si>
  <si>
    <t>DP Dynamic Metadata</t>
  </si>
  <si>
    <t>DCN-089</t>
  </si>
  <si>
    <t>HDMI Dynamic Metadata</t>
  </si>
  <si>
    <t>Aux/I2C</t>
  </si>
  <si>
    <t>DCN-091</t>
  </si>
  <si>
    <t>HPD</t>
  </si>
  <si>
    <t>DCN-092</t>
  </si>
  <si>
    <t>USB-C Alt Mode</t>
  </si>
  <si>
    <t>HDCP1.4</t>
  </si>
  <si>
    <t>HDCP2.3</t>
  </si>
  <si>
    <t>DCN-095</t>
  </si>
  <si>
    <t>Global Time Code Support</t>
  </si>
  <si>
    <t>Jack Presence Support</t>
  </si>
  <si>
    <t>Hardware Silent Stream Support</t>
  </si>
  <si>
    <t>Audio Controller Clock Gating and Deep Sleep Support</t>
  </si>
  <si>
    <t>External Event and Unsolicited Response Support</t>
  </si>
  <si>
    <t>DWB support 444 in 32bpp, 1080P60</t>
  </si>
  <si>
    <t>DCN-104</t>
  </si>
  <si>
    <t>DMCU: Secure Firmware Load Support</t>
  </si>
  <si>
    <t>DCN-105</t>
  </si>
  <si>
    <t>Interrupts</t>
  </si>
  <si>
    <t>DCN-106</t>
  </si>
  <si>
    <t>Fine Grain Security Gasket Support</t>
  </si>
  <si>
    <t>Double Buffered Register Update Support</t>
  </si>
  <si>
    <t>Triple Buffered Register Update Support</t>
  </si>
  <si>
    <t>Register Update Pending and Update Taken Support</t>
  </si>
  <si>
    <t>DCN-110</t>
  </si>
  <si>
    <t>Digital Bypass</t>
  </si>
  <si>
    <t>DCN-112</t>
  </si>
  <si>
    <t>Zstate Z9 and Z10)</t>
  </si>
  <si>
    <t>DP2.0: UHBR10 for native DP and USBC-DP ALT mode</t>
  </si>
  <si>
    <t>W10</t>
  </si>
  <si>
    <t>DCN-115</t>
  </si>
  <si>
    <t>HDMI2.1 FRL up to 12G</t>
  </si>
  <si>
    <t>DCN-118</t>
  </si>
  <si>
    <t>Register access and timeout Support</t>
  </si>
  <si>
    <t>W8</t>
  </si>
  <si>
    <t>DCN-119</t>
  </si>
  <si>
    <t>Unallocated space access</t>
  </si>
  <si>
    <t>DCN-120</t>
  </si>
  <si>
    <t>HDMI2.1 Data Flow Metering</t>
  </si>
  <si>
    <t>HDMI 2.1 Audio Support</t>
  </si>
  <si>
    <t>HDMI2.1 Stereo 3D Timing Support</t>
  </si>
  <si>
    <t>HDMI 2.1 Frame Accurate metadata Support</t>
  </si>
  <si>
    <t>HDMI 2.1 Packet Generation Support</t>
  </si>
  <si>
    <t>MPCC 3D LUT Support</t>
  </si>
  <si>
    <t>MPCC Gamut Remap Support</t>
  </si>
  <si>
    <t>Color Processing: Pre-DeAlpha</t>
  </si>
  <si>
    <t>Color Processing: Post-scaler CSC</t>
  </si>
  <si>
    <t>DCN-129</t>
  </si>
  <si>
    <t>Color Processing: Pre-ReAlpha Support</t>
  </si>
  <si>
    <t>Color Processing: Gamma Correction</t>
  </si>
  <si>
    <t>DCN-131</t>
  </si>
  <si>
    <t xml:space="preserve">USB4 DP tunneling---AUX function                                                                                           </t>
  </si>
  <si>
    <t>DCN-132</t>
  </si>
  <si>
    <t xml:space="preserve">USB4 DP tunneling---DPIA register access though RSMU and DMCUB                                                                                                   </t>
  </si>
  <si>
    <t>DCN-133</t>
  </si>
  <si>
    <t xml:space="preserve">USB4 DP tunneling---Support 1, 2 and 4 lanes.                                                                                                   </t>
  </si>
  <si>
    <t>DCN-134</t>
  </si>
  <si>
    <t xml:space="preserve">USB4 DP tunneling---Support RBR, HBR, HBR2 and HBR3 link rate.                                                                                                        </t>
  </si>
  <si>
    <t>DCN-135</t>
  </si>
  <si>
    <t xml:space="preserve">USB4 DP tunneling---Support both SST and MST mode                                                                                                   </t>
  </si>
  <si>
    <t>DCN-136</t>
  </si>
  <si>
    <t xml:space="preserve">USB4 DP tunneling---FEC on and off                                                                                                                                                                                                       </t>
  </si>
  <si>
    <t>DCN-137</t>
  </si>
  <si>
    <t xml:space="preserve">USB4 DP tunneling---Support both LTTPR and non-LTTPR mode                                                                                                     </t>
  </si>
  <si>
    <t>DCN-138</t>
  </si>
  <si>
    <t xml:space="preserve">USB4 DP tunneling---HDCP                                                                                                </t>
  </si>
  <si>
    <t>DCN-139</t>
  </si>
  <si>
    <t xml:space="preserve">USB4 DP tunneling---USB4 mode Audio function                                                                                </t>
  </si>
  <si>
    <t>DCN-140</t>
  </si>
  <si>
    <t xml:space="preserve">USB4 DP tunneling---4 DPIA Ports                                                                        </t>
  </si>
  <si>
    <t>PLEASE DO NOT CROSS THIS LINE.   Insert New Rows OR Copied Cells "Above" The Last Known Good Row Only So Each Copied Cells &amp; Rows Still Contains The Right Formulas (Similar Concept for Removing or Deleting Rows)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</si>
  <si>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</si>
  <si>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</si>
  <si>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</si>
  <si>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</si>
  <si>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</si>
  <si>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</si>
  <si>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</si>
  <si>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</si>
  <si>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</si>
  <si>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</si>
  <si>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</si>
  <si>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</si>
  <si>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</si>
  <si>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DCN-007</t>
  </si>
  <si>
    <t>DCFCLK DPM</t>
  </si>
  <si>
    <t>Total # of IPSE</t>
  </si>
  <si>
    <t>DCN-008</t>
  </si>
  <si>
    <t>DCN SRAM memory low power mode</t>
  </si>
  <si>
    <t>Total # of N/A</t>
  </si>
  <si>
    <t>Total # of Legacy</t>
  </si>
  <si>
    <t>Total # of Delta</t>
  </si>
  <si>
    <t>DCN-011</t>
  </si>
  <si>
    <t>PSR</t>
  </si>
  <si>
    <t>Total # of New</t>
  </si>
  <si>
    <t>DCN-012</t>
  </si>
  <si>
    <t>PSR SU</t>
  </si>
  <si>
    <t>DCN-013</t>
  </si>
  <si>
    <t xml:space="preserve">eDP1.4 ALPM </t>
  </si>
  <si>
    <t>DCN-017</t>
  </si>
  <si>
    <t>MPO</t>
  </si>
  <si>
    <t>DCN-067</t>
  </si>
  <si>
    <t>DP FEC support</t>
  </si>
  <si>
    <t>DCN-098</t>
  </si>
  <si>
    <t>Latency Hiding Support</t>
  </si>
  <si>
    <t>DCN-099</t>
  </si>
  <si>
    <t>Audio HDCP and Content Protection for DP and HDMI</t>
  </si>
  <si>
    <t>DCN-103</t>
  </si>
  <si>
    <t>RSMU-RBBM-DC Interface Support</t>
  </si>
  <si>
    <t>DCN-111</t>
  </si>
  <si>
    <t>DCC updates to support Z9 compression calculation</t>
  </si>
  <si>
    <t>DCN-114</t>
  </si>
  <si>
    <t>test_power_down for dedicated PHY and P3.PG</t>
  </si>
  <si>
    <t>DCN-116</t>
  </si>
  <si>
    <t>HBR3 with Vmin</t>
  </si>
  <si>
    <t>DCN-117</t>
  </si>
  <si>
    <t>Maximum use case display configuration support</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</si>
  <si>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</si>
  <si>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</si>
  <si>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</si>
  <si>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</si>
  <si>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</si>
  <si>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</si>
  <si>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</si>
  <si>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</si>
  <si>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</si>
  <si>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</si>
  <si>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</si>
  <si>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</si>
  <si>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</si>
  <si>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</si>
  <si>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</si>
  <si>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</si>
  <si>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</si>
  <si>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</si>
  <si>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</si>
  <si>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</si>
  <si>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</si>
  <si>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</si>
  <si>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</si>
  <si>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</si>
  <si>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</si>
  <si>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</si>
  <si>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</si>
  <si>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</si>
  <si>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</si>
  <si>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</si>
  <si>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</si>
  <si>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</si>
  <si>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</si>
  <si>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</si>
  <si>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</si>
  <si>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</si>
  <si>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</si>
  <si>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</si>
  <si>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</si>
  <si>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</si>
  <si>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</si>
  <si>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</si>
  <si>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</si>
  <si>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</si>
  <si>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</si>
  <si>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</si>
  <si>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</si>
  <si>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</si>
  <si>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</si>
  <si>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</si>
  <si>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</si>
  <si>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</si>
  <si>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</si>
  <si>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Row Labels</t>
  </si>
  <si>
    <t>Sum of #Tests</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</si>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</sst>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sz val="11"/>
      <color rgb="FF000000"/>
      <name val="Calibri"/>
      <family val="2"/>
      <charset val="1"/>
    </font>
    <font>
      <sz val="11"/>
      <color rgb="FF000000"/>
      <name val="Calibri"/>
      <family val="2"/>
      <scheme val="minor"/>
    </font>
    <font>
      <sz val="11"/>
      <name val="Calibri"/>
      <family val="2"/>
    </font>
    <font>
      <sz val="12"/>
      <name val="Times New Roman"/>
      <family val="1"/>
    </font>
    <font>
      <sz val="11"/>
      <name val="Calibri"/>
      <family val="2"/>
      <charset val="1"/>
    </font>
    <font>
      <u/>
      <sz val="11"/>
      <color theme="10"/>
      <name val="Calibri"/>
      <family val="2"/>
      <scheme val="minor"/>
    </font>
  </fonts>
  <fills count="6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FF96EB"/>
        <bgColor rgb="FFB9CDE5"/>
      </patternFill>
    </fill>
    <fill>
      <patternFill patternType="solid">
        <fgColor rgb="FFFF96EB"/>
        <bgColor rgb="FFBFBFBF"/>
      </patternFill>
    </fill>
    <fill>
      <patternFill patternType="solid">
        <fgColor theme="0"/>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7" fillId="0" borderId="0" applyNumberFormat="0" applyFill="0" applyBorder="0" applyAlignment="0" applyProtection="0"/>
  </cellStyleXfs>
  <cellXfs count="79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33" borderId="17" xfId="0" applyFont="1" applyFill="1" applyBorder="1" applyAlignment="1">
      <alignment vertical="center"/>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0" fontId="18" fillId="42" borderId="10" xfId="42"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52" fillId="57" borderId="17" xfId="0" applyFont="1" applyFill="1" applyBorder="1" applyAlignment="1">
      <alignment vertical="center" wrapText="1"/>
    </xf>
    <xf numFmtId="0" fontId="0" fillId="52" borderId="17" xfId="0" applyFill="1" applyBorder="1" applyAlignment="1">
      <alignment vertical="center"/>
    </xf>
    <xf numFmtId="0" fontId="0" fillId="52" borderId="17" xfId="0" applyFill="1" applyBorder="1" applyAlignment="1">
      <alignment horizontal="center" vertical="center"/>
    </xf>
    <xf numFmtId="0" fontId="0" fillId="52" borderId="17" xfId="0" applyFill="1" applyBorder="1" applyAlignment="1" applyProtection="1">
      <alignment vertical="center"/>
      <protection locked="0"/>
    </xf>
    <xf numFmtId="0" fontId="52" fillId="57" borderId="10" xfId="0" applyFont="1" applyFill="1" applyBorder="1" applyAlignment="1">
      <alignment vertical="center" wrapText="1"/>
    </xf>
    <xf numFmtId="0" fontId="0" fillId="52" borderId="10" xfId="0" applyFill="1" applyBorder="1" applyAlignment="1">
      <alignment vertical="center"/>
    </xf>
    <xf numFmtId="0" fontId="0" fillId="52" borderId="10" xfId="0" applyFill="1" applyBorder="1" applyAlignment="1">
      <alignment horizontal="center" vertical="center"/>
    </xf>
    <xf numFmtId="0" fontId="0" fillId="52" borderId="10" xfId="0" applyFill="1" applyBorder="1" applyAlignment="1" applyProtection="1">
      <alignment vertical="center"/>
      <protection locked="0"/>
    </xf>
    <xf numFmtId="0" fontId="0" fillId="52" borderId="10" xfId="0" applyFill="1" applyBorder="1" applyAlignment="1">
      <alignment vertical="center" wrapText="1"/>
    </xf>
    <xf numFmtId="0" fontId="0" fillId="52" borderId="13" xfId="0" applyFill="1" applyBorder="1" applyAlignment="1" applyProtection="1">
      <alignment vertical="center"/>
      <protection locked="0"/>
    </xf>
    <xf numFmtId="0" fontId="53" fillId="57" borderId="10" xfId="0" applyFont="1" applyFill="1" applyBorder="1" applyAlignment="1">
      <alignment vertical="center" wrapText="1"/>
    </xf>
    <xf numFmtId="0" fontId="1" fillId="52" borderId="10" xfId="10" applyFont="1" applyFill="1" applyBorder="1" applyAlignment="1">
      <alignment vertical="center"/>
    </xf>
    <xf numFmtId="0" fontId="49" fillId="57" borderId="10" xfId="0" applyFont="1" applyFill="1" applyBorder="1" applyAlignment="1">
      <alignment vertical="center" wrapText="1"/>
    </xf>
    <xf numFmtId="0" fontId="54" fillId="52" borderId="10" xfId="0" applyFont="1" applyFill="1" applyBorder="1" applyAlignment="1">
      <alignment vertical="center"/>
    </xf>
    <xf numFmtId="0" fontId="18" fillId="52" borderId="10" xfId="0" applyFont="1" applyFill="1" applyBorder="1" applyAlignment="1">
      <alignment vertical="center"/>
    </xf>
    <xf numFmtId="0" fontId="0" fillId="52" borderId="13" xfId="0" applyFill="1" applyBorder="1" applyAlignment="1" applyProtection="1">
      <alignment vertical="center" wrapText="1"/>
      <protection locked="0"/>
    </xf>
    <xf numFmtId="0" fontId="18" fillId="52" borderId="13" xfId="0" applyFont="1" applyFill="1" applyBorder="1" applyAlignment="1">
      <alignment vertical="center" wrapText="1"/>
    </xf>
    <xf numFmtId="0" fontId="0" fillId="52" borderId="17" xfId="0" applyFill="1" applyBorder="1" applyAlignment="1">
      <alignment horizontal="left" vertical="center"/>
    </xf>
    <xf numFmtId="0" fontId="0" fillId="52" borderId="10" xfId="0" applyFill="1" applyBorder="1" applyAlignment="1">
      <alignment horizontal="left" vertical="center"/>
    </xf>
    <xf numFmtId="0" fontId="1" fillId="52" borderId="10" xfId="10" applyFont="1" applyFill="1" applyBorder="1" applyAlignment="1">
      <alignment horizontal="left" vertical="center"/>
    </xf>
    <xf numFmtId="0" fontId="54" fillId="52" borderId="10" xfId="0" applyFont="1" applyFill="1" applyBorder="1" applyAlignment="1">
      <alignment horizontal="left" vertical="center"/>
    </xf>
    <xf numFmtId="0" fontId="18" fillId="52" borderId="10" xfId="0" applyFont="1" applyFill="1" applyBorder="1" applyAlignment="1">
      <alignment horizontal="left" vertical="center"/>
    </xf>
    <xf numFmtId="0" fontId="0" fillId="52" borderId="17" xfId="0" applyFill="1" applyBorder="1" applyAlignment="1" applyProtection="1">
      <alignment horizontal="center" vertical="center"/>
      <protection locked="0"/>
    </xf>
    <xf numFmtId="1" fontId="52" fillId="57" borderId="17" xfId="0" applyNumberFormat="1" applyFont="1" applyFill="1" applyBorder="1" applyAlignment="1">
      <alignment horizontal="center" vertical="center"/>
    </xf>
    <xf numFmtId="0" fontId="0" fillId="52" borderId="10" xfId="0" applyFill="1" applyBorder="1" applyAlignment="1" applyProtection="1">
      <alignment horizontal="center" vertical="center"/>
      <protection locked="0"/>
    </xf>
    <xf numFmtId="1" fontId="52" fillId="57" borderId="10" xfId="0" applyNumberFormat="1" applyFont="1" applyFill="1" applyBorder="1" applyAlignment="1">
      <alignment horizontal="center" vertical="center"/>
    </xf>
    <xf numFmtId="0" fontId="18" fillId="52" borderId="10" xfId="0" applyFont="1" applyFill="1" applyBorder="1" applyAlignment="1">
      <alignment horizontal="center" vertical="center"/>
    </xf>
    <xf numFmtId="1" fontId="18" fillId="52" borderId="10" xfId="0" applyNumberFormat="1" applyFont="1" applyFill="1" applyBorder="1" applyAlignment="1">
      <alignment horizontal="center" vertical="center"/>
    </xf>
    <xf numFmtId="0" fontId="1" fillId="52" borderId="10" xfId="10" applyFont="1" applyFill="1" applyBorder="1" applyAlignment="1">
      <alignment horizontal="center" vertical="center"/>
    </xf>
    <xf numFmtId="1" fontId="1" fillId="52" borderId="10" xfId="10" applyNumberFormat="1" applyFont="1" applyFill="1" applyBorder="1" applyAlignment="1">
      <alignment horizontal="center" vertical="center"/>
    </xf>
    <xf numFmtId="1" fontId="49" fillId="57" borderId="10" xfId="0" applyNumberFormat="1" applyFont="1" applyFill="1" applyBorder="1" applyAlignment="1">
      <alignment horizontal="center" vertical="center"/>
    </xf>
    <xf numFmtId="0" fontId="55" fillId="52" borderId="10" xfId="0" applyFont="1" applyFill="1" applyBorder="1" applyAlignment="1">
      <alignment horizontal="center" vertical="center" wrapText="1"/>
    </xf>
    <xf numFmtId="1" fontId="55" fillId="52" borderId="10" xfId="0" applyNumberFormat="1" applyFont="1" applyFill="1" applyBorder="1" applyAlignment="1">
      <alignment horizontal="center" vertical="center" wrapText="1"/>
    </xf>
    <xf numFmtId="1" fontId="0" fillId="52" borderId="10" xfId="0" applyNumberFormat="1" applyFill="1" applyBorder="1" applyAlignment="1">
      <alignment horizontal="center" vertical="center"/>
    </xf>
    <xf numFmtId="0" fontId="56" fillId="58" borderId="10" xfId="0" applyFont="1" applyFill="1" applyBorder="1" applyAlignment="1">
      <alignment horizontal="center" vertical="center" wrapText="1"/>
    </xf>
    <xf numFmtId="1" fontId="56" fillId="58" borderId="10" xfId="0" applyNumberFormat="1" applyFont="1" applyFill="1" applyBorder="1" applyAlignment="1">
      <alignment horizontal="center" vertical="center" wrapText="1"/>
    </xf>
    <xf numFmtId="9" fontId="18" fillId="42" borderId="57" xfId="42" applyFont="1" applyFill="1" applyBorder="1" applyAlignment="1">
      <alignment horizontal="center" vertical="center"/>
    </xf>
    <xf numFmtId="9" fontId="18" fillId="52" borderId="31" xfId="0" applyNumberFormat="1" applyFont="1" applyFill="1" applyBorder="1" applyAlignment="1" applyProtection="1">
      <alignment horizontal="center" vertical="center"/>
      <protection locked="0"/>
    </xf>
    <xf numFmtId="9" fontId="18" fillId="52" borderId="26" xfId="0" applyNumberFormat="1" applyFont="1" applyFill="1" applyBorder="1" applyAlignment="1" applyProtection="1">
      <alignment horizontal="center" vertical="center"/>
      <protection locked="0"/>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18" fillId="40" borderId="10" xfId="0" applyFont="1" applyFill="1" applyBorder="1" applyAlignment="1" applyProtection="1">
      <alignment vertical="center"/>
      <protection locked="0"/>
    </xf>
    <xf numFmtId="0" fontId="18" fillId="52" borderId="18" xfId="0" applyFont="1" applyFill="1" applyBorder="1" applyAlignment="1">
      <alignment horizontal="center" vertical="center"/>
    </xf>
    <xf numFmtId="0" fontId="18" fillId="52" borderId="14" xfId="0" applyFont="1" applyFill="1" applyBorder="1" applyAlignment="1">
      <alignment horizontal="center" vertical="center"/>
    </xf>
    <xf numFmtId="43" fontId="18" fillId="40" borderId="14" xfId="44" applyFont="1" applyFill="1" applyBorder="1" applyAlignment="1" applyProtection="1">
      <alignment vertical="center"/>
      <protection locked="0"/>
    </xf>
    <xf numFmtId="0" fontId="18" fillId="40" borderId="24" xfId="0"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9" fontId="18" fillId="42" borderId="39" xfId="42" applyFont="1" applyFill="1" applyBorder="1" applyAlignment="1">
      <alignment horizontal="center" vertical="center"/>
    </xf>
    <xf numFmtId="9" fontId="18" fillId="42" borderId="40" xfId="42" applyFont="1" applyFill="1" applyBorder="1" applyAlignment="1">
      <alignment horizontal="center" vertical="center"/>
    </xf>
    <xf numFmtId="0" fontId="18" fillId="52" borderId="16" xfId="0" applyFont="1" applyFill="1" applyBorder="1" applyAlignment="1" applyProtection="1">
      <alignment vertical="center"/>
      <protection locked="0"/>
    </xf>
    <xf numFmtId="1" fontId="18" fillId="52" borderId="18" xfId="0" applyNumberFormat="1" applyFont="1" applyFill="1" applyBorder="1" applyAlignment="1" applyProtection="1">
      <alignment vertical="center"/>
      <protection locked="0"/>
    </xf>
    <xf numFmtId="0" fontId="18" fillId="52" borderId="13" xfId="0" applyFont="1" applyFill="1" applyBorder="1" applyAlignment="1" applyProtection="1">
      <alignment vertical="center"/>
      <protection locked="0"/>
    </xf>
    <xf numFmtId="1" fontId="18" fillId="52" borderId="14" xfId="0" applyNumberFormat="1" applyFon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0" fontId="0" fillId="52" borderId="10" xfId="0" applyFill="1" applyBorder="1" applyAlignment="1">
      <alignment horizontal="left" vertical="center" wrapText="1"/>
    </xf>
    <xf numFmtId="0" fontId="18" fillId="52" borderId="10" xfId="0" applyFont="1" applyFill="1" applyBorder="1" applyAlignment="1" applyProtection="1">
      <alignment vertical="center" wrapText="1"/>
      <protection locked="0"/>
    </xf>
    <xf numFmtId="0" fontId="18" fillId="52" borderId="17" xfId="0" applyFont="1" applyFill="1" applyBorder="1" applyAlignment="1" applyProtection="1">
      <alignment vertical="center" wrapText="1"/>
      <protection locked="0"/>
    </xf>
    <xf numFmtId="0" fontId="19" fillId="52" borderId="14" xfId="0" applyFont="1" applyFill="1" applyBorder="1" applyAlignment="1">
      <alignment horizontal="center" vertical="center"/>
    </xf>
    <xf numFmtId="0" fontId="57" fillId="52" borderId="18" xfId="45" applyFill="1" applyBorder="1" applyAlignment="1" applyProtection="1">
      <alignment vertical="center"/>
      <protection locked="0"/>
    </xf>
    <xf numFmtId="0" fontId="57" fillId="52" borderId="14" xfId="45" applyFill="1" applyBorder="1" applyAlignment="1" applyProtection="1">
      <alignment vertical="center"/>
      <protection locked="0"/>
    </xf>
    <xf numFmtId="1" fontId="53" fillId="57" borderId="10" xfId="0" applyNumberFormat="1" applyFont="1" applyFill="1" applyBorder="1" applyAlignment="1">
      <alignment horizontal="center" vertical="center"/>
    </xf>
    <xf numFmtId="0" fontId="53" fillId="52" borderId="14" xfId="45" applyFont="1" applyFill="1" applyBorder="1" applyAlignment="1" applyProtection="1">
      <alignment vertical="center" wrapText="1"/>
      <protection locked="0"/>
    </xf>
    <xf numFmtId="0" fontId="53" fillId="52" borderId="14" xfId="45" applyFont="1" applyFill="1" applyBorder="1" applyAlignment="1" applyProtection="1">
      <alignment vertical="center"/>
      <protection locked="0"/>
    </xf>
    <xf numFmtId="0" fontId="57" fillId="52" borderId="14" xfId="45" applyFill="1" applyBorder="1" applyAlignment="1" applyProtection="1">
      <alignment vertical="center" wrapText="1"/>
      <protection locked="0"/>
    </xf>
    <xf numFmtId="1" fontId="18" fillId="52" borderId="14" xfId="0" applyNumberFormat="1" applyFont="1" applyFill="1" applyBorder="1" applyAlignment="1" applyProtection="1">
      <alignment vertical="center" wrapText="1"/>
      <protection locked="0"/>
    </xf>
    <xf numFmtId="166" fontId="18" fillId="0" borderId="19" xfId="42" applyNumberFormat="1" applyFont="1" applyBorder="1" applyAlignment="1">
      <alignment horizontal="center" vertical="center"/>
    </xf>
    <xf numFmtId="166" fontId="18" fillId="0" borderId="10" xfId="42" applyNumberFormat="1" applyFont="1" applyBorder="1" applyAlignment="1">
      <alignment horizontal="center" vertical="center"/>
    </xf>
    <xf numFmtId="166" fontId="18" fillId="0" borderId="24" xfId="42" applyNumberFormat="1" applyFont="1" applyBorder="1" applyAlignment="1">
      <alignment horizontal="center" vertical="center"/>
    </xf>
    <xf numFmtId="166" fontId="18" fillId="59" borderId="19" xfId="42" applyNumberFormat="1" applyFont="1" applyFill="1" applyBorder="1" applyAlignment="1">
      <alignment horizontal="center" vertical="center"/>
    </xf>
    <xf numFmtId="166" fontId="18" fillId="59" borderId="10" xfId="42" applyNumberFormat="1" applyFont="1" applyFill="1" applyBorder="1" applyAlignment="1">
      <alignment horizontal="center" vertical="center"/>
    </xf>
    <xf numFmtId="166" fontId="18" fillId="59" borderId="24" xfId="42" applyNumberFormat="1" applyFont="1" applyFill="1" applyBorder="1" applyAlignment="1">
      <alignment horizontal="center"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54"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9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0"/>
  <sheetViews>
    <sheetView workbookViewId="0">
      <pane xSplit="3" ySplit="8" topLeftCell="D50" activePane="bottomRight" state="frozen"/>
      <selection pane="topRight" activeCell="D1" sqref="D1"/>
      <selection pane="bottomLeft" activeCell="A9" sqref="A9"/>
      <selection pane="bottomRight" activeCell="F10" sqref="F1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647" t="s">
        <v>54</v>
      </c>
      <c r="C1" s="648"/>
      <c r="D1" s="648"/>
      <c r="E1" s="167" t="s">
        <v>55</v>
      </c>
      <c r="F1" s="167" t="s">
        <v>56</v>
      </c>
      <c r="G1" s="110" t="s">
        <v>57</v>
      </c>
    </row>
    <row r="2" spans="1:7" x14ac:dyDescent="0.25">
      <c r="A2" s="116" t="s">
        <v>58</v>
      </c>
      <c r="B2" s="649" t="s">
        <v>59</v>
      </c>
      <c r="C2" s="650"/>
      <c r="D2" s="650"/>
      <c r="E2" s="294" t="s">
        <v>60</v>
      </c>
      <c r="F2" s="294" t="s">
        <v>61</v>
      </c>
      <c r="G2" s="325" t="s">
        <v>62</v>
      </c>
    </row>
    <row r="3" spans="1:7" s="81" customFormat="1" x14ac:dyDescent="0.25">
      <c r="A3" s="202" t="s">
        <v>63</v>
      </c>
      <c r="B3" s="656" t="s">
        <v>64</v>
      </c>
      <c r="C3" s="657"/>
      <c r="D3" s="658"/>
      <c r="E3" s="80" t="s">
        <v>60</v>
      </c>
      <c r="F3" s="80" t="s">
        <v>61</v>
      </c>
      <c r="G3" s="326" t="s">
        <v>62</v>
      </c>
    </row>
    <row r="4" spans="1:7" x14ac:dyDescent="0.25">
      <c r="A4" s="202" t="s">
        <v>65</v>
      </c>
      <c r="B4" s="653" t="s">
        <v>66</v>
      </c>
      <c r="C4" s="654"/>
      <c r="D4" s="655"/>
      <c r="E4" s="80" t="s">
        <v>67</v>
      </c>
      <c r="F4" s="80" t="s">
        <v>61</v>
      </c>
      <c r="G4" s="326" t="s">
        <v>62</v>
      </c>
    </row>
    <row r="5" spans="1:7" x14ac:dyDescent="0.25">
      <c r="A5" s="117" t="s">
        <v>68</v>
      </c>
      <c r="B5" s="653" t="s">
        <v>69</v>
      </c>
      <c r="C5" s="654"/>
      <c r="D5" s="655"/>
      <c r="E5" s="80" t="s">
        <v>67</v>
      </c>
      <c r="F5" s="80" t="s">
        <v>61</v>
      </c>
      <c r="G5" s="326" t="s">
        <v>62</v>
      </c>
    </row>
    <row r="6" spans="1:7" x14ac:dyDescent="0.25">
      <c r="A6" s="117" t="s">
        <v>70</v>
      </c>
      <c r="B6" s="653" t="s">
        <v>71</v>
      </c>
      <c r="C6" s="654"/>
      <c r="D6" s="655"/>
      <c r="E6" s="80" t="s">
        <v>72</v>
      </c>
      <c r="F6" s="80" t="s">
        <v>61</v>
      </c>
      <c r="G6" s="85"/>
    </row>
    <row r="7" spans="1:7" ht="15.75" thickBot="1" x14ac:dyDescent="0.3">
      <c r="A7" s="118" t="s">
        <v>73</v>
      </c>
      <c r="B7" s="651" t="s">
        <v>74</v>
      </c>
      <c r="C7" s="652"/>
      <c r="D7" s="652"/>
      <c r="E7" s="86" t="s">
        <v>72</v>
      </c>
      <c r="F7" s="86"/>
      <c r="G7" s="87"/>
    </row>
    <row r="8" spans="1:7" s="84" customFormat="1" ht="15.75" thickBot="1" x14ac:dyDescent="0.3">
      <c r="A8" s="115" t="s">
        <v>53</v>
      </c>
      <c r="B8" s="418" t="s">
        <v>1</v>
      </c>
      <c r="C8" s="167" t="s">
        <v>75</v>
      </c>
      <c r="D8" s="167" t="s">
        <v>54</v>
      </c>
      <c r="E8" s="167" t="s">
        <v>55</v>
      </c>
      <c r="F8" s="167" t="s">
        <v>56</v>
      </c>
      <c r="G8" s="110" t="s">
        <v>57</v>
      </c>
    </row>
    <row r="9" spans="1:7" ht="105" x14ac:dyDescent="0.25">
      <c r="A9" s="633" t="s">
        <v>58</v>
      </c>
      <c r="B9" s="636" t="s">
        <v>76</v>
      </c>
      <c r="C9" s="332" t="s">
        <v>77</v>
      </c>
      <c r="D9" s="94" t="s">
        <v>78</v>
      </c>
      <c r="E9" s="94" t="s">
        <v>60</v>
      </c>
      <c r="F9" s="94" t="s">
        <v>79</v>
      </c>
      <c r="G9" s="419" t="s">
        <v>80</v>
      </c>
    </row>
    <row r="10" spans="1:7" ht="75" x14ac:dyDescent="0.25">
      <c r="A10" s="634"/>
      <c r="B10" s="637"/>
      <c r="C10" s="328" t="s">
        <v>81</v>
      </c>
      <c r="D10" s="82" t="s">
        <v>82</v>
      </c>
      <c r="E10" s="82" t="s">
        <v>60</v>
      </c>
      <c r="F10" s="82" t="s">
        <v>79</v>
      </c>
      <c r="G10" s="321" t="s">
        <v>83</v>
      </c>
    </row>
    <row r="11" spans="1:7" ht="45" x14ac:dyDescent="0.25">
      <c r="A11" s="634"/>
      <c r="B11" s="637"/>
      <c r="C11" s="328" t="s">
        <v>84</v>
      </c>
      <c r="D11" s="82" t="s">
        <v>85</v>
      </c>
      <c r="E11" s="82" t="s">
        <v>86</v>
      </c>
      <c r="F11" s="82" t="s">
        <v>79</v>
      </c>
      <c r="G11" s="95" t="s">
        <v>87</v>
      </c>
    </row>
    <row r="12" spans="1:7" ht="120" x14ac:dyDescent="0.25">
      <c r="A12" s="634"/>
      <c r="B12" s="637"/>
      <c r="C12" s="328" t="s">
        <v>88</v>
      </c>
      <c r="D12" s="351" t="s">
        <v>89</v>
      </c>
      <c r="E12" s="82" t="s">
        <v>86</v>
      </c>
      <c r="F12" s="82" t="s">
        <v>79</v>
      </c>
      <c r="G12" s="321" t="s">
        <v>90</v>
      </c>
    </row>
    <row r="13" spans="1:7" ht="30" x14ac:dyDescent="0.25">
      <c r="A13" s="634"/>
      <c r="B13" s="637"/>
      <c r="C13" s="328" t="s">
        <v>91</v>
      </c>
      <c r="D13" s="82" t="s">
        <v>92</v>
      </c>
      <c r="E13" s="82" t="s">
        <v>86</v>
      </c>
      <c r="F13" s="82" t="s">
        <v>79</v>
      </c>
      <c r="G13" s="95" t="s">
        <v>93</v>
      </c>
    </row>
    <row r="14" spans="1:7" ht="30" x14ac:dyDescent="0.25">
      <c r="A14" s="634"/>
      <c r="B14" s="637"/>
      <c r="C14" s="328" t="s">
        <v>94</v>
      </c>
      <c r="D14" s="82" t="s">
        <v>95</v>
      </c>
      <c r="E14" s="82" t="s">
        <v>86</v>
      </c>
      <c r="F14" s="82" t="s">
        <v>79</v>
      </c>
      <c r="G14" s="95" t="s">
        <v>93</v>
      </c>
    </row>
    <row r="15" spans="1:7" ht="30" x14ac:dyDescent="0.25">
      <c r="A15" s="634"/>
      <c r="B15" s="637"/>
      <c r="C15" s="121" t="s">
        <v>96</v>
      </c>
      <c r="D15" s="82" t="s">
        <v>97</v>
      </c>
      <c r="E15" s="82" t="s">
        <v>60</v>
      </c>
      <c r="F15" s="82" t="s">
        <v>79</v>
      </c>
      <c r="G15" s="95" t="s">
        <v>98</v>
      </c>
    </row>
    <row r="16" spans="1:7" ht="60" x14ac:dyDescent="0.25">
      <c r="A16" s="634"/>
      <c r="B16" s="637"/>
      <c r="C16" s="328" t="s">
        <v>99</v>
      </c>
      <c r="D16" s="351" t="s">
        <v>100</v>
      </c>
      <c r="E16" s="82" t="s">
        <v>86</v>
      </c>
      <c r="F16" s="82" t="s">
        <v>79</v>
      </c>
      <c r="G16" s="321" t="s">
        <v>101</v>
      </c>
    </row>
    <row r="17" spans="1:7" ht="30" x14ac:dyDescent="0.25">
      <c r="A17" s="634"/>
      <c r="B17" s="637"/>
      <c r="C17" s="328" t="s">
        <v>102</v>
      </c>
      <c r="D17" s="82" t="s">
        <v>103</v>
      </c>
      <c r="E17" s="82" t="s">
        <v>86</v>
      </c>
      <c r="F17" s="82" t="s">
        <v>79</v>
      </c>
      <c r="G17" s="95" t="s">
        <v>104</v>
      </c>
    </row>
    <row r="18" spans="1:7" ht="45" x14ac:dyDescent="0.25">
      <c r="A18" s="634"/>
      <c r="B18" s="637"/>
      <c r="C18" s="328" t="s">
        <v>105</v>
      </c>
      <c r="D18" s="82" t="s">
        <v>106</v>
      </c>
      <c r="E18" s="82" t="s">
        <v>86</v>
      </c>
      <c r="F18" s="82" t="s">
        <v>79</v>
      </c>
      <c r="G18" s="95" t="s">
        <v>107</v>
      </c>
    </row>
    <row r="19" spans="1:7" x14ac:dyDescent="0.25">
      <c r="A19" s="634"/>
      <c r="B19" s="637"/>
      <c r="C19" s="328" t="s">
        <v>108</v>
      </c>
      <c r="D19" s="82" t="s">
        <v>109</v>
      </c>
      <c r="E19" s="82" t="s">
        <v>86</v>
      </c>
      <c r="F19" s="82" t="s">
        <v>79</v>
      </c>
      <c r="G19" s="95" t="s">
        <v>110</v>
      </c>
    </row>
    <row r="20" spans="1:7" ht="105.75" thickBot="1" x14ac:dyDescent="0.3">
      <c r="A20" s="634"/>
      <c r="B20" s="638"/>
      <c r="C20" s="420" t="s">
        <v>1</v>
      </c>
      <c r="D20" s="528" t="s">
        <v>111</v>
      </c>
      <c r="E20" s="390" t="s">
        <v>86</v>
      </c>
      <c r="F20" s="390" t="s">
        <v>79</v>
      </c>
      <c r="G20" s="421" t="s">
        <v>112</v>
      </c>
    </row>
    <row r="21" spans="1:7" ht="45" x14ac:dyDescent="0.25">
      <c r="A21" s="634"/>
      <c r="B21" s="670" t="s">
        <v>113</v>
      </c>
      <c r="C21" s="329" t="s">
        <v>114</v>
      </c>
      <c r="D21" s="105" t="s">
        <v>115</v>
      </c>
      <c r="E21" s="105" t="s">
        <v>86</v>
      </c>
      <c r="F21" s="105" t="s">
        <v>116</v>
      </c>
      <c r="G21" s="168" t="s">
        <v>117</v>
      </c>
    </row>
    <row r="22" spans="1:7" ht="30" x14ac:dyDescent="0.25">
      <c r="A22" s="634"/>
      <c r="B22" s="671"/>
      <c r="C22" s="330" t="s">
        <v>118</v>
      </c>
      <c r="D22" s="425" t="s">
        <v>119</v>
      </c>
      <c r="E22" s="425" t="s">
        <v>86</v>
      </c>
      <c r="F22" s="425" t="s">
        <v>116</v>
      </c>
      <c r="G22" s="426" t="s">
        <v>120</v>
      </c>
    </row>
    <row r="23" spans="1:7" ht="15.75" thickBot="1" x14ac:dyDescent="0.3">
      <c r="A23" s="634"/>
      <c r="B23" s="672"/>
      <c r="C23" s="427" t="s">
        <v>121</v>
      </c>
      <c r="D23" s="107" t="s">
        <v>122</v>
      </c>
      <c r="E23" s="107" t="s">
        <v>86</v>
      </c>
      <c r="F23" s="107" t="s">
        <v>116</v>
      </c>
      <c r="G23" s="108" t="s">
        <v>123</v>
      </c>
    </row>
    <row r="24" spans="1:7" ht="30" customHeight="1" x14ac:dyDescent="0.25">
      <c r="A24" s="634"/>
      <c r="B24" s="673" t="s">
        <v>124</v>
      </c>
      <c r="C24" s="422" t="s">
        <v>125</v>
      </c>
      <c r="D24" s="423" t="s">
        <v>126</v>
      </c>
      <c r="E24" s="423" t="s">
        <v>86</v>
      </c>
      <c r="F24" s="423" t="s">
        <v>79</v>
      </c>
      <c r="G24" s="424" t="s">
        <v>127</v>
      </c>
    </row>
    <row r="25" spans="1:7" ht="30" customHeight="1" x14ac:dyDescent="0.25">
      <c r="A25" s="634"/>
      <c r="B25" s="674"/>
      <c r="C25" s="330" t="s">
        <v>128</v>
      </c>
      <c r="D25" s="109" t="s">
        <v>129</v>
      </c>
      <c r="E25" s="109" t="s">
        <v>86</v>
      </c>
      <c r="F25" s="109" t="s">
        <v>130</v>
      </c>
      <c r="G25" s="627" t="s">
        <v>131</v>
      </c>
    </row>
    <row r="26" spans="1:7" ht="30" x14ac:dyDescent="0.25">
      <c r="A26" s="634"/>
      <c r="B26" s="674"/>
      <c r="C26" s="275" t="s">
        <v>132</v>
      </c>
      <c r="D26" s="109" t="s">
        <v>133</v>
      </c>
      <c r="E26" s="109" t="s">
        <v>86</v>
      </c>
      <c r="F26" s="109" t="s">
        <v>130</v>
      </c>
      <c r="G26" s="628"/>
    </row>
    <row r="27" spans="1:7" x14ac:dyDescent="0.25">
      <c r="A27" s="634"/>
      <c r="B27" s="674"/>
      <c r="C27" s="330" t="s">
        <v>30</v>
      </c>
      <c r="D27" s="109" t="s">
        <v>134</v>
      </c>
      <c r="E27" s="109" t="s">
        <v>86</v>
      </c>
      <c r="F27" s="109" t="s">
        <v>130</v>
      </c>
      <c r="G27" s="628"/>
    </row>
    <row r="28" spans="1:7" x14ac:dyDescent="0.25">
      <c r="A28" s="634"/>
      <c r="B28" s="674"/>
      <c r="C28" s="330" t="s">
        <v>135</v>
      </c>
      <c r="D28" s="109" t="s">
        <v>136</v>
      </c>
      <c r="E28" s="109" t="s">
        <v>86</v>
      </c>
      <c r="F28" s="109" t="s">
        <v>130</v>
      </c>
      <c r="G28" s="628"/>
    </row>
    <row r="29" spans="1:7" x14ac:dyDescent="0.25">
      <c r="A29" s="634"/>
      <c r="B29" s="674"/>
      <c r="C29" s="330" t="s">
        <v>36</v>
      </c>
      <c r="D29" s="109" t="s">
        <v>137</v>
      </c>
      <c r="E29" s="109" t="s">
        <v>86</v>
      </c>
      <c r="F29" s="109" t="s">
        <v>130</v>
      </c>
      <c r="G29" s="628"/>
    </row>
    <row r="30" spans="1:7" x14ac:dyDescent="0.25">
      <c r="A30" s="634"/>
      <c r="B30" s="674"/>
      <c r="C30" s="330" t="s">
        <v>138</v>
      </c>
      <c r="D30" s="109" t="s">
        <v>139</v>
      </c>
      <c r="E30" s="109" t="s">
        <v>86</v>
      </c>
      <c r="F30" s="109" t="s">
        <v>130</v>
      </c>
      <c r="G30" s="628"/>
    </row>
    <row r="31" spans="1:7" x14ac:dyDescent="0.25">
      <c r="A31" s="634"/>
      <c r="B31" s="674"/>
      <c r="C31" s="275" t="s">
        <v>140</v>
      </c>
      <c r="D31" s="109" t="s">
        <v>141</v>
      </c>
      <c r="E31" s="109" t="s">
        <v>86</v>
      </c>
      <c r="F31" s="109" t="s">
        <v>130</v>
      </c>
      <c r="G31" s="628"/>
    </row>
    <row r="32" spans="1:7" ht="30.75" thickBot="1" x14ac:dyDescent="0.3">
      <c r="A32" s="634"/>
      <c r="B32" s="675"/>
      <c r="C32" s="331" t="s">
        <v>142</v>
      </c>
      <c r="D32" s="104" t="s">
        <v>143</v>
      </c>
      <c r="E32" s="104" t="s">
        <v>86</v>
      </c>
      <c r="F32" s="104" t="s">
        <v>130</v>
      </c>
      <c r="G32" s="629"/>
    </row>
    <row r="33" spans="1:7" ht="30" x14ac:dyDescent="0.25">
      <c r="A33" s="634"/>
      <c r="B33" s="676" t="s">
        <v>144</v>
      </c>
      <c r="C33" s="310" t="s">
        <v>132</v>
      </c>
      <c r="D33" s="273" t="s">
        <v>145</v>
      </c>
      <c r="E33" s="273" t="s">
        <v>86</v>
      </c>
      <c r="F33" s="273" t="s">
        <v>146</v>
      </c>
      <c r="G33" s="274" t="s">
        <v>147</v>
      </c>
    </row>
    <row r="34" spans="1:7" x14ac:dyDescent="0.25">
      <c r="A34" s="634"/>
      <c r="B34" s="677"/>
      <c r="C34" s="328" t="s">
        <v>30</v>
      </c>
      <c r="D34" s="83" t="s">
        <v>148</v>
      </c>
      <c r="E34" s="83" t="s">
        <v>86</v>
      </c>
      <c r="F34" s="83" t="s">
        <v>146</v>
      </c>
      <c r="G34" s="99"/>
    </row>
    <row r="35" spans="1:7" x14ac:dyDescent="0.25">
      <c r="A35" s="634"/>
      <c r="B35" s="677"/>
      <c r="C35" s="328" t="s">
        <v>135</v>
      </c>
      <c r="D35" s="83" t="s">
        <v>149</v>
      </c>
      <c r="E35" s="83" t="s">
        <v>86</v>
      </c>
      <c r="F35" s="83" t="s">
        <v>146</v>
      </c>
      <c r="G35" s="99" t="s">
        <v>150</v>
      </c>
    </row>
    <row r="36" spans="1:7" x14ac:dyDescent="0.25">
      <c r="A36" s="634"/>
      <c r="B36" s="677"/>
      <c r="C36" s="328" t="s">
        <v>36</v>
      </c>
      <c r="D36" s="83" t="s">
        <v>151</v>
      </c>
      <c r="E36" s="83" t="s">
        <v>86</v>
      </c>
      <c r="F36" s="83" t="s">
        <v>146</v>
      </c>
      <c r="G36" s="113"/>
    </row>
    <row r="37" spans="1:7" x14ac:dyDescent="0.25">
      <c r="A37" s="634"/>
      <c r="B37" s="677"/>
      <c r="C37" s="328" t="s">
        <v>138</v>
      </c>
      <c r="D37" s="83" t="s">
        <v>152</v>
      </c>
      <c r="E37" s="83" t="s">
        <v>86</v>
      </c>
      <c r="F37" s="83" t="s">
        <v>146</v>
      </c>
      <c r="G37" s="99" t="s">
        <v>153</v>
      </c>
    </row>
    <row r="38" spans="1:7" x14ac:dyDescent="0.25">
      <c r="A38" s="634"/>
      <c r="B38" s="677"/>
      <c r="C38" s="276" t="s">
        <v>140</v>
      </c>
      <c r="D38" s="83" t="s">
        <v>154</v>
      </c>
      <c r="E38" s="83" t="s">
        <v>86</v>
      </c>
      <c r="F38" s="83" t="s">
        <v>146</v>
      </c>
      <c r="G38" s="99"/>
    </row>
    <row r="39" spans="1:7" ht="30" x14ac:dyDescent="0.25">
      <c r="A39" s="634"/>
      <c r="B39" s="677"/>
      <c r="C39" s="330" t="s">
        <v>155</v>
      </c>
      <c r="D39" s="83" t="s">
        <v>156</v>
      </c>
      <c r="E39" s="83" t="s">
        <v>86</v>
      </c>
      <c r="F39" s="83" t="s">
        <v>146</v>
      </c>
      <c r="G39" s="99"/>
    </row>
    <row r="40" spans="1:7" ht="30" x14ac:dyDescent="0.25">
      <c r="A40" s="634"/>
      <c r="B40" s="677"/>
      <c r="C40" s="276" t="s">
        <v>157</v>
      </c>
      <c r="D40" s="83" t="s">
        <v>158</v>
      </c>
      <c r="E40" s="83" t="s">
        <v>60</v>
      </c>
      <c r="F40" s="83" t="s">
        <v>146</v>
      </c>
      <c r="G40" s="99" t="s">
        <v>159</v>
      </c>
    </row>
    <row r="41" spans="1:7" ht="45.75" thickBot="1" x14ac:dyDescent="0.3">
      <c r="A41" s="634"/>
      <c r="B41" s="678"/>
      <c r="C41" s="327" t="s">
        <v>160</v>
      </c>
      <c r="D41" s="100" t="s">
        <v>161</v>
      </c>
      <c r="E41" s="100" t="s">
        <v>86</v>
      </c>
      <c r="F41" s="100" t="s">
        <v>146</v>
      </c>
      <c r="G41" s="101" t="s">
        <v>162</v>
      </c>
    </row>
    <row r="42" spans="1:7" ht="135.75" thickBot="1" x14ac:dyDescent="0.3">
      <c r="A42" s="633" t="s">
        <v>63</v>
      </c>
      <c r="B42" s="428" t="s">
        <v>163</v>
      </c>
      <c r="C42" s="332" t="s">
        <v>88</v>
      </c>
      <c r="D42" s="429" t="s">
        <v>164</v>
      </c>
      <c r="E42" s="429" t="s">
        <v>86</v>
      </c>
      <c r="F42" s="429" t="s">
        <v>79</v>
      </c>
      <c r="G42" s="430" t="s">
        <v>165</v>
      </c>
    </row>
    <row r="43" spans="1:7" ht="15" customHeight="1" x14ac:dyDescent="0.25">
      <c r="A43" s="634"/>
      <c r="B43" s="662" t="s">
        <v>166</v>
      </c>
      <c r="C43" s="307" t="s">
        <v>167</v>
      </c>
      <c r="D43" s="295" t="s">
        <v>168</v>
      </c>
      <c r="E43" s="295" t="s">
        <v>67</v>
      </c>
      <c r="F43" s="295" t="s">
        <v>79</v>
      </c>
      <c r="G43" s="278" t="s">
        <v>169</v>
      </c>
    </row>
    <row r="44" spans="1:7" ht="30" x14ac:dyDescent="0.25">
      <c r="A44" s="634"/>
      <c r="B44" s="663"/>
      <c r="C44" s="308" t="s">
        <v>128</v>
      </c>
      <c r="D44" s="296" t="s">
        <v>170</v>
      </c>
      <c r="E44" s="296" t="s">
        <v>67</v>
      </c>
      <c r="F44" s="296" t="s">
        <v>79</v>
      </c>
      <c r="G44" s="279" t="s">
        <v>169</v>
      </c>
    </row>
    <row r="45" spans="1:7" ht="30" x14ac:dyDescent="0.25">
      <c r="A45" s="634"/>
      <c r="B45" s="663"/>
      <c r="C45" s="308" t="s">
        <v>105</v>
      </c>
      <c r="D45" s="296" t="s">
        <v>171</v>
      </c>
      <c r="E45" s="296" t="s">
        <v>67</v>
      </c>
      <c r="F45" s="296" t="s">
        <v>79</v>
      </c>
      <c r="G45" s="279" t="s">
        <v>172</v>
      </c>
    </row>
    <row r="46" spans="1:7" x14ac:dyDescent="0.25">
      <c r="A46" s="634"/>
      <c r="B46" s="663"/>
      <c r="C46" s="308" t="s">
        <v>173</v>
      </c>
      <c r="D46" s="296" t="s">
        <v>174</v>
      </c>
      <c r="E46" s="296" t="s">
        <v>67</v>
      </c>
      <c r="F46" s="296" t="s">
        <v>79</v>
      </c>
      <c r="G46" s="279" t="s">
        <v>169</v>
      </c>
    </row>
    <row r="47" spans="1:7" ht="15.75" thickBot="1" x14ac:dyDescent="0.3">
      <c r="A47" s="634"/>
      <c r="B47" s="664"/>
      <c r="C47" s="309" t="s">
        <v>175</v>
      </c>
      <c r="D47" s="297" t="s">
        <v>176</v>
      </c>
      <c r="E47" s="296" t="s">
        <v>67</v>
      </c>
      <c r="F47" s="297" t="s">
        <v>79</v>
      </c>
      <c r="G47" s="280" t="s">
        <v>169</v>
      </c>
    </row>
    <row r="48" spans="1:7" ht="30" x14ac:dyDescent="0.25">
      <c r="A48" s="634"/>
      <c r="B48" s="665" t="s">
        <v>177</v>
      </c>
      <c r="C48" s="304" t="s">
        <v>132</v>
      </c>
      <c r="D48" s="298" t="s">
        <v>178</v>
      </c>
      <c r="E48" s="298" t="s">
        <v>67</v>
      </c>
      <c r="F48" s="298" t="s">
        <v>130</v>
      </c>
      <c r="G48" s="630" t="s">
        <v>179</v>
      </c>
    </row>
    <row r="49" spans="1:7" ht="30" x14ac:dyDescent="0.25">
      <c r="A49" s="634"/>
      <c r="B49" s="665"/>
      <c r="C49" s="305" t="s">
        <v>30</v>
      </c>
      <c r="D49" s="281" t="s">
        <v>180</v>
      </c>
      <c r="E49" s="281" t="s">
        <v>67</v>
      </c>
      <c r="F49" s="281" t="s">
        <v>130</v>
      </c>
      <c r="G49" s="631"/>
    </row>
    <row r="50" spans="1:7" ht="30" x14ac:dyDescent="0.25">
      <c r="A50" s="634"/>
      <c r="B50" s="665"/>
      <c r="C50" s="305" t="s">
        <v>135</v>
      </c>
      <c r="D50" s="281" t="s">
        <v>181</v>
      </c>
      <c r="E50" s="281" t="s">
        <v>67</v>
      </c>
      <c r="F50" s="281" t="s">
        <v>130</v>
      </c>
      <c r="G50" s="631"/>
    </row>
    <row r="51" spans="1:7" ht="30" x14ac:dyDescent="0.25">
      <c r="A51" s="634"/>
      <c r="B51" s="665"/>
      <c r="C51" s="305" t="s">
        <v>36</v>
      </c>
      <c r="D51" s="281" t="s">
        <v>182</v>
      </c>
      <c r="E51" s="281" t="s">
        <v>67</v>
      </c>
      <c r="F51" s="281" t="s">
        <v>130</v>
      </c>
      <c r="G51" s="631"/>
    </row>
    <row r="52" spans="1:7" ht="30" x14ac:dyDescent="0.25">
      <c r="A52" s="634"/>
      <c r="B52" s="665"/>
      <c r="C52" s="305" t="s">
        <v>138</v>
      </c>
      <c r="D52" s="281" t="s">
        <v>183</v>
      </c>
      <c r="E52" s="281" t="s">
        <v>67</v>
      </c>
      <c r="F52" s="281" t="s">
        <v>130</v>
      </c>
      <c r="G52" s="631"/>
    </row>
    <row r="53" spans="1:7" ht="30" x14ac:dyDescent="0.25">
      <c r="A53" s="634"/>
      <c r="B53" s="665"/>
      <c r="C53" s="305" t="s">
        <v>184</v>
      </c>
      <c r="D53" s="281" t="s">
        <v>185</v>
      </c>
      <c r="E53" s="281" t="s">
        <v>67</v>
      </c>
      <c r="F53" s="281" t="s">
        <v>130</v>
      </c>
      <c r="G53" s="631"/>
    </row>
    <row r="54" spans="1:7" x14ac:dyDescent="0.25">
      <c r="A54" s="634"/>
      <c r="B54" s="665"/>
      <c r="C54" s="305" t="s">
        <v>140</v>
      </c>
      <c r="D54" s="281" t="s">
        <v>186</v>
      </c>
      <c r="E54" s="281" t="s">
        <v>67</v>
      </c>
      <c r="F54" s="281" t="s">
        <v>130</v>
      </c>
      <c r="G54" s="631"/>
    </row>
    <row r="55" spans="1:7" ht="30.75" thickBot="1" x14ac:dyDescent="0.3">
      <c r="A55" s="634"/>
      <c r="B55" s="666"/>
      <c r="C55" s="306" t="s">
        <v>187</v>
      </c>
      <c r="D55" s="299" t="s">
        <v>188</v>
      </c>
      <c r="E55" s="299" t="s">
        <v>67</v>
      </c>
      <c r="F55" s="299" t="s">
        <v>130</v>
      </c>
      <c r="G55" s="632"/>
    </row>
    <row r="56" spans="1:7" ht="30" x14ac:dyDescent="0.25">
      <c r="A56" s="634"/>
      <c r="B56" s="667" t="s">
        <v>144</v>
      </c>
      <c r="C56" s="415" t="s">
        <v>132</v>
      </c>
      <c r="D56" s="416" t="s">
        <v>189</v>
      </c>
      <c r="E56" s="416" t="s">
        <v>67</v>
      </c>
      <c r="F56" s="416" t="s">
        <v>146</v>
      </c>
      <c r="G56" s="417" t="s">
        <v>169</v>
      </c>
    </row>
    <row r="57" spans="1:7" ht="30" x14ac:dyDescent="0.25">
      <c r="A57" s="634"/>
      <c r="B57" s="668"/>
      <c r="C57" s="302" t="s">
        <v>30</v>
      </c>
      <c r="D57" s="300" t="s">
        <v>190</v>
      </c>
      <c r="E57" s="300" t="s">
        <v>67</v>
      </c>
      <c r="F57" s="300" t="s">
        <v>146</v>
      </c>
      <c r="G57" s="277" t="s">
        <v>169</v>
      </c>
    </row>
    <row r="58" spans="1:7" ht="30" x14ac:dyDescent="0.25">
      <c r="A58" s="634"/>
      <c r="B58" s="668"/>
      <c r="C58" s="302" t="s">
        <v>135</v>
      </c>
      <c r="D58" s="300" t="s">
        <v>191</v>
      </c>
      <c r="E58" s="300" t="s">
        <v>67</v>
      </c>
      <c r="F58" s="300" t="s">
        <v>146</v>
      </c>
      <c r="G58" s="277" t="s">
        <v>169</v>
      </c>
    </row>
    <row r="59" spans="1:7" x14ac:dyDescent="0.25">
      <c r="A59" s="634"/>
      <c r="B59" s="668"/>
      <c r="C59" s="302" t="s">
        <v>36</v>
      </c>
      <c r="D59" s="300" t="s">
        <v>192</v>
      </c>
      <c r="E59" s="300" t="s">
        <v>67</v>
      </c>
      <c r="F59" s="300" t="s">
        <v>146</v>
      </c>
      <c r="G59" s="277" t="s">
        <v>169</v>
      </c>
    </row>
    <row r="60" spans="1:7" ht="30" x14ac:dyDescent="0.25">
      <c r="A60" s="634"/>
      <c r="B60" s="668"/>
      <c r="C60" s="302" t="s">
        <v>138</v>
      </c>
      <c r="D60" s="300" t="s">
        <v>193</v>
      </c>
      <c r="E60" s="300" t="s">
        <v>67</v>
      </c>
      <c r="F60" s="300" t="s">
        <v>146</v>
      </c>
      <c r="G60" s="277" t="s">
        <v>169</v>
      </c>
    </row>
    <row r="61" spans="1:7" x14ac:dyDescent="0.25">
      <c r="A61" s="634"/>
      <c r="B61" s="668"/>
      <c r="C61" s="302" t="s">
        <v>184</v>
      </c>
      <c r="D61" s="300" t="s">
        <v>194</v>
      </c>
      <c r="E61" s="300" t="s">
        <v>67</v>
      </c>
      <c r="F61" s="300" t="s">
        <v>146</v>
      </c>
      <c r="G61" s="277" t="s">
        <v>169</v>
      </c>
    </row>
    <row r="62" spans="1:7" x14ac:dyDescent="0.25">
      <c r="A62" s="634"/>
      <c r="B62" s="668"/>
      <c r="C62" s="302" t="s">
        <v>140</v>
      </c>
      <c r="D62" s="300" t="s">
        <v>195</v>
      </c>
      <c r="E62" s="300" t="s">
        <v>67</v>
      </c>
      <c r="F62" s="300" t="s">
        <v>146</v>
      </c>
      <c r="G62" s="277" t="s">
        <v>169</v>
      </c>
    </row>
    <row r="63" spans="1:7" ht="15.75" thickBot="1" x14ac:dyDescent="0.3">
      <c r="A63" s="635"/>
      <c r="B63" s="669"/>
      <c r="C63" s="303" t="s">
        <v>187</v>
      </c>
      <c r="D63" s="301" t="s">
        <v>196</v>
      </c>
      <c r="E63" s="301" t="s">
        <v>67</v>
      </c>
      <c r="F63" s="301" t="s">
        <v>146</v>
      </c>
      <c r="G63" s="282" t="s">
        <v>169</v>
      </c>
    </row>
    <row r="64" spans="1:7" ht="120" x14ac:dyDescent="0.25">
      <c r="A64" s="634" t="s">
        <v>65</v>
      </c>
      <c r="B64" s="659" t="s">
        <v>197</v>
      </c>
      <c r="C64" s="329" t="s">
        <v>77</v>
      </c>
      <c r="D64" s="284" t="s">
        <v>198</v>
      </c>
      <c r="E64" s="284" t="s">
        <v>60</v>
      </c>
      <c r="F64" s="284" t="s">
        <v>79</v>
      </c>
      <c r="G64" s="431" t="s">
        <v>199</v>
      </c>
    </row>
    <row r="65" spans="1:7" ht="60" x14ac:dyDescent="0.25">
      <c r="A65" s="634"/>
      <c r="B65" s="660"/>
      <c r="C65" s="330" t="s">
        <v>81</v>
      </c>
      <c r="D65" s="285" t="s">
        <v>82</v>
      </c>
      <c r="E65" s="285" t="s">
        <v>60</v>
      </c>
      <c r="F65" s="285" t="s">
        <v>79</v>
      </c>
      <c r="G65" s="433" t="s">
        <v>200</v>
      </c>
    </row>
    <row r="66" spans="1:7" ht="30" x14ac:dyDescent="0.25">
      <c r="A66" s="634"/>
      <c r="B66" s="660"/>
      <c r="C66" s="330" t="s">
        <v>96</v>
      </c>
      <c r="D66" s="285" t="s">
        <v>97</v>
      </c>
      <c r="E66" s="285" t="s">
        <v>60</v>
      </c>
      <c r="F66" s="285" t="s">
        <v>79</v>
      </c>
      <c r="G66" s="286" t="s">
        <v>201</v>
      </c>
    </row>
    <row r="67" spans="1:7" ht="30" x14ac:dyDescent="0.25">
      <c r="A67" s="634"/>
      <c r="B67" s="660"/>
      <c r="C67" s="330" t="s">
        <v>202</v>
      </c>
      <c r="D67" s="285" t="s">
        <v>203</v>
      </c>
      <c r="E67" s="285" t="s">
        <v>60</v>
      </c>
      <c r="F67" s="285" t="s">
        <v>79</v>
      </c>
      <c r="G67" s="286" t="s">
        <v>204</v>
      </c>
    </row>
    <row r="68" spans="1:7" x14ac:dyDescent="0.25">
      <c r="A68" s="634"/>
      <c r="B68" s="660"/>
      <c r="C68" s="330" t="s">
        <v>1</v>
      </c>
      <c r="D68" s="285" t="s">
        <v>205</v>
      </c>
      <c r="E68" s="285" t="s">
        <v>60</v>
      </c>
      <c r="F68" s="285" t="s">
        <v>79</v>
      </c>
      <c r="G68" s="286" t="s">
        <v>206</v>
      </c>
    </row>
    <row r="69" spans="1:7" ht="15.75" thickBot="1" x14ac:dyDescent="0.3">
      <c r="A69" s="634"/>
      <c r="B69" s="661"/>
      <c r="C69" s="331" t="s">
        <v>207</v>
      </c>
      <c r="D69" s="287" t="s">
        <v>208</v>
      </c>
      <c r="E69" s="287" t="s">
        <v>60</v>
      </c>
      <c r="F69" s="287" t="s">
        <v>79</v>
      </c>
      <c r="G69" s="288"/>
    </row>
    <row r="70" spans="1:7" ht="150" x14ac:dyDescent="0.25">
      <c r="A70" s="633" t="s">
        <v>68</v>
      </c>
      <c r="B70" s="636" t="s">
        <v>76</v>
      </c>
      <c r="C70" s="343" t="s">
        <v>77</v>
      </c>
      <c r="D70" s="283" t="s">
        <v>209</v>
      </c>
      <c r="E70" s="283" t="s">
        <v>60</v>
      </c>
      <c r="F70" s="283" t="s">
        <v>79</v>
      </c>
      <c r="G70" s="432" t="s">
        <v>210</v>
      </c>
    </row>
    <row r="71" spans="1:7" x14ac:dyDescent="0.25">
      <c r="A71" s="634"/>
      <c r="B71" s="637"/>
      <c r="C71" s="121" t="s">
        <v>81</v>
      </c>
      <c r="D71" s="82" t="s">
        <v>82</v>
      </c>
      <c r="E71" s="82" t="s">
        <v>60</v>
      </c>
      <c r="F71" s="82" t="s">
        <v>79</v>
      </c>
      <c r="G71" s="95" t="s">
        <v>169</v>
      </c>
    </row>
    <row r="72" spans="1:7" ht="30" x14ac:dyDescent="0.25">
      <c r="A72" s="634"/>
      <c r="B72" s="637"/>
      <c r="C72" s="121" t="s">
        <v>96</v>
      </c>
      <c r="D72" s="82" t="s">
        <v>97</v>
      </c>
      <c r="E72" s="82" t="s">
        <v>60</v>
      </c>
      <c r="F72" s="82" t="s">
        <v>79</v>
      </c>
      <c r="G72" s="95" t="s">
        <v>211</v>
      </c>
    </row>
    <row r="73" spans="1:7" x14ac:dyDescent="0.25">
      <c r="A73" s="634"/>
      <c r="B73" s="637"/>
      <c r="C73" s="121" t="s">
        <v>212</v>
      </c>
      <c r="D73" s="82" t="s">
        <v>213</v>
      </c>
      <c r="E73" s="82" t="s">
        <v>86</v>
      </c>
      <c r="F73" s="82" t="s">
        <v>79</v>
      </c>
      <c r="G73" s="95" t="s">
        <v>169</v>
      </c>
    </row>
    <row r="74" spans="1:7" ht="60" customHeight="1" x14ac:dyDescent="0.25">
      <c r="A74" s="634"/>
      <c r="B74" s="637"/>
      <c r="C74" s="121" t="s">
        <v>88</v>
      </c>
      <c r="D74" s="82" t="s">
        <v>214</v>
      </c>
      <c r="E74" s="82" t="s">
        <v>86</v>
      </c>
      <c r="F74" s="82" t="s">
        <v>79</v>
      </c>
      <c r="G74" s="95" t="s">
        <v>169</v>
      </c>
    </row>
    <row r="75" spans="1:7" x14ac:dyDescent="0.25">
      <c r="A75" s="634"/>
      <c r="B75" s="637"/>
      <c r="C75" s="121" t="s">
        <v>1</v>
      </c>
      <c r="D75" s="82" t="s">
        <v>205</v>
      </c>
      <c r="E75" s="82" t="s">
        <v>86</v>
      </c>
      <c r="F75" s="82" t="s">
        <v>79</v>
      </c>
      <c r="G75" s="95" t="s">
        <v>169</v>
      </c>
    </row>
    <row r="76" spans="1:7" ht="90" x14ac:dyDescent="0.25">
      <c r="A76" s="634"/>
      <c r="B76" s="637"/>
      <c r="C76" s="121" t="s">
        <v>215</v>
      </c>
      <c r="D76" s="82" t="s">
        <v>216</v>
      </c>
      <c r="E76" s="82" t="s">
        <v>60</v>
      </c>
      <c r="F76" s="82" t="s">
        <v>79</v>
      </c>
      <c r="G76" s="321" t="s">
        <v>217</v>
      </c>
    </row>
    <row r="77" spans="1:7" ht="90" x14ac:dyDescent="0.25">
      <c r="A77" s="634"/>
      <c r="B77" s="637"/>
      <c r="C77" s="121" t="s">
        <v>218</v>
      </c>
      <c r="D77" s="82" t="s">
        <v>219</v>
      </c>
      <c r="E77" s="82" t="s">
        <v>60</v>
      </c>
      <c r="F77" s="82" t="s">
        <v>79</v>
      </c>
      <c r="G77" s="321" t="s">
        <v>220</v>
      </c>
    </row>
    <row r="78" spans="1:7" ht="30" x14ac:dyDescent="0.25">
      <c r="A78" s="634"/>
      <c r="B78" s="637"/>
      <c r="C78" s="121" t="s">
        <v>105</v>
      </c>
      <c r="D78" s="82" t="s">
        <v>171</v>
      </c>
      <c r="E78" s="82" t="s">
        <v>86</v>
      </c>
      <c r="F78" s="82" t="s">
        <v>79</v>
      </c>
      <c r="G78" s="95" t="s">
        <v>172</v>
      </c>
    </row>
    <row r="79" spans="1:7" ht="30.75" thickBot="1" x14ac:dyDescent="0.3">
      <c r="A79" s="634"/>
      <c r="B79" s="638"/>
      <c r="C79" s="122" t="s">
        <v>221</v>
      </c>
      <c r="D79" s="96" t="s">
        <v>222</v>
      </c>
      <c r="E79" s="96" t="s">
        <v>60</v>
      </c>
      <c r="F79" s="96" t="s">
        <v>79</v>
      </c>
      <c r="G79" s="97" t="s">
        <v>223</v>
      </c>
    </row>
    <row r="80" spans="1:7" ht="30" x14ac:dyDescent="0.25">
      <c r="A80" s="634"/>
      <c r="B80" s="639" t="s">
        <v>113</v>
      </c>
      <c r="C80" s="123" t="s">
        <v>114</v>
      </c>
      <c r="D80" s="105" t="s">
        <v>224</v>
      </c>
      <c r="E80" s="105" t="s">
        <v>60</v>
      </c>
      <c r="F80" s="105" t="s">
        <v>225</v>
      </c>
      <c r="G80" s="106" t="s">
        <v>223</v>
      </c>
    </row>
    <row r="81" spans="1:7" ht="30.75" thickBot="1" x14ac:dyDescent="0.3">
      <c r="A81" s="634"/>
      <c r="B81" s="640"/>
      <c r="C81" s="124" t="s">
        <v>121</v>
      </c>
      <c r="D81" s="107" t="s">
        <v>226</v>
      </c>
      <c r="E81" s="107" t="s">
        <v>60</v>
      </c>
      <c r="F81" s="107" t="s">
        <v>225</v>
      </c>
      <c r="G81" s="108" t="s">
        <v>223</v>
      </c>
    </row>
    <row r="82" spans="1:7" ht="30" x14ac:dyDescent="0.25">
      <c r="A82" s="634"/>
      <c r="B82" s="641" t="s">
        <v>124</v>
      </c>
      <c r="C82" s="125" t="s">
        <v>227</v>
      </c>
      <c r="D82" s="102" t="s">
        <v>228</v>
      </c>
      <c r="E82" s="102" t="s">
        <v>60</v>
      </c>
      <c r="F82" s="102" t="s">
        <v>79</v>
      </c>
      <c r="G82" s="103" t="s">
        <v>223</v>
      </c>
    </row>
    <row r="83" spans="1:7" ht="30" x14ac:dyDescent="0.25">
      <c r="A83" s="634"/>
      <c r="B83" s="642"/>
      <c r="C83" s="127" t="s">
        <v>229</v>
      </c>
      <c r="D83" s="109" t="s">
        <v>230</v>
      </c>
      <c r="E83" s="109" t="s">
        <v>60</v>
      </c>
      <c r="F83" s="109" t="s">
        <v>225</v>
      </c>
      <c r="G83" s="114" t="s">
        <v>223</v>
      </c>
    </row>
    <row r="84" spans="1:7" ht="30.75" thickBot="1" x14ac:dyDescent="0.3">
      <c r="A84" s="634"/>
      <c r="B84" s="643"/>
      <c r="C84" s="128" t="s">
        <v>187</v>
      </c>
      <c r="D84" s="119" t="s">
        <v>231</v>
      </c>
      <c r="E84" s="119" t="s">
        <v>60</v>
      </c>
      <c r="F84" s="119" t="s">
        <v>225</v>
      </c>
      <c r="G84" s="120" t="s">
        <v>223</v>
      </c>
    </row>
    <row r="85" spans="1:7" ht="30" x14ac:dyDescent="0.25">
      <c r="A85" s="634"/>
      <c r="B85" s="644" t="s">
        <v>144</v>
      </c>
      <c r="C85" s="126" t="s">
        <v>232</v>
      </c>
      <c r="D85" s="111" t="s">
        <v>233</v>
      </c>
      <c r="E85" s="111" t="s">
        <v>60</v>
      </c>
      <c r="F85" s="111" t="s">
        <v>225</v>
      </c>
      <c r="G85" s="112" t="s">
        <v>223</v>
      </c>
    </row>
    <row r="86" spans="1:7" ht="30" x14ac:dyDescent="0.25">
      <c r="A86" s="634"/>
      <c r="B86" s="645"/>
      <c r="C86" s="98" t="s">
        <v>229</v>
      </c>
      <c r="D86" s="83" t="s">
        <v>234</v>
      </c>
      <c r="E86" s="83" t="s">
        <v>60</v>
      </c>
      <c r="F86" s="83" t="s">
        <v>225</v>
      </c>
      <c r="G86" s="99" t="s">
        <v>223</v>
      </c>
    </row>
    <row r="87" spans="1:7" ht="30" x14ac:dyDescent="0.25">
      <c r="A87" s="634"/>
      <c r="B87" s="645"/>
      <c r="C87" s="98" t="s">
        <v>184</v>
      </c>
      <c r="D87" s="83" t="s">
        <v>235</v>
      </c>
      <c r="E87" s="83" t="s">
        <v>60</v>
      </c>
      <c r="F87" s="83" t="s">
        <v>225</v>
      </c>
      <c r="G87" s="99" t="s">
        <v>223</v>
      </c>
    </row>
    <row r="88" spans="1:7" ht="30" x14ac:dyDescent="0.25">
      <c r="A88" s="634"/>
      <c r="B88" s="645"/>
      <c r="C88" s="98" t="s">
        <v>140</v>
      </c>
      <c r="D88" s="83" t="s">
        <v>236</v>
      </c>
      <c r="E88" s="83" t="s">
        <v>60</v>
      </c>
      <c r="F88" s="83" t="s">
        <v>225</v>
      </c>
      <c r="G88" s="99" t="s">
        <v>223</v>
      </c>
    </row>
    <row r="89" spans="1:7" ht="45" customHeight="1" x14ac:dyDescent="0.25">
      <c r="A89" s="634"/>
      <c r="B89" s="645"/>
      <c r="C89" s="98" t="s">
        <v>187</v>
      </c>
      <c r="D89" s="83" t="s">
        <v>237</v>
      </c>
      <c r="E89" s="83" t="s">
        <v>60</v>
      </c>
      <c r="F89" s="83" t="s">
        <v>225</v>
      </c>
      <c r="G89" s="99" t="s">
        <v>223</v>
      </c>
    </row>
    <row r="90" spans="1:7" ht="30.75" thickBot="1" x14ac:dyDescent="0.3">
      <c r="A90" s="635"/>
      <c r="B90" s="646"/>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sheetPr codeName="Sheet4"/>
  <dimension ref="A2:S18"/>
  <sheetViews>
    <sheetView topLeftCell="A5" workbookViewId="0">
      <selection activeCell="F20" sqref="F20"/>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79" t="s">
        <v>240</v>
      </c>
      <c r="B2" s="679"/>
      <c r="C2" s="679"/>
      <c r="D2" s="679"/>
      <c r="E2" s="679"/>
      <c r="F2" s="89"/>
      <c r="G2" s="89"/>
      <c r="H2" s="89"/>
      <c r="I2" s="89"/>
      <c r="J2" s="89"/>
      <c r="K2" s="89"/>
      <c r="L2" s="89"/>
      <c r="M2" s="89"/>
      <c r="N2" s="89"/>
      <c r="O2" s="89"/>
      <c r="P2" s="89"/>
      <c r="Q2" s="89"/>
      <c r="R2" s="89"/>
    </row>
    <row r="3" spans="1:19" ht="45" x14ac:dyDescent="0.25">
      <c r="A3" s="529" t="s">
        <v>241</v>
      </c>
      <c r="B3" s="529" t="s">
        <v>242</v>
      </c>
      <c r="C3" s="529" t="s">
        <v>243</v>
      </c>
      <c r="D3" s="529" t="s">
        <v>244</v>
      </c>
      <c r="E3" s="529" t="s">
        <v>245</v>
      </c>
    </row>
    <row r="4" spans="1:19" x14ac:dyDescent="0.25">
      <c r="A4" s="530" t="s">
        <v>246</v>
      </c>
      <c r="B4" s="530" t="s">
        <v>247</v>
      </c>
      <c r="C4" s="530" t="s">
        <v>248</v>
      </c>
      <c r="D4" s="530" t="s">
        <v>249</v>
      </c>
      <c r="E4" s="530" t="s">
        <v>248</v>
      </c>
    </row>
    <row r="5" spans="1:19" x14ac:dyDescent="0.25">
      <c r="A5" s="530" t="s">
        <v>250</v>
      </c>
      <c r="B5" s="530" t="s">
        <v>251</v>
      </c>
      <c r="C5" s="530" t="s">
        <v>252</v>
      </c>
      <c r="D5" s="530" t="s">
        <v>249</v>
      </c>
      <c r="E5" s="530" t="s">
        <v>248</v>
      </c>
    </row>
    <row r="6" spans="1:19" x14ac:dyDescent="0.25">
      <c r="A6" s="81"/>
    </row>
    <row r="7" spans="1:19" ht="59.25" customHeight="1" x14ac:dyDescent="0.25">
      <c r="A7" s="679" t="s">
        <v>253</v>
      </c>
      <c r="B7" s="680"/>
      <c r="C7" s="680"/>
      <c r="D7" s="680"/>
      <c r="E7" s="680"/>
      <c r="F7" s="680"/>
      <c r="G7" s="680"/>
      <c r="H7" s="680"/>
      <c r="I7" s="680"/>
      <c r="J7" s="680"/>
      <c r="K7" s="680"/>
      <c r="L7" s="680"/>
      <c r="M7" s="89"/>
      <c r="N7" s="89"/>
      <c r="O7" s="89"/>
      <c r="P7" s="89"/>
      <c r="Q7" s="89"/>
      <c r="R7" s="89"/>
      <c r="S7" s="89"/>
    </row>
    <row r="8" spans="1:19" x14ac:dyDescent="0.25">
      <c r="A8" s="531" t="s">
        <v>254</v>
      </c>
      <c r="B8" s="532"/>
      <c r="C8" s="532"/>
      <c r="D8" s="532"/>
      <c r="E8" s="532"/>
      <c r="F8" s="532"/>
      <c r="G8" s="532"/>
      <c r="H8" s="532"/>
      <c r="I8" s="532"/>
      <c r="J8" s="532"/>
      <c r="K8" s="532"/>
      <c r="L8" s="532"/>
      <c r="M8" s="89"/>
      <c r="N8" s="89"/>
      <c r="O8" s="89"/>
      <c r="P8" s="89"/>
      <c r="Q8" s="89"/>
      <c r="R8" s="89"/>
      <c r="S8" s="89"/>
    </row>
    <row r="9" spans="1:19" x14ac:dyDescent="0.25">
      <c r="A9" s="533" t="s">
        <v>77</v>
      </c>
      <c r="B9" s="534" t="s">
        <v>81</v>
      </c>
      <c r="C9" s="534" t="s">
        <v>84</v>
      </c>
      <c r="D9" s="535" t="s">
        <v>88</v>
      </c>
      <c r="E9" s="534" t="s">
        <v>91</v>
      </c>
      <c r="F9" s="534" t="s">
        <v>94</v>
      </c>
      <c r="G9" s="534" t="s">
        <v>96</v>
      </c>
      <c r="H9" s="534" t="s">
        <v>99</v>
      </c>
      <c r="I9" s="534" t="s">
        <v>102</v>
      </c>
      <c r="J9" s="536" t="s">
        <v>105</v>
      </c>
      <c r="K9" s="536" t="s">
        <v>108</v>
      </c>
      <c r="L9" s="537" t="s">
        <v>1</v>
      </c>
    </row>
    <row r="10" spans="1:19" x14ac:dyDescent="0.25">
      <c r="A10" s="538" t="s">
        <v>255</v>
      </c>
      <c r="B10" s="539" t="s">
        <v>256</v>
      </c>
      <c r="C10" s="539"/>
      <c r="D10" s="540" t="s">
        <v>257</v>
      </c>
      <c r="E10" s="541"/>
      <c r="F10" s="539" t="s">
        <v>258</v>
      </c>
      <c r="G10" s="540" t="s">
        <v>259</v>
      </c>
      <c r="H10" s="539" t="s">
        <v>260</v>
      </c>
      <c r="I10" s="539"/>
      <c r="J10" s="540">
        <v>1</v>
      </c>
      <c r="K10" s="540">
        <v>1</v>
      </c>
      <c r="L10" s="540" t="s">
        <v>261</v>
      </c>
    </row>
    <row r="11" spans="1:19" x14ac:dyDescent="0.25">
      <c r="A11" s="538" t="s">
        <v>262</v>
      </c>
      <c r="B11" s="539" t="s">
        <v>263</v>
      </c>
      <c r="C11" s="539"/>
      <c r="D11" s="540" t="s">
        <v>264</v>
      </c>
      <c r="E11" s="541"/>
      <c r="F11" s="539" t="s">
        <v>265</v>
      </c>
      <c r="G11" s="540" t="s">
        <v>259</v>
      </c>
      <c r="H11" s="539" t="s">
        <v>266</v>
      </c>
      <c r="I11" s="539"/>
      <c r="J11" s="540">
        <v>1</v>
      </c>
      <c r="K11" s="540">
        <v>1</v>
      </c>
      <c r="L11" s="540" t="s">
        <v>267</v>
      </c>
    </row>
    <row r="12" spans="1:19" ht="30" x14ac:dyDescent="0.25">
      <c r="A12" s="538" t="s">
        <v>268</v>
      </c>
      <c r="B12" s="538" t="s">
        <v>269</v>
      </c>
      <c r="C12" s="539"/>
      <c r="D12" s="540" t="s">
        <v>247</v>
      </c>
      <c r="E12" s="541"/>
      <c r="F12" s="539" t="s">
        <v>270</v>
      </c>
      <c r="G12" s="540" t="e">
        <v>#N/A</v>
      </c>
      <c r="H12" s="539" t="s">
        <v>249</v>
      </c>
      <c r="I12" s="539"/>
      <c r="J12" s="540">
        <v>1</v>
      </c>
      <c r="K12" s="540">
        <v>1</v>
      </c>
      <c r="L12" s="540" t="s">
        <v>261</v>
      </c>
    </row>
    <row r="13" spans="1:19" x14ac:dyDescent="0.25">
      <c r="A13" s="542" t="s">
        <v>271</v>
      </c>
    </row>
    <row r="14" spans="1:19" x14ac:dyDescent="0.25">
      <c r="A14" s="533" t="s">
        <v>77</v>
      </c>
      <c r="B14" s="534" t="s">
        <v>81</v>
      </c>
      <c r="C14" s="534" t="s">
        <v>84</v>
      </c>
      <c r="D14" s="535" t="s">
        <v>88</v>
      </c>
      <c r="E14" s="534" t="s">
        <v>91</v>
      </c>
      <c r="F14" s="534" t="s">
        <v>94</v>
      </c>
      <c r="G14" s="534" t="s">
        <v>96</v>
      </c>
      <c r="H14" s="534" t="s">
        <v>99</v>
      </c>
      <c r="I14" s="534" t="s">
        <v>102</v>
      </c>
      <c r="J14" s="536" t="s">
        <v>105</v>
      </c>
      <c r="K14" s="536" t="s">
        <v>108</v>
      </c>
      <c r="L14" s="543" t="s">
        <v>1</v>
      </c>
      <c r="M14" s="536" t="s">
        <v>114</v>
      </c>
      <c r="N14" s="536" t="s">
        <v>118</v>
      </c>
      <c r="O14" s="536" t="s">
        <v>121</v>
      </c>
      <c r="P14" s="536" t="s">
        <v>125</v>
      </c>
      <c r="Q14" s="536" t="s">
        <v>128</v>
      </c>
      <c r="R14" s="536" t="s">
        <v>132</v>
      </c>
      <c r="S14" s="536" t="s">
        <v>157</v>
      </c>
    </row>
    <row r="15" spans="1:19" x14ac:dyDescent="0.25">
      <c r="A15" s="538" t="s">
        <v>272</v>
      </c>
      <c r="B15" s="539" t="s">
        <v>273</v>
      </c>
      <c r="C15" s="539"/>
      <c r="D15" s="540" t="s">
        <v>252</v>
      </c>
      <c r="E15" s="539"/>
      <c r="F15" s="539" t="s">
        <v>274</v>
      </c>
      <c r="G15" s="540" t="s">
        <v>259</v>
      </c>
      <c r="H15" s="539" t="s">
        <v>275</v>
      </c>
      <c r="I15" s="539"/>
      <c r="J15" s="540">
        <v>1</v>
      </c>
      <c r="K15" s="540">
        <v>1</v>
      </c>
      <c r="L15" s="540" t="s">
        <v>276</v>
      </c>
      <c r="M15" s="544">
        <v>0</v>
      </c>
      <c r="N15" s="540"/>
      <c r="O15" s="544">
        <v>0</v>
      </c>
      <c r="P15" s="539" t="s">
        <v>48</v>
      </c>
      <c r="Q15" s="540">
        <v>1</v>
      </c>
      <c r="R15" s="540">
        <v>0</v>
      </c>
      <c r="S15" s="539" t="s">
        <v>277</v>
      </c>
    </row>
    <row r="16" spans="1:19" x14ac:dyDescent="0.25">
      <c r="A16" s="538" t="s">
        <v>250</v>
      </c>
      <c r="B16" s="539" t="s">
        <v>278</v>
      </c>
      <c r="C16" s="539"/>
      <c r="D16" s="545" t="s">
        <v>247</v>
      </c>
      <c r="E16" s="539"/>
      <c r="F16" s="539" t="s">
        <v>279</v>
      </c>
      <c r="G16" s="540" t="s">
        <v>280</v>
      </c>
      <c r="H16" s="546" t="s">
        <v>249</v>
      </c>
      <c r="I16" s="539"/>
      <c r="J16" s="540">
        <v>1</v>
      </c>
      <c r="K16" s="540">
        <v>1</v>
      </c>
      <c r="L16" s="540" t="s">
        <v>261</v>
      </c>
      <c r="M16" s="544">
        <v>0</v>
      </c>
      <c r="N16" s="540"/>
      <c r="O16" s="544">
        <v>0</v>
      </c>
      <c r="P16" s="539" t="s">
        <v>48</v>
      </c>
      <c r="Q16" s="540">
        <v>1</v>
      </c>
      <c r="R16" s="540">
        <v>0</v>
      </c>
      <c r="S16" s="539" t="s">
        <v>277</v>
      </c>
    </row>
    <row r="17" spans="1:19" x14ac:dyDescent="0.25">
      <c r="A17" s="538" t="s">
        <v>281</v>
      </c>
      <c r="B17" s="539" t="s">
        <v>282</v>
      </c>
      <c r="C17" s="539"/>
      <c r="D17" s="540" t="s">
        <v>252</v>
      </c>
      <c r="E17" s="539"/>
      <c r="F17" s="539" t="s">
        <v>283</v>
      </c>
      <c r="G17" s="540" t="s">
        <v>284</v>
      </c>
      <c r="H17" s="539" t="s">
        <v>285</v>
      </c>
      <c r="I17" s="539"/>
      <c r="J17" s="540">
        <v>1</v>
      </c>
      <c r="K17" s="540">
        <v>1</v>
      </c>
      <c r="L17" s="540" t="s">
        <v>276</v>
      </c>
      <c r="M17" s="544">
        <v>0</v>
      </c>
      <c r="N17" s="540"/>
      <c r="O17" s="544">
        <v>0</v>
      </c>
      <c r="P17" s="539" t="s">
        <v>48</v>
      </c>
      <c r="Q17" s="540">
        <v>1</v>
      </c>
      <c r="R17" s="540">
        <v>0</v>
      </c>
      <c r="S17" s="539"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sheetPr codeName="Sheet5"/>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47" t="s">
        <v>0</v>
      </c>
      <c r="B1" s="548" t="s">
        <v>287</v>
      </c>
      <c r="C1" s="548" t="s">
        <v>288</v>
      </c>
    </row>
    <row r="2" spans="1:3" x14ac:dyDescent="0.25">
      <c r="A2" s="549">
        <v>43807</v>
      </c>
      <c r="B2" s="550" t="s">
        <v>289</v>
      </c>
      <c r="C2" s="550" t="s">
        <v>11</v>
      </c>
    </row>
    <row r="3" spans="1:3" ht="30" x14ac:dyDescent="0.25">
      <c r="A3" s="549">
        <v>43937</v>
      </c>
      <c r="B3" s="80" t="s">
        <v>290</v>
      </c>
      <c r="C3" s="550" t="s">
        <v>11</v>
      </c>
    </row>
    <row r="4" spans="1:3" x14ac:dyDescent="0.25">
      <c r="A4" s="549">
        <v>43941</v>
      </c>
      <c r="B4" s="550" t="s">
        <v>291</v>
      </c>
      <c r="C4" s="550" t="s">
        <v>11</v>
      </c>
    </row>
    <row r="5" spans="1:3" x14ac:dyDescent="0.25">
      <c r="A5" s="549">
        <v>43942</v>
      </c>
      <c r="B5" s="550" t="s">
        <v>292</v>
      </c>
      <c r="C5" s="550" t="s">
        <v>11</v>
      </c>
    </row>
    <row r="6" spans="1:3" x14ac:dyDescent="0.25">
      <c r="A6" s="549">
        <v>43963</v>
      </c>
      <c r="B6" s="550" t="s">
        <v>293</v>
      </c>
      <c r="C6" s="550" t="s">
        <v>11</v>
      </c>
    </row>
    <row r="7" spans="1:3" x14ac:dyDescent="0.25">
      <c r="A7" s="549">
        <v>43990</v>
      </c>
      <c r="B7" s="550" t="s">
        <v>294</v>
      </c>
      <c r="C7" s="550" t="s">
        <v>11</v>
      </c>
    </row>
    <row r="8" spans="1:3" ht="30" x14ac:dyDescent="0.25">
      <c r="A8" s="549">
        <v>44104</v>
      </c>
      <c r="B8" s="80" t="s">
        <v>295</v>
      </c>
      <c r="C8" s="550" t="s">
        <v>296</v>
      </c>
    </row>
    <row r="9" spans="1:3" ht="150" x14ac:dyDescent="0.25">
      <c r="A9" s="549">
        <v>44128</v>
      </c>
      <c r="B9" s="80" t="s">
        <v>297</v>
      </c>
      <c r="C9" s="550" t="s">
        <v>296</v>
      </c>
    </row>
    <row r="10" spans="1:3" x14ac:dyDescent="0.25">
      <c r="A10" s="549">
        <v>44361</v>
      </c>
      <c r="B10" s="550" t="s">
        <v>298</v>
      </c>
      <c r="C10" s="550" t="s">
        <v>299</v>
      </c>
    </row>
    <row r="11" spans="1:3" x14ac:dyDescent="0.25">
      <c r="A11" s="549">
        <v>44813</v>
      </c>
      <c r="B11" s="550" t="s">
        <v>300</v>
      </c>
      <c r="C11" s="550"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H213"/>
  <sheetViews>
    <sheetView tabSelected="1" zoomScale="70" zoomScaleNormal="70" workbookViewId="0">
      <pane xSplit="2" ySplit="5" topLeftCell="C10" activePane="bottomRight" state="frozen"/>
      <selection pane="topRight" activeCell="C1" sqref="C1"/>
      <selection pane="bottomLeft" activeCell="A4" sqref="A4"/>
      <selection pane="bottomRight" activeCell="L11" sqref="L11"/>
    </sheetView>
  </sheetViews>
  <sheetFormatPr defaultColWidth="9.140625" defaultRowHeight="15" x14ac:dyDescent="0.25"/>
  <cols>
    <col min="1" max="1" width="15.5703125" style="173" customWidth="1"/>
    <col min="2" max="2" width="30.42578125" style="170" customWidth="1"/>
    <col min="3" max="3" width="5.5703125" style="170" customWidth="1"/>
    <col min="4" max="4" width="14.140625" style="174" bestFit="1" customWidth="1"/>
    <col min="5" max="5" width="4.5703125" style="170" customWidth="1"/>
    <col min="6" max="6" width="33.85546875" style="170" customWidth="1"/>
    <col min="7" max="7" width="7.85546875" style="170" customWidth="1"/>
    <col min="8" max="8" width="16.140625" style="174" customWidth="1"/>
    <col min="9" max="9" width="9.85546875" style="174" customWidth="1"/>
    <col min="10" max="10" width="5.42578125" style="170" customWidth="1"/>
    <col min="11" max="11" width="8.28515625" style="170" bestFit="1" customWidth="1"/>
    <col min="12" max="12" width="12" style="170"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customWidth="1"/>
    <col min="18" max="18" width="30.140625" style="176" customWidth="1"/>
    <col min="19" max="19" width="11.5703125" style="176" customWidth="1"/>
    <col min="20" max="20" width="7.140625" style="175" customWidth="1"/>
    <col min="21" max="21" width="10.140625" style="175" customWidth="1"/>
    <col min="22" max="22" width="6.42578125" style="175" customWidth="1"/>
    <col min="23" max="23" width="7" style="175"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7.140625" style="170" customWidth="1"/>
    <col min="34" max="34" width="60.7109375" style="170" customWidth="1"/>
    <col min="35" max="16384" width="9.140625" style="170"/>
  </cols>
  <sheetData>
    <row r="1" spans="1:34" ht="19.5" thickBot="1" x14ac:dyDescent="0.3">
      <c r="A1" s="688" t="s">
        <v>301</v>
      </c>
      <c r="B1" s="689"/>
      <c r="C1" s="689"/>
      <c r="D1" s="689"/>
      <c r="E1" s="689"/>
      <c r="F1" s="689"/>
      <c r="G1" s="689"/>
      <c r="H1" s="689"/>
      <c r="I1" s="689"/>
      <c r="J1" s="689"/>
      <c r="K1" s="689"/>
      <c r="L1" s="689"/>
      <c r="M1" s="689"/>
      <c r="N1" s="689"/>
      <c r="O1" s="689"/>
      <c r="P1" s="689"/>
      <c r="Q1" s="689"/>
      <c r="R1" s="689"/>
      <c r="S1" s="689"/>
      <c r="T1" s="689"/>
      <c r="U1" s="689"/>
      <c r="V1" s="689"/>
      <c r="W1" s="689"/>
      <c r="X1" s="689"/>
      <c r="Y1" s="689"/>
      <c r="Z1" s="689"/>
      <c r="AA1" s="689"/>
      <c r="AB1" s="689"/>
      <c r="AC1" s="689"/>
      <c r="AD1" s="689"/>
      <c r="AE1" s="689"/>
      <c r="AF1" s="689"/>
      <c r="AG1" s="689"/>
      <c r="AH1" s="690"/>
    </row>
    <row r="2" spans="1:34" ht="19.5" thickBot="1" x14ac:dyDescent="0.3">
      <c r="A2" s="691" t="s">
        <v>302</v>
      </c>
      <c r="B2" s="692"/>
      <c r="C2" s="692"/>
      <c r="D2" s="692"/>
      <c r="E2" s="692"/>
      <c r="F2" s="692"/>
      <c r="G2" s="692"/>
      <c r="H2" s="692"/>
      <c r="I2" s="692"/>
      <c r="J2" s="693"/>
      <c r="K2" s="395">
        <f>SUM(K6:K208)</f>
        <v>391</v>
      </c>
      <c r="L2" s="395">
        <f>SUM(L6:L208)</f>
        <v>3312</v>
      </c>
      <c r="M2" s="396"/>
      <c r="N2" s="450">
        <f>SUMPRODUCT(K6:K208,N6:N208)/K211</f>
        <v>1</v>
      </c>
      <c r="O2" s="451">
        <f>SUM(O6:O208)</f>
        <v>3312</v>
      </c>
      <c r="P2" s="452">
        <f>SUMPRODUCT(K6:K208,P6:P208)/K211</f>
        <v>1</v>
      </c>
      <c r="Q2" s="397"/>
      <c r="R2" s="398">
        <f t="shared" ref="R2:W2" si="0">SUM(R6:R208)</f>
        <v>2973</v>
      </c>
      <c r="S2" s="453">
        <f t="shared" si="0"/>
        <v>0</v>
      </c>
      <c r="T2" s="453">
        <f t="shared" si="0"/>
        <v>0</v>
      </c>
      <c r="U2" s="453">
        <f t="shared" si="0"/>
        <v>0</v>
      </c>
      <c r="V2" s="453">
        <f t="shared" si="0"/>
        <v>0</v>
      </c>
      <c r="W2" s="453">
        <f t="shared" si="0"/>
        <v>0</v>
      </c>
      <c r="X2" s="454">
        <f>IF((S211=0),0,((T211+U211)/S211*100%))</f>
        <v>0</v>
      </c>
      <c r="Y2" s="399"/>
      <c r="Z2" s="470">
        <f>SUM(Z6:Z208)</f>
        <v>0</v>
      </c>
      <c r="AA2" s="471">
        <f>SUM(AA6:AA208)</f>
        <v>0</v>
      </c>
      <c r="AB2" s="471">
        <f>SUM(AB6:AB208)</f>
        <v>0</v>
      </c>
      <c r="AC2" s="471">
        <f>SUM(AC6:AC208)</f>
        <v>0</v>
      </c>
      <c r="AD2" s="471">
        <f>SUM(AD6:AD208)</f>
        <v>0</v>
      </c>
      <c r="AE2" s="457">
        <f>IF((Z211=0),0,((AA211+AB211)/Z211*100%))</f>
        <v>0</v>
      </c>
      <c r="AF2" s="400"/>
      <c r="AG2" s="400"/>
      <c r="AH2" s="401"/>
    </row>
    <row r="3" spans="1:34" ht="19.5" customHeight="1" thickBot="1" x14ac:dyDescent="0.3">
      <c r="A3" s="688" t="s">
        <v>303</v>
      </c>
      <c r="B3" s="689"/>
      <c r="C3" s="689"/>
      <c r="D3" s="689"/>
      <c r="E3" s="689"/>
      <c r="F3" s="689"/>
      <c r="G3" s="689"/>
      <c r="H3" s="689"/>
      <c r="I3" s="689"/>
      <c r="J3" s="689"/>
      <c r="K3" s="689"/>
      <c r="L3" s="689"/>
      <c r="M3" s="689"/>
      <c r="N3" s="689"/>
      <c r="O3" s="689"/>
      <c r="P3" s="689"/>
      <c r="Q3" s="689"/>
      <c r="R3" s="689"/>
      <c r="S3" s="689"/>
      <c r="T3" s="689"/>
      <c r="U3" s="689"/>
      <c r="V3" s="689"/>
      <c r="W3" s="689"/>
      <c r="X3" s="689"/>
      <c r="Y3" s="689"/>
      <c r="Z3" s="689"/>
      <c r="AA3" s="689"/>
      <c r="AB3" s="689"/>
      <c r="AC3" s="689"/>
      <c r="AD3" s="689"/>
      <c r="AE3" s="689"/>
      <c r="AF3" s="689"/>
      <c r="AG3" s="689"/>
      <c r="AH3" s="690"/>
    </row>
    <row r="4" spans="1:34" ht="31.5" customHeight="1" thickBot="1" x14ac:dyDescent="0.3">
      <c r="A4" s="694" t="s">
        <v>76</v>
      </c>
      <c r="B4" s="695"/>
      <c r="C4" s="695"/>
      <c r="D4" s="695"/>
      <c r="E4" s="695"/>
      <c r="F4" s="695"/>
      <c r="G4" s="695"/>
      <c r="H4" s="695"/>
      <c r="I4" s="695"/>
      <c r="J4" s="695"/>
      <c r="K4" s="695"/>
      <c r="L4" s="695"/>
      <c r="M4" s="696"/>
      <c r="N4" s="697" t="s">
        <v>304</v>
      </c>
      <c r="O4" s="698"/>
      <c r="P4" s="699"/>
      <c r="Q4" s="704" t="s">
        <v>305</v>
      </c>
      <c r="R4" s="705"/>
      <c r="S4" s="705"/>
      <c r="T4" s="705"/>
      <c r="U4" s="705"/>
      <c r="V4" s="705"/>
      <c r="W4" s="705"/>
      <c r="X4" s="705"/>
      <c r="Y4" s="706"/>
      <c r="Z4" s="700" t="s">
        <v>306</v>
      </c>
      <c r="AA4" s="701"/>
      <c r="AB4" s="701"/>
      <c r="AC4" s="701"/>
      <c r="AD4" s="701"/>
      <c r="AE4" s="702"/>
      <c r="AF4" s="702"/>
      <c r="AG4" s="702"/>
      <c r="AH4" s="703"/>
    </row>
    <row r="5" spans="1:34" s="171" customFormat="1" ht="15.75" thickBot="1" x14ac:dyDescent="0.3">
      <c r="A5" s="352" t="s">
        <v>77</v>
      </c>
      <c r="B5" s="353" t="s">
        <v>81</v>
      </c>
      <c r="C5" s="353" t="s">
        <v>84</v>
      </c>
      <c r="D5" s="354" t="s">
        <v>88</v>
      </c>
      <c r="E5" s="353" t="s">
        <v>91</v>
      </c>
      <c r="F5" s="353" t="s">
        <v>94</v>
      </c>
      <c r="G5" s="353" t="s">
        <v>96</v>
      </c>
      <c r="H5" s="353" t="s">
        <v>99</v>
      </c>
      <c r="I5" s="353" t="s">
        <v>307</v>
      </c>
      <c r="J5" s="353" t="s">
        <v>102</v>
      </c>
      <c r="K5" s="355" t="s">
        <v>105</v>
      </c>
      <c r="L5" s="355" t="s">
        <v>108</v>
      </c>
      <c r="M5" s="527" t="s">
        <v>1</v>
      </c>
      <c r="N5" s="363" t="s">
        <v>114</v>
      </c>
      <c r="O5" s="357" t="s">
        <v>118</v>
      </c>
      <c r="P5" s="364" t="s">
        <v>121</v>
      </c>
      <c r="Q5" s="362" t="s">
        <v>125</v>
      </c>
      <c r="R5" s="358" t="s">
        <v>128</v>
      </c>
      <c r="S5" s="358" t="s">
        <v>132</v>
      </c>
      <c r="T5" s="359" t="s">
        <v>30</v>
      </c>
      <c r="U5" s="359" t="s">
        <v>135</v>
      </c>
      <c r="V5" s="359" t="s">
        <v>36</v>
      </c>
      <c r="W5" s="359" t="s">
        <v>138</v>
      </c>
      <c r="X5" s="359" t="s">
        <v>140</v>
      </c>
      <c r="Y5" s="360" t="s">
        <v>142</v>
      </c>
      <c r="Z5" s="361" t="s">
        <v>132</v>
      </c>
      <c r="AA5" s="359" t="s">
        <v>30</v>
      </c>
      <c r="AB5" s="359" t="s">
        <v>135</v>
      </c>
      <c r="AC5" s="359" t="s">
        <v>36</v>
      </c>
      <c r="AD5" s="359" t="s">
        <v>138</v>
      </c>
      <c r="AE5" s="359" t="s">
        <v>140</v>
      </c>
      <c r="AF5" s="353" t="s">
        <v>155</v>
      </c>
      <c r="AG5" s="353" t="s">
        <v>157</v>
      </c>
      <c r="AH5" s="356" t="s">
        <v>160</v>
      </c>
    </row>
    <row r="6" spans="1:34" ht="60" x14ac:dyDescent="0.25">
      <c r="A6" s="329" t="s">
        <v>308</v>
      </c>
      <c r="B6" s="553" t="s">
        <v>309</v>
      </c>
      <c r="C6" s="554"/>
      <c r="D6" s="555" t="s">
        <v>264</v>
      </c>
      <c r="E6" s="556"/>
      <c r="F6" s="554" t="s">
        <v>310</v>
      </c>
      <c r="G6" s="241" t="e">
        <f>VLOOKUP(A6,'Feature Summary'!$A$7:$C$4030,3,FALSE)</f>
        <v>#N/A</v>
      </c>
      <c r="H6" s="570" t="s">
        <v>311</v>
      </c>
      <c r="I6" s="434" t="s">
        <v>35</v>
      </c>
      <c r="J6" s="434"/>
      <c r="K6" s="575">
        <v>1</v>
      </c>
      <c r="L6" s="576">
        <v>63</v>
      </c>
      <c r="M6" s="595" t="s">
        <v>33</v>
      </c>
      <c r="N6" s="590">
        <v>1</v>
      </c>
      <c r="O6" s="576">
        <v>63</v>
      </c>
      <c r="P6" s="600">
        <f>IF((O6=0),0,(O6/L6))</f>
        <v>1</v>
      </c>
      <c r="Q6" s="602" t="s">
        <v>48</v>
      </c>
      <c r="R6" s="576">
        <v>63</v>
      </c>
      <c r="S6" s="472">
        <f>SUM(T6:W6)</f>
        <v>0</v>
      </c>
      <c r="T6" s="576"/>
      <c r="U6" s="459"/>
      <c r="V6" s="459"/>
      <c r="W6" s="459"/>
      <c r="X6" s="473">
        <f t="shared" ref="X6:X67" si="1">IF((S6=0),0,((T6+U6)/S6*100%))</f>
        <v>0</v>
      </c>
      <c r="Y6" s="603"/>
      <c r="Z6" s="458">
        <f>SUM(AA6:AD6)</f>
        <v>0</v>
      </c>
      <c r="AA6" s="459"/>
      <c r="AB6" s="459"/>
      <c r="AC6" s="459"/>
      <c r="AD6" s="459"/>
      <c r="AE6" s="460">
        <f>IF((Z6=0),0,((AA6+AB6)/Z6*100%))</f>
        <v>0</v>
      </c>
      <c r="AF6" s="612"/>
      <c r="AG6" s="435" t="e">
        <f>VLOOKUP(A6,'Feature Summary'!$A$7:$U$4030,21,FALSE)</f>
        <v>#N/A</v>
      </c>
      <c r="AH6" s="614"/>
    </row>
    <row r="7" spans="1:34" ht="105" x14ac:dyDescent="0.25">
      <c r="A7" s="330" t="s">
        <v>312</v>
      </c>
      <c r="B7" s="557" t="s">
        <v>313</v>
      </c>
      <c r="C7" s="558"/>
      <c r="D7" s="559" t="s">
        <v>264</v>
      </c>
      <c r="E7" s="560"/>
      <c r="F7" s="558" t="s">
        <v>314</v>
      </c>
      <c r="G7" s="242" t="e">
        <f>VLOOKUP(A7,'Feature Summary'!$A$7:$C$4030,3,FALSE)</f>
        <v>#N/A</v>
      </c>
      <c r="H7" s="571" t="s">
        <v>315</v>
      </c>
      <c r="I7" s="322" t="s">
        <v>35</v>
      </c>
      <c r="J7" s="322"/>
      <c r="K7" s="577">
        <v>1</v>
      </c>
      <c r="L7" s="578">
        <v>15</v>
      </c>
      <c r="M7" s="596" t="s">
        <v>33</v>
      </c>
      <c r="N7" s="591">
        <v>1</v>
      </c>
      <c r="O7" s="578">
        <v>15</v>
      </c>
      <c r="P7" s="589">
        <f>IF((O7=0),0,(O7/L7))</f>
        <v>1</v>
      </c>
      <c r="Q7" s="604" t="s">
        <v>48</v>
      </c>
      <c r="R7" s="578">
        <v>24</v>
      </c>
      <c r="S7" s="474">
        <f t="shared" ref="S7:S70" si="2">SUM(T7:W7)</f>
        <v>0</v>
      </c>
      <c r="T7" s="578"/>
      <c r="U7" s="462"/>
      <c r="V7" s="462"/>
      <c r="W7" s="462"/>
      <c r="X7" s="475">
        <f>IF((S7=0),0,((T7+U7)/S7*100%))</f>
        <v>0</v>
      </c>
      <c r="Y7" s="605"/>
      <c r="Z7" s="461">
        <f>SUM(AA7:AD7)</f>
        <v>0</v>
      </c>
      <c r="AA7" s="462"/>
      <c r="AB7" s="462"/>
      <c r="AC7" s="462"/>
      <c r="AD7" s="462"/>
      <c r="AE7" s="463">
        <f>IF((Z7=0),0,((AA7+AB7)/Z7*100%))</f>
        <v>0</v>
      </c>
      <c r="AF7" s="611"/>
      <c r="AG7" s="436" t="e">
        <f>VLOOKUP(A7,'Feature Summary'!$A$7:$U$4030,21,FALSE)</f>
        <v>#N/A</v>
      </c>
      <c r="AH7" s="324"/>
    </row>
    <row r="8" spans="1:34" ht="75.75" thickBot="1" x14ac:dyDescent="0.3">
      <c r="A8" s="330" t="s">
        <v>316</v>
      </c>
      <c r="B8" s="557" t="s">
        <v>317</v>
      </c>
      <c r="C8" s="558"/>
      <c r="D8" s="559" t="s">
        <v>264</v>
      </c>
      <c r="E8" s="560"/>
      <c r="F8" s="558" t="s">
        <v>318</v>
      </c>
      <c r="G8" s="242" t="e">
        <f>VLOOKUP(A8,'Feature Summary'!$A$7:$C$4030,3,FALSE)</f>
        <v>#N/A</v>
      </c>
      <c r="H8" s="571" t="s">
        <v>319</v>
      </c>
      <c r="I8" s="322" t="s">
        <v>35</v>
      </c>
      <c r="J8" s="322"/>
      <c r="K8" s="577">
        <v>1</v>
      </c>
      <c r="L8" s="578">
        <v>6</v>
      </c>
      <c r="M8" s="596" t="s">
        <v>33</v>
      </c>
      <c r="N8" s="591">
        <v>1</v>
      </c>
      <c r="O8" s="578">
        <v>6</v>
      </c>
      <c r="P8" s="589">
        <f>IF((O8=0),0,(O8/L8))</f>
        <v>1</v>
      </c>
      <c r="Q8" s="604" t="s">
        <v>48</v>
      </c>
      <c r="R8" s="578">
        <v>6</v>
      </c>
      <c r="S8" s="474">
        <f>SUM(T8:W8)</f>
        <v>0</v>
      </c>
      <c r="T8" s="578"/>
      <c r="U8" s="462"/>
      <c r="V8" s="462"/>
      <c r="W8" s="462"/>
      <c r="X8" s="475">
        <f>IF((S8=0),0,((T8+U8)/S8*100%))</f>
        <v>0</v>
      </c>
      <c r="Y8" s="605"/>
      <c r="Z8" s="461">
        <f>SUM(AA8:AD8)</f>
        <v>0</v>
      </c>
      <c r="AA8" s="462"/>
      <c r="AB8" s="462"/>
      <c r="AC8" s="462"/>
      <c r="AD8" s="462"/>
      <c r="AE8" s="463">
        <f>IF((Z8=0),0,((AA8+AB8)/Z8*100%))</f>
        <v>0</v>
      </c>
      <c r="AF8" s="611"/>
      <c r="AG8" s="436" t="e">
        <f>VLOOKUP(A8,'Feature Summary'!$A$7:$U$4030,21,FALSE)</f>
        <v>#N/A</v>
      </c>
      <c r="AH8" s="615"/>
    </row>
    <row r="9" spans="1:34" ht="45" x14ac:dyDescent="0.25">
      <c r="A9" s="330" t="s">
        <v>320</v>
      </c>
      <c r="B9" s="557" t="s">
        <v>321</v>
      </c>
      <c r="C9" s="558"/>
      <c r="D9" s="559" t="s">
        <v>264</v>
      </c>
      <c r="E9" s="560"/>
      <c r="F9" s="558" t="s">
        <v>322</v>
      </c>
      <c r="G9" s="242" t="e">
        <f>VLOOKUP(A9,'Feature Summary'!$A$7:$C$4030,3,FALSE)</f>
        <v>#N/A</v>
      </c>
      <c r="H9" s="571" t="s">
        <v>323</v>
      </c>
      <c r="I9" s="322" t="s">
        <v>41</v>
      </c>
      <c r="J9" s="322"/>
      <c r="K9" s="577">
        <v>1</v>
      </c>
      <c r="L9" s="578">
        <v>10</v>
      </c>
      <c r="M9" s="596" t="s">
        <v>33</v>
      </c>
      <c r="N9" s="591">
        <v>1</v>
      </c>
      <c r="O9" s="578">
        <v>10</v>
      </c>
      <c r="P9" s="589">
        <f t="shared" ref="P9:P68" si="3">IF((O9=0),0,(O9/L9))</f>
        <v>1</v>
      </c>
      <c r="Q9" s="604" t="s">
        <v>48</v>
      </c>
      <c r="R9" s="578">
        <v>10</v>
      </c>
      <c r="S9" s="472">
        <f t="shared" ref="S9" si="4">SUM(T9:W9)</f>
        <v>0</v>
      </c>
      <c r="T9" s="578"/>
      <c r="U9" s="462"/>
      <c r="V9" s="462"/>
      <c r="W9" s="462"/>
      <c r="X9" s="475">
        <f>IF((S9=0),0,((T9+U9)/S9*100%))</f>
        <v>0</v>
      </c>
      <c r="Y9" s="605"/>
      <c r="Z9" s="461">
        <f t="shared" ref="Z9:Z72" si="5">SUM(AA9:AD9)</f>
        <v>0</v>
      </c>
      <c r="AA9" s="462"/>
      <c r="AB9" s="462"/>
      <c r="AC9" s="462"/>
      <c r="AD9" s="462"/>
      <c r="AE9" s="463">
        <f t="shared" ref="AE9:AE68" si="6">IF((Z9=0),0,((AA9+AB9)/Z9*100%))</f>
        <v>0</v>
      </c>
      <c r="AF9" s="611"/>
      <c r="AG9" s="436" t="e">
        <f>VLOOKUP(A9,'Feature Summary'!$A$7:$U$4030,21,FALSE)</f>
        <v>#N/A</v>
      </c>
      <c r="AH9" s="618"/>
    </row>
    <row r="10" spans="1:34" ht="60" x14ac:dyDescent="0.25">
      <c r="A10" s="330" t="s">
        <v>324</v>
      </c>
      <c r="B10" s="557" t="s">
        <v>325</v>
      </c>
      <c r="C10" s="558"/>
      <c r="D10" s="559" t="s">
        <v>264</v>
      </c>
      <c r="E10" s="560"/>
      <c r="F10" s="558" t="s">
        <v>326</v>
      </c>
      <c r="G10" s="242" t="e">
        <f>VLOOKUP(A10,'Feature Summary'!$A$7:$C$4030,3,FALSE)</f>
        <v>#N/A</v>
      </c>
      <c r="H10" s="571" t="s">
        <v>327</v>
      </c>
      <c r="I10" s="322" t="s">
        <v>41</v>
      </c>
      <c r="J10" s="322"/>
      <c r="K10" s="577">
        <v>1</v>
      </c>
      <c r="L10" s="578">
        <v>11</v>
      </c>
      <c r="M10" s="596" t="s">
        <v>33</v>
      </c>
      <c r="N10" s="591">
        <v>1</v>
      </c>
      <c r="O10" s="578">
        <v>11</v>
      </c>
      <c r="P10" s="589">
        <f t="shared" si="3"/>
        <v>1</v>
      </c>
      <c r="Q10" s="604" t="s">
        <v>48</v>
      </c>
      <c r="R10" s="578">
        <v>11</v>
      </c>
      <c r="S10" s="474">
        <f t="shared" si="2"/>
        <v>0</v>
      </c>
      <c r="T10" s="578"/>
      <c r="U10" s="462"/>
      <c r="V10" s="462"/>
      <c r="W10" s="462"/>
      <c r="X10" s="475">
        <f t="shared" si="1"/>
        <v>0</v>
      </c>
      <c r="Y10" s="605"/>
      <c r="Z10" s="461">
        <f t="shared" si="5"/>
        <v>0</v>
      </c>
      <c r="AA10" s="462"/>
      <c r="AB10" s="462"/>
      <c r="AC10" s="462"/>
      <c r="AD10" s="462"/>
      <c r="AE10" s="463">
        <f>IF((Z10=0),0,((AA10+AB10)/Z10*100%))</f>
        <v>0</v>
      </c>
      <c r="AF10" s="611"/>
      <c r="AG10" s="436" t="e">
        <f>VLOOKUP(A10,'Feature Summary'!$A$7:$U$4030,21,FALSE)</f>
        <v>#N/A</v>
      </c>
      <c r="AH10" s="615"/>
    </row>
    <row r="11" spans="1:34" ht="75.75" thickBot="1" x14ac:dyDescent="0.3">
      <c r="A11" s="330" t="s">
        <v>328</v>
      </c>
      <c r="B11" s="557" t="s">
        <v>329</v>
      </c>
      <c r="C11" s="558"/>
      <c r="D11" s="559" t="s">
        <v>264</v>
      </c>
      <c r="E11" s="560"/>
      <c r="F11" s="558" t="s">
        <v>330</v>
      </c>
      <c r="G11" s="242" t="e">
        <f>VLOOKUP(A11,'Feature Summary'!$A$7:$C$4030,3,FALSE)</f>
        <v>#N/A</v>
      </c>
      <c r="H11" s="571" t="s">
        <v>331</v>
      </c>
      <c r="I11" s="322" t="s">
        <v>41</v>
      </c>
      <c r="J11" s="322"/>
      <c r="K11" s="577">
        <v>1</v>
      </c>
      <c r="L11" s="578">
        <v>2</v>
      </c>
      <c r="M11" s="596" t="s">
        <v>33</v>
      </c>
      <c r="N11" s="591">
        <v>1</v>
      </c>
      <c r="O11" s="578">
        <v>2</v>
      </c>
      <c r="P11" s="589">
        <f>IF((O11=0),0,(O11/L11))</f>
        <v>1</v>
      </c>
      <c r="Q11" s="604" t="s">
        <v>48</v>
      </c>
      <c r="R11" s="578">
        <v>2</v>
      </c>
      <c r="S11" s="474">
        <f t="shared" si="2"/>
        <v>0</v>
      </c>
      <c r="T11" s="578"/>
      <c r="U11" s="462"/>
      <c r="V11" s="462"/>
      <c r="W11" s="462"/>
      <c r="X11" s="475">
        <f>IF((S11=0),0,((T11+U11)/S11*100%))</f>
        <v>0</v>
      </c>
      <c r="Y11" s="605"/>
      <c r="Z11" s="461">
        <f t="shared" si="5"/>
        <v>0</v>
      </c>
      <c r="AA11" s="462"/>
      <c r="AB11" s="462"/>
      <c r="AC11" s="462"/>
      <c r="AD11" s="462"/>
      <c r="AE11" s="463">
        <f>IF((Z11=0),0,((AA11+AB11)/Z11*100%))</f>
        <v>0</v>
      </c>
      <c r="AF11" s="322"/>
      <c r="AG11" s="436" t="e">
        <f>VLOOKUP(A11,'Feature Summary'!$A$7:$U$4030,21,FALSE)</f>
        <v>#N/A</v>
      </c>
      <c r="AH11" s="324"/>
    </row>
    <row r="12" spans="1:34" ht="30" x14ac:dyDescent="0.25">
      <c r="A12" s="330" t="s">
        <v>332</v>
      </c>
      <c r="B12" s="557" t="s">
        <v>333</v>
      </c>
      <c r="C12" s="558"/>
      <c r="D12" s="559" t="s">
        <v>264</v>
      </c>
      <c r="E12" s="560"/>
      <c r="F12" s="558" t="s">
        <v>334</v>
      </c>
      <c r="G12" s="242" t="str">
        <f>VLOOKUP(A12,'Feature Summary'!$A$7:$C$4030,3,FALSE)</f>
        <v>P2</v>
      </c>
      <c r="H12" s="571" t="s">
        <v>335</v>
      </c>
      <c r="I12" s="322" t="s">
        <v>41</v>
      </c>
      <c r="J12" s="322"/>
      <c r="K12" s="577">
        <v>1</v>
      </c>
      <c r="L12" s="578">
        <v>1</v>
      </c>
      <c r="M12" s="596" t="s">
        <v>33</v>
      </c>
      <c r="N12" s="591">
        <v>1</v>
      </c>
      <c r="O12" s="578">
        <v>1</v>
      </c>
      <c r="P12" s="589">
        <f t="shared" si="3"/>
        <v>1</v>
      </c>
      <c r="Q12" s="604" t="s">
        <v>48</v>
      </c>
      <c r="R12" s="578">
        <v>1</v>
      </c>
      <c r="S12" s="472">
        <f t="shared" si="2"/>
        <v>0</v>
      </c>
      <c r="T12" s="578"/>
      <c r="U12" s="462"/>
      <c r="V12" s="462"/>
      <c r="W12" s="462"/>
      <c r="X12" s="475">
        <f>IF((S12=0),0,((T12+U12)/S12*100%))</f>
        <v>0</v>
      </c>
      <c r="Y12" s="605"/>
      <c r="Z12" s="461">
        <f t="shared" si="5"/>
        <v>0</v>
      </c>
      <c r="AA12" s="462"/>
      <c r="AB12" s="462"/>
      <c r="AC12" s="462"/>
      <c r="AD12" s="462"/>
      <c r="AE12" s="463">
        <f t="shared" si="6"/>
        <v>0</v>
      </c>
      <c r="AF12" s="322"/>
      <c r="AG12" s="436" t="str">
        <f>VLOOKUP(A12,'Feature Summary'!$A$7:$U$4030,21,FALSE)</f>
        <v>wk-5</v>
      </c>
      <c r="AH12" s="324"/>
    </row>
    <row r="13" spans="1:34" ht="30" x14ac:dyDescent="0.25">
      <c r="A13" s="330" t="s">
        <v>336</v>
      </c>
      <c r="B13" s="557" t="s">
        <v>337</v>
      </c>
      <c r="C13" s="558"/>
      <c r="D13" s="559" t="s">
        <v>264</v>
      </c>
      <c r="E13" s="560"/>
      <c r="F13" s="558" t="s">
        <v>338</v>
      </c>
      <c r="G13" s="242" t="str">
        <f>VLOOKUP(A13,'Feature Summary'!$A$7:$C$4030,3,FALSE)</f>
        <v>P2</v>
      </c>
      <c r="H13" s="571" t="s">
        <v>339</v>
      </c>
      <c r="I13" s="322" t="s">
        <v>41</v>
      </c>
      <c r="J13" s="322"/>
      <c r="K13" s="577">
        <v>1</v>
      </c>
      <c r="L13" s="578">
        <v>4</v>
      </c>
      <c r="M13" s="596" t="s">
        <v>33</v>
      </c>
      <c r="N13" s="591">
        <v>1</v>
      </c>
      <c r="O13" s="578">
        <v>4</v>
      </c>
      <c r="P13" s="589">
        <f t="shared" si="3"/>
        <v>1</v>
      </c>
      <c r="Q13" s="604" t="s">
        <v>48</v>
      </c>
      <c r="R13" s="578">
        <v>4</v>
      </c>
      <c r="S13" s="474">
        <f t="shared" si="2"/>
        <v>0</v>
      </c>
      <c r="T13" s="578"/>
      <c r="U13" s="462"/>
      <c r="V13" s="462"/>
      <c r="W13" s="462"/>
      <c r="X13" s="475">
        <f t="shared" si="1"/>
        <v>0</v>
      </c>
      <c r="Y13" s="605"/>
      <c r="Z13" s="461">
        <f t="shared" si="5"/>
        <v>0</v>
      </c>
      <c r="AA13" s="462"/>
      <c r="AB13" s="462"/>
      <c r="AC13" s="462"/>
      <c r="AD13" s="462"/>
      <c r="AE13" s="463">
        <f>IF((Z13=0),0,((AA13+AB13)/Z13*100%))</f>
        <v>0</v>
      </c>
      <c r="AF13" s="611"/>
      <c r="AG13" s="436" t="str">
        <f>VLOOKUP(A13,'Feature Summary'!$A$7:$U$4030,21,FALSE)</f>
        <v>N/A</v>
      </c>
      <c r="AH13" s="615"/>
    </row>
    <row r="14" spans="1:34" ht="30.75" thickBot="1" x14ac:dyDescent="0.3">
      <c r="A14" s="330" t="s">
        <v>340</v>
      </c>
      <c r="B14" s="557" t="s">
        <v>341</v>
      </c>
      <c r="C14" s="558"/>
      <c r="D14" s="559" t="s">
        <v>264</v>
      </c>
      <c r="E14" s="560"/>
      <c r="F14" s="558" t="s">
        <v>342</v>
      </c>
      <c r="G14" s="242" t="str">
        <f>VLOOKUP(A14,'Feature Summary'!$A$7:$C$4030,3,FALSE)</f>
        <v>P2</v>
      </c>
      <c r="H14" s="571" t="s">
        <v>343</v>
      </c>
      <c r="I14" s="322" t="s">
        <v>41</v>
      </c>
      <c r="J14" s="322"/>
      <c r="K14" s="577">
        <v>1</v>
      </c>
      <c r="L14" s="578">
        <v>9</v>
      </c>
      <c r="M14" s="596" t="s">
        <v>33</v>
      </c>
      <c r="N14" s="591">
        <v>1</v>
      </c>
      <c r="O14" s="578">
        <v>9</v>
      </c>
      <c r="P14" s="589">
        <f t="shared" si="3"/>
        <v>1</v>
      </c>
      <c r="Q14" s="604" t="s">
        <v>48</v>
      </c>
      <c r="R14" s="578">
        <v>9</v>
      </c>
      <c r="S14" s="474">
        <f t="shared" si="2"/>
        <v>0</v>
      </c>
      <c r="T14" s="578"/>
      <c r="U14" s="462"/>
      <c r="V14" s="462"/>
      <c r="W14" s="462"/>
      <c r="X14" s="475">
        <f t="shared" si="1"/>
        <v>0</v>
      </c>
      <c r="Y14" s="605"/>
      <c r="Z14" s="461">
        <f t="shared" si="5"/>
        <v>0</v>
      </c>
      <c r="AA14" s="462"/>
      <c r="AB14" s="462"/>
      <c r="AC14" s="462"/>
      <c r="AD14" s="462"/>
      <c r="AE14" s="463">
        <f t="shared" si="6"/>
        <v>0</v>
      </c>
      <c r="AF14" s="322"/>
      <c r="AG14" s="436" t="str">
        <f>VLOOKUP(A14,'Feature Summary'!$A$7:$U$4030,21,FALSE)</f>
        <v>wk-1</v>
      </c>
      <c r="AH14" s="324"/>
    </row>
    <row r="15" spans="1:34" ht="30" x14ac:dyDescent="0.25">
      <c r="A15" s="330" t="s">
        <v>340</v>
      </c>
      <c r="B15" s="557" t="s">
        <v>341</v>
      </c>
      <c r="C15" s="558"/>
      <c r="D15" s="559" t="s">
        <v>264</v>
      </c>
      <c r="E15" s="560"/>
      <c r="F15" s="558" t="s">
        <v>344</v>
      </c>
      <c r="G15" s="242" t="str">
        <f>VLOOKUP(A15,'Feature Summary'!$A$7:$C$4030,3,FALSE)</f>
        <v>P2</v>
      </c>
      <c r="H15" s="571" t="s">
        <v>345</v>
      </c>
      <c r="I15" s="322" t="s">
        <v>41</v>
      </c>
      <c r="J15" s="322"/>
      <c r="K15" s="577">
        <v>1</v>
      </c>
      <c r="L15" s="578">
        <v>3</v>
      </c>
      <c r="M15" s="596" t="s">
        <v>33</v>
      </c>
      <c r="N15" s="591">
        <v>1</v>
      </c>
      <c r="O15" s="578">
        <v>3</v>
      </c>
      <c r="P15" s="589">
        <f t="shared" si="3"/>
        <v>1</v>
      </c>
      <c r="Q15" s="604" t="s">
        <v>48</v>
      </c>
      <c r="R15" s="578">
        <v>3</v>
      </c>
      <c r="S15" s="472">
        <f t="shared" si="2"/>
        <v>0</v>
      </c>
      <c r="T15" s="578"/>
      <c r="U15" s="462"/>
      <c r="V15" s="462"/>
      <c r="W15" s="462"/>
      <c r="X15" s="475">
        <f t="shared" si="1"/>
        <v>0</v>
      </c>
      <c r="Y15" s="605"/>
      <c r="Z15" s="461">
        <f t="shared" si="5"/>
        <v>0</v>
      </c>
      <c r="AA15" s="462"/>
      <c r="AB15" s="462"/>
      <c r="AC15" s="462"/>
      <c r="AD15" s="462"/>
      <c r="AE15" s="463">
        <f t="shared" si="6"/>
        <v>0</v>
      </c>
      <c r="AF15" s="322"/>
      <c r="AG15" s="436" t="str">
        <f>VLOOKUP(A15,'Feature Summary'!$A$7:$U$4030,21,FALSE)</f>
        <v>wk-1</v>
      </c>
      <c r="AH15" s="324"/>
    </row>
    <row r="16" spans="1:34" ht="60" x14ac:dyDescent="0.25">
      <c r="A16" s="330" t="s">
        <v>346</v>
      </c>
      <c r="B16" s="557" t="s">
        <v>347</v>
      </c>
      <c r="C16" s="558"/>
      <c r="D16" s="559" t="s">
        <v>264</v>
      </c>
      <c r="E16" s="560"/>
      <c r="F16" s="558" t="s">
        <v>348</v>
      </c>
      <c r="G16" s="242" t="e">
        <f>VLOOKUP(A16,'Feature Summary'!$A$7:$C$4030,3,FALSE)</f>
        <v>#N/A</v>
      </c>
      <c r="H16" s="571" t="s">
        <v>349</v>
      </c>
      <c r="I16" s="322" t="s">
        <v>41</v>
      </c>
      <c r="J16" s="322"/>
      <c r="K16" s="577">
        <v>1</v>
      </c>
      <c r="L16" s="578">
        <v>231</v>
      </c>
      <c r="M16" s="596" t="s">
        <v>33</v>
      </c>
      <c r="N16" s="591">
        <v>1</v>
      </c>
      <c r="O16" s="578">
        <v>231</v>
      </c>
      <c r="P16" s="589">
        <f>IF((O16=0),0,(O16/L16))</f>
        <v>1</v>
      </c>
      <c r="Q16" s="604" t="s">
        <v>48</v>
      </c>
      <c r="R16" s="578">
        <v>231</v>
      </c>
      <c r="S16" s="474">
        <f t="shared" si="2"/>
        <v>0</v>
      </c>
      <c r="T16" s="578"/>
      <c r="U16" s="462"/>
      <c r="V16" s="462"/>
      <c r="W16" s="462"/>
      <c r="X16" s="475">
        <f>IF((S16=0),0,((T16+U16)/S16*100%))</f>
        <v>0</v>
      </c>
      <c r="Y16" s="605"/>
      <c r="Z16" s="461">
        <f t="shared" si="5"/>
        <v>0</v>
      </c>
      <c r="AA16" s="462"/>
      <c r="AB16" s="462"/>
      <c r="AC16" s="462"/>
      <c r="AD16" s="462"/>
      <c r="AE16" s="463">
        <f t="shared" si="6"/>
        <v>0</v>
      </c>
      <c r="AF16" s="611"/>
      <c r="AG16" s="436" t="e">
        <f>VLOOKUP(A16,'Feature Summary'!$A$7:$U$4030,21,FALSE)</f>
        <v>#N/A</v>
      </c>
      <c r="AH16" s="617"/>
    </row>
    <row r="17" spans="1:34" ht="20.25" customHeight="1" thickBot="1" x14ac:dyDescent="0.3">
      <c r="A17" s="330" t="s">
        <v>316</v>
      </c>
      <c r="B17" s="557" t="s">
        <v>350</v>
      </c>
      <c r="C17" s="558"/>
      <c r="D17" s="559" t="s">
        <v>264</v>
      </c>
      <c r="E17" s="560"/>
      <c r="F17" s="558" t="s">
        <v>351</v>
      </c>
      <c r="G17" s="242" t="e">
        <f>VLOOKUP(A17,'Feature Summary'!$A$7:$C$4030,3,FALSE)</f>
        <v>#N/A</v>
      </c>
      <c r="H17" s="571" t="s">
        <v>352</v>
      </c>
      <c r="I17" s="322" t="s">
        <v>41</v>
      </c>
      <c r="J17" s="322"/>
      <c r="K17" s="577">
        <v>1</v>
      </c>
      <c r="L17" s="578">
        <v>11</v>
      </c>
      <c r="M17" s="596" t="s">
        <v>33</v>
      </c>
      <c r="N17" s="591">
        <v>1</v>
      </c>
      <c r="O17" s="578">
        <v>11</v>
      </c>
      <c r="P17" s="589">
        <f t="shared" si="3"/>
        <v>1</v>
      </c>
      <c r="Q17" s="604" t="s">
        <v>48</v>
      </c>
      <c r="R17" s="578">
        <v>11</v>
      </c>
      <c r="S17" s="474">
        <f t="shared" si="2"/>
        <v>0</v>
      </c>
      <c r="T17" s="578"/>
      <c r="U17" s="462"/>
      <c r="V17" s="462"/>
      <c r="W17" s="462"/>
      <c r="X17" s="475">
        <f t="shared" si="1"/>
        <v>0</v>
      </c>
      <c r="Y17" s="605"/>
      <c r="Z17" s="461">
        <f t="shared" si="5"/>
        <v>0</v>
      </c>
      <c r="AA17" s="462"/>
      <c r="AB17" s="462"/>
      <c r="AC17" s="462"/>
      <c r="AD17" s="462"/>
      <c r="AE17" s="463">
        <f t="shared" si="6"/>
        <v>0</v>
      </c>
      <c r="AF17" s="322"/>
      <c r="AG17" s="436" t="e">
        <f>VLOOKUP(A17,'Feature Summary'!$A$7:$U$4030,21,FALSE)</f>
        <v>#N/A</v>
      </c>
      <c r="AH17" s="324"/>
    </row>
    <row r="18" spans="1:34" ht="30" x14ac:dyDescent="0.25">
      <c r="A18" s="330" t="s">
        <v>353</v>
      </c>
      <c r="B18" s="557" t="s">
        <v>354</v>
      </c>
      <c r="C18" s="558"/>
      <c r="D18" s="559" t="s">
        <v>264</v>
      </c>
      <c r="E18" s="560"/>
      <c r="F18" s="558" t="s">
        <v>355</v>
      </c>
      <c r="G18" s="242" t="str">
        <f>VLOOKUP(A18,'Feature Summary'!$A$7:$C$4030,3,FALSE)</f>
        <v>P2</v>
      </c>
      <c r="H18" s="571" t="s">
        <v>356</v>
      </c>
      <c r="I18" s="322" t="s">
        <v>41</v>
      </c>
      <c r="J18" s="322"/>
      <c r="K18" s="577">
        <v>1</v>
      </c>
      <c r="L18" s="578">
        <v>5</v>
      </c>
      <c r="M18" s="596" t="s">
        <v>33</v>
      </c>
      <c r="N18" s="591">
        <v>1</v>
      </c>
      <c r="O18" s="578">
        <v>5</v>
      </c>
      <c r="P18" s="589">
        <f t="shared" si="3"/>
        <v>1</v>
      </c>
      <c r="Q18" s="604" t="s">
        <v>48</v>
      </c>
      <c r="R18" s="578">
        <v>5</v>
      </c>
      <c r="S18" s="472">
        <f t="shared" si="2"/>
        <v>0</v>
      </c>
      <c r="T18" s="578"/>
      <c r="U18" s="462"/>
      <c r="V18" s="462"/>
      <c r="W18" s="462"/>
      <c r="X18" s="475">
        <f t="shared" si="1"/>
        <v>0</v>
      </c>
      <c r="Y18" s="605"/>
      <c r="Z18" s="461">
        <v>0</v>
      </c>
      <c r="AA18" s="462"/>
      <c r="AB18" s="462"/>
      <c r="AC18" s="462"/>
      <c r="AD18" s="462"/>
      <c r="AE18" s="463">
        <f t="shared" si="6"/>
        <v>0</v>
      </c>
      <c r="AF18" s="611"/>
      <c r="AG18" s="436" t="str">
        <f>VLOOKUP(A18,'Feature Summary'!$A$7:$U$4030,21,FALSE)</f>
        <v>wk-4</v>
      </c>
      <c r="AH18" s="324"/>
    </row>
    <row r="19" spans="1:34" ht="30" x14ac:dyDescent="0.25">
      <c r="A19" s="330" t="s">
        <v>332</v>
      </c>
      <c r="B19" s="557" t="s">
        <v>333</v>
      </c>
      <c r="C19" s="558"/>
      <c r="D19" s="559" t="s">
        <v>264</v>
      </c>
      <c r="E19" s="560"/>
      <c r="F19" s="558" t="s">
        <v>357</v>
      </c>
      <c r="G19" s="242" t="str">
        <f>VLOOKUP(A19,'Feature Summary'!$A$7:$C$4030,3,FALSE)</f>
        <v>P2</v>
      </c>
      <c r="H19" s="571" t="s">
        <v>358</v>
      </c>
      <c r="I19" s="322" t="s">
        <v>41</v>
      </c>
      <c r="J19" s="322"/>
      <c r="K19" s="577">
        <v>1</v>
      </c>
      <c r="L19" s="578">
        <v>1</v>
      </c>
      <c r="M19" s="596" t="s">
        <v>33</v>
      </c>
      <c r="N19" s="591">
        <v>1</v>
      </c>
      <c r="O19" s="578">
        <v>1</v>
      </c>
      <c r="P19" s="589">
        <f t="shared" si="3"/>
        <v>1</v>
      </c>
      <c r="Q19" s="604" t="s">
        <v>48</v>
      </c>
      <c r="R19" s="578">
        <v>1</v>
      </c>
      <c r="S19" s="474">
        <f t="shared" si="2"/>
        <v>0</v>
      </c>
      <c r="T19" s="578"/>
      <c r="U19" s="462"/>
      <c r="V19" s="462"/>
      <c r="W19" s="462"/>
      <c r="X19" s="475">
        <f t="shared" si="1"/>
        <v>0</v>
      </c>
      <c r="Y19" s="605"/>
      <c r="Z19" s="461">
        <f t="shared" si="5"/>
        <v>0</v>
      </c>
      <c r="AA19" s="462"/>
      <c r="AB19" s="462"/>
      <c r="AC19" s="462"/>
      <c r="AD19" s="462"/>
      <c r="AE19" s="463">
        <f t="shared" si="6"/>
        <v>0</v>
      </c>
      <c r="AF19" s="322"/>
      <c r="AG19" s="436" t="str">
        <f>VLOOKUP(A19,'Feature Summary'!$A$7:$U$4030,21,FALSE)</f>
        <v>wk-5</v>
      </c>
      <c r="AH19" s="324"/>
    </row>
    <row r="20" spans="1:34" ht="30.75" thickBot="1" x14ac:dyDescent="0.3">
      <c r="A20" s="330" t="s">
        <v>359</v>
      </c>
      <c r="B20" s="557" t="s">
        <v>360</v>
      </c>
      <c r="C20" s="558"/>
      <c r="D20" s="559" t="s">
        <v>264</v>
      </c>
      <c r="E20" s="560"/>
      <c r="F20" s="561" t="s">
        <v>361</v>
      </c>
      <c r="G20" s="242" t="str">
        <f>VLOOKUP(A20,'Feature Summary'!$A$7:$C$4030,3,FALSE)</f>
        <v>P2</v>
      </c>
      <c r="H20" s="571" t="s">
        <v>362</v>
      </c>
      <c r="I20" s="322" t="s">
        <v>41</v>
      </c>
      <c r="J20" s="322"/>
      <c r="K20" s="577">
        <v>1</v>
      </c>
      <c r="L20" s="578">
        <v>24</v>
      </c>
      <c r="M20" s="596" t="s">
        <v>33</v>
      </c>
      <c r="N20" s="591">
        <v>1</v>
      </c>
      <c r="O20" s="578">
        <v>24</v>
      </c>
      <c r="P20" s="589">
        <f t="shared" si="3"/>
        <v>1</v>
      </c>
      <c r="Q20" s="604" t="s">
        <v>48</v>
      </c>
      <c r="R20" s="578">
        <v>24</v>
      </c>
      <c r="S20" s="474">
        <f t="shared" si="2"/>
        <v>0</v>
      </c>
      <c r="T20" s="578"/>
      <c r="U20" s="462"/>
      <c r="V20" s="462"/>
      <c r="W20" s="462"/>
      <c r="X20" s="475">
        <f t="shared" si="1"/>
        <v>0</v>
      </c>
      <c r="Y20" s="605"/>
      <c r="Z20" s="461">
        <v>0</v>
      </c>
      <c r="AA20" s="462"/>
      <c r="AB20" s="462"/>
      <c r="AC20" s="462"/>
      <c r="AD20" s="462"/>
      <c r="AE20" s="463">
        <f t="shared" si="6"/>
        <v>0</v>
      </c>
      <c r="AF20" s="611"/>
      <c r="AG20" s="436" t="str">
        <f>VLOOKUP(A20,'Feature Summary'!$A$7:$U$4030,21,FALSE)</f>
        <v>wk-6</v>
      </c>
      <c r="AH20" s="324"/>
    </row>
    <row r="21" spans="1:34" x14ac:dyDescent="0.25">
      <c r="A21" s="330" t="s">
        <v>363</v>
      </c>
      <c r="B21" s="557" t="s">
        <v>364</v>
      </c>
      <c r="C21" s="558"/>
      <c r="D21" s="559" t="s">
        <v>264</v>
      </c>
      <c r="E21" s="560"/>
      <c r="F21" s="561" t="s">
        <v>365</v>
      </c>
      <c r="G21" s="242" t="str">
        <f>VLOOKUP(A21,'Feature Summary'!$A$7:$C$4030,3,FALSE)</f>
        <v>P2</v>
      </c>
      <c r="H21" s="571" t="s">
        <v>366</v>
      </c>
      <c r="I21" s="322" t="s">
        <v>35</v>
      </c>
      <c r="J21" s="322"/>
      <c r="K21" s="577">
        <v>1</v>
      </c>
      <c r="L21" s="578">
        <v>1</v>
      </c>
      <c r="M21" s="596" t="s">
        <v>33</v>
      </c>
      <c r="N21" s="591">
        <v>1</v>
      </c>
      <c r="O21" s="578">
        <v>1</v>
      </c>
      <c r="P21" s="589">
        <f t="shared" si="3"/>
        <v>1</v>
      </c>
      <c r="Q21" s="604" t="s">
        <v>48</v>
      </c>
      <c r="R21" s="578">
        <v>1</v>
      </c>
      <c r="S21" s="472">
        <f t="shared" si="2"/>
        <v>0</v>
      </c>
      <c r="T21" s="578"/>
      <c r="U21" s="462"/>
      <c r="V21" s="462"/>
      <c r="W21" s="462"/>
      <c r="X21" s="475">
        <f t="shared" si="1"/>
        <v>0</v>
      </c>
      <c r="Y21" s="605"/>
      <c r="Z21" s="461">
        <f t="shared" si="5"/>
        <v>0</v>
      </c>
      <c r="AA21" s="462"/>
      <c r="AB21" s="462"/>
      <c r="AC21" s="462"/>
      <c r="AD21" s="462"/>
      <c r="AE21" s="463">
        <f t="shared" si="6"/>
        <v>0</v>
      </c>
      <c r="AF21" s="611"/>
      <c r="AG21" s="436" t="str">
        <f>VLOOKUP(A21,'Feature Summary'!$A$7:$U$4030,21,FALSE)</f>
        <v>wk-6</v>
      </c>
      <c r="AH21" s="324"/>
    </row>
    <row r="22" spans="1:34" ht="30" x14ac:dyDescent="0.25">
      <c r="A22" s="330" t="s">
        <v>353</v>
      </c>
      <c r="B22" s="557" t="s">
        <v>354</v>
      </c>
      <c r="C22" s="558"/>
      <c r="D22" s="559" t="s">
        <v>264</v>
      </c>
      <c r="E22" s="560"/>
      <c r="F22" s="561" t="s">
        <v>367</v>
      </c>
      <c r="G22" s="242" t="str">
        <f>VLOOKUP(A22,'Feature Summary'!$A$7:$C$4030,3,FALSE)</f>
        <v>P2</v>
      </c>
      <c r="H22" s="571" t="s">
        <v>368</v>
      </c>
      <c r="I22" s="322" t="s">
        <v>41</v>
      </c>
      <c r="J22" s="322"/>
      <c r="K22" s="577">
        <v>1</v>
      </c>
      <c r="L22" s="578">
        <v>1</v>
      </c>
      <c r="M22" s="596" t="s">
        <v>33</v>
      </c>
      <c r="N22" s="591">
        <v>1</v>
      </c>
      <c r="O22" s="578">
        <v>1</v>
      </c>
      <c r="P22" s="589">
        <f t="shared" si="3"/>
        <v>1</v>
      </c>
      <c r="Q22" s="604" t="s">
        <v>48</v>
      </c>
      <c r="R22" s="578">
        <v>1</v>
      </c>
      <c r="S22" s="474">
        <f t="shared" si="2"/>
        <v>0</v>
      </c>
      <c r="T22" s="578"/>
      <c r="U22" s="462"/>
      <c r="V22" s="462"/>
      <c r="W22" s="462"/>
      <c r="X22" s="475">
        <f t="shared" si="1"/>
        <v>0</v>
      </c>
      <c r="Y22" s="605"/>
      <c r="Z22" s="461">
        <v>0</v>
      </c>
      <c r="AA22" s="462"/>
      <c r="AB22" s="462"/>
      <c r="AC22" s="462"/>
      <c r="AD22" s="462"/>
      <c r="AE22" s="463">
        <f t="shared" si="6"/>
        <v>0</v>
      </c>
      <c r="AF22" s="322"/>
      <c r="AG22" s="436" t="str">
        <f>VLOOKUP(A22,'Feature Summary'!$A$7:$U$4030,21,FALSE)</f>
        <v>wk-4</v>
      </c>
      <c r="AH22" s="324"/>
    </row>
    <row r="23" spans="1:34" ht="30.75" thickBot="1" x14ac:dyDescent="0.3">
      <c r="A23" s="330" t="s">
        <v>369</v>
      </c>
      <c r="B23" s="557" t="s">
        <v>370</v>
      </c>
      <c r="C23" s="558"/>
      <c r="D23" s="559" t="s">
        <v>264</v>
      </c>
      <c r="E23" s="560"/>
      <c r="F23" s="561" t="s">
        <v>371</v>
      </c>
      <c r="G23" s="242" t="e">
        <f>VLOOKUP(A23,'Feature Summary'!$A$7:$C$4030,3,FALSE)</f>
        <v>#N/A</v>
      </c>
      <c r="H23" s="571" t="s">
        <v>372</v>
      </c>
      <c r="I23" s="322" t="s">
        <v>41</v>
      </c>
      <c r="J23" s="322"/>
      <c r="K23" s="577">
        <v>8</v>
      </c>
      <c r="L23" s="578">
        <v>1</v>
      </c>
      <c r="M23" s="596" t="s">
        <v>33</v>
      </c>
      <c r="N23" s="591">
        <v>1</v>
      </c>
      <c r="O23" s="578">
        <v>1</v>
      </c>
      <c r="P23" s="589">
        <f t="shared" si="3"/>
        <v>1</v>
      </c>
      <c r="Q23" s="604" t="s">
        <v>48</v>
      </c>
      <c r="R23" s="578">
        <v>1</v>
      </c>
      <c r="S23" s="474">
        <f t="shared" si="2"/>
        <v>0</v>
      </c>
      <c r="T23" s="578"/>
      <c r="U23" s="462"/>
      <c r="V23" s="462"/>
      <c r="W23" s="462"/>
      <c r="X23" s="475">
        <f t="shared" si="1"/>
        <v>0</v>
      </c>
      <c r="Y23" s="605"/>
      <c r="Z23" s="461">
        <v>0</v>
      </c>
      <c r="AA23" s="462"/>
      <c r="AB23" s="462"/>
      <c r="AC23" s="462"/>
      <c r="AD23" s="462"/>
      <c r="AE23" s="463">
        <f t="shared" si="6"/>
        <v>0</v>
      </c>
      <c r="AF23" s="611"/>
      <c r="AG23" s="436" t="e">
        <f>VLOOKUP(A23,'Feature Summary'!$A$7:$U$4030,21,FALSE)</f>
        <v>#N/A</v>
      </c>
      <c r="AH23" s="324"/>
    </row>
    <row r="24" spans="1:34" ht="30" x14ac:dyDescent="0.25">
      <c r="A24" s="330" t="s">
        <v>369</v>
      </c>
      <c r="B24" s="557" t="s">
        <v>370</v>
      </c>
      <c r="C24" s="558"/>
      <c r="D24" s="559" t="s">
        <v>264</v>
      </c>
      <c r="E24" s="560"/>
      <c r="F24" s="561" t="s">
        <v>373</v>
      </c>
      <c r="G24" s="242" t="e">
        <f>VLOOKUP(A24,'Feature Summary'!$A$7:$C$4030,3,FALSE)</f>
        <v>#N/A</v>
      </c>
      <c r="H24" s="571" t="s">
        <v>374</v>
      </c>
      <c r="I24" s="322" t="s">
        <v>41</v>
      </c>
      <c r="J24" s="322"/>
      <c r="K24" s="577">
        <v>8</v>
      </c>
      <c r="L24" s="578">
        <v>1</v>
      </c>
      <c r="M24" s="596" t="s">
        <v>33</v>
      </c>
      <c r="N24" s="591">
        <v>1</v>
      </c>
      <c r="O24" s="578">
        <v>1</v>
      </c>
      <c r="P24" s="589">
        <f t="shared" si="3"/>
        <v>1</v>
      </c>
      <c r="Q24" s="604" t="s">
        <v>48</v>
      </c>
      <c r="R24" s="578">
        <v>1</v>
      </c>
      <c r="S24" s="472">
        <f t="shared" si="2"/>
        <v>0</v>
      </c>
      <c r="T24" s="578"/>
      <c r="U24" s="462"/>
      <c r="V24" s="462"/>
      <c r="W24" s="462"/>
      <c r="X24" s="475">
        <f t="shared" si="1"/>
        <v>0</v>
      </c>
      <c r="Y24" s="605"/>
      <c r="Z24" s="461">
        <v>0</v>
      </c>
      <c r="AA24" s="462"/>
      <c r="AB24" s="462"/>
      <c r="AC24" s="462"/>
      <c r="AD24" s="462"/>
      <c r="AE24" s="463">
        <f t="shared" si="6"/>
        <v>0</v>
      </c>
      <c r="AF24" s="611"/>
      <c r="AG24" s="436" t="e">
        <f>VLOOKUP(A24,'Feature Summary'!$A$7:$U$4030,21,FALSE)</f>
        <v>#N/A</v>
      </c>
      <c r="AH24" s="324"/>
    </row>
    <row r="25" spans="1:34" ht="30" x14ac:dyDescent="0.25">
      <c r="A25" s="330" t="s">
        <v>375</v>
      </c>
      <c r="B25" s="557" t="s">
        <v>376</v>
      </c>
      <c r="C25" s="558"/>
      <c r="D25" s="559" t="s">
        <v>377</v>
      </c>
      <c r="E25" s="560"/>
      <c r="F25" s="558" t="s">
        <v>378</v>
      </c>
      <c r="G25" s="242" t="str">
        <f>VLOOKUP(A25,'Feature Summary'!$A$7:$C$4030,3,FALSE)</f>
        <v>P2</v>
      </c>
      <c r="H25" s="571" t="s">
        <v>379</v>
      </c>
      <c r="I25" s="322" t="s">
        <v>35</v>
      </c>
      <c r="J25" s="322"/>
      <c r="K25" s="577">
        <v>1</v>
      </c>
      <c r="L25" s="578">
        <v>7</v>
      </c>
      <c r="M25" s="596" t="s">
        <v>33</v>
      </c>
      <c r="N25" s="591">
        <v>1</v>
      </c>
      <c r="O25" s="578">
        <v>7</v>
      </c>
      <c r="P25" s="589">
        <f t="shared" si="3"/>
        <v>1</v>
      </c>
      <c r="Q25" s="604" t="s">
        <v>48</v>
      </c>
      <c r="R25" s="578">
        <v>7</v>
      </c>
      <c r="S25" s="474">
        <f t="shared" si="2"/>
        <v>0</v>
      </c>
      <c r="T25" s="578"/>
      <c r="U25" s="462"/>
      <c r="V25" s="462"/>
      <c r="W25" s="462"/>
      <c r="X25" s="475">
        <f t="shared" si="1"/>
        <v>0</v>
      </c>
      <c r="Y25" s="605"/>
      <c r="Z25" s="461">
        <f>SUM(AA25:AD25)</f>
        <v>0</v>
      </c>
      <c r="AA25" s="462"/>
      <c r="AB25" s="462"/>
      <c r="AC25" s="462"/>
      <c r="AD25" s="462"/>
      <c r="AE25" s="463">
        <f t="shared" si="6"/>
        <v>0</v>
      </c>
      <c r="AF25" s="322"/>
      <c r="AG25" s="436" t="str">
        <f>VLOOKUP(A25,'Feature Summary'!$A$7:$U$4030,21,FALSE)</f>
        <v>wk-1</v>
      </c>
      <c r="AH25" s="324"/>
    </row>
    <row r="26" spans="1:34" ht="15.75" thickBot="1" x14ac:dyDescent="0.3">
      <c r="A26" s="330" t="s">
        <v>380</v>
      </c>
      <c r="B26" s="557" t="s">
        <v>381</v>
      </c>
      <c r="C26" s="558"/>
      <c r="D26" s="559" t="s">
        <v>377</v>
      </c>
      <c r="E26" s="560"/>
      <c r="F26" s="558" t="s">
        <v>382</v>
      </c>
      <c r="G26" s="242" t="str">
        <f>VLOOKUP(A26,'Feature Summary'!$A$7:$C$4030,3,FALSE)</f>
        <v>P2</v>
      </c>
      <c r="H26" s="571" t="s">
        <v>383</v>
      </c>
      <c r="I26" s="322" t="s">
        <v>35</v>
      </c>
      <c r="J26" s="322"/>
      <c r="K26" s="577">
        <v>1</v>
      </c>
      <c r="L26" s="578">
        <v>2</v>
      </c>
      <c r="M26" s="596" t="s">
        <v>33</v>
      </c>
      <c r="N26" s="591">
        <v>1</v>
      </c>
      <c r="O26" s="578">
        <v>2</v>
      </c>
      <c r="P26" s="589">
        <f t="shared" si="3"/>
        <v>1</v>
      </c>
      <c r="Q26" s="604" t="s">
        <v>48</v>
      </c>
      <c r="R26" s="578">
        <v>2</v>
      </c>
      <c r="S26" s="474">
        <f t="shared" si="2"/>
        <v>0</v>
      </c>
      <c r="T26" s="578"/>
      <c r="U26" s="462"/>
      <c r="V26" s="462"/>
      <c r="W26" s="462"/>
      <c r="X26" s="475">
        <f t="shared" si="1"/>
        <v>0</v>
      </c>
      <c r="Y26" s="605"/>
      <c r="Z26" s="461">
        <f t="shared" si="5"/>
        <v>0</v>
      </c>
      <c r="AA26" s="462"/>
      <c r="AB26" s="462"/>
      <c r="AC26" s="462"/>
      <c r="AD26" s="462"/>
      <c r="AE26" s="463">
        <f t="shared" si="6"/>
        <v>0</v>
      </c>
      <c r="AF26" s="322"/>
      <c r="AG26" s="436" t="str">
        <f>VLOOKUP(A26,'Feature Summary'!$A$7:$U$4030,21,FALSE)</f>
        <v>wk-5</v>
      </c>
      <c r="AH26" s="324"/>
    </row>
    <row r="27" spans="1:34" ht="30" x14ac:dyDescent="0.25">
      <c r="A27" s="330" t="s">
        <v>384</v>
      </c>
      <c r="B27" s="557" t="s">
        <v>385</v>
      </c>
      <c r="C27" s="558"/>
      <c r="D27" s="559" t="s">
        <v>377</v>
      </c>
      <c r="E27" s="560"/>
      <c r="F27" s="558" t="s">
        <v>386</v>
      </c>
      <c r="G27" s="242" t="str">
        <f>VLOOKUP(A27,'Feature Summary'!$A$7:$C$4030,3,FALSE)</f>
        <v>P2</v>
      </c>
      <c r="H27" s="571" t="s">
        <v>387</v>
      </c>
      <c r="I27" s="322" t="s">
        <v>41</v>
      </c>
      <c r="J27" s="322"/>
      <c r="K27" s="577">
        <v>1</v>
      </c>
      <c r="L27" s="578">
        <v>14</v>
      </c>
      <c r="M27" s="596" t="s">
        <v>33</v>
      </c>
      <c r="N27" s="591">
        <v>1</v>
      </c>
      <c r="O27" s="578">
        <v>14</v>
      </c>
      <c r="P27" s="589">
        <f t="shared" si="3"/>
        <v>1</v>
      </c>
      <c r="Q27" s="604" t="s">
        <v>48</v>
      </c>
      <c r="R27" s="578">
        <v>14</v>
      </c>
      <c r="S27" s="472">
        <f t="shared" si="2"/>
        <v>0</v>
      </c>
      <c r="T27" s="578"/>
      <c r="U27" s="462"/>
      <c r="V27" s="462"/>
      <c r="W27" s="462"/>
      <c r="X27" s="475">
        <f t="shared" si="1"/>
        <v>0</v>
      </c>
      <c r="Y27" s="605"/>
      <c r="Z27" s="461">
        <f t="shared" si="5"/>
        <v>0</v>
      </c>
      <c r="AA27" s="462"/>
      <c r="AB27" s="462"/>
      <c r="AC27" s="462"/>
      <c r="AD27" s="462"/>
      <c r="AE27" s="463">
        <f t="shared" si="6"/>
        <v>0</v>
      </c>
      <c r="AF27" s="611"/>
      <c r="AG27" s="436" t="str">
        <f>VLOOKUP(A27,'Feature Summary'!$A$7:$U$4030,21,FALSE)</f>
        <v>wk-4</v>
      </c>
      <c r="AH27" s="324"/>
    </row>
    <row r="28" spans="1:34" ht="30" x14ac:dyDescent="0.25">
      <c r="A28" s="330" t="s">
        <v>384</v>
      </c>
      <c r="B28" s="557" t="s">
        <v>385</v>
      </c>
      <c r="C28" s="558"/>
      <c r="D28" s="559" t="s">
        <v>377</v>
      </c>
      <c r="E28" s="560"/>
      <c r="F28" s="558" t="s">
        <v>388</v>
      </c>
      <c r="G28" s="242" t="str">
        <f>VLOOKUP(A28,'Feature Summary'!$A$7:$C$4030,3,FALSE)</f>
        <v>P2</v>
      </c>
      <c r="H28" s="571" t="s">
        <v>389</v>
      </c>
      <c r="I28" s="322" t="s">
        <v>41</v>
      </c>
      <c r="J28" s="322"/>
      <c r="K28" s="577">
        <v>1</v>
      </c>
      <c r="L28" s="578">
        <v>28</v>
      </c>
      <c r="M28" s="596" t="s">
        <v>33</v>
      </c>
      <c r="N28" s="591">
        <v>1</v>
      </c>
      <c r="O28" s="578">
        <v>28</v>
      </c>
      <c r="P28" s="589">
        <f t="shared" si="3"/>
        <v>1</v>
      </c>
      <c r="Q28" s="604" t="s">
        <v>48</v>
      </c>
      <c r="R28" s="578">
        <v>28</v>
      </c>
      <c r="S28" s="474">
        <f t="shared" si="2"/>
        <v>0</v>
      </c>
      <c r="T28" s="578"/>
      <c r="U28" s="462"/>
      <c r="V28" s="462"/>
      <c r="W28" s="462"/>
      <c r="X28" s="475">
        <f t="shared" si="1"/>
        <v>0</v>
      </c>
      <c r="Y28" s="605"/>
      <c r="Z28" s="461">
        <f t="shared" si="5"/>
        <v>0</v>
      </c>
      <c r="AA28" s="462"/>
      <c r="AB28" s="462"/>
      <c r="AC28" s="462"/>
      <c r="AD28" s="462"/>
      <c r="AE28" s="463">
        <f t="shared" si="6"/>
        <v>0</v>
      </c>
      <c r="AF28" s="611"/>
      <c r="AG28" s="436" t="str">
        <f>VLOOKUP(A28,'Feature Summary'!$A$7:$U$4030,21,FALSE)</f>
        <v>wk-4</v>
      </c>
      <c r="AH28" s="324"/>
    </row>
    <row r="29" spans="1:34" ht="30.75" thickBot="1" x14ac:dyDescent="0.3">
      <c r="A29" s="330" t="s">
        <v>390</v>
      </c>
      <c r="B29" s="557" t="s">
        <v>391</v>
      </c>
      <c r="C29" s="558"/>
      <c r="D29" s="559" t="s">
        <v>377</v>
      </c>
      <c r="E29" s="560"/>
      <c r="F29" s="558" t="s">
        <v>392</v>
      </c>
      <c r="G29" s="242" t="str">
        <f>VLOOKUP(A29,'Feature Summary'!$A$7:$C$4030,3,FALSE)</f>
        <v>P2</v>
      </c>
      <c r="H29" s="571" t="s">
        <v>393</v>
      </c>
      <c r="I29" s="322" t="s">
        <v>41</v>
      </c>
      <c r="J29" s="322"/>
      <c r="K29" s="577">
        <v>1</v>
      </c>
      <c r="L29" s="578">
        <v>2</v>
      </c>
      <c r="M29" s="596" t="s">
        <v>33</v>
      </c>
      <c r="N29" s="591">
        <v>1</v>
      </c>
      <c r="O29" s="578">
        <v>2</v>
      </c>
      <c r="P29" s="589">
        <f t="shared" si="3"/>
        <v>1</v>
      </c>
      <c r="Q29" s="604" t="s">
        <v>48</v>
      </c>
      <c r="R29" s="578">
        <v>2</v>
      </c>
      <c r="S29" s="474">
        <f t="shared" si="2"/>
        <v>0</v>
      </c>
      <c r="T29" s="578"/>
      <c r="U29" s="462"/>
      <c r="V29" s="462"/>
      <c r="W29" s="462"/>
      <c r="X29" s="475">
        <f t="shared" si="1"/>
        <v>0</v>
      </c>
      <c r="Y29" s="605"/>
      <c r="Z29" s="461">
        <f t="shared" si="5"/>
        <v>0</v>
      </c>
      <c r="AA29" s="462"/>
      <c r="AB29" s="462"/>
      <c r="AC29" s="462"/>
      <c r="AD29" s="462"/>
      <c r="AE29" s="463">
        <f t="shared" si="6"/>
        <v>0</v>
      </c>
      <c r="AF29" s="322"/>
      <c r="AG29" s="436" t="str">
        <f>VLOOKUP(A29,'Feature Summary'!$A$7:$U$4030,21,FALSE)</f>
        <v>wk-6</v>
      </c>
      <c r="AH29" s="324"/>
    </row>
    <row r="30" spans="1:34" ht="105" x14ac:dyDescent="0.25">
      <c r="A30" s="330" t="s">
        <v>394</v>
      </c>
      <c r="B30" s="557" t="s">
        <v>395</v>
      </c>
      <c r="C30" s="558"/>
      <c r="D30" s="559" t="s">
        <v>377</v>
      </c>
      <c r="E30" s="560"/>
      <c r="F30" s="558" t="s">
        <v>396</v>
      </c>
      <c r="G30" s="242" t="e">
        <f>VLOOKUP(A30,'Feature Summary'!$A$7:$C$4030,3,FALSE)</f>
        <v>#N/A</v>
      </c>
      <c r="H30" s="558" t="s">
        <v>397</v>
      </c>
      <c r="I30" s="322" t="s">
        <v>35</v>
      </c>
      <c r="J30" s="322"/>
      <c r="K30" s="577">
        <v>1</v>
      </c>
      <c r="L30" s="578">
        <v>52</v>
      </c>
      <c r="M30" s="596" t="s">
        <v>33</v>
      </c>
      <c r="N30" s="591">
        <v>1</v>
      </c>
      <c r="O30" s="578">
        <v>52</v>
      </c>
      <c r="P30" s="589">
        <f t="shared" si="3"/>
        <v>1</v>
      </c>
      <c r="Q30" s="604" t="s">
        <v>48</v>
      </c>
      <c r="R30" s="578">
        <v>52</v>
      </c>
      <c r="S30" s="472">
        <f t="shared" si="2"/>
        <v>0</v>
      </c>
      <c r="T30" s="578"/>
      <c r="U30" s="462"/>
      <c r="V30" s="462"/>
      <c r="W30" s="462"/>
      <c r="X30" s="475">
        <f t="shared" si="1"/>
        <v>0</v>
      </c>
      <c r="Y30" s="605"/>
      <c r="Z30" s="461">
        <f t="shared" si="5"/>
        <v>0</v>
      </c>
      <c r="AA30" s="462"/>
      <c r="AB30" s="462"/>
      <c r="AC30" s="462"/>
      <c r="AD30" s="462"/>
      <c r="AE30" s="463">
        <f t="shared" si="6"/>
        <v>0</v>
      </c>
      <c r="AF30" s="611"/>
      <c r="AG30" s="436" t="e">
        <f>VLOOKUP(A30,'Feature Summary'!$A$7:$U$4030,21,FALSE)</f>
        <v>#N/A</v>
      </c>
      <c r="AH30" s="615"/>
    </row>
    <row r="31" spans="1:34" ht="45" x14ac:dyDescent="0.25">
      <c r="A31" s="330" t="s">
        <v>398</v>
      </c>
      <c r="B31" s="557" t="s">
        <v>399</v>
      </c>
      <c r="C31" s="558"/>
      <c r="D31" s="559" t="s">
        <v>377</v>
      </c>
      <c r="E31" s="560"/>
      <c r="F31" s="558" t="s">
        <v>400</v>
      </c>
      <c r="G31" s="242" t="str">
        <f>VLOOKUP(A31,'Feature Summary'!$A$7:$C$4030,3,FALSE)</f>
        <v>P2</v>
      </c>
      <c r="H31" s="571" t="s">
        <v>401</v>
      </c>
      <c r="I31" s="322" t="s">
        <v>41</v>
      </c>
      <c r="J31" s="322"/>
      <c r="K31" s="577">
        <v>1</v>
      </c>
      <c r="L31" s="578">
        <v>35</v>
      </c>
      <c r="M31" s="596" t="s">
        <v>33</v>
      </c>
      <c r="N31" s="591">
        <v>1</v>
      </c>
      <c r="O31" s="578">
        <v>35</v>
      </c>
      <c r="P31" s="589">
        <f t="shared" si="3"/>
        <v>1</v>
      </c>
      <c r="Q31" s="604" t="s">
        <v>48</v>
      </c>
      <c r="R31" s="578">
        <v>35</v>
      </c>
      <c r="S31" s="474">
        <f t="shared" si="2"/>
        <v>0</v>
      </c>
      <c r="T31" s="578"/>
      <c r="U31" s="462"/>
      <c r="V31" s="462"/>
      <c r="W31" s="462"/>
      <c r="X31" s="475">
        <f t="shared" si="1"/>
        <v>0</v>
      </c>
      <c r="Y31" s="605"/>
      <c r="Z31" s="461">
        <f t="shared" si="5"/>
        <v>0</v>
      </c>
      <c r="AA31" s="462"/>
      <c r="AB31" s="462"/>
      <c r="AC31" s="462"/>
      <c r="AD31" s="462"/>
      <c r="AE31" s="463">
        <f t="shared" si="6"/>
        <v>0</v>
      </c>
      <c r="AF31" s="611"/>
      <c r="AG31" s="436" t="str">
        <f>VLOOKUP(A31,'Feature Summary'!$A$7:$U$4030,21,FALSE)</f>
        <v>wk-2</v>
      </c>
      <c r="AH31" s="324"/>
    </row>
    <row r="32" spans="1:34" ht="30.75" thickBot="1" x14ac:dyDescent="0.3">
      <c r="A32" s="330" t="s">
        <v>402</v>
      </c>
      <c r="B32" s="557" t="s">
        <v>403</v>
      </c>
      <c r="C32" s="558"/>
      <c r="D32" s="559" t="s">
        <v>377</v>
      </c>
      <c r="E32" s="560"/>
      <c r="F32" s="558" t="s">
        <v>404</v>
      </c>
      <c r="G32" s="242" t="str">
        <f>VLOOKUP(A32,'Feature Summary'!$A$7:$C$4030,3,FALSE)</f>
        <v>P2</v>
      </c>
      <c r="H32" s="571" t="s">
        <v>405</v>
      </c>
      <c r="I32" s="322" t="s">
        <v>41</v>
      </c>
      <c r="J32" s="322"/>
      <c r="K32" s="577">
        <v>1</v>
      </c>
      <c r="L32" s="578">
        <v>4</v>
      </c>
      <c r="M32" s="596" t="s">
        <v>33</v>
      </c>
      <c r="N32" s="591">
        <v>1</v>
      </c>
      <c r="O32" s="578">
        <v>4</v>
      </c>
      <c r="P32" s="589">
        <f t="shared" si="3"/>
        <v>1</v>
      </c>
      <c r="Q32" s="604" t="s">
        <v>48</v>
      </c>
      <c r="R32" s="578">
        <v>4</v>
      </c>
      <c r="S32" s="474">
        <f t="shared" si="2"/>
        <v>0</v>
      </c>
      <c r="T32" s="578"/>
      <c r="U32" s="462"/>
      <c r="V32" s="462"/>
      <c r="W32" s="462"/>
      <c r="X32" s="475">
        <f t="shared" si="1"/>
        <v>0</v>
      </c>
      <c r="Y32" s="605"/>
      <c r="Z32" s="461">
        <f t="shared" si="5"/>
        <v>0</v>
      </c>
      <c r="AA32" s="462"/>
      <c r="AB32" s="462"/>
      <c r="AC32" s="462"/>
      <c r="AD32" s="462"/>
      <c r="AE32" s="463">
        <f t="shared" si="6"/>
        <v>0</v>
      </c>
      <c r="AF32" s="322"/>
      <c r="AG32" s="436" t="str">
        <f>VLOOKUP(A32,'Feature Summary'!$A$7:$U$4030,21,FALSE)</f>
        <v>N/A</v>
      </c>
      <c r="AH32" s="324"/>
    </row>
    <row r="33" spans="1:34" ht="30" x14ac:dyDescent="0.25">
      <c r="A33" s="330" t="s">
        <v>406</v>
      </c>
      <c r="B33" s="557" t="s">
        <v>407</v>
      </c>
      <c r="C33" s="558"/>
      <c r="D33" s="559" t="s">
        <v>377</v>
      </c>
      <c r="E33" s="560"/>
      <c r="F33" s="558" t="s">
        <v>408</v>
      </c>
      <c r="G33" s="242" t="str">
        <f>VLOOKUP(A33,'Feature Summary'!$A$7:$C$4030,3,FALSE)</f>
        <v>P2</v>
      </c>
      <c r="H33" s="571" t="s">
        <v>409</v>
      </c>
      <c r="I33" s="322" t="s">
        <v>41</v>
      </c>
      <c r="J33" s="322"/>
      <c r="K33" s="577">
        <v>1</v>
      </c>
      <c r="L33" s="578">
        <v>4</v>
      </c>
      <c r="M33" s="596" t="s">
        <v>33</v>
      </c>
      <c r="N33" s="591">
        <v>1</v>
      </c>
      <c r="O33" s="578">
        <v>4</v>
      </c>
      <c r="P33" s="589">
        <f t="shared" si="3"/>
        <v>1</v>
      </c>
      <c r="Q33" s="604" t="s">
        <v>48</v>
      </c>
      <c r="R33" s="578">
        <v>4</v>
      </c>
      <c r="S33" s="472">
        <f t="shared" si="2"/>
        <v>0</v>
      </c>
      <c r="T33" s="578"/>
      <c r="U33" s="462"/>
      <c r="V33" s="462"/>
      <c r="W33" s="462"/>
      <c r="X33" s="475">
        <f t="shared" si="1"/>
        <v>0</v>
      </c>
      <c r="Y33" s="605"/>
      <c r="Z33" s="461">
        <f t="shared" si="5"/>
        <v>0</v>
      </c>
      <c r="AA33" s="462"/>
      <c r="AB33" s="462"/>
      <c r="AC33" s="462"/>
      <c r="AD33" s="462"/>
      <c r="AE33" s="463">
        <f t="shared" si="6"/>
        <v>0</v>
      </c>
      <c r="AF33" s="322"/>
      <c r="AG33" s="436" t="str">
        <f>VLOOKUP(A33,'Feature Summary'!$A$7:$U$4030,21,FALSE)</f>
        <v>wk-4</v>
      </c>
      <c r="AH33" s="324"/>
    </row>
    <row r="34" spans="1:34" ht="30" x14ac:dyDescent="0.25">
      <c r="A34" s="330" t="s">
        <v>410</v>
      </c>
      <c r="B34" s="557" t="s">
        <v>376</v>
      </c>
      <c r="C34" s="558"/>
      <c r="D34" s="559" t="s">
        <v>377</v>
      </c>
      <c r="E34" s="560"/>
      <c r="F34" s="558" t="s">
        <v>411</v>
      </c>
      <c r="G34" s="242" t="str">
        <f>VLOOKUP(A34,'Feature Summary'!$A$7:$C$4030,3,FALSE)</f>
        <v>P2</v>
      </c>
      <c r="H34" s="571" t="s">
        <v>412</v>
      </c>
      <c r="I34" s="322" t="s">
        <v>41</v>
      </c>
      <c r="J34" s="322"/>
      <c r="K34" s="577">
        <v>1</v>
      </c>
      <c r="L34" s="578">
        <v>1</v>
      </c>
      <c r="M34" s="596" t="s">
        <v>33</v>
      </c>
      <c r="N34" s="591">
        <v>1</v>
      </c>
      <c r="O34" s="578">
        <v>1</v>
      </c>
      <c r="P34" s="589">
        <f t="shared" si="3"/>
        <v>1</v>
      </c>
      <c r="Q34" s="604" t="s">
        <v>48</v>
      </c>
      <c r="R34" s="578">
        <v>1</v>
      </c>
      <c r="S34" s="474">
        <f t="shared" si="2"/>
        <v>0</v>
      </c>
      <c r="T34" s="578"/>
      <c r="U34" s="462"/>
      <c r="V34" s="462"/>
      <c r="W34" s="462"/>
      <c r="X34" s="475">
        <f t="shared" si="1"/>
        <v>0</v>
      </c>
      <c r="Y34" s="605"/>
      <c r="Z34" s="461">
        <f t="shared" si="5"/>
        <v>0</v>
      </c>
      <c r="AA34" s="462"/>
      <c r="AB34" s="462"/>
      <c r="AC34" s="462"/>
      <c r="AD34" s="462"/>
      <c r="AE34" s="463">
        <f t="shared" si="6"/>
        <v>0</v>
      </c>
      <c r="AF34" s="322"/>
      <c r="AG34" s="436" t="str">
        <f>VLOOKUP(A34,'Feature Summary'!$A$7:$U$4030,21,FALSE)</f>
        <v>N/A</v>
      </c>
      <c r="AH34" s="324"/>
    </row>
    <row r="35" spans="1:34" ht="60.75" thickBot="1" x14ac:dyDescent="0.3">
      <c r="A35" s="330" t="s">
        <v>413</v>
      </c>
      <c r="B35" s="557" t="s">
        <v>414</v>
      </c>
      <c r="C35" s="558"/>
      <c r="D35" s="559" t="s">
        <v>377</v>
      </c>
      <c r="E35" s="560"/>
      <c r="F35" s="558" t="s">
        <v>415</v>
      </c>
      <c r="G35" s="242" t="e">
        <f>VLOOKUP(A35,'Feature Summary'!$A$7:$C$4030,3,FALSE)</f>
        <v>#N/A</v>
      </c>
      <c r="H35" s="558" t="s">
        <v>416</v>
      </c>
      <c r="I35" s="322" t="s">
        <v>41</v>
      </c>
      <c r="J35" s="322"/>
      <c r="K35" s="577">
        <v>1</v>
      </c>
      <c r="L35" s="578">
        <v>62</v>
      </c>
      <c r="M35" s="596" t="s">
        <v>33</v>
      </c>
      <c r="N35" s="591">
        <v>1</v>
      </c>
      <c r="O35" s="578">
        <v>62</v>
      </c>
      <c r="P35" s="589">
        <f t="shared" si="3"/>
        <v>1</v>
      </c>
      <c r="Q35" s="604" t="s">
        <v>48</v>
      </c>
      <c r="R35" s="578">
        <v>62</v>
      </c>
      <c r="S35" s="474">
        <f t="shared" si="2"/>
        <v>0</v>
      </c>
      <c r="T35" s="578"/>
      <c r="U35" s="462"/>
      <c r="V35" s="462"/>
      <c r="W35" s="462"/>
      <c r="X35" s="475">
        <f t="shared" si="1"/>
        <v>0</v>
      </c>
      <c r="Y35" s="605"/>
      <c r="Z35" s="461">
        <f>SUM(AA35:AD35)</f>
        <v>0</v>
      </c>
      <c r="AA35" s="462"/>
      <c r="AB35" s="462"/>
      <c r="AC35" s="462"/>
      <c r="AD35" s="462"/>
      <c r="AE35" s="463">
        <f t="shared" si="6"/>
        <v>0</v>
      </c>
      <c r="AF35" s="322"/>
      <c r="AG35" s="436" t="e">
        <f>VLOOKUP(A35,'Feature Summary'!$A$7:$U$4030,21,FALSE)</f>
        <v>#N/A</v>
      </c>
      <c r="AH35" s="324"/>
    </row>
    <row r="36" spans="1:34" ht="30" x14ac:dyDescent="0.25">
      <c r="A36" s="330" t="s">
        <v>375</v>
      </c>
      <c r="B36" s="557" t="s">
        <v>417</v>
      </c>
      <c r="C36" s="558"/>
      <c r="D36" s="559" t="s">
        <v>377</v>
      </c>
      <c r="E36" s="560"/>
      <c r="F36" s="558" t="s">
        <v>418</v>
      </c>
      <c r="G36" s="242" t="str">
        <f>VLOOKUP(A36,'Feature Summary'!$A$7:$C$4030,3,FALSE)</f>
        <v>P2</v>
      </c>
      <c r="H36" s="571" t="s">
        <v>419</v>
      </c>
      <c r="I36" s="322" t="s">
        <v>41</v>
      </c>
      <c r="J36" s="322"/>
      <c r="K36" s="577">
        <v>1</v>
      </c>
      <c r="L36" s="578">
        <v>5</v>
      </c>
      <c r="M36" s="596" t="s">
        <v>33</v>
      </c>
      <c r="N36" s="591">
        <v>1</v>
      </c>
      <c r="O36" s="578">
        <v>5</v>
      </c>
      <c r="P36" s="589">
        <f t="shared" si="3"/>
        <v>1</v>
      </c>
      <c r="Q36" s="604" t="s">
        <v>48</v>
      </c>
      <c r="R36" s="578">
        <v>5</v>
      </c>
      <c r="S36" s="472">
        <f t="shared" si="2"/>
        <v>0</v>
      </c>
      <c r="T36" s="578"/>
      <c r="U36" s="462"/>
      <c r="V36" s="462"/>
      <c r="W36" s="462"/>
      <c r="X36" s="475">
        <f t="shared" si="1"/>
        <v>0</v>
      </c>
      <c r="Y36" s="605"/>
      <c r="Z36" s="461">
        <f t="shared" si="5"/>
        <v>0</v>
      </c>
      <c r="AA36" s="462"/>
      <c r="AB36" s="462"/>
      <c r="AC36" s="462"/>
      <c r="AD36" s="462"/>
      <c r="AE36" s="463">
        <f t="shared" si="6"/>
        <v>0</v>
      </c>
      <c r="AF36" s="322"/>
      <c r="AG36" s="436" t="str">
        <f>VLOOKUP(A36,'Feature Summary'!$A$7:$U$4030,21,FALSE)</f>
        <v>wk-1</v>
      </c>
      <c r="AH36" s="324"/>
    </row>
    <row r="37" spans="1:34" ht="30" x14ac:dyDescent="0.25">
      <c r="A37" s="330" t="s">
        <v>375</v>
      </c>
      <c r="B37" s="557" t="s">
        <v>417</v>
      </c>
      <c r="C37" s="558"/>
      <c r="D37" s="559" t="s">
        <v>377</v>
      </c>
      <c r="E37" s="560"/>
      <c r="F37" s="558" t="s">
        <v>420</v>
      </c>
      <c r="G37" s="242" t="str">
        <f>VLOOKUP(A37,'Feature Summary'!$A$7:$C$4030,3,FALSE)</f>
        <v>P2</v>
      </c>
      <c r="H37" s="571" t="s">
        <v>421</v>
      </c>
      <c r="I37" s="322" t="s">
        <v>41</v>
      </c>
      <c r="J37" s="322"/>
      <c r="K37" s="577">
        <v>1</v>
      </c>
      <c r="L37" s="578">
        <v>1</v>
      </c>
      <c r="M37" s="596" t="s">
        <v>33</v>
      </c>
      <c r="N37" s="591">
        <v>1</v>
      </c>
      <c r="O37" s="578">
        <v>1</v>
      </c>
      <c r="P37" s="589">
        <f t="shared" si="3"/>
        <v>1</v>
      </c>
      <c r="Q37" s="604" t="s">
        <v>48</v>
      </c>
      <c r="R37" s="578">
        <v>1</v>
      </c>
      <c r="S37" s="474">
        <f t="shared" si="2"/>
        <v>0</v>
      </c>
      <c r="T37" s="578"/>
      <c r="U37" s="462"/>
      <c r="V37" s="462"/>
      <c r="W37" s="462"/>
      <c r="X37" s="475">
        <f t="shared" si="1"/>
        <v>0</v>
      </c>
      <c r="Y37" s="605"/>
      <c r="Z37" s="461">
        <f t="shared" si="5"/>
        <v>0</v>
      </c>
      <c r="AA37" s="462"/>
      <c r="AB37" s="462"/>
      <c r="AC37" s="462"/>
      <c r="AD37" s="462"/>
      <c r="AE37" s="463">
        <f t="shared" si="6"/>
        <v>0</v>
      </c>
      <c r="AF37" s="322"/>
      <c r="AG37" s="436" t="str">
        <f>VLOOKUP(A37,'Feature Summary'!$A$7:$U$4030,21,FALSE)</f>
        <v>wk-1</v>
      </c>
      <c r="AH37" s="324"/>
    </row>
    <row r="38" spans="1:34" ht="150.75" thickBot="1" x14ac:dyDescent="0.3">
      <c r="A38" s="330" t="s">
        <v>422</v>
      </c>
      <c r="B38" s="557" t="s">
        <v>423</v>
      </c>
      <c r="C38" s="558"/>
      <c r="D38" s="559" t="s">
        <v>377</v>
      </c>
      <c r="E38" s="560"/>
      <c r="F38" s="558" t="s">
        <v>424</v>
      </c>
      <c r="G38" s="242" t="e">
        <f>VLOOKUP(A38,'Feature Summary'!$A$7:$C$4030,3,FALSE)</f>
        <v>#N/A</v>
      </c>
      <c r="H38" s="558" t="s">
        <v>425</v>
      </c>
      <c r="I38" s="322" t="s">
        <v>41</v>
      </c>
      <c r="J38" s="322"/>
      <c r="K38" s="577">
        <v>1</v>
      </c>
      <c r="L38" s="578">
        <v>13</v>
      </c>
      <c r="M38" s="596" t="s">
        <v>33</v>
      </c>
      <c r="N38" s="591">
        <v>1</v>
      </c>
      <c r="O38" s="578">
        <v>13</v>
      </c>
      <c r="P38" s="589">
        <f t="shared" si="3"/>
        <v>1</v>
      </c>
      <c r="Q38" s="604" t="s">
        <v>48</v>
      </c>
      <c r="R38" s="578">
        <v>13</v>
      </c>
      <c r="S38" s="474">
        <f t="shared" si="2"/>
        <v>0</v>
      </c>
      <c r="T38" s="578"/>
      <c r="U38" s="462"/>
      <c r="V38" s="462"/>
      <c r="W38" s="462"/>
      <c r="X38" s="475">
        <f t="shared" si="1"/>
        <v>0</v>
      </c>
      <c r="Y38" s="605"/>
      <c r="Z38" s="461">
        <f t="shared" si="5"/>
        <v>0</v>
      </c>
      <c r="AA38" s="462"/>
      <c r="AB38" s="462"/>
      <c r="AC38" s="462"/>
      <c r="AD38" s="462"/>
      <c r="AE38" s="463">
        <f t="shared" si="6"/>
        <v>0</v>
      </c>
      <c r="AF38" s="611"/>
      <c r="AG38" s="436" t="e">
        <f>VLOOKUP(A38,'Feature Summary'!$A$7:$U$4030,21,FALSE)</f>
        <v>#N/A</v>
      </c>
      <c r="AH38" s="615"/>
    </row>
    <row r="39" spans="1:34" x14ac:dyDescent="0.25">
      <c r="A39" s="330" t="s">
        <v>426</v>
      </c>
      <c r="B39" s="557" t="s">
        <v>427</v>
      </c>
      <c r="C39" s="558"/>
      <c r="D39" s="559" t="s">
        <v>377</v>
      </c>
      <c r="E39" s="560"/>
      <c r="F39" s="558" t="s">
        <v>428</v>
      </c>
      <c r="G39" s="242" t="str">
        <f>VLOOKUP(A39,'Feature Summary'!$A$7:$C$4030,3,FALSE)</f>
        <v>P2</v>
      </c>
      <c r="H39" s="571" t="s">
        <v>429</v>
      </c>
      <c r="I39" s="322" t="s">
        <v>41</v>
      </c>
      <c r="J39" s="322"/>
      <c r="K39" s="577">
        <v>1</v>
      </c>
      <c r="L39" s="578">
        <v>2</v>
      </c>
      <c r="M39" s="596" t="s">
        <v>33</v>
      </c>
      <c r="N39" s="591">
        <v>1</v>
      </c>
      <c r="O39" s="578">
        <v>2</v>
      </c>
      <c r="P39" s="589">
        <f t="shared" si="3"/>
        <v>1</v>
      </c>
      <c r="Q39" s="604" t="s">
        <v>48</v>
      </c>
      <c r="R39" s="578">
        <v>2</v>
      </c>
      <c r="S39" s="472">
        <f t="shared" si="2"/>
        <v>0</v>
      </c>
      <c r="T39" s="578"/>
      <c r="U39" s="462"/>
      <c r="V39" s="462"/>
      <c r="W39" s="462"/>
      <c r="X39" s="475">
        <f t="shared" si="1"/>
        <v>0</v>
      </c>
      <c r="Y39" s="605"/>
      <c r="Z39" s="461">
        <f t="shared" si="5"/>
        <v>0</v>
      </c>
      <c r="AA39" s="462"/>
      <c r="AB39" s="462"/>
      <c r="AC39" s="462"/>
      <c r="AD39" s="462"/>
      <c r="AE39" s="463">
        <f t="shared" si="6"/>
        <v>0</v>
      </c>
      <c r="AF39" s="322"/>
      <c r="AG39" s="436" t="str">
        <f>VLOOKUP(A39,'Feature Summary'!$A$7:$U$4030,21,FALSE)</f>
        <v>wk-2</v>
      </c>
      <c r="AH39" s="324"/>
    </row>
    <row r="40" spans="1:34" ht="30" x14ac:dyDescent="0.25">
      <c r="A40" s="330" t="s">
        <v>430</v>
      </c>
      <c r="B40" s="557" t="s">
        <v>431</v>
      </c>
      <c r="C40" s="558"/>
      <c r="D40" s="559" t="s">
        <v>377</v>
      </c>
      <c r="E40" s="560"/>
      <c r="F40" s="558" t="s">
        <v>432</v>
      </c>
      <c r="G40" s="242" t="str">
        <f>VLOOKUP(A40,'Feature Summary'!$A$7:$C$4030,3,FALSE)</f>
        <v>P2</v>
      </c>
      <c r="H40" s="571" t="s">
        <v>433</v>
      </c>
      <c r="I40" s="322" t="s">
        <v>41</v>
      </c>
      <c r="J40" s="322"/>
      <c r="K40" s="577">
        <v>1</v>
      </c>
      <c r="L40" s="578">
        <v>1</v>
      </c>
      <c r="M40" s="596" t="s">
        <v>33</v>
      </c>
      <c r="N40" s="591">
        <v>1</v>
      </c>
      <c r="O40" s="578">
        <v>1</v>
      </c>
      <c r="P40" s="589">
        <f t="shared" si="3"/>
        <v>1</v>
      </c>
      <c r="Q40" s="604" t="s">
        <v>48</v>
      </c>
      <c r="R40" s="578">
        <v>1</v>
      </c>
      <c r="S40" s="474">
        <f t="shared" si="2"/>
        <v>0</v>
      </c>
      <c r="T40" s="578"/>
      <c r="U40" s="462"/>
      <c r="V40" s="462"/>
      <c r="W40" s="462"/>
      <c r="X40" s="475">
        <f t="shared" si="1"/>
        <v>0</v>
      </c>
      <c r="Y40" s="605"/>
      <c r="Z40" s="461">
        <f t="shared" si="5"/>
        <v>0</v>
      </c>
      <c r="AA40" s="462"/>
      <c r="AB40" s="462"/>
      <c r="AC40" s="462"/>
      <c r="AD40" s="462"/>
      <c r="AE40" s="463">
        <f t="shared" si="6"/>
        <v>0</v>
      </c>
      <c r="AF40" s="322"/>
      <c r="AG40" s="436" t="str">
        <f>VLOOKUP(A40,'Feature Summary'!$A$7:$U$4030,21,FALSE)</f>
        <v>wk-3</v>
      </c>
      <c r="AH40" s="324"/>
    </row>
    <row r="41" spans="1:34" ht="30.75" thickBot="1" x14ac:dyDescent="0.3">
      <c r="A41" s="330" t="s">
        <v>402</v>
      </c>
      <c r="B41" s="557" t="s">
        <v>403</v>
      </c>
      <c r="C41" s="558"/>
      <c r="D41" s="559" t="s">
        <v>377</v>
      </c>
      <c r="E41" s="560"/>
      <c r="F41" s="558" t="s">
        <v>434</v>
      </c>
      <c r="G41" s="242" t="str">
        <f>VLOOKUP(A41,'Feature Summary'!$A$7:$C$4030,3,FALSE)</f>
        <v>P2</v>
      </c>
      <c r="H41" s="571" t="s">
        <v>435</v>
      </c>
      <c r="I41" s="322" t="s">
        <v>41</v>
      </c>
      <c r="J41" s="322"/>
      <c r="K41" s="577">
        <v>1</v>
      </c>
      <c r="L41" s="578">
        <v>4</v>
      </c>
      <c r="M41" s="596" t="s">
        <v>33</v>
      </c>
      <c r="N41" s="591">
        <v>1</v>
      </c>
      <c r="O41" s="578">
        <v>4</v>
      </c>
      <c r="P41" s="589">
        <f t="shared" si="3"/>
        <v>1</v>
      </c>
      <c r="Q41" s="604" t="s">
        <v>48</v>
      </c>
      <c r="R41" s="578">
        <v>4</v>
      </c>
      <c r="S41" s="474">
        <f t="shared" si="2"/>
        <v>0</v>
      </c>
      <c r="T41" s="578"/>
      <c r="U41" s="462"/>
      <c r="V41" s="462"/>
      <c r="W41" s="462"/>
      <c r="X41" s="475">
        <f t="shared" si="1"/>
        <v>0</v>
      </c>
      <c r="Y41" s="605"/>
      <c r="Z41" s="461">
        <f t="shared" si="5"/>
        <v>0</v>
      </c>
      <c r="AA41" s="462"/>
      <c r="AB41" s="462"/>
      <c r="AC41" s="462"/>
      <c r="AD41" s="462"/>
      <c r="AE41" s="463">
        <f t="shared" si="6"/>
        <v>0</v>
      </c>
      <c r="AF41" s="322"/>
      <c r="AG41" s="436" t="str">
        <f>VLOOKUP(A41,'Feature Summary'!$A$7:$U$4030,21,FALSE)</f>
        <v>N/A</v>
      </c>
      <c r="AH41" s="324"/>
    </row>
    <row r="42" spans="1:34" ht="30" x14ac:dyDescent="0.25">
      <c r="A42" s="330" t="s">
        <v>375</v>
      </c>
      <c r="B42" s="557" t="s">
        <v>376</v>
      </c>
      <c r="C42" s="558"/>
      <c r="D42" s="559" t="s">
        <v>377</v>
      </c>
      <c r="E42" s="560"/>
      <c r="F42" s="558" t="s">
        <v>436</v>
      </c>
      <c r="G42" s="242" t="str">
        <f>VLOOKUP(A42,'Feature Summary'!$A$7:$C$4030,3,FALSE)</f>
        <v>P2</v>
      </c>
      <c r="H42" s="571" t="s">
        <v>437</v>
      </c>
      <c r="I42" s="322" t="s">
        <v>41</v>
      </c>
      <c r="J42" s="322"/>
      <c r="K42" s="577">
        <v>1</v>
      </c>
      <c r="L42" s="578">
        <v>4</v>
      </c>
      <c r="M42" s="596" t="s">
        <v>33</v>
      </c>
      <c r="N42" s="591">
        <v>1</v>
      </c>
      <c r="O42" s="578">
        <v>4</v>
      </c>
      <c r="P42" s="589">
        <f t="shared" si="3"/>
        <v>1</v>
      </c>
      <c r="Q42" s="604" t="s">
        <v>48</v>
      </c>
      <c r="R42" s="578">
        <v>4</v>
      </c>
      <c r="S42" s="472">
        <f t="shared" si="2"/>
        <v>0</v>
      </c>
      <c r="T42" s="578"/>
      <c r="U42" s="462"/>
      <c r="V42" s="462"/>
      <c r="W42" s="462"/>
      <c r="X42" s="475">
        <f t="shared" si="1"/>
        <v>0</v>
      </c>
      <c r="Y42" s="605"/>
      <c r="Z42" s="461">
        <f t="shared" si="5"/>
        <v>0</v>
      </c>
      <c r="AA42" s="462"/>
      <c r="AB42" s="462"/>
      <c r="AC42" s="462"/>
      <c r="AD42" s="462"/>
      <c r="AE42" s="463">
        <f t="shared" si="6"/>
        <v>0</v>
      </c>
      <c r="AF42" s="322"/>
      <c r="AG42" s="436" t="str">
        <f>VLOOKUP(A42,'Feature Summary'!$A$7:$U$4030,21,FALSE)</f>
        <v>wk-1</v>
      </c>
      <c r="AH42" s="324"/>
    </row>
    <row r="43" spans="1:34" x14ac:dyDescent="0.25">
      <c r="A43" s="330" t="s">
        <v>380</v>
      </c>
      <c r="B43" s="557" t="s">
        <v>381</v>
      </c>
      <c r="C43" s="558"/>
      <c r="D43" s="559" t="s">
        <v>377</v>
      </c>
      <c r="E43" s="560"/>
      <c r="F43" s="558" t="s">
        <v>438</v>
      </c>
      <c r="G43" s="242" t="str">
        <f>VLOOKUP(A43,'Feature Summary'!$A$7:$C$4030,3,FALSE)</f>
        <v>P2</v>
      </c>
      <c r="H43" s="571" t="s">
        <v>439</v>
      </c>
      <c r="I43" s="322" t="s">
        <v>41</v>
      </c>
      <c r="J43" s="322"/>
      <c r="K43" s="577">
        <v>1</v>
      </c>
      <c r="L43" s="578">
        <v>4</v>
      </c>
      <c r="M43" s="596" t="s">
        <v>33</v>
      </c>
      <c r="N43" s="591">
        <v>1</v>
      </c>
      <c r="O43" s="578">
        <v>4</v>
      </c>
      <c r="P43" s="589">
        <f t="shared" si="3"/>
        <v>1</v>
      </c>
      <c r="Q43" s="604" t="s">
        <v>48</v>
      </c>
      <c r="R43" s="578">
        <v>4</v>
      </c>
      <c r="S43" s="474">
        <f t="shared" si="2"/>
        <v>0</v>
      </c>
      <c r="T43" s="578"/>
      <c r="U43" s="462"/>
      <c r="V43" s="462"/>
      <c r="W43" s="462"/>
      <c r="X43" s="475">
        <f t="shared" si="1"/>
        <v>0</v>
      </c>
      <c r="Y43" s="605"/>
      <c r="Z43" s="461">
        <f t="shared" si="5"/>
        <v>0</v>
      </c>
      <c r="AA43" s="462"/>
      <c r="AB43" s="462"/>
      <c r="AC43" s="462"/>
      <c r="AD43" s="462"/>
      <c r="AE43" s="463">
        <f t="shared" si="6"/>
        <v>0</v>
      </c>
      <c r="AF43" s="322"/>
      <c r="AG43" s="436" t="str">
        <f>VLOOKUP(A43,'Feature Summary'!$A$7:$U$4030,21,FALSE)</f>
        <v>wk-5</v>
      </c>
      <c r="AH43" s="324"/>
    </row>
    <row r="44" spans="1:34" ht="15.75" thickBot="1" x14ac:dyDescent="0.3">
      <c r="A44" s="330" t="s">
        <v>380</v>
      </c>
      <c r="B44" s="557" t="s">
        <v>381</v>
      </c>
      <c r="C44" s="558"/>
      <c r="D44" s="559" t="s">
        <v>377</v>
      </c>
      <c r="E44" s="560"/>
      <c r="F44" s="558" t="s">
        <v>440</v>
      </c>
      <c r="G44" s="242" t="str">
        <f>VLOOKUP(A44,'Feature Summary'!$A$7:$C$4030,3,FALSE)</f>
        <v>P2</v>
      </c>
      <c r="H44" s="571" t="s">
        <v>441</v>
      </c>
      <c r="I44" s="322" t="s">
        <v>41</v>
      </c>
      <c r="J44" s="322"/>
      <c r="K44" s="577">
        <v>1</v>
      </c>
      <c r="L44" s="578">
        <v>8</v>
      </c>
      <c r="M44" s="596" t="s">
        <v>33</v>
      </c>
      <c r="N44" s="591">
        <v>1</v>
      </c>
      <c r="O44" s="578">
        <v>8</v>
      </c>
      <c r="P44" s="589">
        <f t="shared" si="3"/>
        <v>1</v>
      </c>
      <c r="Q44" s="604" t="s">
        <v>48</v>
      </c>
      <c r="R44" s="578">
        <v>8</v>
      </c>
      <c r="S44" s="474">
        <f t="shared" si="2"/>
        <v>0</v>
      </c>
      <c r="T44" s="578"/>
      <c r="U44" s="462"/>
      <c r="V44" s="462"/>
      <c r="W44" s="462"/>
      <c r="X44" s="475">
        <f t="shared" si="1"/>
        <v>0</v>
      </c>
      <c r="Y44" s="605"/>
      <c r="Z44" s="461">
        <f t="shared" si="5"/>
        <v>0</v>
      </c>
      <c r="AA44" s="462"/>
      <c r="AB44" s="462"/>
      <c r="AC44" s="462"/>
      <c r="AD44" s="462"/>
      <c r="AE44" s="463">
        <f t="shared" si="6"/>
        <v>0</v>
      </c>
      <c r="AF44" s="322"/>
      <c r="AG44" s="436" t="str">
        <f>VLOOKUP(A44,'Feature Summary'!$A$7:$U$4030,21,FALSE)</f>
        <v>wk-5</v>
      </c>
      <c r="AH44" s="324"/>
    </row>
    <row r="45" spans="1:34" x14ac:dyDescent="0.25">
      <c r="A45" s="330" t="s">
        <v>380</v>
      </c>
      <c r="B45" s="557" t="s">
        <v>381</v>
      </c>
      <c r="C45" s="558"/>
      <c r="D45" s="559" t="s">
        <v>377</v>
      </c>
      <c r="E45" s="560"/>
      <c r="F45" s="558" t="s">
        <v>442</v>
      </c>
      <c r="G45" s="242" t="str">
        <f>VLOOKUP(A45,'Feature Summary'!$A$7:$C$4030,3,FALSE)</f>
        <v>P2</v>
      </c>
      <c r="H45" s="571" t="s">
        <v>443</v>
      </c>
      <c r="I45" s="322" t="s">
        <v>41</v>
      </c>
      <c r="J45" s="322"/>
      <c r="K45" s="577">
        <v>1</v>
      </c>
      <c r="L45" s="578">
        <v>4</v>
      </c>
      <c r="M45" s="596" t="s">
        <v>33</v>
      </c>
      <c r="N45" s="591">
        <v>1</v>
      </c>
      <c r="O45" s="578">
        <v>4</v>
      </c>
      <c r="P45" s="589">
        <f t="shared" si="3"/>
        <v>1</v>
      </c>
      <c r="Q45" s="604" t="s">
        <v>48</v>
      </c>
      <c r="R45" s="578">
        <v>4</v>
      </c>
      <c r="S45" s="472">
        <f t="shared" si="2"/>
        <v>0</v>
      </c>
      <c r="T45" s="578"/>
      <c r="U45" s="462"/>
      <c r="V45" s="462"/>
      <c r="W45" s="462"/>
      <c r="X45" s="475">
        <f t="shared" si="1"/>
        <v>0</v>
      </c>
      <c r="Y45" s="605"/>
      <c r="Z45" s="461">
        <f t="shared" si="5"/>
        <v>0</v>
      </c>
      <c r="AA45" s="462"/>
      <c r="AB45" s="462"/>
      <c r="AC45" s="462"/>
      <c r="AD45" s="462"/>
      <c r="AE45" s="463">
        <f t="shared" si="6"/>
        <v>0</v>
      </c>
      <c r="AF45" s="322"/>
      <c r="AG45" s="436" t="str">
        <f>VLOOKUP(A45,'Feature Summary'!$A$7:$U$4030,21,FALSE)</f>
        <v>wk-5</v>
      </c>
      <c r="AH45" s="324"/>
    </row>
    <row r="46" spans="1:34" ht="30" x14ac:dyDescent="0.25">
      <c r="A46" s="330" t="s">
        <v>444</v>
      </c>
      <c r="B46" s="557" t="s">
        <v>445</v>
      </c>
      <c r="C46" s="558"/>
      <c r="D46" s="559" t="s">
        <v>377</v>
      </c>
      <c r="E46" s="560"/>
      <c r="F46" s="558" t="s">
        <v>446</v>
      </c>
      <c r="G46" s="242" t="str">
        <f>VLOOKUP(A46,'Feature Summary'!$A$7:$C$4030,3,FALSE)</f>
        <v>P2</v>
      </c>
      <c r="H46" s="571" t="s">
        <v>447</v>
      </c>
      <c r="I46" s="322" t="s">
        <v>41</v>
      </c>
      <c r="J46" s="322"/>
      <c r="K46" s="577">
        <v>1</v>
      </c>
      <c r="L46" s="578">
        <v>1</v>
      </c>
      <c r="M46" s="596" t="s">
        <v>33</v>
      </c>
      <c r="N46" s="591">
        <v>1</v>
      </c>
      <c r="O46" s="578">
        <v>1</v>
      </c>
      <c r="P46" s="589">
        <f t="shared" si="3"/>
        <v>1</v>
      </c>
      <c r="Q46" s="604" t="s">
        <v>48</v>
      </c>
      <c r="R46" s="578">
        <v>1</v>
      </c>
      <c r="S46" s="474">
        <f t="shared" si="2"/>
        <v>0</v>
      </c>
      <c r="T46" s="578"/>
      <c r="U46" s="462"/>
      <c r="V46" s="462"/>
      <c r="W46" s="462"/>
      <c r="X46" s="475">
        <f t="shared" si="1"/>
        <v>0</v>
      </c>
      <c r="Y46" s="605"/>
      <c r="Z46" s="461">
        <f t="shared" si="5"/>
        <v>0</v>
      </c>
      <c r="AA46" s="462"/>
      <c r="AB46" s="462"/>
      <c r="AC46" s="462"/>
      <c r="AD46" s="462"/>
      <c r="AE46" s="463">
        <f t="shared" si="6"/>
        <v>0</v>
      </c>
      <c r="AF46" s="322"/>
      <c r="AG46" s="436" t="str">
        <f>VLOOKUP(A46,'Feature Summary'!$A$7:$U$4030,21,FALSE)</f>
        <v>W8</v>
      </c>
      <c r="AH46" s="324"/>
    </row>
    <row r="47" spans="1:34" ht="30.75" thickBot="1" x14ac:dyDescent="0.3">
      <c r="A47" s="330" t="s">
        <v>410</v>
      </c>
      <c r="B47" s="557" t="s">
        <v>448</v>
      </c>
      <c r="C47" s="558"/>
      <c r="D47" s="559" t="s">
        <v>377</v>
      </c>
      <c r="E47" s="560"/>
      <c r="F47" s="558" t="s">
        <v>449</v>
      </c>
      <c r="G47" s="242" t="str">
        <f>VLOOKUP(A47,'Feature Summary'!$A$7:$C$4030,3,FALSE)</f>
        <v>P2</v>
      </c>
      <c r="H47" s="571" t="s">
        <v>450</v>
      </c>
      <c r="I47" s="322" t="s">
        <v>41</v>
      </c>
      <c r="J47" s="322"/>
      <c r="K47" s="577">
        <v>1</v>
      </c>
      <c r="L47" s="578">
        <v>5</v>
      </c>
      <c r="M47" s="596" t="s">
        <v>33</v>
      </c>
      <c r="N47" s="591">
        <v>1</v>
      </c>
      <c r="O47" s="578">
        <v>5</v>
      </c>
      <c r="P47" s="589">
        <f t="shared" si="3"/>
        <v>1</v>
      </c>
      <c r="Q47" s="604" t="s">
        <v>48</v>
      </c>
      <c r="R47" s="578">
        <v>5</v>
      </c>
      <c r="S47" s="474">
        <f t="shared" si="2"/>
        <v>0</v>
      </c>
      <c r="T47" s="578"/>
      <c r="U47" s="462"/>
      <c r="V47" s="462"/>
      <c r="W47" s="462"/>
      <c r="X47" s="475">
        <f t="shared" si="1"/>
        <v>0</v>
      </c>
      <c r="Y47" s="605"/>
      <c r="Z47" s="461">
        <f t="shared" si="5"/>
        <v>0</v>
      </c>
      <c r="AA47" s="462"/>
      <c r="AB47" s="462"/>
      <c r="AC47" s="462"/>
      <c r="AD47" s="462"/>
      <c r="AE47" s="463">
        <f t="shared" si="6"/>
        <v>0</v>
      </c>
      <c r="AF47" s="611"/>
      <c r="AG47" s="436" t="str">
        <f>VLOOKUP(A47,'Feature Summary'!$A$7:$U$4030,21,FALSE)</f>
        <v>N/A</v>
      </c>
      <c r="AH47" s="615"/>
    </row>
    <row r="48" spans="1:34" ht="30" x14ac:dyDescent="0.25">
      <c r="A48" s="330" t="s">
        <v>410</v>
      </c>
      <c r="B48" s="557" t="s">
        <v>448</v>
      </c>
      <c r="C48" s="558"/>
      <c r="D48" s="559" t="s">
        <v>377</v>
      </c>
      <c r="E48" s="560"/>
      <c r="F48" s="558" t="s">
        <v>451</v>
      </c>
      <c r="G48" s="242" t="str">
        <f>VLOOKUP(A48,'Feature Summary'!$A$7:$C$4030,3,FALSE)</f>
        <v>P2</v>
      </c>
      <c r="H48" s="571" t="s">
        <v>452</v>
      </c>
      <c r="I48" s="322" t="s">
        <v>41</v>
      </c>
      <c r="J48" s="322"/>
      <c r="K48" s="577">
        <v>1</v>
      </c>
      <c r="L48" s="578">
        <v>5</v>
      </c>
      <c r="M48" s="596" t="s">
        <v>33</v>
      </c>
      <c r="N48" s="591">
        <v>1</v>
      </c>
      <c r="O48" s="578">
        <v>5</v>
      </c>
      <c r="P48" s="589">
        <f t="shared" si="3"/>
        <v>1</v>
      </c>
      <c r="Q48" s="604" t="s">
        <v>48</v>
      </c>
      <c r="R48" s="578">
        <v>5</v>
      </c>
      <c r="S48" s="472">
        <f t="shared" si="2"/>
        <v>0</v>
      </c>
      <c r="T48" s="578"/>
      <c r="U48" s="462"/>
      <c r="V48" s="462"/>
      <c r="W48" s="462"/>
      <c r="X48" s="475">
        <f t="shared" si="1"/>
        <v>0</v>
      </c>
      <c r="Y48" s="605"/>
      <c r="Z48" s="461">
        <f t="shared" si="5"/>
        <v>0</v>
      </c>
      <c r="AA48" s="462"/>
      <c r="AB48" s="462"/>
      <c r="AC48" s="462"/>
      <c r="AD48" s="462"/>
      <c r="AE48" s="463">
        <f t="shared" si="6"/>
        <v>0</v>
      </c>
      <c r="AF48" s="611"/>
      <c r="AG48" s="436" t="str">
        <f>VLOOKUP(A48,'Feature Summary'!$A$7:$U$4030,21,FALSE)</f>
        <v>N/A</v>
      </c>
      <c r="AH48" s="615"/>
    </row>
    <row r="49" spans="1:34" ht="30" x14ac:dyDescent="0.25">
      <c r="A49" s="330" t="s">
        <v>453</v>
      </c>
      <c r="B49" s="557" t="s">
        <v>454</v>
      </c>
      <c r="C49" s="558"/>
      <c r="D49" s="559" t="s">
        <v>377</v>
      </c>
      <c r="E49" s="560"/>
      <c r="F49" s="558" t="s">
        <v>455</v>
      </c>
      <c r="G49" s="242" t="str">
        <f>VLOOKUP(A49,'Feature Summary'!$A$7:$C$4030,3,FALSE)</f>
        <v>P2</v>
      </c>
      <c r="H49" s="571" t="s">
        <v>456</v>
      </c>
      <c r="I49" s="322" t="s">
        <v>41</v>
      </c>
      <c r="J49" s="322"/>
      <c r="K49" s="577">
        <v>1</v>
      </c>
      <c r="L49" s="578">
        <v>5</v>
      </c>
      <c r="M49" s="596" t="s">
        <v>33</v>
      </c>
      <c r="N49" s="591">
        <v>1</v>
      </c>
      <c r="O49" s="578">
        <v>5</v>
      </c>
      <c r="P49" s="589">
        <f t="shared" si="3"/>
        <v>1</v>
      </c>
      <c r="Q49" s="604" t="s">
        <v>48</v>
      </c>
      <c r="R49" s="578">
        <v>5</v>
      </c>
      <c r="S49" s="474">
        <f t="shared" si="2"/>
        <v>0</v>
      </c>
      <c r="T49" s="578"/>
      <c r="U49" s="462"/>
      <c r="V49" s="462"/>
      <c r="W49" s="462"/>
      <c r="X49" s="475">
        <f t="shared" si="1"/>
        <v>0</v>
      </c>
      <c r="Y49" s="605"/>
      <c r="Z49" s="461">
        <f t="shared" si="5"/>
        <v>0</v>
      </c>
      <c r="AA49" s="462"/>
      <c r="AB49" s="462"/>
      <c r="AC49" s="462"/>
      <c r="AD49" s="462"/>
      <c r="AE49" s="463">
        <f t="shared" si="6"/>
        <v>0</v>
      </c>
      <c r="AF49" s="611"/>
      <c r="AG49" s="436" t="str">
        <f>VLOOKUP(A49,'Feature Summary'!$A$7:$U$4030,21,FALSE)</f>
        <v>W8</v>
      </c>
      <c r="AH49" s="615"/>
    </row>
    <row r="50" spans="1:34" ht="30.75" thickBot="1" x14ac:dyDescent="0.3">
      <c r="A50" s="330" t="s">
        <v>453</v>
      </c>
      <c r="B50" s="557" t="s">
        <v>454</v>
      </c>
      <c r="C50" s="558"/>
      <c r="D50" s="559" t="s">
        <v>377</v>
      </c>
      <c r="E50" s="560"/>
      <c r="F50" s="558" t="s">
        <v>457</v>
      </c>
      <c r="G50" s="242" t="str">
        <f>VLOOKUP(A50,'Feature Summary'!$A$7:$C$4030,3,FALSE)</f>
        <v>P2</v>
      </c>
      <c r="H50" s="571" t="s">
        <v>458</v>
      </c>
      <c r="I50" s="322" t="s">
        <v>41</v>
      </c>
      <c r="J50" s="322"/>
      <c r="K50" s="577">
        <v>1</v>
      </c>
      <c r="L50" s="578">
        <v>5</v>
      </c>
      <c r="M50" s="596" t="s">
        <v>33</v>
      </c>
      <c r="N50" s="591">
        <v>1</v>
      </c>
      <c r="O50" s="578">
        <v>5</v>
      </c>
      <c r="P50" s="589">
        <f t="shared" si="3"/>
        <v>1</v>
      </c>
      <c r="Q50" s="604" t="s">
        <v>48</v>
      </c>
      <c r="R50" s="578">
        <v>5</v>
      </c>
      <c r="S50" s="474">
        <f t="shared" si="2"/>
        <v>0</v>
      </c>
      <c r="T50" s="578"/>
      <c r="U50" s="462"/>
      <c r="V50" s="462"/>
      <c r="W50" s="462"/>
      <c r="X50" s="475">
        <f t="shared" si="1"/>
        <v>0</v>
      </c>
      <c r="Y50" s="605"/>
      <c r="Z50" s="461">
        <f t="shared" si="5"/>
        <v>0</v>
      </c>
      <c r="AA50" s="462"/>
      <c r="AB50" s="462"/>
      <c r="AC50" s="462"/>
      <c r="AD50" s="462"/>
      <c r="AE50" s="463">
        <f t="shared" si="6"/>
        <v>0</v>
      </c>
      <c r="AF50" s="611"/>
      <c r="AG50" s="436" t="str">
        <f>VLOOKUP(A50,'Feature Summary'!$A$7:$U$4030,21,FALSE)</f>
        <v>W8</v>
      </c>
      <c r="AH50" s="615"/>
    </row>
    <row r="51" spans="1:34" ht="30" x14ac:dyDescent="0.25">
      <c r="A51" s="330" t="s">
        <v>459</v>
      </c>
      <c r="B51" s="557" t="s">
        <v>460</v>
      </c>
      <c r="C51" s="558"/>
      <c r="D51" s="559" t="s">
        <v>377</v>
      </c>
      <c r="E51" s="560"/>
      <c r="F51" s="558" t="s">
        <v>461</v>
      </c>
      <c r="G51" s="242" t="str">
        <f>VLOOKUP(A51,'Feature Summary'!$A$7:$C$4030,3,FALSE)</f>
        <v>P2</v>
      </c>
      <c r="H51" s="571" t="s">
        <v>462</v>
      </c>
      <c r="I51" s="322" t="s">
        <v>41</v>
      </c>
      <c r="J51" s="322"/>
      <c r="K51" s="577">
        <v>1</v>
      </c>
      <c r="L51" s="578">
        <v>7</v>
      </c>
      <c r="M51" s="596" t="s">
        <v>33</v>
      </c>
      <c r="N51" s="591">
        <v>1</v>
      </c>
      <c r="O51" s="578">
        <v>7</v>
      </c>
      <c r="P51" s="589">
        <f t="shared" si="3"/>
        <v>1</v>
      </c>
      <c r="Q51" s="604" t="s">
        <v>48</v>
      </c>
      <c r="R51" s="578">
        <v>7</v>
      </c>
      <c r="S51" s="472">
        <f t="shared" si="2"/>
        <v>0</v>
      </c>
      <c r="T51" s="578"/>
      <c r="U51" s="462"/>
      <c r="V51" s="462"/>
      <c r="W51" s="462"/>
      <c r="X51" s="475">
        <f t="shared" si="1"/>
        <v>0</v>
      </c>
      <c r="Y51" s="605"/>
      <c r="Z51" s="461">
        <f t="shared" si="5"/>
        <v>0</v>
      </c>
      <c r="AA51" s="462"/>
      <c r="AB51" s="462"/>
      <c r="AC51" s="462"/>
      <c r="AD51" s="462"/>
      <c r="AE51" s="463">
        <f t="shared" si="6"/>
        <v>0</v>
      </c>
      <c r="AF51" s="322"/>
      <c r="AG51" s="436" t="str">
        <f>VLOOKUP(A51,'Feature Summary'!$A$7:$U$4030,21,FALSE)</f>
        <v>wk-3</v>
      </c>
      <c r="AH51" s="324"/>
    </row>
    <row r="52" spans="1:34" ht="60" x14ac:dyDescent="0.25">
      <c r="A52" s="330" t="s">
        <v>463</v>
      </c>
      <c r="B52" s="557" t="s">
        <v>464</v>
      </c>
      <c r="C52" s="558"/>
      <c r="D52" s="559" t="s">
        <v>377</v>
      </c>
      <c r="E52" s="560"/>
      <c r="F52" s="558" t="s">
        <v>465</v>
      </c>
      <c r="G52" s="242" t="e">
        <f>VLOOKUP(A52,'Feature Summary'!$A$7:$C$4030,3,FALSE)</f>
        <v>#N/A</v>
      </c>
      <c r="H52" s="571" t="s">
        <v>466</v>
      </c>
      <c r="I52" s="322" t="s">
        <v>41</v>
      </c>
      <c r="J52" s="322"/>
      <c r="K52" s="577">
        <v>1</v>
      </c>
      <c r="L52" s="578">
        <v>2</v>
      </c>
      <c r="M52" s="596" t="s">
        <v>33</v>
      </c>
      <c r="N52" s="591">
        <v>1</v>
      </c>
      <c r="O52" s="578">
        <v>2</v>
      </c>
      <c r="P52" s="589">
        <f t="shared" si="3"/>
        <v>1</v>
      </c>
      <c r="Q52" s="604" t="s">
        <v>48</v>
      </c>
      <c r="R52" s="578">
        <v>2</v>
      </c>
      <c r="S52" s="474">
        <f t="shared" si="2"/>
        <v>0</v>
      </c>
      <c r="T52" s="578"/>
      <c r="U52" s="462"/>
      <c r="V52" s="462"/>
      <c r="W52" s="462"/>
      <c r="X52" s="475">
        <f t="shared" si="1"/>
        <v>0</v>
      </c>
      <c r="Y52" s="605"/>
      <c r="Z52" s="461">
        <f t="shared" si="5"/>
        <v>0</v>
      </c>
      <c r="AA52" s="462"/>
      <c r="AB52" s="462"/>
      <c r="AC52" s="462"/>
      <c r="AD52" s="462"/>
      <c r="AE52" s="463">
        <f t="shared" si="6"/>
        <v>0</v>
      </c>
      <c r="AF52" s="611"/>
      <c r="AG52" s="436" t="e">
        <f>VLOOKUP(A52,'Feature Summary'!$A$7:$U$4030,21,FALSE)</f>
        <v>#N/A</v>
      </c>
      <c r="AH52" s="615"/>
    </row>
    <row r="53" spans="1:34" ht="30.75" thickBot="1" x14ac:dyDescent="0.3">
      <c r="A53" s="330" t="s">
        <v>467</v>
      </c>
      <c r="B53" s="557" t="s">
        <v>468</v>
      </c>
      <c r="C53" s="558"/>
      <c r="D53" s="559" t="s">
        <v>377</v>
      </c>
      <c r="E53" s="560"/>
      <c r="F53" s="558" t="s">
        <v>469</v>
      </c>
      <c r="G53" s="242" t="str">
        <f>VLOOKUP(A53,'Feature Summary'!$A$7:$C$4030,3,FALSE)</f>
        <v>P2</v>
      </c>
      <c r="H53" s="571" t="s">
        <v>470</v>
      </c>
      <c r="I53" s="322" t="s">
        <v>41</v>
      </c>
      <c r="J53" s="322"/>
      <c r="K53" s="577">
        <v>1</v>
      </c>
      <c r="L53" s="578">
        <v>16</v>
      </c>
      <c r="M53" s="596" t="s">
        <v>33</v>
      </c>
      <c r="N53" s="591">
        <v>1</v>
      </c>
      <c r="O53" s="578">
        <v>16</v>
      </c>
      <c r="P53" s="589">
        <f t="shared" si="3"/>
        <v>1</v>
      </c>
      <c r="Q53" s="604" t="s">
        <v>48</v>
      </c>
      <c r="R53" s="578">
        <v>16</v>
      </c>
      <c r="S53" s="474">
        <f t="shared" si="2"/>
        <v>0</v>
      </c>
      <c r="T53" s="578"/>
      <c r="U53" s="462"/>
      <c r="V53" s="462"/>
      <c r="W53" s="462"/>
      <c r="X53" s="475">
        <f t="shared" si="1"/>
        <v>0</v>
      </c>
      <c r="Y53" s="605"/>
      <c r="Z53" s="461">
        <f t="shared" si="5"/>
        <v>0</v>
      </c>
      <c r="AA53" s="462"/>
      <c r="AB53" s="462"/>
      <c r="AC53" s="462"/>
      <c r="AD53" s="462"/>
      <c r="AE53" s="463">
        <f t="shared" si="6"/>
        <v>0</v>
      </c>
      <c r="AF53" s="322"/>
      <c r="AG53" s="436" t="str">
        <f>VLOOKUP(A53,'Feature Summary'!$A$7:$U$4030,21,FALSE)</f>
        <v>W8</v>
      </c>
      <c r="AH53" s="324"/>
    </row>
    <row r="54" spans="1:34" ht="90" x14ac:dyDescent="0.25">
      <c r="A54" s="330" t="s">
        <v>471</v>
      </c>
      <c r="B54" s="557" t="s">
        <v>472</v>
      </c>
      <c r="C54" s="558"/>
      <c r="D54" s="559" t="s">
        <v>473</v>
      </c>
      <c r="E54" s="560"/>
      <c r="F54" s="558" t="s">
        <v>474</v>
      </c>
      <c r="G54" s="242" t="e">
        <f>VLOOKUP(A54,'Feature Summary'!$A$7:$C$4030,3,FALSE)</f>
        <v>#N/A</v>
      </c>
      <c r="H54" s="558" t="s">
        <v>475</v>
      </c>
      <c r="I54" s="322" t="s">
        <v>35</v>
      </c>
      <c r="J54" s="322"/>
      <c r="K54" s="577">
        <v>1</v>
      </c>
      <c r="L54" s="578">
        <v>5</v>
      </c>
      <c r="M54" s="596" t="s">
        <v>33</v>
      </c>
      <c r="N54" s="591">
        <v>1</v>
      </c>
      <c r="O54" s="578">
        <v>5</v>
      </c>
      <c r="P54" s="589">
        <f t="shared" si="3"/>
        <v>1</v>
      </c>
      <c r="Q54" s="604" t="s">
        <v>48</v>
      </c>
      <c r="R54" s="578">
        <v>5</v>
      </c>
      <c r="S54" s="472">
        <f t="shared" si="2"/>
        <v>0</v>
      </c>
      <c r="T54" s="578"/>
      <c r="U54" s="462"/>
      <c r="V54" s="462"/>
      <c r="W54" s="462"/>
      <c r="X54" s="475">
        <f t="shared" si="1"/>
        <v>0</v>
      </c>
      <c r="Y54" s="605"/>
      <c r="Z54" s="461">
        <f t="shared" si="5"/>
        <v>0</v>
      </c>
      <c r="AA54" s="462"/>
      <c r="AB54" s="462"/>
      <c r="AC54" s="462"/>
      <c r="AD54" s="462"/>
      <c r="AE54" s="463">
        <f t="shared" si="6"/>
        <v>0</v>
      </c>
      <c r="AF54" s="611"/>
      <c r="AG54" s="436" t="e">
        <f>VLOOKUP(A54,'Feature Summary'!$A$7:$U$4030,21,FALSE)</f>
        <v>#N/A</v>
      </c>
      <c r="AH54" s="615"/>
    </row>
    <row r="55" spans="1:34" ht="30" x14ac:dyDescent="0.25">
      <c r="A55" s="330" t="s">
        <v>476</v>
      </c>
      <c r="B55" s="557" t="s">
        <v>477</v>
      </c>
      <c r="C55" s="558"/>
      <c r="D55" s="559" t="s">
        <v>473</v>
      </c>
      <c r="E55" s="560"/>
      <c r="F55" s="558" t="s">
        <v>478</v>
      </c>
      <c r="G55" s="242" t="str">
        <f>VLOOKUP(A55,'Feature Summary'!$A$7:$C$4030,3,FALSE)</f>
        <v>P2</v>
      </c>
      <c r="H55" s="571" t="s">
        <v>479</v>
      </c>
      <c r="I55" s="322" t="s">
        <v>41</v>
      </c>
      <c r="J55" s="322"/>
      <c r="K55" s="577">
        <v>1</v>
      </c>
      <c r="L55" s="578">
        <v>1</v>
      </c>
      <c r="M55" s="596" t="s">
        <v>33</v>
      </c>
      <c r="N55" s="591">
        <v>1</v>
      </c>
      <c r="O55" s="578">
        <v>1</v>
      </c>
      <c r="P55" s="589">
        <f t="shared" si="3"/>
        <v>1</v>
      </c>
      <c r="Q55" s="604" t="s">
        <v>48</v>
      </c>
      <c r="R55" s="578">
        <v>1</v>
      </c>
      <c r="S55" s="474">
        <f t="shared" si="2"/>
        <v>0</v>
      </c>
      <c r="T55" s="578"/>
      <c r="U55" s="462"/>
      <c r="V55" s="462"/>
      <c r="W55" s="462"/>
      <c r="X55" s="475">
        <f t="shared" si="1"/>
        <v>0</v>
      </c>
      <c r="Y55" s="605"/>
      <c r="Z55" s="461">
        <f t="shared" si="5"/>
        <v>0</v>
      </c>
      <c r="AA55" s="462"/>
      <c r="AB55" s="462"/>
      <c r="AC55" s="462"/>
      <c r="AD55" s="462"/>
      <c r="AE55" s="463">
        <f t="shared" si="6"/>
        <v>0</v>
      </c>
      <c r="AF55" s="322"/>
      <c r="AG55" s="436" t="str">
        <f>VLOOKUP(A55,'Feature Summary'!$A$7:$U$4030,21,FALSE)</f>
        <v>wk-2</v>
      </c>
      <c r="AH55" s="324"/>
    </row>
    <row r="56" spans="1:34" ht="60.75" thickBot="1" x14ac:dyDescent="0.3">
      <c r="A56" s="330" t="s">
        <v>480</v>
      </c>
      <c r="B56" s="557" t="s">
        <v>481</v>
      </c>
      <c r="C56" s="558"/>
      <c r="D56" s="559" t="s">
        <v>473</v>
      </c>
      <c r="E56" s="560"/>
      <c r="F56" s="558" t="s">
        <v>482</v>
      </c>
      <c r="G56" s="242" t="e">
        <f>VLOOKUP(A56,'Feature Summary'!$A$7:$C$4030,3,FALSE)</f>
        <v>#N/A</v>
      </c>
      <c r="H56" s="558" t="s">
        <v>483</v>
      </c>
      <c r="I56" s="322" t="s">
        <v>41</v>
      </c>
      <c r="J56" s="322"/>
      <c r="K56" s="577">
        <v>1</v>
      </c>
      <c r="L56" s="578">
        <v>4</v>
      </c>
      <c r="M56" s="596" t="s">
        <v>33</v>
      </c>
      <c r="N56" s="591">
        <v>1</v>
      </c>
      <c r="O56" s="578">
        <v>4</v>
      </c>
      <c r="P56" s="589">
        <f t="shared" si="3"/>
        <v>1</v>
      </c>
      <c r="Q56" s="604" t="s">
        <v>48</v>
      </c>
      <c r="R56" s="578">
        <v>4</v>
      </c>
      <c r="S56" s="474">
        <f t="shared" si="2"/>
        <v>0</v>
      </c>
      <c r="T56" s="578"/>
      <c r="U56" s="462"/>
      <c r="V56" s="462"/>
      <c r="W56" s="462"/>
      <c r="X56" s="475">
        <f t="shared" si="1"/>
        <v>0</v>
      </c>
      <c r="Y56" s="605"/>
      <c r="Z56" s="461">
        <f t="shared" si="5"/>
        <v>0</v>
      </c>
      <c r="AA56" s="462"/>
      <c r="AB56" s="462"/>
      <c r="AC56" s="462"/>
      <c r="AD56" s="462"/>
      <c r="AE56" s="463">
        <f t="shared" si="6"/>
        <v>0</v>
      </c>
      <c r="AF56" s="322"/>
      <c r="AG56" s="436" t="e">
        <f>VLOOKUP(A56,'Feature Summary'!$A$7:$U$4030,21,FALSE)</f>
        <v>#N/A</v>
      </c>
      <c r="AH56" s="324"/>
    </row>
    <row r="57" spans="1:34" ht="30" x14ac:dyDescent="0.25">
      <c r="A57" s="330" t="s">
        <v>484</v>
      </c>
      <c r="B57" s="557" t="s">
        <v>485</v>
      </c>
      <c r="C57" s="558"/>
      <c r="D57" s="559" t="s">
        <v>473</v>
      </c>
      <c r="E57" s="560"/>
      <c r="F57" s="558" t="s">
        <v>486</v>
      </c>
      <c r="G57" s="242" t="str">
        <f>VLOOKUP(A57,'Feature Summary'!$A$7:$C$4030,3,FALSE)</f>
        <v>P2</v>
      </c>
      <c r="H57" s="571" t="s">
        <v>487</v>
      </c>
      <c r="I57" s="322" t="s">
        <v>41</v>
      </c>
      <c r="J57" s="322"/>
      <c r="K57" s="577">
        <v>1</v>
      </c>
      <c r="L57" s="578">
        <v>4</v>
      </c>
      <c r="M57" s="596" t="s">
        <v>33</v>
      </c>
      <c r="N57" s="591">
        <v>1</v>
      </c>
      <c r="O57" s="578">
        <v>4</v>
      </c>
      <c r="P57" s="589">
        <f t="shared" si="3"/>
        <v>1</v>
      </c>
      <c r="Q57" s="604" t="s">
        <v>48</v>
      </c>
      <c r="R57" s="578">
        <v>4</v>
      </c>
      <c r="S57" s="472">
        <f t="shared" si="2"/>
        <v>0</v>
      </c>
      <c r="T57" s="578"/>
      <c r="U57" s="462"/>
      <c r="V57" s="462"/>
      <c r="W57" s="462"/>
      <c r="X57" s="475">
        <f t="shared" si="1"/>
        <v>0</v>
      </c>
      <c r="Y57" s="605"/>
      <c r="Z57" s="461">
        <f t="shared" si="5"/>
        <v>0</v>
      </c>
      <c r="AA57" s="462"/>
      <c r="AB57" s="462"/>
      <c r="AC57" s="462"/>
      <c r="AD57" s="462"/>
      <c r="AE57" s="463">
        <f t="shared" si="6"/>
        <v>0</v>
      </c>
      <c r="AF57" s="322"/>
      <c r="AG57" s="436" t="str">
        <f>VLOOKUP(A57,'Feature Summary'!$A$7:$U$4030,21,FALSE)</f>
        <v>wk-3</v>
      </c>
      <c r="AH57" s="324"/>
    </row>
    <row r="58" spans="1:34" ht="30" x14ac:dyDescent="0.25">
      <c r="A58" s="330" t="s">
        <v>488</v>
      </c>
      <c r="B58" s="557" t="s">
        <v>489</v>
      </c>
      <c r="C58" s="558"/>
      <c r="D58" s="559" t="s">
        <v>473</v>
      </c>
      <c r="E58" s="560"/>
      <c r="F58" s="558" t="s">
        <v>490</v>
      </c>
      <c r="G58" s="242" t="str">
        <f>VLOOKUP(A58,'Feature Summary'!$A$7:$C$4030,3,FALSE)</f>
        <v>P2</v>
      </c>
      <c r="H58" s="571" t="s">
        <v>491</v>
      </c>
      <c r="I58" s="322" t="s">
        <v>41</v>
      </c>
      <c r="J58" s="322"/>
      <c r="K58" s="577">
        <v>1</v>
      </c>
      <c r="L58" s="578">
        <v>2</v>
      </c>
      <c r="M58" s="596" t="s">
        <v>33</v>
      </c>
      <c r="N58" s="591">
        <v>1</v>
      </c>
      <c r="O58" s="578">
        <v>2</v>
      </c>
      <c r="P58" s="589">
        <f t="shared" si="3"/>
        <v>1</v>
      </c>
      <c r="Q58" s="604" t="s">
        <v>48</v>
      </c>
      <c r="R58" s="578">
        <v>2</v>
      </c>
      <c r="S58" s="474">
        <f t="shared" si="2"/>
        <v>0</v>
      </c>
      <c r="T58" s="578"/>
      <c r="U58" s="462"/>
      <c r="V58" s="462"/>
      <c r="W58" s="462"/>
      <c r="X58" s="475">
        <f t="shared" si="1"/>
        <v>0</v>
      </c>
      <c r="Y58" s="605"/>
      <c r="Z58" s="461">
        <f t="shared" si="5"/>
        <v>0</v>
      </c>
      <c r="AA58" s="462"/>
      <c r="AB58" s="462"/>
      <c r="AC58" s="462"/>
      <c r="AD58" s="462"/>
      <c r="AE58" s="463">
        <f t="shared" si="6"/>
        <v>0</v>
      </c>
      <c r="AF58" s="322"/>
      <c r="AG58" s="436" t="str">
        <f>VLOOKUP(A58,'Feature Summary'!$A$7:$U$4030,21,FALSE)</f>
        <v>wk-2</v>
      </c>
      <c r="AH58" s="324"/>
    </row>
    <row r="59" spans="1:34" ht="15.75" thickBot="1" x14ac:dyDescent="0.3">
      <c r="A59" s="330" t="s">
        <v>492</v>
      </c>
      <c r="B59" s="557" t="s">
        <v>493</v>
      </c>
      <c r="C59" s="558"/>
      <c r="D59" s="559" t="s">
        <v>473</v>
      </c>
      <c r="E59" s="560"/>
      <c r="F59" s="558" t="s">
        <v>494</v>
      </c>
      <c r="G59" s="242" t="str">
        <f>VLOOKUP(A59,'Feature Summary'!$A$7:$C$4030,3,FALSE)</f>
        <v>P2</v>
      </c>
      <c r="H59" s="571" t="s">
        <v>495</v>
      </c>
      <c r="I59" s="322" t="s">
        <v>41</v>
      </c>
      <c r="J59" s="322"/>
      <c r="K59" s="577">
        <v>1</v>
      </c>
      <c r="L59" s="578">
        <v>3</v>
      </c>
      <c r="M59" s="596" t="s">
        <v>33</v>
      </c>
      <c r="N59" s="591">
        <v>1</v>
      </c>
      <c r="O59" s="578">
        <v>3</v>
      </c>
      <c r="P59" s="589">
        <f t="shared" si="3"/>
        <v>1</v>
      </c>
      <c r="Q59" s="604" t="s">
        <v>48</v>
      </c>
      <c r="R59" s="578">
        <v>3</v>
      </c>
      <c r="S59" s="474">
        <f t="shared" si="2"/>
        <v>0</v>
      </c>
      <c r="T59" s="578"/>
      <c r="U59" s="462"/>
      <c r="V59" s="462"/>
      <c r="W59" s="462"/>
      <c r="X59" s="475">
        <f t="shared" si="1"/>
        <v>0</v>
      </c>
      <c r="Y59" s="605"/>
      <c r="Z59" s="461">
        <f t="shared" si="5"/>
        <v>0</v>
      </c>
      <c r="AA59" s="462"/>
      <c r="AB59" s="462"/>
      <c r="AC59" s="462"/>
      <c r="AD59" s="462"/>
      <c r="AE59" s="463">
        <f t="shared" si="6"/>
        <v>0</v>
      </c>
      <c r="AF59" s="322"/>
      <c r="AG59" s="436" t="str">
        <f>VLOOKUP(A59,'Feature Summary'!$A$7:$U$4030,21,FALSE)</f>
        <v>W8</v>
      </c>
      <c r="AH59" s="324"/>
    </row>
    <row r="60" spans="1:34" ht="30" x14ac:dyDescent="0.25">
      <c r="A60" s="330" t="s">
        <v>496</v>
      </c>
      <c r="B60" s="557" t="s">
        <v>497</v>
      </c>
      <c r="C60" s="558"/>
      <c r="D60" s="559" t="s">
        <v>473</v>
      </c>
      <c r="E60" s="560"/>
      <c r="F60" s="558" t="s">
        <v>498</v>
      </c>
      <c r="G60" s="242" t="str">
        <f>VLOOKUP(A60,'Feature Summary'!$A$7:$C$4030,3,FALSE)</f>
        <v>P2</v>
      </c>
      <c r="H60" s="571" t="s">
        <v>499</v>
      </c>
      <c r="I60" s="322" t="s">
        <v>41</v>
      </c>
      <c r="J60" s="322"/>
      <c r="K60" s="577">
        <v>1</v>
      </c>
      <c r="L60" s="578">
        <v>1</v>
      </c>
      <c r="M60" s="596" t="s">
        <v>33</v>
      </c>
      <c r="N60" s="591">
        <v>1</v>
      </c>
      <c r="O60" s="578">
        <v>1</v>
      </c>
      <c r="P60" s="589">
        <f t="shared" si="3"/>
        <v>1</v>
      </c>
      <c r="Q60" s="604" t="s">
        <v>48</v>
      </c>
      <c r="R60" s="578">
        <v>1</v>
      </c>
      <c r="S60" s="472">
        <f t="shared" si="2"/>
        <v>0</v>
      </c>
      <c r="T60" s="578"/>
      <c r="U60" s="462"/>
      <c r="V60" s="462"/>
      <c r="W60" s="462"/>
      <c r="X60" s="475">
        <f t="shared" si="1"/>
        <v>0</v>
      </c>
      <c r="Y60" s="605"/>
      <c r="Z60" s="461">
        <f t="shared" si="5"/>
        <v>0</v>
      </c>
      <c r="AA60" s="462"/>
      <c r="AB60" s="462"/>
      <c r="AC60" s="462"/>
      <c r="AD60" s="462"/>
      <c r="AE60" s="463">
        <f t="shared" si="6"/>
        <v>0</v>
      </c>
      <c r="AF60" s="322"/>
      <c r="AG60" s="436" t="str">
        <f>VLOOKUP(A60,'Feature Summary'!$A$7:$U$4030,21,FALSE)</f>
        <v>W8</v>
      </c>
      <c r="AH60" s="324"/>
    </row>
    <row r="61" spans="1:34" ht="30" x14ac:dyDescent="0.25">
      <c r="A61" s="330" t="s">
        <v>496</v>
      </c>
      <c r="B61" s="557" t="s">
        <v>497</v>
      </c>
      <c r="C61" s="558"/>
      <c r="D61" s="559" t="s">
        <v>473</v>
      </c>
      <c r="E61" s="560"/>
      <c r="F61" s="558" t="s">
        <v>500</v>
      </c>
      <c r="G61" s="242" t="str">
        <f>VLOOKUP(A61,'Feature Summary'!$A$7:$C$4030,3,FALSE)</f>
        <v>P2</v>
      </c>
      <c r="H61" s="571" t="s">
        <v>501</v>
      </c>
      <c r="I61" s="322" t="s">
        <v>41</v>
      </c>
      <c r="J61" s="322"/>
      <c r="K61" s="577">
        <v>1</v>
      </c>
      <c r="L61" s="578">
        <v>1</v>
      </c>
      <c r="M61" s="596" t="s">
        <v>33</v>
      </c>
      <c r="N61" s="591">
        <v>1</v>
      </c>
      <c r="O61" s="578">
        <v>1</v>
      </c>
      <c r="P61" s="589">
        <f t="shared" si="3"/>
        <v>1</v>
      </c>
      <c r="Q61" s="604" t="s">
        <v>48</v>
      </c>
      <c r="R61" s="578">
        <v>1</v>
      </c>
      <c r="S61" s="474">
        <f t="shared" si="2"/>
        <v>0</v>
      </c>
      <c r="T61" s="578"/>
      <c r="U61" s="462"/>
      <c r="V61" s="462"/>
      <c r="W61" s="462"/>
      <c r="X61" s="475">
        <f t="shared" si="1"/>
        <v>0</v>
      </c>
      <c r="Y61" s="605"/>
      <c r="Z61" s="461">
        <f t="shared" si="5"/>
        <v>0</v>
      </c>
      <c r="AA61" s="462"/>
      <c r="AB61" s="462"/>
      <c r="AC61" s="462"/>
      <c r="AD61" s="462"/>
      <c r="AE61" s="463">
        <f t="shared" si="6"/>
        <v>0</v>
      </c>
      <c r="AF61" s="322"/>
      <c r="AG61" s="436" t="str">
        <f>VLOOKUP(A61,'Feature Summary'!$A$7:$U$4030,21,FALSE)</f>
        <v>W8</v>
      </c>
      <c r="AH61" s="324"/>
    </row>
    <row r="62" spans="1:34" ht="45.75" thickBot="1" x14ac:dyDescent="0.3">
      <c r="A62" s="330" t="s">
        <v>502</v>
      </c>
      <c r="B62" s="557" t="s">
        <v>503</v>
      </c>
      <c r="C62" s="558"/>
      <c r="D62" s="559" t="s">
        <v>473</v>
      </c>
      <c r="E62" s="560"/>
      <c r="F62" s="558" t="s">
        <v>504</v>
      </c>
      <c r="G62" s="242" t="e">
        <f>VLOOKUP(A62,'Feature Summary'!$A$7:$C$4030,3,FALSE)</f>
        <v>#N/A</v>
      </c>
      <c r="H62" s="571" t="s">
        <v>505</v>
      </c>
      <c r="I62" s="322" t="s">
        <v>41</v>
      </c>
      <c r="J62" s="322"/>
      <c r="K62" s="577">
        <v>1</v>
      </c>
      <c r="L62" s="578">
        <v>16</v>
      </c>
      <c r="M62" s="596" t="s">
        <v>33</v>
      </c>
      <c r="N62" s="591">
        <v>1</v>
      </c>
      <c r="O62" s="578">
        <v>16</v>
      </c>
      <c r="P62" s="589">
        <f t="shared" si="3"/>
        <v>1</v>
      </c>
      <c r="Q62" s="604" t="s">
        <v>48</v>
      </c>
      <c r="R62" s="578">
        <v>16</v>
      </c>
      <c r="S62" s="474">
        <f t="shared" si="2"/>
        <v>0</v>
      </c>
      <c r="T62" s="578"/>
      <c r="U62" s="462"/>
      <c r="V62" s="462"/>
      <c r="W62" s="462"/>
      <c r="X62" s="475">
        <f t="shared" si="1"/>
        <v>0</v>
      </c>
      <c r="Y62" s="605"/>
      <c r="Z62" s="461">
        <f t="shared" si="5"/>
        <v>0</v>
      </c>
      <c r="AA62" s="462"/>
      <c r="AB62" s="462"/>
      <c r="AC62" s="462"/>
      <c r="AD62" s="462"/>
      <c r="AE62" s="463">
        <f t="shared" si="6"/>
        <v>0</v>
      </c>
      <c r="AF62" s="322"/>
      <c r="AG62" s="436" t="e">
        <f>VLOOKUP(A62,'Feature Summary'!$A$7:$U$4030,21,FALSE)</f>
        <v>#N/A</v>
      </c>
      <c r="AH62" s="324"/>
    </row>
    <row r="63" spans="1:34" x14ac:dyDescent="0.25">
      <c r="A63" s="330" t="s">
        <v>506</v>
      </c>
      <c r="B63" s="557" t="s">
        <v>507</v>
      </c>
      <c r="C63" s="558"/>
      <c r="D63" s="559" t="s">
        <v>508</v>
      </c>
      <c r="E63" s="560"/>
      <c r="F63" s="558" t="s">
        <v>509</v>
      </c>
      <c r="G63" s="242" t="str">
        <f>VLOOKUP(A63,'Feature Summary'!$A$7:$C$4030,3,FALSE)</f>
        <v>P2</v>
      </c>
      <c r="H63" s="571" t="s">
        <v>510</v>
      </c>
      <c r="I63" s="322" t="s">
        <v>41</v>
      </c>
      <c r="J63" s="322"/>
      <c r="K63" s="577">
        <v>1</v>
      </c>
      <c r="L63" s="578">
        <v>12</v>
      </c>
      <c r="M63" s="596" t="s">
        <v>33</v>
      </c>
      <c r="N63" s="591">
        <v>1</v>
      </c>
      <c r="O63" s="578">
        <v>12</v>
      </c>
      <c r="P63" s="589">
        <f t="shared" si="3"/>
        <v>1</v>
      </c>
      <c r="Q63" s="604" t="s">
        <v>48</v>
      </c>
      <c r="R63" s="578">
        <v>12</v>
      </c>
      <c r="S63" s="472">
        <f t="shared" si="2"/>
        <v>0</v>
      </c>
      <c r="T63" s="578"/>
      <c r="U63" s="462"/>
      <c r="V63" s="462"/>
      <c r="W63" s="462"/>
      <c r="X63" s="475">
        <f t="shared" si="1"/>
        <v>0</v>
      </c>
      <c r="Y63" s="605"/>
      <c r="Z63" s="461">
        <f t="shared" si="5"/>
        <v>0</v>
      </c>
      <c r="AA63" s="462"/>
      <c r="AB63" s="462"/>
      <c r="AC63" s="462"/>
      <c r="AD63" s="462"/>
      <c r="AE63" s="463">
        <f t="shared" si="6"/>
        <v>0</v>
      </c>
      <c r="AF63" s="611"/>
      <c r="AG63" s="436" t="str">
        <f>VLOOKUP(A63,'Feature Summary'!$A$7:$U$4030,21,FALSE)</f>
        <v>wk-2</v>
      </c>
      <c r="AH63" s="324"/>
    </row>
    <row r="64" spans="1:34" x14ac:dyDescent="0.25">
      <c r="A64" s="330" t="s">
        <v>506</v>
      </c>
      <c r="B64" s="557" t="s">
        <v>507</v>
      </c>
      <c r="C64" s="558"/>
      <c r="D64" s="559" t="s">
        <v>508</v>
      </c>
      <c r="E64" s="560"/>
      <c r="F64" s="558" t="s">
        <v>511</v>
      </c>
      <c r="G64" s="242" t="str">
        <f>VLOOKUP(A64,'Feature Summary'!$A$7:$C$4030,3,FALSE)</f>
        <v>P2</v>
      </c>
      <c r="H64" s="571" t="s">
        <v>512</v>
      </c>
      <c r="I64" s="322" t="s">
        <v>41</v>
      </c>
      <c r="J64" s="322"/>
      <c r="K64" s="577">
        <v>1</v>
      </c>
      <c r="L64" s="578">
        <v>1</v>
      </c>
      <c r="M64" s="596" t="s">
        <v>33</v>
      </c>
      <c r="N64" s="591">
        <v>1</v>
      </c>
      <c r="O64" s="578">
        <v>1</v>
      </c>
      <c r="P64" s="589">
        <f t="shared" si="3"/>
        <v>1</v>
      </c>
      <c r="Q64" s="604" t="s">
        <v>48</v>
      </c>
      <c r="R64" s="578">
        <v>1</v>
      </c>
      <c r="S64" s="474">
        <f t="shared" si="2"/>
        <v>0</v>
      </c>
      <c r="T64" s="578"/>
      <c r="U64" s="462"/>
      <c r="V64" s="462"/>
      <c r="W64" s="462"/>
      <c r="X64" s="475">
        <f t="shared" si="1"/>
        <v>0</v>
      </c>
      <c r="Y64" s="605"/>
      <c r="Z64" s="461">
        <f t="shared" si="5"/>
        <v>0</v>
      </c>
      <c r="AA64" s="462"/>
      <c r="AB64" s="462"/>
      <c r="AC64" s="462"/>
      <c r="AD64" s="462"/>
      <c r="AE64" s="463">
        <f t="shared" si="6"/>
        <v>0</v>
      </c>
      <c r="AF64" s="611"/>
      <c r="AG64" s="436" t="str">
        <f>VLOOKUP(A64,'Feature Summary'!$A$7:$U$4030,21,FALSE)</f>
        <v>wk-2</v>
      </c>
      <c r="AH64" s="324"/>
    </row>
    <row r="65" spans="1:34" ht="30.75" thickBot="1" x14ac:dyDescent="0.3">
      <c r="A65" s="330" t="s">
        <v>513</v>
      </c>
      <c r="B65" s="557" t="s">
        <v>514</v>
      </c>
      <c r="C65" s="558"/>
      <c r="D65" s="559" t="s">
        <v>515</v>
      </c>
      <c r="E65" s="560"/>
      <c r="F65" s="558" t="s">
        <v>516</v>
      </c>
      <c r="G65" s="242" t="str">
        <f>VLOOKUP(A65,'Feature Summary'!$A$7:$C$4030,3,FALSE)</f>
        <v>P2</v>
      </c>
      <c r="H65" s="571" t="s">
        <v>517</v>
      </c>
      <c r="I65" s="322" t="s">
        <v>41</v>
      </c>
      <c r="J65" s="322"/>
      <c r="K65" s="577">
        <v>1</v>
      </c>
      <c r="L65" s="578">
        <v>8</v>
      </c>
      <c r="M65" s="596" t="s">
        <v>33</v>
      </c>
      <c r="N65" s="591">
        <v>1</v>
      </c>
      <c r="O65" s="578">
        <v>8</v>
      </c>
      <c r="P65" s="589">
        <f t="shared" si="3"/>
        <v>1</v>
      </c>
      <c r="Q65" s="604" t="s">
        <v>48</v>
      </c>
      <c r="R65" s="578">
        <v>8</v>
      </c>
      <c r="S65" s="474">
        <f t="shared" si="2"/>
        <v>0</v>
      </c>
      <c r="T65" s="578"/>
      <c r="U65" s="462"/>
      <c r="V65" s="462"/>
      <c r="W65" s="462"/>
      <c r="X65" s="475">
        <f t="shared" si="1"/>
        <v>0</v>
      </c>
      <c r="Y65" s="605"/>
      <c r="Z65" s="461">
        <f t="shared" si="5"/>
        <v>0</v>
      </c>
      <c r="AA65" s="462"/>
      <c r="AB65" s="462"/>
      <c r="AC65" s="462"/>
      <c r="AD65" s="462"/>
      <c r="AE65" s="463">
        <f t="shared" si="6"/>
        <v>0</v>
      </c>
      <c r="AF65" s="322"/>
      <c r="AG65" s="436" t="str">
        <f>VLOOKUP(A65,'Feature Summary'!$A$7:$U$4030,21,FALSE)</f>
        <v>wk-2</v>
      </c>
      <c r="AH65" s="324"/>
    </row>
    <row r="66" spans="1:34" ht="30" x14ac:dyDescent="0.25">
      <c r="A66" s="330" t="s">
        <v>513</v>
      </c>
      <c r="B66" s="557" t="s">
        <v>514</v>
      </c>
      <c r="C66" s="558"/>
      <c r="D66" s="559" t="s">
        <v>515</v>
      </c>
      <c r="E66" s="560"/>
      <c r="F66" s="558" t="s">
        <v>518</v>
      </c>
      <c r="G66" s="242" t="str">
        <f>VLOOKUP(A66,'Feature Summary'!$A$7:$C$4030,3,FALSE)</f>
        <v>P2</v>
      </c>
      <c r="H66" s="571" t="s">
        <v>519</v>
      </c>
      <c r="I66" s="322" t="s">
        <v>41</v>
      </c>
      <c r="J66" s="322"/>
      <c r="K66" s="577">
        <v>1</v>
      </c>
      <c r="L66" s="578">
        <v>16</v>
      </c>
      <c r="M66" s="596" t="s">
        <v>33</v>
      </c>
      <c r="N66" s="591">
        <v>1</v>
      </c>
      <c r="O66" s="578">
        <v>16</v>
      </c>
      <c r="P66" s="589">
        <f t="shared" si="3"/>
        <v>1</v>
      </c>
      <c r="Q66" s="604" t="s">
        <v>48</v>
      </c>
      <c r="R66" s="578">
        <v>16</v>
      </c>
      <c r="S66" s="472">
        <f t="shared" si="2"/>
        <v>0</v>
      </c>
      <c r="T66" s="578"/>
      <c r="U66" s="462"/>
      <c r="V66" s="462"/>
      <c r="W66" s="462"/>
      <c r="X66" s="475">
        <f t="shared" si="1"/>
        <v>0</v>
      </c>
      <c r="Y66" s="605"/>
      <c r="Z66" s="461">
        <f t="shared" si="5"/>
        <v>0</v>
      </c>
      <c r="AA66" s="462"/>
      <c r="AB66" s="462"/>
      <c r="AC66" s="462"/>
      <c r="AD66" s="462"/>
      <c r="AE66" s="463">
        <f t="shared" si="6"/>
        <v>0</v>
      </c>
      <c r="AF66" s="322"/>
      <c r="AG66" s="436" t="str">
        <f>VLOOKUP(A66,'Feature Summary'!$A$7:$U$4030,21,FALSE)</f>
        <v>wk-2</v>
      </c>
      <c r="AH66" s="324"/>
    </row>
    <row r="67" spans="1:34" ht="30" x14ac:dyDescent="0.25">
      <c r="A67" s="330" t="s">
        <v>513</v>
      </c>
      <c r="B67" s="557" t="s">
        <v>514</v>
      </c>
      <c r="C67" s="558"/>
      <c r="D67" s="559" t="s">
        <v>515</v>
      </c>
      <c r="E67" s="560"/>
      <c r="F67" s="558" t="s">
        <v>520</v>
      </c>
      <c r="G67" s="242" t="str">
        <f>VLOOKUP(A67,'Feature Summary'!$A$7:$C$4030,3,FALSE)</f>
        <v>P2</v>
      </c>
      <c r="H67" s="571" t="s">
        <v>521</v>
      </c>
      <c r="I67" s="322" t="s">
        <v>41</v>
      </c>
      <c r="J67" s="322"/>
      <c r="K67" s="577">
        <v>1</v>
      </c>
      <c r="L67" s="578">
        <v>1</v>
      </c>
      <c r="M67" s="596" t="s">
        <v>33</v>
      </c>
      <c r="N67" s="591">
        <v>1</v>
      </c>
      <c r="O67" s="578">
        <v>1</v>
      </c>
      <c r="P67" s="589">
        <f t="shared" si="3"/>
        <v>1</v>
      </c>
      <c r="Q67" s="604" t="s">
        <v>48</v>
      </c>
      <c r="R67" s="578">
        <v>1</v>
      </c>
      <c r="S67" s="474">
        <f t="shared" si="2"/>
        <v>0</v>
      </c>
      <c r="T67" s="578"/>
      <c r="U67" s="462"/>
      <c r="V67" s="462"/>
      <c r="W67" s="462"/>
      <c r="X67" s="475">
        <f t="shared" si="1"/>
        <v>0</v>
      </c>
      <c r="Y67" s="605"/>
      <c r="Z67" s="461">
        <f t="shared" si="5"/>
        <v>0</v>
      </c>
      <c r="AA67" s="462"/>
      <c r="AB67" s="462"/>
      <c r="AC67" s="462"/>
      <c r="AD67" s="462"/>
      <c r="AE67" s="463">
        <f t="shared" si="6"/>
        <v>0</v>
      </c>
      <c r="AF67" s="322"/>
      <c r="AG67" s="436" t="str">
        <f>VLOOKUP(A67,'Feature Summary'!$A$7:$U$4030,21,FALSE)</f>
        <v>wk-2</v>
      </c>
      <c r="AH67" s="324"/>
    </row>
    <row r="68" spans="1:34" ht="30.75" thickBot="1" x14ac:dyDescent="0.3">
      <c r="A68" s="330" t="s">
        <v>513</v>
      </c>
      <c r="B68" s="557" t="s">
        <v>514</v>
      </c>
      <c r="C68" s="558"/>
      <c r="D68" s="559" t="s">
        <v>515</v>
      </c>
      <c r="E68" s="560"/>
      <c r="F68" s="558" t="s">
        <v>522</v>
      </c>
      <c r="G68" s="242" t="str">
        <f>VLOOKUP(A68,'Feature Summary'!$A$7:$C$4030,3,FALSE)</f>
        <v>P2</v>
      </c>
      <c r="H68" s="571" t="s">
        <v>523</v>
      </c>
      <c r="I68" s="322" t="s">
        <v>41</v>
      </c>
      <c r="J68" s="322"/>
      <c r="K68" s="577">
        <v>1</v>
      </c>
      <c r="L68" s="578">
        <v>1</v>
      </c>
      <c r="M68" s="596" t="s">
        <v>33</v>
      </c>
      <c r="N68" s="591">
        <v>1</v>
      </c>
      <c r="O68" s="578">
        <v>1</v>
      </c>
      <c r="P68" s="589">
        <f t="shared" si="3"/>
        <v>1</v>
      </c>
      <c r="Q68" s="604" t="s">
        <v>48</v>
      </c>
      <c r="R68" s="578">
        <v>1</v>
      </c>
      <c r="S68" s="474">
        <f t="shared" si="2"/>
        <v>0</v>
      </c>
      <c r="T68" s="578"/>
      <c r="U68" s="462"/>
      <c r="V68" s="462"/>
      <c r="W68" s="462"/>
      <c r="X68" s="475">
        <f t="shared" ref="X68:X129" si="7">IF((S68=0),0,((T68+U68)/S68*100%))</f>
        <v>0</v>
      </c>
      <c r="Y68" s="605"/>
      <c r="Z68" s="461">
        <f t="shared" si="5"/>
        <v>0</v>
      </c>
      <c r="AA68" s="462"/>
      <c r="AB68" s="462"/>
      <c r="AC68" s="462"/>
      <c r="AD68" s="462"/>
      <c r="AE68" s="463">
        <f t="shared" si="6"/>
        <v>0</v>
      </c>
      <c r="AF68" s="322"/>
      <c r="AG68" s="436" t="str">
        <f>VLOOKUP(A68,'Feature Summary'!$A$7:$U$4030,21,FALSE)</f>
        <v>wk-2</v>
      </c>
      <c r="AH68" s="324"/>
    </row>
    <row r="69" spans="1:34" ht="30" x14ac:dyDescent="0.25">
      <c r="A69" s="330" t="s">
        <v>513</v>
      </c>
      <c r="B69" s="557" t="s">
        <v>514</v>
      </c>
      <c r="C69" s="558"/>
      <c r="D69" s="559" t="s">
        <v>515</v>
      </c>
      <c r="E69" s="560"/>
      <c r="F69" s="558" t="s">
        <v>524</v>
      </c>
      <c r="G69" s="242" t="str">
        <f>VLOOKUP(A69,'Feature Summary'!$A$7:$C$4030,3,FALSE)</f>
        <v>P2</v>
      </c>
      <c r="H69" s="571" t="s">
        <v>525</v>
      </c>
      <c r="I69" s="322" t="s">
        <v>41</v>
      </c>
      <c r="J69" s="322"/>
      <c r="K69" s="577">
        <v>1</v>
      </c>
      <c r="L69" s="578">
        <v>10</v>
      </c>
      <c r="M69" s="596" t="s">
        <v>33</v>
      </c>
      <c r="N69" s="591">
        <v>1</v>
      </c>
      <c r="O69" s="578">
        <v>10</v>
      </c>
      <c r="P69" s="589">
        <f t="shared" ref="P69:P132" si="8">IF((O69=0),0,(O69/L69))</f>
        <v>1</v>
      </c>
      <c r="Q69" s="604" t="s">
        <v>48</v>
      </c>
      <c r="R69" s="578">
        <v>10</v>
      </c>
      <c r="S69" s="472">
        <f t="shared" si="2"/>
        <v>0</v>
      </c>
      <c r="T69" s="578"/>
      <c r="U69" s="462"/>
      <c r="V69" s="462"/>
      <c r="W69" s="462"/>
      <c r="X69" s="475">
        <f t="shared" si="7"/>
        <v>0</v>
      </c>
      <c r="Y69" s="605"/>
      <c r="Z69" s="461">
        <f t="shared" si="5"/>
        <v>0</v>
      </c>
      <c r="AA69" s="462"/>
      <c r="AB69" s="462"/>
      <c r="AC69" s="462"/>
      <c r="AD69" s="462"/>
      <c r="AE69" s="463">
        <f t="shared" ref="AE69:AE132" si="9">IF((Z69=0),0,((AA69+AB69)/Z69*100%))</f>
        <v>0</v>
      </c>
      <c r="AF69" s="322"/>
      <c r="AG69" s="436" t="str">
        <f>VLOOKUP(A69,'Feature Summary'!$A$7:$U$4030,21,FALSE)</f>
        <v>wk-2</v>
      </c>
      <c r="AH69" s="324"/>
    </row>
    <row r="70" spans="1:34" ht="30" x14ac:dyDescent="0.25">
      <c r="A70" s="330" t="s">
        <v>513</v>
      </c>
      <c r="B70" s="557" t="s">
        <v>514</v>
      </c>
      <c r="C70" s="558"/>
      <c r="D70" s="559" t="s">
        <v>515</v>
      </c>
      <c r="E70" s="560"/>
      <c r="F70" s="558" t="s">
        <v>526</v>
      </c>
      <c r="G70" s="242" t="str">
        <f>VLOOKUP(A70,'Feature Summary'!$A$7:$C$4030,3,FALSE)</f>
        <v>P2</v>
      </c>
      <c r="H70" s="571" t="s">
        <v>527</v>
      </c>
      <c r="I70" s="322" t="s">
        <v>41</v>
      </c>
      <c r="J70" s="322"/>
      <c r="K70" s="577">
        <v>1</v>
      </c>
      <c r="L70" s="578">
        <v>52</v>
      </c>
      <c r="M70" s="596" t="s">
        <v>33</v>
      </c>
      <c r="N70" s="591">
        <v>1</v>
      </c>
      <c r="O70" s="578">
        <v>52</v>
      </c>
      <c r="P70" s="589">
        <f t="shared" si="8"/>
        <v>1</v>
      </c>
      <c r="Q70" s="604" t="s">
        <v>48</v>
      </c>
      <c r="R70" s="578">
        <v>52</v>
      </c>
      <c r="S70" s="474">
        <f t="shared" si="2"/>
        <v>0</v>
      </c>
      <c r="T70" s="578"/>
      <c r="U70" s="462"/>
      <c r="V70" s="462"/>
      <c r="W70" s="462"/>
      <c r="X70" s="475">
        <f t="shared" si="7"/>
        <v>0</v>
      </c>
      <c r="Y70" s="605"/>
      <c r="Z70" s="461">
        <f t="shared" si="5"/>
        <v>0</v>
      </c>
      <c r="AA70" s="462"/>
      <c r="AB70" s="462"/>
      <c r="AC70" s="462"/>
      <c r="AD70" s="462"/>
      <c r="AE70" s="463">
        <f t="shared" si="9"/>
        <v>0</v>
      </c>
      <c r="AF70" s="322"/>
      <c r="AG70" s="436" t="str">
        <f>VLOOKUP(A70,'Feature Summary'!$A$7:$U$4030,21,FALSE)</f>
        <v>wk-2</v>
      </c>
      <c r="AH70" s="324"/>
    </row>
    <row r="71" spans="1:34" ht="30.75" thickBot="1" x14ac:dyDescent="0.3">
      <c r="A71" s="330" t="s">
        <v>528</v>
      </c>
      <c r="B71" s="557" t="s">
        <v>529</v>
      </c>
      <c r="C71" s="558"/>
      <c r="D71" s="559" t="s">
        <v>515</v>
      </c>
      <c r="E71" s="560"/>
      <c r="F71" s="558" t="s">
        <v>530</v>
      </c>
      <c r="G71" s="242" t="str">
        <f>VLOOKUP(A71,'Feature Summary'!$A$7:$C$4030,3,FALSE)</f>
        <v>P2</v>
      </c>
      <c r="H71" s="571" t="s">
        <v>531</v>
      </c>
      <c r="I71" s="322" t="s">
        <v>41</v>
      </c>
      <c r="J71" s="322"/>
      <c r="K71" s="577">
        <v>1</v>
      </c>
      <c r="L71" s="578">
        <v>5</v>
      </c>
      <c r="M71" s="596" t="s">
        <v>33</v>
      </c>
      <c r="N71" s="591">
        <v>1</v>
      </c>
      <c r="O71" s="578">
        <v>5</v>
      </c>
      <c r="P71" s="589">
        <f t="shared" si="8"/>
        <v>1</v>
      </c>
      <c r="Q71" s="604" t="s">
        <v>48</v>
      </c>
      <c r="R71" s="578">
        <v>5</v>
      </c>
      <c r="S71" s="474">
        <f t="shared" ref="S71:S134" si="10">SUM(T71:W71)</f>
        <v>0</v>
      </c>
      <c r="T71" s="578"/>
      <c r="U71" s="462"/>
      <c r="V71" s="462"/>
      <c r="W71" s="462"/>
      <c r="X71" s="475">
        <f t="shared" si="7"/>
        <v>0</v>
      </c>
      <c r="Y71" s="605"/>
      <c r="Z71" s="461">
        <f t="shared" si="5"/>
        <v>0</v>
      </c>
      <c r="AA71" s="462"/>
      <c r="AB71" s="462"/>
      <c r="AC71" s="462"/>
      <c r="AD71" s="462"/>
      <c r="AE71" s="463">
        <f t="shared" si="9"/>
        <v>0</v>
      </c>
      <c r="AF71" s="322"/>
      <c r="AG71" s="436" t="str">
        <f>VLOOKUP(A71,'Feature Summary'!$A$7:$U$4030,21,FALSE)</f>
        <v>wk-2</v>
      </c>
      <c r="AH71" s="324"/>
    </row>
    <row r="72" spans="1:34" ht="30" x14ac:dyDescent="0.25">
      <c r="A72" s="330" t="s">
        <v>513</v>
      </c>
      <c r="B72" s="557" t="s">
        <v>514</v>
      </c>
      <c r="C72" s="558"/>
      <c r="D72" s="559" t="s">
        <v>515</v>
      </c>
      <c r="E72" s="560"/>
      <c r="F72" s="558" t="s">
        <v>532</v>
      </c>
      <c r="G72" s="242" t="str">
        <f>VLOOKUP(A72,'Feature Summary'!$A$7:$C$4030,3,FALSE)</f>
        <v>P2</v>
      </c>
      <c r="H72" s="571" t="s">
        <v>533</v>
      </c>
      <c r="I72" s="322" t="s">
        <v>41</v>
      </c>
      <c r="J72" s="322"/>
      <c r="K72" s="577">
        <v>1</v>
      </c>
      <c r="L72" s="578">
        <v>2</v>
      </c>
      <c r="M72" s="596" t="s">
        <v>33</v>
      </c>
      <c r="N72" s="591">
        <v>1</v>
      </c>
      <c r="O72" s="578">
        <v>2</v>
      </c>
      <c r="P72" s="589">
        <f t="shared" si="8"/>
        <v>1</v>
      </c>
      <c r="Q72" s="604" t="s">
        <v>48</v>
      </c>
      <c r="R72" s="578">
        <v>2</v>
      </c>
      <c r="S72" s="472">
        <f t="shared" si="10"/>
        <v>0</v>
      </c>
      <c r="T72" s="578"/>
      <c r="U72" s="462"/>
      <c r="V72" s="462"/>
      <c r="W72" s="462"/>
      <c r="X72" s="475">
        <f t="shared" si="7"/>
        <v>0</v>
      </c>
      <c r="Y72" s="605"/>
      <c r="Z72" s="461">
        <f t="shared" si="5"/>
        <v>0</v>
      </c>
      <c r="AA72" s="462"/>
      <c r="AB72" s="462"/>
      <c r="AC72" s="462"/>
      <c r="AD72" s="462"/>
      <c r="AE72" s="463">
        <f t="shared" si="9"/>
        <v>0</v>
      </c>
      <c r="AF72" s="322"/>
      <c r="AG72" s="436" t="str">
        <f>VLOOKUP(A72,'Feature Summary'!$A$7:$U$4030,21,FALSE)</f>
        <v>wk-2</v>
      </c>
      <c r="AH72" s="324"/>
    </row>
    <row r="73" spans="1:34" ht="30" x14ac:dyDescent="0.25">
      <c r="A73" s="330" t="s">
        <v>534</v>
      </c>
      <c r="B73" s="557" t="s">
        <v>535</v>
      </c>
      <c r="C73" s="558"/>
      <c r="D73" s="559" t="s">
        <v>515</v>
      </c>
      <c r="E73" s="560"/>
      <c r="F73" s="558" t="s">
        <v>536</v>
      </c>
      <c r="G73" s="242" t="str">
        <f>VLOOKUP(A73,'Feature Summary'!$A$7:$C$4030,3,FALSE)</f>
        <v>P2</v>
      </c>
      <c r="H73" s="571" t="s">
        <v>537</v>
      </c>
      <c r="I73" s="322" t="s">
        <v>41</v>
      </c>
      <c r="J73" s="322"/>
      <c r="K73" s="577">
        <v>1</v>
      </c>
      <c r="L73" s="578">
        <v>4</v>
      </c>
      <c r="M73" s="596" t="s">
        <v>33</v>
      </c>
      <c r="N73" s="591">
        <v>1</v>
      </c>
      <c r="O73" s="578">
        <v>4</v>
      </c>
      <c r="P73" s="589">
        <f t="shared" si="8"/>
        <v>1</v>
      </c>
      <c r="Q73" s="604" t="s">
        <v>48</v>
      </c>
      <c r="R73" s="578">
        <v>4</v>
      </c>
      <c r="S73" s="474">
        <f t="shared" si="10"/>
        <v>0</v>
      </c>
      <c r="T73" s="578"/>
      <c r="U73" s="462"/>
      <c r="V73" s="462"/>
      <c r="W73" s="462"/>
      <c r="X73" s="475">
        <f t="shared" si="7"/>
        <v>0</v>
      </c>
      <c r="Y73" s="605"/>
      <c r="Z73" s="461">
        <f t="shared" ref="Z73:Z136" si="11">SUM(AA73:AD73)</f>
        <v>0</v>
      </c>
      <c r="AA73" s="462"/>
      <c r="AB73" s="462"/>
      <c r="AC73" s="462"/>
      <c r="AD73" s="462"/>
      <c r="AE73" s="463">
        <f t="shared" si="9"/>
        <v>0</v>
      </c>
      <c r="AF73" s="322"/>
      <c r="AG73" s="436" t="str">
        <f>VLOOKUP(A73,'Feature Summary'!$A$7:$U$4030,21,FALSE)</f>
        <v>wk-5</v>
      </c>
      <c r="AH73" s="324"/>
    </row>
    <row r="74" spans="1:34" ht="30.75" thickBot="1" x14ac:dyDescent="0.3">
      <c r="A74" s="330" t="s">
        <v>534</v>
      </c>
      <c r="B74" s="557" t="s">
        <v>535</v>
      </c>
      <c r="C74" s="558"/>
      <c r="D74" s="559" t="s">
        <v>515</v>
      </c>
      <c r="E74" s="560"/>
      <c r="F74" s="558" t="s">
        <v>538</v>
      </c>
      <c r="G74" s="242" t="str">
        <f>VLOOKUP(A74,'Feature Summary'!$A$7:$C$4030,3,FALSE)</f>
        <v>P2</v>
      </c>
      <c r="H74" s="571" t="s">
        <v>539</v>
      </c>
      <c r="I74" s="322" t="s">
        <v>41</v>
      </c>
      <c r="J74" s="322"/>
      <c r="K74" s="577">
        <v>1</v>
      </c>
      <c r="L74" s="578">
        <v>8</v>
      </c>
      <c r="M74" s="596" t="s">
        <v>33</v>
      </c>
      <c r="N74" s="591">
        <v>1</v>
      </c>
      <c r="O74" s="578">
        <v>8</v>
      </c>
      <c r="P74" s="589">
        <f t="shared" si="8"/>
        <v>1</v>
      </c>
      <c r="Q74" s="604" t="s">
        <v>48</v>
      </c>
      <c r="R74" s="578">
        <v>8</v>
      </c>
      <c r="S74" s="474">
        <f t="shared" si="10"/>
        <v>0</v>
      </c>
      <c r="T74" s="578"/>
      <c r="U74" s="462"/>
      <c r="V74" s="462"/>
      <c r="W74" s="462"/>
      <c r="X74" s="475">
        <f t="shared" si="7"/>
        <v>0</v>
      </c>
      <c r="Y74" s="605"/>
      <c r="Z74" s="461">
        <f t="shared" si="11"/>
        <v>0</v>
      </c>
      <c r="AA74" s="462"/>
      <c r="AB74" s="462"/>
      <c r="AC74" s="462"/>
      <c r="AD74" s="462"/>
      <c r="AE74" s="463">
        <f t="shared" si="9"/>
        <v>0</v>
      </c>
      <c r="AF74" s="322"/>
      <c r="AG74" s="436" t="str">
        <f>VLOOKUP(A74,'Feature Summary'!$A$7:$U$4030,21,FALSE)</f>
        <v>wk-5</v>
      </c>
      <c r="AH74" s="324"/>
    </row>
    <row r="75" spans="1:34" ht="30" x14ac:dyDescent="0.25">
      <c r="A75" s="330" t="s">
        <v>534</v>
      </c>
      <c r="B75" s="557" t="s">
        <v>535</v>
      </c>
      <c r="C75" s="558"/>
      <c r="D75" s="559" t="s">
        <v>515</v>
      </c>
      <c r="E75" s="560"/>
      <c r="F75" s="558" t="s">
        <v>540</v>
      </c>
      <c r="G75" s="242" t="str">
        <f>VLOOKUP(A75,'Feature Summary'!$A$7:$C$4030,3,FALSE)</f>
        <v>P2</v>
      </c>
      <c r="H75" s="571" t="s">
        <v>541</v>
      </c>
      <c r="I75" s="322" t="s">
        <v>41</v>
      </c>
      <c r="J75" s="322"/>
      <c r="K75" s="577">
        <v>1</v>
      </c>
      <c r="L75" s="578">
        <v>1</v>
      </c>
      <c r="M75" s="596" t="s">
        <v>33</v>
      </c>
      <c r="N75" s="591">
        <v>1</v>
      </c>
      <c r="O75" s="578">
        <v>1</v>
      </c>
      <c r="P75" s="589">
        <f t="shared" si="8"/>
        <v>1</v>
      </c>
      <c r="Q75" s="604" t="s">
        <v>48</v>
      </c>
      <c r="R75" s="578">
        <v>1</v>
      </c>
      <c r="S75" s="472">
        <f t="shared" si="10"/>
        <v>0</v>
      </c>
      <c r="T75" s="578"/>
      <c r="U75" s="462"/>
      <c r="V75" s="462"/>
      <c r="W75" s="462"/>
      <c r="X75" s="475">
        <f t="shared" si="7"/>
        <v>0</v>
      </c>
      <c r="Y75" s="605"/>
      <c r="Z75" s="461">
        <f t="shared" si="11"/>
        <v>0</v>
      </c>
      <c r="AA75" s="462"/>
      <c r="AB75" s="462"/>
      <c r="AC75" s="462"/>
      <c r="AD75" s="462"/>
      <c r="AE75" s="463">
        <f t="shared" si="9"/>
        <v>0</v>
      </c>
      <c r="AF75" s="611"/>
      <c r="AG75" s="436" t="str">
        <f>VLOOKUP(A75,'Feature Summary'!$A$7:$U$4030,21,FALSE)</f>
        <v>wk-5</v>
      </c>
      <c r="AH75" s="615"/>
    </row>
    <row r="76" spans="1:34" ht="30" x14ac:dyDescent="0.25">
      <c r="A76" s="330" t="s">
        <v>542</v>
      </c>
      <c r="B76" s="557" t="s">
        <v>543</v>
      </c>
      <c r="C76" s="558"/>
      <c r="D76" s="559" t="s">
        <v>515</v>
      </c>
      <c r="E76" s="560"/>
      <c r="F76" s="558" t="s">
        <v>544</v>
      </c>
      <c r="G76" s="242" t="str">
        <f>VLOOKUP(A76,'Feature Summary'!$A$7:$C$4030,3,FALSE)</f>
        <v>P2</v>
      </c>
      <c r="H76" s="571" t="s">
        <v>545</v>
      </c>
      <c r="I76" s="322" t="s">
        <v>41</v>
      </c>
      <c r="J76" s="322"/>
      <c r="K76" s="577">
        <v>1</v>
      </c>
      <c r="L76" s="578">
        <v>4</v>
      </c>
      <c r="M76" s="596" t="s">
        <v>33</v>
      </c>
      <c r="N76" s="591">
        <v>1</v>
      </c>
      <c r="O76" s="578">
        <v>4</v>
      </c>
      <c r="P76" s="589">
        <f t="shared" si="8"/>
        <v>1</v>
      </c>
      <c r="Q76" s="604" t="s">
        <v>48</v>
      </c>
      <c r="R76" s="578">
        <v>4</v>
      </c>
      <c r="S76" s="474">
        <f t="shared" si="10"/>
        <v>0</v>
      </c>
      <c r="T76" s="578"/>
      <c r="U76" s="462"/>
      <c r="V76" s="462"/>
      <c r="W76" s="462"/>
      <c r="X76" s="475">
        <f t="shared" si="7"/>
        <v>0</v>
      </c>
      <c r="Y76" s="605"/>
      <c r="Z76" s="461">
        <f t="shared" si="11"/>
        <v>0</v>
      </c>
      <c r="AA76" s="462"/>
      <c r="AB76" s="462"/>
      <c r="AC76" s="462"/>
      <c r="AD76" s="462"/>
      <c r="AE76" s="463">
        <f t="shared" si="9"/>
        <v>0</v>
      </c>
      <c r="AF76" s="322"/>
      <c r="AG76" s="436" t="str">
        <f>VLOOKUP(A76,'Feature Summary'!$A$7:$U$4030,21,FALSE)</f>
        <v>wk-7</v>
      </c>
      <c r="AH76" s="324"/>
    </row>
    <row r="77" spans="1:34" ht="30.75" thickBot="1" x14ac:dyDescent="0.3">
      <c r="A77" s="330" t="s">
        <v>534</v>
      </c>
      <c r="B77" s="557" t="s">
        <v>535</v>
      </c>
      <c r="C77" s="558"/>
      <c r="D77" s="559" t="s">
        <v>515</v>
      </c>
      <c r="E77" s="560"/>
      <c r="F77" s="558" t="s">
        <v>546</v>
      </c>
      <c r="G77" s="242" t="str">
        <f>VLOOKUP(A77,'Feature Summary'!$A$7:$C$4030,3,FALSE)</f>
        <v>P2</v>
      </c>
      <c r="H77" s="571" t="s">
        <v>547</v>
      </c>
      <c r="I77" s="322" t="s">
        <v>41</v>
      </c>
      <c r="J77" s="322"/>
      <c r="K77" s="577">
        <v>1</v>
      </c>
      <c r="L77" s="578">
        <v>4</v>
      </c>
      <c r="M77" s="596" t="s">
        <v>33</v>
      </c>
      <c r="N77" s="591">
        <v>1</v>
      </c>
      <c r="O77" s="578">
        <v>4</v>
      </c>
      <c r="P77" s="589">
        <f t="shared" si="8"/>
        <v>1</v>
      </c>
      <c r="Q77" s="604" t="s">
        <v>48</v>
      </c>
      <c r="R77" s="578">
        <v>4</v>
      </c>
      <c r="S77" s="474">
        <f t="shared" si="10"/>
        <v>0</v>
      </c>
      <c r="T77" s="578"/>
      <c r="U77" s="462"/>
      <c r="V77" s="462"/>
      <c r="W77" s="462"/>
      <c r="X77" s="475">
        <f t="shared" si="7"/>
        <v>0</v>
      </c>
      <c r="Y77" s="605"/>
      <c r="Z77" s="461">
        <f t="shared" si="11"/>
        <v>0</v>
      </c>
      <c r="AA77" s="462"/>
      <c r="AB77" s="462"/>
      <c r="AC77" s="462"/>
      <c r="AD77" s="462"/>
      <c r="AE77" s="463">
        <f t="shared" si="9"/>
        <v>0</v>
      </c>
      <c r="AF77" s="322"/>
      <c r="AG77" s="436" t="str">
        <f>VLOOKUP(A77,'Feature Summary'!$A$7:$U$4030,21,FALSE)</f>
        <v>wk-5</v>
      </c>
      <c r="AH77" s="324"/>
    </row>
    <row r="78" spans="1:34" ht="30" x14ac:dyDescent="0.25">
      <c r="A78" s="330" t="s">
        <v>534</v>
      </c>
      <c r="B78" s="557" t="s">
        <v>535</v>
      </c>
      <c r="C78" s="558"/>
      <c r="D78" s="559" t="s">
        <v>515</v>
      </c>
      <c r="E78" s="560"/>
      <c r="F78" s="558" t="s">
        <v>548</v>
      </c>
      <c r="G78" s="242" t="str">
        <f>VLOOKUP(A78,'Feature Summary'!$A$7:$C$4030,3,FALSE)</f>
        <v>P2</v>
      </c>
      <c r="H78" s="571" t="s">
        <v>549</v>
      </c>
      <c r="I78" s="322" t="s">
        <v>41</v>
      </c>
      <c r="J78" s="322"/>
      <c r="K78" s="577">
        <v>1</v>
      </c>
      <c r="L78" s="578">
        <v>8</v>
      </c>
      <c r="M78" s="596" t="s">
        <v>33</v>
      </c>
      <c r="N78" s="591">
        <v>1</v>
      </c>
      <c r="O78" s="578">
        <v>8</v>
      </c>
      <c r="P78" s="589">
        <f t="shared" si="8"/>
        <v>1</v>
      </c>
      <c r="Q78" s="604" t="s">
        <v>48</v>
      </c>
      <c r="R78" s="578">
        <v>8</v>
      </c>
      <c r="S78" s="472">
        <f t="shared" si="10"/>
        <v>0</v>
      </c>
      <c r="T78" s="578"/>
      <c r="U78" s="462"/>
      <c r="V78" s="462"/>
      <c r="W78" s="462"/>
      <c r="X78" s="475">
        <f t="shared" si="7"/>
        <v>0</v>
      </c>
      <c r="Y78" s="605"/>
      <c r="Z78" s="461">
        <f t="shared" si="11"/>
        <v>0</v>
      </c>
      <c r="AA78" s="462"/>
      <c r="AB78" s="462"/>
      <c r="AC78" s="462"/>
      <c r="AD78" s="462"/>
      <c r="AE78" s="463">
        <f t="shared" si="9"/>
        <v>0</v>
      </c>
      <c r="AF78" s="322"/>
      <c r="AG78" s="436" t="str">
        <f>VLOOKUP(A78,'Feature Summary'!$A$7:$U$4030,21,FALSE)</f>
        <v>wk-5</v>
      </c>
      <c r="AH78" s="324"/>
    </row>
    <row r="79" spans="1:34" ht="75" x14ac:dyDescent="0.25">
      <c r="A79" s="330" t="s">
        <v>550</v>
      </c>
      <c r="B79" s="557" t="s">
        <v>551</v>
      </c>
      <c r="C79" s="558"/>
      <c r="D79" s="559" t="s">
        <v>552</v>
      </c>
      <c r="E79" s="560"/>
      <c r="F79" s="558" t="s">
        <v>553</v>
      </c>
      <c r="G79" s="242" t="e">
        <f>VLOOKUP(A79,'Feature Summary'!$A$7:$C$4030,3,FALSE)</f>
        <v>#N/A</v>
      </c>
      <c r="H79" s="571" t="s">
        <v>554</v>
      </c>
      <c r="I79" s="322" t="s">
        <v>41</v>
      </c>
      <c r="J79" s="322"/>
      <c r="K79" s="577">
        <v>1</v>
      </c>
      <c r="L79" s="579">
        <v>3</v>
      </c>
      <c r="M79" s="596" t="s">
        <v>33</v>
      </c>
      <c r="N79" s="591">
        <v>1</v>
      </c>
      <c r="O79" s="580">
        <v>3</v>
      </c>
      <c r="P79" s="589">
        <f t="shared" si="8"/>
        <v>1</v>
      </c>
      <c r="Q79" s="604" t="s">
        <v>48</v>
      </c>
      <c r="R79" s="579">
        <v>3</v>
      </c>
      <c r="S79" s="474">
        <f t="shared" si="10"/>
        <v>0</v>
      </c>
      <c r="T79" s="579"/>
      <c r="U79" s="462"/>
      <c r="V79" s="462"/>
      <c r="W79" s="462"/>
      <c r="X79" s="475">
        <f t="shared" si="7"/>
        <v>0</v>
      </c>
      <c r="Y79" s="605"/>
      <c r="Z79" s="461">
        <f t="shared" si="11"/>
        <v>0</v>
      </c>
      <c r="AA79" s="462"/>
      <c r="AB79" s="462"/>
      <c r="AC79" s="462"/>
      <c r="AD79" s="462"/>
      <c r="AE79" s="463">
        <f t="shared" si="9"/>
        <v>0</v>
      </c>
      <c r="AF79" s="611"/>
      <c r="AG79" s="436" t="e">
        <f>VLOOKUP(A79,'Feature Summary'!$A$7:$U$4030,21,FALSE)</f>
        <v>#N/A</v>
      </c>
      <c r="AH79" s="324"/>
    </row>
    <row r="80" spans="1:34" ht="30.75" thickBot="1" x14ac:dyDescent="0.3">
      <c r="A80" s="330" t="s">
        <v>555</v>
      </c>
      <c r="B80" s="557" t="s">
        <v>556</v>
      </c>
      <c r="C80" s="558"/>
      <c r="D80" s="559" t="s">
        <v>557</v>
      </c>
      <c r="E80" s="560"/>
      <c r="F80" s="558" t="s">
        <v>558</v>
      </c>
      <c r="G80" s="242" t="str">
        <f>VLOOKUP(A80,'Feature Summary'!$A$7:$C$4030,3,FALSE)</f>
        <v>P2</v>
      </c>
      <c r="H80" s="571" t="s">
        <v>559</v>
      </c>
      <c r="I80" s="322" t="s">
        <v>41</v>
      </c>
      <c r="J80" s="322"/>
      <c r="K80" s="577">
        <v>1</v>
      </c>
      <c r="L80" s="578">
        <v>20</v>
      </c>
      <c r="M80" s="596" t="s">
        <v>33</v>
      </c>
      <c r="N80" s="591">
        <v>1</v>
      </c>
      <c r="O80" s="578">
        <v>20</v>
      </c>
      <c r="P80" s="589">
        <f t="shared" si="8"/>
        <v>1</v>
      </c>
      <c r="Q80" s="604" t="s">
        <v>48</v>
      </c>
      <c r="R80" s="578">
        <v>20</v>
      </c>
      <c r="S80" s="474">
        <f t="shared" si="10"/>
        <v>0</v>
      </c>
      <c r="T80" s="578"/>
      <c r="U80" s="462"/>
      <c r="V80" s="462"/>
      <c r="W80" s="462"/>
      <c r="X80" s="475">
        <f t="shared" si="7"/>
        <v>0</v>
      </c>
      <c r="Y80" s="605"/>
      <c r="Z80" s="461">
        <f t="shared" si="11"/>
        <v>0</v>
      </c>
      <c r="AA80" s="462"/>
      <c r="AB80" s="462"/>
      <c r="AC80" s="462"/>
      <c r="AD80" s="462"/>
      <c r="AE80" s="463">
        <f t="shared" si="9"/>
        <v>0</v>
      </c>
      <c r="AF80" s="322"/>
      <c r="AG80" s="436" t="str">
        <f>VLOOKUP(A80,'Feature Summary'!$A$7:$U$4030,21,FALSE)</f>
        <v>wk-6</v>
      </c>
      <c r="AH80" s="324"/>
    </row>
    <row r="81" spans="1:34" ht="30" x14ac:dyDescent="0.25">
      <c r="A81" s="330" t="s">
        <v>555</v>
      </c>
      <c r="B81" s="557" t="s">
        <v>556</v>
      </c>
      <c r="C81" s="558"/>
      <c r="D81" s="559" t="s">
        <v>557</v>
      </c>
      <c r="E81" s="560"/>
      <c r="F81" s="558" t="s">
        <v>560</v>
      </c>
      <c r="G81" s="242" t="str">
        <f>VLOOKUP(A81,'Feature Summary'!$A$7:$C$4030,3,FALSE)</f>
        <v>P2</v>
      </c>
      <c r="H81" s="571" t="s">
        <v>561</v>
      </c>
      <c r="I81" s="322" t="s">
        <v>41</v>
      </c>
      <c r="J81" s="322"/>
      <c r="K81" s="577">
        <v>1</v>
      </c>
      <c r="L81" s="578">
        <v>28</v>
      </c>
      <c r="M81" s="596" t="s">
        <v>33</v>
      </c>
      <c r="N81" s="591">
        <v>1</v>
      </c>
      <c r="O81" s="578">
        <v>28</v>
      </c>
      <c r="P81" s="589">
        <f t="shared" ref="P81" si="12">IF((O81=0),0,(O81/L81))</f>
        <v>1</v>
      </c>
      <c r="Q81" s="604" t="s">
        <v>48</v>
      </c>
      <c r="R81" s="578">
        <v>28</v>
      </c>
      <c r="S81" s="472">
        <f t="shared" si="10"/>
        <v>0</v>
      </c>
      <c r="T81" s="578"/>
      <c r="U81" s="462"/>
      <c r="V81" s="462"/>
      <c r="W81" s="462"/>
      <c r="X81" s="475">
        <f t="shared" ref="X81" si="13">IF((S81=0),0,((T81+U81)/S81*100%))</f>
        <v>0</v>
      </c>
      <c r="Y81" s="605"/>
      <c r="Z81" s="461">
        <f t="shared" si="11"/>
        <v>0</v>
      </c>
      <c r="AA81" s="462"/>
      <c r="AB81" s="462"/>
      <c r="AC81" s="462"/>
      <c r="AD81" s="462"/>
      <c r="AE81" s="463">
        <f t="shared" ref="AE81" si="14">IF((Z81=0),0,((AA81+AB81)/Z81*100%))</f>
        <v>0</v>
      </c>
      <c r="AF81" s="322"/>
      <c r="AG81" s="436" t="str">
        <f>VLOOKUP(A81,'Feature Summary'!$A$7:$U$4030,21,FALSE)</f>
        <v>wk-6</v>
      </c>
      <c r="AH81" s="324"/>
    </row>
    <row r="82" spans="1:34" ht="30" x14ac:dyDescent="0.25">
      <c r="A82" s="330" t="s">
        <v>555</v>
      </c>
      <c r="B82" s="557" t="s">
        <v>556</v>
      </c>
      <c r="C82" s="558"/>
      <c r="D82" s="559" t="s">
        <v>557</v>
      </c>
      <c r="E82" s="560"/>
      <c r="F82" s="558" t="s">
        <v>562</v>
      </c>
      <c r="G82" s="242" t="str">
        <f>VLOOKUP(A82,'Feature Summary'!$A$7:$C$4030,3,FALSE)</f>
        <v>P2</v>
      </c>
      <c r="H82" s="571" t="s">
        <v>563</v>
      </c>
      <c r="I82" s="322" t="s">
        <v>41</v>
      </c>
      <c r="J82" s="322"/>
      <c r="K82" s="577">
        <v>1</v>
      </c>
      <c r="L82" s="578">
        <v>12</v>
      </c>
      <c r="M82" s="596" t="s">
        <v>33</v>
      </c>
      <c r="N82" s="591">
        <v>1</v>
      </c>
      <c r="O82" s="578">
        <v>12</v>
      </c>
      <c r="P82" s="589">
        <f t="shared" si="8"/>
        <v>1</v>
      </c>
      <c r="Q82" s="604" t="s">
        <v>48</v>
      </c>
      <c r="R82" s="578">
        <v>18</v>
      </c>
      <c r="S82" s="474">
        <f t="shared" si="10"/>
        <v>0</v>
      </c>
      <c r="T82" s="578"/>
      <c r="U82" s="462"/>
      <c r="V82" s="462"/>
      <c r="W82" s="462"/>
      <c r="X82" s="475">
        <f t="shared" si="7"/>
        <v>0</v>
      </c>
      <c r="Y82" s="605"/>
      <c r="Z82" s="461">
        <f t="shared" si="11"/>
        <v>0</v>
      </c>
      <c r="AA82" s="462"/>
      <c r="AB82" s="462"/>
      <c r="AC82" s="462"/>
      <c r="AD82" s="462"/>
      <c r="AE82" s="463">
        <f t="shared" si="9"/>
        <v>0</v>
      </c>
      <c r="AF82" s="611"/>
      <c r="AG82" s="436" t="str">
        <f>VLOOKUP(A82,'Feature Summary'!$A$7:$U$4030,21,FALSE)</f>
        <v>wk-6</v>
      </c>
      <c r="AH82" s="615"/>
    </row>
    <row r="83" spans="1:34" ht="30.75" thickBot="1" x14ac:dyDescent="0.3">
      <c r="A83" s="330" t="s">
        <v>555</v>
      </c>
      <c r="B83" s="557" t="s">
        <v>556</v>
      </c>
      <c r="C83" s="558"/>
      <c r="D83" s="559" t="s">
        <v>557</v>
      </c>
      <c r="E83" s="560"/>
      <c r="F83" s="558" t="s">
        <v>564</v>
      </c>
      <c r="G83" s="242" t="str">
        <f>VLOOKUP(A83,'Feature Summary'!$A$7:$C$4030,3,FALSE)</f>
        <v>P2</v>
      </c>
      <c r="H83" s="571" t="s">
        <v>565</v>
      </c>
      <c r="I83" s="322" t="s">
        <v>35</v>
      </c>
      <c r="J83" s="322"/>
      <c r="K83" s="577">
        <v>1</v>
      </c>
      <c r="L83" s="578">
        <v>1</v>
      </c>
      <c r="M83" s="596" t="s">
        <v>33</v>
      </c>
      <c r="N83" s="591">
        <v>1</v>
      </c>
      <c r="O83" s="578">
        <v>1</v>
      </c>
      <c r="P83" s="589">
        <f t="shared" ref="P83" si="15">IF((O83=0),0,(O83/L83))</f>
        <v>1</v>
      </c>
      <c r="Q83" s="604" t="s">
        <v>48</v>
      </c>
      <c r="R83" s="578">
        <v>1</v>
      </c>
      <c r="S83" s="474">
        <f t="shared" si="10"/>
        <v>0</v>
      </c>
      <c r="T83" s="578"/>
      <c r="U83" s="462"/>
      <c r="V83" s="462"/>
      <c r="W83" s="462"/>
      <c r="X83" s="475">
        <f t="shared" ref="X83" si="16">IF((S83=0),0,((T83+U83)/S83*100%))</f>
        <v>0</v>
      </c>
      <c r="Y83" s="605"/>
      <c r="Z83" s="461">
        <f t="shared" si="11"/>
        <v>0</v>
      </c>
      <c r="AA83" s="462"/>
      <c r="AB83" s="462"/>
      <c r="AC83" s="462"/>
      <c r="AD83" s="462"/>
      <c r="AE83" s="463">
        <f t="shared" ref="AE83" si="17">IF((Z83=0),0,((AA83+AB83)/Z83*100%))</f>
        <v>0</v>
      </c>
      <c r="AF83" s="322"/>
      <c r="AG83" s="436" t="str">
        <f>VLOOKUP(A83,'Feature Summary'!$A$7:$U$4030,21,FALSE)</f>
        <v>wk-6</v>
      </c>
      <c r="AH83" s="324"/>
    </row>
    <row r="84" spans="1:34" x14ac:dyDescent="0.25">
      <c r="A84" s="562" t="s">
        <v>566</v>
      </c>
      <c r="B84" s="560" t="s">
        <v>567</v>
      </c>
      <c r="C84" s="558"/>
      <c r="D84" s="559" t="s">
        <v>557</v>
      </c>
      <c r="E84" s="560"/>
      <c r="F84" s="563" t="s">
        <v>568</v>
      </c>
      <c r="G84" s="242" t="e">
        <f>VLOOKUP(A84,'Feature Summary'!$A$7:$C$4030,3,FALSE)</f>
        <v>#N/A</v>
      </c>
      <c r="H84" s="571" t="s">
        <v>569</v>
      </c>
      <c r="I84" s="322" t="s">
        <v>41</v>
      </c>
      <c r="J84" s="322"/>
      <c r="K84" s="577">
        <v>2</v>
      </c>
      <c r="L84" s="578">
        <v>12</v>
      </c>
      <c r="M84" s="596" t="s">
        <v>33</v>
      </c>
      <c r="N84" s="591">
        <v>1</v>
      </c>
      <c r="O84" s="578">
        <v>12</v>
      </c>
      <c r="P84" s="589">
        <f t="shared" si="8"/>
        <v>1</v>
      </c>
      <c r="Q84" s="604" t="s">
        <v>48</v>
      </c>
      <c r="R84" s="578">
        <v>12</v>
      </c>
      <c r="S84" s="472">
        <f t="shared" si="10"/>
        <v>0</v>
      </c>
      <c r="T84" s="578"/>
      <c r="U84" s="462"/>
      <c r="V84" s="462"/>
      <c r="W84" s="462"/>
      <c r="X84" s="475">
        <f t="shared" si="7"/>
        <v>0</v>
      </c>
      <c r="Y84" s="605"/>
      <c r="Z84" s="461">
        <f t="shared" si="11"/>
        <v>0</v>
      </c>
      <c r="AA84" s="462"/>
      <c r="AB84" s="462"/>
      <c r="AC84" s="462"/>
      <c r="AD84" s="462"/>
      <c r="AE84" s="463">
        <f t="shared" si="9"/>
        <v>0</v>
      </c>
      <c r="AF84" s="611"/>
      <c r="AG84" s="436" t="e">
        <f>VLOOKUP(A84,'Feature Summary'!$A$7:$U$4030,21,FALSE)</f>
        <v>#N/A</v>
      </c>
      <c r="AH84" s="615"/>
    </row>
    <row r="85" spans="1:34" ht="60" x14ac:dyDescent="0.25">
      <c r="A85" s="330" t="s">
        <v>570</v>
      </c>
      <c r="B85" s="557" t="s">
        <v>571</v>
      </c>
      <c r="C85" s="558"/>
      <c r="D85" s="559" t="s">
        <v>572</v>
      </c>
      <c r="E85" s="560"/>
      <c r="F85" s="564" t="s">
        <v>573</v>
      </c>
      <c r="G85" s="242" t="e">
        <f>VLOOKUP(A85,'Feature Summary'!$A$7:$C$4030,3,FALSE)</f>
        <v>#N/A</v>
      </c>
      <c r="H85" s="564" t="s">
        <v>574</v>
      </c>
      <c r="I85" s="322" t="s">
        <v>41</v>
      </c>
      <c r="J85" s="322"/>
      <c r="K85" s="577">
        <v>1</v>
      </c>
      <c r="L85" s="581">
        <v>10</v>
      </c>
      <c r="M85" s="596" t="s">
        <v>33</v>
      </c>
      <c r="N85" s="591">
        <v>1</v>
      </c>
      <c r="O85" s="582">
        <v>10</v>
      </c>
      <c r="P85" s="589">
        <f t="shared" si="8"/>
        <v>1</v>
      </c>
      <c r="Q85" s="604" t="s">
        <v>48</v>
      </c>
      <c r="R85" s="581">
        <v>10</v>
      </c>
      <c r="S85" s="474">
        <f t="shared" si="10"/>
        <v>0</v>
      </c>
      <c r="T85" s="581"/>
      <c r="U85" s="462"/>
      <c r="V85" s="462"/>
      <c r="W85" s="462"/>
      <c r="X85" s="475">
        <f t="shared" si="7"/>
        <v>0</v>
      </c>
      <c r="Y85" s="605"/>
      <c r="Z85" s="461">
        <f t="shared" si="11"/>
        <v>0</v>
      </c>
      <c r="AA85" s="462"/>
      <c r="AB85" s="462"/>
      <c r="AC85" s="462"/>
      <c r="AD85" s="462"/>
      <c r="AE85" s="463">
        <f t="shared" si="9"/>
        <v>0</v>
      </c>
      <c r="AF85" s="611"/>
      <c r="AG85" s="436" t="e">
        <f>VLOOKUP(A85,'Feature Summary'!$A$7:$U$4030,21,FALSE)</f>
        <v>#N/A</v>
      </c>
      <c r="AH85" s="324"/>
    </row>
    <row r="86" spans="1:34" ht="15.75" thickBot="1" x14ac:dyDescent="0.3">
      <c r="A86" s="330" t="s">
        <v>575</v>
      </c>
      <c r="B86" s="557" t="s">
        <v>576</v>
      </c>
      <c r="C86" s="558"/>
      <c r="D86" s="559" t="s">
        <v>572</v>
      </c>
      <c r="E86" s="560"/>
      <c r="F86" s="564" t="s">
        <v>577</v>
      </c>
      <c r="G86" s="242" t="str">
        <f>VLOOKUP(A86,'Feature Summary'!$A$7:$C$4030,3,FALSE)</f>
        <v>P2</v>
      </c>
      <c r="H86" s="572" t="s">
        <v>578</v>
      </c>
      <c r="I86" s="322" t="s">
        <v>41</v>
      </c>
      <c r="J86" s="322"/>
      <c r="K86" s="577">
        <v>1</v>
      </c>
      <c r="L86" s="581">
        <v>215</v>
      </c>
      <c r="M86" s="596" t="s">
        <v>33</v>
      </c>
      <c r="N86" s="591">
        <v>1</v>
      </c>
      <c r="O86" s="582">
        <v>215</v>
      </c>
      <c r="P86" s="589">
        <f t="shared" si="8"/>
        <v>1</v>
      </c>
      <c r="Q86" s="604" t="s">
        <v>48</v>
      </c>
      <c r="R86" s="581">
        <v>215</v>
      </c>
      <c r="S86" s="474">
        <f t="shared" si="10"/>
        <v>0</v>
      </c>
      <c r="T86" s="581"/>
      <c r="U86" s="462"/>
      <c r="V86" s="462"/>
      <c r="W86" s="462"/>
      <c r="X86" s="475">
        <f t="shared" si="7"/>
        <v>0</v>
      </c>
      <c r="Y86" s="605"/>
      <c r="Z86" s="461">
        <f t="shared" si="11"/>
        <v>0</v>
      </c>
      <c r="AA86" s="462"/>
      <c r="AB86" s="462"/>
      <c r="AC86" s="462"/>
      <c r="AD86" s="462"/>
      <c r="AE86" s="463">
        <f t="shared" si="9"/>
        <v>0</v>
      </c>
      <c r="AF86" s="322"/>
      <c r="AG86" s="436" t="str">
        <f>VLOOKUP(A86,'Feature Summary'!$A$7:$U$4030,21,FALSE)</f>
        <v>wk-7</v>
      </c>
      <c r="AH86" s="324"/>
    </row>
    <row r="87" spans="1:34" ht="30" x14ac:dyDescent="0.25">
      <c r="A87" s="330" t="s">
        <v>579</v>
      </c>
      <c r="B87" s="557" t="s">
        <v>580</v>
      </c>
      <c r="C87" s="558"/>
      <c r="D87" s="559" t="s">
        <v>572</v>
      </c>
      <c r="E87" s="560"/>
      <c r="F87" s="564" t="s">
        <v>581</v>
      </c>
      <c r="G87" s="242" t="str">
        <f>VLOOKUP(A87,'Feature Summary'!$A$7:$C$4030,3,FALSE)</f>
        <v>P2</v>
      </c>
      <c r="H87" s="572" t="s">
        <v>582</v>
      </c>
      <c r="I87" s="322" t="s">
        <v>41</v>
      </c>
      <c r="J87" s="322"/>
      <c r="K87" s="577">
        <v>1</v>
      </c>
      <c r="L87" s="581">
        <v>215</v>
      </c>
      <c r="M87" s="596" t="s">
        <v>33</v>
      </c>
      <c r="N87" s="591">
        <v>1</v>
      </c>
      <c r="O87" s="582">
        <v>215</v>
      </c>
      <c r="P87" s="589">
        <f t="shared" si="8"/>
        <v>1</v>
      </c>
      <c r="Q87" s="604" t="s">
        <v>48</v>
      </c>
      <c r="R87" s="581">
        <v>215</v>
      </c>
      <c r="S87" s="472">
        <f t="shared" si="10"/>
        <v>0</v>
      </c>
      <c r="T87" s="581"/>
      <c r="U87" s="462"/>
      <c r="V87" s="462"/>
      <c r="W87" s="462"/>
      <c r="X87" s="475">
        <f t="shared" si="7"/>
        <v>0</v>
      </c>
      <c r="Y87" s="605"/>
      <c r="Z87" s="461">
        <f t="shared" si="11"/>
        <v>0</v>
      </c>
      <c r="AA87" s="462"/>
      <c r="AB87" s="462"/>
      <c r="AC87" s="462"/>
      <c r="AD87" s="462"/>
      <c r="AE87" s="463">
        <f t="shared" si="9"/>
        <v>0</v>
      </c>
      <c r="AF87" s="322"/>
      <c r="AG87" s="436" t="str">
        <f>VLOOKUP(A87,'Feature Summary'!$A$7:$U$4030,21,FALSE)</f>
        <v>wk-5</v>
      </c>
      <c r="AH87" s="324"/>
    </row>
    <row r="88" spans="1:34" x14ac:dyDescent="0.25">
      <c r="A88" s="330" t="s">
        <v>583</v>
      </c>
      <c r="B88" s="557" t="s">
        <v>584</v>
      </c>
      <c r="C88" s="558"/>
      <c r="D88" s="559" t="s">
        <v>572</v>
      </c>
      <c r="E88" s="560"/>
      <c r="F88" s="564" t="s">
        <v>585</v>
      </c>
      <c r="G88" s="242" t="str">
        <f>VLOOKUP(A88,'Feature Summary'!$A$7:$C$4030,3,FALSE)</f>
        <v>P2</v>
      </c>
      <c r="H88" s="572" t="s">
        <v>586</v>
      </c>
      <c r="I88" s="322" t="s">
        <v>41</v>
      </c>
      <c r="J88" s="322"/>
      <c r="K88" s="577">
        <v>1</v>
      </c>
      <c r="L88" s="581">
        <v>215</v>
      </c>
      <c r="M88" s="596" t="s">
        <v>33</v>
      </c>
      <c r="N88" s="591">
        <v>1</v>
      </c>
      <c r="O88" s="582">
        <v>215</v>
      </c>
      <c r="P88" s="589">
        <f t="shared" si="8"/>
        <v>1</v>
      </c>
      <c r="Q88" s="604" t="s">
        <v>48</v>
      </c>
      <c r="R88" s="581">
        <v>215</v>
      </c>
      <c r="S88" s="474">
        <f t="shared" si="10"/>
        <v>0</v>
      </c>
      <c r="T88" s="581"/>
      <c r="U88" s="462"/>
      <c r="V88" s="462"/>
      <c r="W88" s="462"/>
      <c r="X88" s="475">
        <f t="shared" si="7"/>
        <v>0</v>
      </c>
      <c r="Y88" s="605"/>
      <c r="Z88" s="461">
        <f t="shared" si="11"/>
        <v>0</v>
      </c>
      <c r="AA88" s="462"/>
      <c r="AB88" s="462"/>
      <c r="AC88" s="462"/>
      <c r="AD88" s="462"/>
      <c r="AE88" s="463">
        <f t="shared" si="9"/>
        <v>0</v>
      </c>
      <c r="AF88" s="611"/>
      <c r="AG88" s="436" t="str">
        <f>VLOOKUP(A88,'Feature Summary'!$A$7:$U$4030,21,FALSE)</f>
        <v>wk-5</v>
      </c>
      <c r="AH88" s="615"/>
    </row>
    <row r="89" spans="1:34" ht="15.75" thickBot="1" x14ac:dyDescent="0.3">
      <c r="A89" s="330" t="s">
        <v>587</v>
      </c>
      <c r="B89" s="557" t="s">
        <v>588</v>
      </c>
      <c r="C89" s="558"/>
      <c r="D89" s="559" t="s">
        <v>572</v>
      </c>
      <c r="E89" s="560"/>
      <c r="F89" s="564" t="s">
        <v>589</v>
      </c>
      <c r="G89" s="242" t="str">
        <f>VLOOKUP(A89,'Feature Summary'!$A$7:$C$4030,3,FALSE)</f>
        <v>P2</v>
      </c>
      <c r="H89" s="564" t="s">
        <v>590</v>
      </c>
      <c r="I89" s="322" t="s">
        <v>41</v>
      </c>
      <c r="J89" s="322"/>
      <c r="K89" s="577">
        <v>1</v>
      </c>
      <c r="L89" s="581">
        <v>1</v>
      </c>
      <c r="M89" s="596" t="s">
        <v>33</v>
      </c>
      <c r="N89" s="591">
        <v>1</v>
      </c>
      <c r="O89" s="582">
        <v>1</v>
      </c>
      <c r="P89" s="589">
        <f t="shared" si="8"/>
        <v>1</v>
      </c>
      <c r="Q89" s="604" t="s">
        <v>48</v>
      </c>
      <c r="R89" s="581">
        <v>1</v>
      </c>
      <c r="S89" s="474">
        <f t="shared" si="10"/>
        <v>0</v>
      </c>
      <c r="T89" s="581"/>
      <c r="U89" s="462"/>
      <c r="V89" s="462"/>
      <c r="W89" s="462"/>
      <c r="X89" s="475">
        <f t="shared" si="7"/>
        <v>0</v>
      </c>
      <c r="Y89" s="605"/>
      <c r="Z89" s="461">
        <f t="shared" si="11"/>
        <v>0</v>
      </c>
      <c r="AA89" s="462"/>
      <c r="AB89" s="462"/>
      <c r="AC89" s="462"/>
      <c r="AD89" s="462"/>
      <c r="AE89" s="463">
        <f t="shared" si="9"/>
        <v>0</v>
      </c>
      <c r="AF89" s="611"/>
      <c r="AG89" s="436" t="str">
        <f>VLOOKUP(A89,'Feature Summary'!$A$7:$U$4030,21,FALSE)</f>
        <v>N/A</v>
      </c>
      <c r="AH89" s="615"/>
    </row>
    <row r="90" spans="1:34" ht="30" x14ac:dyDescent="0.25">
      <c r="A90" s="330" t="s">
        <v>591</v>
      </c>
      <c r="B90" s="557" t="s">
        <v>592</v>
      </c>
      <c r="C90" s="558"/>
      <c r="D90" s="559" t="s">
        <v>572</v>
      </c>
      <c r="E90" s="560"/>
      <c r="F90" s="564" t="s">
        <v>593</v>
      </c>
      <c r="G90" s="242" t="str">
        <f>VLOOKUP(A90,'Feature Summary'!$A$7:$C$4030,3,FALSE)</f>
        <v>P2</v>
      </c>
      <c r="H90" s="572" t="s">
        <v>594</v>
      </c>
      <c r="I90" s="322" t="s">
        <v>41</v>
      </c>
      <c r="J90" s="322"/>
      <c r="K90" s="577">
        <v>1</v>
      </c>
      <c r="L90" s="581">
        <v>1</v>
      </c>
      <c r="M90" s="596" t="s">
        <v>33</v>
      </c>
      <c r="N90" s="591">
        <v>1</v>
      </c>
      <c r="O90" s="582">
        <v>1</v>
      </c>
      <c r="P90" s="589">
        <f t="shared" si="8"/>
        <v>1</v>
      </c>
      <c r="Q90" s="604" t="s">
        <v>48</v>
      </c>
      <c r="R90" s="581">
        <v>1</v>
      </c>
      <c r="S90" s="472">
        <f t="shared" si="10"/>
        <v>0</v>
      </c>
      <c r="T90" s="581"/>
      <c r="U90" s="462"/>
      <c r="V90" s="462"/>
      <c r="W90" s="462"/>
      <c r="X90" s="475">
        <f t="shared" si="7"/>
        <v>0</v>
      </c>
      <c r="Y90" s="605"/>
      <c r="Z90" s="461">
        <f t="shared" si="11"/>
        <v>0</v>
      </c>
      <c r="AA90" s="462"/>
      <c r="AB90" s="462"/>
      <c r="AC90" s="462"/>
      <c r="AD90" s="462"/>
      <c r="AE90" s="463">
        <f t="shared" si="9"/>
        <v>0</v>
      </c>
      <c r="AF90" s="322"/>
      <c r="AG90" s="436" t="str">
        <f>VLOOKUP(A90,'Feature Summary'!$A$7:$U$4030,21,FALSE)</f>
        <v>wk-6</v>
      </c>
      <c r="AH90" s="324"/>
    </row>
    <row r="91" spans="1:34" x14ac:dyDescent="0.25">
      <c r="A91" s="330" t="s">
        <v>595</v>
      </c>
      <c r="B91" s="557" t="s">
        <v>596</v>
      </c>
      <c r="C91" s="558"/>
      <c r="D91" s="559" t="s">
        <v>572</v>
      </c>
      <c r="E91" s="560"/>
      <c r="F91" s="564" t="s">
        <v>597</v>
      </c>
      <c r="G91" s="242" t="str">
        <f>VLOOKUP(A91,'Feature Summary'!$A$7:$C$4030,3,FALSE)</f>
        <v>P2</v>
      </c>
      <c r="H91" s="572" t="s">
        <v>598</v>
      </c>
      <c r="I91" s="322" t="s">
        <v>41</v>
      </c>
      <c r="J91" s="322"/>
      <c r="K91" s="577">
        <v>1</v>
      </c>
      <c r="L91" s="581">
        <v>199</v>
      </c>
      <c r="M91" s="596" t="s">
        <v>33</v>
      </c>
      <c r="N91" s="591">
        <v>1</v>
      </c>
      <c r="O91" s="582">
        <v>199</v>
      </c>
      <c r="P91" s="589">
        <f t="shared" si="8"/>
        <v>1</v>
      </c>
      <c r="Q91" s="604" t="s">
        <v>48</v>
      </c>
      <c r="R91" s="581">
        <v>199</v>
      </c>
      <c r="S91" s="474">
        <f t="shared" si="10"/>
        <v>0</v>
      </c>
      <c r="T91" s="581"/>
      <c r="U91" s="462"/>
      <c r="V91" s="462"/>
      <c r="W91" s="462"/>
      <c r="X91" s="475">
        <f t="shared" si="7"/>
        <v>0</v>
      </c>
      <c r="Y91" s="605"/>
      <c r="Z91" s="461">
        <f t="shared" si="11"/>
        <v>0</v>
      </c>
      <c r="AA91" s="462"/>
      <c r="AB91" s="462"/>
      <c r="AC91" s="462"/>
      <c r="AD91" s="462"/>
      <c r="AE91" s="463">
        <f t="shared" si="9"/>
        <v>0</v>
      </c>
      <c r="AF91" s="322"/>
      <c r="AG91" s="436" t="str">
        <f>VLOOKUP(A91,'Feature Summary'!$A$7:$U$4030,21,FALSE)</f>
        <v>wk-5</v>
      </c>
      <c r="AH91" s="324"/>
    </row>
    <row r="92" spans="1:34" ht="45.75" thickBot="1" x14ac:dyDescent="0.3">
      <c r="A92" s="330" t="s">
        <v>599</v>
      </c>
      <c r="B92" s="557" t="s">
        <v>600</v>
      </c>
      <c r="C92" s="558"/>
      <c r="D92" s="559" t="s">
        <v>572</v>
      </c>
      <c r="E92" s="560"/>
      <c r="F92" s="564" t="s">
        <v>573</v>
      </c>
      <c r="G92" s="242" t="e">
        <f>VLOOKUP(A92,'Feature Summary'!$A$7:$C$4030,3,FALSE)</f>
        <v>#N/A</v>
      </c>
      <c r="H92" s="564" t="s">
        <v>601</v>
      </c>
      <c r="I92" s="322" t="s">
        <v>41</v>
      </c>
      <c r="J92" s="322"/>
      <c r="K92" s="577">
        <v>1</v>
      </c>
      <c r="L92" s="581">
        <v>3</v>
      </c>
      <c r="M92" s="596" t="s">
        <v>33</v>
      </c>
      <c r="N92" s="591">
        <v>1</v>
      </c>
      <c r="O92" s="582">
        <v>3</v>
      </c>
      <c r="P92" s="589">
        <f t="shared" si="8"/>
        <v>1</v>
      </c>
      <c r="Q92" s="604" t="s">
        <v>48</v>
      </c>
      <c r="R92" s="581">
        <v>3</v>
      </c>
      <c r="S92" s="474">
        <f t="shared" si="10"/>
        <v>0</v>
      </c>
      <c r="T92" s="581"/>
      <c r="U92" s="462"/>
      <c r="V92" s="462"/>
      <c r="W92" s="462"/>
      <c r="X92" s="475">
        <f t="shared" si="7"/>
        <v>0</v>
      </c>
      <c r="Y92" s="605"/>
      <c r="Z92" s="461">
        <f t="shared" si="11"/>
        <v>0</v>
      </c>
      <c r="AA92" s="462"/>
      <c r="AB92" s="462"/>
      <c r="AC92" s="462"/>
      <c r="AD92" s="462"/>
      <c r="AE92" s="463">
        <f t="shared" si="9"/>
        <v>0</v>
      </c>
      <c r="AF92" s="611"/>
      <c r="AG92" s="436" t="e">
        <f>VLOOKUP(A92,'Feature Summary'!$A$7:$U$4030,21,FALSE)</f>
        <v>#N/A</v>
      </c>
      <c r="AH92" s="615"/>
    </row>
    <row r="93" spans="1:34" ht="30" x14ac:dyDescent="0.25">
      <c r="A93" s="330" t="s">
        <v>602</v>
      </c>
      <c r="B93" s="557" t="s">
        <v>603</v>
      </c>
      <c r="C93" s="558"/>
      <c r="D93" s="559" t="s">
        <v>572</v>
      </c>
      <c r="E93" s="560"/>
      <c r="F93" s="564" t="s">
        <v>604</v>
      </c>
      <c r="G93" s="242" t="str">
        <f>VLOOKUP(A93,'Feature Summary'!$A$7:$C$4030,3,FALSE)</f>
        <v>P2</v>
      </c>
      <c r="H93" s="572" t="s">
        <v>605</v>
      </c>
      <c r="I93" s="322" t="s">
        <v>41</v>
      </c>
      <c r="J93" s="322"/>
      <c r="K93" s="577">
        <v>1</v>
      </c>
      <c r="L93" s="581">
        <v>2</v>
      </c>
      <c r="M93" s="596" t="s">
        <v>33</v>
      </c>
      <c r="N93" s="591">
        <v>1</v>
      </c>
      <c r="O93" s="582">
        <v>2</v>
      </c>
      <c r="P93" s="589">
        <f t="shared" si="8"/>
        <v>1</v>
      </c>
      <c r="Q93" s="604" t="s">
        <v>48</v>
      </c>
      <c r="R93" s="581">
        <v>2</v>
      </c>
      <c r="S93" s="472">
        <f t="shared" si="10"/>
        <v>0</v>
      </c>
      <c r="T93" s="581"/>
      <c r="U93" s="462"/>
      <c r="V93" s="462"/>
      <c r="W93" s="462"/>
      <c r="X93" s="475">
        <f t="shared" si="7"/>
        <v>0</v>
      </c>
      <c r="Y93" s="605"/>
      <c r="Z93" s="461">
        <f t="shared" si="11"/>
        <v>0</v>
      </c>
      <c r="AA93" s="462"/>
      <c r="AB93" s="462"/>
      <c r="AC93" s="462"/>
      <c r="AD93" s="462"/>
      <c r="AE93" s="463">
        <f t="shared" si="9"/>
        <v>0</v>
      </c>
      <c r="AF93" s="611"/>
      <c r="AG93" s="436" t="str">
        <f>VLOOKUP(A93,'Feature Summary'!$A$7:$U$4030,21,FALSE)</f>
        <v>wk-5</v>
      </c>
      <c r="AH93" s="615"/>
    </row>
    <row r="94" spans="1:34" x14ac:dyDescent="0.25">
      <c r="A94" s="330" t="s">
        <v>606</v>
      </c>
      <c r="B94" s="557" t="s">
        <v>607</v>
      </c>
      <c r="C94" s="558"/>
      <c r="D94" s="559" t="s">
        <v>572</v>
      </c>
      <c r="E94" s="560"/>
      <c r="F94" s="564" t="s">
        <v>608</v>
      </c>
      <c r="G94" s="242" t="str">
        <f>VLOOKUP(A94,'Feature Summary'!$A$7:$C$4030,3,FALSE)</f>
        <v>P2</v>
      </c>
      <c r="H94" s="572" t="s">
        <v>609</v>
      </c>
      <c r="I94" s="322" t="s">
        <v>41</v>
      </c>
      <c r="J94" s="322"/>
      <c r="K94" s="577">
        <v>1</v>
      </c>
      <c r="L94" s="581">
        <v>2</v>
      </c>
      <c r="M94" s="596" t="s">
        <v>33</v>
      </c>
      <c r="N94" s="591">
        <v>1</v>
      </c>
      <c r="O94" s="582">
        <v>2</v>
      </c>
      <c r="P94" s="589">
        <f t="shared" si="8"/>
        <v>1</v>
      </c>
      <c r="Q94" s="604" t="s">
        <v>48</v>
      </c>
      <c r="R94" s="581">
        <v>2</v>
      </c>
      <c r="S94" s="474">
        <f t="shared" si="10"/>
        <v>0</v>
      </c>
      <c r="T94" s="581"/>
      <c r="U94" s="462"/>
      <c r="V94" s="462"/>
      <c r="W94" s="462"/>
      <c r="X94" s="475">
        <f t="shared" si="7"/>
        <v>0</v>
      </c>
      <c r="Y94" s="605"/>
      <c r="Z94" s="461">
        <f t="shared" si="11"/>
        <v>0</v>
      </c>
      <c r="AA94" s="462"/>
      <c r="AB94" s="462"/>
      <c r="AC94" s="462"/>
      <c r="AD94" s="462"/>
      <c r="AE94" s="463">
        <f t="shared" si="9"/>
        <v>0</v>
      </c>
      <c r="AF94" s="611"/>
      <c r="AG94" s="436" t="str">
        <f>VLOOKUP(A94,'Feature Summary'!$A$7:$U$4030,21,FALSE)</f>
        <v>wk-5</v>
      </c>
      <c r="AH94" s="615"/>
    </row>
    <row r="95" spans="1:34" ht="45.75" thickBot="1" x14ac:dyDescent="0.3">
      <c r="A95" s="330" t="s">
        <v>610</v>
      </c>
      <c r="B95" s="557" t="s">
        <v>611</v>
      </c>
      <c r="C95" s="558"/>
      <c r="D95" s="559" t="s">
        <v>572</v>
      </c>
      <c r="E95" s="560"/>
      <c r="F95" s="564" t="s">
        <v>612</v>
      </c>
      <c r="G95" s="242" t="e">
        <f>VLOOKUP(A95,'Feature Summary'!$A$7:$C$4030,3,FALSE)</f>
        <v>#N/A</v>
      </c>
      <c r="H95" s="572" t="s">
        <v>613</v>
      </c>
      <c r="I95" s="322" t="s">
        <v>41</v>
      </c>
      <c r="J95" s="322"/>
      <c r="K95" s="577">
        <v>1</v>
      </c>
      <c r="L95" s="581">
        <v>16</v>
      </c>
      <c r="M95" s="596" t="s">
        <v>33</v>
      </c>
      <c r="N95" s="591">
        <v>1</v>
      </c>
      <c r="O95" s="582">
        <v>16</v>
      </c>
      <c r="P95" s="589">
        <f t="shared" si="8"/>
        <v>1</v>
      </c>
      <c r="Q95" s="604" t="s">
        <v>48</v>
      </c>
      <c r="R95" s="581">
        <v>16</v>
      </c>
      <c r="S95" s="474">
        <f t="shared" si="10"/>
        <v>0</v>
      </c>
      <c r="T95" s="581"/>
      <c r="U95" s="462"/>
      <c r="V95" s="462"/>
      <c r="W95" s="462"/>
      <c r="X95" s="475">
        <f t="shared" si="7"/>
        <v>0</v>
      </c>
      <c r="Y95" s="605"/>
      <c r="Z95" s="461">
        <f t="shared" si="11"/>
        <v>0</v>
      </c>
      <c r="AA95" s="462"/>
      <c r="AB95" s="462"/>
      <c r="AC95" s="462"/>
      <c r="AD95" s="462"/>
      <c r="AE95" s="463">
        <f t="shared" si="9"/>
        <v>0</v>
      </c>
      <c r="AF95" s="611"/>
      <c r="AG95" s="436" t="e">
        <f>VLOOKUP(A95,'Feature Summary'!$A$7:$U$4030,21,FALSE)</f>
        <v>#N/A</v>
      </c>
      <c r="AH95" s="324"/>
    </row>
    <row r="96" spans="1:34" ht="30" x14ac:dyDescent="0.25">
      <c r="A96" s="330" t="s">
        <v>614</v>
      </c>
      <c r="B96" s="557" t="s">
        <v>615</v>
      </c>
      <c r="C96" s="558"/>
      <c r="D96" s="559" t="s">
        <v>572</v>
      </c>
      <c r="E96" s="560"/>
      <c r="F96" s="564" t="s">
        <v>616</v>
      </c>
      <c r="G96" s="242" t="str">
        <f>VLOOKUP(A96,'Feature Summary'!$A$7:$C$4030,3,FALSE)</f>
        <v>P2</v>
      </c>
      <c r="H96" s="572" t="s">
        <v>617</v>
      </c>
      <c r="I96" s="322" t="s">
        <v>41</v>
      </c>
      <c r="J96" s="322"/>
      <c r="K96" s="577">
        <v>1</v>
      </c>
      <c r="L96" s="581">
        <v>4</v>
      </c>
      <c r="M96" s="596" t="s">
        <v>33</v>
      </c>
      <c r="N96" s="591">
        <v>1</v>
      </c>
      <c r="O96" s="582">
        <v>4</v>
      </c>
      <c r="P96" s="589">
        <f t="shared" si="8"/>
        <v>1</v>
      </c>
      <c r="Q96" s="604" t="s">
        <v>48</v>
      </c>
      <c r="R96" s="581">
        <v>4</v>
      </c>
      <c r="S96" s="472">
        <f t="shared" si="10"/>
        <v>0</v>
      </c>
      <c r="T96" s="581"/>
      <c r="U96" s="462"/>
      <c r="V96" s="462"/>
      <c r="W96" s="462"/>
      <c r="X96" s="475">
        <f t="shared" si="7"/>
        <v>0</v>
      </c>
      <c r="Y96" s="605"/>
      <c r="Z96" s="461">
        <f t="shared" si="11"/>
        <v>0</v>
      </c>
      <c r="AA96" s="462"/>
      <c r="AB96" s="462"/>
      <c r="AC96" s="462"/>
      <c r="AD96" s="462"/>
      <c r="AE96" s="463">
        <f t="shared" si="9"/>
        <v>0</v>
      </c>
      <c r="AF96" s="611"/>
      <c r="AG96" s="436" t="str">
        <f>VLOOKUP(A96,'Feature Summary'!$A$7:$U$4030,21,FALSE)</f>
        <v>N/A</v>
      </c>
      <c r="AH96" s="324"/>
    </row>
    <row r="97" spans="1:34" ht="30" x14ac:dyDescent="0.25">
      <c r="A97" s="337" t="s">
        <v>587</v>
      </c>
      <c r="B97" s="557" t="s">
        <v>618</v>
      </c>
      <c r="C97" s="558"/>
      <c r="D97" s="559" t="s">
        <v>572</v>
      </c>
      <c r="E97" s="560"/>
      <c r="F97" s="564" t="s">
        <v>618</v>
      </c>
      <c r="G97" s="242" t="str">
        <f>VLOOKUP(A97,'Feature Summary'!$A$7:$C$4030,3,FALSE)</f>
        <v>P2</v>
      </c>
      <c r="H97" s="572" t="s">
        <v>619</v>
      </c>
      <c r="I97" s="322" t="s">
        <v>41</v>
      </c>
      <c r="J97" s="322"/>
      <c r="K97" s="577">
        <v>1</v>
      </c>
      <c r="L97" s="581">
        <v>1</v>
      </c>
      <c r="M97" s="596" t="s">
        <v>33</v>
      </c>
      <c r="N97" s="591">
        <v>1</v>
      </c>
      <c r="O97" s="582">
        <v>1</v>
      </c>
      <c r="P97" s="589">
        <f t="shared" si="8"/>
        <v>1</v>
      </c>
      <c r="Q97" s="604" t="s">
        <v>48</v>
      </c>
      <c r="R97" s="581">
        <v>1</v>
      </c>
      <c r="S97" s="474">
        <f t="shared" si="10"/>
        <v>0</v>
      </c>
      <c r="T97" s="581"/>
      <c r="U97" s="462"/>
      <c r="V97" s="462"/>
      <c r="W97" s="462"/>
      <c r="X97" s="475">
        <f t="shared" si="7"/>
        <v>0</v>
      </c>
      <c r="Y97" s="605"/>
      <c r="Z97" s="461">
        <f t="shared" si="11"/>
        <v>0</v>
      </c>
      <c r="AA97" s="462"/>
      <c r="AB97" s="462"/>
      <c r="AC97" s="462"/>
      <c r="AD97" s="462"/>
      <c r="AE97" s="463">
        <f t="shared" si="9"/>
        <v>0</v>
      </c>
      <c r="AF97" s="611"/>
      <c r="AG97" s="436" t="str">
        <f>VLOOKUP(A97,'Feature Summary'!$A$7:$U$4030,21,FALSE)</f>
        <v>N/A</v>
      </c>
      <c r="AH97" s="324"/>
    </row>
    <row r="98" spans="1:34" ht="60.75" thickBot="1" x14ac:dyDescent="0.3">
      <c r="A98" s="330" t="s">
        <v>620</v>
      </c>
      <c r="B98" s="557" t="s">
        <v>621</v>
      </c>
      <c r="C98" s="558"/>
      <c r="D98" s="559" t="s">
        <v>572</v>
      </c>
      <c r="E98" s="560"/>
      <c r="F98" s="564" t="s">
        <v>622</v>
      </c>
      <c r="G98" s="242" t="e">
        <f>VLOOKUP(A98,'Feature Summary'!$A$7:$C$4030,3,FALSE)</f>
        <v>#N/A</v>
      </c>
      <c r="H98" s="572" t="s">
        <v>623</v>
      </c>
      <c r="I98" s="322" t="s">
        <v>41</v>
      </c>
      <c r="J98" s="322"/>
      <c r="K98" s="577">
        <v>1</v>
      </c>
      <c r="L98" s="581">
        <v>2</v>
      </c>
      <c r="M98" s="596" t="s">
        <v>33</v>
      </c>
      <c r="N98" s="591">
        <v>1</v>
      </c>
      <c r="O98" s="582">
        <v>2</v>
      </c>
      <c r="P98" s="589">
        <f t="shared" si="8"/>
        <v>1</v>
      </c>
      <c r="Q98" s="604" t="s">
        <v>48</v>
      </c>
      <c r="R98" s="581">
        <v>2</v>
      </c>
      <c r="S98" s="474">
        <f t="shared" si="10"/>
        <v>0</v>
      </c>
      <c r="T98" s="581"/>
      <c r="U98" s="462"/>
      <c r="V98" s="462"/>
      <c r="W98" s="462"/>
      <c r="X98" s="475">
        <f t="shared" si="7"/>
        <v>0</v>
      </c>
      <c r="Y98" s="605"/>
      <c r="Z98" s="461">
        <f t="shared" si="11"/>
        <v>0</v>
      </c>
      <c r="AA98" s="462"/>
      <c r="AB98" s="462"/>
      <c r="AC98" s="462"/>
      <c r="AD98" s="462"/>
      <c r="AE98" s="463">
        <f t="shared" si="9"/>
        <v>0</v>
      </c>
      <c r="AF98" s="322"/>
      <c r="AG98" s="436" t="e">
        <f>VLOOKUP(A98,'Feature Summary'!$A$7:$U$4030,21,FALSE)</f>
        <v>#N/A</v>
      </c>
      <c r="AH98" s="324"/>
    </row>
    <row r="99" spans="1:34" ht="60" x14ac:dyDescent="0.25">
      <c r="A99" s="330" t="s">
        <v>624</v>
      </c>
      <c r="B99" s="557" t="s">
        <v>625</v>
      </c>
      <c r="C99" s="558"/>
      <c r="D99" s="559" t="s">
        <v>572</v>
      </c>
      <c r="E99" s="560"/>
      <c r="F99" s="564" t="s">
        <v>626</v>
      </c>
      <c r="G99" s="242" t="e">
        <f>VLOOKUP(A99,'Feature Summary'!$A$7:$C$4030,3,FALSE)</f>
        <v>#N/A</v>
      </c>
      <c r="H99" s="564" t="s">
        <v>627</v>
      </c>
      <c r="I99" s="322" t="s">
        <v>41</v>
      </c>
      <c r="J99" s="322"/>
      <c r="K99" s="577">
        <v>1</v>
      </c>
      <c r="L99" s="581">
        <v>1</v>
      </c>
      <c r="M99" s="596" t="s">
        <v>33</v>
      </c>
      <c r="N99" s="591">
        <v>1</v>
      </c>
      <c r="O99" s="582">
        <v>1</v>
      </c>
      <c r="P99" s="589">
        <f t="shared" si="8"/>
        <v>1</v>
      </c>
      <c r="Q99" s="604" t="s">
        <v>48</v>
      </c>
      <c r="R99" s="581">
        <v>1</v>
      </c>
      <c r="S99" s="472">
        <f t="shared" si="10"/>
        <v>0</v>
      </c>
      <c r="T99" s="581"/>
      <c r="U99" s="462"/>
      <c r="V99" s="462"/>
      <c r="W99" s="462"/>
      <c r="X99" s="475">
        <f t="shared" si="7"/>
        <v>0</v>
      </c>
      <c r="Y99" s="605"/>
      <c r="Z99" s="461">
        <f t="shared" si="11"/>
        <v>0</v>
      </c>
      <c r="AA99" s="462"/>
      <c r="AB99" s="462"/>
      <c r="AC99" s="462"/>
      <c r="AD99" s="462"/>
      <c r="AE99" s="463">
        <f t="shared" si="9"/>
        <v>0</v>
      </c>
      <c r="AF99" s="322"/>
      <c r="AG99" s="436" t="e">
        <f>VLOOKUP(A99,'Feature Summary'!$A$7:$U$4030,21,FALSE)</f>
        <v>#N/A</v>
      </c>
      <c r="AH99" s="324"/>
    </row>
    <row r="100" spans="1:34" ht="45" x14ac:dyDescent="0.25">
      <c r="A100" s="330" t="s">
        <v>628</v>
      </c>
      <c r="B100" s="557" t="s">
        <v>629</v>
      </c>
      <c r="C100" s="558"/>
      <c r="D100" s="559" t="s">
        <v>572</v>
      </c>
      <c r="E100" s="560"/>
      <c r="F100" s="564" t="s">
        <v>630</v>
      </c>
      <c r="G100" s="242" t="e">
        <f>VLOOKUP(A100,'Feature Summary'!$A$7:$C$4030,3,FALSE)</f>
        <v>#N/A</v>
      </c>
      <c r="H100" s="564" t="s">
        <v>631</v>
      </c>
      <c r="I100" s="322" t="s">
        <v>41</v>
      </c>
      <c r="J100" s="322"/>
      <c r="K100" s="577">
        <v>1</v>
      </c>
      <c r="L100" s="581">
        <v>1</v>
      </c>
      <c r="M100" s="596" t="s">
        <v>33</v>
      </c>
      <c r="N100" s="591">
        <v>1</v>
      </c>
      <c r="O100" s="582">
        <v>1</v>
      </c>
      <c r="P100" s="589">
        <f t="shared" si="8"/>
        <v>1</v>
      </c>
      <c r="Q100" s="604" t="s">
        <v>48</v>
      </c>
      <c r="R100" s="581">
        <v>1</v>
      </c>
      <c r="S100" s="474">
        <f t="shared" si="10"/>
        <v>0</v>
      </c>
      <c r="T100" s="581"/>
      <c r="U100" s="462"/>
      <c r="V100" s="462"/>
      <c r="W100" s="462"/>
      <c r="X100" s="475">
        <f t="shared" si="7"/>
        <v>0</v>
      </c>
      <c r="Y100" s="605"/>
      <c r="Z100" s="461">
        <f t="shared" si="11"/>
        <v>0</v>
      </c>
      <c r="AA100" s="462"/>
      <c r="AB100" s="462"/>
      <c r="AC100" s="462"/>
      <c r="AD100" s="462"/>
      <c r="AE100" s="463">
        <f t="shared" si="9"/>
        <v>0</v>
      </c>
      <c r="AF100" s="322"/>
      <c r="AG100" s="436" t="e">
        <f>VLOOKUP(A100,'Feature Summary'!$A$7:$U$4030,21,FALSE)</f>
        <v>#N/A</v>
      </c>
      <c r="AH100" s="324"/>
    </row>
    <row r="101" spans="1:34" ht="45.75" thickBot="1" x14ac:dyDescent="0.3">
      <c r="A101" s="330" t="s">
        <v>628</v>
      </c>
      <c r="B101" s="557" t="s">
        <v>629</v>
      </c>
      <c r="C101" s="558"/>
      <c r="D101" s="559" t="s">
        <v>572</v>
      </c>
      <c r="E101" s="560"/>
      <c r="F101" s="564" t="s">
        <v>632</v>
      </c>
      <c r="G101" s="242" t="e">
        <f>VLOOKUP(A101,'Feature Summary'!$A$7:$C$4030,3,FALSE)</f>
        <v>#N/A</v>
      </c>
      <c r="H101" s="564" t="s">
        <v>633</v>
      </c>
      <c r="I101" s="322" t="s">
        <v>41</v>
      </c>
      <c r="J101" s="322"/>
      <c r="K101" s="577">
        <v>1</v>
      </c>
      <c r="L101" s="581">
        <v>1</v>
      </c>
      <c r="M101" s="596" t="s">
        <v>33</v>
      </c>
      <c r="N101" s="591">
        <v>1</v>
      </c>
      <c r="O101" s="582">
        <v>1</v>
      </c>
      <c r="P101" s="589">
        <f t="shared" si="8"/>
        <v>1</v>
      </c>
      <c r="Q101" s="604" t="s">
        <v>48</v>
      </c>
      <c r="R101" s="581">
        <v>1</v>
      </c>
      <c r="S101" s="474">
        <f t="shared" si="10"/>
        <v>0</v>
      </c>
      <c r="T101" s="581"/>
      <c r="U101" s="462"/>
      <c r="V101" s="462"/>
      <c r="W101" s="462"/>
      <c r="X101" s="475">
        <f t="shared" si="7"/>
        <v>0</v>
      </c>
      <c r="Y101" s="605"/>
      <c r="Z101" s="461">
        <f t="shared" si="11"/>
        <v>0</v>
      </c>
      <c r="AA101" s="462"/>
      <c r="AB101" s="462"/>
      <c r="AC101" s="462"/>
      <c r="AD101" s="462"/>
      <c r="AE101" s="463">
        <f t="shared" si="9"/>
        <v>0</v>
      </c>
      <c r="AF101" s="322"/>
      <c r="AG101" s="436" t="e">
        <f>VLOOKUP(A101,'Feature Summary'!$A$7:$U$4030,21,FALSE)</f>
        <v>#N/A</v>
      </c>
      <c r="AH101" s="324"/>
    </row>
    <row r="102" spans="1:34" ht="30" x14ac:dyDescent="0.25">
      <c r="A102" s="330" t="s">
        <v>634</v>
      </c>
      <c r="B102" s="557" t="s">
        <v>635</v>
      </c>
      <c r="C102" s="558"/>
      <c r="D102" s="559" t="s">
        <v>572</v>
      </c>
      <c r="E102" s="560"/>
      <c r="F102" s="564" t="s">
        <v>636</v>
      </c>
      <c r="G102" s="242" t="str">
        <f>VLOOKUP(A102,'Feature Summary'!$A$7:$C$4030,3,FALSE)</f>
        <v>P2</v>
      </c>
      <c r="H102" s="572" t="s">
        <v>637</v>
      </c>
      <c r="I102" s="322" t="s">
        <v>41</v>
      </c>
      <c r="J102" s="322"/>
      <c r="K102" s="577">
        <v>1</v>
      </c>
      <c r="L102" s="581">
        <v>2</v>
      </c>
      <c r="M102" s="596" t="s">
        <v>33</v>
      </c>
      <c r="N102" s="591">
        <v>1</v>
      </c>
      <c r="O102" s="582">
        <v>2</v>
      </c>
      <c r="P102" s="589">
        <f t="shared" si="8"/>
        <v>1</v>
      </c>
      <c r="Q102" s="604" t="s">
        <v>48</v>
      </c>
      <c r="R102" s="581">
        <v>2</v>
      </c>
      <c r="S102" s="472">
        <f t="shared" si="10"/>
        <v>0</v>
      </c>
      <c r="T102" s="581"/>
      <c r="U102" s="462"/>
      <c r="V102" s="462"/>
      <c r="W102" s="462"/>
      <c r="X102" s="475">
        <f t="shared" si="7"/>
        <v>0</v>
      </c>
      <c r="Y102" s="605"/>
      <c r="Z102" s="461">
        <f t="shared" si="11"/>
        <v>0</v>
      </c>
      <c r="AA102" s="462"/>
      <c r="AB102" s="462"/>
      <c r="AC102" s="462"/>
      <c r="AD102" s="462"/>
      <c r="AE102" s="463">
        <f t="shared" si="9"/>
        <v>0</v>
      </c>
      <c r="AF102" s="322"/>
      <c r="AG102" s="436" t="str">
        <f>VLOOKUP(A102,'Feature Summary'!$A$7:$U$4030,21,FALSE)</f>
        <v>wk-8</v>
      </c>
      <c r="AH102" s="324"/>
    </row>
    <row r="103" spans="1:34" ht="30" x14ac:dyDescent="0.25">
      <c r="A103" s="330" t="s">
        <v>634</v>
      </c>
      <c r="B103" s="557" t="s">
        <v>635</v>
      </c>
      <c r="C103" s="558"/>
      <c r="D103" s="559" t="s">
        <v>572</v>
      </c>
      <c r="E103" s="560"/>
      <c r="F103" s="564" t="s">
        <v>638</v>
      </c>
      <c r="G103" s="242" t="str">
        <f>VLOOKUP(A103,'Feature Summary'!$A$7:$C$4030,3,FALSE)</f>
        <v>P2</v>
      </c>
      <c r="H103" s="572" t="s">
        <v>639</v>
      </c>
      <c r="I103" s="322" t="s">
        <v>41</v>
      </c>
      <c r="J103" s="322"/>
      <c r="K103" s="577">
        <v>1</v>
      </c>
      <c r="L103" s="581">
        <v>1</v>
      </c>
      <c r="M103" s="596" t="s">
        <v>33</v>
      </c>
      <c r="N103" s="591">
        <v>1</v>
      </c>
      <c r="O103" s="582">
        <v>1</v>
      </c>
      <c r="P103" s="589">
        <f t="shared" si="8"/>
        <v>1</v>
      </c>
      <c r="Q103" s="604" t="s">
        <v>48</v>
      </c>
      <c r="R103" s="581">
        <v>1</v>
      </c>
      <c r="S103" s="474">
        <f t="shared" si="10"/>
        <v>0</v>
      </c>
      <c r="T103" s="581"/>
      <c r="U103" s="462"/>
      <c r="V103" s="462"/>
      <c r="W103" s="462"/>
      <c r="X103" s="475">
        <f t="shared" si="7"/>
        <v>0</v>
      </c>
      <c r="Y103" s="605"/>
      <c r="Z103" s="461">
        <f t="shared" si="11"/>
        <v>0</v>
      </c>
      <c r="AA103" s="462"/>
      <c r="AB103" s="462"/>
      <c r="AC103" s="462"/>
      <c r="AD103" s="462"/>
      <c r="AE103" s="463">
        <f t="shared" si="9"/>
        <v>0</v>
      </c>
      <c r="AF103" s="322"/>
      <c r="AG103" s="436" t="str">
        <f>VLOOKUP(A103,'Feature Summary'!$A$7:$U$4030,21,FALSE)</f>
        <v>wk-8</v>
      </c>
      <c r="AH103" s="324"/>
    </row>
    <row r="104" spans="1:34" ht="15.75" thickBot="1" x14ac:dyDescent="0.3">
      <c r="A104" s="330" t="s">
        <v>640</v>
      </c>
      <c r="B104" s="565" t="s">
        <v>641</v>
      </c>
      <c r="C104" s="558"/>
      <c r="D104" s="559" t="s">
        <v>257</v>
      </c>
      <c r="E104" s="560"/>
      <c r="F104" s="566" t="s">
        <v>642</v>
      </c>
      <c r="G104" s="242" t="str">
        <f>VLOOKUP(A104,'Feature Summary'!$A$7:$C$4030,3,FALSE)</f>
        <v>P2</v>
      </c>
      <c r="H104" s="573" t="s">
        <v>643</v>
      </c>
      <c r="I104" s="322" t="s">
        <v>41</v>
      </c>
      <c r="J104" s="322"/>
      <c r="K104" s="577">
        <v>1</v>
      </c>
      <c r="L104" s="583">
        <v>4</v>
      </c>
      <c r="M104" s="596" t="s">
        <v>33</v>
      </c>
      <c r="N104" s="591">
        <v>1</v>
      </c>
      <c r="O104" s="583">
        <v>4</v>
      </c>
      <c r="P104" s="589">
        <f t="shared" si="8"/>
        <v>1</v>
      </c>
      <c r="Q104" s="604" t="s">
        <v>48</v>
      </c>
      <c r="R104" s="583">
        <v>4</v>
      </c>
      <c r="S104" s="474">
        <f t="shared" si="10"/>
        <v>0</v>
      </c>
      <c r="T104" s="583"/>
      <c r="U104" s="462"/>
      <c r="V104" s="462"/>
      <c r="W104" s="462"/>
      <c r="X104" s="475">
        <f t="shared" si="7"/>
        <v>0</v>
      </c>
      <c r="Y104" s="605"/>
      <c r="Z104" s="461">
        <f t="shared" si="11"/>
        <v>0</v>
      </c>
      <c r="AA104" s="462"/>
      <c r="AB104" s="462"/>
      <c r="AC104" s="462"/>
      <c r="AD104" s="462"/>
      <c r="AE104" s="463">
        <f t="shared" si="9"/>
        <v>0</v>
      </c>
      <c r="AF104" s="611"/>
      <c r="AG104" s="436" t="str">
        <f>VLOOKUP(A104,'Feature Summary'!$A$7:$U$4030,21,FALSE)</f>
        <v>wk-7</v>
      </c>
      <c r="AH104" s="615"/>
    </row>
    <row r="105" spans="1:34" x14ac:dyDescent="0.25">
      <c r="A105" s="330" t="s">
        <v>640</v>
      </c>
      <c r="B105" s="565" t="s">
        <v>641</v>
      </c>
      <c r="C105" s="558"/>
      <c r="D105" s="559" t="s">
        <v>257</v>
      </c>
      <c r="E105" s="560"/>
      <c r="F105" s="566" t="s">
        <v>644</v>
      </c>
      <c r="G105" s="242" t="str">
        <f>VLOOKUP(A105,'Feature Summary'!$A$7:$C$4030,3,FALSE)</f>
        <v>P2</v>
      </c>
      <c r="H105" s="573" t="s">
        <v>645</v>
      </c>
      <c r="I105" s="322" t="s">
        <v>41</v>
      </c>
      <c r="J105" s="322"/>
      <c r="K105" s="577">
        <v>1</v>
      </c>
      <c r="L105" s="583">
        <v>1</v>
      </c>
      <c r="M105" s="596" t="s">
        <v>33</v>
      </c>
      <c r="N105" s="591">
        <v>1</v>
      </c>
      <c r="O105" s="583">
        <v>1</v>
      </c>
      <c r="P105" s="589">
        <f t="shared" si="8"/>
        <v>1</v>
      </c>
      <c r="Q105" s="604" t="s">
        <v>48</v>
      </c>
      <c r="R105" s="583">
        <v>6</v>
      </c>
      <c r="S105" s="472">
        <f t="shared" si="10"/>
        <v>0</v>
      </c>
      <c r="T105" s="583"/>
      <c r="U105" s="462"/>
      <c r="V105" s="462"/>
      <c r="W105" s="462"/>
      <c r="X105" s="475">
        <f t="shared" si="7"/>
        <v>0</v>
      </c>
      <c r="Y105" s="605"/>
      <c r="Z105" s="461">
        <f t="shared" si="11"/>
        <v>0</v>
      </c>
      <c r="AA105" s="462"/>
      <c r="AB105" s="462"/>
      <c r="AC105" s="462"/>
      <c r="AD105" s="462"/>
      <c r="AE105" s="463">
        <f t="shared" si="9"/>
        <v>0</v>
      </c>
      <c r="AF105" s="611"/>
      <c r="AG105" s="436" t="str">
        <f>VLOOKUP(A105,'Feature Summary'!$A$7:$U$4030,21,FALSE)</f>
        <v>wk-7</v>
      </c>
      <c r="AH105" s="324"/>
    </row>
    <row r="106" spans="1:34" x14ac:dyDescent="0.25">
      <c r="A106" s="330">
        <v>2</v>
      </c>
      <c r="B106" s="565" t="s">
        <v>641</v>
      </c>
      <c r="C106" s="558"/>
      <c r="D106" s="559" t="s">
        <v>257</v>
      </c>
      <c r="E106" s="560"/>
      <c r="F106" s="566" t="s">
        <v>646</v>
      </c>
      <c r="G106" s="242" t="e">
        <f>VLOOKUP(A106,'Feature Summary'!$A$7:$C$4030,3,FALSE)</f>
        <v>#N/A</v>
      </c>
      <c r="H106" s="573" t="s">
        <v>647</v>
      </c>
      <c r="I106" s="322" t="s">
        <v>41</v>
      </c>
      <c r="J106" s="322"/>
      <c r="K106" s="577">
        <v>1</v>
      </c>
      <c r="L106" s="583">
        <v>2</v>
      </c>
      <c r="M106" s="596" t="s">
        <v>33</v>
      </c>
      <c r="N106" s="591">
        <v>1</v>
      </c>
      <c r="O106" s="583">
        <v>2</v>
      </c>
      <c r="P106" s="589">
        <f t="shared" si="8"/>
        <v>1</v>
      </c>
      <c r="Q106" s="604" t="s">
        <v>48</v>
      </c>
      <c r="R106" s="583">
        <v>2</v>
      </c>
      <c r="S106" s="474">
        <f t="shared" si="10"/>
        <v>0</v>
      </c>
      <c r="T106" s="583"/>
      <c r="U106" s="462"/>
      <c r="V106" s="462"/>
      <c r="W106" s="462"/>
      <c r="X106" s="475">
        <f t="shared" si="7"/>
        <v>0</v>
      </c>
      <c r="Y106" s="605"/>
      <c r="Z106" s="461">
        <f t="shared" si="11"/>
        <v>0</v>
      </c>
      <c r="AA106" s="462"/>
      <c r="AB106" s="462"/>
      <c r="AC106" s="462"/>
      <c r="AD106" s="462"/>
      <c r="AE106" s="463">
        <f t="shared" si="9"/>
        <v>0</v>
      </c>
      <c r="AF106" s="611"/>
      <c r="AG106" s="436" t="e">
        <f>VLOOKUP(A106,'Feature Summary'!$A$7:$U$4030,21,FALSE)</f>
        <v>#N/A</v>
      </c>
      <c r="AH106" s="324"/>
    </row>
    <row r="107" spans="1:34" ht="75.75" thickBot="1" x14ac:dyDescent="0.3">
      <c r="A107" s="330" t="s">
        <v>648</v>
      </c>
      <c r="B107" s="565" t="s">
        <v>649</v>
      </c>
      <c r="C107" s="558"/>
      <c r="D107" s="559" t="s">
        <v>257</v>
      </c>
      <c r="E107" s="560"/>
      <c r="F107" s="566" t="s">
        <v>650</v>
      </c>
      <c r="G107" s="242" t="e">
        <f>VLOOKUP(A107,'Feature Summary'!$A$7:$C$4030,3,FALSE)</f>
        <v>#N/A</v>
      </c>
      <c r="H107" s="574" t="s">
        <v>651</v>
      </c>
      <c r="I107" s="322" t="s">
        <v>35</v>
      </c>
      <c r="J107" s="322"/>
      <c r="K107" s="577">
        <v>1</v>
      </c>
      <c r="L107" s="583">
        <v>7</v>
      </c>
      <c r="M107" s="596" t="s">
        <v>33</v>
      </c>
      <c r="N107" s="591">
        <v>1</v>
      </c>
      <c r="O107" s="583">
        <v>7</v>
      </c>
      <c r="P107" s="589">
        <f t="shared" si="8"/>
        <v>1</v>
      </c>
      <c r="Q107" s="604" t="s">
        <v>48</v>
      </c>
      <c r="R107" s="583">
        <v>7</v>
      </c>
      <c r="S107" s="474">
        <f t="shared" si="10"/>
        <v>0</v>
      </c>
      <c r="T107" s="583"/>
      <c r="U107" s="462"/>
      <c r="V107" s="462"/>
      <c r="W107" s="462"/>
      <c r="X107" s="475">
        <f t="shared" si="7"/>
        <v>0</v>
      </c>
      <c r="Y107" s="605"/>
      <c r="Z107" s="461">
        <f t="shared" si="11"/>
        <v>0</v>
      </c>
      <c r="AA107" s="462"/>
      <c r="AB107" s="462"/>
      <c r="AC107" s="462"/>
      <c r="AD107" s="462"/>
      <c r="AE107" s="463">
        <f t="shared" si="9"/>
        <v>0</v>
      </c>
      <c r="AF107" s="611"/>
      <c r="AG107" s="436" t="e">
        <f>VLOOKUP(A107,'Feature Summary'!$A$7:$U$4030,21,FALSE)</f>
        <v>#N/A</v>
      </c>
      <c r="AH107" s="324"/>
    </row>
    <row r="108" spans="1:34" x14ac:dyDescent="0.25">
      <c r="A108" s="330" t="s">
        <v>652</v>
      </c>
      <c r="B108" s="565" t="s">
        <v>653</v>
      </c>
      <c r="C108" s="558"/>
      <c r="D108" s="559" t="s">
        <v>257</v>
      </c>
      <c r="E108" s="560"/>
      <c r="F108" s="566" t="s">
        <v>654</v>
      </c>
      <c r="G108" s="242" t="str">
        <f>VLOOKUP(A108,'Feature Summary'!$A$7:$C$4030,3,FALSE)</f>
        <v>P2</v>
      </c>
      <c r="H108" s="574" t="s">
        <v>655</v>
      </c>
      <c r="I108" s="322" t="s">
        <v>41</v>
      </c>
      <c r="J108" s="322"/>
      <c r="K108" s="577">
        <v>1</v>
      </c>
      <c r="L108" s="583">
        <v>6</v>
      </c>
      <c r="M108" s="596" t="s">
        <v>33</v>
      </c>
      <c r="N108" s="591">
        <v>1</v>
      </c>
      <c r="O108" s="583">
        <v>6</v>
      </c>
      <c r="P108" s="589">
        <f t="shared" si="8"/>
        <v>1</v>
      </c>
      <c r="Q108" s="604" t="s">
        <v>48</v>
      </c>
      <c r="R108" s="583">
        <v>6</v>
      </c>
      <c r="S108" s="472">
        <f t="shared" si="10"/>
        <v>0</v>
      </c>
      <c r="T108" s="583"/>
      <c r="U108" s="462"/>
      <c r="V108" s="462"/>
      <c r="W108" s="462"/>
      <c r="X108" s="475">
        <f t="shared" si="7"/>
        <v>0</v>
      </c>
      <c r="Y108" s="605"/>
      <c r="Z108" s="461">
        <f t="shared" si="11"/>
        <v>0</v>
      </c>
      <c r="AA108" s="462"/>
      <c r="AB108" s="462"/>
      <c r="AC108" s="462"/>
      <c r="AD108" s="462"/>
      <c r="AE108" s="463">
        <f t="shared" si="9"/>
        <v>0</v>
      </c>
      <c r="AF108" s="611"/>
      <c r="AG108" s="436" t="str">
        <f>VLOOKUP(A108,'Feature Summary'!$A$7:$U$4030,21,FALSE)</f>
        <v>wk-8</v>
      </c>
      <c r="AH108" s="619"/>
    </row>
    <row r="109" spans="1:34" ht="75" x14ac:dyDescent="0.25">
      <c r="A109" s="330" t="s">
        <v>656</v>
      </c>
      <c r="B109" s="565" t="s">
        <v>657</v>
      </c>
      <c r="C109" s="558"/>
      <c r="D109" s="559" t="s">
        <v>257</v>
      </c>
      <c r="E109" s="560"/>
      <c r="F109" s="566" t="s">
        <v>658</v>
      </c>
      <c r="G109" s="242" t="e">
        <f>VLOOKUP(A109,'Feature Summary'!$A$7:$C$4030,3,FALSE)</f>
        <v>#N/A</v>
      </c>
      <c r="H109" s="574" t="s">
        <v>659</v>
      </c>
      <c r="I109" s="322" t="s">
        <v>41</v>
      </c>
      <c r="J109" s="322"/>
      <c r="K109" s="577">
        <v>1</v>
      </c>
      <c r="L109" s="583">
        <v>2</v>
      </c>
      <c r="M109" s="596" t="s">
        <v>33</v>
      </c>
      <c r="N109" s="591">
        <v>1</v>
      </c>
      <c r="O109" s="583">
        <v>2</v>
      </c>
      <c r="P109" s="589">
        <f t="shared" si="8"/>
        <v>1</v>
      </c>
      <c r="Q109" s="604" t="s">
        <v>48</v>
      </c>
      <c r="R109" s="583">
        <v>2</v>
      </c>
      <c r="S109" s="474">
        <f t="shared" si="10"/>
        <v>0</v>
      </c>
      <c r="T109" s="583"/>
      <c r="U109" s="462"/>
      <c r="V109" s="462"/>
      <c r="W109" s="462"/>
      <c r="X109" s="475">
        <f t="shared" si="7"/>
        <v>0</v>
      </c>
      <c r="Y109" s="605"/>
      <c r="Z109" s="461">
        <f t="shared" si="11"/>
        <v>0</v>
      </c>
      <c r="AA109" s="462"/>
      <c r="AB109" s="462"/>
      <c r="AC109" s="462"/>
      <c r="AD109" s="462"/>
      <c r="AE109" s="463">
        <f t="shared" si="9"/>
        <v>0</v>
      </c>
      <c r="AF109" s="611"/>
      <c r="AG109" s="436" t="e">
        <f>VLOOKUP(A109,'Feature Summary'!$A$7:$U$4030,21,FALSE)</f>
        <v>#N/A</v>
      </c>
      <c r="AH109" s="619"/>
    </row>
    <row r="110" spans="1:34" ht="30.75" thickBot="1" x14ac:dyDescent="0.3">
      <c r="A110" s="330" t="s">
        <v>660</v>
      </c>
      <c r="B110" s="565" t="s">
        <v>661</v>
      </c>
      <c r="C110" s="558"/>
      <c r="D110" s="559" t="s">
        <v>257</v>
      </c>
      <c r="E110" s="560"/>
      <c r="F110" s="566" t="s">
        <v>662</v>
      </c>
      <c r="G110" s="242" t="str">
        <f>VLOOKUP(A110,'Feature Summary'!$A$7:$C$4030,3,FALSE)</f>
        <v>P2</v>
      </c>
      <c r="H110" s="574" t="s">
        <v>663</v>
      </c>
      <c r="I110" s="322" t="s">
        <v>41</v>
      </c>
      <c r="J110" s="322"/>
      <c r="K110" s="577">
        <v>1</v>
      </c>
      <c r="L110" s="583">
        <v>9</v>
      </c>
      <c r="M110" s="596" t="s">
        <v>33</v>
      </c>
      <c r="N110" s="591">
        <v>1</v>
      </c>
      <c r="O110" s="583">
        <v>9</v>
      </c>
      <c r="P110" s="589">
        <f t="shared" si="8"/>
        <v>1</v>
      </c>
      <c r="Q110" s="604" t="s">
        <v>48</v>
      </c>
      <c r="R110" s="583">
        <v>9</v>
      </c>
      <c r="S110" s="474">
        <f t="shared" si="10"/>
        <v>0</v>
      </c>
      <c r="T110" s="583"/>
      <c r="U110" s="462"/>
      <c r="V110" s="462"/>
      <c r="W110" s="462"/>
      <c r="X110" s="475">
        <f t="shared" si="7"/>
        <v>0</v>
      </c>
      <c r="Y110" s="605"/>
      <c r="Z110" s="461">
        <f t="shared" si="11"/>
        <v>0</v>
      </c>
      <c r="AA110" s="462"/>
      <c r="AB110" s="462"/>
      <c r="AC110" s="462"/>
      <c r="AD110" s="462"/>
      <c r="AE110" s="463">
        <f t="shared" si="9"/>
        <v>0</v>
      </c>
      <c r="AF110" s="322"/>
      <c r="AG110" s="436" t="str">
        <f>VLOOKUP(A110,'Feature Summary'!$A$7:$U$4030,21,FALSE)</f>
        <v>wk-7</v>
      </c>
      <c r="AH110" s="619"/>
    </row>
    <row r="111" spans="1:34" x14ac:dyDescent="0.25">
      <c r="A111" s="330" t="s">
        <v>652</v>
      </c>
      <c r="B111" s="565" t="s">
        <v>653</v>
      </c>
      <c r="C111" s="558"/>
      <c r="D111" s="559" t="s">
        <v>257</v>
      </c>
      <c r="E111" s="560"/>
      <c r="F111" s="566" t="s">
        <v>664</v>
      </c>
      <c r="G111" s="242" t="str">
        <f>VLOOKUP(A111,'Feature Summary'!$A$7:$C$4030,3,FALSE)</f>
        <v>P2</v>
      </c>
      <c r="H111" s="574" t="s">
        <v>665</v>
      </c>
      <c r="I111" s="322" t="s">
        <v>41</v>
      </c>
      <c r="J111" s="322"/>
      <c r="K111" s="577">
        <v>1</v>
      </c>
      <c r="L111" s="583">
        <v>95</v>
      </c>
      <c r="M111" s="596" t="s">
        <v>33</v>
      </c>
      <c r="N111" s="591">
        <v>1</v>
      </c>
      <c r="O111" s="583">
        <v>95</v>
      </c>
      <c r="P111" s="589">
        <f t="shared" si="8"/>
        <v>1</v>
      </c>
      <c r="Q111" s="604" t="s">
        <v>48</v>
      </c>
      <c r="R111" s="583">
        <v>95</v>
      </c>
      <c r="S111" s="472">
        <f t="shared" si="10"/>
        <v>0</v>
      </c>
      <c r="T111" s="583"/>
      <c r="U111" s="462"/>
      <c r="V111" s="462"/>
      <c r="W111" s="462"/>
      <c r="X111" s="475">
        <f t="shared" si="7"/>
        <v>0</v>
      </c>
      <c r="Y111" s="605"/>
      <c r="Z111" s="461">
        <f t="shared" si="11"/>
        <v>0</v>
      </c>
      <c r="AA111" s="462"/>
      <c r="AB111" s="462"/>
      <c r="AC111" s="462"/>
      <c r="AD111" s="462"/>
      <c r="AE111" s="463">
        <f t="shared" si="9"/>
        <v>0</v>
      </c>
      <c r="AF111" s="611"/>
      <c r="AG111" s="436" t="str">
        <f>VLOOKUP(A111,'Feature Summary'!$A$7:$U$4030,21,FALSE)</f>
        <v>wk-8</v>
      </c>
      <c r="AH111" s="615"/>
    </row>
    <row r="112" spans="1:34" x14ac:dyDescent="0.25">
      <c r="A112" s="330" t="s">
        <v>652</v>
      </c>
      <c r="B112" s="565" t="s">
        <v>653</v>
      </c>
      <c r="C112" s="558"/>
      <c r="D112" s="559" t="s">
        <v>257</v>
      </c>
      <c r="E112" s="560"/>
      <c r="F112" s="566" t="s">
        <v>666</v>
      </c>
      <c r="G112" s="242" t="str">
        <f>VLOOKUP(A112,'Feature Summary'!$A$7:$C$4030,3,FALSE)</f>
        <v>P2</v>
      </c>
      <c r="H112" s="574" t="s">
        <v>667</v>
      </c>
      <c r="I112" s="322" t="s">
        <v>41</v>
      </c>
      <c r="J112" s="322"/>
      <c r="K112" s="577">
        <v>1</v>
      </c>
      <c r="L112" s="583">
        <v>12</v>
      </c>
      <c r="M112" s="596" t="s">
        <v>33</v>
      </c>
      <c r="N112" s="591">
        <v>1</v>
      </c>
      <c r="O112" s="583">
        <v>12</v>
      </c>
      <c r="P112" s="589">
        <f t="shared" si="8"/>
        <v>1</v>
      </c>
      <c r="Q112" s="604" t="s">
        <v>48</v>
      </c>
      <c r="R112" s="583">
        <v>12</v>
      </c>
      <c r="S112" s="474">
        <f t="shared" si="10"/>
        <v>0</v>
      </c>
      <c r="T112" s="583"/>
      <c r="U112" s="462"/>
      <c r="V112" s="462"/>
      <c r="W112" s="462"/>
      <c r="X112" s="475">
        <f t="shared" si="7"/>
        <v>0</v>
      </c>
      <c r="Y112" s="605"/>
      <c r="Z112" s="461">
        <f t="shared" si="11"/>
        <v>0</v>
      </c>
      <c r="AA112" s="462"/>
      <c r="AB112" s="462"/>
      <c r="AC112" s="462"/>
      <c r="AD112" s="462"/>
      <c r="AE112" s="463">
        <f t="shared" si="9"/>
        <v>0</v>
      </c>
      <c r="AF112" s="611"/>
      <c r="AG112" s="436" t="str">
        <f>VLOOKUP(A112,'Feature Summary'!$A$7:$U$4030,21,FALSE)</f>
        <v>wk-8</v>
      </c>
      <c r="AH112" s="615"/>
    </row>
    <row r="113" spans="1:34" ht="15.75" thickBot="1" x14ac:dyDescent="0.3">
      <c r="A113" s="330" t="s">
        <v>652</v>
      </c>
      <c r="B113" s="565" t="s">
        <v>653</v>
      </c>
      <c r="C113" s="558"/>
      <c r="D113" s="559" t="s">
        <v>257</v>
      </c>
      <c r="E113" s="560"/>
      <c r="F113" s="566" t="s">
        <v>668</v>
      </c>
      <c r="G113" s="242" t="str">
        <f>VLOOKUP(A113,'Feature Summary'!$A$7:$C$4030,3,FALSE)</f>
        <v>P2</v>
      </c>
      <c r="H113" s="574" t="s">
        <v>669</v>
      </c>
      <c r="I113" s="322" t="s">
        <v>41</v>
      </c>
      <c r="J113" s="322"/>
      <c r="K113" s="577">
        <v>1</v>
      </c>
      <c r="L113" s="583">
        <v>12</v>
      </c>
      <c r="M113" s="596" t="s">
        <v>33</v>
      </c>
      <c r="N113" s="591">
        <v>1</v>
      </c>
      <c r="O113" s="583">
        <v>12</v>
      </c>
      <c r="P113" s="589">
        <f t="shared" si="8"/>
        <v>1</v>
      </c>
      <c r="Q113" s="604" t="s">
        <v>48</v>
      </c>
      <c r="R113" s="583">
        <v>12</v>
      </c>
      <c r="S113" s="474">
        <f t="shared" si="10"/>
        <v>0</v>
      </c>
      <c r="T113" s="583"/>
      <c r="U113" s="462"/>
      <c r="V113" s="462"/>
      <c r="W113" s="462"/>
      <c r="X113" s="475">
        <f t="shared" si="7"/>
        <v>0</v>
      </c>
      <c r="Y113" s="605"/>
      <c r="Z113" s="461">
        <f t="shared" si="11"/>
        <v>0</v>
      </c>
      <c r="AA113" s="462"/>
      <c r="AB113" s="462"/>
      <c r="AC113" s="462"/>
      <c r="AD113" s="462"/>
      <c r="AE113" s="463">
        <f t="shared" si="9"/>
        <v>0</v>
      </c>
      <c r="AF113" s="611"/>
      <c r="AG113" s="436" t="str">
        <f>VLOOKUP(A113,'Feature Summary'!$A$7:$U$4030,21,FALSE)</f>
        <v>wk-8</v>
      </c>
      <c r="AH113" s="615"/>
    </row>
    <row r="114" spans="1:34" x14ac:dyDescent="0.25">
      <c r="A114" s="330" t="s">
        <v>652</v>
      </c>
      <c r="B114" s="565" t="s">
        <v>653</v>
      </c>
      <c r="C114" s="558"/>
      <c r="D114" s="559" t="s">
        <v>257</v>
      </c>
      <c r="E114" s="560"/>
      <c r="F114" s="566" t="s">
        <v>670</v>
      </c>
      <c r="G114" s="242" t="str">
        <f>VLOOKUP(A114,'Feature Summary'!$A$7:$C$4030,3,FALSE)</f>
        <v>P2</v>
      </c>
      <c r="H114" s="574" t="s">
        <v>671</v>
      </c>
      <c r="I114" s="322" t="s">
        <v>41</v>
      </c>
      <c r="J114" s="322"/>
      <c r="K114" s="577">
        <v>1</v>
      </c>
      <c r="L114" s="583">
        <v>6</v>
      </c>
      <c r="M114" s="596" t="s">
        <v>33</v>
      </c>
      <c r="N114" s="591">
        <v>1</v>
      </c>
      <c r="O114" s="583">
        <v>6</v>
      </c>
      <c r="P114" s="589">
        <f t="shared" si="8"/>
        <v>1</v>
      </c>
      <c r="Q114" s="604" t="s">
        <v>48</v>
      </c>
      <c r="R114" s="583">
        <v>6</v>
      </c>
      <c r="S114" s="472">
        <f t="shared" si="10"/>
        <v>0</v>
      </c>
      <c r="T114" s="583"/>
      <c r="U114" s="462"/>
      <c r="V114" s="462"/>
      <c r="W114" s="462"/>
      <c r="X114" s="475">
        <f t="shared" si="7"/>
        <v>0</v>
      </c>
      <c r="Y114" s="605"/>
      <c r="Z114" s="461">
        <f t="shared" si="11"/>
        <v>0</v>
      </c>
      <c r="AA114" s="462"/>
      <c r="AB114" s="462"/>
      <c r="AC114" s="462"/>
      <c r="AD114" s="462"/>
      <c r="AE114" s="463">
        <f t="shared" si="9"/>
        <v>0</v>
      </c>
      <c r="AF114" s="322"/>
      <c r="AG114" s="436" t="str">
        <f>VLOOKUP(A114,'Feature Summary'!$A$7:$U$4030,21,FALSE)</f>
        <v>wk-8</v>
      </c>
      <c r="AH114" s="324"/>
    </row>
    <row r="115" spans="1:34" x14ac:dyDescent="0.25">
      <c r="A115" s="330" t="s">
        <v>652</v>
      </c>
      <c r="B115" s="565" t="s">
        <v>653</v>
      </c>
      <c r="C115" s="558"/>
      <c r="D115" s="559" t="s">
        <v>257</v>
      </c>
      <c r="E115" s="560"/>
      <c r="F115" s="566" t="s">
        <v>672</v>
      </c>
      <c r="G115" s="242" t="str">
        <f>VLOOKUP(A115,'Feature Summary'!$A$7:$C$4030,3,FALSE)</f>
        <v>P2</v>
      </c>
      <c r="H115" s="574" t="s">
        <v>673</v>
      </c>
      <c r="I115" s="322" t="s">
        <v>41</v>
      </c>
      <c r="J115" s="322"/>
      <c r="K115" s="577">
        <v>1</v>
      </c>
      <c r="L115" s="583">
        <v>12</v>
      </c>
      <c r="M115" s="596" t="s">
        <v>33</v>
      </c>
      <c r="N115" s="591">
        <v>1</v>
      </c>
      <c r="O115" s="583">
        <v>12</v>
      </c>
      <c r="P115" s="589">
        <f t="shared" si="8"/>
        <v>1</v>
      </c>
      <c r="Q115" s="604" t="s">
        <v>48</v>
      </c>
      <c r="R115" s="583">
        <v>12</v>
      </c>
      <c r="S115" s="474">
        <f t="shared" si="10"/>
        <v>0</v>
      </c>
      <c r="T115" s="583"/>
      <c r="U115" s="462"/>
      <c r="V115" s="462"/>
      <c r="W115" s="462"/>
      <c r="X115" s="475">
        <f t="shared" si="7"/>
        <v>0</v>
      </c>
      <c r="Y115" s="605"/>
      <c r="Z115" s="461">
        <f t="shared" si="11"/>
        <v>0</v>
      </c>
      <c r="AA115" s="462"/>
      <c r="AB115" s="462"/>
      <c r="AC115" s="462"/>
      <c r="AD115" s="462"/>
      <c r="AE115" s="463">
        <f t="shared" si="9"/>
        <v>0</v>
      </c>
      <c r="AF115" s="611"/>
      <c r="AG115" s="436" t="str">
        <f>VLOOKUP(A115,'Feature Summary'!$A$7:$U$4030,21,FALSE)</f>
        <v>wk-8</v>
      </c>
      <c r="AH115" s="615"/>
    </row>
    <row r="116" spans="1:34" ht="15.75" thickBot="1" x14ac:dyDescent="0.3">
      <c r="A116" s="330" t="s">
        <v>652</v>
      </c>
      <c r="B116" s="565" t="s">
        <v>653</v>
      </c>
      <c r="C116" s="558"/>
      <c r="D116" s="559" t="s">
        <v>257</v>
      </c>
      <c r="E116" s="560"/>
      <c r="F116" s="566" t="s">
        <v>674</v>
      </c>
      <c r="G116" s="242" t="str">
        <f>VLOOKUP(A116,'Feature Summary'!$A$7:$C$4030,3,FALSE)</f>
        <v>P2</v>
      </c>
      <c r="H116" s="574" t="s">
        <v>675</v>
      </c>
      <c r="I116" s="322" t="s">
        <v>41</v>
      </c>
      <c r="J116" s="322"/>
      <c r="K116" s="577">
        <v>1</v>
      </c>
      <c r="L116" s="583">
        <v>16</v>
      </c>
      <c r="M116" s="596" t="s">
        <v>33</v>
      </c>
      <c r="N116" s="591">
        <v>1</v>
      </c>
      <c r="O116" s="583">
        <v>16</v>
      </c>
      <c r="P116" s="589">
        <f t="shared" si="8"/>
        <v>1</v>
      </c>
      <c r="Q116" s="604" t="s">
        <v>48</v>
      </c>
      <c r="R116" s="583">
        <v>16</v>
      </c>
      <c r="S116" s="474">
        <f t="shared" si="10"/>
        <v>0</v>
      </c>
      <c r="T116" s="583"/>
      <c r="U116" s="462"/>
      <c r="V116" s="462"/>
      <c r="W116" s="462"/>
      <c r="X116" s="475">
        <f t="shared" si="7"/>
        <v>0</v>
      </c>
      <c r="Y116" s="605"/>
      <c r="Z116" s="461">
        <f t="shared" si="11"/>
        <v>0</v>
      </c>
      <c r="AA116" s="462"/>
      <c r="AB116" s="462"/>
      <c r="AC116" s="462"/>
      <c r="AD116" s="462"/>
      <c r="AE116" s="463">
        <f t="shared" si="9"/>
        <v>0</v>
      </c>
      <c r="AF116" s="322"/>
      <c r="AG116" s="436" t="str">
        <f>VLOOKUP(A116,'Feature Summary'!$A$7:$U$4030,21,FALSE)</f>
        <v>wk-8</v>
      </c>
      <c r="AH116" s="324"/>
    </row>
    <row r="117" spans="1:34" x14ac:dyDescent="0.25">
      <c r="A117" s="330" t="s">
        <v>652</v>
      </c>
      <c r="B117" s="565" t="s">
        <v>653</v>
      </c>
      <c r="C117" s="558"/>
      <c r="D117" s="559" t="s">
        <v>257</v>
      </c>
      <c r="E117" s="560"/>
      <c r="F117" s="566" t="s">
        <v>676</v>
      </c>
      <c r="G117" s="242" t="str">
        <f>VLOOKUP(A117,'Feature Summary'!$A$7:$C$4030,3,FALSE)</f>
        <v>P2</v>
      </c>
      <c r="H117" s="574" t="s">
        <v>677</v>
      </c>
      <c r="I117" s="322" t="s">
        <v>41</v>
      </c>
      <c r="J117" s="322"/>
      <c r="K117" s="577">
        <v>1</v>
      </c>
      <c r="L117" s="583">
        <v>16</v>
      </c>
      <c r="M117" s="596" t="s">
        <v>33</v>
      </c>
      <c r="N117" s="591">
        <v>1</v>
      </c>
      <c r="O117" s="583">
        <v>16</v>
      </c>
      <c r="P117" s="589">
        <f t="shared" si="8"/>
        <v>1</v>
      </c>
      <c r="Q117" s="604" t="s">
        <v>48</v>
      </c>
      <c r="R117" s="583">
        <v>16</v>
      </c>
      <c r="S117" s="472">
        <f t="shared" si="10"/>
        <v>0</v>
      </c>
      <c r="T117" s="583"/>
      <c r="U117" s="462"/>
      <c r="V117" s="462"/>
      <c r="W117" s="462"/>
      <c r="X117" s="475">
        <f t="shared" si="7"/>
        <v>0</v>
      </c>
      <c r="Y117" s="605"/>
      <c r="Z117" s="461">
        <f t="shared" si="11"/>
        <v>0</v>
      </c>
      <c r="AA117" s="462"/>
      <c r="AB117" s="462"/>
      <c r="AC117" s="462"/>
      <c r="AD117" s="462"/>
      <c r="AE117" s="463">
        <f t="shared" si="9"/>
        <v>0</v>
      </c>
      <c r="AF117" s="322"/>
      <c r="AG117" s="436" t="str">
        <f>VLOOKUP(A117,'Feature Summary'!$A$7:$U$4030,21,FALSE)</f>
        <v>wk-8</v>
      </c>
      <c r="AH117" s="324"/>
    </row>
    <row r="118" spans="1:34" x14ac:dyDescent="0.25">
      <c r="A118" s="330" t="s">
        <v>652</v>
      </c>
      <c r="B118" s="565" t="s">
        <v>653</v>
      </c>
      <c r="C118" s="558"/>
      <c r="D118" s="559" t="s">
        <v>257</v>
      </c>
      <c r="E118" s="560"/>
      <c r="F118" s="566" t="s">
        <v>678</v>
      </c>
      <c r="G118" s="242" t="str">
        <f>VLOOKUP(A118,'Feature Summary'!$A$7:$C$4030,3,FALSE)</f>
        <v>P2</v>
      </c>
      <c r="H118" s="574" t="s">
        <v>679</v>
      </c>
      <c r="I118" s="322" t="s">
        <v>41</v>
      </c>
      <c r="J118" s="322"/>
      <c r="K118" s="577">
        <v>1</v>
      </c>
      <c r="L118" s="583">
        <v>16</v>
      </c>
      <c r="M118" s="596" t="s">
        <v>33</v>
      </c>
      <c r="N118" s="591">
        <v>1</v>
      </c>
      <c r="O118" s="583">
        <v>16</v>
      </c>
      <c r="P118" s="589">
        <f t="shared" si="8"/>
        <v>1</v>
      </c>
      <c r="Q118" s="604" t="s">
        <v>48</v>
      </c>
      <c r="R118" s="583">
        <v>16</v>
      </c>
      <c r="S118" s="474">
        <f t="shared" si="10"/>
        <v>0</v>
      </c>
      <c r="T118" s="583"/>
      <c r="U118" s="462"/>
      <c r="V118" s="462"/>
      <c r="W118" s="462"/>
      <c r="X118" s="475">
        <f t="shared" si="7"/>
        <v>0</v>
      </c>
      <c r="Y118" s="605"/>
      <c r="Z118" s="461">
        <f t="shared" si="11"/>
        <v>0</v>
      </c>
      <c r="AA118" s="462"/>
      <c r="AB118" s="462"/>
      <c r="AC118" s="462"/>
      <c r="AD118" s="462"/>
      <c r="AE118" s="463">
        <f t="shared" si="9"/>
        <v>0</v>
      </c>
      <c r="AF118" s="322"/>
      <c r="AG118" s="436" t="str">
        <f>VLOOKUP(A118,'Feature Summary'!$A$7:$U$4030,21,FALSE)</f>
        <v>wk-8</v>
      </c>
      <c r="AH118" s="324"/>
    </row>
    <row r="119" spans="1:34" ht="15.75" thickBot="1" x14ac:dyDescent="0.3">
      <c r="A119" s="330" t="s">
        <v>652</v>
      </c>
      <c r="B119" s="565" t="s">
        <v>653</v>
      </c>
      <c r="C119" s="558"/>
      <c r="D119" s="559" t="s">
        <v>257</v>
      </c>
      <c r="E119" s="560"/>
      <c r="F119" s="566" t="s">
        <v>680</v>
      </c>
      <c r="G119" s="242" t="str">
        <f>VLOOKUP(A119,'Feature Summary'!$A$7:$C$4030,3,FALSE)</f>
        <v>P2</v>
      </c>
      <c r="H119" s="574" t="s">
        <v>681</v>
      </c>
      <c r="I119" s="322" t="s">
        <v>41</v>
      </c>
      <c r="J119" s="322"/>
      <c r="K119" s="577">
        <v>1</v>
      </c>
      <c r="L119" s="583">
        <v>16</v>
      </c>
      <c r="M119" s="596" t="s">
        <v>33</v>
      </c>
      <c r="N119" s="591">
        <v>1</v>
      </c>
      <c r="O119" s="583">
        <v>16</v>
      </c>
      <c r="P119" s="589">
        <f t="shared" si="8"/>
        <v>1</v>
      </c>
      <c r="Q119" s="604" t="s">
        <v>48</v>
      </c>
      <c r="R119" s="583">
        <v>16</v>
      </c>
      <c r="S119" s="474">
        <f t="shared" si="10"/>
        <v>0</v>
      </c>
      <c r="T119" s="583"/>
      <c r="U119" s="462"/>
      <c r="V119" s="462"/>
      <c r="W119" s="462"/>
      <c r="X119" s="475">
        <f t="shared" si="7"/>
        <v>0</v>
      </c>
      <c r="Y119" s="605"/>
      <c r="Z119" s="461">
        <f t="shared" si="11"/>
        <v>0</v>
      </c>
      <c r="AA119" s="462"/>
      <c r="AB119" s="462"/>
      <c r="AC119" s="462"/>
      <c r="AD119" s="462"/>
      <c r="AE119" s="463">
        <f t="shared" si="9"/>
        <v>0</v>
      </c>
      <c r="AF119" s="322"/>
      <c r="AG119" s="436" t="str">
        <f>VLOOKUP(A119,'Feature Summary'!$A$7:$U$4030,21,FALSE)</f>
        <v>wk-8</v>
      </c>
      <c r="AH119" s="324"/>
    </row>
    <row r="120" spans="1:34" x14ac:dyDescent="0.25">
      <c r="A120" s="330" t="s">
        <v>652</v>
      </c>
      <c r="B120" s="565" t="s">
        <v>653</v>
      </c>
      <c r="C120" s="558"/>
      <c r="D120" s="559" t="s">
        <v>257</v>
      </c>
      <c r="E120" s="560"/>
      <c r="F120" s="566" t="s">
        <v>682</v>
      </c>
      <c r="G120" s="242" t="str">
        <f>VLOOKUP(A120,'Feature Summary'!$A$7:$C$4030,3,FALSE)</f>
        <v>P2</v>
      </c>
      <c r="H120" s="574" t="s">
        <v>683</v>
      </c>
      <c r="I120" s="322" t="s">
        <v>41</v>
      </c>
      <c r="J120" s="322"/>
      <c r="K120" s="577">
        <v>1</v>
      </c>
      <c r="L120" s="583">
        <v>16</v>
      </c>
      <c r="M120" s="596" t="s">
        <v>33</v>
      </c>
      <c r="N120" s="591">
        <v>1</v>
      </c>
      <c r="O120" s="583">
        <v>16</v>
      </c>
      <c r="P120" s="589">
        <f t="shared" si="8"/>
        <v>1</v>
      </c>
      <c r="Q120" s="604" t="s">
        <v>48</v>
      </c>
      <c r="R120" s="583">
        <v>16</v>
      </c>
      <c r="S120" s="472">
        <f t="shared" si="10"/>
        <v>0</v>
      </c>
      <c r="T120" s="583"/>
      <c r="U120" s="462"/>
      <c r="V120" s="462"/>
      <c r="W120" s="462"/>
      <c r="X120" s="475">
        <f t="shared" si="7"/>
        <v>0</v>
      </c>
      <c r="Y120" s="605"/>
      <c r="Z120" s="461">
        <f t="shared" si="11"/>
        <v>0</v>
      </c>
      <c r="AA120" s="462"/>
      <c r="AB120" s="462"/>
      <c r="AC120" s="462"/>
      <c r="AD120" s="462"/>
      <c r="AE120" s="463">
        <f t="shared" si="9"/>
        <v>0</v>
      </c>
      <c r="AF120" s="322"/>
      <c r="AG120" s="436" t="str">
        <f>VLOOKUP(A120,'Feature Summary'!$A$7:$U$4030,21,FALSE)</f>
        <v>wk-8</v>
      </c>
      <c r="AH120" s="324"/>
    </row>
    <row r="121" spans="1:34" x14ac:dyDescent="0.25">
      <c r="A121" s="330" t="s">
        <v>652</v>
      </c>
      <c r="B121" s="565" t="s">
        <v>653</v>
      </c>
      <c r="C121" s="558"/>
      <c r="D121" s="559" t="s">
        <v>257</v>
      </c>
      <c r="E121" s="560"/>
      <c r="F121" s="566" t="s">
        <v>684</v>
      </c>
      <c r="G121" s="242" t="str">
        <f>VLOOKUP(A121,'Feature Summary'!$A$7:$C$4030,3,FALSE)</f>
        <v>P2</v>
      </c>
      <c r="H121" s="574" t="s">
        <v>685</v>
      </c>
      <c r="I121" s="322" t="s">
        <v>41</v>
      </c>
      <c r="J121" s="322"/>
      <c r="K121" s="577">
        <v>1</v>
      </c>
      <c r="L121" s="583">
        <v>2</v>
      </c>
      <c r="M121" s="596" t="s">
        <v>33</v>
      </c>
      <c r="N121" s="591">
        <v>1</v>
      </c>
      <c r="O121" s="583">
        <v>2</v>
      </c>
      <c r="P121" s="589">
        <f t="shared" si="8"/>
        <v>1</v>
      </c>
      <c r="Q121" s="604" t="s">
        <v>48</v>
      </c>
      <c r="R121" s="583">
        <v>2</v>
      </c>
      <c r="S121" s="474">
        <f t="shared" si="10"/>
        <v>0</v>
      </c>
      <c r="T121" s="583"/>
      <c r="U121" s="462"/>
      <c r="V121" s="462"/>
      <c r="W121" s="462"/>
      <c r="X121" s="475">
        <f t="shared" si="7"/>
        <v>0</v>
      </c>
      <c r="Y121" s="605"/>
      <c r="Z121" s="461">
        <f t="shared" si="11"/>
        <v>0</v>
      </c>
      <c r="AA121" s="462"/>
      <c r="AB121" s="462"/>
      <c r="AC121" s="462"/>
      <c r="AD121" s="462"/>
      <c r="AE121" s="463">
        <f t="shared" si="9"/>
        <v>0</v>
      </c>
      <c r="AF121" s="322"/>
      <c r="AG121" s="436" t="str">
        <f>VLOOKUP(A121,'Feature Summary'!$A$7:$U$4030,21,FALSE)</f>
        <v>wk-8</v>
      </c>
      <c r="AH121" s="324"/>
    </row>
    <row r="122" spans="1:34" ht="15.75" thickBot="1" x14ac:dyDescent="0.3">
      <c r="A122" s="330" t="s">
        <v>652</v>
      </c>
      <c r="B122" s="565" t="s">
        <v>653</v>
      </c>
      <c r="C122" s="558"/>
      <c r="D122" s="559" t="s">
        <v>257</v>
      </c>
      <c r="E122" s="560"/>
      <c r="F122" s="566" t="s">
        <v>686</v>
      </c>
      <c r="G122" s="242" t="str">
        <f>VLOOKUP(A122,'Feature Summary'!$A$7:$C$4030,3,FALSE)</f>
        <v>P2</v>
      </c>
      <c r="H122" s="574" t="s">
        <v>687</v>
      </c>
      <c r="I122" s="322" t="s">
        <v>41</v>
      </c>
      <c r="J122" s="322"/>
      <c r="K122" s="577">
        <v>1</v>
      </c>
      <c r="L122" s="583">
        <v>8</v>
      </c>
      <c r="M122" s="596" t="s">
        <v>33</v>
      </c>
      <c r="N122" s="591">
        <v>1</v>
      </c>
      <c r="O122" s="583">
        <v>8</v>
      </c>
      <c r="P122" s="589">
        <f t="shared" si="8"/>
        <v>1</v>
      </c>
      <c r="Q122" s="604" t="s">
        <v>48</v>
      </c>
      <c r="R122" s="583">
        <v>8</v>
      </c>
      <c r="S122" s="474">
        <f t="shared" si="10"/>
        <v>0</v>
      </c>
      <c r="T122" s="583"/>
      <c r="U122" s="462"/>
      <c r="V122" s="462"/>
      <c r="W122" s="462"/>
      <c r="X122" s="475">
        <f t="shared" si="7"/>
        <v>0</v>
      </c>
      <c r="Y122" s="605"/>
      <c r="Z122" s="461">
        <f t="shared" si="11"/>
        <v>0</v>
      </c>
      <c r="AA122" s="462"/>
      <c r="AB122" s="462"/>
      <c r="AC122" s="462"/>
      <c r="AD122" s="462"/>
      <c r="AE122" s="463">
        <f t="shared" si="9"/>
        <v>0</v>
      </c>
      <c r="AF122" s="322"/>
      <c r="AG122" s="436" t="str">
        <f>VLOOKUP(A122,'Feature Summary'!$A$7:$U$4030,21,FALSE)</f>
        <v>wk-8</v>
      </c>
      <c r="AH122" s="324"/>
    </row>
    <row r="123" spans="1:34" x14ac:dyDescent="0.25">
      <c r="A123" s="330" t="s">
        <v>652</v>
      </c>
      <c r="B123" s="565" t="s">
        <v>653</v>
      </c>
      <c r="C123" s="558"/>
      <c r="D123" s="559" t="s">
        <v>257</v>
      </c>
      <c r="E123" s="560"/>
      <c r="F123" s="566" t="s">
        <v>688</v>
      </c>
      <c r="G123" s="242" t="str">
        <f>VLOOKUP(A123,'Feature Summary'!$A$7:$C$4030,3,FALSE)</f>
        <v>P2</v>
      </c>
      <c r="H123" s="574" t="s">
        <v>689</v>
      </c>
      <c r="I123" s="322" t="s">
        <v>41</v>
      </c>
      <c r="J123" s="322"/>
      <c r="K123" s="577">
        <v>1</v>
      </c>
      <c r="L123" s="583">
        <v>1</v>
      </c>
      <c r="M123" s="596" t="s">
        <v>33</v>
      </c>
      <c r="N123" s="591">
        <v>1</v>
      </c>
      <c r="O123" s="583">
        <v>1</v>
      </c>
      <c r="P123" s="589">
        <f t="shared" si="8"/>
        <v>1</v>
      </c>
      <c r="Q123" s="604" t="s">
        <v>48</v>
      </c>
      <c r="R123" s="583">
        <v>1</v>
      </c>
      <c r="S123" s="472">
        <f t="shared" si="10"/>
        <v>0</v>
      </c>
      <c r="T123" s="583"/>
      <c r="U123" s="462"/>
      <c r="V123" s="462"/>
      <c r="W123" s="462"/>
      <c r="X123" s="475">
        <f t="shared" si="7"/>
        <v>0</v>
      </c>
      <c r="Y123" s="605"/>
      <c r="Z123" s="461">
        <f t="shared" si="11"/>
        <v>0</v>
      </c>
      <c r="AA123" s="462"/>
      <c r="AB123" s="462"/>
      <c r="AC123" s="462"/>
      <c r="AD123" s="462"/>
      <c r="AE123" s="463">
        <f t="shared" si="9"/>
        <v>0</v>
      </c>
      <c r="AF123" s="611"/>
      <c r="AG123" s="436" t="str">
        <f>VLOOKUP(A123,'Feature Summary'!$A$7:$U$4030,21,FALSE)</f>
        <v>wk-8</v>
      </c>
      <c r="AH123" s="324"/>
    </row>
    <row r="124" spans="1:34" x14ac:dyDescent="0.25">
      <c r="A124" s="330" t="s">
        <v>652</v>
      </c>
      <c r="B124" s="565" t="s">
        <v>653</v>
      </c>
      <c r="C124" s="558"/>
      <c r="D124" s="559" t="s">
        <v>257</v>
      </c>
      <c r="E124" s="560"/>
      <c r="F124" s="566" t="s">
        <v>690</v>
      </c>
      <c r="G124" s="242" t="str">
        <f>VLOOKUP(A124,'Feature Summary'!$A$7:$C$4030,3,FALSE)</f>
        <v>P2</v>
      </c>
      <c r="H124" s="574" t="s">
        <v>691</v>
      </c>
      <c r="I124" s="322" t="s">
        <v>41</v>
      </c>
      <c r="J124" s="322"/>
      <c r="K124" s="577">
        <v>1</v>
      </c>
      <c r="L124" s="583">
        <v>28</v>
      </c>
      <c r="M124" s="596" t="s">
        <v>33</v>
      </c>
      <c r="N124" s="591">
        <v>1</v>
      </c>
      <c r="O124" s="583">
        <v>28</v>
      </c>
      <c r="P124" s="589">
        <f t="shared" si="8"/>
        <v>1</v>
      </c>
      <c r="Q124" s="604" t="s">
        <v>48</v>
      </c>
      <c r="R124" s="583">
        <v>28</v>
      </c>
      <c r="S124" s="474">
        <f t="shared" si="10"/>
        <v>0</v>
      </c>
      <c r="T124" s="583"/>
      <c r="U124" s="462"/>
      <c r="V124" s="462"/>
      <c r="W124" s="462"/>
      <c r="X124" s="475">
        <f t="shared" si="7"/>
        <v>0</v>
      </c>
      <c r="Y124" s="605"/>
      <c r="Z124" s="461">
        <f t="shared" si="11"/>
        <v>0</v>
      </c>
      <c r="AA124" s="462"/>
      <c r="AB124" s="462"/>
      <c r="AC124" s="462"/>
      <c r="AD124" s="462"/>
      <c r="AE124" s="463">
        <f t="shared" si="9"/>
        <v>0</v>
      </c>
      <c r="AF124" s="611"/>
      <c r="AG124" s="436" t="str">
        <f>VLOOKUP(A124,'Feature Summary'!$A$7:$U$4030,21,FALSE)</f>
        <v>wk-8</v>
      </c>
      <c r="AH124" s="324"/>
    </row>
    <row r="125" spans="1:34" ht="15.75" thickBot="1" x14ac:dyDescent="0.3">
      <c r="A125" s="330" t="s">
        <v>652</v>
      </c>
      <c r="B125" s="565" t="s">
        <v>653</v>
      </c>
      <c r="C125" s="558"/>
      <c r="D125" s="559" t="s">
        <v>257</v>
      </c>
      <c r="E125" s="560"/>
      <c r="F125" s="566" t="s">
        <v>692</v>
      </c>
      <c r="G125" s="242" t="str">
        <f>VLOOKUP(A125,'Feature Summary'!$A$7:$C$4030,3,FALSE)</f>
        <v>P2</v>
      </c>
      <c r="H125" s="574" t="s">
        <v>693</v>
      </c>
      <c r="I125" s="322" t="s">
        <v>41</v>
      </c>
      <c r="J125" s="322"/>
      <c r="K125" s="577">
        <v>1</v>
      </c>
      <c r="L125" s="583">
        <v>28</v>
      </c>
      <c r="M125" s="596" t="s">
        <v>33</v>
      </c>
      <c r="N125" s="591">
        <v>1</v>
      </c>
      <c r="O125" s="583">
        <v>28</v>
      </c>
      <c r="P125" s="589">
        <f t="shared" si="8"/>
        <v>1</v>
      </c>
      <c r="Q125" s="604" t="s">
        <v>48</v>
      </c>
      <c r="R125" s="583">
        <v>28</v>
      </c>
      <c r="S125" s="474">
        <f t="shared" si="10"/>
        <v>0</v>
      </c>
      <c r="T125" s="583"/>
      <c r="U125" s="462"/>
      <c r="V125" s="462"/>
      <c r="W125" s="462"/>
      <c r="X125" s="475">
        <f t="shared" si="7"/>
        <v>0</v>
      </c>
      <c r="Y125" s="605"/>
      <c r="Z125" s="461">
        <f t="shared" si="11"/>
        <v>0</v>
      </c>
      <c r="AA125" s="462"/>
      <c r="AB125" s="462"/>
      <c r="AC125" s="462"/>
      <c r="AD125" s="462"/>
      <c r="AE125" s="463">
        <f t="shared" si="9"/>
        <v>0</v>
      </c>
      <c r="AF125" s="611"/>
      <c r="AG125" s="436" t="str">
        <f>VLOOKUP(A125,'Feature Summary'!$A$7:$U$4030,21,FALSE)</f>
        <v>wk-8</v>
      </c>
      <c r="AH125" s="324"/>
    </row>
    <row r="126" spans="1:34" x14ac:dyDescent="0.25">
      <c r="A126" s="330" t="s">
        <v>652</v>
      </c>
      <c r="B126" s="565" t="s">
        <v>653</v>
      </c>
      <c r="C126" s="558"/>
      <c r="D126" s="559" t="s">
        <v>257</v>
      </c>
      <c r="E126" s="560"/>
      <c r="F126" s="566" t="s">
        <v>694</v>
      </c>
      <c r="G126" s="242" t="str">
        <f>VLOOKUP(A126,'Feature Summary'!$A$7:$C$4030,3,FALSE)</f>
        <v>P2</v>
      </c>
      <c r="H126" s="574" t="s">
        <v>695</v>
      </c>
      <c r="I126" s="322" t="s">
        <v>41</v>
      </c>
      <c r="J126" s="322"/>
      <c r="K126" s="577">
        <v>1</v>
      </c>
      <c r="L126" s="583">
        <v>4</v>
      </c>
      <c r="M126" s="596" t="s">
        <v>33</v>
      </c>
      <c r="N126" s="591">
        <v>1</v>
      </c>
      <c r="O126" s="583">
        <v>4</v>
      </c>
      <c r="P126" s="589">
        <f t="shared" si="8"/>
        <v>1</v>
      </c>
      <c r="Q126" s="604" t="s">
        <v>48</v>
      </c>
      <c r="R126" s="583">
        <v>2</v>
      </c>
      <c r="S126" s="472">
        <f t="shared" si="10"/>
        <v>0</v>
      </c>
      <c r="T126" s="583"/>
      <c r="U126" s="462"/>
      <c r="V126" s="462"/>
      <c r="W126" s="462"/>
      <c r="X126" s="475">
        <f t="shared" si="7"/>
        <v>0</v>
      </c>
      <c r="Y126" s="605"/>
      <c r="Z126" s="461">
        <f t="shared" si="11"/>
        <v>0</v>
      </c>
      <c r="AA126" s="462"/>
      <c r="AB126" s="462"/>
      <c r="AC126" s="462"/>
      <c r="AD126" s="462"/>
      <c r="AE126" s="463">
        <f t="shared" si="9"/>
        <v>0</v>
      </c>
      <c r="AF126" s="611"/>
      <c r="AG126" s="436" t="str">
        <f>VLOOKUP(A126,'Feature Summary'!$A$7:$U$4030,21,FALSE)</f>
        <v>wk-8</v>
      </c>
      <c r="AH126" s="324"/>
    </row>
    <row r="127" spans="1:34" x14ac:dyDescent="0.25">
      <c r="A127" s="330" t="s">
        <v>652</v>
      </c>
      <c r="B127" s="565" t="s">
        <v>653</v>
      </c>
      <c r="C127" s="558"/>
      <c r="D127" s="559" t="s">
        <v>257</v>
      </c>
      <c r="E127" s="560"/>
      <c r="F127" s="566" t="s">
        <v>696</v>
      </c>
      <c r="G127" s="242" t="str">
        <f>VLOOKUP(A127,'Feature Summary'!$A$7:$C$4030,3,FALSE)</f>
        <v>P2</v>
      </c>
      <c r="H127" s="574" t="s">
        <v>697</v>
      </c>
      <c r="I127" s="322" t="s">
        <v>41</v>
      </c>
      <c r="J127" s="322"/>
      <c r="K127" s="577">
        <v>1</v>
      </c>
      <c r="L127" s="583">
        <v>4</v>
      </c>
      <c r="M127" s="596" t="s">
        <v>33</v>
      </c>
      <c r="N127" s="591">
        <v>1</v>
      </c>
      <c r="O127" s="583">
        <v>4</v>
      </c>
      <c r="P127" s="589">
        <f t="shared" si="8"/>
        <v>1</v>
      </c>
      <c r="Q127" s="604" t="s">
        <v>48</v>
      </c>
      <c r="R127" s="583">
        <v>4</v>
      </c>
      <c r="S127" s="474">
        <f t="shared" si="10"/>
        <v>0</v>
      </c>
      <c r="T127" s="583"/>
      <c r="U127" s="462"/>
      <c r="V127" s="462"/>
      <c r="W127" s="462"/>
      <c r="X127" s="475">
        <f t="shared" si="7"/>
        <v>0</v>
      </c>
      <c r="Y127" s="605"/>
      <c r="Z127" s="461">
        <f t="shared" si="11"/>
        <v>0</v>
      </c>
      <c r="AA127" s="462"/>
      <c r="AB127" s="462"/>
      <c r="AC127" s="462"/>
      <c r="AD127" s="462"/>
      <c r="AE127" s="463">
        <f t="shared" si="9"/>
        <v>0</v>
      </c>
      <c r="AF127" s="611"/>
      <c r="AG127" s="436" t="str">
        <f>VLOOKUP(A127,'Feature Summary'!$A$7:$U$4030,21,FALSE)</f>
        <v>wk-8</v>
      </c>
      <c r="AH127" s="324"/>
    </row>
    <row r="128" spans="1:34" ht="45.75" thickBot="1" x14ac:dyDescent="0.3">
      <c r="A128" s="330" t="s">
        <v>698</v>
      </c>
      <c r="B128" s="565" t="s">
        <v>699</v>
      </c>
      <c r="C128" s="558"/>
      <c r="D128" s="559" t="s">
        <v>257</v>
      </c>
      <c r="E128" s="560"/>
      <c r="F128" s="566" t="s">
        <v>700</v>
      </c>
      <c r="G128" s="242" t="e">
        <f>VLOOKUP(A128,'Feature Summary'!$A$7:$C$4030,3,FALSE)</f>
        <v>#N/A</v>
      </c>
      <c r="H128" s="574" t="s">
        <v>701</v>
      </c>
      <c r="I128" s="322" t="s">
        <v>41</v>
      </c>
      <c r="J128" s="322"/>
      <c r="K128" s="577">
        <v>1</v>
      </c>
      <c r="L128" s="583">
        <v>2</v>
      </c>
      <c r="M128" s="596" t="s">
        <v>33</v>
      </c>
      <c r="N128" s="591">
        <v>1</v>
      </c>
      <c r="O128" s="583">
        <v>2</v>
      </c>
      <c r="P128" s="589">
        <f t="shared" si="8"/>
        <v>1</v>
      </c>
      <c r="Q128" s="604" t="s">
        <v>48</v>
      </c>
      <c r="R128" s="583">
        <v>2</v>
      </c>
      <c r="S128" s="474">
        <f t="shared" si="10"/>
        <v>0</v>
      </c>
      <c r="T128" s="583"/>
      <c r="U128" s="462"/>
      <c r="V128" s="462"/>
      <c r="W128" s="462"/>
      <c r="X128" s="475">
        <f t="shared" si="7"/>
        <v>0</v>
      </c>
      <c r="Y128" s="605"/>
      <c r="Z128" s="461">
        <f t="shared" si="11"/>
        <v>0</v>
      </c>
      <c r="AA128" s="462"/>
      <c r="AB128" s="462"/>
      <c r="AC128" s="462"/>
      <c r="AD128" s="462"/>
      <c r="AE128" s="463">
        <f t="shared" si="9"/>
        <v>0</v>
      </c>
      <c r="AF128" s="322"/>
      <c r="AG128" s="436" t="e">
        <f>VLOOKUP(A128,'Feature Summary'!$A$7:$U$4030,21,FALSE)</f>
        <v>#N/A</v>
      </c>
      <c r="AH128" s="619"/>
    </row>
    <row r="129" spans="1:34" ht="30" x14ac:dyDescent="0.25">
      <c r="A129" s="330" t="s">
        <v>652</v>
      </c>
      <c r="B129" s="565" t="s">
        <v>702</v>
      </c>
      <c r="C129" s="558"/>
      <c r="D129" s="559" t="s">
        <v>257</v>
      </c>
      <c r="E129" s="560"/>
      <c r="F129" s="566" t="s">
        <v>703</v>
      </c>
      <c r="G129" s="242" t="str">
        <f>VLOOKUP(A129,'Feature Summary'!$A$7:$C$4030,3,FALSE)</f>
        <v>P2</v>
      </c>
      <c r="H129" s="574" t="s">
        <v>704</v>
      </c>
      <c r="I129" s="322" t="s">
        <v>41</v>
      </c>
      <c r="J129" s="322"/>
      <c r="K129" s="577">
        <v>1</v>
      </c>
      <c r="L129" s="583">
        <v>1</v>
      </c>
      <c r="M129" s="596" t="s">
        <v>33</v>
      </c>
      <c r="N129" s="591">
        <v>1</v>
      </c>
      <c r="O129" s="583">
        <v>1</v>
      </c>
      <c r="P129" s="589">
        <f t="shared" si="8"/>
        <v>1</v>
      </c>
      <c r="Q129" s="604" t="s">
        <v>48</v>
      </c>
      <c r="R129" s="583">
        <v>1</v>
      </c>
      <c r="S129" s="472">
        <f t="shared" si="10"/>
        <v>0</v>
      </c>
      <c r="T129" s="583"/>
      <c r="U129" s="462"/>
      <c r="V129" s="462"/>
      <c r="W129" s="462"/>
      <c r="X129" s="475">
        <f t="shared" si="7"/>
        <v>0</v>
      </c>
      <c r="Y129" s="605"/>
      <c r="Z129" s="461">
        <f t="shared" si="11"/>
        <v>0</v>
      </c>
      <c r="AA129" s="462"/>
      <c r="AB129" s="462"/>
      <c r="AC129" s="462"/>
      <c r="AD129" s="462"/>
      <c r="AE129" s="463">
        <f t="shared" si="9"/>
        <v>0</v>
      </c>
      <c r="AF129" s="322"/>
      <c r="AG129" s="436" t="str">
        <f>VLOOKUP(A129,'Feature Summary'!$A$7:$U$4030,21,FALSE)</f>
        <v>wk-8</v>
      </c>
      <c r="AH129" s="619"/>
    </row>
    <row r="130" spans="1:34" x14ac:dyDescent="0.25">
      <c r="A130" s="330" t="s">
        <v>652</v>
      </c>
      <c r="B130" s="565" t="s">
        <v>705</v>
      </c>
      <c r="C130" s="558"/>
      <c r="D130" s="559" t="s">
        <v>257</v>
      </c>
      <c r="E130" s="560"/>
      <c r="F130" s="566" t="s">
        <v>706</v>
      </c>
      <c r="G130" s="242" t="str">
        <f>VLOOKUP(A130,'Feature Summary'!$A$7:$C$4030,3,FALSE)</f>
        <v>P2</v>
      </c>
      <c r="H130" s="574" t="s">
        <v>707</v>
      </c>
      <c r="I130" s="322" t="s">
        <v>35</v>
      </c>
      <c r="J130" s="322"/>
      <c r="K130" s="577">
        <v>1</v>
      </c>
      <c r="L130" s="583">
        <v>24</v>
      </c>
      <c r="M130" s="596" t="s">
        <v>33</v>
      </c>
      <c r="N130" s="591">
        <v>1</v>
      </c>
      <c r="O130" s="583">
        <v>24</v>
      </c>
      <c r="P130" s="589">
        <f t="shared" ref="P130" si="18">IF((O130=0),0,(O130/L130))</f>
        <v>1</v>
      </c>
      <c r="Q130" s="604" t="s">
        <v>48</v>
      </c>
      <c r="R130" s="583">
        <v>24</v>
      </c>
      <c r="S130" s="474">
        <f t="shared" si="10"/>
        <v>0</v>
      </c>
      <c r="T130" s="583"/>
      <c r="U130" s="462"/>
      <c r="V130" s="462"/>
      <c r="W130" s="462"/>
      <c r="X130" s="475">
        <f t="shared" ref="X130" si="19">IF((S130=0),0,((T130+U130)/S130*100%))</f>
        <v>0</v>
      </c>
      <c r="Y130" s="605"/>
      <c r="Z130" s="461">
        <f t="shared" si="11"/>
        <v>0</v>
      </c>
      <c r="AA130" s="462"/>
      <c r="AB130" s="462"/>
      <c r="AC130" s="462"/>
      <c r="AD130" s="462"/>
      <c r="AE130" s="463">
        <f t="shared" ref="AE130" si="20">IF((Z130=0),0,((AA130+AB130)/Z130*100%))</f>
        <v>0</v>
      </c>
      <c r="AF130" s="611"/>
      <c r="AG130" s="436" t="str">
        <f>VLOOKUP(A130,'Feature Summary'!$A$7:$U$4030,21,FALSE)</f>
        <v>wk-8</v>
      </c>
      <c r="AH130" s="615"/>
    </row>
    <row r="131" spans="1:34" ht="15.75" thickBot="1" x14ac:dyDescent="0.3">
      <c r="A131" s="330" t="s">
        <v>708</v>
      </c>
      <c r="B131" s="565" t="s">
        <v>709</v>
      </c>
      <c r="C131" s="558"/>
      <c r="D131" s="559" t="s">
        <v>257</v>
      </c>
      <c r="E131" s="560"/>
      <c r="F131" s="566" t="s">
        <v>710</v>
      </c>
      <c r="G131" s="242" t="str">
        <f>VLOOKUP(A131,'Feature Summary'!$A$7:$C$4030,3,FALSE)</f>
        <v>P2</v>
      </c>
      <c r="H131" s="574" t="s">
        <v>711</v>
      </c>
      <c r="I131" s="322" t="s">
        <v>41</v>
      </c>
      <c r="J131" s="322"/>
      <c r="K131" s="577">
        <v>1</v>
      </c>
      <c r="L131" s="583">
        <v>1</v>
      </c>
      <c r="M131" s="596" t="s">
        <v>33</v>
      </c>
      <c r="N131" s="591">
        <v>1</v>
      </c>
      <c r="O131" s="583">
        <v>1</v>
      </c>
      <c r="P131" s="589">
        <f>IF((O131=0),0,(O131/L131))</f>
        <v>1</v>
      </c>
      <c r="Q131" s="604" t="s">
        <v>48</v>
      </c>
      <c r="R131" s="583">
        <v>1</v>
      </c>
      <c r="S131" s="474">
        <f t="shared" si="10"/>
        <v>0</v>
      </c>
      <c r="T131" s="583"/>
      <c r="U131" s="462"/>
      <c r="V131" s="462"/>
      <c r="W131" s="462"/>
      <c r="X131" s="475">
        <f>IF((S131=0),0,((T131+U131)/S131*100%))</f>
        <v>0</v>
      </c>
      <c r="Y131" s="605"/>
      <c r="Z131" s="461">
        <f t="shared" si="11"/>
        <v>0</v>
      </c>
      <c r="AA131" s="462"/>
      <c r="AB131" s="462"/>
      <c r="AC131" s="462"/>
      <c r="AD131" s="462"/>
      <c r="AE131" s="463">
        <f>IF((Z131=0),0,((AA131+AB131)/Z131*100%))</f>
        <v>0</v>
      </c>
      <c r="AF131" s="611"/>
      <c r="AG131" s="436" t="str">
        <f>VLOOKUP(A131,'Feature Summary'!$A$7:$U$4030,21,FALSE)</f>
        <v>wk-8</v>
      </c>
      <c r="AH131" s="615"/>
    </row>
    <row r="132" spans="1:34" x14ac:dyDescent="0.25">
      <c r="A132" s="562" t="s">
        <v>712</v>
      </c>
      <c r="B132" s="565" t="s">
        <v>713</v>
      </c>
      <c r="C132" s="558"/>
      <c r="D132" s="559" t="s">
        <v>257</v>
      </c>
      <c r="E132" s="560"/>
      <c r="F132" s="566" t="s">
        <v>714</v>
      </c>
      <c r="G132" s="242" t="str">
        <f>VLOOKUP(A132,'Feature Summary'!$A$7:$C$4030,3,FALSE)</f>
        <v>P2</v>
      </c>
      <c r="H132" s="574" t="s">
        <v>715</v>
      </c>
      <c r="I132" s="322" t="s">
        <v>41</v>
      </c>
      <c r="J132" s="322"/>
      <c r="K132" s="577">
        <v>1</v>
      </c>
      <c r="L132" s="583">
        <v>1</v>
      </c>
      <c r="M132" s="596" t="s">
        <v>33</v>
      </c>
      <c r="N132" s="591">
        <v>1</v>
      </c>
      <c r="O132" s="583">
        <v>1</v>
      </c>
      <c r="P132" s="589">
        <f t="shared" si="8"/>
        <v>1</v>
      </c>
      <c r="Q132" s="604" t="s">
        <v>48</v>
      </c>
      <c r="R132" s="583">
        <v>1</v>
      </c>
      <c r="S132" s="472">
        <f t="shared" si="10"/>
        <v>0</v>
      </c>
      <c r="T132" s="583"/>
      <c r="U132" s="462"/>
      <c r="V132" s="462"/>
      <c r="W132" s="462"/>
      <c r="X132" s="475">
        <f t="shared" ref="X132:X189" si="21">IF((S132=0),0,((T132+U132)/S132*100%))</f>
        <v>0</v>
      </c>
      <c r="Y132" s="605"/>
      <c r="Z132" s="461">
        <f t="shared" si="11"/>
        <v>0</v>
      </c>
      <c r="AA132" s="462"/>
      <c r="AB132" s="462"/>
      <c r="AC132" s="462"/>
      <c r="AD132" s="462"/>
      <c r="AE132" s="463">
        <f t="shared" si="9"/>
        <v>0</v>
      </c>
      <c r="AF132" s="611"/>
      <c r="AG132" s="436" t="str">
        <f>VLOOKUP(A132,'Feature Summary'!$A$7:$U$4030,21,FALSE)</f>
        <v>wk-6</v>
      </c>
      <c r="AH132" s="615"/>
    </row>
    <row r="133" spans="1:34" x14ac:dyDescent="0.25">
      <c r="A133" s="330" t="s">
        <v>583</v>
      </c>
      <c r="B133" s="565" t="s">
        <v>584</v>
      </c>
      <c r="C133" s="558"/>
      <c r="D133" s="559" t="s">
        <v>257</v>
      </c>
      <c r="E133" s="560"/>
      <c r="F133" s="566" t="s">
        <v>716</v>
      </c>
      <c r="G133" s="242" t="str">
        <f>VLOOKUP(A133,'Feature Summary'!$A$7:$C$4030,3,FALSE)</f>
        <v>P2</v>
      </c>
      <c r="H133" s="574" t="s">
        <v>717</v>
      </c>
      <c r="I133" s="322" t="s">
        <v>41</v>
      </c>
      <c r="J133" s="322"/>
      <c r="K133" s="577">
        <v>1</v>
      </c>
      <c r="L133" s="583">
        <v>7</v>
      </c>
      <c r="M133" s="596" t="s">
        <v>33</v>
      </c>
      <c r="N133" s="591">
        <v>1</v>
      </c>
      <c r="O133" s="583">
        <v>7</v>
      </c>
      <c r="P133" s="589">
        <f t="shared" ref="P133:P190" si="22">IF((O133=0),0,(O133/L133))</f>
        <v>1</v>
      </c>
      <c r="Q133" s="604" t="s">
        <v>48</v>
      </c>
      <c r="R133" s="583">
        <v>7</v>
      </c>
      <c r="S133" s="474">
        <f t="shared" si="10"/>
        <v>0</v>
      </c>
      <c r="T133" s="583"/>
      <c r="U133" s="462"/>
      <c r="V133" s="462"/>
      <c r="W133" s="462"/>
      <c r="X133" s="475">
        <f t="shared" si="21"/>
        <v>0</v>
      </c>
      <c r="Y133" s="605"/>
      <c r="Z133" s="461">
        <f t="shared" si="11"/>
        <v>0</v>
      </c>
      <c r="AA133" s="462"/>
      <c r="AB133" s="462"/>
      <c r="AC133" s="462"/>
      <c r="AD133" s="462"/>
      <c r="AE133" s="463">
        <f t="shared" ref="AE133:AE190" si="23">IF((Z133=0),0,((AA133+AB133)/Z133*100%))</f>
        <v>0</v>
      </c>
      <c r="AF133" s="611"/>
      <c r="AG133" s="436" t="str">
        <f>VLOOKUP(A133,'Feature Summary'!$A$7:$U$4030,21,FALSE)</f>
        <v>wk-5</v>
      </c>
      <c r="AH133" s="324"/>
    </row>
    <row r="134" spans="1:34" ht="15.75" thickBot="1" x14ac:dyDescent="0.3">
      <c r="A134" s="330" t="s">
        <v>583</v>
      </c>
      <c r="B134" s="565" t="s">
        <v>584</v>
      </c>
      <c r="C134" s="558"/>
      <c r="D134" s="559" t="s">
        <v>257</v>
      </c>
      <c r="E134" s="560"/>
      <c r="F134" s="566" t="s">
        <v>718</v>
      </c>
      <c r="G134" s="242" t="str">
        <f>VLOOKUP(A134,'Feature Summary'!$A$7:$C$4030,3,FALSE)</f>
        <v>P2</v>
      </c>
      <c r="H134" s="574" t="s">
        <v>719</v>
      </c>
      <c r="I134" s="322" t="s">
        <v>41</v>
      </c>
      <c r="J134" s="322"/>
      <c r="K134" s="577">
        <v>1</v>
      </c>
      <c r="L134" s="583">
        <v>2</v>
      </c>
      <c r="M134" s="596" t="s">
        <v>33</v>
      </c>
      <c r="N134" s="591">
        <v>1</v>
      </c>
      <c r="O134" s="583">
        <v>2</v>
      </c>
      <c r="P134" s="589">
        <f t="shared" si="22"/>
        <v>1</v>
      </c>
      <c r="Q134" s="604" t="s">
        <v>48</v>
      </c>
      <c r="R134" s="583">
        <v>3</v>
      </c>
      <c r="S134" s="474">
        <f t="shared" si="10"/>
        <v>0</v>
      </c>
      <c r="T134" s="583"/>
      <c r="U134" s="462"/>
      <c r="V134" s="462"/>
      <c r="W134" s="462"/>
      <c r="X134" s="475">
        <f t="shared" si="21"/>
        <v>0</v>
      </c>
      <c r="Y134" s="605"/>
      <c r="Z134" s="461">
        <f t="shared" si="11"/>
        <v>0</v>
      </c>
      <c r="AA134" s="462"/>
      <c r="AB134" s="462"/>
      <c r="AC134" s="462"/>
      <c r="AD134" s="462"/>
      <c r="AE134" s="463">
        <f t="shared" si="23"/>
        <v>0</v>
      </c>
      <c r="AF134" s="611"/>
      <c r="AG134" s="436" t="str">
        <f>VLOOKUP(A134,'Feature Summary'!$A$7:$U$4030,21,FALSE)</f>
        <v>wk-5</v>
      </c>
      <c r="AH134" s="324"/>
    </row>
    <row r="135" spans="1:34" x14ac:dyDescent="0.25">
      <c r="A135" s="330" t="s">
        <v>720</v>
      </c>
      <c r="B135" s="565" t="s">
        <v>721</v>
      </c>
      <c r="C135" s="558"/>
      <c r="D135" s="559" t="s">
        <v>257</v>
      </c>
      <c r="E135" s="560"/>
      <c r="F135" s="566" t="s">
        <v>722</v>
      </c>
      <c r="G135" s="242" t="str">
        <f>VLOOKUP(A135,'Feature Summary'!$A$7:$C$4030,3,FALSE)</f>
        <v>P2</v>
      </c>
      <c r="H135" s="574" t="s">
        <v>723</v>
      </c>
      <c r="I135" s="322" t="s">
        <v>41</v>
      </c>
      <c r="J135" s="322"/>
      <c r="K135" s="577">
        <v>1</v>
      </c>
      <c r="L135" s="583">
        <v>1</v>
      </c>
      <c r="M135" s="596" t="s">
        <v>33</v>
      </c>
      <c r="N135" s="591">
        <v>1</v>
      </c>
      <c r="O135" s="583">
        <v>1</v>
      </c>
      <c r="P135" s="589">
        <f t="shared" si="22"/>
        <v>1</v>
      </c>
      <c r="Q135" s="604" t="s">
        <v>48</v>
      </c>
      <c r="R135" s="583">
        <v>1</v>
      </c>
      <c r="S135" s="472">
        <f t="shared" ref="S135:S198" si="24">SUM(T135:W135)</f>
        <v>0</v>
      </c>
      <c r="T135" s="583"/>
      <c r="U135" s="462"/>
      <c r="V135" s="462"/>
      <c r="W135" s="462"/>
      <c r="X135" s="475">
        <f t="shared" si="21"/>
        <v>0</v>
      </c>
      <c r="Y135" s="605"/>
      <c r="Z135" s="461">
        <f t="shared" si="11"/>
        <v>0</v>
      </c>
      <c r="AA135" s="462"/>
      <c r="AB135" s="462"/>
      <c r="AC135" s="462"/>
      <c r="AD135" s="462"/>
      <c r="AE135" s="463">
        <f t="shared" si="23"/>
        <v>0</v>
      </c>
      <c r="AF135" s="611"/>
      <c r="AG135" s="436" t="str">
        <f>VLOOKUP(A135,'Feature Summary'!$A$7:$U$4030,21,FALSE)</f>
        <v>wk-5</v>
      </c>
      <c r="AH135" s="324"/>
    </row>
    <row r="136" spans="1:34" x14ac:dyDescent="0.25">
      <c r="A136" s="330" t="s">
        <v>720</v>
      </c>
      <c r="B136" s="565" t="s">
        <v>721</v>
      </c>
      <c r="C136" s="558"/>
      <c r="D136" s="559" t="s">
        <v>257</v>
      </c>
      <c r="E136" s="560"/>
      <c r="F136" s="566" t="s">
        <v>724</v>
      </c>
      <c r="G136" s="242" t="str">
        <f>VLOOKUP(A136,'Feature Summary'!$A$7:$C$4030,3,FALSE)</f>
        <v>P2</v>
      </c>
      <c r="H136" s="574" t="s">
        <v>725</v>
      </c>
      <c r="I136" s="322" t="s">
        <v>41</v>
      </c>
      <c r="J136" s="322"/>
      <c r="K136" s="577">
        <v>1</v>
      </c>
      <c r="L136" s="583">
        <v>1</v>
      </c>
      <c r="M136" s="596" t="s">
        <v>33</v>
      </c>
      <c r="N136" s="591">
        <v>1</v>
      </c>
      <c r="O136" s="583">
        <v>1</v>
      </c>
      <c r="P136" s="589">
        <f t="shared" si="22"/>
        <v>1</v>
      </c>
      <c r="Q136" s="604" t="s">
        <v>48</v>
      </c>
      <c r="R136" s="583">
        <v>1</v>
      </c>
      <c r="S136" s="474">
        <f t="shared" si="24"/>
        <v>0</v>
      </c>
      <c r="T136" s="583"/>
      <c r="U136" s="462"/>
      <c r="V136" s="462"/>
      <c r="W136" s="462"/>
      <c r="X136" s="475">
        <f t="shared" si="21"/>
        <v>0</v>
      </c>
      <c r="Y136" s="605"/>
      <c r="Z136" s="461">
        <f t="shared" si="11"/>
        <v>0</v>
      </c>
      <c r="AA136" s="462"/>
      <c r="AB136" s="462"/>
      <c r="AC136" s="462"/>
      <c r="AD136" s="462"/>
      <c r="AE136" s="463">
        <f t="shared" si="23"/>
        <v>0</v>
      </c>
      <c r="AF136" s="611"/>
      <c r="AG136" s="436" t="str">
        <f>VLOOKUP(A136,'Feature Summary'!$A$7:$U$4030,21,FALSE)</f>
        <v>wk-5</v>
      </c>
      <c r="AH136" s="324"/>
    </row>
    <row r="137" spans="1:34" ht="30.75" thickBot="1" x14ac:dyDescent="0.3">
      <c r="A137" s="330" t="s">
        <v>726</v>
      </c>
      <c r="B137" s="565" t="s">
        <v>727</v>
      </c>
      <c r="C137" s="558"/>
      <c r="D137" s="559" t="s">
        <v>257</v>
      </c>
      <c r="E137" s="560"/>
      <c r="F137" s="566" t="s">
        <v>728</v>
      </c>
      <c r="G137" s="242" t="e">
        <f>VLOOKUP(A137,'Feature Summary'!$A$7:$C$4030,3,FALSE)</f>
        <v>#N/A</v>
      </c>
      <c r="H137" s="574" t="s">
        <v>729</v>
      </c>
      <c r="I137" s="322" t="s">
        <v>41</v>
      </c>
      <c r="J137" s="322"/>
      <c r="K137" s="577">
        <v>1</v>
      </c>
      <c r="L137" s="583">
        <v>4</v>
      </c>
      <c r="M137" s="596" t="s">
        <v>33</v>
      </c>
      <c r="N137" s="591">
        <v>1</v>
      </c>
      <c r="O137" s="583">
        <v>4</v>
      </c>
      <c r="P137" s="589">
        <f t="shared" si="22"/>
        <v>1</v>
      </c>
      <c r="Q137" s="604" t="s">
        <v>48</v>
      </c>
      <c r="R137" s="583">
        <v>8</v>
      </c>
      <c r="S137" s="474">
        <f t="shared" si="24"/>
        <v>0</v>
      </c>
      <c r="T137" s="583"/>
      <c r="U137" s="462"/>
      <c r="V137" s="462"/>
      <c r="W137" s="462"/>
      <c r="X137" s="475">
        <f t="shared" si="21"/>
        <v>0</v>
      </c>
      <c r="Y137" s="605"/>
      <c r="Z137" s="461">
        <f t="shared" ref="Z137:Z200" si="25">SUM(AA137:AD137)</f>
        <v>0</v>
      </c>
      <c r="AA137" s="462"/>
      <c r="AB137" s="462"/>
      <c r="AC137" s="462"/>
      <c r="AD137" s="462"/>
      <c r="AE137" s="463">
        <f t="shared" si="23"/>
        <v>0</v>
      </c>
      <c r="AF137" s="611"/>
      <c r="AG137" s="436" t="e">
        <f>VLOOKUP(A137,'Feature Summary'!$A$7:$U$4030,21,FALSE)</f>
        <v>#N/A</v>
      </c>
      <c r="AH137" s="324"/>
    </row>
    <row r="138" spans="1:34" ht="30" x14ac:dyDescent="0.25">
      <c r="A138" s="330" t="s">
        <v>726</v>
      </c>
      <c r="B138" s="565" t="s">
        <v>727</v>
      </c>
      <c r="C138" s="558"/>
      <c r="D138" s="559" t="s">
        <v>257</v>
      </c>
      <c r="E138" s="560"/>
      <c r="F138" s="566" t="s">
        <v>730</v>
      </c>
      <c r="G138" s="242" t="e">
        <f>VLOOKUP(A138,'Feature Summary'!$A$7:$C$4030,3,FALSE)</f>
        <v>#N/A</v>
      </c>
      <c r="H138" s="574" t="s">
        <v>731</v>
      </c>
      <c r="I138" s="322" t="s">
        <v>41</v>
      </c>
      <c r="J138" s="322"/>
      <c r="K138" s="577">
        <v>1</v>
      </c>
      <c r="L138" s="583">
        <v>5</v>
      </c>
      <c r="M138" s="596" t="s">
        <v>33</v>
      </c>
      <c r="N138" s="591">
        <v>1</v>
      </c>
      <c r="O138" s="583">
        <v>5</v>
      </c>
      <c r="P138" s="589">
        <f t="shared" si="22"/>
        <v>1</v>
      </c>
      <c r="Q138" s="604" t="s">
        <v>48</v>
      </c>
      <c r="R138" s="583">
        <v>8</v>
      </c>
      <c r="S138" s="472">
        <f t="shared" si="24"/>
        <v>0</v>
      </c>
      <c r="T138" s="583"/>
      <c r="U138" s="462"/>
      <c r="V138" s="462"/>
      <c r="W138" s="462"/>
      <c r="X138" s="475">
        <f t="shared" si="21"/>
        <v>0</v>
      </c>
      <c r="Y138" s="605"/>
      <c r="Z138" s="461">
        <f t="shared" si="25"/>
        <v>0</v>
      </c>
      <c r="AA138" s="462"/>
      <c r="AB138" s="462"/>
      <c r="AC138" s="462"/>
      <c r="AD138" s="462"/>
      <c r="AE138" s="463">
        <f t="shared" si="23"/>
        <v>0</v>
      </c>
      <c r="AF138" s="611"/>
      <c r="AG138" s="436" t="e">
        <f>VLOOKUP(A138,'Feature Summary'!$A$7:$U$4030,21,FALSE)</f>
        <v>#N/A</v>
      </c>
      <c r="AH138" s="324"/>
    </row>
    <row r="139" spans="1:34" ht="30" x14ac:dyDescent="0.25">
      <c r="A139" s="330" t="s">
        <v>726</v>
      </c>
      <c r="B139" s="565" t="s">
        <v>727</v>
      </c>
      <c r="C139" s="558"/>
      <c r="D139" s="559" t="s">
        <v>257</v>
      </c>
      <c r="E139" s="560"/>
      <c r="F139" s="566" t="s">
        <v>732</v>
      </c>
      <c r="G139" s="242" t="e">
        <f>VLOOKUP(A139,'Feature Summary'!$A$7:$C$4030,3,FALSE)</f>
        <v>#N/A</v>
      </c>
      <c r="H139" s="574" t="s">
        <v>733</v>
      </c>
      <c r="I139" s="322" t="s">
        <v>41</v>
      </c>
      <c r="J139" s="322"/>
      <c r="K139" s="577">
        <v>1</v>
      </c>
      <c r="L139" s="583">
        <v>4</v>
      </c>
      <c r="M139" s="596" t="s">
        <v>33</v>
      </c>
      <c r="N139" s="591">
        <v>1</v>
      </c>
      <c r="O139" s="583">
        <v>4</v>
      </c>
      <c r="P139" s="589">
        <f t="shared" si="22"/>
        <v>1</v>
      </c>
      <c r="Q139" s="604" t="s">
        <v>48</v>
      </c>
      <c r="R139" s="583">
        <v>8</v>
      </c>
      <c r="S139" s="474">
        <f t="shared" si="24"/>
        <v>0</v>
      </c>
      <c r="T139" s="583"/>
      <c r="U139" s="462"/>
      <c r="V139" s="462"/>
      <c r="W139" s="462"/>
      <c r="X139" s="475">
        <f t="shared" si="21"/>
        <v>0</v>
      </c>
      <c r="Y139" s="605"/>
      <c r="Z139" s="461">
        <f t="shared" si="25"/>
        <v>0</v>
      </c>
      <c r="AA139" s="462"/>
      <c r="AB139" s="462"/>
      <c r="AC139" s="462"/>
      <c r="AD139" s="462"/>
      <c r="AE139" s="463">
        <f t="shared" si="23"/>
        <v>0</v>
      </c>
      <c r="AF139" s="611"/>
      <c r="AG139" s="436" t="e">
        <f>VLOOKUP(A139,'Feature Summary'!$A$7:$U$4030,21,FALSE)</f>
        <v>#N/A</v>
      </c>
      <c r="AH139" s="324"/>
    </row>
    <row r="140" spans="1:34" ht="30.75" thickBot="1" x14ac:dyDescent="0.3">
      <c r="A140" s="330" t="s">
        <v>726</v>
      </c>
      <c r="B140" s="565" t="s">
        <v>727</v>
      </c>
      <c r="C140" s="558"/>
      <c r="D140" s="559" t="s">
        <v>257</v>
      </c>
      <c r="E140" s="560"/>
      <c r="F140" s="566" t="s">
        <v>734</v>
      </c>
      <c r="G140" s="242" t="e">
        <f>VLOOKUP(A140,'Feature Summary'!$A$7:$C$4030,3,FALSE)</f>
        <v>#N/A</v>
      </c>
      <c r="H140" s="574" t="s">
        <v>735</v>
      </c>
      <c r="I140" s="322" t="s">
        <v>41</v>
      </c>
      <c r="J140" s="322"/>
      <c r="K140" s="577">
        <v>1</v>
      </c>
      <c r="L140" s="583">
        <v>4</v>
      </c>
      <c r="M140" s="596" t="s">
        <v>33</v>
      </c>
      <c r="N140" s="591">
        <v>1</v>
      </c>
      <c r="O140" s="583">
        <v>4</v>
      </c>
      <c r="P140" s="589">
        <f t="shared" si="22"/>
        <v>1</v>
      </c>
      <c r="Q140" s="604" t="s">
        <v>48</v>
      </c>
      <c r="R140" s="583">
        <v>8</v>
      </c>
      <c r="S140" s="474">
        <f t="shared" si="24"/>
        <v>0</v>
      </c>
      <c r="T140" s="583"/>
      <c r="U140" s="462"/>
      <c r="V140" s="462"/>
      <c r="W140" s="462"/>
      <c r="X140" s="475">
        <f t="shared" si="21"/>
        <v>0</v>
      </c>
      <c r="Y140" s="605"/>
      <c r="Z140" s="461">
        <f t="shared" si="25"/>
        <v>0</v>
      </c>
      <c r="AA140" s="462"/>
      <c r="AB140" s="462"/>
      <c r="AC140" s="462"/>
      <c r="AD140" s="462"/>
      <c r="AE140" s="463">
        <f t="shared" si="23"/>
        <v>0</v>
      </c>
      <c r="AF140" s="611"/>
      <c r="AG140" s="436" t="e">
        <f>VLOOKUP(A140,'Feature Summary'!$A$7:$U$4030,21,FALSE)</f>
        <v>#N/A</v>
      </c>
      <c r="AH140" s="324"/>
    </row>
    <row r="141" spans="1:34" ht="30" x14ac:dyDescent="0.25">
      <c r="A141" s="330" t="s">
        <v>726</v>
      </c>
      <c r="B141" s="565" t="s">
        <v>727</v>
      </c>
      <c r="C141" s="558"/>
      <c r="D141" s="559" t="s">
        <v>257</v>
      </c>
      <c r="E141" s="560"/>
      <c r="F141" s="566" t="s">
        <v>736</v>
      </c>
      <c r="G141" s="242" t="e">
        <f>VLOOKUP(A141,'Feature Summary'!$A$7:$C$4030,3,FALSE)</f>
        <v>#N/A</v>
      </c>
      <c r="H141" s="574" t="s">
        <v>737</v>
      </c>
      <c r="I141" s="322" t="s">
        <v>41</v>
      </c>
      <c r="J141" s="322"/>
      <c r="K141" s="577">
        <v>1</v>
      </c>
      <c r="L141" s="583">
        <v>4</v>
      </c>
      <c r="M141" s="596" t="s">
        <v>33</v>
      </c>
      <c r="N141" s="591">
        <v>1</v>
      </c>
      <c r="O141" s="583">
        <v>4</v>
      </c>
      <c r="P141" s="589">
        <f t="shared" si="22"/>
        <v>1</v>
      </c>
      <c r="Q141" s="604" t="s">
        <v>48</v>
      </c>
      <c r="R141" s="583">
        <v>8</v>
      </c>
      <c r="S141" s="472">
        <f t="shared" si="24"/>
        <v>0</v>
      </c>
      <c r="T141" s="583"/>
      <c r="U141" s="462"/>
      <c r="V141" s="462"/>
      <c r="W141" s="462"/>
      <c r="X141" s="475">
        <f t="shared" si="21"/>
        <v>0</v>
      </c>
      <c r="Y141" s="605"/>
      <c r="Z141" s="461">
        <f t="shared" si="25"/>
        <v>0</v>
      </c>
      <c r="AA141" s="462"/>
      <c r="AB141" s="462"/>
      <c r="AC141" s="462"/>
      <c r="AD141" s="462"/>
      <c r="AE141" s="463">
        <f t="shared" si="23"/>
        <v>0</v>
      </c>
      <c r="AF141" s="611"/>
      <c r="AG141" s="436" t="e">
        <f>VLOOKUP(A141,'Feature Summary'!$A$7:$U$4030,21,FALSE)</f>
        <v>#N/A</v>
      </c>
      <c r="AH141" s="324"/>
    </row>
    <row r="142" spans="1:34" ht="30" x14ac:dyDescent="0.25">
      <c r="A142" s="330" t="s">
        <v>726</v>
      </c>
      <c r="B142" s="565" t="s">
        <v>727</v>
      </c>
      <c r="C142" s="558"/>
      <c r="D142" s="559" t="s">
        <v>257</v>
      </c>
      <c r="E142" s="560"/>
      <c r="F142" s="566" t="s">
        <v>738</v>
      </c>
      <c r="G142" s="242" t="e">
        <f>VLOOKUP(A142,'Feature Summary'!$A$7:$C$4030,3,FALSE)</f>
        <v>#N/A</v>
      </c>
      <c r="H142" s="574" t="s">
        <v>739</v>
      </c>
      <c r="I142" s="322" t="s">
        <v>41</v>
      </c>
      <c r="J142" s="322"/>
      <c r="K142" s="577">
        <v>1</v>
      </c>
      <c r="L142" s="583">
        <v>4</v>
      </c>
      <c r="M142" s="596" t="s">
        <v>33</v>
      </c>
      <c r="N142" s="591">
        <v>1</v>
      </c>
      <c r="O142" s="583">
        <v>4</v>
      </c>
      <c r="P142" s="589">
        <f t="shared" si="22"/>
        <v>1</v>
      </c>
      <c r="Q142" s="604" t="s">
        <v>48</v>
      </c>
      <c r="R142" s="583">
        <v>8</v>
      </c>
      <c r="S142" s="474">
        <f t="shared" si="24"/>
        <v>0</v>
      </c>
      <c r="T142" s="583"/>
      <c r="U142" s="462"/>
      <c r="V142" s="462"/>
      <c r="W142" s="462"/>
      <c r="X142" s="475">
        <f t="shared" si="21"/>
        <v>0</v>
      </c>
      <c r="Y142" s="605"/>
      <c r="Z142" s="461">
        <f t="shared" si="25"/>
        <v>0</v>
      </c>
      <c r="AA142" s="462"/>
      <c r="AB142" s="462"/>
      <c r="AC142" s="462"/>
      <c r="AD142" s="462"/>
      <c r="AE142" s="463">
        <f t="shared" si="23"/>
        <v>0</v>
      </c>
      <c r="AF142" s="611"/>
      <c r="AG142" s="436" t="e">
        <f>VLOOKUP(A142,'Feature Summary'!$A$7:$U$4030,21,FALSE)</f>
        <v>#N/A</v>
      </c>
      <c r="AH142" s="324"/>
    </row>
    <row r="143" spans="1:34" ht="30.75" thickBot="1" x14ac:dyDescent="0.3">
      <c r="A143" s="330" t="s">
        <v>726</v>
      </c>
      <c r="B143" s="565" t="s">
        <v>727</v>
      </c>
      <c r="C143" s="558"/>
      <c r="D143" s="559" t="s">
        <v>257</v>
      </c>
      <c r="E143" s="560"/>
      <c r="F143" s="566" t="s">
        <v>740</v>
      </c>
      <c r="G143" s="242" t="e">
        <f>VLOOKUP(A143,'Feature Summary'!$A$7:$C$4030,3,FALSE)</f>
        <v>#N/A</v>
      </c>
      <c r="H143" s="574" t="s">
        <v>741</v>
      </c>
      <c r="I143" s="322" t="s">
        <v>41</v>
      </c>
      <c r="J143" s="322"/>
      <c r="K143" s="577">
        <v>1</v>
      </c>
      <c r="L143" s="583">
        <v>4</v>
      </c>
      <c r="M143" s="596" t="s">
        <v>33</v>
      </c>
      <c r="N143" s="591">
        <v>1</v>
      </c>
      <c r="O143" s="583">
        <v>4</v>
      </c>
      <c r="P143" s="589">
        <f t="shared" si="22"/>
        <v>1</v>
      </c>
      <c r="Q143" s="604" t="s">
        <v>48</v>
      </c>
      <c r="R143" s="583">
        <v>8</v>
      </c>
      <c r="S143" s="474">
        <f t="shared" si="24"/>
        <v>0</v>
      </c>
      <c r="T143" s="583"/>
      <c r="U143" s="462"/>
      <c r="V143" s="462"/>
      <c r="W143" s="462"/>
      <c r="X143" s="475">
        <f t="shared" si="21"/>
        <v>0</v>
      </c>
      <c r="Y143" s="605"/>
      <c r="Z143" s="461">
        <f t="shared" si="25"/>
        <v>0</v>
      </c>
      <c r="AA143" s="462"/>
      <c r="AB143" s="462"/>
      <c r="AC143" s="462"/>
      <c r="AD143" s="462"/>
      <c r="AE143" s="463">
        <f t="shared" si="23"/>
        <v>0</v>
      </c>
      <c r="AF143" s="611"/>
      <c r="AG143" s="436" t="e">
        <f>VLOOKUP(A143,'Feature Summary'!$A$7:$U$4030,21,FALSE)</f>
        <v>#N/A</v>
      </c>
      <c r="AH143" s="324"/>
    </row>
    <row r="144" spans="1:34" ht="30" x14ac:dyDescent="0.25">
      <c r="A144" s="330" t="s">
        <v>726</v>
      </c>
      <c r="B144" s="565" t="s">
        <v>727</v>
      </c>
      <c r="C144" s="558"/>
      <c r="D144" s="559" t="s">
        <v>257</v>
      </c>
      <c r="E144" s="560"/>
      <c r="F144" s="566" t="s">
        <v>742</v>
      </c>
      <c r="G144" s="242" t="e">
        <f>VLOOKUP(A144,'Feature Summary'!$A$7:$C$4030,3,FALSE)</f>
        <v>#N/A</v>
      </c>
      <c r="H144" s="574" t="s">
        <v>743</v>
      </c>
      <c r="I144" s="322" t="s">
        <v>41</v>
      </c>
      <c r="J144" s="322"/>
      <c r="K144" s="577">
        <v>1</v>
      </c>
      <c r="L144" s="583">
        <v>4</v>
      </c>
      <c r="M144" s="596" t="s">
        <v>33</v>
      </c>
      <c r="N144" s="591">
        <v>1</v>
      </c>
      <c r="O144" s="583">
        <v>4</v>
      </c>
      <c r="P144" s="589">
        <f t="shared" si="22"/>
        <v>1</v>
      </c>
      <c r="Q144" s="604" t="s">
        <v>48</v>
      </c>
      <c r="R144" s="583">
        <v>8</v>
      </c>
      <c r="S144" s="472">
        <f t="shared" si="24"/>
        <v>0</v>
      </c>
      <c r="T144" s="583"/>
      <c r="U144" s="462"/>
      <c r="V144" s="462"/>
      <c r="W144" s="462"/>
      <c r="X144" s="475">
        <f t="shared" si="21"/>
        <v>0</v>
      </c>
      <c r="Y144" s="605"/>
      <c r="Z144" s="461">
        <f t="shared" si="25"/>
        <v>0</v>
      </c>
      <c r="AA144" s="462"/>
      <c r="AB144" s="462"/>
      <c r="AC144" s="462"/>
      <c r="AD144" s="462"/>
      <c r="AE144" s="463">
        <f t="shared" si="23"/>
        <v>0</v>
      </c>
      <c r="AF144" s="611"/>
      <c r="AG144" s="436" t="e">
        <f>VLOOKUP(A144,'Feature Summary'!$A$7:$U$4030,21,FALSE)</f>
        <v>#N/A</v>
      </c>
      <c r="AH144" s="324"/>
    </row>
    <row r="145" spans="1:34" ht="30" x14ac:dyDescent="0.25">
      <c r="A145" s="330" t="s">
        <v>726</v>
      </c>
      <c r="B145" s="565" t="s">
        <v>727</v>
      </c>
      <c r="C145" s="558"/>
      <c r="D145" s="559" t="s">
        <v>257</v>
      </c>
      <c r="E145" s="560"/>
      <c r="F145" s="566" t="s">
        <v>744</v>
      </c>
      <c r="G145" s="242" t="e">
        <f>VLOOKUP(A145,'Feature Summary'!$A$7:$C$4030,3,FALSE)</f>
        <v>#N/A</v>
      </c>
      <c r="H145" s="574" t="s">
        <v>745</v>
      </c>
      <c r="I145" s="322" t="s">
        <v>35</v>
      </c>
      <c r="J145" s="322"/>
      <c r="K145" s="577">
        <v>1</v>
      </c>
      <c r="L145" s="583">
        <v>4</v>
      </c>
      <c r="M145" s="596" t="s">
        <v>33</v>
      </c>
      <c r="N145" s="591">
        <v>1</v>
      </c>
      <c r="O145" s="583">
        <v>4</v>
      </c>
      <c r="P145" s="589">
        <f t="shared" si="22"/>
        <v>1</v>
      </c>
      <c r="Q145" s="604" t="s">
        <v>48</v>
      </c>
      <c r="R145" s="583">
        <v>8</v>
      </c>
      <c r="S145" s="474">
        <f t="shared" si="24"/>
        <v>0</v>
      </c>
      <c r="T145" s="583"/>
      <c r="U145" s="462"/>
      <c r="V145" s="462"/>
      <c r="W145" s="462"/>
      <c r="X145" s="475">
        <f t="shared" si="21"/>
        <v>0</v>
      </c>
      <c r="Y145" s="605"/>
      <c r="Z145" s="461">
        <f t="shared" si="25"/>
        <v>0</v>
      </c>
      <c r="AA145" s="462"/>
      <c r="AB145" s="462"/>
      <c r="AC145" s="462"/>
      <c r="AD145" s="462"/>
      <c r="AE145" s="463">
        <f t="shared" si="23"/>
        <v>0</v>
      </c>
      <c r="AF145" s="322"/>
      <c r="AG145" s="436" t="e">
        <f>VLOOKUP(A145,'Feature Summary'!$A$7:$U$4030,21,FALSE)</f>
        <v>#N/A</v>
      </c>
      <c r="AH145" s="324"/>
    </row>
    <row r="146" spans="1:34" ht="30.75" thickBot="1" x14ac:dyDescent="0.3">
      <c r="A146" s="330" t="s">
        <v>726</v>
      </c>
      <c r="B146" s="565" t="s">
        <v>727</v>
      </c>
      <c r="C146" s="558"/>
      <c r="D146" s="559" t="s">
        <v>257</v>
      </c>
      <c r="E146" s="560"/>
      <c r="F146" s="566" t="s">
        <v>746</v>
      </c>
      <c r="G146" s="242" t="e">
        <f>VLOOKUP(A146,'Feature Summary'!$A$7:$C$4030,3,FALSE)</f>
        <v>#N/A</v>
      </c>
      <c r="H146" s="574" t="s">
        <v>747</v>
      </c>
      <c r="I146" s="322" t="s">
        <v>41</v>
      </c>
      <c r="J146" s="322"/>
      <c r="K146" s="577">
        <v>1</v>
      </c>
      <c r="L146" s="583">
        <v>4</v>
      </c>
      <c r="M146" s="596" t="s">
        <v>33</v>
      </c>
      <c r="N146" s="591">
        <v>1</v>
      </c>
      <c r="O146" s="583">
        <v>4</v>
      </c>
      <c r="P146" s="589">
        <f t="shared" si="22"/>
        <v>1</v>
      </c>
      <c r="Q146" s="604" t="s">
        <v>48</v>
      </c>
      <c r="R146" s="583">
        <v>8</v>
      </c>
      <c r="S146" s="474">
        <f t="shared" si="24"/>
        <v>0</v>
      </c>
      <c r="T146" s="583"/>
      <c r="U146" s="462"/>
      <c r="V146" s="462"/>
      <c r="W146" s="462"/>
      <c r="X146" s="475">
        <f t="shared" si="21"/>
        <v>0</v>
      </c>
      <c r="Y146" s="605"/>
      <c r="Z146" s="461">
        <f t="shared" si="25"/>
        <v>0</v>
      </c>
      <c r="AA146" s="462"/>
      <c r="AB146" s="462"/>
      <c r="AC146" s="462"/>
      <c r="AD146" s="462"/>
      <c r="AE146" s="463">
        <f t="shared" si="23"/>
        <v>0</v>
      </c>
      <c r="AF146" s="611"/>
      <c r="AG146" s="436" t="e">
        <f>VLOOKUP(A146,'Feature Summary'!$A$7:$U$4030,21,FALSE)</f>
        <v>#N/A</v>
      </c>
      <c r="AH146" s="324"/>
    </row>
    <row r="147" spans="1:34" ht="30" x14ac:dyDescent="0.25">
      <c r="A147" s="330" t="s">
        <v>726</v>
      </c>
      <c r="B147" s="565" t="s">
        <v>727</v>
      </c>
      <c r="C147" s="558"/>
      <c r="D147" s="559" t="s">
        <v>257</v>
      </c>
      <c r="E147" s="560"/>
      <c r="F147" s="566" t="s">
        <v>748</v>
      </c>
      <c r="G147" s="242" t="e">
        <f>VLOOKUP(A147,'Feature Summary'!$A$7:$C$4030,3,FALSE)</f>
        <v>#N/A</v>
      </c>
      <c r="H147" s="574" t="s">
        <v>749</v>
      </c>
      <c r="I147" s="322" t="s">
        <v>41</v>
      </c>
      <c r="J147" s="322"/>
      <c r="K147" s="577">
        <v>1</v>
      </c>
      <c r="L147" s="583">
        <v>4</v>
      </c>
      <c r="M147" s="596" t="s">
        <v>33</v>
      </c>
      <c r="N147" s="591">
        <v>1</v>
      </c>
      <c r="O147" s="583">
        <v>4</v>
      </c>
      <c r="P147" s="589">
        <f t="shared" si="22"/>
        <v>1</v>
      </c>
      <c r="Q147" s="604" t="s">
        <v>48</v>
      </c>
      <c r="R147" s="583">
        <v>8</v>
      </c>
      <c r="S147" s="472">
        <f t="shared" si="24"/>
        <v>0</v>
      </c>
      <c r="T147" s="583"/>
      <c r="U147" s="462"/>
      <c r="V147" s="462"/>
      <c r="W147" s="462"/>
      <c r="X147" s="475">
        <f t="shared" si="21"/>
        <v>0</v>
      </c>
      <c r="Y147" s="605"/>
      <c r="Z147" s="461">
        <f t="shared" si="25"/>
        <v>0</v>
      </c>
      <c r="AA147" s="462"/>
      <c r="AB147" s="462"/>
      <c r="AC147" s="462"/>
      <c r="AD147" s="462"/>
      <c r="AE147" s="463">
        <f t="shared" si="23"/>
        <v>0</v>
      </c>
      <c r="AF147" s="611"/>
      <c r="AG147" s="436" t="e">
        <f>VLOOKUP(A147,'Feature Summary'!$A$7:$U$4030,21,FALSE)</f>
        <v>#N/A</v>
      </c>
      <c r="AH147" s="324"/>
    </row>
    <row r="148" spans="1:34" ht="30" x14ac:dyDescent="0.25">
      <c r="A148" s="330" t="s">
        <v>750</v>
      </c>
      <c r="B148" s="565" t="s">
        <v>727</v>
      </c>
      <c r="C148" s="558"/>
      <c r="D148" s="559" t="s">
        <v>257</v>
      </c>
      <c r="E148" s="560"/>
      <c r="F148" s="566" t="s">
        <v>751</v>
      </c>
      <c r="G148" s="242" t="e">
        <f>VLOOKUP(A148,'Feature Summary'!$A$7:$C$4030,3,FALSE)</f>
        <v>#N/A</v>
      </c>
      <c r="H148" s="574" t="s">
        <v>752</v>
      </c>
      <c r="I148" s="322" t="s">
        <v>41</v>
      </c>
      <c r="J148" s="322"/>
      <c r="K148" s="577">
        <v>1</v>
      </c>
      <c r="L148" s="583">
        <v>4</v>
      </c>
      <c r="M148" s="596" t="s">
        <v>33</v>
      </c>
      <c r="N148" s="591">
        <v>1</v>
      </c>
      <c r="O148" s="583">
        <v>4</v>
      </c>
      <c r="P148" s="589">
        <f t="shared" si="22"/>
        <v>1</v>
      </c>
      <c r="Q148" s="604" t="s">
        <v>48</v>
      </c>
      <c r="R148" s="583">
        <v>8</v>
      </c>
      <c r="S148" s="474">
        <f t="shared" si="24"/>
        <v>0</v>
      </c>
      <c r="T148" s="583"/>
      <c r="U148" s="462"/>
      <c r="V148" s="462"/>
      <c r="W148" s="462"/>
      <c r="X148" s="475">
        <f t="shared" si="21"/>
        <v>0</v>
      </c>
      <c r="Y148" s="605"/>
      <c r="Z148" s="461">
        <f t="shared" si="25"/>
        <v>0</v>
      </c>
      <c r="AA148" s="462"/>
      <c r="AB148" s="462"/>
      <c r="AC148" s="462"/>
      <c r="AD148" s="462"/>
      <c r="AE148" s="463">
        <f t="shared" si="23"/>
        <v>0</v>
      </c>
      <c r="AF148" s="611"/>
      <c r="AG148" s="436" t="e">
        <f>VLOOKUP(A148,'Feature Summary'!$A$7:$U$4030,21,FALSE)</f>
        <v>#N/A</v>
      </c>
      <c r="AH148" s="324"/>
    </row>
    <row r="149" spans="1:34" ht="15.75" thickBot="1" x14ac:dyDescent="0.3">
      <c r="A149" s="330" t="s">
        <v>753</v>
      </c>
      <c r="B149" s="565" t="s">
        <v>754</v>
      </c>
      <c r="C149" s="558"/>
      <c r="D149" s="559" t="s">
        <v>257</v>
      </c>
      <c r="E149" s="560"/>
      <c r="F149" s="566" t="s">
        <v>755</v>
      </c>
      <c r="G149" s="242" t="str">
        <f>VLOOKUP(A149,'Feature Summary'!$A$7:$C$4030,3,FALSE)</f>
        <v>P2</v>
      </c>
      <c r="H149" s="573" t="s">
        <v>756</v>
      </c>
      <c r="I149" s="322" t="s">
        <v>41</v>
      </c>
      <c r="J149" s="322"/>
      <c r="K149" s="577">
        <v>1</v>
      </c>
      <c r="L149" s="583">
        <v>6</v>
      </c>
      <c r="M149" s="596" t="s">
        <v>33</v>
      </c>
      <c r="N149" s="591">
        <v>1</v>
      </c>
      <c r="O149" s="583">
        <v>6</v>
      </c>
      <c r="P149" s="589">
        <f t="shared" si="22"/>
        <v>1</v>
      </c>
      <c r="Q149" s="604" t="s">
        <v>48</v>
      </c>
      <c r="R149" s="583">
        <v>4</v>
      </c>
      <c r="S149" s="474">
        <f t="shared" si="24"/>
        <v>0</v>
      </c>
      <c r="T149" s="583"/>
      <c r="U149" s="462"/>
      <c r="V149" s="462"/>
      <c r="W149" s="462"/>
      <c r="X149" s="475">
        <f t="shared" si="21"/>
        <v>0</v>
      </c>
      <c r="Y149" s="605"/>
      <c r="Z149" s="461">
        <f t="shared" si="25"/>
        <v>0</v>
      </c>
      <c r="AA149" s="462"/>
      <c r="AB149" s="462"/>
      <c r="AC149" s="462"/>
      <c r="AD149" s="462"/>
      <c r="AE149" s="463">
        <f t="shared" si="23"/>
        <v>0</v>
      </c>
      <c r="AF149" s="611"/>
      <c r="AG149" s="436" t="str">
        <f>VLOOKUP(A149,'Feature Summary'!$A$7:$U$4030,21,FALSE)</f>
        <v>wk-8</v>
      </c>
      <c r="AH149" s="324"/>
    </row>
    <row r="150" spans="1:34" x14ac:dyDescent="0.25">
      <c r="A150" s="330" t="s">
        <v>753</v>
      </c>
      <c r="B150" s="565" t="s">
        <v>754</v>
      </c>
      <c r="C150" s="558"/>
      <c r="D150" s="559" t="s">
        <v>257</v>
      </c>
      <c r="E150" s="560"/>
      <c r="F150" s="566" t="s">
        <v>757</v>
      </c>
      <c r="G150" s="242" t="str">
        <f>VLOOKUP(A150,'Feature Summary'!$A$7:$C$4030,3,FALSE)</f>
        <v>P2</v>
      </c>
      <c r="H150" s="573" t="s">
        <v>758</v>
      </c>
      <c r="I150" s="322" t="s">
        <v>41</v>
      </c>
      <c r="J150" s="322"/>
      <c r="K150" s="577">
        <v>1</v>
      </c>
      <c r="L150" s="583">
        <v>15</v>
      </c>
      <c r="M150" s="596" t="s">
        <v>33</v>
      </c>
      <c r="N150" s="591">
        <v>1</v>
      </c>
      <c r="O150" s="583">
        <v>15</v>
      </c>
      <c r="P150" s="589">
        <f t="shared" si="22"/>
        <v>1</v>
      </c>
      <c r="Q150" s="604" t="s">
        <v>48</v>
      </c>
      <c r="R150" s="583">
        <v>15</v>
      </c>
      <c r="S150" s="472">
        <f t="shared" si="24"/>
        <v>0</v>
      </c>
      <c r="T150" s="583"/>
      <c r="U150" s="462"/>
      <c r="V150" s="462"/>
      <c r="W150" s="462"/>
      <c r="X150" s="475">
        <f t="shared" si="21"/>
        <v>0</v>
      </c>
      <c r="Y150" s="605"/>
      <c r="Z150" s="461">
        <f t="shared" si="25"/>
        <v>0</v>
      </c>
      <c r="AA150" s="462"/>
      <c r="AB150" s="462"/>
      <c r="AC150" s="462"/>
      <c r="AD150" s="462"/>
      <c r="AE150" s="463">
        <f t="shared" si="23"/>
        <v>0</v>
      </c>
      <c r="AF150" s="611"/>
      <c r="AG150" s="436" t="str">
        <f>VLOOKUP(A150,'Feature Summary'!$A$7:$U$4030,21,FALSE)</f>
        <v>wk-8</v>
      </c>
      <c r="AH150" s="324"/>
    </row>
    <row r="151" spans="1:34" x14ac:dyDescent="0.25">
      <c r="A151" s="330" t="s">
        <v>753</v>
      </c>
      <c r="B151" s="565" t="s">
        <v>754</v>
      </c>
      <c r="C151" s="558"/>
      <c r="D151" s="559" t="s">
        <v>257</v>
      </c>
      <c r="E151" s="560"/>
      <c r="F151" s="566" t="s">
        <v>759</v>
      </c>
      <c r="G151" s="242" t="str">
        <f>VLOOKUP(A151,'Feature Summary'!$A$7:$C$4030,3,FALSE)</f>
        <v>P2</v>
      </c>
      <c r="H151" s="573" t="s">
        <v>760</v>
      </c>
      <c r="I151" s="322" t="s">
        <v>41</v>
      </c>
      <c r="J151" s="322"/>
      <c r="K151" s="577">
        <v>1</v>
      </c>
      <c r="L151" s="583">
        <v>15</v>
      </c>
      <c r="M151" s="596" t="s">
        <v>33</v>
      </c>
      <c r="N151" s="591">
        <v>1</v>
      </c>
      <c r="O151" s="583">
        <v>15</v>
      </c>
      <c r="P151" s="589">
        <f t="shared" si="22"/>
        <v>1</v>
      </c>
      <c r="Q151" s="604" t="s">
        <v>48</v>
      </c>
      <c r="R151" s="583">
        <v>15</v>
      </c>
      <c r="S151" s="474">
        <f t="shared" si="24"/>
        <v>0</v>
      </c>
      <c r="T151" s="583"/>
      <c r="U151" s="462"/>
      <c r="V151" s="462"/>
      <c r="W151" s="462"/>
      <c r="X151" s="475">
        <f t="shared" si="21"/>
        <v>0</v>
      </c>
      <c r="Y151" s="605"/>
      <c r="Z151" s="461">
        <f t="shared" si="25"/>
        <v>0</v>
      </c>
      <c r="AA151" s="462"/>
      <c r="AB151" s="462"/>
      <c r="AC151" s="462"/>
      <c r="AD151" s="462"/>
      <c r="AE151" s="463">
        <f t="shared" si="23"/>
        <v>0</v>
      </c>
      <c r="AF151" s="322"/>
      <c r="AG151" s="436" t="str">
        <f>VLOOKUP(A151,'Feature Summary'!$A$7:$U$4030,21,FALSE)</f>
        <v>wk-8</v>
      </c>
      <c r="AH151" s="324"/>
    </row>
    <row r="152" spans="1:34" ht="15.75" thickBot="1" x14ac:dyDescent="0.3">
      <c r="A152" s="330" t="s">
        <v>708</v>
      </c>
      <c r="B152" s="565" t="s">
        <v>761</v>
      </c>
      <c r="C152" s="558"/>
      <c r="D152" s="559" t="s">
        <v>257</v>
      </c>
      <c r="E152" s="560"/>
      <c r="F152" s="566" t="s">
        <v>762</v>
      </c>
      <c r="G152" s="242" t="str">
        <f>VLOOKUP(A152,'Feature Summary'!$A$7:$C$4030,3,FALSE)</f>
        <v>P2</v>
      </c>
      <c r="H152" s="573" t="s">
        <v>763</v>
      </c>
      <c r="I152" s="322" t="s">
        <v>41</v>
      </c>
      <c r="J152" s="322"/>
      <c r="K152" s="577">
        <v>1</v>
      </c>
      <c r="L152" s="583">
        <v>15</v>
      </c>
      <c r="M152" s="596" t="s">
        <v>33</v>
      </c>
      <c r="N152" s="591">
        <v>1</v>
      </c>
      <c r="O152" s="583">
        <v>15</v>
      </c>
      <c r="P152" s="589">
        <f t="shared" si="22"/>
        <v>1</v>
      </c>
      <c r="Q152" s="604" t="s">
        <v>48</v>
      </c>
      <c r="R152" s="583">
        <v>15</v>
      </c>
      <c r="S152" s="474">
        <f t="shared" si="24"/>
        <v>0</v>
      </c>
      <c r="T152" s="583"/>
      <c r="U152" s="462"/>
      <c r="V152" s="462"/>
      <c r="W152" s="462"/>
      <c r="X152" s="475">
        <f t="shared" si="21"/>
        <v>0</v>
      </c>
      <c r="Y152" s="605"/>
      <c r="Z152" s="461">
        <f t="shared" si="25"/>
        <v>0</v>
      </c>
      <c r="AA152" s="462"/>
      <c r="AB152" s="462"/>
      <c r="AC152" s="462"/>
      <c r="AD152" s="462"/>
      <c r="AE152" s="463">
        <f t="shared" si="23"/>
        <v>0</v>
      </c>
      <c r="AF152" s="611"/>
      <c r="AG152" s="436" t="str">
        <f>VLOOKUP(A152,'Feature Summary'!$A$7:$U$4030,21,FALSE)</f>
        <v>wk-8</v>
      </c>
      <c r="AH152" s="615"/>
    </row>
    <row r="153" spans="1:34" ht="30" x14ac:dyDescent="0.25">
      <c r="A153" s="330" t="s">
        <v>764</v>
      </c>
      <c r="B153" s="565" t="s">
        <v>765</v>
      </c>
      <c r="C153" s="558"/>
      <c r="D153" s="559" t="s">
        <v>257</v>
      </c>
      <c r="E153" s="560"/>
      <c r="F153" s="566" t="s">
        <v>766</v>
      </c>
      <c r="G153" s="242" t="str">
        <f>VLOOKUP(A153,'Feature Summary'!$A$7:$C$4030,3,FALSE)</f>
        <v>P2</v>
      </c>
      <c r="H153" s="566" t="s">
        <v>767</v>
      </c>
      <c r="I153" s="322" t="s">
        <v>41</v>
      </c>
      <c r="J153" s="322"/>
      <c r="K153" s="577">
        <v>1</v>
      </c>
      <c r="L153" s="583">
        <v>63</v>
      </c>
      <c r="M153" s="596" t="s">
        <v>33</v>
      </c>
      <c r="N153" s="591">
        <v>1</v>
      </c>
      <c r="O153" s="583">
        <v>63</v>
      </c>
      <c r="P153" s="589">
        <f t="shared" si="22"/>
        <v>1</v>
      </c>
      <c r="Q153" s="604" t="s">
        <v>48</v>
      </c>
      <c r="R153" s="583">
        <v>63</v>
      </c>
      <c r="S153" s="472">
        <f t="shared" si="24"/>
        <v>0</v>
      </c>
      <c r="T153" s="583"/>
      <c r="U153" s="462"/>
      <c r="V153" s="462"/>
      <c r="W153" s="462"/>
      <c r="X153" s="475">
        <f t="shared" si="21"/>
        <v>0</v>
      </c>
      <c r="Y153" s="605"/>
      <c r="Z153" s="461">
        <f t="shared" si="25"/>
        <v>0</v>
      </c>
      <c r="AA153" s="462"/>
      <c r="AB153" s="462"/>
      <c r="AC153" s="462"/>
      <c r="AD153" s="462"/>
      <c r="AE153" s="463">
        <f t="shared" si="23"/>
        <v>0</v>
      </c>
      <c r="AF153" s="322"/>
      <c r="AG153" s="436" t="str">
        <f>VLOOKUP(A153,'Feature Summary'!$A$7:$U$4030,21,FALSE)</f>
        <v>wk-4</v>
      </c>
      <c r="AH153" s="324"/>
    </row>
    <row r="154" spans="1:34" ht="45" x14ac:dyDescent="0.25">
      <c r="A154" s="330" t="s">
        <v>698</v>
      </c>
      <c r="B154" s="565" t="s">
        <v>699</v>
      </c>
      <c r="C154" s="558"/>
      <c r="D154" s="559" t="s">
        <v>257</v>
      </c>
      <c r="E154" s="560"/>
      <c r="F154" s="566" t="s">
        <v>768</v>
      </c>
      <c r="G154" s="242" t="e">
        <f>VLOOKUP(A154,'Feature Summary'!$A$7:$C$4030,3,FALSE)</f>
        <v>#N/A</v>
      </c>
      <c r="H154" s="573" t="s">
        <v>769</v>
      </c>
      <c r="I154" s="322" t="s">
        <v>41</v>
      </c>
      <c r="J154" s="322"/>
      <c r="K154" s="577">
        <v>1</v>
      </c>
      <c r="L154" s="583">
        <v>1</v>
      </c>
      <c r="M154" s="596" t="s">
        <v>33</v>
      </c>
      <c r="N154" s="591">
        <v>1</v>
      </c>
      <c r="O154" s="583">
        <v>1</v>
      </c>
      <c r="P154" s="589">
        <f t="shared" si="22"/>
        <v>1</v>
      </c>
      <c r="Q154" s="604" t="s">
        <v>48</v>
      </c>
      <c r="R154" s="583">
        <v>1</v>
      </c>
      <c r="S154" s="474">
        <f t="shared" si="24"/>
        <v>0</v>
      </c>
      <c r="T154" s="583"/>
      <c r="U154" s="462"/>
      <c r="V154" s="462"/>
      <c r="W154" s="462"/>
      <c r="X154" s="475">
        <f t="shared" si="21"/>
        <v>0</v>
      </c>
      <c r="Y154" s="605"/>
      <c r="Z154" s="461">
        <f t="shared" si="25"/>
        <v>0</v>
      </c>
      <c r="AA154" s="462"/>
      <c r="AB154" s="462"/>
      <c r="AC154" s="462"/>
      <c r="AD154" s="462"/>
      <c r="AE154" s="463">
        <f t="shared" si="23"/>
        <v>0</v>
      </c>
      <c r="AF154" s="322"/>
      <c r="AG154" s="436" t="e">
        <f>VLOOKUP(A154,'Feature Summary'!$A$7:$U$4030,21,FALSE)</f>
        <v>#N/A</v>
      </c>
      <c r="AH154" s="324"/>
    </row>
    <row r="155" spans="1:34" ht="15.75" thickBot="1" x14ac:dyDescent="0.3">
      <c r="A155" s="330" t="s">
        <v>708</v>
      </c>
      <c r="B155" s="565" t="s">
        <v>761</v>
      </c>
      <c r="C155" s="558"/>
      <c r="D155" s="559" t="s">
        <v>257</v>
      </c>
      <c r="E155" s="560"/>
      <c r="F155" s="566" t="s">
        <v>770</v>
      </c>
      <c r="G155" s="242" t="str">
        <f>VLOOKUP(A155,'Feature Summary'!$A$7:$C$4030,3,FALSE)</f>
        <v>P2</v>
      </c>
      <c r="H155" s="573" t="s">
        <v>771</v>
      </c>
      <c r="I155" s="322" t="s">
        <v>35</v>
      </c>
      <c r="J155" s="322"/>
      <c r="K155" s="577">
        <v>1</v>
      </c>
      <c r="L155" s="583">
        <v>12</v>
      </c>
      <c r="M155" s="596" t="s">
        <v>33</v>
      </c>
      <c r="N155" s="591">
        <v>1</v>
      </c>
      <c r="O155" s="583">
        <v>12</v>
      </c>
      <c r="P155" s="589">
        <f t="shared" ref="P155" si="26">IF((O155=0),0,(O155/L155))</f>
        <v>1</v>
      </c>
      <c r="Q155" s="604" t="s">
        <v>48</v>
      </c>
      <c r="R155" s="583">
        <v>169</v>
      </c>
      <c r="S155" s="474">
        <f t="shared" si="24"/>
        <v>0</v>
      </c>
      <c r="T155" s="583"/>
      <c r="U155" s="462"/>
      <c r="V155" s="462"/>
      <c r="W155" s="462"/>
      <c r="X155" s="475">
        <f t="shared" ref="X155" si="27">IF((S155=0),0,((T155+U155)/S155*100%))</f>
        <v>0</v>
      </c>
      <c r="Y155" s="605"/>
      <c r="Z155" s="461">
        <f t="shared" si="25"/>
        <v>0</v>
      </c>
      <c r="AA155" s="462"/>
      <c r="AB155" s="462"/>
      <c r="AC155" s="462"/>
      <c r="AD155" s="462"/>
      <c r="AE155" s="463">
        <f t="shared" ref="AE155" si="28">IF((Z155=0),0,((AA155+AB155)/Z155*100%))</f>
        <v>0</v>
      </c>
      <c r="AF155" s="322"/>
      <c r="AG155" s="436" t="str">
        <f>VLOOKUP(A155,'Feature Summary'!$A$7:$U$4030,21,FALSE)</f>
        <v>wk-8</v>
      </c>
      <c r="AH155" s="324"/>
    </row>
    <row r="156" spans="1:34" x14ac:dyDescent="0.25">
      <c r="A156" s="330" t="s">
        <v>708</v>
      </c>
      <c r="B156" s="565" t="s">
        <v>761</v>
      </c>
      <c r="C156" s="558"/>
      <c r="D156" s="559" t="s">
        <v>257</v>
      </c>
      <c r="E156" s="560"/>
      <c r="F156" s="566" t="s">
        <v>772</v>
      </c>
      <c r="G156" s="242" t="str">
        <f>VLOOKUP(A156,'Feature Summary'!$A$7:$C$4030,3,FALSE)</f>
        <v>P2</v>
      </c>
      <c r="H156" s="573" t="s">
        <v>773</v>
      </c>
      <c r="I156" s="322" t="s">
        <v>41</v>
      </c>
      <c r="J156" s="322"/>
      <c r="K156" s="577">
        <v>1</v>
      </c>
      <c r="L156" s="583">
        <v>130</v>
      </c>
      <c r="M156" s="596" t="s">
        <v>33</v>
      </c>
      <c r="N156" s="591">
        <v>1</v>
      </c>
      <c r="O156" s="583">
        <v>130</v>
      </c>
      <c r="P156" s="589">
        <f t="shared" si="22"/>
        <v>1</v>
      </c>
      <c r="Q156" s="604" t="s">
        <v>48</v>
      </c>
      <c r="R156" s="583">
        <v>130</v>
      </c>
      <c r="S156" s="472">
        <f t="shared" si="24"/>
        <v>0</v>
      </c>
      <c r="T156" s="583"/>
      <c r="U156" s="462"/>
      <c r="V156" s="462"/>
      <c r="W156" s="462"/>
      <c r="X156" s="475">
        <f t="shared" si="21"/>
        <v>0</v>
      </c>
      <c r="Y156" s="605"/>
      <c r="Z156" s="461">
        <f t="shared" si="25"/>
        <v>0</v>
      </c>
      <c r="AA156" s="462"/>
      <c r="AB156" s="462"/>
      <c r="AC156" s="462"/>
      <c r="AD156" s="462"/>
      <c r="AE156" s="463">
        <f t="shared" si="23"/>
        <v>0</v>
      </c>
      <c r="AF156" s="611"/>
      <c r="AG156" s="436" t="str">
        <f>VLOOKUP(A156,'Feature Summary'!$A$7:$U$4030,21,FALSE)</f>
        <v>wk-8</v>
      </c>
      <c r="AH156" s="324"/>
    </row>
    <row r="157" spans="1:34" x14ac:dyDescent="0.25">
      <c r="A157" s="330" t="s">
        <v>708</v>
      </c>
      <c r="B157" s="565" t="s">
        <v>761</v>
      </c>
      <c r="C157" s="558"/>
      <c r="D157" s="559" t="s">
        <v>257</v>
      </c>
      <c r="E157" s="560"/>
      <c r="F157" s="566" t="s">
        <v>774</v>
      </c>
      <c r="G157" s="242" t="str">
        <f>VLOOKUP(A157,'Feature Summary'!$A$7:$C$4030,3,FALSE)</f>
        <v>P2</v>
      </c>
      <c r="H157" s="574" t="s">
        <v>775</v>
      </c>
      <c r="I157" s="322" t="s">
        <v>41</v>
      </c>
      <c r="J157" s="322"/>
      <c r="K157" s="577">
        <v>1</v>
      </c>
      <c r="L157" s="583">
        <v>12</v>
      </c>
      <c r="M157" s="596" t="s">
        <v>33</v>
      </c>
      <c r="N157" s="591">
        <v>1</v>
      </c>
      <c r="O157" s="583">
        <v>12</v>
      </c>
      <c r="P157" s="589">
        <f t="shared" si="22"/>
        <v>1</v>
      </c>
      <c r="Q157" s="604" t="s">
        <v>48</v>
      </c>
      <c r="R157" s="583">
        <v>12</v>
      </c>
      <c r="S157" s="474">
        <f t="shared" si="24"/>
        <v>0</v>
      </c>
      <c r="T157" s="583"/>
      <c r="U157" s="462"/>
      <c r="V157" s="462"/>
      <c r="W157" s="462"/>
      <c r="X157" s="475">
        <f t="shared" si="21"/>
        <v>0</v>
      </c>
      <c r="Y157" s="605"/>
      <c r="Z157" s="461">
        <f t="shared" si="25"/>
        <v>0</v>
      </c>
      <c r="AA157" s="462"/>
      <c r="AB157" s="462"/>
      <c r="AC157" s="462"/>
      <c r="AD157" s="462"/>
      <c r="AE157" s="463">
        <f t="shared" si="23"/>
        <v>0</v>
      </c>
      <c r="AF157" s="611"/>
      <c r="AG157" s="436" t="str">
        <f>VLOOKUP(A157,'Feature Summary'!$A$7:$U$4030,21,FALSE)</f>
        <v>wk-8</v>
      </c>
      <c r="AH157" s="324"/>
    </row>
    <row r="158" spans="1:34" ht="15.75" thickBot="1" x14ac:dyDescent="0.3">
      <c r="A158" s="330" t="s">
        <v>708</v>
      </c>
      <c r="B158" s="565" t="s">
        <v>761</v>
      </c>
      <c r="C158" s="558"/>
      <c r="D158" s="559" t="s">
        <v>257</v>
      </c>
      <c r="E158" s="560"/>
      <c r="F158" s="566" t="s">
        <v>776</v>
      </c>
      <c r="G158" s="242" t="str">
        <f>VLOOKUP(A158,'Feature Summary'!$A$7:$C$4030,3,FALSE)</f>
        <v>P2</v>
      </c>
      <c r="H158" s="574" t="s">
        <v>777</v>
      </c>
      <c r="I158" s="322" t="s">
        <v>41</v>
      </c>
      <c r="J158" s="322"/>
      <c r="K158" s="577">
        <v>1</v>
      </c>
      <c r="L158" s="583">
        <v>12</v>
      </c>
      <c r="M158" s="613" t="s">
        <v>33</v>
      </c>
      <c r="N158" s="591">
        <v>1</v>
      </c>
      <c r="O158" s="583">
        <v>12</v>
      </c>
      <c r="P158" s="589">
        <f t="shared" si="22"/>
        <v>1</v>
      </c>
      <c r="Q158" s="604" t="s">
        <v>48</v>
      </c>
      <c r="R158" s="583">
        <v>12</v>
      </c>
      <c r="S158" s="474">
        <f t="shared" si="24"/>
        <v>0</v>
      </c>
      <c r="T158" s="583"/>
      <c r="U158" s="462"/>
      <c r="V158" s="462"/>
      <c r="W158" s="462"/>
      <c r="X158" s="475">
        <f t="shared" si="21"/>
        <v>0</v>
      </c>
      <c r="Y158" s="605"/>
      <c r="Z158" s="461">
        <f t="shared" si="25"/>
        <v>0</v>
      </c>
      <c r="AA158" s="462"/>
      <c r="AB158" s="462"/>
      <c r="AC158" s="462"/>
      <c r="AD158" s="462"/>
      <c r="AE158" s="463">
        <f t="shared" si="23"/>
        <v>0</v>
      </c>
      <c r="AF158" s="611"/>
      <c r="AG158" s="436" t="str">
        <f>VLOOKUP(A158,'Feature Summary'!$A$7:$U$4030,21,FALSE)</f>
        <v>wk-8</v>
      </c>
      <c r="AH158" s="324"/>
    </row>
    <row r="159" spans="1:34" x14ac:dyDescent="0.25">
      <c r="A159" s="330" t="s">
        <v>708</v>
      </c>
      <c r="B159" s="565" t="s">
        <v>761</v>
      </c>
      <c r="C159" s="558"/>
      <c r="D159" s="559" t="s">
        <v>257</v>
      </c>
      <c r="E159" s="560"/>
      <c r="F159" s="566" t="s">
        <v>778</v>
      </c>
      <c r="G159" s="242" t="str">
        <f>VLOOKUP(A159,'Feature Summary'!$A$7:$C$4030,3,FALSE)</f>
        <v>P2</v>
      </c>
      <c r="H159" s="574" t="s">
        <v>779</v>
      </c>
      <c r="I159" s="322" t="s">
        <v>41</v>
      </c>
      <c r="J159" s="322"/>
      <c r="K159" s="577">
        <v>1</v>
      </c>
      <c r="L159" s="583">
        <v>34</v>
      </c>
      <c r="M159" s="596" t="s">
        <v>33</v>
      </c>
      <c r="N159" s="591">
        <v>1</v>
      </c>
      <c r="O159" s="583">
        <v>34</v>
      </c>
      <c r="P159" s="589">
        <f t="shared" si="22"/>
        <v>1</v>
      </c>
      <c r="Q159" s="604" t="s">
        <v>48</v>
      </c>
      <c r="R159" s="583">
        <v>34</v>
      </c>
      <c r="S159" s="472">
        <f t="shared" si="24"/>
        <v>0</v>
      </c>
      <c r="T159" s="583"/>
      <c r="U159" s="462"/>
      <c r="V159" s="462"/>
      <c r="W159" s="462"/>
      <c r="X159" s="475">
        <f t="shared" si="21"/>
        <v>0</v>
      </c>
      <c r="Y159" s="605"/>
      <c r="Z159" s="461">
        <f t="shared" si="25"/>
        <v>0</v>
      </c>
      <c r="AA159" s="462"/>
      <c r="AB159" s="462"/>
      <c r="AC159" s="462"/>
      <c r="AD159" s="462"/>
      <c r="AE159" s="463">
        <f t="shared" si="23"/>
        <v>0</v>
      </c>
      <c r="AF159" s="611"/>
      <c r="AG159" s="436" t="str">
        <f>VLOOKUP(A159,'Feature Summary'!$A$7:$U$4030,21,FALSE)</f>
        <v>wk-8</v>
      </c>
      <c r="AH159" s="324"/>
    </row>
    <row r="160" spans="1:34" ht="30" x14ac:dyDescent="0.25">
      <c r="A160" s="330" t="s">
        <v>780</v>
      </c>
      <c r="B160" s="565" t="s">
        <v>781</v>
      </c>
      <c r="C160" s="558"/>
      <c r="D160" s="559" t="s">
        <v>257</v>
      </c>
      <c r="E160" s="560"/>
      <c r="F160" s="566" t="s">
        <v>782</v>
      </c>
      <c r="G160" s="242" t="str">
        <f>VLOOKUP(A160,'Feature Summary'!$A$7:$C$4030,3,FALSE)</f>
        <v>P2</v>
      </c>
      <c r="H160" s="574" t="s">
        <v>783</v>
      </c>
      <c r="I160" s="322" t="s">
        <v>41</v>
      </c>
      <c r="J160" s="322"/>
      <c r="K160" s="577">
        <v>1</v>
      </c>
      <c r="L160" s="583">
        <v>3</v>
      </c>
      <c r="M160" s="596" t="s">
        <v>33</v>
      </c>
      <c r="N160" s="591">
        <v>1</v>
      </c>
      <c r="O160" s="583">
        <v>3</v>
      </c>
      <c r="P160" s="589">
        <f t="shared" si="22"/>
        <v>1</v>
      </c>
      <c r="Q160" s="604" t="s">
        <v>48</v>
      </c>
      <c r="R160" s="583">
        <v>3</v>
      </c>
      <c r="S160" s="474">
        <f t="shared" si="24"/>
        <v>0</v>
      </c>
      <c r="T160" s="583"/>
      <c r="U160" s="462"/>
      <c r="V160" s="462"/>
      <c r="W160" s="462"/>
      <c r="X160" s="475">
        <f t="shared" si="21"/>
        <v>0</v>
      </c>
      <c r="Y160" s="605"/>
      <c r="Z160" s="461">
        <f t="shared" si="25"/>
        <v>0</v>
      </c>
      <c r="AA160" s="462"/>
      <c r="AB160" s="462"/>
      <c r="AC160" s="462"/>
      <c r="AD160" s="462"/>
      <c r="AE160" s="463">
        <f t="shared" si="23"/>
        <v>0</v>
      </c>
      <c r="AF160" s="322"/>
      <c r="AG160" s="436" t="str">
        <f>VLOOKUP(A160,'Feature Summary'!$A$7:$U$4030,21,FALSE)</f>
        <v>wk-8</v>
      </c>
      <c r="AH160" s="324"/>
    </row>
    <row r="161" spans="1:34" ht="45.75" thickBot="1" x14ac:dyDescent="0.3">
      <c r="A161" s="330" t="s">
        <v>784</v>
      </c>
      <c r="B161" s="565" t="s">
        <v>785</v>
      </c>
      <c r="C161" s="558"/>
      <c r="D161" s="559" t="s">
        <v>257</v>
      </c>
      <c r="E161" s="560"/>
      <c r="F161" s="566" t="s">
        <v>714</v>
      </c>
      <c r="G161" s="242" t="e">
        <f>VLOOKUP(A161,'Feature Summary'!$A$7:$C$4030,3,FALSE)</f>
        <v>#N/A</v>
      </c>
      <c r="H161" s="573" t="s">
        <v>715</v>
      </c>
      <c r="I161" s="322" t="s">
        <v>41</v>
      </c>
      <c r="J161" s="322"/>
      <c r="K161" s="577">
        <v>1</v>
      </c>
      <c r="L161" s="583">
        <v>1</v>
      </c>
      <c r="M161" s="596" t="s">
        <v>33</v>
      </c>
      <c r="N161" s="591">
        <v>1</v>
      </c>
      <c r="O161" s="583">
        <v>1</v>
      </c>
      <c r="P161" s="589">
        <f t="shared" si="22"/>
        <v>1</v>
      </c>
      <c r="Q161" s="604" t="s">
        <v>48</v>
      </c>
      <c r="R161" s="583">
        <v>1</v>
      </c>
      <c r="S161" s="474">
        <f t="shared" si="24"/>
        <v>0</v>
      </c>
      <c r="T161" s="583"/>
      <c r="U161" s="462"/>
      <c r="V161" s="462"/>
      <c r="W161" s="462"/>
      <c r="X161" s="475">
        <f t="shared" si="21"/>
        <v>0</v>
      </c>
      <c r="Y161" s="605"/>
      <c r="Z161" s="461">
        <f t="shared" si="25"/>
        <v>0</v>
      </c>
      <c r="AA161" s="462"/>
      <c r="AB161" s="462"/>
      <c r="AC161" s="462"/>
      <c r="AD161" s="462"/>
      <c r="AE161" s="463">
        <f t="shared" si="23"/>
        <v>0</v>
      </c>
      <c r="AF161" s="611"/>
      <c r="AG161" s="436" t="e">
        <f>VLOOKUP(A161,'Feature Summary'!$A$7:$U$4030,21,FALSE)</f>
        <v>#N/A</v>
      </c>
      <c r="AH161" s="615"/>
    </row>
    <row r="162" spans="1:34" x14ac:dyDescent="0.25">
      <c r="A162" s="330" t="s">
        <v>708</v>
      </c>
      <c r="B162" s="565" t="s">
        <v>761</v>
      </c>
      <c r="C162" s="558"/>
      <c r="D162" s="559" t="s">
        <v>257</v>
      </c>
      <c r="E162" s="560"/>
      <c r="F162" s="566" t="s">
        <v>786</v>
      </c>
      <c r="G162" s="242" t="str">
        <f>VLOOKUP(A162,'Feature Summary'!$A$7:$C$4030,3,FALSE)</f>
        <v>P2</v>
      </c>
      <c r="H162" s="573" t="s">
        <v>787</v>
      </c>
      <c r="I162" s="322" t="s">
        <v>41</v>
      </c>
      <c r="J162" s="322"/>
      <c r="K162" s="577">
        <v>1</v>
      </c>
      <c r="L162" s="583">
        <v>12</v>
      </c>
      <c r="M162" s="596" t="s">
        <v>33</v>
      </c>
      <c r="N162" s="591">
        <v>1</v>
      </c>
      <c r="O162" s="583">
        <v>12</v>
      </c>
      <c r="P162" s="589">
        <f t="shared" si="22"/>
        <v>1</v>
      </c>
      <c r="Q162" s="604" t="s">
        <v>48</v>
      </c>
      <c r="R162" s="583">
        <v>12</v>
      </c>
      <c r="S162" s="472">
        <f t="shared" si="24"/>
        <v>0</v>
      </c>
      <c r="T162" s="583"/>
      <c r="U162" s="462"/>
      <c r="V162" s="462"/>
      <c r="W162" s="462"/>
      <c r="X162" s="475">
        <f t="shared" si="21"/>
        <v>0</v>
      </c>
      <c r="Y162" s="605"/>
      <c r="Z162" s="461">
        <f t="shared" si="25"/>
        <v>0</v>
      </c>
      <c r="AA162" s="462"/>
      <c r="AB162" s="462"/>
      <c r="AC162" s="462"/>
      <c r="AD162" s="462"/>
      <c r="AE162" s="463">
        <f t="shared" si="23"/>
        <v>0</v>
      </c>
      <c r="AF162" s="611"/>
      <c r="AG162" s="436" t="str">
        <f>VLOOKUP(A162,'Feature Summary'!$A$7:$U$4030,21,FALSE)</f>
        <v>wk-8</v>
      </c>
      <c r="AH162" s="324"/>
    </row>
    <row r="163" spans="1:34" ht="30" x14ac:dyDescent="0.25">
      <c r="A163" s="330" t="s">
        <v>788</v>
      </c>
      <c r="B163" s="565" t="s">
        <v>789</v>
      </c>
      <c r="C163" s="558"/>
      <c r="D163" s="559" t="s">
        <v>257</v>
      </c>
      <c r="E163" s="560"/>
      <c r="F163" s="566" t="s">
        <v>790</v>
      </c>
      <c r="G163" s="242" t="e">
        <f>VLOOKUP(A163,'Feature Summary'!$A$7:$C$4030,3,FALSE)</f>
        <v>#N/A</v>
      </c>
      <c r="H163" s="573" t="s">
        <v>791</v>
      </c>
      <c r="I163" s="322" t="s">
        <v>41</v>
      </c>
      <c r="J163" s="322"/>
      <c r="K163" s="577">
        <v>63</v>
      </c>
      <c r="L163" s="583">
        <v>63</v>
      </c>
      <c r="M163" s="596" t="s">
        <v>33</v>
      </c>
      <c r="N163" s="591">
        <v>1</v>
      </c>
      <c r="O163" s="583">
        <v>63</v>
      </c>
      <c r="P163" s="589">
        <f t="shared" si="22"/>
        <v>1</v>
      </c>
      <c r="Q163" s="604" t="s">
        <v>48</v>
      </c>
      <c r="R163" s="583">
        <v>63</v>
      </c>
      <c r="S163" s="474">
        <f t="shared" si="24"/>
        <v>0</v>
      </c>
      <c r="T163" s="583"/>
      <c r="U163" s="462"/>
      <c r="V163" s="462"/>
      <c r="W163" s="462"/>
      <c r="X163" s="475">
        <f t="shared" si="21"/>
        <v>0</v>
      </c>
      <c r="Y163" s="620"/>
      <c r="Z163" s="461">
        <f t="shared" si="25"/>
        <v>0</v>
      </c>
      <c r="AA163" s="462"/>
      <c r="AB163" s="462"/>
      <c r="AC163" s="462"/>
      <c r="AD163" s="462"/>
      <c r="AE163" s="463">
        <f t="shared" si="23"/>
        <v>0</v>
      </c>
      <c r="AF163" s="611"/>
      <c r="AG163" s="436" t="e">
        <f>VLOOKUP(A163,'Feature Summary'!$A$7:$U$4030,21,FALSE)</f>
        <v>#N/A</v>
      </c>
      <c r="AH163" s="324"/>
    </row>
    <row r="164" spans="1:34" ht="15.75" thickBot="1" x14ac:dyDescent="0.3">
      <c r="A164" s="330" t="s">
        <v>792</v>
      </c>
      <c r="B164" s="565" t="s">
        <v>793</v>
      </c>
      <c r="C164" s="558"/>
      <c r="D164" s="559" t="s">
        <v>257</v>
      </c>
      <c r="E164" s="560"/>
      <c r="F164" s="566" t="s">
        <v>794</v>
      </c>
      <c r="G164" s="242" t="str">
        <f>VLOOKUP(A164,'Feature Summary'!$A$7:$C$4030,3,FALSE)</f>
        <v>P2</v>
      </c>
      <c r="H164" s="573" t="s">
        <v>795</v>
      </c>
      <c r="I164" s="322" t="s">
        <v>41</v>
      </c>
      <c r="J164" s="322"/>
      <c r="K164" s="577">
        <v>1</v>
      </c>
      <c r="L164" s="583">
        <v>7</v>
      </c>
      <c r="M164" s="596" t="s">
        <v>33</v>
      </c>
      <c r="N164" s="591">
        <v>1</v>
      </c>
      <c r="O164" s="583">
        <v>7</v>
      </c>
      <c r="P164" s="589">
        <f t="shared" si="22"/>
        <v>1</v>
      </c>
      <c r="Q164" s="604" t="s">
        <v>48</v>
      </c>
      <c r="R164" s="583">
        <v>7</v>
      </c>
      <c r="S164" s="474">
        <f t="shared" si="24"/>
        <v>0</v>
      </c>
      <c r="T164" s="583"/>
      <c r="U164" s="462"/>
      <c r="V164" s="462"/>
      <c r="W164" s="462"/>
      <c r="X164" s="475">
        <f t="shared" si="21"/>
        <v>0</v>
      </c>
      <c r="Y164" s="605"/>
      <c r="Z164" s="461">
        <f t="shared" si="25"/>
        <v>0</v>
      </c>
      <c r="AA164" s="462"/>
      <c r="AB164" s="462"/>
      <c r="AC164" s="462"/>
      <c r="AD164" s="462"/>
      <c r="AE164" s="463">
        <f t="shared" si="23"/>
        <v>0</v>
      </c>
      <c r="AF164" s="611"/>
      <c r="AG164" s="436" t="str">
        <f>VLOOKUP(A164,'Feature Summary'!$A$7:$U$4030,21,FALSE)</f>
        <v>W8</v>
      </c>
      <c r="AH164" s="324"/>
    </row>
    <row r="165" spans="1:34" x14ac:dyDescent="0.25">
      <c r="A165" s="330" t="s">
        <v>792</v>
      </c>
      <c r="B165" s="565" t="s">
        <v>793</v>
      </c>
      <c r="C165" s="558"/>
      <c r="D165" s="559" t="s">
        <v>257</v>
      </c>
      <c r="E165" s="560"/>
      <c r="F165" s="566" t="s">
        <v>796</v>
      </c>
      <c r="G165" s="242" t="str">
        <f>VLOOKUP(A165,'Feature Summary'!$A$7:$C$4030,3,FALSE)</f>
        <v>P2</v>
      </c>
      <c r="H165" s="573" t="s">
        <v>797</v>
      </c>
      <c r="I165" s="322" t="s">
        <v>41</v>
      </c>
      <c r="J165" s="322"/>
      <c r="K165" s="577">
        <v>1</v>
      </c>
      <c r="L165" s="583">
        <v>7</v>
      </c>
      <c r="M165" s="596" t="s">
        <v>33</v>
      </c>
      <c r="N165" s="591">
        <v>1</v>
      </c>
      <c r="O165" s="583">
        <v>7</v>
      </c>
      <c r="P165" s="589">
        <f t="shared" si="22"/>
        <v>1</v>
      </c>
      <c r="Q165" s="604" t="s">
        <v>48</v>
      </c>
      <c r="R165" s="583">
        <v>7</v>
      </c>
      <c r="S165" s="472">
        <f t="shared" si="24"/>
        <v>0</v>
      </c>
      <c r="T165" s="583"/>
      <c r="U165" s="462"/>
      <c r="V165" s="462"/>
      <c r="W165" s="462"/>
      <c r="X165" s="475">
        <f t="shared" si="21"/>
        <v>0</v>
      </c>
      <c r="Y165" s="605"/>
      <c r="Z165" s="461">
        <f t="shared" si="25"/>
        <v>0</v>
      </c>
      <c r="AA165" s="462"/>
      <c r="AB165" s="462"/>
      <c r="AC165" s="462"/>
      <c r="AD165" s="462"/>
      <c r="AE165" s="463">
        <f t="shared" si="23"/>
        <v>0</v>
      </c>
      <c r="AF165" s="611"/>
      <c r="AG165" s="436" t="str">
        <f>VLOOKUP(A165,'Feature Summary'!$A$7:$U$4030,21,FALSE)</f>
        <v>W8</v>
      </c>
      <c r="AH165" s="324"/>
    </row>
    <row r="166" spans="1:34" x14ac:dyDescent="0.25">
      <c r="A166" s="330" t="s">
        <v>792</v>
      </c>
      <c r="B166" s="565" t="s">
        <v>793</v>
      </c>
      <c r="C166" s="567"/>
      <c r="D166" s="559" t="s">
        <v>257</v>
      </c>
      <c r="E166" s="560"/>
      <c r="F166" s="566" t="s">
        <v>798</v>
      </c>
      <c r="G166" s="242" t="str">
        <f>VLOOKUP(A166,'Feature Summary'!$A$7:$C$4030,3,FALSE)</f>
        <v>P2</v>
      </c>
      <c r="H166" s="573" t="s">
        <v>799</v>
      </c>
      <c r="I166" s="322" t="s">
        <v>41</v>
      </c>
      <c r="J166" s="322"/>
      <c r="K166" s="577">
        <v>1</v>
      </c>
      <c r="L166" s="583">
        <v>1</v>
      </c>
      <c r="M166" s="596" t="s">
        <v>33</v>
      </c>
      <c r="N166" s="591">
        <v>1</v>
      </c>
      <c r="O166" s="583">
        <v>1</v>
      </c>
      <c r="P166" s="589">
        <f t="shared" si="22"/>
        <v>1</v>
      </c>
      <c r="Q166" s="604" t="s">
        <v>48</v>
      </c>
      <c r="R166" s="583">
        <v>1</v>
      </c>
      <c r="S166" s="474">
        <f t="shared" si="24"/>
        <v>0</v>
      </c>
      <c r="T166" s="583"/>
      <c r="U166" s="462"/>
      <c r="V166" s="462"/>
      <c r="W166" s="462"/>
      <c r="X166" s="475">
        <f t="shared" si="21"/>
        <v>0</v>
      </c>
      <c r="Y166" s="605"/>
      <c r="Z166" s="461">
        <f t="shared" si="25"/>
        <v>0</v>
      </c>
      <c r="AA166" s="462"/>
      <c r="AB166" s="462"/>
      <c r="AC166" s="462"/>
      <c r="AD166" s="462"/>
      <c r="AE166" s="463">
        <f t="shared" si="23"/>
        <v>0</v>
      </c>
      <c r="AF166" s="611"/>
      <c r="AG166" s="436" t="str">
        <f>VLOOKUP(A166,'Feature Summary'!$A$7:$U$4030,21,FALSE)</f>
        <v>W8</v>
      </c>
      <c r="AH166" s="324"/>
    </row>
    <row r="167" spans="1:34" ht="30.75" thickBot="1" x14ac:dyDescent="0.3">
      <c r="A167" s="330" t="s">
        <v>800</v>
      </c>
      <c r="B167" s="565" t="s">
        <v>801</v>
      </c>
      <c r="C167" s="558"/>
      <c r="D167" s="559" t="s">
        <v>257</v>
      </c>
      <c r="E167" s="560"/>
      <c r="F167" s="566" t="s">
        <v>802</v>
      </c>
      <c r="G167" s="242" t="str">
        <f>VLOOKUP(A167,'Feature Summary'!$A$7:$C$4030,3,FALSE)</f>
        <v>P2</v>
      </c>
      <c r="H167" s="573" t="s">
        <v>803</v>
      </c>
      <c r="I167" s="322" t="s">
        <v>41</v>
      </c>
      <c r="J167" s="322"/>
      <c r="K167" s="577">
        <v>1</v>
      </c>
      <c r="L167" s="583">
        <v>1</v>
      </c>
      <c r="M167" s="596" t="s">
        <v>33</v>
      </c>
      <c r="N167" s="591">
        <v>1</v>
      </c>
      <c r="O167" s="583">
        <v>1</v>
      </c>
      <c r="P167" s="589">
        <f t="shared" si="22"/>
        <v>1</v>
      </c>
      <c r="Q167" s="604" t="s">
        <v>48</v>
      </c>
      <c r="R167" s="583">
        <v>1</v>
      </c>
      <c r="S167" s="474">
        <f t="shared" si="24"/>
        <v>0</v>
      </c>
      <c r="T167" s="583"/>
      <c r="U167" s="462"/>
      <c r="V167" s="462"/>
      <c r="W167" s="462"/>
      <c r="X167" s="475">
        <f t="shared" si="21"/>
        <v>0</v>
      </c>
      <c r="Y167" s="605"/>
      <c r="Z167" s="461">
        <f t="shared" si="25"/>
        <v>0</v>
      </c>
      <c r="AA167" s="462"/>
      <c r="AB167" s="462"/>
      <c r="AC167" s="462"/>
      <c r="AD167" s="462"/>
      <c r="AE167" s="463">
        <f t="shared" si="23"/>
        <v>0</v>
      </c>
      <c r="AF167" s="611"/>
      <c r="AG167" s="436" t="str">
        <f>VLOOKUP(A167,'Feature Summary'!$A$7:$U$4030,21,FALSE)</f>
        <v>W8</v>
      </c>
      <c r="AH167" s="324"/>
    </row>
    <row r="168" spans="1:34" ht="30" x14ac:dyDescent="0.25">
      <c r="A168" s="330" t="s">
        <v>804</v>
      </c>
      <c r="B168" s="565" t="s">
        <v>805</v>
      </c>
      <c r="C168" s="558"/>
      <c r="D168" s="559" t="s">
        <v>257</v>
      </c>
      <c r="E168" s="560"/>
      <c r="F168" s="566" t="s">
        <v>806</v>
      </c>
      <c r="G168" s="242" t="str">
        <f>VLOOKUP(A168,'Feature Summary'!$A$7:$C$4030,3,FALSE)</f>
        <v>P2</v>
      </c>
      <c r="H168" s="573" t="s">
        <v>807</v>
      </c>
      <c r="I168" s="322" t="s">
        <v>41</v>
      </c>
      <c r="J168" s="322"/>
      <c r="K168" s="577">
        <v>1</v>
      </c>
      <c r="L168" s="583">
        <v>2</v>
      </c>
      <c r="M168" s="596" t="s">
        <v>33</v>
      </c>
      <c r="N168" s="591">
        <v>1</v>
      </c>
      <c r="O168" s="583">
        <v>2</v>
      </c>
      <c r="P168" s="589">
        <f t="shared" si="22"/>
        <v>1</v>
      </c>
      <c r="Q168" s="604" t="s">
        <v>48</v>
      </c>
      <c r="R168" s="583">
        <v>2</v>
      </c>
      <c r="S168" s="472">
        <f t="shared" si="24"/>
        <v>0</v>
      </c>
      <c r="T168" s="583"/>
      <c r="U168" s="462"/>
      <c r="V168" s="462"/>
      <c r="W168" s="462"/>
      <c r="X168" s="475">
        <f t="shared" si="21"/>
        <v>0</v>
      </c>
      <c r="Y168" s="605"/>
      <c r="Z168" s="461">
        <f t="shared" si="25"/>
        <v>0</v>
      </c>
      <c r="AA168" s="462"/>
      <c r="AB168" s="462"/>
      <c r="AC168" s="462"/>
      <c r="AD168" s="462"/>
      <c r="AE168" s="463">
        <f t="shared" si="23"/>
        <v>0</v>
      </c>
      <c r="AF168" s="322"/>
      <c r="AG168" s="436" t="str">
        <f>VLOOKUP(A168,'Feature Summary'!$A$7:$U$4030,21,FALSE)</f>
        <v>W8</v>
      </c>
      <c r="AH168" s="324"/>
    </row>
    <row r="169" spans="1:34" ht="30" x14ac:dyDescent="0.25">
      <c r="A169" s="330" t="s">
        <v>804</v>
      </c>
      <c r="B169" s="565" t="s">
        <v>805</v>
      </c>
      <c r="C169" s="558"/>
      <c r="D169" s="559" t="s">
        <v>257</v>
      </c>
      <c r="E169" s="560"/>
      <c r="F169" s="566" t="s">
        <v>808</v>
      </c>
      <c r="G169" s="242" t="str">
        <f>VLOOKUP(A169,'Feature Summary'!$A$7:$C$4030,3,FALSE)</f>
        <v>P2</v>
      </c>
      <c r="H169" s="573" t="s">
        <v>809</v>
      </c>
      <c r="I169" s="322" t="s">
        <v>41</v>
      </c>
      <c r="J169" s="322"/>
      <c r="K169" s="577">
        <v>1</v>
      </c>
      <c r="L169" s="583">
        <v>1</v>
      </c>
      <c r="M169" s="596" t="s">
        <v>33</v>
      </c>
      <c r="N169" s="591">
        <v>1</v>
      </c>
      <c r="O169" s="583">
        <v>1</v>
      </c>
      <c r="P169" s="589">
        <f t="shared" si="22"/>
        <v>1</v>
      </c>
      <c r="Q169" s="604" t="s">
        <v>48</v>
      </c>
      <c r="R169" s="583">
        <v>1</v>
      </c>
      <c r="S169" s="474">
        <f t="shared" si="24"/>
        <v>0</v>
      </c>
      <c r="T169" s="583"/>
      <c r="U169" s="462"/>
      <c r="V169" s="462"/>
      <c r="W169" s="462"/>
      <c r="X169" s="475">
        <f t="shared" si="21"/>
        <v>0</v>
      </c>
      <c r="Y169" s="605"/>
      <c r="Z169" s="461">
        <f t="shared" si="25"/>
        <v>0</v>
      </c>
      <c r="AA169" s="462"/>
      <c r="AB169" s="462"/>
      <c r="AC169" s="462"/>
      <c r="AD169" s="462"/>
      <c r="AE169" s="463">
        <f t="shared" si="23"/>
        <v>0</v>
      </c>
      <c r="AF169" s="322"/>
      <c r="AG169" s="436" t="str">
        <f>VLOOKUP(A169,'Feature Summary'!$A$7:$U$4030,21,FALSE)</f>
        <v>W8</v>
      </c>
      <c r="AH169" s="324"/>
    </row>
    <row r="170" spans="1:34" ht="30.75" thickBot="1" x14ac:dyDescent="0.3">
      <c r="A170" s="330" t="s">
        <v>810</v>
      </c>
      <c r="B170" s="565" t="s">
        <v>811</v>
      </c>
      <c r="C170" s="558"/>
      <c r="D170" s="559" t="s">
        <v>257</v>
      </c>
      <c r="E170" s="560"/>
      <c r="F170" s="566" t="s">
        <v>812</v>
      </c>
      <c r="G170" s="242" t="str">
        <f>VLOOKUP(A170,'Feature Summary'!$A$7:$C$4030,3,FALSE)</f>
        <v>P2</v>
      </c>
      <c r="H170" s="573" t="s">
        <v>813</v>
      </c>
      <c r="I170" s="322" t="s">
        <v>41</v>
      </c>
      <c r="J170" s="322"/>
      <c r="K170" s="577">
        <v>1</v>
      </c>
      <c r="L170" s="583">
        <v>1</v>
      </c>
      <c r="M170" s="596" t="s">
        <v>33</v>
      </c>
      <c r="N170" s="591">
        <v>1</v>
      </c>
      <c r="O170" s="583">
        <v>1</v>
      </c>
      <c r="P170" s="589">
        <f t="shared" si="22"/>
        <v>1</v>
      </c>
      <c r="Q170" s="604" t="s">
        <v>48</v>
      </c>
      <c r="R170" s="583">
        <v>1</v>
      </c>
      <c r="S170" s="474">
        <f t="shared" si="24"/>
        <v>0</v>
      </c>
      <c r="T170" s="583"/>
      <c r="U170" s="462"/>
      <c r="V170" s="462"/>
      <c r="W170" s="462"/>
      <c r="X170" s="475">
        <f t="shared" si="21"/>
        <v>0</v>
      </c>
      <c r="Y170" s="605"/>
      <c r="Z170" s="461">
        <f t="shared" si="25"/>
        <v>0</v>
      </c>
      <c r="AA170" s="462"/>
      <c r="AB170" s="462"/>
      <c r="AC170" s="462"/>
      <c r="AD170" s="462"/>
      <c r="AE170" s="463">
        <f t="shared" si="23"/>
        <v>0</v>
      </c>
      <c r="AF170" s="611"/>
      <c r="AG170" s="436" t="str">
        <f>VLOOKUP(A170,'Feature Summary'!$A$7:$U$4030,21,FALSE)</f>
        <v>W8</v>
      </c>
      <c r="AH170" s="324"/>
    </row>
    <row r="171" spans="1:34" x14ac:dyDescent="0.25">
      <c r="A171" s="330" t="s">
        <v>814</v>
      </c>
      <c r="B171" s="565" t="s">
        <v>815</v>
      </c>
      <c r="C171" s="558"/>
      <c r="D171" s="559" t="s">
        <v>257</v>
      </c>
      <c r="E171" s="560"/>
      <c r="F171" s="566" t="s">
        <v>816</v>
      </c>
      <c r="G171" s="242" t="str">
        <f>VLOOKUP(A171,'Feature Summary'!$A$7:$C$4030,3,FALSE)</f>
        <v>P2</v>
      </c>
      <c r="H171" s="573" t="s">
        <v>817</v>
      </c>
      <c r="I171" s="322" t="s">
        <v>41</v>
      </c>
      <c r="J171" s="322"/>
      <c r="K171" s="577">
        <v>1</v>
      </c>
      <c r="L171" s="616">
        <v>31</v>
      </c>
      <c r="M171" s="596" t="s">
        <v>33</v>
      </c>
      <c r="N171" s="591">
        <v>1</v>
      </c>
      <c r="O171" s="616">
        <v>31</v>
      </c>
      <c r="P171" s="589">
        <f t="shared" si="22"/>
        <v>1</v>
      </c>
      <c r="Q171" s="604" t="s">
        <v>48</v>
      </c>
      <c r="R171" s="583">
        <v>5</v>
      </c>
      <c r="S171" s="472">
        <f t="shared" si="24"/>
        <v>0</v>
      </c>
      <c r="T171" s="583"/>
      <c r="U171" s="462"/>
      <c r="V171" s="462"/>
      <c r="W171" s="462"/>
      <c r="X171" s="475">
        <f t="shared" si="21"/>
        <v>0</v>
      </c>
      <c r="Y171" s="605"/>
      <c r="Z171" s="461">
        <f t="shared" si="25"/>
        <v>0</v>
      </c>
      <c r="AA171" s="462"/>
      <c r="AB171" s="462"/>
      <c r="AC171" s="462"/>
      <c r="AD171" s="462"/>
      <c r="AE171" s="463">
        <f t="shared" si="23"/>
        <v>0</v>
      </c>
      <c r="AF171" s="322"/>
      <c r="AG171" s="436" t="str">
        <f>VLOOKUP(A171,'Feature Summary'!$A$7:$U$4030,21,FALSE)</f>
        <v>W10</v>
      </c>
      <c r="AH171" s="324"/>
    </row>
    <row r="172" spans="1:34" x14ac:dyDescent="0.25">
      <c r="A172" s="330" t="s">
        <v>814</v>
      </c>
      <c r="B172" s="565" t="s">
        <v>815</v>
      </c>
      <c r="C172" s="558"/>
      <c r="D172" s="559" t="s">
        <v>257</v>
      </c>
      <c r="E172" s="560"/>
      <c r="F172" s="566" t="s">
        <v>818</v>
      </c>
      <c r="G172" s="242" t="str">
        <f>VLOOKUP(A172,'Feature Summary'!$A$7:$C$4030,3,FALSE)</f>
        <v>P2</v>
      </c>
      <c r="H172" s="573" t="s">
        <v>819</v>
      </c>
      <c r="I172" s="322" t="s">
        <v>41</v>
      </c>
      <c r="J172" s="322"/>
      <c r="K172" s="577">
        <v>1</v>
      </c>
      <c r="L172" s="616">
        <v>31</v>
      </c>
      <c r="M172" s="596" t="s">
        <v>33</v>
      </c>
      <c r="N172" s="591">
        <v>1</v>
      </c>
      <c r="O172" s="616">
        <v>31</v>
      </c>
      <c r="P172" s="589">
        <f t="shared" si="22"/>
        <v>1</v>
      </c>
      <c r="Q172" s="604" t="s">
        <v>48</v>
      </c>
      <c r="R172" s="583">
        <v>5</v>
      </c>
      <c r="S172" s="474">
        <f t="shared" si="24"/>
        <v>0</v>
      </c>
      <c r="T172" s="583"/>
      <c r="U172" s="462"/>
      <c r="V172" s="462"/>
      <c r="W172" s="462"/>
      <c r="X172" s="475">
        <f t="shared" si="21"/>
        <v>0</v>
      </c>
      <c r="Y172" s="605"/>
      <c r="Z172" s="461">
        <f t="shared" si="25"/>
        <v>0</v>
      </c>
      <c r="AA172" s="462"/>
      <c r="AB172" s="462"/>
      <c r="AC172" s="462"/>
      <c r="AD172" s="462"/>
      <c r="AE172" s="463">
        <f t="shared" si="23"/>
        <v>0</v>
      </c>
      <c r="AF172" s="322"/>
      <c r="AG172" s="436" t="str">
        <f>VLOOKUP(A172,'Feature Summary'!$A$7:$U$4030,21,FALSE)</f>
        <v>W10</v>
      </c>
      <c r="AH172" s="324"/>
    </row>
    <row r="173" spans="1:34" ht="15.75" thickBot="1" x14ac:dyDescent="0.3">
      <c r="A173" s="330" t="s">
        <v>814</v>
      </c>
      <c r="B173" s="565" t="s">
        <v>815</v>
      </c>
      <c r="C173" s="558"/>
      <c r="D173" s="559" t="s">
        <v>257</v>
      </c>
      <c r="E173" s="560"/>
      <c r="F173" s="566" t="s">
        <v>820</v>
      </c>
      <c r="G173" s="242" t="str">
        <f>VLOOKUP(A173,'Feature Summary'!$A$7:$C$4030,3,FALSE)</f>
        <v>P2</v>
      </c>
      <c r="H173" s="573" t="s">
        <v>821</v>
      </c>
      <c r="I173" s="322" t="s">
        <v>35</v>
      </c>
      <c r="J173" s="322"/>
      <c r="K173" s="577">
        <v>1</v>
      </c>
      <c r="L173" s="616">
        <v>100</v>
      </c>
      <c r="M173" s="596" t="s">
        <v>33</v>
      </c>
      <c r="N173" s="591">
        <v>1</v>
      </c>
      <c r="O173" s="616">
        <v>100</v>
      </c>
      <c r="P173" s="589">
        <f t="shared" si="22"/>
        <v>1</v>
      </c>
      <c r="Q173" s="604" t="s">
        <v>48</v>
      </c>
      <c r="R173" s="583">
        <v>6</v>
      </c>
      <c r="S173" s="474">
        <f t="shared" si="24"/>
        <v>0</v>
      </c>
      <c r="T173" s="583"/>
      <c r="U173" s="462"/>
      <c r="V173" s="462"/>
      <c r="W173" s="462"/>
      <c r="X173" s="475">
        <f t="shared" si="21"/>
        <v>0</v>
      </c>
      <c r="Y173" s="605"/>
      <c r="Z173" s="461">
        <f t="shared" si="25"/>
        <v>0</v>
      </c>
      <c r="AA173" s="462"/>
      <c r="AB173" s="462"/>
      <c r="AC173" s="462"/>
      <c r="AD173" s="462"/>
      <c r="AE173" s="463">
        <f t="shared" si="23"/>
        <v>0</v>
      </c>
      <c r="AF173" s="611"/>
      <c r="AG173" s="436" t="str">
        <f>VLOOKUP(A173,'Feature Summary'!$A$7:$U$4030,21,FALSE)</f>
        <v>W10</v>
      </c>
      <c r="AH173" s="324"/>
    </row>
    <row r="174" spans="1:34" ht="30" x14ac:dyDescent="0.25">
      <c r="A174" s="330" t="s">
        <v>822</v>
      </c>
      <c r="B174" s="565" t="s">
        <v>823</v>
      </c>
      <c r="C174" s="558"/>
      <c r="D174" s="559" t="s">
        <v>257</v>
      </c>
      <c r="E174" s="560"/>
      <c r="F174" s="566" t="s">
        <v>824</v>
      </c>
      <c r="G174" s="242" t="e">
        <f>VLOOKUP(A174,'Feature Summary'!$A$7:$C$4030,3,FALSE)</f>
        <v>#N/A</v>
      </c>
      <c r="H174" s="573" t="s">
        <v>825</v>
      </c>
      <c r="I174" s="322" t="s">
        <v>41</v>
      </c>
      <c r="J174" s="322"/>
      <c r="K174" s="577">
        <v>1</v>
      </c>
      <c r="L174" s="616">
        <v>31</v>
      </c>
      <c r="M174" s="596" t="s">
        <v>33</v>
      </c>
      <c r="N174" s="591">
        <v>1</v>
      </c>
      <c r="O174" s="616">
        <v>31</v>
      </c>
      <c r="P174" s="589">
        <f t="shared" si="22"/>
        <v>1</v>
      </c>
      <c r="Q174" s="604" t="s">
        <v>48</v>
      </c>
      <c r="R174" s="583">
        <v>3</v>
      </c>
      <c r="S174" s="472">
        <f t="shared" si="24"/>
        <v>0</v>
      </c>
      <c r="T174" s="583"/>
      <c r="U174" s="462"/>
      <c r="V174" s="462"/>
      <c r="W174" s="462"/>
      <c r="X174" s="475">
        <f t="shared" si="21"/>
        <v>0</v>
      </c>
      <c r="Y174" s="605"/>
      <c r="Z174" s="461">
        <f t="shared" si="25"/>
        <v>0</v>
      </c>
      <c r="AA174" s="462"/>
      <c r="AB174" s="462"/>
      <c r="AC174" s="462"/>
      <c r="AD174" s="462"/>
      <c r="AE174" s="463">
        <f>IF((Z174=0),0,((AA174+AB174)/Z174*100%))</f>
        <v>0</v>
      </c>
      <c r="AF174" s="322"/>
      <c r="AG174" s="436" t="e">
        <f>VLOOKUP(A174,'Feature Summary'!$A$7:$U$4030,21,FALSE)</f>
        <v>#N/A</v>
      </c>
      <c r="AH174" s="324"/>
    </row>
    <row r="175" spans="1:34" ht="30" x14ac:dyDescent="0.25">
      <c r="A175" s="330" t="s">
        <v>822</v>
      </c>
      <c r="B175" s="565" t="s">
        <v>823</v>
      </c>
      <c r="C175" s="558"/>
      <c r="D175" s="559" t="s">
        <v>257</v>
      </c>
      <c r="E175" s="560"/>
      <c r="F175" s="566" t="s">
        <v>824</v>
      </c>
      <c r="G175" s="242" t="e">
        <f>VLOOKUP(A175,'Feature Summary'!$A$7:$C$4030,3,FALSE)</f>
        <v>#N/A</v>
      </c>
      <c r="H175" s="573" t="s">
        <v>826</v>
      </c>
      <c r="I175" s="322" t="s">
        <v>41</v>
      </c>
      <c r="J175" s="322"/>
      <c r="K175" s="577">
        <v>1</v>
      </c>
      <c r="L175" s="616">
        <v>31</v>
      </c>
      <c r="M175" s="596" t="s">
        <v>33</v>
      </c>
      <c r="N175" s="591">
        <v>1</v>
      </c>
      <c r="O175" s="616">
        <v>31</v>
      </c>
      <c r="P175" s="589">
        <f t="shared" si="22"/>
        <v>1</v>
      </c>
      <c r="Q175" s="604" t="s">
        <v>48</v>
      </c>
      <c r="R175" s="583">
        <v>3</v>
      </c>
      <c r="S175" s="474">
        <f t="shared" si="24"/>
        <v>0</v>
      </c>
      <c r="T175" s="583"/>
      <c r="U175" s="462"/>
      <c r="V175" s="462"/>
      <c r="W175" s="462"/>
      <c r="X175" s="475">
        <f t="shared" si="21"/>
        <v>0</v>
      </c>
      <c r="Y175" s="605"/>
      <c r="Z175" s="461">
        <f t="shared" si="25"/>
        <v>0</v>
      </c>
      <c r="AA175" s="462"/>
      <c r="AB175" s="462"/>
      <c r="AC175" s="462"/>
      <c r="AD175" s="462"/>
      <c r="AE175" s="463">
        <f t="shared" si="23"/>
        <v>0</v>
      </c>
      <c r="AF175" s="322"/>
      <c r="AG175" s="436" t="e">
        <f>VLOOKUP(A175,'Feature Summary'!$A$7:$U$4030,21,FALSE)</f>
        <v>#N/A</v>
      </c>
      <c r="AH175" s="324"/>
    </row>
    <row r="176" spans="1:34" ht="30.75" thickBot="1" x14ac:dyDescent="0.3">
      <c r="A176" s="330" t="s">
        <v>822</v>
      </c>
      <c r="B176" s="565" t="s">
        <v>823</v>
      </c>
      <c r="C176" s="558"/>
      <c r="D176" s="559" t="s">
        <v>257</v>
      </c>
      <c r="E176" s="560"/>
      <c r="F176" s="566" t="s">
        <v>824</v>
      </c>
      <c r="G176" s="242" t="e">
        <f>VLOOKUP(A176,'Feature Summary'!$A$7:$C$4030,3,FALSE)</f>
        <v>#N/A</v>
      </c>
      <c r="H176" s="573" t="s">
        <v>827</v>
      </c>
      <c r="I176" s="322" t="s">
        <v>41</v>
      </c>
      <c r="J176" s="322"/>
      <c r="K176" s="577">
        <v>1</v>
      </c>
      <c r="L176" s="616">
        <v>100</v>
      </c>
      <c r="M176" s="596" t="s">
        <v>33</v>
      </c>
      <c r="N176" s="591">
        <v>1</v>
      </c>
      <c r="O176" s="616">
        <v>100</v>
      </c>
      <c r="P176" s="589">
        <f t="shared" si="22"/>
        <v>1</v>
      </c>
      <c r="Q176" s="604" t="s">
        <v>48</v>
      </c>
      <c r="R176" s="583">
        <v>3</v>
      </c>
      <c r="S176" s="474">
        <f t="shared" si="24"/>
        <v>0</v>
      </c>
      <c r="T176" s="583"/>
      <c r="U176" s="462"/>
      <c r="V176" s="462"/>
      <c r="W176" s="462"/>
      <c r="X176" s="475">
        <f t="shared" si="21"/>
        <v>0</v>
      </c>
      <c r="Y176" s="605"/>
      <c r="Z176" s="461">
        <f t="shared" si="25"/>
        <v>0</v>
      </c>
      <c r="AA176" s="462"/>
      <c r="AB176" s="462"/>
      <c r="AC176" s="462"/>
      <c r="AD176" s="462"/>
      <c r="AE176" s="463">
        <f t="shared" si="23"/>
        <v>0</v>
      </c>
      <c r="AF176" s="322"/>
      <c r="AG176" s="436" t="e">
        <f>VLOOKUP(A176,'Feature Summary'!$A$7:$U$4030,21,FALSE)</f>
        <v>#N/A</v>
      </c>
      <c r="AH176" s="324"/>
    </row>
    <row r="177" spans="1:34" ht="30" x14ac:dyDescent="0.25">
      <c r="A177" s="568" t="s">
        <v>822</v>
      </c>
      <c r="B177" s="565" t="s">
        <v>823</v>
      </c>
      <c r="C177" s="558"/>
      <c r="D177" s="559" t="s">
        <v>257</v>
      </c>
      <c r="E177" s="560"/>
      <c r="F177" s="566" t="s">
        <v>828</v>
      </c>
      <c r="G177" s="242" t="e">
        <f>VLOOKUP(A177,'Feature Summary'!$A$7:$C$4030,3,FALSE)</f>
        <v>#N/A</v>
      </c>
      <c r="H177" s="573" t="s">
        <v>829</v>
      </c>
      <c r="I177" s="322" t="s">
        <v>41</v>
      </c>
      <c r="J177" s="322"/>
      <c r="K177" s="577">
        <v>1</v>
      </c>
      <c r="L177" s="616">
        <v>31</v>
      </c>
      <c r="M177" s="596" t="s">
        <v>33</v>
      </c>
      <c r="N177" s="591">
        <v>1</v>
      </c>
      <c r="O177" s="616">
        <v>31</v>
      </c>
      <c r="P177" s="589">
        <f t="shared" si="22"/>
        <v>1</v>
      </c>
      <c r="Q177" s="604" t="s">
        <v>48</v>
      </c>
      <c r="R177" s="583">
        <v>3</v>
      </c>
      <c r="S177" s="472">
        <f t="shared" si="24"/>
        <v>0</v>
      </c>
      <c r="T177" s="583"/>
      <c r="U177" s="462"/>
      <c r="V177" s="462"/>
      <c r="W177" s="462"/>
      <c r="X177" s="475">
        <f t="shared" si="21"/>
        <v>0</v>
      </c>
      <c r="Y177" s="605"/>
      <c r="Z177" s="461">
        <f t="shared" si="25"/>
        <v>0</v>
      </c>
      <c r="AA177" s="462"/>
      <c r="AB177" s="462"/>
      <c r="AC177" s="462"/>
      <c r="AD177" s="462"/>
      <c r="AE177" s="463">
        <f t="shared" si="23"/>
        <v>0</v>
      </c>
      <c r="AF177" s="322"/>
      <c r="AG177" s="436" t="e">
        <f>VLOOKUP(A177,'Feature Summary'!$A$7:$U$4030,21,FALSE)</f>
        <v>#N/A</v>
      </c>
      <c r="AH177" s="324"/>
    </row>
    <row r="178" spans="1:34" ht="30" x14ac:dyDescent="0.25">
      <c r="A178" s="568" t="s">
        <v>822</v>
      </c>
      <c r="B178" s="565" t="s">
        <v>823</v>
      </c>
      <c r="C178" s="558"/>
      <c r="D178" s="559" t="s">
        <v>257</v>
      </c>
      <c r="E178" s="560"/>
      <c r="F178" s="566" t="s">
        <v>828</v>
      </c>
      <c r="G178" s="242" t="e">
        <f>VLOOKUP(A178,'Feature Summary'!$A$7:$C$4030,3,FALSE)</f>
        <v>#N/A</v>
      </c>
      <c r="H178" s="573" t="s">
        <v>830</v>
      </c>
      <c r="I178" s="322" t="s">
        <v>41</v>
      </c>
      <c r="J178" s="322"/>
      <c r="K178" s="577">
        <v>1</v>
      </c>
      <c r="L178" s="616">
        <v>31</v>
      </c>
      <c r="M178" s="596" t="s">
        <v>33</v>
      </c>
      <c r="N178" s="591">
        <v>1</v>
      </c>
      <c r="O178" s="616">
        <v>31</v>
      </c>
      <c r="P178" s="589">
        <f t="shared" si="22"/>
        <v>1</v>
      </c>
      <c r="Q178" s="604" t="s">
        <v>48</v>
      </c>
      <c r="R178" s="583">
        <v>3</v>
      </c>
      <c r="S178" s="474">
        <f t="shared" si="24"/>
        <v>0</v>
      </c>
      <c r="T178" s="583"/>
      <c r="U178" s="462"/>
      <c r="V178" s="462"/>
      <c r="W178" s="462"/>
      <c r="X178" s="475">
        <f t="shared" si="21"/>
        <v>0</v>
      </c>
      <c r="Y178" s="605"/>
      <c r="Z178" s="461">
        <f t="shared" si="25"/>
        <v>0</v>
      </c>
      <c r="AA178" s="462"/>
      <c r="AB178" s="462"/>
      <c r="AC178" s="462"/>
      <c r="AD178" s="462"/>
      <c r="AE178" s="463">
        <f t="shared" si="23"/>
        <v>0</v>
      </c>
      <c r="AF178" s="322"/>
      <c r="AG178" s="436" t="e">
        <f>VLOOKUP(A178,'Feature Summary'!$A$7:$U$4030,21,FALSE)</f>
        <v>#N/A</v>
      </c>
      <c r="AH178" s="324"/>
    </row>
    <row r="179" spans="1:34" ht="30.75" thickBot="1" x14ac:dyDescent="0.3">
      <c r="A179" s="568" t="s">
        <v>822</v>
      </c>
      <c r="B179" s="565" t="s">
        <v>823</v>
      </c>
      <c r="C179" s="558"/>
      <c r="D179" s="559" t="s">
        <v>257</v>
      </c>
      <c r="E179" s="560"/>
      <c r="F179" s="566" t="s">
        <v>828</v>
      </c>
      <c r="G179" s="242" t="e">
        <f>VLOOKUP(A179,'Feature Summary'!$A$7:$C$4030,3,FALSE)</f>
        <v>#N/A</v>
      </c>
      <c r="H179" s="573" t="s">
        <v>831</v>
      </c>
      <c r="I179" s="322" t="s">
        <v>41</v>
      </c>
      <c r="J179" s="322"/>
      <c r="K179" s="577">
        <v>1</v>
      </c>
      <c r="L179" s="616">
        <v>100</v>
      </c>
      <c r="M179" s="596" t="s">
        <v>33</v>
      </c>
      <c r="N179" s="591">
        <v>1</v>
      </c>
      <c r="O179" s="616">
        <v>100</v>
      </c>
      <c r="P179" s="589">
        <f t="shared" si="22"/>
        <v>1</v>
      </c>
      <c r="Q179" s="604" t="s">
        <v>48</v>
      </c>
      <c r="R179" s="583">
        <v>3</v>
      </c>
      <c r="S179" s="474">
        <f t="shared" si="24"/>
        <v>0</v>
      </c>
      <c r="T179" s="583"/>
      <c r="U179" s="462"/>
      <c r="V179" s="462"/>
      <c r="W179" s="462"/>
      <c r="X179" s="475">
        <f t="shared" si="21"/>
        <v>0</v>
      </c>
      <c r="Y179" s="605"/>
      <c r="Z179" s="461">
        <f t="shared" si="25"/>
        <v>0</v>
      </c>
      <c r="AA179" s="462"/>
      <c r="AB179" s="462"/>
      <c r="AC179" s="462"/>
      <c r="AD179" s="462"/>
      <c r="AE179" s="463">
        <f t="shared" si="23"/>
        <v>0</v>
      </c>
      <c r="AF179" s="322"/>
      <c r="AG179" s="436" t="e">
        <f>VLOOKUP(A179,'Feature Summary'!$A$7:$U$4030,21,FALSE)</f>
        <v>#N/A</v>
      </c>
      <c r="AH179" s="324"/>
    </row>
    <row r="180" spans="1:34" x14ac:dyDescent="0.25">
      <c r="A180" s="330" t="s">
        <v>814</v>
      </c>
      <c r="B180" s="565" t="s">
        <v>815</v>
      </c>
      <c r="C180" s="558"/>
      <c r="D180" s="559" t="s">
        <v>257</v>
      </c>
      <c r="E180" s="560"/>
      <c r="F180" s="566" t="s">
        <v>832</v>
      </c>
      <c r="G180" s="242" t="str">
        <f>VLOOKUP(A180,'Feature Summary'!$A$7:$C$4030,3,FALSE)</f>
        <v>P2</v>
      </c>
      <c r="H180" s="573" t="s">
        <v>833</v>
      </c>
      <c r="I180" s="322" t="s">
        <v>41</v>
      </c>
      <c r="J180" s="322"/>
      <c r="K180" s="577">
        <v>0</v>
      </c>
      <c r="L180" s="583">
        <v>1</v>
      </c>
      <c r="M180" s="596" t="s">
        <v>33</v>
      </c>
      <c r="N180" s="591">
        <v>1</v>
      </c>
      <c r="O180" s="583">
        <v>1</v>
      </c>
      <c r="P180" s="589">
        <f t="shared" si="22"/>
        <v>1</v>
      </c>
      <c r="Q180" s="604" t="s">
        <v>48</v>
      </c>
      <c r="R180" s="583">
        <v>1</v>
      </c>
      <c r="S180" s="472">
        <f t="shared" si="24"/>
        <v>0</v>
      </c>
      <c r="T180" s="583"/>
      <c r="U180" s="462"/>
      <c r="V180" s="462"/>
      <c r="W180" s="462"/>
      <c r="X180" s="475">
        <f t="shared" si="21"/>
        <v>0</v>
      </c>
      <c r="Y180" s="605"/>
      <c r="Z180" s="461">
        <f t="shared" si="25"/>
        <v>0</v>
      </c>
      <c r="AA180" s="462"/>
      <c r="AB180" s="462"/>
      <c r="AC180" s="462"/>
      <c r="AD180" s="462"/>
      <c r="AE180" s="463">
        <f t="shared" si="23"/>
        <v>0</v>
      </c>
      <c r="AF180" s="322"/>
      <c r="AG180" s="436" t="str">
        <f>VLOOKUP(A180,'Feature Summary'!$A$7:$U$4030,21,FALSE)</f>
        <v>W10</v>
      </c>
      <c r="AH180" s="324"/>
    </row>
    <row r="181" spans="1:34" x14ac:dyDescent="0.25">
      <c r="A181" s="330" t="s">
        <v>814</v>
      </c>
      <c r="B181" s="565" t="s">
        <v>815</v>
      </c>
      <c r="C181" s="558"/>
      <c r="D181" s="559" t="s">
        <v>257</v>
      </c>
      <c r="E181" s="560"/>
      <c r="F181" s="566" t="s">
        <v>834</v>
      </c>
      <c r="G181" s="242" t="str">
        <f>VLOOKUP(A181,'Feature Summary'!$A$7:$C$4030,3,FALSE)</f>
        <v>P2</v>
      </c>
      <c r="H181" s="573" t="s">
        <v>835</v>
      </c>
      <c r="I181" s="322" t="s">
        <v>41</v>
      </c>
      <c r="J181" s="322"/>
      <c r="K181" s="577">
        <v>0</v>
      </c>
      <c r="L181" s="583">
        <v>7</v>
      </c>
      <c r="M181" s="596" t="s">
        <v>33</v>
      </c>
      <c r="N181" s="591">
        <v>1</v>
      </c>
      <c r="O181" s="583">
        <v>7</v>
      </c>
      <c r="P181" s="589">
        <f t="shared" si="22"/>
        <v>1</v>
      </c>
      <c r="Q181" s="604" t="s">
        <v>48</v>
      </c>
      <c r="R181" s="583">
        <v>1</v>
      </c>
      <c r="S181" s="474">
        <f t="shared" si="24"/>
        <v>0</v>
      </c>
      <c r="T181" s="583"/>
      <c r="U181" s="462"/>
      <c r="V181" s="462"/>
      <c r="W181" s="462"/>
      <c r="X181" s="475">
        <f t="shared" si="21"/>
        <v>0</v>
      </c>
      <c r="Y181" s="605"/>
      <c r="Z181" s="461">
        <f t="shared" si="25"/>
        <v>0</v>
      </c>
      <c r="AA181" s="462"/>
      <c r="AB181" s="462"/>
      <c r="AC181" s="462"/>
      <c r="AD181" s="462"/>
      <c r="AE181" s="463">
        <f t="shared" si="23"/>
        <v>0</v>
      </c>
      <c r="AF181" s="322"/>
      <c r="AG181" s="436" t="str">
        <f>VLOOKUP(A181,'Feature Summary'!$A$7:$U$4030,21,FALSE)</f>
        <v>W10</v>
      </c>
      <c r="AH181" s="324"/>
    </row>
    <row r="182" spans="1:34" ht="15.75" thickBot="1" x14ac:dyDescent="0.3">
      <c r="A182" s="330" t="s">
        <v>814</v>
      </c>
      <c r="B182" s="565" t="s">
        <v>815</v>
      </c>
      <c r="C182" s="558"/>
      <c r="D182" s="559" t="s">
        <v>257</v>
      </c>
      <c r="E182" s="560"/>
      <c r="F182" s="566" t="s">
        <v>836</v>
      </c>
      <c r="G182" s="242" t="str">
        <f>VLOOKUP(A182,'Feature Summary'!$A$7:$C$4030,3,FALSE)</f>
        <v>P2</v>
      </c>
      <c r="H182" s="573" t="s">
        <v>837</v>
      </c>
      <c r="I182" s="322" t="s">
        <v>41</v>
      </c>
      <c r="J182" s="322"/>
      <c r="K182" s="577">
        <v>0</v>
      </c>
      <c r="L182" s="583">
        <v>7</v>
      </c>
      <c r="M182" s="596" t="s">
        <v>33</v>
      </c>
      <c r="N182" s="591">
        <v>1</v>
      </c>
      <c r="O182" s="583">
        <v>7</v>
      </c>
      <c r="P182" s="589">
        <f t="shared" si="22"/>
        <v>1</v>
      </c>
      <c r="Q182" s="604" t="s">
        <v>48</v>
      </c>
      <c r="R182" s="583">
        <v>1</v>
      </c>
      <c r="S182" s="474">
        <f t="shared" si="24"/>
        <v>0</v>
      </c>
      <c r="T182" s="583"/>
      <c r="U182" s="462"/>
      <c r="V182" s="462"/>
      <c r="W182" s="462"/>
      <c r="X182" s="475">
        <f t="shared" si="21"/>
        <v>0</v>
      </c>
      <c r="Y182" s="605"/>
      <c r="Z182" s="461">
        <f t="shared" si="25"/>
        <v>0</v>
      </c>
      <c r="AA182" s="462"/>
      <c r="AB182" s="462"/>
      <c r="AC182" s="462"/>
      <c r="AD182" s="462"/>
      <c r="AE182" s="463">
        <f t="shared" si="23"/>
        <v>0</v>
      </c>
      <c r="AF182" s="322"/>
      <c r="AG182" s="436" t="str">
        <f>VLOOKUP(A182,'Feature Summary'!$A$7:$U$4030,21,FALSE)</f>
        <v>W10</v>
      </c>
      <c r="AH182" s="324"/>
    </row>
    <row r="183" spans="1:34" x14ac:dyDescent="0.25">
      <c r="A183" s="330" t="s">
        <v>814</v>
      </c>
      <c r="B183" s="565" t="s">
        <v>815</v>
      </c>
      <c r="C183" s="558"/>
      <c r="D183" s="559" t="s">
        <v>257</v>
      </c>
      <c r="E183" s="560"/>
      <c r="F183" s="566" t="s">
        <v>838</v>
      </c>
      <c r="G183" s="242" t="str">
        <f>VLOOKUP(A183,'Feature Summary'!$A$7:$C$4030,3,FALSE)</f>
        <v>P2</v>
      </c>
      <c r="H183" s="573" t="s">
        <v>839</v>
      </c>
      <c r="I183" s="322" t="s">
        <v>41</v>
      </c>
      <c r="J183" s="322"/>
      <c r="K183" s="577">
        <v>0</v>
      </c>
      <c r="L183" s="583">
        <v>1</v>
      </c>
      <c r="M183" s="596" t="s">
        <v>33</v>
      </c>
      <c r="N183" s="591">
        <v>1</v>
      </c>
      <c r="O183" s="583">
        <v>1</v>
      </c>
      <c r="P183" s="589">
        <f t="shared" si="22"/>
        <v>1</v>
      </c>
      <c r="Q183" s="604" t="s">
        <v>48</v>
      </c>
      <c r="R183" s="583">
        <v>1</v>
      </c>
      <c r="S183" s="472">
        <f t="shared" si="24"/>
        <v>0</v>
      </c>
      <c r="T183" s="583"/>
      <c r="U183" s="462"/>
      <c r="V183" s="462"/>
      <c r="W183" s="462"/>
      <c r="X183" s="475">
        <f t="shared" si="21"/>
        <v>0</v>
      </c>
      <c r="Y183" s="605"/>
      <c r="Z183" s="461">
        <f t="shared" si="25"/>
        <v>0</v>
      </c>
      <c r="AA183" s="462"/>
      <c r="AB183" s="462"/>
      <c r="AC183" s="462"/>
      <c r="AD183" s="462"/>
      <c r="AE183" s="463">
        <f t="shared" si="23"/>
        <v>0</v>
      </c>
      <c r="AF183" s="322"/>
      <c r="AG183" s="436" t="str">
        <f>VLOOKUP(A183,'Feature Summary'!$A$7:$U$4030,21,FALSE)</f>
        <v>W10</v>
      </c>
      <c r="AH183" s="324"/>
    </row>
    <row r="184" spans="1:34" ht="15.75" x14ac:dyDescent="0.25">
      <c r="A184" s="330" t="s">
        <v>840</v>
      </c>
      <c r="B184" s="557" t="s">
        <v>841</v>
      </c>
      <c r="C184" s="558"/>
      <c r="D184" s="559" t="s">
        <v>842</v>
      </c>
      <c r="E184" s="560"/>
      <c r="F184" s="558" t="s">
        <v>843</v>
      </c>
      <c r="G184" s="242" t="str">
        <f>VLOOKUP(A184,'Feature Summary'!$A$7:$C$4030,3,FALSE)</f>
        <v>P2</v>
      </c>
      <c r="H184" s="571" t="s">
        <v>844</v>
      </c>
      <c r="I184" s="322" t="s">
        <v>41</v>
      </c>
      <c r="J184" s="322"/>
      <c r="K184" s="577">
        <v>1</v>
      </c>
      <c r="L184" s="584">
        <v>2</v>
      </c>
      <c r="M184" s="596" t="s">
        <v>33</v>
      </c>
      <c r="N184" s="591">
        <v>1</v>
      </c>
      <c r="O184" s="585">
        <v>2</v>
      </c>
      <c r="P184" s="589">
        <f t="shared" si="22"/>
        <v>1</v>
      </c>
      <c r="Q184" s="604" t="s">
        <v>48</v>
      </c>
      <c r="R184" s="584">
        <v>2</v>
      </c>
      <c r="S184" s="474">
        <f t="shared" si="24"/>
        <v>0</v>
      </c>
      <c r="T184" s="584"/>
      <c r="U184" s="462"/>
      <c r="V184" s="462"/>
      <c r="W184" s="462"/>
      <c r="X184" s="475">
        <f t="shared" si="21"/>
        <v>0</v>
      </c>
      <c r="Y184" s="605"/>
      <c r="Z184" s="461">
        <f t="shared" si="25"/>
        <v>0</v>
      </c>
      <c r="AA184" s="462"/>
      <c r="AB184" s="462"/>
      <c r="AC184" s="462"/>
      <c r="AD184" s="462"/>
      <c r="AE184" s="463">
        <f t="shared" si="23"/>
        <v>0</v>
      </c>
      <c r="AF184" s="322"/>
      <c r="AG184" s="436" t="str">
        <f>VLOOKUP(A184,'Feature Summary'!$A$7:$U$4030,21,FALSE)</f>
        <v>N/A</v>
      </c>
      <c r="AH184" s="447"/>
    </row>
    <row r="185" spans="1:34" ht="45.75" thickBot="1" x14ac:dyDescent="0.3">
      <c r="A185" s="330" t="s">
        <v>845</v>
      </c>
      <c r="B185" s="557" t="s">
        <v>846</v>
      </c>
      <c r="C185" s="558"/>
      <c r="D185" s="559" t="s">
        <v>842</v>
      </c>
      <c r="E185" s="560"/>
      <c r="F185" s="558" t="s">
        <v>847</v>
      </c>
      <c r="G185" s="242" t="e">
        <f>VLOOKUP(A185,'Feature Summary'!$A$7:$C$4030,3,FALSE)</f>
        <v>#N/A</v>
      </c>
      <c r="H185" s="571" t="s">
        <v>848</v>
      </c>
      <c r="I185" s="322" t="s">
        <v>41</v>
      </c>
      <c r="J185" s="322"/>
      <c r="K185" s="577">
        <v>1</v>
      </c>
      <c r="L185" s="584">
        <v>2</v>
      </c>
      <c r="M185" s="596" t="s">
        <v>33</v>
      </c>
      <c r="N185" s="591">
        <v>1</v>
      </c>
      <c r="O185" s="585">
        <v>2</v>
      </c>
      <c r="P185" s="589">
        <f t="shared" si="22"/>
        <v>1</v>
      </c>
      <c r="Q185" s="604" t="s">
        <v>48</v>
      </c>
      <c r="R185" s="584">
        <v>2</v>
      </c>
      <c r="S185" s="474">
        <f t="shared" si="24"/>
        <v>0</v>
      </c>
      <c r="T185" s="584"/>
      <c r="U185" s="462"/>
      <c r="V185" s="462"/>
      <c r="W185" s="462"/>
      <c r="X185" s="475">
        <f t="shared" si="21"/>
        <v>0</v>
      </c>
      <c r="Y185" s="605"/>
      <c r="Z185" s="461">
        <f t="shared" si="25"/>
        <v>0</v>
      </c>
      <c r="AA185" s="462"/>
      <c r="AB185" s="462"/>
      <c r="AC185" s="462"/>
      <c r="AD185" s="462"/>
      <c r="AE185" s="463">
        <f t="shared" si="23"/>
        <v>0</v>
      </c>
      <c r="AF185" s="322"/>
      <c r="AG185" s="436" t="e">
        <f>VLOOKUP(A185,'Feature Summary'!$A$7:$U$4030,21,FALSE)</f>
        <v>#N/A</v>
      </c>
      <c r="AH185" s="447"/>
    </row>
    <row r="186" spans="1:34" x14ac:dyDescent="0.25">
      <c r="A186" s="330" t="s">
        <v>849</v>
      </c>
      <c r="B186" s="557" t="s">
        <v>850</v>
      </c>
      <c r="C186" s="558"/>
      <c r="D186" s="559" t="s">
        <v>851</v>
      </c>
      <c r="E186" s="560"/>
      <c r="F186" s="558" t="s">
        <v>852</v>
      </c>
      <c r="G186" s="242" t="str">
        <f>VLOOKUP(A186,'Feature Summary'!$A$7:$C$4030,3,FALSE)</f>
        <v>P2</v>
      </c>
      <c r="H186" s="571" t="s">
        <v>853</v>
      </c>
      <c r="I186" s="322" t="s">
        <v>41</v>
      </c>
      <c r="J186" s="322"/>
      <c r="K186" s="577">
        <v>1</v>
      </c>
      <c r="L186" s="559">
        <v>19</v>
      </c>
      <c r="M186" s="596" t="s">
        <v>39</v>
      </c>
      <c r="N186" s="591">
        <v>1</v>
      </c>
      <c r="O186" s="586">
        <v>19</v>
      </c>
      <c r="P186" s="589">
        <f t="shared" si="22"/>
        <v>1</v>
      </c>
      <c r="Q186" s="604" t="s">
        <v>38</v>
      </c>
      <c r="R186" s="559">
        <v>2</v>
      </c>
      <c r="S186" s="472">
        <f t="shared" si="24"/>
        <v>0</v>
      </c>
      <c r="T186" s="559"/>
      <c r="U186" s="462"/>
      <c r="V186" s="462"/>
      <c r="W186" s="462"/>
      <c r="X186" s="475">
        <f t="shared" si="21"/>
        <v>0</v>
      </c>
      <c r="Y186" s="605"/>
      <c r="Z186" s="461">
        <f t="shared" si="25"/>
        <v>0</v>
      </c>
      <c r="AA186" s="462"/>
      <c r="AB186" s="462"/>
      <c r="AC186" s="462"/>
      <c r="AD186" s="462"/>
      <c r="AE186" s="463">
        <f t="shared" si="23"/>
        <v>0</v>
      </c>
      <c r="AF186" s="322"/>
      <c r="AG186" s="436" t="str">
        <f>VLOOKUP(A186,'Feature Summary'!$A$7:$U$4030,21,FALSE)</f>
        <v>wk-6</v>
      </c>
      <c r="AH186" s="615"/>
    </row>
    <row r="187" spans="1:34" x14ac:dyDescent="0.25">
      <c r="A187" s="330" t="s">
        <v>849</v>
      </c>
      <c r="B187" s="557" t="s">
        <v>850</v>
      </c>
      <c r="C187" s="558"/>
      <c r="D187" s="559" t="s">
        <v>851</v>
      </c>
      <c r="E187" s="560"/>
      <c r="F187" s="558" t="s">
        <v>854</v>
      </c>
      <c r="G187" s="242" t="str">
        <f>VLOOKUP(A187,'Feature Summary'!$A$7:$C$4030,3,FALSE)</f>
        <v>P2</v>
      </c>
      <c r="H187" s="571" t="s">
        <v>855</v>
      </c>
      <c r="I187" s="322" t="s">
        <v>41</v>
      </c>
      <c r="J187" s="322"/>
      <c r="K187" s="577">
        <v>1</v>
      </c>
      <c r="L187" s="559">
        <v>5</v>
      </c>
      <c r="M187" s="596" t="s">
        <v>39</v>
      </c>
      <c r="N187" s="591">
        <v>1</v>
      </c>
      <c r="O187" s="586">
        <v>5</v>
      </c>
      <c r="P187" s="589">
        <f t="shared" si="22"/>
        <v>1</v>
      </c>
      <c r="Q187" s="604" t="s">
        <v>38</v>
      </c>
      <c r="R187" s="559">
        <v>3</v>
      </c>
      <c r="S187" s="474">
        <f t="shared" si="24"/>
        <v>0</v>
      </c>
      <c r="T187" s="559"/>
      <c r="U187" s="462"/>
      <c r="V187" s="462"/>
      <c r="W187" s="462"/>
      <c r="X187" s="475">
        <f t="shared" si="21"/>
        <v>0</v>
      </c>
      <c r="Y187" s="605"/>
      <c r="Z187" s="461">
        <f t="shared" si="25"/>
        <v>0</v>
      </c>
      <c r="AA187" s="462"/>
      <c r="AB187" s="462"/>
      <c r="AC187" s="462"/>
      <c r="AD187" s="462"/>
      <c r="AE187" s="463">
        <f t="shared" si="23"/>
        <v>0</v>
      </c>
      <c r="AF187" s="322"/>
      <c r="AG187" s="436" t="str">
        <f>VLOOKUP(A187,'Feature Summary'!$A$7:$U$4030,21,FALSE)</f>
        <v>wk-6</v>
      </c>
      <c r="AH187" s="324"/>
    </row>
    <row r="188" spans="1:34" ht="45.75" thickBot="1" x14ac:dyDescent="0.3">
      <c r="A188" s="330" t="s">
        <v>849</v>
      </c>
      <c r="B188" s="557" t="s">
        <v>850</v>
      </c>
      <c r="C188" s="558"/>
      <c r="D188" s="559" t="s">
        <v>851</v>
      </c>
      <c r="E188" s="560"/>
      <c r="F188" s="561" t="s">
        <v>856</v>
      </c>
      <c r="G188" s="242" t="str">
        <f>VLOOKUP(A188,'Feature Summary'!$A$7:$C$4030,3,FALSE)</f>
        <v>P2</v>
      </c>
      <c r="H188" s="571" t="s">
        <v>857</v>
      </c>
      <c r="I188" s="322" t="s">
        <v>41</v>
      </c>
      <c r="J188" s="322"/>
      <c r="K188" s="577">
        <v>1</v>
      </c>
      <c r="L188" s="559">
        <v>4</v>
      </c>
      <c r="M188" s="596" t="s">
        <v>39</v>
      </c>
      <c r="N188" s="591">
        <v>1</v>
      </c>
      <c r="O188" s="586">
        <v>4</v>
      </c>
      <c r="P188" s="589">
        <f t="shared" si="22"/>
        <v>1</v>
      </c>
      <c r="Q188" s="604" t="s">
        <v>38</v>
      </c>
      <c r="R188" s="587">
        <v>3</v>
      </c>
      <c r="S188" s="474">
        <f t="shared" si="24"/>
        <v>0</v>
      </c>
      <c r="T188" s="587"/>
      <c r="U188" s="462"/>
      <c r="V188" s="462"/>
      <c r="W188" s="462"/>
      <c r="X188" s="475">
        <f t="shared" si="21"/>
        <v>0</v>
      </c>
      <c r="Y188" s="605"/>
      <c r="Z188" s="461">
        <f t="shared" si="25"/>
        <v>0</v>
      </c>
      <c r="AA188" s="462"/>
      <c r="AB188" s="462"/>
      <c r="AC188" s="462"/>
      <c r="AD188" s="462"/>
      <c r="AE188" s="463">
        <f t="shared" si="23"/>
        <v>0</v>
      </c>
      <c r="AF188" s="322"/>
      <c r="AG188" s="436" t="str">
        <f>VLOOKUP(A188,'Feature Summary'!$A$7:$U$4030,21,FALSE)</f>
        <v>wk-6</v>
      </c>
      <c r="AH188" s="324"/>
    </row>
    <row r="189" spans="1:34" x14ac:dyDescent="0.25">
      <c r="A189" s="330" t="s">
        <v>849</v>
      </c>
      <c r="B189" s="557" t="s">
        <v>850</v>
      </c>
      <c r="C189" s="558"/>
      <c r="D189" s="559" t="s">
        <v>851</v>
      </c>
      <c r="E189" s="560"/>
      <c r="F189" s="558" t="s">
        <v>858</v>
      </c>
      <c r="G189" s="242" t="str">
        <f>VLOOKUP(A189,'Feature Summary'!$A$7:$C$4030,3,FALSE)</f>
        <v>P2</v>
      </c>
      <c r="H189" s="571" t="s">
        <v>859</v>
      </c>
      <c r="I189" s="322" t="s">
        <v>41</v>
      </c>
      <c r="J189" s="322"/>
      <c r="K189" s="577">
        <v>1</v>
      </c>
      <c r="L189" s="559">
        <v>6</v>
      </c>
      <c r="M189" s="596" t="s">
        <v>39</v>
      </c>
      <c r="N189" s="591">
        <v>1</v>
      </c>
      <c r="O189" s="586">
        <v>6</v>
      </c>
      <c r="P189" s="589">
        <f t="shared" si="22"/>
        <v>1</v>
      </c>
      <c r="Q189" s="604" t="s">
        <v>38</v>
      </c>
      <c r="R189" s="587">
        <v>8</v>
      </c>
      <c r="S189" s="472">
        <f t="shared" si="24"/>
        <v>0</v>
      </c>
      <c r="T189" s="587"/>
      <c r="U189" s="462"/>
      <c r="V189" s="462"/>
      <c r="W189" s="462"/>
      <c r="X189" s="475">
        <f t="shared" si="21"/>
        <v>0</v>
      </c>
      <c r="Y189" s="605"/>
      <c r="Z189" s="461">
        <f t="shared" si="25"/>
        <v>0</v>
      </c>
      <c r="AA189" s="462"/>
      <c r="AB189" s="462"/>
      <c r="AC189" s="462"/>
      <c r="AD189" s="462"/>
      <c r="AE189" s="463">
        <f t="shared" si="23"/>
        <v>0</v>
      </c>
      <c r="AF189" s="322"/>
      <c r="AG189" s="436" t="str">
        <f>VLOOKUP(A189,'Feature Summary'!$A$7:$U$4030,21,FALSE)</f>
        <v>wk-6</v>
      </c>
      <c r="AH189" s="324"/>
    </row>
    <row r="190" spans="1:34" x14ac:dyDescent="0.25">
      <c r="A190" s="330" t="s">
        <v>698</v>
      </c>
      <c r="B190" s="557" t="s">
        <v>860</v>
      </c>
      <c r="C190" s="558"/>
      <c r="D190" s="559" t="s">
        <v>851</v>
      </c>
      <c r="E190" s="560"/>
      <c r="F190" s="558" t="s">
        <v>861</v>
      </c>
      <c r="G190" s="242" t="e">
        <f>VLOOKUP(A190,'Feature Summary'!$A$7:$C$4030,3,FALSE)</f>
        <v>#N/A</v>
      </c>
      <c r="H190" s="571" t="s">
        <v>862</v>
      </c>
      <c r="I190" s="322" t="s">
        <v>41</v>
      </c>
      <c r="J190" s="322"/>
      <c r="K190" s="577">
        <v>1</v>
      </c>
      <c r="L190" s="559">
        <v>42</v>
      </c>
      <c r="M190" s="596" t="s">
        <v>39</v>
      </c>
      <c r="N190" s="591">
        <v>1</v>
      </c>
      <c r="O190" s="586">
        <v>42</v>
      </c>
      <c r="P190" s="589">
        <f t="shared" si="22"/>
        <v>1</v>
      </c>
      <c r="Q190" s="604" t="s">
        <v>38</v>
      </c>
      <c r="R190" s="587">
        <v>1</v>
      </c>
      <c r="S190" s="474">
        <f t="shared" si="24"/>
        <v>0</v>
      </c>
      <c r="T190" s="587"/>
      <c r="U190" s="462"/>
      <c r="V190" s="462"/>
      <c r="W190" s="462"/>
      <c r="X190" s="475">
        <f t="shared" ref="X190:X205" si="29">IF((S190=0),0,((T190+U190)/S190*100%))</f>
        <v>0</v>
      </c>
      <c r="Y190" s="605"/>
      <c r="Z190" s="461">
        <f t="shared" si="25"/>
        <v>0</v>
      </c>
      <c r="AA190" s="462"/>
      <c r="AB190" s="462"/>
      <c r="AC190" s="462"/>
      <c r="AD190" s="462"/>
      <c r="AE190" s="463">
        <f t="shared" si="23"/>
        <v>0</v>
      </c>
      <c r="AF190" s="322"/>
      <c r="AG190" s="436" t="e">
        <f>VLOOKUP(A190,'Feature Summary'!$A$7:$U$4030,21,FALSE)</f>
        <v>#N/A</v>
      </c>
      <c r="AH190" s="615"/>
    </row>
    <row r="191" spans="1:34" ht="15.75" thickBot="1" x14ac:dyDescent="0.3">
      <c r="A191" s="330" t="s">
        <v>863</v>
      </c>
      <c r="B191" s="557" t="s">
        <v>864</v>
      </c>
      <c r="C191" s="558"/>
      <c r="D191" s="559" t="s">
        <v>851</v>
      </c>
      <c r="E191" s="560"/>
      <c r="F191" s="558" t="s">
        <v>865</v>
      </c>
      <c r="G191" s="242" t="str">
        <f>VLOOKUP(A191,'Feature Summary'!$A$7:$C$4030,3,FALSE)</f>
        <v>P2</v>
      </c>
      <c r="H191" s="571" t="s">
        <v>866</v>
      </c>
      <c r="I191" s="322" t="s">
        <v>41</v>
      </c>
      <c r="J191" s="322"/>
      <c r="K191" s="577">
        <v>1</v>
      </c>
      <c r="L191" s="559">
        <v>31</v>
      </c>
      <c r="M191" s="596" t="s">
        <v>39</v>
      </c>
      <c r="N191" s="591">
        <v>1</v>
      </c>
      <c r="O191" s="586">
        <v>31</v>
      </c>
      <c r="P191" s="589">
        <f t="shared" ref="P191:P205" si="30">IF((O191=0),0,(O191/L191))</f>
        <v>1</v>
      </c>
      <c r="Q191" s="604" t="s">
        <v>38</v>
      </c>
      <c r="R191" s="578">
        <v>4</v>
      </c>
      <c r="S191" s="474">
        <f t="shared" si="24"/>
        <v>0</v>
      </c>
      <c r="T191" s="578"/>
      <c r="U191" s="462"/>
      <c r="V191" s="462"/>
      <c r="W191" s="462"/>
      <c r="X191" s="475">
        <f t="shared" si="29"/>
        <v>0</v>
      </c>
      <c r="Y191" s="605"/>
      <c r="Z191" s="461">
        <f t="shared" si="25"/>
        <v>0</v>
      </c>
      <c r="AA191" s="462"/>
      <c r="AB191" s="462"/>
      <c r="AC191" s="462"/>
      <c r="AD191" s="462"/>
      <c r="AE191" s="463">
        <f t="shared" ref="AE191:AE205" si="31">IF((Z191=0),0,((AA191+AB191)/Z191*100%))</f>
        <v>0</v>
      </c>
      <c r="AF191" s="322"/>
      <c r="AG191" s="436" t="str">
        <f>VLOOKUP(A191,'Feature Summary'!$A$7:$U$4030,21,FALSE)</f>
        <v>wk-6</v>
      </c>
      <c r="AH191" s="447"/>
    </row>
    <row r="192" spans="1:34" s="172" customFormat="1" ht="30" x14ac:dyDescent="0.25">
      <c r="A192" s="330" t="s">
        <v>867</v>
      </c>
      <c r="B192" s="557" t="s">
        <v>868</v>
      </c>
      <c r="C192" s="558"/>
      <c r="D192" s="559" t="s">
        <v>869</v>
      </c>
      <c r="E192" s="560"/>
      <c r="F192" s="561" t="s">
        <v>870</v>
      </c>
      <c r="G192" s="242" t="str">
        <f>VLOOKUP(A192,'Feature Summary'!$A$7:$C$4030,3,FALSE)</f>
        <v>P2</v>
      </c>
      <c r="H192" s="558" t="s">
        <v>871</v>
      </c>
      <c r="I192" s="322" t="s">
        <v>41</v>
      </c>
      <c r="J192" s="322"/>
      <c r="K192" s="577">
        <v>1</v>
      </c>
      <c r="L192" s="559">
        <v>2</v>
      </c>
      <c r="M192" s="596" t="s">
        <v>33</v>
      </c>
      <c r="N192" s="591">
        <v>1</v>
      </c>
      <c r="O192" s="586">
        <v>2</v>
      </c>
      <c r="P192" s="589">
        <f t="shared" si="30"/>
        <v>1</v>
      </c>
      <c r="Q192" s="604" t="s">
        <v>48</v>
      </c>
      <c r="R192" s="578">
        <v>4</v>
      </c>
      <c r="S192" s="472">
        <f t="shared" si="24"/>
        <v>0</v>
      </c>
      <c r="T192" s="578"/>
      <c r="U192" s="462"/>
      <c r="V192" s="462"/>
      <c r="W192" s="462"/>
      <c r="X192" s="475">
        <f t="shared" si="29"/>
        <v>0</v>
      </c>
      <c r="Y192" s="605"/>
      <c r="Z192" s="461">
        <f t="shared" si="25"/>
        <v>0</v>
      </c>
      <c r="AA192" s="462"/>
      <c r="AB192" s="462"/>
      <c r="AC192" s="462"/>
      <c r="AD192" s="462"/>
      <c r="AE192" s="463">
        <f t="shared" si="31"/>
        <v>0</v>
      </c>
      <c r="AF192" s="611"/>
      <c r="AG192" s="436" t="str">
        <f>VLOOKUP(A192,'Feature Summary'!$A$7:$U$4030,21,FALSE)</f>
        <v>wk-8</v>
      </c>
      <c r="AH192" s="324"/>
    </row>
    <row r="193" spans="1:34" ht="30" x14ac:dyDescent="0.25">
      <c r="A193" s="330" t="s">
        <v>872</v>
      </c>
      <c r="B193" s="557" t="s">
        <v>873</v>
      </c>
      <c r="C193" s="558"/>
      <c r="D193" s="559" t="s">
        <v>869</v>
      </c>
      <c r="E193" s="560"/>
      <c r="F193" s="561" t="s">
        <v>874</v>
      </c>
      <c r="G193" s="242" t="str">
        <f>VLOOKUP(A193,'Feature Summary'!$A$7:$C$4030,3,FALSE)</f>
        <v>P2</v>
      </c>
      <c r="H193" s="558" t="s">
        <v>875</v>
      </c>
      <c r="I193" s="322" t="s">
        <v>41</v>
      </c>
      <c r="J193" s="322"/>
      <c r="K193" s="577">
        <v>1</v>
      </c>
      <c r="L193" s="559">
        <v>1</v>
      </c>
      <c r="M193" s="596" t="s">
        <v>33</v>
      </c>
      <c r="N193" s="591">
        <v>1</v>
      </c>
      <c r="O193" s="586">
        <v>1</v>
      </c>
      <c r="P193" s="589">
        <f t="shared" si="30"/>
        <v>1</v>
      </c>
      <c r="Q193" s="604" t="s">
        <v>48</v>
      </c>
      <c r="R193" s="578">
        <v>2</v>
      </c>
      <c r="S193" s="474">
        <f t="shared" si="24"/>
        <v>0</v>
      </c>
      <c r="T193" s="578"/>
      <c r="U193" s="462"/>
      <c r="V193" s="462"/>
      <c r="W193" s="462"/>
      <c r="X193" s="475">
        <f t="shared" si="29"/>
        <v>0</v>
      </c>
      <c r="Y193" s="605"/>
      <c r="Z193" s="461">
        <f t="shared" si="25"/>
        <v>0</v>
      </c>
      <c r="AA193" s="462"/>
      <c r="AB193" s="462"/>
      <c r="AC193" s="462"/>
      <c r="AD193" s="462"/>
      <c r="AE193" s="463">
        <f t="shared" si="31"/>
        <v>0</v>
      </c>
      <c r="AF193" s="611"/>
      <c r="AG193" s="436" t="str">
        <f>VLOOKUP(A193,'Feature Summary'!$A$7:$U$4030,21,FALSE)</f>
        <v>wk-8</v>
      </c>
      <c r="AH193" s="324"/>
    </row>
    <row r="194" spans="1:34" ht="30.75" thickBot="1" x14ac:dyDescent="0.3">
      <c r="A194" s="330" t="s">
        <v>876</v>
      </c>
      <c r="B194" s="557" t="s">
        <v>877</v>
      </c>
      <c r="C194" s="558"/>
      <c r="D194" s="559" t="s">
        <v>869</v>
      </c>
      <c r="E194" s="560"/>
      <c r="F194" s="561" t="s">
        <v>878</v>
      </c>
      <c r="G194" s="242" t="str">
        <f>VLOOKUP(A194,'Feature Summary'!$A$7:$C$4030,3,FALSE)</f>
        <v>P2</v>
      </c>
      <c r="H194" s="571" t="s">
        <v>879</v>
      </c>
      <c r="I194" s="322" t="s">
        <v>41</v>
      </c>
      <c r="J194" s="322"/>
      <c r="K194" s="577">
        <v>1</v>
      </c>
      <c r="L194" s="559">
        <v>3</v>
      </c>
      <c r="M194" s="596" t="s">
        <v>33</v>
      </c>
      <c r="N194" s="591">
        <v>1</v>
      </c>
      <c r="O194" s="586">
        <v>3</v>
      </c>
      <c r="P194" s="589">
        <f t="shared" si="30"/>
        <v>1</v>
      </c>
      <c r="Q194" s="604" t="s">
        <v>48</v>
      </c>
      <c r="R194" s="578">
        <v>4</v>
      </c>
      <c r="S194" s="474">
        <f t="shared" si="24"/>
        <v>0</v>
      </c>
      <c r="T194" s="578"/>
      <c r="U194" s="462"/>
      <c r="V194" s="462"/>
      <c r="W194" s="462"/>
      <c r="X194" s="475">
        <f t="shared" si="29"/>
        <v>0</v>
      </c>
      <c r="Y194" s="605"/>
      <c r="Z194" s="461">
        <f t="shared" si="25"/>
        <v>0</v>
      </c>
      <c r="AA194" s="462"/>
      <c r="AB194" s="462"/>
      <c r="AC194" s="462"/>
      <c r="AD194" s="462"/>
      <c r="AE194" s="463">
        <f t="shared" si="31"/>
        <v>0</v>
      </c>
      <c r="AF194" s="611"/>
      <c r="AG194" s="436" t="str">
        <f>VLOOKUP(A194,'Feature Summary'!$A$7:$U$4030,21,FALSE)</f>
        <v>N/A</v>
      </c>
      <c r="AH194" s="324"/>
    </row>
    <row r="195" spans="1:34" ht="45" x14ac:dyDescent="0.25">
      <c r="A195" s="330" t="s">
        <v>880</v>
      </c>
      <c r="B195" s="557" t="s">
        <v>881</v>
      </c>
      <c r="C195" s="558"/>
      <c r="D195" s="559" t="s">
        <v>882</v>
      </c>
      <c r="E195" s="560"/>
      <c r="F195" s="558" t="s">
        <v>883</v>
      </c>
      <c r="G195" s="242" t="e">
        <f>VLOOKUP(A195,'Feature Summary'!$A$7:$C$4030,3,FALSE)</f>
        <v>#N/A</v>
      </c>
      <c r="H195" s="571" t="s">
        <v>884</v>
      </c>
      <c r="I195" s="322" t="s">
        <v>41</v>
      </c>
      <c r="J195" s="322"/>
      <c r="K195" s="577">
        <v>1</v>
      </c>
      <c r="L195" s="587">
        <v>3</v>
      </c>
      <c r="M195" s="596" t="s">
        <v>33</v>
      </c>
      <c r="N195" s="591">
        <v>1</v>
      </c>
      <c r="O195" s="588">
        <v>3</v>
      </c>
      <c r="P195" s="589">
        <f t="shared" si="30"/>
        <v>1</v>
      </c>
      <c r="Q195" s="604" t="s">
        <v>48</v>
      </c>
      <c r="R195" s="578">
        <v>1</v>
      </c>
      <c r="S195" s="472">
        <f t="shared" si="24"/>
        <v>0</v>
      </c>
      <c r="T195" s="578"/>
      <c r="U195" s="462"/>
      <c r="V195" s="462"/>
      <c r="W195" s="462"/>
      <c r="X195" s="475">
        <f t="shared" si="29"/>
        <v>0</v>
      </c>
      <c r="Y195" s="605"/>
      <c r="Z195" s="461">
        <f t="shared" si="25"/>
        <v>0</v>
      </c>
      <c r="AA195" s="462"/>
      <c r="AB195" s="462"/>
      <c r="AC195" s="462"/>
      <c r="AD195" s="462"/>
      <c r="AE195" s="463">
        <f t="shared" si="31"/>
        <v>0</v>
      </c>
      <c r="AF195" s="611"/>
      <c r="AG195" s="436" t="e">
        <f>VLOOKUP(A195,'Feature Summary'!$A$7:$U$4030,21,FALSE)</f>
        <v>#N/A</v>
      </c>
      <c r="AH195" s="324"/>
    </row>
    <row r="196" spans="1:34" ht="30" x14ac:dyDescent="0.25">
      <c r="A196" s="330" t="s">
        <v>885</v>
      </c>
      <c r="B196" s="557" t="s">
        <v>886</v>
      </c>
      <c r="C196" s="558"/>
      <c r="D196" s="559" t="s">
        <v>882</v>
      </c>
      <c r="E196" s="560"/>
      <c r="F196" s="558" t="s">
        <v>887</v>
      </c>
      <c r="G196" s="242" t="str">
        <f>VLOOKUP(A196,'Feature Summary'!$A$7:$C$4030,3,FALSE)</f>
        <v>P2</v>
      </c>
      <c r="H196" s="571" t="s">
        <v>888</v>
      </c>
      <c r="I196" s="322" t="s">
        <v>41</v>
      </c>
      <c r="J196" s="322"/>
      <c r="K196" s="577">
        <v>1</v>
      </c>
      <c r="L196" s="587">
        <v>1</v>
      </c>
      <c r="M196" s="596" t="s">
        <v>33</v>
      </c>
      <c r="N196" s="591">
        <v>1</v>
      </c>
      <c r="O196" s="588">
        <v>1</v>
      </c>
      <c r="P196" s="589">
        <f t="shared" si="30"/>
        <v>1</v>
      </c>
      <c r="Q196" s="604" t="s">
        <v>48</v>
      </c>
      <c r="R196" s="578">
        <v>1</v>
      </c>
      <c r="S196" s="474">
        <f t="shared" si="24"/>
        <v>0</v>
      </c>
      <c r="T196" s="578"/>
      <c r="U196" s="462"/>
      <c r="V196" s="462"/>
      <c r="W196" s="462"/>
      <c r="X196" s="475">
        <f t="shared" si="29"/>
        <v>0</v>
      </c>
      <c r="Y196" s="605"/>
      <c r="Z196" s="461">
        <f t="shared" si="25"/>
        <v>0</v>
      </c>
      <c r="AA196" s="462"/>
      <c r="AB196" s="462"/>
      <c r="AC196" s="462"/>
      <c r="AD196" s="462"/>
      <c r="AE196" s="463">
        <f t="shared" si="31"/>
        <v>0</v>
      </c>
      <c r="AF196" s="611"/>
      <c r="AG196" s="436" t="str">
        <f>VLOOKUP(A196,'Feature Summary'!$A$7:$U$4030,21,FALSE)</f>
        <v>N/A</v>
      </c>
      <c r="AH196" s="324"/>
    </row>
    <row r="197" spans="1:34" ht="60.75" thickBot="1" x14ac:dyDescent="0.3">
      <c r="A197" s="330" t="s">
        <v>889</v>
      </c>
      <c r="B197" s="557" t="s">
        <v>890</v>
      </c>
      <c r="C197" s="558"/>
      <c r="D197" s="559" t="s">
        <v>882</v>
      </c>
      <c r="E197" s="560"/>
      <c r="F197" s="558" t="s">
        <v>891</v>
      </c>
      <c r="G197" s="242" t="e">
        <f>VLOOKUP(A197,'Feature Summary'!$A$7:$C$4030,3,FALSE)</f>
        <v>#N/A</v>
      </c>
      <c r="H197" s="571" t="s">
        <v>892</v>
      </c>
      <c r="I197" s="322" t="s">
        <v>41</v>
      </c>
      <c r="J197" s="322"/>
      <c r="K197" s="577">
        <v>1</v>
      </c>
      <c r="L197" s="587">
        <v>1</v>
      </c>
      <c r="M197" s="596" t="s">
        <v>33</v>
      </c>
      <c r="N197" s="591">
        <v>1</v>
      </c>
      <c r="O197" s="588">
        <v>1</v>
      </c>
      <c r="P197" s="589">
        <f t="shared" si="30"/>
        <v>1</v>
      </c>
      <c r="Q197" s="604" t="s">
        <v>48</v>
      </c>
      <c r="R197" s="578">
        <v>1</v>
      </c>
      <c r="S197" s="474">
        <f t="shared" si="24"/>
        <v>0</v>
      </c>
      <c r="T197" s="578"/>
      <c r="U197" s="462"/>
      <c r="V197" s="462"/>
      <c r="W197" s="462"/>
      <c r="X197" s="475">
        <f t="shared" si="29"/>
        <v>0</v>
      </c>
      <c r="Y197" s="605"/>
      <c r="Z197" s="461">
        <f t="shared" si="25"/>
        <v>0</v>
      </c>
      <c r="AA197" s="462"/>
      <c r="AB197" s="462"/>
      <c r="AC197" s="462"/>
      <c r="AD197" s="462"/>
      <c r="AE197" s="463">
        <f t="shared" si="31"/>
        <v>0</v>
      </c>
      <c r="AF197" s="611"/>
      <c r="AG197" s="436" t="e">
        <f>VLOOKUP(A197,'Feature Summary'!$A$7:$U$4030,21,FALSE)</f>
        <v>#N/A</v>
      </c>
      <c r="AH197" s="324"/>
    </row>
    <row r="198" spans="1:34" ht="45" x14ac:dyDescent="0.25">
      <c r="A198" s="330" t="s">
        <v>893</v>
      </c>
      <c r="B198" s="557" t="s">
        <v>894</v>
      </c>
      <c r="C198" s="558"/>
      <c r="D198" s="559" t="s">
        <v>895</v>
      </c>
      <c r="E198" s="560"/>
      <c r="F198" s="558" t="s">
        <v>896</v>
      </c>
      <c r="G198" s="242" t="e">
        <f>VLOOKUP(A198,'Feature Summary'!$A$7:$C$4030,3,FALSE)</f>
        <v>#N/A</v>
      </c>
      <c r="H198" s="571" t="s">
        <v>897</v>
      </c>
      <c r="I198" s="322" t="s">
        <v>41</v>
      </c>
      <c r="J198" s="322"/>
      <c r="K198" s="577">
        <v>1</v>
      </c>
      <c r="L198" s="578">
        <v>4</v>
      </c>
      <c r="M198" s="596" t="s">
        <v>33</v>
      </c>
      <c r="N198" s="591">
        <v>1</v>
      </c>
      <c r="O198" s="578">
        <v>4</v>
      </c>
      <c r="P198" s="589">
        <f t="shared" si="30"/>
        <v>1</v>
      </c>
      <c r="Q198" s="604" t="s">
        <v>48</v>
      </c>
      <c r="R198" s="323">
        <v>1</v>
      </c>
      <c r="S198" s="472">
        <f t="shared" si="24"/>
        <v>0</v>
      </c>
      <c r="T198" s="462"/>
      <c r="U198" s="462"/>
      <c r="V198" s="462"/>
      <c r="W198" s="462"/>
      <c r="X198" s="475">
        <f t="shared" si="29"/>
        <v>0</v>
      </c>
      <c r="Y198" s="605"/>
      <c r="Z198" s="461">
        <f t="shared" si="25"/>
        <v>0</v>
      </c>
      <c r="AA198" s="462"/>
      <c r="AB198" s="462"/>
      <c r="AC198" s="462"/>
      <c r="AD198" s="462"/>
      <c r="AE198" s="463">
        <f t="shared" si="31"/>
        <v>0</v>
      </c>
      <c r="AF198" s="611"/>
      <c r="AG198" s="436" t="e">
        <f>VLOOKUP(A198,'Feature Summary'!$A$7:$U$4030,21,FALSE)</f>
        <v>#N/A</v>
      </c>
      <c r="AH198" s="324"/>
    </row>
    <row r="199" spans="1:34" ht="30" x14ac:dyDescent="0.25">
      <c r="A199" s="330" t="s">
        <v>898</v>
      </c>
      <c r="B199" s="557" t="s">
        <v>899</v>
      </c>
      <c r="C199" s="558"/>
      <c r="D199" s="559" t="s">
        <v>895</v>
      </c>
      <c r="E199" s="560"/>
      <c r="F199" s="558" t="s">
        <v>900</v>
      </c>
      <c r="G199" s="242" t="str">
        <f>VLOOKUP(A199,'Feature Summary'!$A$7:$C$4030,3,FALSE)</f>
        <v>P2</v>
      </c>
      <c r="H199" s="571" t="s">
        <v>901</v>
      </c>
      <c r="I199" s="322" t="s">
        <v>41</v>
      </c>
      <c r="J199" s="322"/>
      <c r="K199" s="577">
        <v>1</v>
      </c>
      <c r="L199" s="578">
        <v>4</v>
      </c>
      <c r="M199" s="596" t="s">
        <v>33</v>
      </c>
      <c r="N199" s="591">
        <v>1</v>
      </c>
      <c r="O199" s="578">
        <v>4</v>
      </c>
      <c r="P199" s="589">
        <f t="shared" si="30"/>
        <v>1</v>
      </c>
      <c r="Q199" s="604" t="s">
        <v>48</v>
      </c>
      <c r="R199" s="323">
        <v>1</v>
      </c>
      <c r="S199" s="474">
        <f t="shared" ref="S199:S205" si="32">SUM(T199:W199)</f>
        <v>0</v>
      </c>
      <c r="T199" s="462"/>
      <c r="U199" s="462"/>
      <c r="V199" s="462"/>
      <c r="W199" s="462"/>
      <c r="X199" s="475">
        <f t="shared" si="29"/>
        <v>0</v>
      </c>
      <c r="Y199" s="605"/>
      <c r="Z199" s="461">
        <f t="shared" si="25"/>
        <v>0</v>
      </c>
      <c r="AA199" s="462"/>
      <c r="AB199" s="462"/>
      <c r="AC199" s="462"/>
      <c r="AD199" s="462"/>
      <c r="AE199" s="463">
        <f t="shared" si="31"/>
        <v>0</v>
      </c>
      <c r="AF199" s="611"/>
      <c r="AG199" s="436" t="str">
        <f>VLOOKUP(A199,'Feature Summary'!$A$7:$U$4030,21,FALSE)</f>
        <v>N/A</v>
      </c>
      <c r="AH199" s="324"/>
    </row>
    <row r="200" spans="1:34" ht="30.75" thickBot="1" x14ac:dyDescent="0.3">
      <c r="A200" s="330" t="s">
        <v>902</v>
      </c>
      <c r="B200" s="557" t="s">
        <v>903</v>
      </c>
      <c r="C200" s="558"/>
      <c r="D200" s="559" t="s">
        <v>895</v>
      </c>
      <c r="E200" s="560"/>
      <c r="F200" s="558" t="s">
        <v>904</v>
      </c>
      <c r="G200" s="242" t="str">
        <f>VLOOKUP(A200,'Feature Summary'!$A$7:$C$4030,3,FALSE)</f>
        <v>P2</v>
      </c>
      <c r="H200" s="571" t="s">
        <v>905</v>
      </c>
      <c r="I200" s="322" t="s">
        <v>41</v>
      </c>
      <c r="J200" s="322"/>
      <c r="K200" s="577">
        <v>1</v>
      </c>
      <c r="L200" s="578">
        <v>2</v>
      </c>
      <c r="M200" s="596" t="s">
        <v>33</v>
      </c>
      <c r="N200" s="591">
        <v>1</v>
      </c>
      <c r="O200" s="578">
        <v>2</v>
      </c>
      <c r="P200" s="589">
        <f t="shared" si="30"/>
        <v>1</v>
      </c>
      <c r="Q200" s="604" t="s">
        <v>48</v>
      </c>
      <c r="R200" s="323">
        <v>1</v>
      </c>
      <c r="S200" s="474">
        <f t="shared" si="32"/>
        <v>0</v>
      </c>
      <c r="T200" s="462"/>
      <c r="U200" s="462"/>
      <c r="V200" s="462"/>
      <c r="W200" s="462"/>
      <c r="X200" s="475">
        <f t="shared" si="29"/>
        <v>0</v>
      </c>
      <c r="Y200" s="605"/>
      <c r="Z200" s="461">
        <f t="shared" si="25"/>
        <v>0</v>
      </c>
      <c r="AA200" s="462"/>
      <c r="AB200" s="462"/>
      <c r="AC200" s="462"/>
      <c r="AD200" s="462"/>
      <c r="AE200" s="463">
        <f t="shared" si="31"/>
        <v>0</v>
      </c>
      <c r="AF200" s="611"/>
      <c r="AG200" s="436" t="str">
        <f>VLOOKUP(A200,'Feature Summary'!$A$7:$U$4030,21,FALSE)</f>
        <v>N/A</v>
      </c>
      <c r="AH200" s="324"/>
    </row>
    <row r="201" spans="1:34" ht="30" x14ac:dyDescent="0.25">
      <c r="A201" s="569" t="s">
        <v>906</v>
      </c>
      <c r="B201" s="557" t="s">
        <v>907</v>
      </c>
      <c r="C201" s="567"/>
      <c r="D201" s="559" t="s">
        <v>895</v>
      </c>
      <c r="E201" s="560"/>
      <c r="F201" s="558" t="s">
        <v>908</v>
      </c>
      <c r="G201" s="242" t="e">
        <f>VLOOKUP(A201,'Feature Summary'!$A$7:$C$4030,3,FALSE)</f>
        <v>#N/A</v>
      </c>
      <c r="H201" s="571" t="s">
        <v>909</v>
      </c>
      <c r="I201" s="322" t="s">
        <v>41</v>
      </c>
      <c r="J201" s="322"/>
      <c r="K201" s="577">
        <v>1</v>
      </c>
      <c r="L201" s="578">
        <v>1</v>
      </c>
      <c r="M201" s="596" t="s">
        <v>33</v>
      </c>
      <c r="N201" s="591">
        <v>1</v>
      </c>
      <c r="O201" s="578">
        <v>1</v>
      </c>
      <c r="P201" s="589">
        <f t="shared" si="30"/>
        <v>1</v>
      </c>
      <c r="Q201" s="604" t="s">
        <v>48</v>
      </c>
      <c r="R201" s="323">
        <v>1</v>
      </c>
      <c r="S201" s="472">
        <f t="shared" si="32"/>
        <v>0</v>
      </c>
      <c r="T201" s="462"/>
      <c r="U201" s="462"/>
      <c r="V201" s="462"/>
      <c r="W201" s="462"/>
      <c r="X201" s="475">
        <f t="shared" si="29"/>
        <v>0</v>
      </c>
      <c r="Y201" s="605"/>
      <c r="Z201" s="461">
        <f t="shared" ref="Z201:Z205" si="33">SUM(AA201:AD201)</f>
        <v>0</v>
      </c>
      <c r="AA201" s="462"/>
      <c r="AB201" s="462"/>
      <c r="AC201" s="462"/>
      <c r="AD201" s="462"/>
      <c r="AE201" s="463">
        <f t="shared" si="31"/>
        <v>0</v>
      </c>
      <c r="AF201" s="611"/>
      <c r="AG201" s="436" t="e">
        <f>VLOOKUP(A201,'Feature Summary'!$A$7:$U$4030,21,FALSE)</f>
        <v>#N/A</v>
      </c>
      <c r="AH201" s="615"/>
    </row>
    <row r="202" spans="1:34" ht="30" x14ac:dyDescent="0.25">
      <c r="A202" s="330" t="s">
        <v>910</v>
      </c>
      <c r="B202" s="557" t="s">
        <v>911</v>
      </c>
      <c r="C202" s="558"/>
      <c r="D202" s="559" t="s">
        <v>895</v>
      </c>
      <c r="E202" s="560"/>
      <c r="F202" s="558" t="s">
        <v>912</v>
      </c>
      <c r="G202" s="242" t="e">
        <f>VLOOKUP(A202,'Feature Summary'!$A$7:$C$4030,3,FALSE)</f>
        <v>#N/A</v>
      </c>
      <c r="H202" s="571" t="s">
        <v>913</v>
      </c>
      <c r="I202" s="322" t="s">
        <v>41</v>
      </c>
      <c r="J202" s="322"/>
      <c r="K202" s="577">
        <v>1</v>
      </c>
      <c r="L202" s="578">
        <v>1</v>
      </c>
      <c r="M202" s="596" t="s">
        <v>33</v>
      </c>
      <c r="N202" s="591">
        <v>1</v>
      </c>
      <c r="O202" s="578">
        <v>1</v>
      </c>
      <c r="P202" s="589">
        <f t="shared" si="30"/>
        <v>1</v>
      </c>
      <c r="Q202" s="604" t="s">
        <v>48</v>
      </c>
      <c r="R202" s="323">
        <v>1</v>
      </c>
      <c r="S202" s="474">
        <f t="shared" si="32"/>
        <v>0</v>
      </c>
      <c r="T202" s="462"/>
      <c r="U202" s="462"/>
      <c r="V202" s="462"/>
      <c r="W202" s="462"/>
      <c r="X202" s="475">
        <f t="shared" si="29"/>
        <v>0</v>
      </c>
      <c r="Y202" s="605"/>
      <c r="Z202" s="461">
        <f t="shared" si="33"/>
        <v>0</v>
      </c>
      <c r="AA202" s="462"/>
      <c r="AB202" s="462"/>
      <c r="AC202" s="462"/>
      <c r="AD202" s="462"/>
      <c r="AE202" s="463">
        <f t="shared" si="31"/>
        <v>0</v>
      </c>
      <c r="AF202" s="611"/>
      <c r="AG202" s="436" t="e">
        <f>VLOOKUP(A202,'Feature Summary'!$A$7:$U$4030,21,FALSE)</f>
        <v>#N/A</v>
      </c>
      <c r="AH202" s="324"/>
    </row>
    <row r="203" spans="1:34" ht="60.75" thickBot="1" x14ac:dyDescent="0.3">
      <c r="A203" s="330" t="s">
        <v>914</v>
      </c>
      <c r="B203" s="557" t="s">
        <v>915</v>
      </c>
      <c r="C203" s="558"/>
      <c r="D203" s="559" t="s">
        <v>916</v>
      </c>
      <c r="E203" s="560"/>
      <c r="F203" s="558" t="s">
        <v>917</v>
      </c>
      <c r="G203" s="242"/>
      <c r="H203" s="571" t="s">
        <v>918</v>
      </c>
      <c r="I203" s="322" t="s">
        <v>35</v>
      </c>
      <c r="J203" s="322"/>
      <c r="K203" s="577">
        <v>80</v>
      </c>
      <c r="L203" s="578">
        <v>2</v>
      </c>
      <c r="M203" s="596" t="s">
        <v>44</v>
      </c>
      <c r="N203" s="591">
        <v>1</v>
      </c>
      <c r="O203" s="578">
        <v>2</v>
      </c>
      <c r="P203" s="589">
        <f t="shared" si="30"/>
        <v>1</v>
      </c>
      <c r="Q203" s="604" t="s">
        <v>38</v>
      </c>
      <c r="R203" s="323"/>
      <c r="S203" s="474">
        <f t="shared" si="32"/>
        <v>0</v>
      </c>
      <c r="T203" s="462"/>
      <c r="U203" s="462"/>
      <c r="V203" s="462"/>
      <c r="W203" s="462"/>
      <c r="X203" s="475"/>
      <c r="Y203" s="605"/>
      <c r="Z203" s="461">
        <f t="shared" si="33"/>
        <v>0</v>
      </c>
      <c r="AA203" s="462"/>
      <c r="AB203" s="462"/>
      <c r="AC203" s="462"/>
      <c r="AD203" s="462"/>
      <c r="AE203" s="463">
        <f t="shared" si="31"/>
        <v>0</v>
      </c>
      <c r="AF203" s="611"/>
      <c r="AG203" s="436"/>
      <c r="AH203" s="324"/>
    </row>
    <row r="204" spans="1:34" ht="60" x14ac:dyDescent="0.25">
      <c r="A204" s="330" t="s">
        <v>919</v>
      </c>
      <c r="B204" s="557" t="s">
        <v>920</v>
      </c>
      <c r="C204" s="558"/>
      <c r="D204" s="559" t="s">
        <v>916</v>
      </c>
      <c r="E204" s="560"/>
      <c r="F204" s="558" t="s">
        <v>921</v>
      </c>
      <c r="G204" s="242"/>
      <c r="H204" s="610" t="s">
        <v>922</v>
      </c>
      <c r="I204" s="322" t="s">
        <v>35</v>
      </c>
      <c r="J204" s="322"/>
      <c r="K204" s="577">
        <v>40</v>
      </c>
      <c r="L204" s="578">
        <v>2</v>
      </c>
      <c r="M204" s="596" t="s">
        <v>44</v>
      </c>
      <c r="N204" s="591">
        <v>1</v>
      </c>
      <c r="O204" s="578">
        <v>2</v>
      </c>
      <c r="P204" s="589">
        <f t="shared" si="30"/>
        <v>1</v>
      </c>
      <c r="Q204" s="604" t="s">
        <v>38</v>
      </c>
      <c r="R204" s="323"/>
      <c r="S204" s="472">
        <f t="shared" si="32"/>
        <v>0</v>
      </c>
      <c r="T204" s="462"/>
      <c r="U204" s="462"/>
      <c r="V204" s="462"/>
      <c r="W204" s="462"/>
      <c r="X204" s="475"/>
      <c r="Y204" s="605"/>
      <c r="Z204" s="461">
        <f t="shared" si="33"/>
        <v>0</v>
      </c>
      <c r="AA204" s="462"/>
      <c r="AB204" s="462"/>
      <c r="AC204" s="462"/>
      <c r="AD204" s="462"/>
      <c r="AE204" s="463">
        <f t="shared" si="31"/>
        <v>0</v>
      </c>
      <c r="AF204" s="611"/>
      <c r="AG204" s="436"/>
      <c r="AH204" s="324"/>
    </row>
    <row r="205" spans="1:34" x14ac:dyDescent="0.25">
      <c r="A205" s="330" t="s">
        <v>923</v>
      </c>
      <c r="B205" s="557" t="s">
        <v>924</v>
      </c>
      <c r="C205" s="558"/>
      <c r="D205" s="559" t="s">
        <v>895</v>
      </c>
      <c r="E205" s="560"/>
      <c r="F205" s="558" t="s">
        <v>925</v>
      </c>
      <c r="G205" s="242" t="e">
        <f>VLOOKUP(A205,'Feature Summary'!$A$7:$C$4030,3,FALSE)</f>
        <v>#N/A</v>
      </c>
      <c r="H205" s="571" t="s">
        <v>926</v>
      </c>
      <c r="I205" s="322" t="s">
        <v>35</v>
      </c>
      <c r="J205" s="322"/>
      <c r="K205" s="577">
        <v>1</v>
      </c>
      <c r="L205" s="578">
        <v>1</v>
      </c>
      <c r="M205" s="596" t="s">
        <v>33</v>
      </c>
      <c r="N205" s="591">
        <v>1</v>
      </c>
      <c r="O205" s="578">
        <v>1</v>
      </c>
      <c r="P205" s="589">
        <f t="shared" si="30"/>
        <v>1</v>
      </c>
      <c r="Q205" s="604" t="s">
        <v>48</v>
      </c>
      <c r="R205" s="323">
        <v>0</v>
      </c>
      <c r="S205" s="474">
        <f t="shared" si="32"/>
        <v>0</v>
      </c>
      <c r="T205" s="462"/>
      <c r="U205" s="462"/>
      <c r="V205" s="462"/>
      <c r="W205" s="462"/>
      <c r="X205" s="475">
        <f t="shared" si="29"/>
        <v>0</v>
      </c>
      <c r="Y205" s="605"/>
      <c r="Z205" s="461">
        <f t="shared" si="33"/>
        <v>0</v>
      </c>
      <c r="AA205" s="462"/>
      <c r="AB205" s="462"/>
      <c r="AC205" s="462"/>
      <c r="AD205" s="462"/>
      <c r="AE205" s="463">
        <f t="shared" si="31"/>
        <v>0</v>
      </c>
      <c r="AF205" s="322"/>
      <c r="AG205" s="436" t="e">
        <f>VLOOKUP(A205,'Feature Summary'!$A$7:$U$4030,21,FALSE)</f>
        <v>#N/A</v>
      </c>
      <c r="AH205" s="324"/>
    </row>
    <row r="206" spans="1:34" x14ac:dyDescent="0.25">
      <c r="A206" s="368"/>
      <c r="B206" s="369"/>
      <c r="C206" s="369"/>
      <c r="D206" s="370"/>
      <c r="E206" s="369"/>
      <c r="F206" s="369"/>
      <c r="G206" s="370"/>
      <c r="H206" s="411"/>
      <c r="I206" s="594"/>
      <c r="J206" s="369"/>
      <c r="K206" s="369"/>
      <c r="L206" s="371"/>
      <c r="M206" s="597"/>
      <c r="N206" s="592"/>
      <c r="O206" s="448"/>
      <c r="P206" s="589"/>
      <c r="Q206" s="606"/>
      <c r="R206" s="376"/>
      <c r="S206" s="476"/>
      <c r="T206" s="477"/>
      <c r="U206" s="477"/>
      <c r="V206" s="477"/>
      <c r="W206" s="477"/>
      <c r="X206" s="478"/>
      <c r="Y206" s="607"/>
      <c r="Z206" s="464"/>
      <c r="AA206" s="465"/>
      <c r="AB206" s="465"/>
      <c r="AC206" s="465"/>
      <c r="AD206" s="465"/>
      <c r="AE206" s="466"/>
      <c r="AF206" s="378"/>
      <c r="AG206" s="378"/>
      <c r="AH206" s="382"/>
    </row>
    <row r="207" spans="1:34" x14ac:dyDescent="0.25">
      <c r="A207" s="368"/>
      <c r="B207" s="369"/>
      <c r="C207" s="369"/>
      <c r="D207" s="370"/>
      <c r="E207" s="369"/>
      <c r="F207" s="369"/>
      <c r="G207" s="370"/>
      <c r="H207" s="411"/>
      <c r="I207" s="594"/>
      <c r="J207" s="369"/>
      <c r="K207" s="369"/>
      <c r="L207" s="371"/>
      <c r="M207" s="597"/>
      <c r="N207" s="592"/>
      <c r="O207" s="448"/>
      <c r="P207" s="589"/>
      <c r="Q207" s="606"/>
      <c r="R207" s="376"/>
      <c r="S207" s="476"/>
      <c r="T207" s="477"/>
      <c r="U207" s="477"/>
      <c r="V207" s="477"/>
      <c r="W207" s="477"/>
      <c r="X207" s="478"/>
      <c r="Y207" s="607"/>
      <c r="Z207" s="464"/>
      <c r="AA207" s="465"/>
      <c r="AB207" s="465"/>
      <c r="AC207" s="465"/>
      <c r="AD207" s="465"/>
      <c r="AE207" s="466"/>
      <c r="AF207" s="378"/>
      <c r="AG207" s="378"/>
      <c r="AH207" s="382"/>
    </row>
    <row r="208" spans="1:34" ht="15.75" thickBot="1" x14ac:dyDescent="0.3">
      <c r="A208" s="372"/>
      <c r="B208" s="373"/>
      <c r="C208" s="373"/>
      <c r="D208" s="374"/>
      <c r="E208" s="373"/>
      <c r="F208" s="373"/>
      <c r="G208" s="374"/>
      <c r="H208" s="412"/>
      <c r="I208" s="598"/>
      <c r="J208" s="373"/>
      <c r="K208" s="373"/>
      <c r="L208" s="375"/>
      <c r="M208" s="599"/>
      <c r="N208" s="593"/>
      <c r="O208" s="449"/>
      <c r="P208" s="601"/>
      <c r="Q208" s="608"/>
      <c r="R208" s="377"/>
      <c r="S208" s="479"/>
      <c r="T208" s="480"/>
      <c r="U208" s="480"/>
      <c r="V208" s="480"/>
      <c r="W208" s="480"/>
      <c r="X208" s="481"/>
      <c r="Y208" s="609"/>
      <c r="Z208" s="467"/>
      <c r="AA208" s="468"/>
      <c r="AB208" s="468"/>
      <c r="AC208" s="468"/>
      <c r="AD208" s="468"/>
      <c r="AE208" s="469"/>
      <c r="AF208" s="379"/>
      <c r="AG208" s="379"/>
      <c r="AH208" s="383"/>
    </row>
    <row r="209" spans="1:34" x14ac:dyDescent="0.25">
      <c r="A209" s="681" t="s">
        <v>927</v>
      </c>
      <c r="B209" s="682"/>
      <c r="C209" s="682"/>
      <c r="D209" s="682"/>
      <c r="E209" s="682"/>
      <c r="F209" s="682"/>
      <c r="G209" s="682"/>
      <c r="H209" s="682"/>
      <c r="I209" s="682"/>
      <c r="J209" s="682"/>
      <c r="K209" s="682"/>
      <c r="L209" s="682"/>
      <c r="M209" s="682"/>
      <c r="N209" s="683"/>
      <c r="O209" s="683"/>
      <c r="P209" s="683"/>
      <c r="Q209" s="682"/>
      <c r="R209" s="682"/>
      <c r="S209" s="682"/>
      <c r="T209" s="682"/>
      <c r="U209" s="682"/>
      <c r="V209" s="682"/>
      <c r="W209" s="682"/>
      <c r="X209" s="682"/>
      <c r="Y209" s="682"/>
      <c r="Z209" s="683"/>
      <c r="AA209" s="683"/>
      <c r="AB209" s="683"/>
      <c r="AC209" s="683"/>
      <c r="AD209" s="683"/>
      <c r="AE209" s="683"/>
      <c r="AF209" s="683"/>
      <c r="AG209" s="683"/>
      <c r="AH209" s="684"/>
    </row>
    <row r="210" spans="1:34" ht="15.75" thickBot="1" x14ac:dyDescent="0.3">
      <c r="A210" s="685"/>
      <c r="B210" s="686"/>
      <c r="C210" s="686"/>
      <c r="D210" s="686"/>
      <c r="E210" s="686"/>
      <c r="F210" s="686"/>
      <c r="G210" s="686"/>
      <c r="H210" s="686"/>
      <c r="I210" s="686"/>
      <c r="J210" s="686"/>
      <c r="K210" s="686"/>
      <c r="L210" s="686"/>
      <c r="M210" s="686"/>
      <c r="N210" s="686"/>
      <c r="O210" s="686"/>
      <c r="P210" s="686"/>
      <c r="Q210" s="686"/>
      <c r="R210" s="686"/>
      <c r="S210" s="686"/>
      <c r="T210" s="686"/>
      <c r="U210" s="686"/>
      <c r="V210" s="686"/>
      <c r="W210" s="686"/>
      <c r="X210" s="686"/>
      <c r="Y210" s="686"/>
      <c r="Z210" s="686"/>
      <c r="AA210" s="686"/>
      <c r="AB210" s="686"/>
      <c r="AC210" s="686"/>
      <c r="AD210" s="686"/>
      <c r="AE210" s="686"/>
      <c r="AF210" s="686"/>
      <c r="AG210" s="686"/>
      <c r="AH210" s="687"/>
    </row>
    <row r="211" spans="1:34" ht="19.5" thickBot="1" x14ac:dyDescent="0.3">
      <c r="A211" s="691" t="s">
        <v>302</v>
      </c>
      <c r="B211" s="692"/>
      <c r="C211" s="692"/>
      <c r="D211" s="692"/>
      <c r="E211" s="692"/>
      <c r="F211" s="692"/>
      <c r="G211" s="692"/>
      <c r="H211" s="692"/>
      <c r="I211" s="692"/>
      <c r="J211" s="693"/>
      <c r="K211" s="395">
        <f>SUM(K6:K208)</f>
        <v>391</v>
      </c>
      <c r="L211" s="395">
        <f>SUM(L6:L208)</f>
        <v>3312</v>
      </c>
      <c r="M211" s="396"/>
      <c r="N211" s="450">
        <f>SUMPRODUCT(K6:K208,N6:N208)/K211</f>
        <v>1</v>
      </c>
      <c r="O211" s="451">
        <f>SUM(O6:O208)</f>
        <v>3312</v>
      </c>
      <c r="P211" s="452">
        <f>SUMPRODUCT(K6:K208,P6:P208)/K211</f>
        <v>1</v>
      </c>
      <c r="Q211" s="397"/>
      <c r="R211" s="398">
        <f t="shared" ref="R211:W211" si="34">SUM(R6:R208)</f>
        <v>2973</v>
      </c>
      <c r="S211" s="453">
        <f t="shared" si="34"/>
        <v>0</v>
      </c>
      <c r="T211" s="453">
        <f t="shared" si="34"/>
        <v>0</v>
      </c>
      <c r="U211" s="398">
        <f t="shared" si="34"/>
        <v>0</v>
      </c>
      <c r="V211" s="398">
        <f t="shared" si="34"/>
        <v>0</v>
      </c>
      <c r="W211" s="398">
        <f t="shared" si="34"/>
        <v>0</v>
      </c>
      <c r="X211" s="454">
        <f>IF((S211=0),0,((T211+U211)/S211*100%))</f>
        <v>0</v>
      </c>
      <c r="Y211" s="399"/>
      <c r="Z211" s="455">
        <f>SUM(Z6:Z208)</f>
        <v>0</v>
      </c>
      <c r="AA211" s="456">
        <f>SUM(AA6:AA208)</f>
        <v>0</v>
      </c>
      <c r="AB211" s="456">
        <f>SUM(AB6:AB208)</f>
        <v>0</v>
      </c>
      <c r="AC211" s="456">
        <f>SUM(AC6:AC208)</f>
        <v>0</v>
      </c>
      <c r="AD211" s="456">
        <f>SUM(AD6:AD208)</f>
        <v>0</v>
      </c>
      <c r="AE211" s="457">
        <f>IF((Z211=0),0,((AA211+AB211)/Z211*100%))</f>
        <v>0</v>
      </c>
      <c r="AF211" s="400"/>
      <c r="AG211" s="400"/>
      <c r="AH211" s="401"/>
    </row>
    <row r="213" spans="1:34" x14ac:dyDescent="0.25">
      <c r="L213" s="170" t="s">
        <v>928</v>
      </c>
    </row>
  </sheetData>
  <sheetProtection insertColumns="0" insertRows="0" deleteRows="0" sort="0"/>
  <autoFilter ref="A5:AH211" xr:uid="{00000000-0009-0000-0000-000002000000}"/>
  <mergeCells count="9">
    <mergeCell ref="A209:AH210"/>
    <mergeCell ref="A1:AH1"/>
    <mergeCell ref="A3:AH3"/>
    <mergeCell ref="A2:J2"/>
    <mergeCell ref="A211:J21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ignoredErrors>
    <ignoredError sqref="G11" evalError="1"/>
  </ignoredErrors>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M206:M208</xm:sqref>
        </x14:dataValidation>
        <x14:dataValidation type="list" allowBlank="1" showInputMessage="1" showErrorMessage="1" xr:uid="{F3EA239A-476E-4590-924A-7BA0D177C467}">
          <x14:formula1>
            <xm:f>'List Options'!$E$1:$E$6</xm:f>
          </x14:formula1>
          <xm:sqref>Q206:Q208</xm:sqref>
        </x14:dataValidation>
        <x14:dataValidation type="list" allowBlank="1" showInputMessage="1" showErrorMessage="1" xr:uid="{237AC15D-702E-46B4-89E7-DAB1EF5DAEB1}">
          <x14:formula1>
            <xm:f>'List Options'!$E$1:$E$7</xm:f>
          </x14:formula1>
          <xm:sqref>Q6:Q205</xm:sqref>
        </x14:dataValidation>
        <x14:dataValidation type="list" allowBlank="1" showInputMessage="1" showErrorMessage="1" xr:uid="{8B92A7F6-7ABF-446A-A0A1-23D59ABEAA7C}">
          <x14:formula1>
            <xm:f>'List Options'!$K$1:$K$6</xm:f>
          </x14:formula1>
          <xm:sqref>I6:I208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W139"/>
  <sheetViews>
    <sheetView workbookViewId="0">
      <pane xSplit="4" ySplit="6" topLeftCell="E7" activePane="bottomRight" state="frozen"/>
      <selection pane="topRight" activeCell="D1" sqref="D1"/>
      <selection pane="bottomLeft" activeCell="A3" sqref="A3"/>
      <selection pane="bottomRight" activeCell="H12" sqref="H12"/>
    </sheetView>
  </sheetViews>
  <sheetFormatPr defaultColWidth="8.5703125" defaultRowHeight="15" x14ac:dyDescent="0.25"/>
  <cols>
    <col min="1" max="1" width="16.85546875" style="183" bestFit="1" customWidth="1"/>
    <col min="2" max="2" width="60.7109375" style="190" customWidth="1"/>
    <col min="3" max="3" width="9.85546875" style="190" bestFit="1" customWidth="1"/>
    <col min="4" max="4" width="27.28515625" style="183"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bestFit="1" customWidth="1"/>
    <col min="17" max="17" width="10.85546875" style="80" bestFit="1" customWidth="1"/>
    <col min="18" max="19" width="13.5703125" style="200" bestFit="1" customWidth="1"/>
    <col min="20" max="20" width="13.85546875" style="201" bestFit="1" customWidth="1"/>
    <col min="21" max="21" width="6.5703125" style="183" bestFit="1" customWidth="1"/>
    <col min="22" max="22" width="45.7109375" style="183" customWidth="1"/>
    <col min="23" max="16384" width="8.5703125" style="183"/>
  </cols>
  <sheetData>
    <row r="1" spans="1:23" s="178" customFormat="1" ht="19.5" thickBot="1" x14ac:dyDescent="0.3">
      <c r="A1" s="724" t="s">
        <v>929</v>
      </c>
      <c r="B1" s="683"/>
      <c r="C1" s="683"/>
      <c r="D1" s="683"/>
      <c r="E1" s="683"/>
      <c r="F1" s="683"/>
      <c r="G1" s="683"/>
      <c r="H1" s="683"/>
      <c r="I1" s="683"/>
      <c r="J1" s="683"/>
      <c r="K1" s="683"/>
      <c r="L1" s="683"/>
      <c r="M1" s="683"/>
      <c r="N1" s="683"/>
      <c r="O1" s="683"/>
      <c r="P1" s="683"/>
      <c r="Q1" s="683"/>
      <c r="R1" s="683"/>
      <c r="S1" s="683"/>
      <c r="T1" s="683"/>
      <c r="U1" s="684"/>
      <c r="V1" s="551"/>
    </row>
    <row r="2" spans="1:23" s="187" customFormat="1" ht="18.75" x14ac:dyDescent="0.25">
      <c r="A2" s="718" t="s">
        <v>302</v>
      </c>
      <c r="B2" s="719"/>
      <c r="C2" s="719"/>
      <c r="D2" s="719"/>
      <c r="E2" s="719"/>
      <c r="F2" s="720"/>
      <c r="G2" s="402">
        <f>COUNTIF(G7:G134,"Yes")</f>
        <v>109</v>
      </c>
      <c r="H2" s="402">
        <f>COUNTIF(H7:H134,"Yes")</f>
        <v>109</v>
      </c>
      <c r="I2" s="750">
        <f>'Diags Raw Data'!K211</f>
        <v>391</v>
      </c>
      <c r="J2" s="758">
        <f>'Diags Raw Data'!L211</f>
        <v>3312</v>
      </c>
      <c r="K2" s="760">
        <f>'Diags Raw Data'!N211</f>
        <v>1</v>
      </c>
      <c r="L2" s="762">
        <f>'Diags Raw Data'!P211</f>
        <v>1</v>
      </c>
      <c r="M2" s="764">
        <f>'Diags Raw Data'!R211</f>
        <v>2973</v>
      </c>
      <c r="N2" s="734">
        <f>SUM('Diags Raw Data'!T211+'Diags Raw Data'!U211)</f>
        <v>0</v>
      </c>
      <c r="O2" s="754">
        <f>IF((M137=0),0,N137/M137)</f>
        <v>0</v>
      </c>
      <c r="P2" s="756">
        <v>0</v>
      </c>
      <c r="Q2" s="748">
        <f>SUM('Diags Raw Data'!AA211+'Diags Raw Data'!AB211)</f>
        <v>0</v>
      </c>
      <c r="R2" s="744">
        <f>IF((J137=0),0,P137/J137)</f>
        <v>0</v>
      </c>
      <c r="S2" s="744">
        <f>IF((P137=0),0,Q137/P137)</f>
        <v>0</v>
      </c>
      <c r="T2" s="744">
        <f>R137*S137</f>
        <v>0</v>
      </c>
      <c r="U2" s="746"/>
      <c r="V2" s="736" t="s">
        <v>930</v>
      </c>
      <c r="W2" s="186"/>
    </row>
    <row r="3" spans="1:23" ht="19.5" thickBot="1" x14ac:dyDescent="0.3">
      <c r="A3" s="721"/>
      <c r="B3" s="722"/>
      <c r="C3" s="722"/>
      <c r="D3" s="722"/>
      <c r="E3" s="722"/>
      <c r="F3" s="723"/>
      <c r="G3" s="403">
        <f>COUNTIF(G7:G134,"Yes")/COUNTA(A7:A134)</f>
        <v>0.872</v>
      </c>
      <c r="H3" s="403">
        <f>(COUNTIF(H7:H134,"Yes")/G137)</f>
        <v>1</v>
      </c>
      <c r="I3" s="751"/>
      <c r="J3" s="759"/>
      <c r="K3" s="761"/>
      <c r="L3" s="763"/>
      <c r="M3" s="765"/>
      <c r="N3" s="735"/>
      <c r="O3" s="755"/>
      <c r="P3" s="757"/>
      <c r="Q3" s="749"/>
      <c r="R3" s="745"/>
      <c r="S3" s="745"/>
      <c r="T3" s="745"/>
      <c r="U3" s="747"/>
      <c r="V3" s="737"/>
      <c r="W3" s="182"/>
    </row>
    <row r="4" spans="1:23" ht="19.5" thickBot="1" x14ac:dyDescent="0.3">
      <c r="A4" s="685" t="s">
        <v>931</v>
      </c>
      <c r="B4" s="686"/>
      <c r="C4" s="686"/>
      <c r="D4" s="686"/>
      <c r="E4" s="686"/>
      <c r="F4" s="686"/>
      <c r="G4" s="686"/>
      <c r="H4" s="686"/>
      <c r="I4" s="686"/>
      <c r="J4" s="686"/>
      <c r="K4" s="686"/>
      <c r="L4" s="686"/>
      <c r="M4" s="686"/>
      <c r="N4" s="686"/>
      <c r="O4" s="686"/>
      <c r="P4" s="686"/>
      <c r="Q4" s="686"/>
      <c r="R4" s="686"/>
      <c r="S4" s="686"/>
      <c r="T4" s="686"/>
      <c r="U4" s="687"/>
      <c r="V4" s="552"/>
    </row>
    <row r="5" spans="1:23" s="178" customFormat="1" ht="31.5" customHeight="1" thickBot="1" x14ac:dyDescent="0.3">
      <c r="A5" s="709" t="s">
        <v>76</v>
      </c>
      <c r="B5" s="710"/>
      <c r="C5" s="710"/>
      <c r="D5" s="710"/>
      <c r="E5" s="710"/>
      <c r="F5" s="710"/>
      <c r="G5" s="710"/>
      <c r="H5" s="710"/>
      <c r="I5" s="710"/>
      <c r="J5" s="711"/>
      <c r="K5" s="707" t="s">
        <v>113</v>
      </c>
      <c r="L5" s="708"/>
      <c r="M5" s="712" t="s">
        <v>124</v>
      </c>
      <c r="N5" s="713"/>
      <c r="O5" s="714"/>
      <c r="P5" s="715" t="s">
        <v>144</v>
      </c>
      <c r="Q5" s="716"/>
      <c r="R5" s="716"/>
      <c r="S5" s="716"/>
      <c r="T5" s="716"/>
      <c r="U5" s="717"/>
      <c r="V5" s="177"/>
    </row>
    <row r="6" spans="1:23" s="180" customFormat="1" ht="15.75" thickBot="1" x14ac:dyDescent="0.3">
      <c r="A6" s="352" t="s">
        <v>77</v>
      </c>
      <c r="B6" s="385" t="s">
        <v>81</v>
      </c>
      <c r="C6" s="385" t="s">
        <v>96</v>
      </c>
      <c r="D6" s="385" t="s">
        <v>212</v>
      </c>
      <c r="E6" s="385" t="s">
        <v>88</v>
      </c>
      <c r="F6" s="385" t="s">
        <v>1</v>
      </c>
      <c r="G6" s="386" t="s">
        <v>215</v>
      </c>
      <c r="H6" s="386" t="s">
        <v>218</v>
      </c>
      <c r="I6" s="387" t="s">
        <v>105</v>
      </c>
      <c r="J6" s="387" t="s">
        <v>221</v>
      </c>
      <c r="K6" s="365" t="s">
        <v>114</v>
      </c>
      <c r="L6" s="366" t="s">
        <v>121</v>
      </c>
      <c r="M6" s="345" t="s">
        <v>227</v>
      </c>
      <c r="N6" s="346" t="s">
        <v>229</v>
      </c>
      <c r="O6" s="344" t="s">
        <v>187</v>
      </c>
      <c r="P6" s="367" t="s">
        <v>232</v>
      </c>
      <c r="Q6" s="347" t="s">
        <v>229</v>
      </c>
      <c r="R6" s="348" t="s">
        <v>184</v>
      </c>
      <c r="S6" s="348" t="s">
        <v>140</v>
      </c>
      <c r="T6" s="349" t="s">
        <v>187</v>
      </c>
      <c r="U6" s="350" t="s">
        <v>157</v>
      </c>
      <c r="V6" s="179"/>
    </row>
    <row r="7" spans="1:23" ht="15.75" thickBot="1" x14ac:dyDescent="0.3">
      <c r="A7" s="335" t="s">
        <v>932</v>
      </c>
      <c r="B7" s="437" t="s">
        <v>933</v>
      </c>
      <c r="C7" s="438" t="s">
        <v>280</v>
      </c>
      <c r="D7" s="439" t="str" cm="1">
        <f t="array" ref="D7">_xlfn.TEXTJOIN("",TRUE,IF(ISNUMBER(SEARCH($A7,'Diags Raw Data'!$A$6:$A$3821)),CONCATENATE('Diags Raw Data'!$H$6:$H$3821,", "),""))</f>
        <v xml:space="preserve">DLPC001, </v>
      </c>
      <c r="E7" s="440" t="e">
        <f>VLOOKUP(A7,'Diags Raw Data'!$A$6:$D$3821,4,FALSE)</f>
        <v>#N/A</v>
      </c>
      <c r="F7" s="440" t="str">
        <f>VLOOKUP(A7,'Feature Raw Data'!$A$3:$E$3998,5,FALSE)</f>
        <v>New</v>
      </c>
      <c r="G7" s="440" t="str">
        <f t="shared" ref="G7:G99" si="0">IF(D7="","No","Yes")</f>
        <v>Yes</v>
      </c>
      <c r="H7" s="440" t="str">
        <f t="shared" ref="H7:H99" si="1">IF(D7="","No","Yes")</f>
        <v>Yes</v>
      </c>
      <c r="I7" s="438">
        <f>SUMIF('Diags Raw Data'!$A$6:$A$3821,"*"&amp;$A7&amp;"*",'Diags Raw Data'!$K$6:$K$3821)</f>
        <v>80</v>
      </c>
      <c r="J7" s="441">
        <f>SUMIF('Diags Raw Data'!$A$6:$A$3821,"*"&amp;$A7&amp;"*",'Diags Raw Data'!$L$6:$L$3821)</f>
        <v>2</v>
      </c>
      <c r="K7" s="482" cm="1">
        <f t="array" ref="K7">IF(D7="",0, SUMPRODUCT(--(ISNUMBER(SEARCH($A7,'Diags Raw Data'!$A$6:$A$3821))),'Diags Raw Data'!$L$6:$L$3821,'Diags Raw Data'!$N$6:$N$3821)/J7)</f>
        <v>1</v>
      </c>
      <c r="L7" s="483" cm="1">
        <f t="array" ref="L7">IF(D7="",0, SUMPRODUCT(--(ISNUMBER(SEARCH($A7,'Diags Raw Data'!$A$6:$A$3821))),'Diags Raw Data'!$L$6:$L$3821,'Diags Raw Data'!$P$6:$P$3821)/J7)</f>
        <v>1</v>
      </c>
      <c r="M7" s="484" cm="1">
        <f t="array" ref="M7">SUMPRODUCT(--(ISNUMBER(SEARCH($A7,'Diags Raw Data'!$A$6:$A$3821))),--('Diags Raw Data'!$Q$6:$Q$3821&lt;&gt;"N/A"),'Diags Raw Data'!$R$6:$R$3821)</f>
        <v>0</v>
      </c>
      <c r="N7" s="485" cm="1">
        <f t="array" ref="N7">SUMPRODUCT(--(ISNUMBER(SEARCH($A7,'Diags Raw Data'!$A$6:$A$3821))),--('Diags Raw Data'!$Q$6:$Q$3821&lt;&gt;"N/A"),'Diags Raw Data'!$T$6:$T$3821)+SUMPRODUCT(--(ISNUMBER(SEARCH($A7,'Diags Raw Data'!$A$6:$A$3821))),--('Diags Raw Data'!$Q$6:$Q$3821&lt;&gt;"N/A"),'Diags Raw Data'!$U$6:$U$3821)</f>
        <v>0</v>
      </c>
      <c r="O7" s="486">
        <f>IF((M7=0),0,N7/M7)</f>
        <v>0</v>
      </c>
      <c r="P7" s="487">
        <v>0</v>
      </c>
      <c r="Q7" s="488">
        <f>SUM(SUMIF('Diags Raw Data'!$A$6:$A$3821,"*"&amp;$A7&amp;"*",'Diags Raw Data'!$AA$6:$AA$3821),SUMIF('Diags Raw Data'!$A$6:$A$3821,"*"&amp;$A7&amp;"*",'Diags Raw Data'!$AB$6:$AB$3821))</f>
        <v>0</v>
      </c>
      <c r="R7" s="489">
        <f>IF((J7=0),0,P7/J7)</f>
        <v>0</v>
      </c>
      <c r="S7" s="489">
        <f>IF((P7=0),0,Q7/P7)</f>
        <v>0</v>
      </c>
      <c r="T7" s="490">
        <f>R7*S7</f>
        <v>0</v>
      </c>
      <c r="U7" s="442" t="s">
        <v>934</v>
      </c>
      <c r="V7" s="182"/>
    </row>
    <row r="8" spans="1:23" x14ac:dyDescent="0.25">
      <c r="A8" s="337" t="s">
        <v>935</v>
      </c>
      <c r="B8" s="443" t="s">
        <v>936</v>
      </c>
      <c r="C8" s="444" t="s">
        <v>280</v>
      </c>
      <c r="D8" s="445" t="str" cm="1">
        <f t="array" ref="D8">_xlfn.TEXTJOIN("",TRUE,IF(ISNUMBER(SEARCH($A8,'Diags Raw Data'!$A$6:$A$3821)),CONCATENATE('Diags Raw Data'!$H$6:$H$3821,", "),""))</f>
        <v xml:space="preserve">DLPC001, </v>
      </c>
      <c r="E8" s="342" t="e">
        <f>VLOOKUP(A8,'Diags Raw Data'!$A$6:$D$3821,4,FALSE)</f>
        <v>#N/A</v>
      </c>
      <c r="F8" s="342" t="str">
        <f>VLOOKUP(A8,'Feature Raw Data'!$A$3:$E$3998,5,FALSE)</f>
        <v>New</v>
      </c>
      <c r="G8" s="342" t="str">
        <f t="shared" si="0"/>
        <v>Yes</v>
      </c>
      <c r="H8" s="342" t="str">
        <f t="shared" si="1"/>
        <v>Yes</v>
      </c>
      <c r="I8" s="444">
        <f>SUMIF('Diags Raw Data'!$A$6:$A$3821,"*"&amp;$A8&amp;"*",'Diags Raw Data'!$K$6:$K$3821)</f>
        <v>80</v>
      </c>
      <c r="J8" s="446">
        <f>SUMIF('Diags Raw Data'!$A$6:$A$3821,"*"&amp;$A8&amp;"*",'Diags Raw Data'!$L$6:$L$3821)</f>
        <v>2</v>
      </c>
      <c r="K8" s="491" cm="1">
        <f t="array" ref="K8">IF(D8="",0, SUMPRODUCT(--(ISNUMBER(SEARCH($A8,'Diags Raw Data'!$A$6:$A$3821))),'Diags Raw Data'!$L$6:$L$3821,'Diags Raw Data'!$N$6:$N$3821)/J8)</f>
        <v>1</v>
      </c>
      <c r="L8" s="492" cm="1">
        <f t="array" ref="L8">IF(D8="",0, SUMPRODUCT(--(ISNUMBER(SEARCH($A8,'Diags Raw Data'!$A$6:$A$3821))),'Diags Raw Data'!$L$6:$L$3821,'Diags Raw Data'!$P$6:$P$3821)/J8)</f>
        <v>1</v>
      </c>
      <c r="M8" s="493" cm="1">
        <f t="array" ref="M8">SUMPRODUCT(--(ISNUMBER(SEARCH($A8,'Diags Raw Data'!$A$6:$A$3821))),--('Diags Raw Data'!$Q$6:$Q$3821&lt;&gt;"N/A"),'Diags Raw Data'!$R$6:$R$3821)</f>
        <v>0</v>
      </c>
      <c r="N8" s="494" cm="1">
        <f t="array" ref="N8">SUMPRODUCT(--(ISNUMBER(SEARCH($A8,'Diags Raw Data'!$A$6:$A$3821))),--('Diags Raw Data'!$Q$6:$Q$3821&lt;&gt;"N/A"),'Diags Raw Data'!$T$6:$T$3821)+SUMPRODUCT(--(ISNUMBER(SEARCH($A8,'Diags Raw Data'!$A$6:$A$3821))),--('Diags Raw Data'!$Q$6:$Q$3821&lt;&gt;"N/A"),'Diags Raw Data'!$U$6:$U$3821)</f>
        <v>0</v>
      </c>
      <c r="O8" s="495">
        <f t="shared" ref="O8:O128" si="2">IF((M8=0),0,N8/M8)</f>
        <v>0</v>
      </c>
      <c r="P8" s="496">
        <f>SUMIF('Diags Raw Data'!$A$6:$A$3821,"*"&amp;$A8&amp;"*",'Diags Raw Data'!$Z$6:$Z$3821)</f>
        <v>0</v>
      </c>
      <c r="Q8" s="497">
        <f>SUM(SUMIF('Diags Raw Data'!$A$6:$A$3821,"*"&amp;$A8&amp;"*",'Diags Raw Data'!$AA$6:$AA$3821),SUMIF('Diags Raw Data'!$A$6:$A$3821,"*"&amp;$A8&amp;"*",'Diags Raw Data'!$AB$6:$AB$3821))</f>
        <v>0</v>
      </c>
      <c r="R8" s="498">
        <f t="shared" ref="R8:R127" si="3">IF((J8=0),0,P8/J8)</f>
        <v>0</v>
      </c>
      <c r="S8" s="498">
        <f t="shared" ref="S8:S127" si="4">IF((P8=0),0,Q8/P8)</f>
        <v>0</v>
      </c>
      <c r="T8" s="499">
        <f t="shared" ref="T8:T127" si="5">R8*S8</f>
        <v>0</v>
      </c>
      <c r="U8" s="442" t="s">
        <v>934</v>
      </c>
      <c r="V8" s="182"/>
    </row>
    <row r="9" spans="1:23" x14ac:dyDescent="0.25">
      <c r="A9" s="337" t="s">
        <v>937</v>
      </c>
      <c r="B9" s="443" t="s">
        <v>938</v>
      </c>
      <c r="C9" s="444" t="s">
        <v>280</v>
      </c>
      <c r="D9" s="445" t="str" cm="1">
        <f t="array" ref="D9">_xlfn.TEXTJOIN("",TRUE,IF(ISNUMBER(SEARCH($A9,'Diags Raw Data'!$A$6:$A$3821)),CONCATENATE('Diags Raw Data'!$H$6:$H$3821,", "),""))</f>
        <v/>
      </c>
      <c r="E9" s="342" t="e">
        <f>VLOOKUP(A9,'Diags Raw Data'!$A$6:$D$3821,4,FALSE)</f>
        <v>#N/A</v>
      </c>
      <c r="F9" s="342" t="str">
        <f>VLOOKUP(A9,'Feature Raw Data'!$A$3:$E$3998,5,FALSE)</f>
        <v>Delta</v>
      </c>
      <c r="G9" s="342" t="str">
        <f t="shared" si="0"/>
        <v>No</v>
      </c>
      <c r="H9" s="342" t="str">
        <f t="shared" si="1"/>
        <v>No</v>
      </c>
      <c r="I9" s="444">
        <f>SUMIF('Diags Raw Data'!$A$6:$A$3821,"*"&amp;$A9&amp;"*",'Diags Raw Data'!$K$6:$K$3821)</f>
        <v>0</v>
      </c>
      <c r="J9" s="446">
        <f>SUMIF('Diags Raw Data'!$A$6:$A$3821,"*"&amp;$A9&amp;"*",'Diags Raw Data'!$L$6:$L$3821)</f>
        <v>0</v>
      </c>
      <c r="K9" s="491" cm="1">
        <f t="array" ref="K9">IF(D9="",0, SUMPRODUCT(--(ISNUMBER(SEARCH($A9,'Diags Raw Data'!$A$6:$A$3821))),'Diags Raw Data'!$L$6:$L$3821,'Diags Raw Data'!$N$6:$N$3821)/J9)</f>
        <v>0</v>
      </c>
      <c r="L9" s="492" cm="1">
        <f t="array" ref="L9">IF(D9="",0, SUMPRODUCT(--(ISNUMBER(SEARCH($A9,'Diags Raw Data'!$A$6:$A$3821))),'Diags Raw Data'!$L$6:$L$3821,'Diags Raw Data'!$P$6:$P$3821)/J9)</f>
        <v>0</v>
      </c>
      <c r="M9" s="493" cm="1">
        <f t="array" ref="M9">SUMPRODUCT(--(ISNUMBER(SEARCH($A9,'Diags Raw Data'!$A$6:$A$3821))),--('Diags Raw Data'!$Q$6:$Q$3821&lt;&gt;"N/A"),'Diags Raw Data'!$R$6:$R$3821)</f>
        <v>0</v>
      </c>
      <c r="N9" s="494" cm="1">
        <f t="array" ref="N9">SUMPRODUCT(--(ISNUMBER(SEARCH($A9,'Diags Raw Data'!$A$6:$A$3821))),--('Diags Raw Data'!$Q$6:$Q$3821&lt;&gt;"N/A"),'Diags Raw Data'!$T$6:$T$3821)+SUMPRODUCT(--(ISNUMBER(SEARCH($A9,'Diags Raw Data'!$A$6:$A$3821))),--('Diags Raw Data'!$Q$6:$Q$3821&lt;&gt;"N/A"),'Diags Raw Data'!$U$6:$U$3821)</f>
        <v>0</v>
      </c>
      <c r="O9" s="495">
        <f t="shared" si="2"/>
        <v>0</v>
      </c>
      <c r="P9" s="496">
        <f>SUMIF('Diags Raw Data'!$A$6:$A$3821,"*"&amp;$A9&amp;"*",'Diags Raw Data'!$Z$6:$Z$3821)</f>
        <v>0</v>
      </c>
      <c r="Q9" s="497">
        <f>SUM(SUMIF('Diags Raw Data'!$A$6:$A$3821,"*"&amp;$A9&amp;"*",'Diags Raw Data'!$AA$6:$AA$3821),SUMIF('Diags Raw Data'!$A$6:$A$3821,"*"&amp;$A9&amp;"*",'Diags Raw Data'!$AB$6:$AB$3821))</f>
        <v>0</v>
      </c>
      <c r="R9" s="498">
        <f t="shared" si="3"/>
        <v>0</v>
      </c>
      <c r="S9" s="498">
        <f t="shared" si="4"/>
        <v>0</v>
      </c>
      <c r="T9" s="499">
        <f t="shared" si="5"/>
        <v>0</v>
      </c>
      <c r="U9" s="447" t="s">
        <v>939</v>
      </c>
      <c r="V9" s="182"/>
    </row>
    <row r="10" spans="1:23" ht="15.75" thickBot="1" x14ac:dyDescent="0.3">
      <c r="A10" s="337" t="s">
        <v>940</v>
      </c>
      <c r="B10" s="443" t="s">
        <v>941</v>
      </c>
      <c r="C10" s="444" t="s">
        <v>280</v>
      </c>
      <c r="D10" s="445" t="str" cm="1">
        <f t="array" ref="D10">_xlfn.TEXTJOIN("",TRUE,IF(ISNUMBER(SEARCH($A10,'Diags Raw Data'!$A$6:$A$3821)),CONCATENATE('Diags Raw Data'!$H$6:$H$3821,", "),""))</f>
        <v/>
      </c>
      <c r="E10" s="342" t="e">
        <f>VLOOKUP(A10,'Diags Raw Data'!$A$6:$D$3821,4,FALSE)</f>
        <v>#N/A</v>
      </c>
      <c r="F10" s="342" t="str">
        <f>VLOOKUP(A10,'Feature Raw Data'!$A$3:$E$3998,5,FALSE)</f>
        <v>Delta</v>
      </c>
      <c r="G10" s="342" t="str">
        <f t="shared" si="0"/>
        <v>No</v>
      </c>
      <c r="H10" s="342" t="str">
        <f t="shared" si="1"/>
        <v>No</v>
      </c>
      <c r="I10" s="444">
        <f>SUMIF('Diags Raw Data'!$A$6:$A$3821,"*"&amp;$A10&amp;"*",'Diags Raw Data'!$K$6:$K$3821)</f>
        <v>0</v>
      </c>
      <c r="J10" s="446">
        <f>SUMIF('Diags Raw Data'!$A$6:$A$3821,"*"&amp;$A10&amp;"*",'Diags Raw Data'!$L$6:$L$3821)</f>
        <v>0</v>
      </c>
      <c r="K10" s="491" cm="1">
        <f t="array" ref="K10">IF(D10="",0, SUMPRODUCT(--(ISNUMBER(SEARCH($A10,'Diags Raw Data'!$A$6:$A$3821))),'Diags Raw Data'!$L$6:$L$3821,'Diags Raw Data'!$N$6:$N$3821)/J10)</f>
        <v>0</v>
      </c>
      <c r="L10" s="492" cm="1">
        <f t="array" ref="L10">IF(D10="",0, SUMPRODUCT(--(ISNUMBER(SEARCH($A10,'Diags Raw Data'!$A$6:$A$3821))),'Diags Raw Data'!$L$6:$L$3821,'Diags Raw Data'!$P$6:$P$3821)/J10)</f>
        <v>0</v>
      </c>
      <c r="M10" s="493" cm="1">
        <f t="array" ref="M10">SUMPRODUCT(--(ISNUMBER(SEARCH($A10,'Diags Raw Data'!$A$6:$A$3821))),--('Diags Raw Data'!$Q$6:$Q$3821&lt;&gt;"N/A"),'Diags Raw Data'!$R$6:$R$3821)</f>
        <v>0</v>
      </c>
      <c r="N10" s="494" cm="1">
        <f t="array" ref="N10">SUMPRODUCT(--(ISNUMBER(SEARCH($A10,'Diags Raw Data'!$A$6:$A$3821))),--('Diags Raw Data'!$Q$6:$Q$3821&lt;&gt;"N/A"),'Diags Raw Data'!$T$6:$T$3821)+SUMPRODUCT(--(ISNUMBER(SEARCH($A10,'Diags Raw Data'!$A$6:$A$3821))),--('Diags Raw Data'!$Q$6:$Q$3821&lt;&gt;"N/A"),'Diags Raw Data'!$U$6:$U$3821)</f>
        <v>0</v>
      </c>
      <c r="O10" s="495">
        <f t="shared" si="2"/>
        <v>0</v>
      </c>
      <c r="P10" s="496">
        <f>SUMIF('Diags Raw Data'!$A$6:$A$3821,"*"&amp;$A10&amp;"*",'Diags Raw Data'!$Z$6:$Z$3821)</f>
        <v>0</v>
      </c>
      <c r="Q10" s="497">
        <f>SUM(SUMIF('Diags Raw Data'!$A$6:$A$3821,"*"&amp;$A10&amp;"*",'Diags Raw Data'!$AA$6:$AA$3821),SUMIF('Diags Raw Data'!$A$6:$A$3821,"*"&amp;$A10&amp;"*",'Diags Raw Data'!$AB$6:$AB$3821))</f>
        <v>0</v>
      </c>
      <c r="R10" s="498">
        <f t="shared" si="3"/>
        <v>0</v>
      </c>
      <c r="S10" s="498">
        <f t="shared" si="4"/>
        <v>0</v>
      </c>
      <c r="T10" s="499">
        <f t="shared" si="5"/>
        <v>0</v>
      </c>
      <c r="U10" s="447" t="s">
        <v>939</v>
      </c>
      <c r="V10" s="182"/>
    </row>
    <row r="11" spans="1:23" ht="30.75" thickBot="1" x14ac:dyDescent="0.3">
      <c r="A11" s="337" t="s">
        <v>942</v>
      </c>
      <c r="B11" s="443" t="s">
        <v>943</v>
      </c>
      <c r="C11" s="444" t="s">
        <v>280</v>
      </c>
      <c r="D11" s="445" t="str" cm="1">
        <f t="array" ref="D11">_xlfn.TEXTJOIN("",TRUE,IF(ISNUMBER(SEARCH($A11,'Diags Raw Data'!$A$6:$A$3821)),CONCATENATE('Diags Raw Data'!$H$6:$H$3821,", "),""))</f>
        <v xml:space="preserve">DLPC002
DLPC003, </v>
      </c>
      <c r="E11" s="342" t="e">
        <f>VLOOKUP(A11,'Diags Raw Data'!$A$6:$D$3821,4,FALSE)</f>
        <v>#N/A</v>
      </c>
      <c r="F11" s="342" t="str">
        <f>VLOOKUP(A11,'Feature Raw Data'!$A$3:$E$3998,5,FALSE)</f>
        <v>Delta</v>
      </c>
      <c r="G11" s="342" t="str">
        <f t="shared" si="0"/>
        <v>Yes</v>
      </c>
      <c r="H11" s="342" t="str">
        <f t="shared" si="1"/>
        <v>Yes</v>
      </c>
      <c r="I11" s="444">
        <f>SUMIF('Diags Raw Data'!$A$6:$A$3821,"*"&amp;$A11&amp;"*",'Diags Raw Data'!$K$6:$K$3821)</f>
        <v>40</v>
      </c>
      <c r="J11" s="446">
        <f>SUMIF('Diags Raw Data'!$A$6:$A$3821,"*"&amp;$A11&amp;"*",'Diags Raw Data'!$L$6:$L$3821)</f>
        <v>2</v>
      </c>
      <c r="K11" s="491" cm="1">
        <f t="array" ref="K11">IF(D11="",0, SUMPRODUCT(--(ISNUMBER(SEARCH($A11,'Diags Raw Data'!$A$6:$A$3821))),'Diags Raw Data'!$L$6:$L$3821,'Diags Raw Data'!$N$6:$N$3821)/J11)</f>
        <v>1</v>
      </c>
      <c r="L11" s="492" cm="1">
        <f t="array" ref="L11">IF(D11="",0, SUMPRODUCT(--(ISNUMBER(SEARCH($A11,'Diags Raw Data'!$A$6:$A$3821))),'Diags Raw Data'!$L$6:$L$3821,'Diags Raw Data'!$P$6:$P$3821)/J11)</f>
        <v>1</v>
      </c>
      <c r="M11" s="493" cm="1">
        <f t="array" ref="M11">SUMPRODUCT(--(ISNUMBER(SEARCH($A11,'Diags Raw Data'!$A$6:$A$3821))),--('Diags Raw Data'!$Q$6:$Q$3821&lt;&gt;"N/A"),'Diags Raw Data'!$R$6:$R$3821)</f>
        <v>0</v>
      </c>
      <c r="N11" s="494" cm="1">
        <f t="array" ref="N11">SUMPRODUCT(--(ISNUMBER(SEARCH($A11,'Diags Raw Data'!$A$6:$A$3821))),--('Diags Raw Data'!$Q$6:$Q$3821&lt;&gt;"N/A"),'Diags Raw Data'!$T$6:$T$3821)+SUMPRODUCT(--(ISNUMBER(SEARCH($A11,'Diags Raw Data'!$A$6:$A$3821))),--('Diags Raw Data'!$Q$6:$Q$3821&lt;&gt;"N/A"),'Diags Raw Data'!$U$6:$U$3821)</f>
        <v>0</v>
      </c>
      <c r="O11" s="495">
        <f t="shared" si="2"/>
        <v>0</v>
      </c>
      <c r="P11" s="496">
        <f>SUMIF('Diags Raw Data'!$A$6:$A$3821,"*"&amp;$A11&amp;"*",'Diags Raw Data'!$Z$6:$Z$3821)</f>
        <v>0</v>
      </c>
      <c r="Q11" s="497">
        <f>SUM(SUMIF('Diags Raw Data'!$A$6:$A$3821,"*"&amp;$A11&amp;"*",'Diags Raw Data'!$AA$6:$AA$3821),SUMIF('Diags Raw Data'!$A$6:$A$3821,"*"&amp;$A11&amp;"*",'Diags Raw Data'!$AB$6:$AB$3821))</f>
        <v>0</v>
      </c>
      <c r="R11" s="498">
        <f t="shared" si="3"/>
        <v>0</v>
      </c>
      <c r="S11" s="498">
        <f t="shared" si="4"/>
        <v>0</v>
      </c>
      <c r="T11" s="499">
        <f t="shared" si="5"/>
        <v>0</v>
      </c>
      <c r="U11" s="442" t="s">
        <v>944</v>
      </c>
      <c r="V11" s="182"/>
    </row>
    <row r="12" spans="1:23" ht="30" x14ac:dyDescent="0.25">
      <c r="A12" s="337" t="s">
        <v>945</v>
      </c>
      <c r="B12" s="443" t="s">
        <v>946</v>
      </c>
      <c r="C12" s="444" t="s">
        <v>280</v>
      </c>
      <c r="D12" s="445" t="str" cm="1">
        <f t="array" ref="D12">_xlfn.TEXTJOIN("",TRUE,IF(ISNUMBER(SEARCH($A12,'Diags Raw Data'!$A$6:$A$3821)),CONCATENATE('Diags Raw Data'!$H$6:$H$3821,", "),""))</f>
        <v xml:space="preserve">DLPC002
DLPC003, </v>
      </c>
      <c r="E12" s="342" t="e">
        <f>VLOOKUP(A12,'Diags Raw Data'!$A$6:$D$3821,4,FALSE)</f>
        <v>#N/A</v>
      </c>
      <c r="F12" s="342" t="str">
        <f>VLOOKUP(A12,'Feature Raw Data'!$A$3:$E$3998,5,FALSE)</f>
        <v>New</v>
      </c>
      <c r="G12" s="342" t="str">
        <f t="shared" si="0"/>
        <v>Yes</v>
      </c>
      <c r="H12" s="342" t="str">
        <f t="shared" si="1"/>
        <v>Yes</v>
      </c>
      <c r="I12" s="444">
        <f>SUMIF('Diags Raw Data'!$A$6:$A$3821,"*"&amp;$A12&amp;"*",'Diags Raw Data'!$K$6:$K$3821)</f>
        <v>40</v>
      </c>
      <c r="J12" s="446">
        <f>SUMIF('Diags Raw Data'!$A$6:$A$3821,"*"&amp;$A12&amp;"*",'Diags Raw Data'!$L$6:$L$3821)</f>
        <v>2</v>
      </c>
      <c r="K12" s="491" cm="1">
        <f t="array" ref="K12">IF(D12="",0, SUMPRODUCT(--(ISNUMBER(SEARCH($A12,'Diags Raw Data'!$A$6:$A$3821))),'Diags Raw Data'!$L$6:$L$3821,'Diags Raw Data'!$N$6:$N$3821)/J12)</f>
        <v>1</v>
      </c>
      <c r="L12" s="492" cm="1">
        <f t="array" ref="L12">IF(D12="",0, SUMPRODUCT(--(ISNUMBER(SEARCH($A12,'Diags Raw Data'!$A$6:$A$3821))),'Diags Raw Data'!$L$6:$L$3821,'Diags Raw Data'!$P$6:$P$3821)/J12)</f>
        <v>1</v>
      </c>
      <c r="M12" s="493" cm="1">
        <f t="array" ref="M12">SUMPRODUCT(--(ISNUMBER(SEARCH($A12,'Diags Raw Data'!$A$6:$A$3821))),--('Diags Raw Data'!$Q$6:$Q$3821&lt;&gt;"N/A"),'Diags Raw Data'!$R$6:$R$3821)</f>
        <v>0</v>
      </c>
      <c r="N12" s="494" cm="1">
        <f t="array" ref="N12">SUMPRODUCT(--(ISNUMBER(SEARCH($A12,'Diags Raw Data'!$A$6:$A$3821))),--('Diags Raw Data'!$Q$6:$Q$3821&lt;&gt;"N/A"),'Diags Raw Data'!$T$6:$T$3821)+SUMPRODUCT(--(ISNUMBER(SEARCH($A12,'Diags Raw Data'!$A$6:$A$3821))),--('Diags Raw Data'!$Q$6:$Q$3821&lt;&gt;"N/A"),'Diags Raw Data'!$U$6:$U$3821)</f>
        <v>0</v>
      </c>
      <c r="O12" s="495">
        <f t="shared" si="2"/>
        <v>0</v>
      </c>
      <c r="P12" s="496">
        <f>SUMIF('Diags Raw Data'!$A$6:$A$3821,"*"&amp;$A12&amp;"*",'Diags Raw Data'!$Z$6:$Z$3821)</f>
        <v>0</v>
      </c>
      <c r="Q12" s="497">
        <f>SUM(SUMIF('Diags Raw Data'!$A$6:$A$3821,"*"&amp;$A12&amp;"*",'Diags Raw Data'!$AA$6:$AA$3821),SUMIF('Diags Raw Data'!$A$6:$A$3821,"*"&amp;$A12&amp;"*",'Diags Raw Data'!$AB$6:$AB$3821))</f>
        <v>0</v>
      </c>
      <c r="R12" s="498">
        <f t="shared" si="3"/>
        <v>0</v>
      </c>
      <c r="S12" s="498">
        <f t="shared" si="4"/>
        <v>0</v>
      </c>
      <c r="T12" s="499">
        <f t="shared" si="5"/>
        <v>0</v>
      </c>
      <c r="U12" s="442" t="s">
        <v>944</v>
      </c>
      <c r="V12" s="182"/>
    </row>
    <row r="13" spans="1:23" ht="30" x14ac:dyDescent="0.25">
      <c r="A13" s="337" t="s">
        <v>340</v>
      </c>
      <c r="B13" s="443" t="s">
        <v>947</v>
      </c>
      <c r="C13" s="444" t="s">
        <v>280</v>
      </c>
      <c r="D13" s="445" t="str" cm="1">
        <f t="array" ref="D13">_xlfn.TEXTJOIN("",TRUE,IF(ISNUMBER(SEARCH($A13,'Diags Raw Data'!$A$6:$A$3821)),CONCATENATE('Diags Raw Data'!$H$6:$H$3821,", "),""))</f>
        <v xml:space="preserve">DCHB002, DCHB012, DCHB013, </v>
      </c>
      <c r="E13" s="342" t="str">
        <f>VLOOKUP(A13,'Diags Raw Data'!$A$6:$D$3821,4,FALSE)</f>
        <v>DCHB</v>
      </c>
      <c r="F13" s="342" t="str">
        <f>VLOOKUP(A13,'Feature Raw Data'!$A$3:$E$3998,5,FALSE)</f>
        <v>Legacy</v>
      </c>
      <c r="G13" s="342" t="str">
        <f t="shared" si="0"/>
        <v>Yes</v>
      </c>
      <c r="H13" s="342" t="str">
        <f t="shared" si="1"/>
        <v>Yes</v>
      </c>
      <c r="I13" s="444">
        <f>SUMIF('Diags Raw Data'!$A$6:$A$3821,"*"&amp;$A13&amp;"*",'Diags Raw Data'!$K$6:$K$3821)</f>
        <v>3</v>
      </c>
      <c r="J13" s="446">
        <f>SUMIF('Diags Raw Data'!$A$6:$A$3821,"*"&amp;$A13&amp;"*",'Diags Raw Data'!$L$6:$L$3821)</f>
        <v>75</v>
      </c>
      <c r="K13" s="491" cm="1">
        <f t="array" ref="K13">IF(D13="",0, SUMPRODUCT(--(ISNUMBER(SEARCH($A13,'Diags Raw Data'!$A$6:$A$3821))),'Diags Raw Data'!$L$6:$L$3821,'Diags Raw Data'!$N$6:$N$3821)/J13)</f>
        <v>1</v>
      </c>
      <c r="L13" s="492" cm="1">
        <f t="array" ref="L13">IF(D13="",0, SUMPRODUCT(--(ISNUMBER(SEARCH($A13,'Diags Raw Data'!$A$6:$A$3821))),'Diags Raw Data'!$L$6:$L$3821,'Diags Raw Data'!$P$6:$P$3821)/J13)</f>
        <v>1</v>
      </c>
      <c r="M13" s="493" cm="1">
        <f t="array" ref="M13">SUMPRODUCT(--(ISNUMBER(SEARCH($A13,'Diags Raw Data'!$A$6:$A$3821))),--('Diags Raw Data'!$Q$6:$Q$3821&lt;&gt;"N/A"),'Diags Raw Data'!$R$6:$R$3821)</f>
        <v>75</v>
      </c>
      <c r="N13" s="494" cm="1">
        <f t="array" ref="N13">SUMPRODUCT(--(ISNUMBER(SEARCH($A13,'Diags Raw Data'!$A$6:$A$3821))),--('Diags Raw Data'!$Q$6:$Q$3821&lt;&gt;"N/A"),'Diags Raw Data'!$T$6:$T$3821)+SUMPRODUCT(--(ISNUMBER(SEARCH($A13,'Diags Raw Data'!$A$6:$A$3821))),--('Diags Raw Data'!$Q$6:$Q$3821&lt;&gt;"N/A"),'Diags Raw Data'!$U$6:$U$3821)</f>
        <v>0</v>
      </c>
      <c r="O13" s="495">
        <f t="shared" si="2"/>
        <v>0</v>
      </c>
      <c r="P13" s="496">
        <f>SUMIF('Diags Raw Data'!$A$6:$A$3821,"*"&amp;$A13&amp;"*",'Diags Raw Data'!$Z$6:$Z$3821)</f>
        <v>0</v>
      </c>
      <c r="Q13" s="497">
        <f>SUM(SUMIF('Diags Raw Data'!$A$6:$A$3821,"*"&amp;$A13&amp;"*",'Diags Raw Data'!$AA$6:$AA$3821),SUMIF('Diags Raw Data'!$A$6:$A$3821,"*"&amp;$A13&amp;"*",'Diags Raw Data'!$AB$6:$AB$3821))</f>
        <v>0</v>
      </c>
      <c r="R13" s="498">
        <f t="shared" si="3"/>
        <v>0</v>
      </c>
      <c r="S13" s="498">
        <f t="shared" si="4"/>
        <v>0</v>
      </c>
      <c r="T13" s="499">
        <f t="shared" si="5"/>
        <v>0</v>
      </c>
      <c r="U13" s="447" t="s">
        <v>939</v>
      </c>
      <c r="V13" s="182"/>
    </row>
    <row r="14" spans="1:23" x14ac:dyDescent="0.25">
      <c r="A14" s="337" t="s">
        <v>506</v>
      </c>
      <c r="B14" s="443" t="s">
        <v>508</v>
      </c>
      <c r="C14" s="444" t="s">
        <v>280</v>
      </c>
      <c r="D14" s="445" t="str" cm="1">
        <f t="array" ref="D14">_xlfn.TEXTJOIN("",TRUE,IF(ISNUMBER(SEARCH($A14,'Diags Raw Data'!$A$6:$A$3821)),CONCATENATE('Diags Raw Data'!$H$6:$H$3821,", "),""))</f>
        <v xml:space="preserve">ABM066, ABM067, </v>
      </c>
      <c r="E14" s="342" t="str">
        <f>VLOOKUP(A14,'Diags Raw Data'!$A$6:$D$3821,4,FALSE)</f>
        <v>ABM</v>
      </c>
      <c r="F14" s="342" t="str">
        <f>VLOOKUP(A14,'Feature Raw Data'!$A$3:$E$3998,5,FALSE)</f>
        <v>Legacy</v>
      </c>
      <c r="G14" s="342" t="str">
        <f t="shared" si="0"/>
        <v>Yes</v>
      </c>
      <c r="H14" s="342" t="str">
        <f t="shared" si="1"/>
        <v>Yes</v>
      </c>
      <c r="I14" s="444">
        <f>SUMIF('Diags Raw Data'!$A$6:$A$3821,"*"&amp;$A14&amp;"*",'Diags Raw Data'!$K$6:$K$3821)</f>
        <v>2</v>
      </c>
      <c r="J14" s="446">
        <f>SUMIF('Diags Raw Data'!$A$6:$A$3821,"*"&amp;$A14&amp;"*",'Diags Raw Data'!$L$6:$L$3821)</f>
        <v>13</v>
      </c>
      <c r="K14" s="491" cm="1">
        <f t="array" ref="K14">IF(D14="",0, SUMPRODUCT(--(ISNUMBER(SEARCH($A14,'Diags Raw Data'!$A$6:$A$3821))),'Diags Raw Data'!$L$6:$L$3821,'Diags Raw Data'!$N$6:$N$3821)/J14)</f>
        <v>1</v>
      </c>
      <c r="L14" s="492" cm="1">
        <f t="array" ref="L14">IF(D14="",0, SUMPRODUCT(--(ISNUMBER(SEARCH($A14,'Diags Raw Data'!$A$6:$A$3821))),'Diags Raw Data'!$L$6:$L$3821,'Diags Raw Data'!$P$6:$P$3821)/J14)</f>
        <v>1</v>
      </c>
      <c r="M14" s="493" cm="1">
        <f t="array" ref="M14">SUMPRODUCT(--(ISNUMBER(SEARCH($A14,'Diags Raw Data'!$A$6:$A$3821))),--('Diags Raw Data'!$Q$6:$Q$3821&lt;&gt;"N/A"),'Diags Raw Data'!$R$6:$R$3821)</f>
        <v>13</v>
      </c>
      <c r="N14" s="494" cm="1">
        <f t="array" ref="N14">SUMPRODUCT(--(ISNUMBER(SEARCH($A14,'Diags Raw Data'!$A$6:$A$3821))),--('Diags Raw Data'!$Q$6:$Q$3821&lt;&gt;"N/A"),'Diags Raw Data'!$T$6:$T$3821)+SUMPRODUCT(--(ISNUMBER(SEARCH($A14,'Diags Raw Data'!$A$6:$A$3821))),--('Diags Raw Data'!$Q$6:$Q$3821&lt;&gt;"N/A"),'Diags Raw Data'!$U$6:$U$3821)</f>
        <v>0</v>
      </c>
      <c r="O14" s="495">
        <f t="shared" si="2"/>
        <v>0</v>
      </c>
      <c r="P14" s="496">
        <v>0</v>
      </c>
      <c r="Q14" s="497">
        <f>SUM(SUMIF('Diags Raw Data'!$A$6:$A$3821,"*"&amp;$A14&amp;"*",'Diags Raw Data'!$AA$6:$AA$3821),SUMIF('Diags Raw Data'!$A$6:$A$3821,"*"&amp;$A14&amp;"*",'Diags Raw Data'!$AB$6:$AB$3821))</f>
        <v>0</v>
      </c>
      <c r="R14" s="498">
        <f t="shared" si="3"/>
        <v>0</v>
      </c>
      <c r="S14" s="498">
        <f t="shared" si="4"/>
        <v>0</v>
      </c>
      <c r="T14" s="499">
        <f t="shared" si="5"/>
        <v>0</v>
      </c>
      <c r="U14" s="447" t="s">
        <v>948</v>
      </c>
      <c r="V14" s="182"/>
    </row>
    <row r="15" spans="1:23" x14ac:dyDescent="0.25">
      <c r="A15" s="337" t="s">
        <v>949</v>
      </c>
      <c r="B15" s="443" t="s">
        <v>950</v>
      </c>
      <c r="C15" s="444" t="s">
        <v>280</v>
      </c>
      <c r="D15" s="445" t="str" cm="1">
        <f t="array" ref="D15">_xlfn.TEXTJOIN("",TRUE,IF(ISNUMBER(SEARCH($A15,'Diags Raw Data'!$A$6:$A$3821)),CONCATENATE('Diags Raw Data'!$H$6:$H$3821,", "),""))</f>
        <v xml:space="preserve">DISP014, </v>
      </c>
      <c r="E15" s="342" t="e">
        <f>VLOOKUP(A15,'Diags Raw Data'!$A$6:$D$3821,4,FALSE)</f>
        <v>#N/A</v>
      </c>
      <c r="F15" s="342" t="str">
        <f>VLOOKUP(A15,'Feature Raw Data'!$A$3:$E$3998,5,FALSE)</f>
        <v>Legacy</v>
      </c>
      <c r="G15" s="342" t="str">
        <f t="shared" si="0"/>
        <v>Yes</v>
      </c>
      <c r="H15" s="342" t="str">
        <f t="shared" si="1"/>
        <v>Yes</v>
      </c>
      <c r="I15" s="444">
        <f>SUMIF('Diags Raw Data'!$A$6:$A$3821,"*"&amp;$A15&amp;"*",'Diags Raw Data'!$K$6:$K$3821)</f>
        <v>1</v>
      </c>
      <c r="J15" s="446">
        <f>SUMIF('Diags Raw Data'!$A$6:$A$3821,"*"&amp;$A15&amp;"*",'Diags Raw Data'!$L$6:$L$3821)</f>
        <v>1</v>
      </c>
      <c r="K15" s="491" cm="1">
        <f t="array" ref="K15">IF(D15="",0, SUMPRODUCT(--(ISNUMBER(SEARCH($A15,'Diags Raw Data'!$A$6:$A$3821))),'Diags Raw Data'!$L$6:$L$3821,'Diags Raw Data'!$N$6:$N$3821)/J15)</f>
        <v>1</v>
      </c>
      <c r="L15" s="492" cm="1">
        <f t="array" ref="L15">IF(D15="",0, SUMPRODUCT(--(ISNUMBER(SEARCH($A15,'Diags Raw Data'!$A$6:$A$3821))),'Diags Raw Data'!$L$6:$L$3821,'Diags Raw Data'!$P$6:$P$3821)/J15)</f>
        <v>1</v>
      </c>
      <c r="M15" s="493" cm="1">
        <f t="array" ref="M15">SUMPRODUCT(--(ISNUMBER(SEARCH($A15,'Diags Raw Data'!$A$6:$A$3821))),--('Diags Raw Data'!$Q$6:$Q$3821&lt;&gt;"N/A"),'Diags Raw Data'!$R$6:$R$3821)</f>
        <v>1</v>
      </c>
      <c r="N15" s="494" cm="1">
        <f t="array" ref="N15">SUMPRODUCT(--(ISNUMBER(SEARCH($A15,'Diags Raw Data'!$A$6:$A$3821))),--('Diags Raw Data'!$Q$6:$Q$3821&lt;&gt;"N/A"),'Diags Raw Data'!$T$6:$T$3821)+SUMPRODUCT(--(ISNUMBER(SEARCH($A15,'Diags Raw Data'!$A$6:$A$3821))),--('Diags Raw Data'!$Q$6:$Q$3821&lt;&gt;"N/A"),'Diags Raw Data'!$U$6:$U$3821)</f>
        <v>0</v>
      </c>
      <c r="O15" s="495">
        <f t="shared" si="2"/>
        <v>0</v>
      </c>
      <c r="P15" s="496">
        <f>SUMIF('Diags Raw Data'!$A$6:$A$3821,"*"&amp;$A15&amp;"*",'Diags Raw Data'!$Z$6:$Z$3821)</f>
        <v>0</v>
      </c>
      <c r="Q15" s="497">
        <f>SUM(SUMIF('Diags Raw Data'!$A$6:$A$3821,"*"&amp;$A15&amp;"*",'Diags Raw Data'!$AA$6:$AA$3821),SUMIF('Diags Raw Data'!$A$6:$A$3821,"*"&amp;$A15&amp;"*",'Diags Raw Data'!$AB$6:$AB$3821))</f>
        <v>0</v>
      </c>
      <c r="R15" s="498">
        <f t="shared" si="3"/>
        <v>0</v>
      </c>
      <c r="S15" s="498">
        <f t="shared" si="4"/>
        <v>0</v>
      </c>
      <c r="T15" s="499">
        <f t="shared" si="5"/>
        <v>0</v>
      </c>
      <c r="U15" s="447" t="s">
        <v>47</v>
      </c>
      <c r="V15" s="182"/>
    </row>
    <row r="16" spans="1:23" ht="28.9" customHeight="1" x14ac:dyDescent="0.25">
      <c r="A16" s="337" t="s">
        <v>951</v>
      </c>
      <c r="B16" s="443" t="s">
        <v>952</v>
      </c>
      <c r="C16" s="444" t="s">
        <v>280</v>
      </c>
      <c r="D16" s="445" t="str" cm="1">
        <f t="array" ref="D16">_xlfn.TEXTJOIN("",TRUE,IF(ISNUMBER(SEARCH($A16,'Diags Raw Data'!$A$6:$A$3821)),CONCATENATE('Diags Raw Data'!$H$6:$H$3821,", "),""))</f>
        <v xml:space="preserve">DCHB004, DWB018, </v>
      </c>
      <c r="E16" s="342" t="e">
        <f>VLOOKUP(A16,'Diags Raw Data'!$A$6:$D$3821,4,FALSE)</f>
        <v>#N/A</v>
      </c>
      <c r="F16" s="342" t="str">
        <f>VLOOKUP(A16,'Feature Raw Data'!$A$3:$E$3998,5,FALSE)</f>
        <v>Legacy</v>
      </c>
      <c r="G16" s="342" t="str">
        <f t="shared" si="0"/>
        <v>Yes</v>
      </c>
      <c r="H16" s="342" t="str">
        <f t="shared" si="1"/>
        <v>Yes</v>
      </c>
      <c r="I16" s="444">
        <f>SUMIF('Diags Raw Data'!$A$6:$A$3821,"*"&amp;$A16&amp;"*",'Diags Raw Data'!$K$6:$K$3821)</f>
        <v>2</v>
      </c>
      <c r="J16" s="446">
        <f>SUMIF('Diags Raw Data'!$A$6:$A$3821,"*"&amp;$A16&amp;"*",'Diags Raw Data'!$L$6:$L$3821)</f>
        <v>17</v>
      </c>
      <c r="K16" s="491" cm="1">
        <f t="array" ref="K16">IF(D16="",0, SUMPRODUCT(--(ISNUMBER(SEARCH($A16,'Diags Raw Data'!$A$6:$A$3821))),'Diags Raw Data'!$L$6:$L$3821,'Diags Raw Data'!$N$6:$N$3821)/J16)</f>
        <v>1</v>
      </c>
      <c r="L16" s="492" cm="1">
        <f t="array" ref="L16">IF(D16="",0, SUMPRODUCT(--(ISNUMBER(SEARCH($A16,'Diags Raw Data'!$A$6:$A$3821))),'Diags Raw Data'!$L$6:$L$3821,'Diags Raw Data'!$P$6:$P$3821)/J16)</f>
        <v>1</v>
      </c>
      <c r="M16" s="493" cm="1">
        <f t="array" ref="M16">SUMPRODUCT(--(ISNUMBER(SEARCH($A16,'Diags Raw Data'!$A$6:$A$3821))),--('Diags Raw Data'!$Q$6:$Q$3821&lt;&gt;"N/A"),'Diags Raw Data'!$R$6:$R$3821)</f>
        <v>26</v>
      </c>
      <c r="N16" s="494" cm="1">
        <f t="array" ref="N16">SUMPRODUCT(--(ISNUMBER(SEARCH($A16,'Diags Raw Data'!$A$6:$A$3821))),--('Diags Raw Data'!$Q$6:$Q$3821&lt;&gt;"N/A"),'Diags Raw Data'!$T$6:$T$3821)+SUMPRODUCT(--(ISNUMBER(SEARCH($A16,'Diags Raw Data'!$A$6:$A$3821))),--('Diags Raw Data'!$Q$6:$Q$3821&lt;&gt;"N/A"),'Diags Raw Data'!$U$6:$U$3821)</f>
        <v>0</v>
      </c>
      <c r="O16" s="495">
        <f t="shared" si="2"/>
        <v>0</v>
      </c>
      <c r="P16" s="496">
        <v>0</v>
      </c>
      <c r="Q16" s="497">
        <f>SUM(SUMIF('Diags Raw Data'!$A$6:$A$3821,"*"&amp;$A16&amp;"*",'Diags Raw Data'!$AA$6:$AA$3821),SUMIF('Diags Raw Data'!$A$6:$A$3821,"*"&amp;$A16&amp;"*",'Diags Raw Data'!$AB$6:$AB$3821))</f>
        <v>0</v>
      </c>
      <c r="R16" s="498">
        <f t="shared" si="3"/>
        <v>0</v>
      </c>
      <c r="S16" s="498">
        <f t="shared" si="4"/>
        <v>0</v>
      </c>
      <c r="T16" s="499">
        <f t="shared" si="5"/>
        <v>0</v>
      </c>
      <c r="U16" s="447" t="s">
        <v>47</v>
      </c>
      <c r="V16" s="182"/>
    </row>
    <row r="17" spans="1:22" x14ac:dyDescent="0.25">
      <c r="A17" s="337" t="s">
        <v>953</v>
      </c>
      <c r="B17" s="443" t="s">
        <v>954</v>
      </c>
      <c r="C17" s="444" t="s">
        <v>280</v>
      </c>
      <c r="D17" s="445" t="str" cm="1">
        <f t="array" ref="D17">_xlfn.TEXTJOIN("",TRUE,IF(ISNUMBER(SEARCH($A17,'Diags Raw Data'!$A$6:$A$3821)),CONCATENATE('Diags Raw Data'!$H$6:$H$3821,", "),""))</f>
        <v xml:space="preserve">DISP014, </v>
      </c>
      <c r="E17" s="342" t="e">
        <f>VLOOKUP(A17,'Diags Raw Data'!$A$6:$D$3821,4,FALSE)</f>
        <v>#N/A</v>
      </c>
      <c r="F17" s="342" t="str">
        <f>VLOOKUP(A17,'Feature Raw Data'!$A$3:$E$3998,5,FALSE)</f>
        <v>Legacy</v>
      </c>
      <c r="G17" s="342" t="str">
        <f t="shared" si="0"/>
        <v>Yes</v>
      </c>
      <c r="H17" s="342" t="str">
        <f t="shared" si="1"/>
        <v>Yes</v>
      </c>
      <c r="I17" s="444">
        <f>SUMIF('Diags Raw Data'!$A$6:$A$3821,"*"&amp;$A17&amp;"*",'Diags Raw Data'!$K$6:$K$3821)</f>
        <v>1</v>
      </c>
      <c r="J17" s="446">
        <f>SUMIF('Diags Raw Data'!$A$6:$A$3821,"*"&amp;$A17&amp;"*",'Diags Raw Data'!$L$6:$L$3821)</f>
        <v>1</v>
      </c>
      <c r="K17" s="491" cm="1">
        <f t="array" ref="K17">IF(D17="",0, SUMPRODUCT(--(ISNUMBER(SEARCH($A17,'Diags Raw Data'!$A$6:$A$3821))),'Diags Raw Data'!$L$6:$L$3821,'Diags Raw Data'!$N$6:$N$3821)/J17)</f>
        <v>1</v>
      </c>
      <c r="L17" s="492" cm="1">
        <f t="array" ref="L17">IF(D17="",0, SUMPRODUCT(--(ISNUMBER(SEARCH($A17,'Diags Raw Data'!$A$6:$A$3821))),'Diags Raw Data'!$L$6:$L$3821,'Diags Raw Data'!$P$6:$P$3821)/J17)</f>
        <v>1</v>
      </c>
      <c r="M17" s="493" cm="1">
        <f t="array" ref="M17">SUMPRODUCT(--(ISNUMBER(SEARCH($A17,'Diags Raw Data'!$A$6:$A$3821))),--('Diags Raw Data'!$Q$6:$Q$3821&lt;&gt;"N/A"),'Diags Raw Data'!$R$6:$R$3821)</f>
        <v>1</v>
      </c>
      <c r="N17" s="494" cm="1">
        <f t="array" ref="N17">SUMPRODUCT(--(ISNUMBER(SEARCH($A17,'Diags Raw Data'!$A$6:$A$3821))),--('Diags Raw Data'!$Q$6:$Q$3821&lt;&gt;"N/A"),'Diags Raw Data'!$T$6:$T$3821)+SUMPRODUCT(--(ISNUMBER(SEARCH($A17,'Diags Raw Data'!$A$6:$A$3821))),--('Diags Raw Data'!$Q$6:$Q$3821&lt;&gt;"N/A"),'Diags Raw Data'!$U$6:$U$3821)</f>
        <v>0</v>
      </c>
      <c r="O17" s="495">
        <f t="shared" si="2"/>
        <v>0</v>
      </c>
      <c r="P17" s="496">
        <f>SUMIF('Diags Raw Data'!$A$6:$A$3821,"*"&amp;$A17&amp;"*",'Diags Raw Data'!$Z$6:$Z$3821)</f>
        <v>0</v>
      </c>
      <c r="Q17" s="497">
        <f>SUM(SUMIF('Diags Raw Data'!$A$6:$A$3821,"*"&amp;$A17&amp;"*",'Diags Raw Data'!$AA$6:$AA$3821),SUMIF('Diags Raw Data'!$A$6:$A$3821,"*"&amp;$A17&amp;"*",'Diags Raw Data'!$AB$6:$AB$3821))</f>
        <v>0</v>
      </c>
      <c r="R17" s="498">
        <f t="shared" si="3"/>
        <v>0</v>
      </c>
      <c r="S17" s="498">
        <f t="shared" si="4"/>
        <v>0</v>
      </c>
      <c r="T17" s="499">
        <f t="shared" si="5"/>
        <v>0</v>
      </c>
      <c r="U17" s="447" t="s">
        <v>47</v>
      </c>
      <c r="V17" s="182"/>
    </row>
    <row r="18" spans="1:22" x14ac:dyDescent="0.25">
      <c r="A18" s="337" t="s">
        <v>712</v>
      </c>
      <c r="B18" s="443" t="s">
        <v>955</v>
      </c>
      <c r="C18" s="444" t="s">
        <v>280</v>
      </c>
      <c r="D18" s="445" t="str" cm="1">
        <f t="array" ref="D18">_xlfn.TEXTJOIN("",TRUE,IF(ISNUMBER(SEARCH($A18,'Diags Raw Data'!$A$6:$A$3821)),CONCATENATE('Diags Raw Data'!$H$6:$H$3821,", "),""))</f>
        <v xml:space="preserve">DIO359, </v>
      </c>
      <c r="E18" s="342" t="str">
        <f>VLOOKUP(A18,'Diags Raw Data'!$A$6:$D$3821,4,FALSE)</f>
        <v>DIO</v>
      </c>
      <c r="F18" s="342" t="str">
        <f>VLOOKUP(A18,'Feature Raw Data'!$A$3:$E$3998,5,FALSE)</f>
        <v>Legacy</v>
      </c>
      <c r="G18" s="342" t="str">
        <f t="shared" si="0"/>
        <v>Yes</v>
      </c>
      <c r="H18" s="342" t="str">
        <f t="shared" si="1"/>
        <v>Yes</v>
      </c>
      <c r="I18" s="444">
        <f>SUMIF('Diags Raw Data'!$A$6:$A$3821,"*"&amp;$A18&amp;"*",'Diags Raw Data'!$K$6:$K$3821)</f>
        <v>1</v>
      </c>
      <c r="J18" s="446">
        <f>SUMIF('Diags Raw Data'!$A$6:$A$3821,"*"&amp;$A18&amp;"*",'Diags Raw Data'!$L$6:$L$3821)</f>
        <v>1</v>
      </c>
      <c r="K18" s="491" cm="1">
        <f t="array" ref="K18">IF(D18="",0, SUMPRODUCT(--(ISNUMBER(SEARCH($A18,'Diags Raw Data'!$A$6:$A$3821))),'Diags Raw Data'!$L$6:$L$3821,'Diags Raw Data'!$N$6:$N$3821)/J18)</f>
        <v>1</v>
      </c>
      <c r="L18" s="492" cm="1">
        <f t="array" ref="L18">IF(D18="",0, SUMPRODUCT(--(ISNUMBER(SEARCH($A18,'Diags Raw Data'!$A$6:$A$3821))),'Diags Raw Data'!$L$6:$L$3821,'Diags Raw Data'!$P$6:$P$3821)/J18)</f>
        <v>1</v>
      </c>
      <c r="M18" s="493" cm="1">
        <f t="array" ref="M18">SUMPRODUCT(--(ISNUMBER(SEARCH($A18,'Diags Raw Data'!$A$6:$A$3821))),--('Diags Raw Data'!$Q$6:$Q$3821&lt;&gt;"N/A"),'Diags Raw Data'!$R$6:$R$3821)</f>
        <v>1</v>
      </c>
      <c r="N18" s="494" cm="1">
        <f t="array" ref="N18">SUMPRODUCT(--(ISNUMBER(SEARCH($A18,'Diags Raw Data'!$A$6:$A$3821))),--('Diags Raw Data'!$Q$6:$Q$3821&lt;&gt;"N/A"),'Diags Raw Data'!$T$6:$T$3821)+SUMPRODUCT(--(ISNUMBER(SEARCH($A18,'Diags Raw Data'!$A$6:$A$3821))),--('Diags Raw Data'!$Q$6:$Q$3821&lt;&gt;"N/A"),'Diags Raw Data'!$U$6:$U$3821)</f>
        <v>0</v>
      </c>
      <c r="O18" s="495">
        <f t="shared" si="2"/>
        <v>0</v>
      </c>
      <c r="P18" s="496">
        <v>0</v>
      </c>
      <c r="Q18" s="497">
        <f>SUM(SUMIF('Diags Raw Data'!$A$6:$A$3821,"*"&amp;$A18&amp;"*",'Diags Raw Data'!$AA$6:$AA$3821),SUMIF('Diags Raw Data'!$A$6:$A$3821,"*"&amp;$A18&amp;"*",'Diags Raw Data'!$AB$6:$AB$3821))</f>
        <v>0</v>
      </c>
      <c r="R18" s="498">
        <f t="shared" si="3"/>
        <v>0</v>
      </c>
      <c r="S18" s="498">
        <f t="shared" si="4"/>
        <v>0</v>
      </c>
      <c r="T18" s="499">
        <f t="shared" si="5"/>
        <v>0</v>
      </c>
      <c r="U18" s="447" t="s">
        <v>956</v>
      </c>
      <c r="V18" s="182"/>
    </row>
    <row r="19" spans="1:22" ht="45" x14ac:dyDescent="0.25">
      <c r="A19" s="337" t="s">
        <v>359</v>
      </c>
      <c r="B19" s="443" t="s">
        <v>957</v>
      </c>
      <c r="C19" s="444" t="s">
        <v>280</v>
      </c>
      <c r="D19" s="445" t="str" cm="1">
        <f t="array" ref="D19">_xlfn.TEXTJOIN("",TRUE,IF(ISNUMBER(SEARCH($A19,'Diags Raw Data'!$A$6:$A$3821)),CONCATENATE('Diags Raw Data'!$H$6:$H$3821,", "),""))</f>
        <v xml:space="preserve">DCHB002, DCHB005, DCHB021, DCHB022, DPP029, DIO222, DIO359, </v>
      </c>
      <c r="E19" s="342" t="str">
        <f>VLOOKUP(A19,'Diags Raw Data'!$A$6:$D$3821,4,FALSE)</f>
        <v>DCHB</v>
      </c>
      <c r="F19" s="342" t="str">
        <f>VLOOKUP(A19,'Feature Raw Data'!$A$3:$E$3998,5,FALSE)</f>
        <v>Legacy</v>
      </c>
      <c r="G19" s="342" t="str">
        <f t="shared" si="0"/>
        <v>Yes</v>
      </c>
      <c r="H19" s="342" t="str">
        <f t="shared" si="1"/>
        <v>Yes</v>
      </c>
      <c r="I19" s="444">
        <f>SUMIF('Diags Raw Data'!$A$6:$A$3821,"*"&amp;$A19&amp;"*",'Diags Raw Data'!$K$6:$K$3821)</f>
        <v>7</v>
      </c>
      <c r="J19" s="446">
        <f>SUMIF('Diags Raw Data'!$A$6:$A$3821,"*"&amp;$A19&amp;"*",'Diags Raw Data'!$L$6:$L$3821)</f>
        <v>169</v>
      </c>
      <c r="K19" s="491" cm="1">
        <f t="array" ref="K19">IF(D19="",0, SUMPRODUCT(--(ISNUMBER(SEARCH($A19,'Diags Raw Data'!$A$6:$A$3821))),'Diags Raw Data'!$L$6:$L$3821,'Diags Raw Data'!$N$6:$N$3821)/J19)</f>
        <v>1</v>
      </c>
      <c r="L19" s="492" cm="1">
        <f t="array" ref="L19">IF(D19="",0, SUMPRODUCT(--(ISNUMBER(SEARCH($A19,'Diags Raw Data'!$A$6:$A$3821))),'Diags Raw Data'!$L$6:$L$3821,'Diags Raw Data'!$P$6:$P$3821)/J19)</f>
        <v>1</v>
      </c>
      <c r="M19" s="493" cm="1">
        <f t="array" ref="M19">SUMPRODUCT(--(ISNUMBER(SEARCH($A19,'Diags Raw Data'!$A$6:$A$3821))),--('Diags Raw Data'!$Q$6:$Q$3821&lt;&gt;"N/A"),'Diags Raw Data'!$R$6:$R$3821)</f>
        <v>169</v>
      </c>
      <c r="N19" s="494" cm="1">
        <f t="array" ref="N19">SUMPRODUCT(--(ISNUMBER(SEARCH($A19,'Diags Raw Data'!$A$6:$A$3821))),--('Diags Raw Data'!$Q$6:$Q$3821&lt;&gt;"N/A"),'Diags Raw Data'!$T$6:$T$3821)+SUMPRODUCT(--(ISNUMBER(SEARCH($A19,'Diags Raw Data'!$A$6:$A$3821))),--('Diags Raw Data'!$Q$6:$Q$3821&lt;&gt;"N/A"),'Diags Raw Data'!$U$6:$U$3821)</f>
        <v>0</v>
      </c>
      <c r="O19" s="495">
        <f t="shared" si="2"/>
        <v>0</v>
      </c>
      <c r="P19" s="496">
        <v>0</v>
      </c>
      <c r="Q19" s="497">
        <f>SUM(SUMIF('Diags Raw Data'!$A$6:$A$3821,"*"&amp;$A19&amp;"*",'Diags Raw Data'!$AA$6:$AA$3821),SUMIF('Diags Raw Data'!$A$6:$A$3821,"*"&amp;$A19&amp;"*",'Diags Raw Data'!$AB$6:$AB$3821))</f>
        <v>0</v>
      </c>
      <c r="R19" s="498">
        <f t="shared" si="3"/>
        <v>0</v>
      </c>
      <c r="S19" s="498">
        <f t="shared" si="4"/>
        <v>0</v>
      </c>
      <c r="T19" s="499">
        <f t="shared" si="5"/>
        <v>0</v>
      </c>
      <c r="U19" s="447" t="s">
        <v>956</v>
      </c>
      <c r="V19" s="182"/>
    </row>
    <row r="20" spans="1:22" ht="60" x14ac:dyDescent="0.25">
      <c r="A20" s="337" t="s">
        <v>363</v>
      </c>
      <c r="B20" s="443" t="s">
        <v>958</v>
      </c>
      <c r="C20" s="444" t="s">
        <v>280</v>
      </c>
      <c r="D20" s="445" t="str" cm="1">
        <f t="array" ref="D20">_xlfn.TEXTJOIN("",TRUE,IF(ISNUMBER(SEARCH($A20,'Diags Raw Data'!$A$6:$A$3821)),CONCATENATE('Diags Raw Data'!$H$6:$H$3821,", "),""))</f>
        <v xml:space="preserve">DCHB002, DCHB005, DCHB021, DCHB040, DCHB060, DCHB061, DPP029, DIO222, DIO359, </v>
      </c>
      <c r="E20" s="342" t="str">
        <f>VLOOKUP(A20,'Diags Raw Data'!$A$6:$D$3821,4,FALSE)</f>
        <v>DCHB</v>
      </c>
      <c r="F20" s="342" t="str">
        <f>VLOOKUP(A20,'Feature Raw Data'!$A$3:$E$3998,5,FALSE)</f>
        <v>Legacy</v>
      </c>
      <c r="G20" s="342" t="str">
        <f t="shared" si="0"/>
        <v>Yes</v>
      </c>
      <c r="H20" s="342" t="str">
        <f t="shared" si="1"/>
        <v>Yes</v>
      </c>
      <c r="I20" s="444">
        <f>SUMIF('Diags Raw Data'!$A$6:$A$3821,"*"&amp;$A20&amp;"*",'Diags Raw Data'!$K$6:$K$3821)</f>
        <v>23</v>
      </c>
      <c r="J20" s="446">
        <f>SUMIF('Diags Raw Data'!$A$6:$A$3821,"*"&amp;$A20&amp;"*",'Diags Raw Data'!$L$6:$L$3821)</f>
        <v>148</v>
      </c>
      <c r="K20" s="491" cm="1">
        <f t="array" ref="K20">IF(D20="",0, SUMPRODUCT(--(ISNUMBER(SEARCH($A20,'Diags Raw Data'!$A$6:$A$3821))),'Diags Raw Data'!$L$6:$L$3821,'Diags Raw Data'!$N$6:$N$3821)/J20)</f>
        <v>1</v>
      </c>
      <c r="L20" s="492" cm="1">
        <f t="array" ref="L20">IF(D20="",0, SUMPRODUCT(--(ISNUMBER(SEARCH($A20,'Diags Raw Data'!$A$6:$A$3821))),'Diags Raw Data'!$L$6:$L$3821,'Diags Raw Data'!$P$6:$P$3821)/J20)</f>
        <v>1</v>
      </c>
      <c r="M20" s="493" cm="1">
        <f t="array" ref="M20">SUMPRODUCT(--(ISNUMBER(SEARCH($A20,'Diags Raw Data'!$A$6:$A$3821))),--('Diags Raw Data'!$Q$6:$Q$3821&lt;&gt;"N/A"),'Diags Raw Data'!$R$6:$R$3821)</f>
        <v>148</v>
      </c>
      <c r="N20" s="494" cm="1">
        <f t="array" ref="N20">SUMPRODUCT(--(ISNUMBER(SEARCH($A20,'Diags Raw Data'!$A$6:$A$3821))),--('Diags Raw Data'!$Q$6:$Q$3821&lt;&gt;"N/A"),'Diags Raw Data'!$T$6:$T$3821)+SUMPRODUCT(--(ISNUMBER(SEARCH($A20,'Diags Raw Data'!$A$6:$A$3821))),--('Diags Raw Data'!$Q$6:$Q$3821&lt;&gt;"N/A"),'Diags Raw Data'!$U$6:$U$3821)</f>
        <v>0</v>
      </c>
      <c r="O20" s="495">
        <f t="shared" si="2"/>
        <v>0</v>
      </c>
      <c r="P20" s="496">
        <v>0</v>
      </c>
      <c r="Q20" s="497">
        <f>SUM(SUMIF('Diags Raw Data'!$A$6:$A$3821,"*"&amp;$A20&amp;"*",'Diags Raw Data'!$AA$6:$AA$3821),SUMIF('Diags Raw Data'!$A$6:$A$3821,"*"&amp;$A20&amp;"*",'Diags Raw Data'!$AB$6:$AB$3821))</f>
        <v>0</v>
      </c>
      <c r="R20" s="498">
        <f t="shared" si="3"/>
        <v>0</v>
      </c>
      <c r="S20" s="498">
        <f t="shared" si="4"/>
        <v>0</v>
      </c>
      <c r="T20" s="499">
        <f t="shared" si="5"/>
        <v>0</v>
      </c>
      <c r="U20" s="447" t="s">
        <v>956</v>
      </c>
      <c r="V20" s="182"/>
    </row>
    <row r="21" spans="1:22" x14ac:dyDescent="0.25">
      <c r="A21" s="337" t="s">
        <v>959</v>
      </c>
      <c r="B21" s="443" t="s">
        <v>960</v>
      </c>
      <c r="C21" s="444" t="s">
        <v>280</v>
      </c>
      <c r="D21" s="445" t="str" cm="1">
        <f t="array" ref="D21">_xlfn.TEXTJOIN("",TRUE,IF(ISNUMBER(SEARCH($A21,'Diags Raw Data'!$A$6:$A$3821)),CONCATENATE('Diags Raw Data'!$H$6:$H$3821,", "),""))</f>
        <v xml:space="preserve">DCHB004, DCHB007, </v>
      </c>
      <c r="E21" s="342" t="e">
        <f>VLOOKUP(A21,'Diags Raw Data'!$A$6:$D$3821,4,FALSE)</f>
        <v>#N/A</v>
      </c>
      <c r="F21" s="342" t="str">
        <f>VLOOKUP(A21,'Feature Raw Data'!$A$3:$E$3998,5,FALSE)</f>
        <v>Legacy</v>
      </c>
      <c r="G21" s="342" t="str">
        <f t="shared" si="0"/>
        <v>Yes</v>
      </c>
      <c r="H21" s="342" t="str">
        <f t="shared" si="1"/>
        <v>Yes</v>
      </c>
      <c r="I21" s="444">
        <f>SUMIF('Diags Raw Data'!$A$6:$A$3821,"*"&amp;$A21&amp;"*",'Diags Raw Data'!$K$6:$K$3821)</f>
        <v>2</v>
      </c>
      <c r="J21" s="446">
        <f>SUMIF('Diags Raw Data'!$A$6:$A$3821,"*"&amp;$A21&amp;"*",'Diags Raw Data'!$L$6:$L$3821)</f>
        <v>26</v>
      </c>
      <c r="K21" s="491" cm="1">
        <f t="array" ref="K21">IF(D21="",0, SUMPRODUCT(--(ISNUMBER(SEARCH($A21,'Diags Raw Data'!$A$6:$A$3821))),'Diags Raw Data'!$L$6:$L$3821,'Diags Raw Data'!$N$6:$N$3821)/J21)</f>
        <v>1</v>
      </c>
      <c r="L21" s="492" cm="1">
        <f t="array" ref="L21">IF(D21="",0, SUMPRODUCT(--(ISNUMBER(SEARCH($A21,'Diags Raw Data'!$A$6:$A$3821))),'Diags Raw Data'!$L$6:$L$3821,'Diags Raw Data'!$P$6:$P$3821)/J21)</f>
        <v>1</v>
      </c>
      <c r="M21" s="493" cm="1">
        <f t="array" ref="M21">SUMPRODUCT(--(ISNUMBER(SEARCH($A21,'Diags Raw Data'!$A$6:$A$3821))),--('Diags Raw Data'!$Q$6:$Q$3821&lt;&gt;"N/A"),'Diags Raw Data'!$R$6:$R$3821)</f>
        <v>35</v>
      </c>
      <c r="N21" s="494" cm="1">
        <f t="array" ref="N21">SUMPRODUCT(--(ISNUMBER(SEARCH($A21,'Diags Raw Data'!$A$6:$A$3821))),--('Diags Raw Data'!$Q$6:$Q$3821&lt;&gt;"N/A"),'Diags Raw Data'!$T$6:$T$3821)+SUMPRODUCT(--(ISNUMBER(SEARCH($A21,'Diags Raw Data'!$A$6:$A$3821))),--('Diags Raw Data'!$Q$6:$Q$3821&lt;&gt;"N/A"),'Diags Raw Data'!$U$6:$U$3821)</f>
        <v>0</v>
      </c>
      <c r="O21" s="495">
        <f t="shared" si="2"/>
        <v>0</v>
      </c>
      <c r="P21" s="496">
        <f>SUMIF('Diags Raw Data'!$A$6:$A$3821,"*"&amp;$A21&amp;"*",'Diags Raw Data'!$Z$6:$Z$3821)</f>
        <v>0</v>
      </c>
      <c r="Q21" s="497">
        <f>SUM(SUMIF('Diags Raw Data'!$A$6:$A$3821,"*"&amp;$A21&amp;"*",'Diags Raw Data'!$AA$6:$AA$3821),SUMIF('Diags Raw Data'!$A$6:$A$3821,"*"&amp;$A21&amp;"*",'Diags Raw Data'!$AB$6:$AB$3821))</f>
        <v>0</v>
      </c>
      <c r="R21" s="498">
        <f t="shared" si="3"/>
        <v>0</v>
      </c>
      <c r="S21" s="498">
        <f t="shared" si="4"/>
        <v>0</v>
      </c>
      <c r="T21" s="499">
        <f t="shared" si="5"/>
        <v>0</v>
      </c>
      <c r="U21" s="447" t="s">
        <v>961</v>
      </c>
      <c r="V21" s="182"/>
    </row>
    <row r="22" spans="1:22" ht="30" x14ac:dyDescent="0.25">
      <c r="A22" s="337" t="s">
        <v>962</v>
      </c>
      <c r="B22" s="443" t="s">
        <v>963</v>
      </c>
      <c r="C22" s="444" t="s">
        <v>280</v>
      </c>
      <c r="D22" s="445" t="str" cm="1">
        <f t="array" ref="D22">_xlfn.TEXTJOIN("",TRUE,IF(ISNUMBER(SEARCH($A22,'Diags Raw Data'!$A$6:$A$3821)),CONCATENATE('Diags Raw Data'!$H$6:$H$3821,", "),""))</f>
        <v xml:space="preserve">DCHB005, DCHB006, DCHB008, DCHB021, </v>
      </c>
      <c r="E22" s="342" t="e">
        <f>VLOOKUP(A22,'Diags Raw Data'!$A$6:$D$3821,4,FALSE)</f>
        <v>#N/A</v>
      </c>
      <c r="F22" s="342" t="str">
        <f>VLOOKUP(A22,'Feature Raw Data'!$A$3:$E$3998,5,FALSE)</f>
        <v>Legacy</v>
      </c>
      <c r="G22" s="342" t="str">
        <f t="shared" si="0"/>
        <v>Yes</v>
      </c>
      <c r="H22" s="342" t="str">
        <f t="shared" si="1"/>
        <v>Yes</v>
      </c>
      <c r="I22" s="444">
        <f>SUMIF('Diags Raw Data'!$A$6:$A$3821,"*"&amp;$A22&amp;"*",'Diags Raw Data'!$K$6:$K$3821)</f>
        <v>4</v>
      </c>
      <c r="J22" s="446">
        <f>SUMIF('Diags Raw Data'!$A$6:$A$3821,"*"&amp;$A22&amp;"*",'Diags Raw Data'!$L$6:$L$3821)</f>
        <v>29</v>
      </c>
      <c r="K22" s="491" cm="1">
        <f t="array" ref="K22">IF(D22="",0, SUMPRODUCT(--(ISNUMBER(SEARCH($A22,'Diags Raw Data'!$A$6:$A$3821))),'Diags Raw Data'!$L$6:$L$3821,'Diags Raw Data'!$N$6:$N$3821)/J22)</f>
        <v>1</v>
      </c>
      <c r="L22" s="492" cm="1">
        <f t="array" ref="L22">IF(D22="",0, SUMPRODUCT(--(ISNUMBER(SEARCH($A22,'Diags Raw Data'!$A$6:$A$3821))),'Diags Raw Data'!$L$6:$L$3821,'Diags Raw Data'!$P$6:$P$3821)/J22)</f>
        <v>1</v>
      </c>
      <c r="M22" s="493" cm="1">
        <f t="array" ref="M22">SUMPRODUCT(--(ISNUMBER(SEARCH($A22,'Diags Raw Data'!$A$6:$A$3821))),--('Diags Raw Data'!$Q$6:$Q$3821&lt;&gt;"N/A"),'Diags Raw Data'!$R$6:$R$3821)</f>
        <v>29</v>
      </c>
      <c r="N22" s="494" cm="1">
        <f t="array" ref="N22">SUMPRODUCT(--(ISNUMBER(SEARCH($A22,'Diags Raw Data'!$A$6:$A$3821))),--('Diags Raw Data'!$Q$6:$Q$3821&lt;&gt;"N/A"),'Diags Raw Data'!$T$6:$T$3821)+SUMPRODUCT(--(ISNUMBER(SEARCH($A22,'Diags Raw Data'!$A$6:$A$3821))),--('Diags Raw Data'!$Q$6:$Q$3821&lt;&gt;"N/A"),'Diags Raw Data'!$U$6:$U$3821)</f>
        <v>0</v>
      </c>
      <c r="O22" s="495">
        <f t="shared" si="2"/>
        <v>0</v>
      </c>
      <c r="P22" s="496">
        <f>SUMIF('Diags Raw Data'!$A$6:$A$3821,"*"&amp;$A22&amp;"*",'Diags Raw Data'!$Z$6:$Z$3821)</f>
        <v>0</v>
      </c>
      <c r="Q22" s="497">
        <f>SUM(SUMIF('Diags Raw Data'!$A$6:$A$3821,"*"&amp;$A22&amp;"*",'Diags Raw Data'!$AA$6:$AA$3821),SUMIF('Diags Raw Data'!$A$6:$A$3821,"*"&amp;$A22&amp;"*",'Diags Raw Data'!$AB$6:$AB$3821))</f>
        <v>0</v>
      </c>
      <c r="R22" s="498">
        <f t="shared" si="3"/>
        <v>0</v>
      </c>
      <c r="S22" s="498">
        <f t="shared" si="4"/>
        <v>0</v>
      </c>
      <c r="T22" s="499">
        <f t="shared" si="5"/>
        <v>0</v>
      </c>
      <c r="U22" s="447" t="s">
        <v>964</v>
      </c>
      <c r="V22" s="182"/>
    </row>
    <row r="23" spans="1:22" x14ac:dyDescent="0.25">
      <c r="A23" s="337" t="s">
        <v>965</v>
      </c>
      <c r="B23" s="443" t="s">
        <v>966</v>
      </c>
      <c r="C23" s="444" t="s">
        <v>280</v>
      </c>
      <c r="D23" s="445" t="str" cm="1">
        <f t="array" ref="D23">_xlfn.TEXTJOIN("",TRUE,IF(ISNUMBER(SEARCH($A23,'Diags Raw Data'!$A$6:$A$3821)),CONCATENATE('Diags Raw Data'!$H$6:$H$3821,", "),""))</f>
        <v xml:space="preserve">DCHB008, </v>
      </c>
      <c r="E23" s="342" t="e">
        <f>VLOOKUP(A23,'Diags Raw Data'!$A$6:$D$3821,4,FALSE)</f>
        <v>#N/A</v>
      </c>
      <c r="F23" s="342" t="str">
        <f>VLOOKUP(A23,'Feature Raw Data'!$A$3:$E$3998,5,FALSE)</f>
        <v>Legacy</v>
      </c>
      <c r="G23" s="342" t="str">
        <f t="shared" si="0"/>
        <v>Yes</v>
      </c>
      <c r="H23" s="342" t="str">
        <f t="shared" si="1"/>
        <v>Yes</v>
      </c>
      <c r="I23" s="444">
        <f>SUMIF('Diags Raw Data'!$A$6:$A$3821,"*"&amp;$A23&amp;"*",'Diags Raw Data'!$K$6:$K$3821)</f>
        <v>1</v>
      </c>
      <c r="J23" s="446">
        <f>SUMIF('Diags Raw Data'!$A$6:$A$3821,"*"&amp;$A23&amp;"*",'Diags Raw Data'!$L$6:$L$3821)</f>
        <v>2</v>
      </c>
      <c r="K23" s="491" cm="1">
        <f t="array" ref="K23">IF(D23="",0, SUMPRODUCT(--(ISNUMBER(SEARCH($A23,'Diags Raw Data'!$A$6:$A$3821))),'Diags Raw Data'!$L$6:$L$3821,'Diags Raw Data'!$N$6:$N$3821)/J23)</f>
        <v>1</v>
      </c>
      <c r="L23" s="492" cm="1">
        <f t="array" ref="L23">IF(D23="",0, SUMPRODUCT(--(ISNUMBER(SEARCH($A23,'Diags Raw Data'!$A$6:$A$3821))),'Diags Raw Data'!$L$6:$L$3821,'Diags Raw Data'!$P$6:$P$3821)/J23)</f>
        <v>1</v>
      </c>
      <c r="M23" s="493" cm="1">
        <f t="array" ref="M23">SUMPRODUCT(--(ISNUMBER(SEARCH($A23,'Diags Raw Data'!$A$6:$A$3821))),--('Diags Raw Data'!$Q$6:$Q$3821&lt;&gt;"N/A"),'Diags Raw Data'!$R$6:$R$3821)</f>
        <v>2</v>
      </c>
      <c r="N23" s="494" cm="1">
        <f t="array" ref="N23">SUMPRODUCT(--(ISNUMBER(SEARCH($A23,'Diags Raw Data'!$A$6:$A$3821))),--('Diags Raw Data'!$Q$6:$Q$3821&lt;&gt;"N/A"),'Diags Raw Data'!$T$6:$T$3821)+SUMPRODUCT(--(ISNUMBER(SEARCH($A23,'Diags Raw Data'!$A$6:$A$3821))),--('Diags Raw Data'!$Q$6:$Q$3821&lt;&gt;"N/A"),'Diags Raw Data'!$U$6:$U$3821)</f>
        <v>0</v>
      </c>
      <c r="O23" s="495">
        <f t="shared" si="2"/>
        <v>0</v>
      </c>
      <c r="P23" s="496">
        <f>SUMIF('Diags Raw Data'!$A$6:$A$3821,"*"&amp;$A23&amp;"*",'Diags Raw Data'!$Z$6:$Z$3821)</f>
        <v>0</v>
      </c>
      <c r="Q23" s="497">
        <f>SUM(SUMIF('Diags Raw Data'!$A$6:$A$3821,"*"&amp;$A23&amp;"*",'Diags Raw Data'!$AA$6:$AA$3821),SUMIF('Diags Raw Data'!$A$6:$A$3821,"*"&amp;$A23&amp;"*",'Diags Raw Data'!$AB$6:$AB$3821))</f>
        <v>0</v>
      </c>
      <c r="R23" s="498">
        <f t="shared" si="3"/>
        <v>0</v>
      </c>
      <c r="S23" s="498">
        <f t="shared" si="4"/>
        <v>0</v>
      </c>
      <c r="T23" s="499">
        <f t="shared" si="5"/>
        <v>0</v>
      </c>
      <c r="U23" s="447" t="s">
        <v>964</v>
      </c>
      <c r="V23" s="182"/>
    </row>
    <row r="24" spans="1:22" ht="30" x14ac:dyDescent="0.25">
      <c r="A24" s="337" t="s">
        <v>332</v>
      </c>
      <c r="B24" s="443" t="s">
        <v>967</v>
      </c>
      <c r="C24" s="444" t="s">
        <v>280</v>
      </c>
      <c r="D24" s="445" t="str" cm="1">
        <f t="array" ref="D24">_xlfn.TEXTJOIN("",TRUE,IF(ISNUMBER(SEARCH($A24,'Diags Raw Data'!$A$6:$A$3821)),CONCATENATE('Diags Raw Data'!$H$6:$H$3821,", "),""))</f>
        <v xml:space="preserve">DCHB007, DCHB010, DCHB033, </v>
      </c>
      <c r="E24" s="342" t="str">
        <f>VLOOKUP(A24,'Diags Raw Data'!$A$6:$D$3821,4,FALSE)</f>
        <v>DCHB</v>
      </c>
      <c r="F24" s="342" t="str">
        <f>VLOOKUP(A24,'Feature Raw Data'!$A$3:$E$3998,5,FALSE)</f>
        <v>Legacy</v>
      </c>
      <c r="G24" s="342" t="str">
        <f t="shared" si="0"/>
        <v>Yes</v>
      </c>
      <c r="H24" s="342" t="str">
        <f t="shared" si="1"/>
        <v>Yes</v>
      </c>
      <c r="I24" s="444">
        <f>SUMIF('Diags Raw Data'!$A$6:$A$3821,"*"&amp;$A24&amp;"*",'Diags Raw Data'!$K$6:$K$3821)</f>
        <v>3</v>
      </c>
      <c r="J24" s="446">
        <f>SUMIF('Diags Raw Data'!$A$6:$A$3821,"*"&amp;$A24&amp;"*",'Diags Raw Data'!$L$6:$L$3821)</f>
        <v>13</v>
      </c>
      <c r="K24" s="491" cm="1">
        <f t="array" ref="K24">IF(D24="",0, SUMPRODUCT(--(ISNUMBER(SEARCH($A24,'Diags Raw Data'!$A$6:$A$3821))),'Diags Raw Data'!$L$6:$L$3821,'Diags Raw Data'!$N$6:$N$3821)/J24)</f>
        <v>1</v>
      </c>
      <c r="L24" s="492" cm="1">
        <f t="array" ref="L24">IF(D24="",0, SUMPRODUCT(--(ISNUMBER(SEARCH($A24,'Diags Raw Data'!$A$6:$A$3821))),'Diags Raw Data'!$L$6:$L$3821,'Diags Raw Data'!$P$6:$P$3821)/J24)</f>
        <v>1</v>
      </c>
      <c r="M24" s="493" cm="1">
        <f t="array" ref="M24">SUMPRODUCT(--(ISNUMBER(SEARCH($A24,'Diags Raw Data'!$A$6:$A$3821))),--('Diags Raw Data'!$Q$6:$Q$3821&lt;&gt;"N/A"),'Diags Raw Data'!$R$6:$R$3821)</f>
        <v>13</v>
      </c>
      <c r="N24" s="494" cm="1">
        <f t="array" ref="N24">SUMPRODUCT(--(ISNUMBER(SEARCH($A24,'Diags Raw Data'!$A$6:$A$3821))),--('Diags Raw Data'!$Q$6:$Q$3821&lt;&gt;"N/A"),'Diags Raw Data'!$T$6:$T$3821)+SUMPRODUCT(--(ISNUMBER(SEARCH($A24,'Diags Raw Data'!$A$6:$A$3821))),--('Diags Raw Data'!$Q$6:$Q$3821&lt;&gt;"N/A"),'Diags Raw Data'!$U$6:$U$3821)</f>
        <v>0</v>
      </c>
      <c r="O24" s="495">
        <f>IF((M24=0),0,N24/M24)</f>
        <v>0</v>
      </c>
      <c r="P24" s="496">
        <f>SUMIF('Diags Raw Data'!$A$6:$A$3821,"*"&amp;$A24&amp;"*",'Diags Raw Data'!$Z$6:$Z$3821)</f>
        <v>0</v>
      </c>
      <c r="Q24" s="497">
        <f>SUM(SUMIF('Diags Raw Data'!$A$6:$A$3821,"*"&amp;$A24&amp;"*",'Diags Raw Data'!$AA$6:$AA$3821),SUMIF('Diags Raw Data'!$A$6:$A$3821,"*"&amp;$A24&amp;"*",'Diags Raw Data'!$AB$6:$AB$3821))</f>
        <v>0</v>
      </c>
      <c r="R24" s="498">
        <f>IF((J24=0),0,P24/J24)</f>
        <v>0</v>
      </c>
      <c r="S24" s="498">
        <f>IF((P24=0),0,Q24/P24)</f>
        <v>0</v>
      </c>
      <c r="T24" s="499">
        <f>R24*S24</f>
        <v>0</v>
      </c>
      <c r="U24" s="447" t="s">
        <v>968</v>
      </c>
      <c r="V24" s="182"/>
    </row>
    <row r="25" spans="1:22" x14ac:dyDescent="0.25">
      <c r="A25" s="337" t="s">
        <v>969</v>
      </c>
      <c r="B25" s="443" t="s">
        <v>970</v>
      </c>
      <c r="C25" s="444" t="s">
        <v>280</v>
      </c>
      <c r="D25" s="445" t="str" cm="1">
        <f t="array" ref="D25">_xlfn.TEXTJOIN("",TRUE,IF(ISNUMBER(SEARCH($A25,'Diags Raw Data'!$A$6:$A$3821)),CONCATENATE('Diags Raw Data'!$H$6:$H$3821,", "),""))</f>
        <v xml:space="preserve">DCHB014, </v>
      </c>
      <c r="E25" s="342" t="e">
        <f>VLOOKUP(A25,'Diags Raw Data'!$A$6:$D$3821,4,FALSE)</f>
        <v>#N/A</v>
      </c>
      <c r="F25" s="342" t="str">
        <f>VLOOKUP(A25,'Feature Raw Data'!$A$3:$E$3998,5,FALSE)</f>
        <v>Legacy</v>
      </c>
      <c r="G25" s="342" t="str">
        <f t="shared" si="0"/>
        <v>Yes</v>
      </c>
      <c r="H25" s="342" t="str">
        <f t="shared" si="1"/>
        <v>Yes</v>
      </c>
      <c r="I25" s="444">
        <f>SUMIF('Diags Raw Data'!$A$6:$A$3821,"*"&amp;$A25&amp;"*",'Diags Raw Data'!$K$6:$K$3821)</f>
        <v>1</v>
      </c>
      <c r="J25" s="446">
        <f>SUMIF('Diags Raw Data'!$A$6:$A$3821,"*"&amp;$A25&amp;"*",'Diags Raw Data'!$L$6:$L$3821)</f>
        <v>231</v>
      </c>
      <c r="K25" s="491" cm="1">
        <f t="array" ref="K25">IF(D25="",0, SUMPRODUCT(--(ISNUMBER(SEARCH($A25,'Diags Raw Data'!$A$6:$A$3821))),'Diags Raw Data'!$L$6:$L$3821,'Diags Raw Data'!$N$6:$N$3821)/J25)</f>
        <v>1</v>
      </c>
      <c r="L25" s="492" cm="1">
        <f t="array" ref="L25">IF(D25="",0, SUMPRODUCT(--(ISNUMBER(SEARCH($A25,'Diags Raw Data'!$A$6:$A$3821))),'Diags Raw Data'!$L$6:$L$3821,'Diags Raw Data'!$P$6:$P$3821)/J25)</f>
        <v>1</v>
      </c>
      <c r="M25" s="493" cm="1">
        <f t="array" ref="M25">SUMPRODUCT(--(ISNUMBER(SEARCH($A25,'Diags Raw Data'!$A$6:$A$3821))),--('Diags Raw Data'!$Q$6:$Q$3821&lt;&gt;"N/A"),'Diags Raw Data'!$R$6:$R$3821)</f>
        <v>231</v>
      </c>
      <c r="N25" s="494" cm="1">
        <f t="array" ref="N25">SUMPRODUCT(--(ISNUMBER(SEARCH($A25,'Diags Raw Data'!$A$6:$A$3821))),--('Diags Raw Data'!$Q$6:$Q$3821&lt;&gt;"N/A"),'Diags Raw Data'!$T$6:$T$3821)+SUMPRODUCT(--(ISNUMBER(SEARCH($A25,'Diags Raw Data'!$A$6:$A$3821))),--('Diags Raw Data'!$Q$6:$Q$3821&lt;&gt;"N/A"),'Diags Raw Data'!$U$6:$U$3821)</f>
        <v>0</v>
      </c>
      <c r="O25" s="495">
        <f t="shared" si="2"/>
        <v>0</v>
      </c>
      <c r="P25" s="496">
        <f>SUMIF('Diags Raw Data'!$A$6:$A$3821,"*"&amp;$A25&amp;"*",'Diags Raw Data'!$Z$6:$Z$3821)</f>
        <v>0</v>
      </c>
      <c r="Q25" s="497">
        <f>SUM(SUMIF('Diags Raw Data'!$A$6:$A$3821,"*"&amp;$A25&amp;"*",'Diags Raw Data'!$AA$6:$AA$3821),SUMIF('Diags Raw Data'!$A$6:$A$3821,"*"&amp;$A25&amp;"*",'Diags Raw Data'!$AB$6:$AB$3821))</f>
        <v>0</v>
      </c>
      <c r="R25" s="498">
        <f t="shared" si="3"/>
        <v>0</v>
      </c>
      <c r="S25" s="498">
        <f t="shared" si="4"/>
        <v>0</v>
      </c>
      <c r="T25" s="499">
        <f t="shared" si="5"/>
        <v>0</v>
      </c>
      <c r="U25" s="447" t="s">
        <v>47</v>
      </c>
      <c r="V25" s="182"/>
    </row>
    <row r="26" spans="1:22" x14ac:dyDescent="0.25">
      <c r="A26" s="337" t="s">
        <v>971</v>
      </c>
      <c r="B26" s="443" t="s">
        <v>972</v>
      </c>
      <c r="C26" s="444" t="s">
        <v>280</v>
      </c>
      <c r="D26" s="445" t="str" cm="1">
        <f t="array" ref="D26">_xlfn.TEXTJOIN("",TRUE,IF(ISNUMBER(SEARCH($A26,'Diags Raw Data'!$A$6:$A$3821)),CONCATENATE('Diags Raw Data'!$H$6:$H$3821,", "),""))</f>
        <v xml:space="preserve">DCHB014, </v>
      </c>
      <c r="E26" s="342" t="e">
        <f>VLOOKUP(A26,'Diags Raw Data'!$A$6:$D$3821,4,FALSE)</f>
        <v>#N/A</v>
      </c>
      <c r="F26" s="342" t="str">
        <f>VLOOKUP(A26,'Feature Raw Data'!$A$3:$E$3998,5,FALSE)</f>
        <v>Legacy</v>
      </c>
      <c r="G26" s="342" t="str">
        <f t="shared" si="0"/>
        <v>Yes</v>
      </c>
      <c r="H26" s="342" t="str">
        <f t="shared" si="1"/>
        <v>Yes</v>
      </c>
      <c r="I26" s="444">
        <f>SUMIF('Diags Raw Data'!$A$6:$A$3821,"*"&amp;$A26&amp;"*",'Diags Raw Data'!$K$6:$K$3821)</f>
        <v>1</v>
      </c>
      <c r="J26" s="446">
        <f>SUMIF('Diags Raw Data'!$A$6:$A$3821,"*"&amp;$A26&amp;"*",'Diags Raw Data'!$L$6:$L$3821)</f>
        <v>231</v>
      </c>
      <c r="K26" s="491" cm="1">
        <f t="array" ref="K26">IF(D26="",0, SUMPRODUCT(--(ISNUMBER(SEARCH($A26,'Diags Raw Data'!$A$6:$A$3821))),'Diags Raw Data'!$L$6:$L$3821,'Diags Raw Data'!$N$6:$N$3821)/J26)</f>
        <v>1</v>
      </c>
      <c r="L26" s="492" cm="1">
        <f t="array" ref="L26">IF(D26="",0, SUMPRODUCT(--(ISNUMBER(SEARCH($A26,'Diags Raw Data'!$A$6:$A$3821))),'Diags Raw Data'!$L$6:$L$3821,'Diags Raw Data'!$P$6:$P$3821)/J26)</f>
        <v>1</v>
      </c>
      <c r="M26" s="493" cm="1">
        <f t="array" ref="M26">SUMPRODUCT(--(ISNUMBER(SEARCH($A26,'Diags Raw Data'!$A$6:$A$3821))),--('Diags Raw Data'!$Q$6:$Q$3821&lt;&gt;"N/A"),'Diags Raw Data'!$R$6:$R$3821)</f>
        <v>231</v>
      </c>
      <c r="N26" s="494" cm="1">
        <f t="array" ref="N26">SUMPRODUCT(--(ISNUMBER(SEARCH($A26,'Diags Raw Data'!$A$6:$A$3821))),--('Diags Raw Data'!$Q$6:$Q$3821&lt;&gt;"N/A"),'Diags Raw Data'!$T$6:$T$3821)+SUMPRODUCT(--(ISNUMBER(SEARCH($A26,'Diags Raw Data'!$A$6:$A$3821))),--('Diags Raw Data'!$Q$6:$Q$3821&lt;&gt;"N/A"),'Diags Raw Data'!$U$6:$U$3821)</f>
        <v>0</v>
      </c>
      <c r="O26" s="495">
        <f t="shared" si="2"/>
        <v>0</v>
      </c>
      <c r="P26" s="496">
        <f>SUMIF('Diags Raw Data'!$A$6:$A$3821,"*"&amp;$A26&amp;"*",'Diags Raw Data'!$Z$6:$Z$3821)</f>
        <v>0</v>
      </c>
      <c r="Q26" s="497">
        <f>SUM(SUMIF('Diags Raw Data'!$A$6:$A$3821,"*"&amp;$A26&amp;"*",'Diags Raw Data'!$AA$6:$AA$3821),SUMIF('Diags Raw Data'!$A$6:$A$3821,"*"&amp;$A26&amp;"*",'Diags Raw Data'!$AB$6:$AB$3821))</f>
        <v>0</v>
      </c>
      <c r="R26" s="498">
        <f t="shared" si="3"/>
        <v>0</v>
      </c>
      <c r="S26" s="498">
        <f t="shared" si="4"/>
        <v>0</v>
      </c>
      <c r="T26" s="499">
        <f t="shared" si="5"/>
        <v>0</v>
      </c>
      <c r="U26" s="447" t="s">
        <v>47</v>
      </c>
      <c r="V26" s="182"/>
    </row>
    <row r="27" spans="1:22" x14ac:dyDescent="0.25">
      <c r="A27" s="337" t="s">
        <v>353</v>
      </c>
      <c r="B27" s="443" t="s">
        <v>973</v>
      </c>
      <c r="C27" s="444" t="s">
        <v>280</v>
      </c>
      <c r="D27" s="445" t="str" cm="1">
        <f t="array" ref="D27">_xlfn.TEXTJOIN("",TRUE,IF(ISNUMBER(SEARCH($A27,'Diags Raw Data'!$A$6:$A$3821)),CONCATENATE('Diags Raw Data'!$H$6:$H$3821,", "),""))</f>
        <v xml:space="preserve">DCHB030, DCHB050, </v>
      </c>
      <c r="E27" s="342" t="str">
        <f>VLOOKUP(A27,'Diags Raw Data'!$A$6:$D$3821,4,FALSE)</f>
        <v>DCHB</v>
      </c>
      <c r="F27" s="342" t="str">
        <f>VLOOKUP(A27,'Feature Raw Data'!$A$3:$E$3998,5,FALSE)</f>
        <v>Legacy</v>
      </c>
      <c r="G27" s="342" t="str">
        <f t="shared" si="0"/>
        <v>Yes</v>
      </c>
      <c r="H27" s="342" t="str">
        <f t="shared" si="1"/>
        <v>Yes</v>
      </c>
      <c r="I27" s="444">
        <f>SUMIF('Diags Raw Data'!$A$6:$A$3821,"*"&amp;$A27&amp;"*",'Diags Raw Data'!$K$6:$K$3821)</f>
        <v>2</v>
      </c>
      <c r="J27" s="446">
        <f>SUMIF('Diags Raw Data'!$A$6:$A$3821,"*"&amp;$A27&amp;"*",'Diags Raw Data'!$L$6:$L$3821)</f>
        <v>6</v>
      </c>
      <c r="K27" s="491" cm="1">
        <f t="array" ref="K27">IF(D27="",0, SUMPRODUCT(--(ISNUMBER(SEARCH($A27,'Diags Raw Data'!$A$6:$A$3821))),'Diags Raw Data'!$L$6:$L$3821,'Diags Raw Data'!$N$6:$N$3821)/J27)</f>
        <v>1</v>
      </c>
      <c r="L27" s="492" cm="1">
        <f t="array" ref="L27">IF(D27="",0, SUMPRODUCT(--(ISNUMBER(SEARCH($A27,'Diags Raw Data'!$A$6:$A$3821))),'Diags Raw Data'!$L$6:$L$3821,'Diags Raw Data'!$P$6:$P$3821)/J27)</f>
        <v>1</v>
      </c>
      <c r="M27" s="493" cm="1">
        <f t="array" ref="M27">SUMPRODUCT(--(ISNUMBER(SEARCH($A27,'Diags Raw Data'!$A$6:$A$3821))),--('Diags Raw Data'!$Q$6:$Q$3821&lt;&gt;"N/A"),'Diags Raw Data'!$R$6:$R$3821)</f>
        <v>6</v>
      </c>
      <c r="N27" s="494" cm="1">
        <f t="array" ref="N27">SUMPRODUCT(--(ISNUMBER(SEARCH($A27,'Diags Raw Data'!$A$6:$A$3821))),--('Diags Raw Data'!$Q$6:$Q$3821&lt;&gt;"N/A"),'Diags Raw Data'!$T$6:$T$3821)+SUMPRODUCT(--(ISNUMBER(SEARCH($A27,'Diags Raw Data'!$A$6:$A$3821))),--('Diags Raw Data'!$Q$6:$Q$3821&lt;&gt;"N/A"),'Diags Raw Data'!$U$6:$U$3821)</f>
        <v>0</v>
      </c>
      <c r="O27" s="495">
        <f t="shared" si="2"/>
        <v>0</v>
      </c>
      <c r="P27" s="496">
        <v>0</v>
      </c>
      <c r="Q27" s="497">
        <f>SUM(SUMIF('Diags Raw Data'!$A$6:$A$3821,"*"&amp;$A27&amp;"*",'Diags Raw Data'!$AA$6:$AA$3821),SUMIF('Diags Raw Data'!$A$6:$A$3821,"*"&amp;$A27&amp;"*",'Diags Raw Data'!$AB$6:$AB$3821))</f>
        <v>0</v>
      </c>
      <c r="R27" s="498">
        <f t="shared" si="3"/>
        <v>0</v>
      </c>
      <c r="S27" s="498">
        <f t="shared" si="4"/>
        <v>0</v>
      </c>
      <c r="T27" s="499">
        <f t="shared" si="5"/>
        <v>0</v>
      </c>
      <c r="U27" s="447" t="s">
        <v>961</v>
      </c>
      <c r="V27" s="182"/>
    </row>
    <row r="28" spans="1:22" ht="30" x14ac:dyDescent="0.25">
      <c r="A28" s="337" t="s">
        <v>974</v>
      </c>
      <c r="B28" s="443" t="s">
        <v>975</v>
      </c>
      <c r="C28" s="444" t="s">
        <v>280</v>
      </c>
      <c r="D28" s="445" t="str" cm="1">
        <f t="array" ref="D28">_xlfn.TEXTJOIN("",TRUE,IF(ISNUMBER(SEARCH($A28,'Diags Raw Data'!$A$6:$A$3821)),CONCATENATE('Diags Raw Data'!$H$6:$H$3821,", "),""))</f>
        <v xml:space="preserve">DCHB005, DCHB006, DCHB021, </v>
      </c>
      <c r="E28" s="342" t="e">
        <f>VLOOKUP(A28,'Diags Raw Data'!$A$6:$D$3821,4,FALSE)</f>
        <v>#N/A</v>
      </c>
      <c r="F28" s="342" t="str">
        <f>VLOOKUP(A28,'Feature Raw Data'!$A$3:$E$3998,5,FALSE)</f>
        <v>Legacy</v>
      </c>
      <c r="G28" s="342" t="str">
        <f t="shared" si="0"/>
        <v>Yes</v>
      </c>
      <c r="H28" s="342" t="str">
        <f t="shared" si="1"/>
        <v>Yes</v>
      </c>
      <c r="I28" s="444">
        <f>SUMIF('Diags Raw Data'!$A$6:$A$3821,"*"&amp;$A28&amp;"*",'Diags Raw Data'!$K$6:$K$3821)</f>
        <v>3</v>
      </c>
      <c r="J28" s="446">
        <f>SUMIF('Diags Raw Data'!$A$6:$A$3821,"*"&amp;$A28&amp;"*",'Diags Raw Data'!$L$6:$L$3821)</f>
        <v>27</v>
      </c>
      <c r="K28" s="491" cm="1">
        <f t="array" ref="K28">IF(D28="",0, SUMPRODUCT(--(ISNUMBER(SEARCH($A28,'Diags Raw Data'!$A$6:$A$3821))),'Diags Raw Data'!$L$6:$L$3821,'Diags Raw Data'!$N$6:$N$3821)/J28)</f>
        <v>1</v>
      </c>
      <c r="L28" s="492" cm="1">
        <f t="array" ref="L28">IF(D28="",0, SUMPRODUCT(--(ISNUMBER(SEARCH($A28,'Diags Raw Data'!$A$6:$A$3821))),'Diags Raw Data'!$L$6:$L$3821,'Diags Raw Data'!$P$6:$P$3821)/J28)</f>
        <v>1</v>
      </c>
      <c r="M28" s="493" cm="1">
        <f t="array" ref="M28">SUMPRODUCT(--(ISNUMBER(SEARCH($A28,'Diags Raw Data'!$A$6:$A$3821))),--('Diags Raw Data'!$Q$6:$Q$3821&lt;&gt;"N/A"),'Diags Raw Data'!$R$6:$R$3821)</f>
        <v>27</v>
      </c>
      <c r="N28" s="494" cm="1">
        <f t="array" ref="N28">SUMPRODUCT(--(ISNUMBER(SEARCH($A28,'Diags Raw Data'!$A$6:$A$3821))),--('Diags Raw Data'!$Q$6:$Q$3821&lt;&gt;"N/A"),'Diags Raw Data'!$T$6:$T$3821)+SUMPRODUCT(--(ISNUMBER(SEARCH($A28,'Diags Raw Data'!$A$6:$A$3821))),--('Diags Raw Data'!$Q$6:$Q$3821&lt;&gt;"N/A"),'Diags Raw Data'!$U$6:$U$3821)</f>
        <v>0</v>
      </c>
      <c r="O28" s="495">
        <f t="shared" si="2"/>
        <v>0</v>
      </c>
      <c r="P28" s="496">
        <f>SUMIF('Diags Raw Data'!$A$6:$A$3821,"*"&amp;$A28&amp;"*",'Diags Raw Data'!$Z$6:$Z$3821)</f>
        <v>0</v>
      </c>
      <c r="Q28" s="497">
        <f>SUM(SUMIF('Diags Raw Data'!$A$6:$A$3821,"*"&amp;$A28&amp;"*",'Diags Raw Data'!$AA$6:$AA$3821),SUMIF('Diags Raw Data'!$A$6:$A$3821,"*"&amp;$A28&amp;"*",'Diags Raw Data'!$AB$6:$AB$3821))</f>
        <v>0</v>
      </c>
      <c r="R28" s="498">
        <f t="shared" si="3"/>
        <v>0</v>
      </c>
      <c r="S28" s="498">
        <f t="shared" si="4"/>
        <v>0</v>
      </c>
      <c r="T28" s="499">
        <f t="shared" si="5"/>
        <v>0</v>
      </c>
      <c r="U28" s="447" t="s">
        <v>961</v>
      </c>
      <c r="V28" s="182"/>
    </row>
    <row r="29" spans="1:22" x14ac:dyDescent="0.25">
      <c r="A29" s="337" t="s">
        <v>336</v>
      </c>
      <c r="B29" s="443" t="s">
        <v>976</v>
      </c>
      <c r="C29" s="444" t="s">
        <v>280</v>
      </c>
      <c r="D29" s="445" t="str" cm="1">
        <f t="array" ref="D29">_xlfn.TEXTJOIN("",TRUE,IF(ISNUMBER(SEARCH($A29,'Diags Raw Data'!$A$6:$A$3821)),CONCATENATE('Diags Raw Data'!$H$6:$H$3821,", "),""))</f>
        <v xml:space="preserve">DCHB011, </v>
      </c>
      <c r="E29" s="342" t="str">
        <f>VLOOKUP(A29,'Diags Raw Data'!$A$6:$D$3821,4,FALSE)</f>
        <v>DCHB</v>
      </c>
      <c r="F29" s="342" t="str">
        <f>VLOOKUP(A29,'Feature Raw Data'!$A$3:$E$3998,5,FALSE)</f>
        <v>Legacy</v>
      </c>
      <c r="G29" s="342" t="str">
        <f t="shared" si="0"/>
        <v>Yes</v>
      </c>
      <c r="H29" s="342" t="str">
        <f t="shared" si="1"/>
        <v>Yes</v>
      </c>
      <c r="I29" s="444">
        <f>SUMIF('Diags Raw Data'!$A$6:$A$3821,"*"&amp;$A29&amp;"*",'Diags Raw Data'!$K$6:$K$3821)</f>
        <v>1</v>
      </c>
      <c r="J29" s="446">
        <f>SUMIF('Diags Raw Data'!$A$6:$A$3821,"*"&amp;$A29&amp;"*",'Diags Raw Data'!$L$6:$L$3821)</f>
        <v>4</v>
      </c>
      <c r="K29" s="491" cm="1">
        <f t="array" ref="K29">IF(D29="",0, SUMPRODUCT(--(ISNUMBER(SEARCH($A29,'Diags Raw Data'!$A$6:$A$3821))),'Diags Raw Data'!$L$6:$L$3821,'Diags Raw Data'!$N$6:$N$3821)/J29)</f>
        <v>1</v>
      </c>
      <c r="L29" s="492" cm="1">
        <f t="array" ref="L29">IF(D29="",0, SUMPRODUCT(--(ISNUMBER(SEARCH($A29,'Diags Raw Data'!$A$6:$A$3821))),'Diags Raw Data'!$L$6:$L$3821,'Diags Raw Data'!$P$6:$P$3821)/J29)</f>
        <v>1</v>
      </c>
      <c r="M29" s="493" cm="1">
        <f t="array" ref="M29">SUMPRODUCT(--(ISNUMBER(SEARCH($A29,'Diags Raw Data'!$A$6:$A$3821))),--('Diags Raw Data'!$Q$6:$Q$3821&lt;&gt;"N/A"),'Diags Raw Data'!$R$6:$R$3821)</f>
        <v>4</v>
      </c>
      <c r="N29" s="494" cm="1">
        <f t="array" ref="N29">SUMPRODUCT(--(ISNUMBER(SEARCH($A29,'Diags Raw Data'!$A$6:$A$3821))),--('Diags Raw Data'!$Q$6:$Q$3821&lt;&gt;"N/A"),'Diags Raw Data'!$T$6:$T$3821)+SUMPRODUCT(--(ISNUMBER(SEARCH($A29,'Diags Raw Data'!$A$6:$A$3821))),--('Diags Raw Data'!$Q$6:$Q$3821&lt;&gt;"N/A"),'Diags Raw Data'!$U$6:$U$3821)</f>
        <v>0</v>
      </c>
      <c r="O29" s="495">
        <f t="shared" si="2"/>
        <v>0</v>
      </c>
      <c r="P29" s="496">
        <f>SUMIF('Diags Raw Data'!$A$6:$A$3821,"*"&amp;$A29&amp;"*",'Diags Raw Data'!$Z$6:$Z$3821)</f>
        <v>0</v>
      </c>
      <c r="Q29" s="497">
        <f>SUM(SUMIF('Diags Raw Data'!$A$6:$A$3821,"*"&amp;$A29&amp;"*",'Diags Raw Data'!$AA$6:$AA$3821),SUMIF('Diags Raw Data'!$A$6:$A$3821,"*"&amp;$A29&amp;"*",'Diags Raw Data'!$AB$6:$AB$3821))</f>
        <v>0</v>
      </c>
      <c r="R29" s="498">
        <f t="shared" si="3"/>
        <v>0</v>
      </c>
      <c r="S29" s="498">
        <f t="shared" si="4"/>
        <v>0</v>
      </c>
      <c r="T29" s="499">
        <f t="shared" si="5"/>
        <v>0</v>
      </c>
      <c r="U29" s="447" t="s">
        <v>47</v>
      </c>
      <c r="V29" s="182"/>
    </row>
    <row r="30" spans="1:22" ht="30" x14ac:dyDescent="0.25">
      <c r="A30" s="337" t="s">
        <v>375</v>
      </c>
      <c r="B30" s="443" t="s">
        <v>977</v>
      </c>
      <c r="C30" s="444" t="s">
        <v>280</v>
      </c>
      <c r="D30" s="445" t="str" cm="1">
        <f t="array" ref="D30">_xlfn.TEXTJOIN("",TRUE,IF(ISNUMBER(SEARCH($A30,'Diags Raw Data'!$A$6:$A$3821)),CONCATENATE('Diags Raw Data'!$H$6:$H$3821,", "),""))</f>
        <v xml:space="preserve">DPP002, DPP030, DPP031, DPP042, </v>
      </c>
      <c r="E30" s="342" t="str">
        <f>VLOOKUP(A30,'Diags Raw Data'!$A$6:$D$3821,4,FALSE)</f>
        <v>DPP</v>
      </c>
      <c r="F30" s="342" t="str">
        <f>VLOOKUP(A30,'Feature Raw Data'!$A$3:$E$3998,5,FALSE)</f>
        <v>Legacy</v>
      </c>
      <c r="G30" s="342" t="str">
        <f t="shared" ref="G30:G91" si="6">IF(D30="","No","Yes")</f>
        <v>Yes</v>
      </c>
      <c r="H30" s="342" t="str">
        <f t="shared" ref="H30:H91" si="7">IF(D30="","No","Yes")</f>
        <v>Yes</v>
      </c>
      <c r="I30" s="444">
        <f>SUMIF('Diags Raw Data'!$A$6:$A$3821,"*"&amp;$A30&amp;"*",'Diags Raw Data'!$K$6:$K$3821)</f>
        <v>4</v>
      </c>
      <c r="J30" s="446">
        <f>SUMIF('Diags Raw Data'!$A$6:$A$3821,"*"&amp;$A30&amp;"*",'Diags Raw Data'!$L$6:$L$3821)</f>
        <v>17</v>
      </c>
      <c r="K30" s="491" cm="1">
        <f t="array" ref="K30">IF(D30="",0, SUMPRODUCT(--(ISNUMBER(SEARCH($A30,'Diags Raw Data'!$A$6:$A$3821))),'Diags Raw Data'!$L$6:$L$3821,'Diags Raw Data'!$N$6:$N$3821)/J30)</f>
        <v>1</v>
      </c>
      <c r="L30" s="492" cm="1">
        <f t="array" ref="L30">IF(D30="",0, SUMPRODUCT(--(ISNUMBER(SEARCH($A30,'Diags Raw Data'!$A$6:$A$3821))),'Diags Raw Data'!$L$6:$L$3821,'Diags Raw Data'!$P$6:$P$3821)/J30)</f>
        <v>1</v>
      </c>
      <c r="M30" s="493" cm="1">
        <f t="array" ref="M30">SUMPRODUCT(--(ISNUMBER(SEARCH($A30,'Diags Raw Data'!$A$6:$A$3821))),--('Diags Raw Data'!$Q$6:$Q$3821&lt;&gt;"N/A"),'Diags Raw Data'!$R$6:$R$3821)</f>
        <v>17</v>
      </c>
      <c r="N30" s="494" cm="1">
        <f t="array" ref="N30">SUMPRODUCT(--(ISNUMBER(SEARCH($A30,'Diags Raw Data'!$A$6:$A$3821))),--('Diags Raw Data'!$Q$6:$Q$3821&lt;&gt;"N/A"),'Diags Raw Data'!$T$6:$T$3821)+SUMPRODUCT(--(ISNUMBER(SEARCH($A30,'Diags Raw Data'!$A$6:$A$3821))),--('Diags Raw Data'!$Q$6:$Q$3821&lt;&gt;"N/A"),'Diags Raw Data'!$U$6:$U$3821)</f>
        <v>0</v>
      </c>
      <c r="O30" s="495">
        <f t="shared" ref="O30:O91" si="8">IF((M30=0),0,N30/M30)</f>
        <v>0</v>
      </c>
      <c r="P30" s="496">
        <f>SUMIF('Diags Raw Data'!$A$6:$A$3821,"*"&amp;$A30&amp;"*",'Diags Raw Data'!$Z$6:$Z$3821)</f>
        <v>0</v>
      </c>
      <c r="Q30" s="497">
        <f>SUM(SUMIF('Diags Raw Data'!$A$6:$A$3821,"*"&amp;$A30&amp;"*",'Diags Raw Data'!$AA$6:$AA$3821),SUMIF('Diags Raw Data'!$A$6:$A$3821,"*"&amp;$A30&amp;"*",'Diags Raw Data'!$AB$6:$AB$3821))</f>
        <v>0</v>
      </c>
      <c r="R30" s="498">
        <f t="shared" ref="R30:R91" si="9">IF((J30=0),0,P30/J30)</f>
        <v>0</v>
      </c>
      <c r="S30" s="498">
        <f t="shared" ref="S30:S91" si="10">IF((P30=0),0,Q30/P30)</f>
        <v>0</v>
      </c>
      <c r="T30" s="499">
        <f t="shared" ref="T30:T91" si="11">R30*S30</f>
        <v>0</v>
      </c>
      <c r="U30" s="447" t="s">
        <v>939</v>
      </c>
      <c r="V30" s="182"/>
    </row>
    <row r="31" spans="1:22" ht="30" x14ac:dyDescent="0.25">
      <c r="A31" s="337" t="s">
        <v>380</v>
      </c>
      <c r="B31" s="443" t="s">
        <v>978</v>
      </c>
      <c r="C31" s="444" t="s">
        <v>280</v>
      </c>
      <c r="D31" s="445" t="str" cm="1">
        <f t="array" ref="D31">_xlfn.TEXTJOIN("",TRUE,IF(ISNUMBER(SEARCH($A31,'Diags Raw Data'!$A$6:$A$3821)),CONCATENATE('Diags Raw Data'!$H$6:$H$3821,", "),""))</f>
        <v xml:space="preserve">DPP005, DPP043, DPP044, DPP045, </v>
      </c>
      <c r="E31" s="342" t="str">
        <f>VLOOKUP(A31,'Diags Raw Data'!$A$6:$D$3821,4,FALSE)</f>
        <v>DPP</v>
      </c>
      <c r="F31" s="342" t="str">
        <f>VLOOKUP(A31,'Feature Raw Data'!$A$3:$E$3998,5,FALSE)</f>
        <v>Legacy</v>
      </c>
      <c r="G31" s="342" t="str">
        <f t="shared" si="6"/>
        <v>Yes</v>
      </c>
      <c r="H31" s="342" t="str">
        <f t="shared" si="7"/>
        <v>Yes</v>
      </c>
      <c r="I31" s="444">
        <f>SUMIF('Diags Raw Data'!$A$6:$A$3821,"*"&amp;$A31&amp;"*",'Diags Raw Data'!$K$6:$K$3821)</f>
        <v>4</v>
      </c>
      <c r="J31" s="446">
        <f>SUMIF('Diags Raw Data'!$A$6:$A$3821,"*"&amp;$A31&amp;"*",'Diags Raw Data'!$L$6:$L$3821)</f>
        <v>18</v>
      </c>
      <c r="K31" s="491" cm="1">
        <f t="array" ref="K31">IF(D31="",0, SUMPRODUCT(--(ISNUMBER(SEARCH($A31,'Diags Raw Data'!$A$6:$A$3821))),'Diags Raw Data'!$L$6:$L$3821,'Diags Raw Data'!$N$6:$N$3821)/J31)</f>
        <v>1</v>
      </c>
      <c r="L31" s="492" cm="1">
        <f t="array" ref="L31">IF(D31="",0, SUMPRODUCT(--(ISNUMBER(SEARCH($A31,'Diags Raw Data'!$A$6:$A$3821))),'Diags Raw Data'!$L$6:$L$3821,'Diags Raw Data'!$P$6:$P$3821)/J31)</f>
        <v>1</v>
      </c>
      <c r="M31" s="493" cm="1">
        <f t="array" ref="M31">SUMPRODUCT(--(ISNUMBER(SEARCH($A31,'Diags Raw Data'!$A$6:$A$3821))),--('Diags Raw Data'!$Q$6:$Q$3821&lt;&gt;"N/A"),'Diags Raw Data'!$R$6:$R$3821)</f>
        <v>18</v>
      </c>
      <c r="N31" s="494" cm="1">
        <f t="array" ref="N31">SUMPRODUCT(--(ISNUMBER(SEARCH($A31,'Diags Raw Data'!$A$6:$A$3821))),--('Diags Raw Data'!$Q$6:$Q$3821&lt;&gt;"N/A"),'Diags Raw Data'!$T$6:$T$3821)+SUMPRODUCT(--(ISNUMBER(SEARCH($A31,'Diags Raw Data'!$A$6:$A$3821))),--('Diags Raw Data'!$Q$6:$Q$3821&lt;&gt;"N/A"),'Diags Raw Data'!$U$6:$U$3821)</f>
        <v>0</v>
      </c>
      <c r="O31" s="495">
        <f t="shared" si="8"/>
        <v>0</v>
      </c>
      <c r="P31" s="496">
        <f>SUMIF('Diags Raw Data'!$A$6:$A$3821,"*"&amp;$A31&amp;"*",'Diags Raw Data'!$Z$6:$Z$3821)</f>
        <v>0</v>
      </c>
      <c r="Q31" s="497">
        <f>SUM(SUMIF('Diags Raw Data'!$A$6:$A$3821,"*"&amp;$A31&amp;"*",'Diags Raw Data'!$AA$6:$AA$3821),SUMIF('Diags Raw Data'!$A$6:$A$3821,"*"&amp;$A31&amp;"*",'Diags Raw Data'!$AB$6:$AB$3821))</f>
        <v>0</v>
      </c>
      <c r="R31" s="498">
        <f t="shared" si="9"/>
        <v>0</v>
      </c>
      <c r="S31" s="498">
        <f t="shared" si="10"/>
        <v>0</v>
      </c>
      <c r="T31" s="499">
        <f t="shared" si="11"/>
        <v>0</v>
      </c>
      <c r="U31" s="447" t="s">
        <v>968</v>
      </c>
      <c r="V31" s="182"/>
    </row>
    <row r="32" spans="1:22" x14ac:dyDescent="0.25">
      <c r="A32" s="337" t="s">
        <v>430</v>
      </c>
      <c r="B32" s="443" t="s">
        <v>979</v>
      </c>
      <c r="C32" s="444" t="s">
        <v>280</v>
      </c>
      <c r="D32" s="445" t="str" cm="1">
        <f t="array" ref="D32">_xlfn.TEXTJOIN("",TRUE,IF(ISNUMBER(SEARCH($A32,'Diags Raw Data'!$A$6:$A$3821)),CONCATENATE('Diags Raw Data'!$H$6:$H$3821,", "),""))</f>
        <v xml:space="preserve">DPP037, DPP052, </v>
      </c>
      <c r="E32" s="342" t="str">
        <f>VLOOKUP(A32,'Diags Raw Data'!$A$6:$D$3821,4,FALSE)</f>
        <v>DPP</v>
      </c>
      <c r="F32" s="342" t="str">
        <f>VLOOKUP(A32,'Feature Raw Data'!$A$3:$E$3998,5,FALSE)</f>
        <v>Legacy</v>
      </c>
      <c r="G32" s="342" t="str">
        <f t="shared" si="6"/>
        <v>Yes</v>
      </c>
      <c r="H32" s="342" t="str">
        <f t="shared" si="7"/>
        <v>Yes</v>
      </c>
      <c r="I32" s="444">
        <f>SUMIF('Diags Raw Data'!$A$6:$A$3821,"*"&amp;$A32&amp;"*",'Diags Raw Data'!$K$6:$K$3821)</f>
        <v>2</v>
      </c>
      <c r="J32" s="446">
        <f>SUMIF('Diags Raw Data'!$A$6:$A$3821,"*"&amp;$A32&amp;"*",'Diags Raw Data'!$L$6:$L$3821)</f>
        <v>3</v>
      </c>
      <c r="K32" s="491" cm="1">
        <f t="array" ref="K32">IF(D32="",0, SUMPRODUCT(--(ISNUMBER(SEARCH($A32,'Diags Raw Data'!$A$6:$A$3821))),'Diags Raw Data'!$L$6:$L$3821,'Diags Raw Data'!$N$6:$N$3821)/J32)</f>
        <v>1</v>
      </c>
      <c r="L32" s="492" cm="1">
        <f t="array" ref="L32">IF(D32="",0, SUMPRODUCT(--(ISNUMBER(SEARCH($A32,'Diags Raw Data'!$A$6:$A$3821))),'Diags Raw Data'!$L$6:$L$3821,'Diags Raw Data'!$P$6:$P$3821)/J32)</f>
        <v>1</v>
      </c>
      <c r="M32" s="493" cm="1">
        <f t="array" ref="M32">SUMPRODUCT(--(ISNUMBER(SEARCH($A32,'Diags Raw Data'!$A$6:$A$3821))),--('Diags Raw Data'!$Q$6:$Q$3821&lt;&gt;"N/A"),'Diags Raw Data'!$R$6:$R$3821)</f>
        <v>3</v>
      </c>
      <c r="N32" s="494" cm="1">
        <f t="array" ref="N32">SUMPRODUCT(--(ISNUMBER(SEARCH($A32,'Diags Raw Data'!$A$6:$A$3821))),--('Diags Raw Data'!$Q$6:$Q$3821&lt;&gt;"N/A"),'Diags Raw Data'!$T$6:$T$3821)+SUMPRODUCT(--(ISNUMBER(SEARCH($A32,'Diags Raw Data'!$A$6:$A$3821))),--('Diags Raw Data'!$Q$6:$Q$3821&lt;&gt;"N/A"),'Diags Raw Data'!$U$6:$U$3821)</f>
        <v>0</v>
      </c>
      <c r="O32" s="495">
        <f t="shared" si="8"/>
        <v>0</v>
      </c>
      <c r="P32" s="496">
        <f>SUMIF('Diags Raw Data'!$A$6:$A$3821,"*"&amp;$A32&amp;"*",'Diags Raw Data'!$Z$6:$Z$3821)</f>
        <v>0</v>
      </c>
      <c r="Q32" s="497">
        <f>SUM(SUMIF('Diags Raw Data'!$A$6:$A$3821,"*"&amp;$A32&amp;"*",'Diags Raw Data'!$AA$6:$AA$3821),SUMIF('Diags Raw Data'!$A$6:$A$3821,"*"&amp;$A32&amp;"*",'Diags Raw Data'!$AB$6:$AB$3821))</f>
        <v>0</v>
      </c>
      <c r="R32" s="498">
        <f t="shared" si="9"/>
        <v>0</v>
      </c>
      <c r="S32" s="498">
        <f t="shared" si="10"/>
        <v>0</v>
      </c>
      <c r="T32" s="499">
        <f t="shared" si="11"/>
        <v>0</v>
      </c>
      <c r="U32" s="447" t="s">
        <v>964</v>
      </c>
      <c r="V32" s="182"/>
    </row>
    <row r="33" spans="1:22" ht="30" x14ac:dyDescent="0.25">
      <c r="A33" s="337" t="s">
        <v>410</v>
      </c>
      <c r="B33" s="443" t="s">
        <v>980</v>
      </c>
      <c r="C33" s="444" t="s">
        <v>280</v>
      </c>
      <c r="D33" s="445" t="str" cm="1">
        <f t="array" ref="D33">_xlfn.TEXTJOIN("",TRUE,IF(ISNUMBER(SEARCH($A33,'Diags Raw Data'!$A$6:$A$3821)),CONCATENATE('Diags Raw Data'!$H$6:$H$3821,", "),""))</f>
        <v xml:space="preserve">DPP024, DPP029, DPP047, DPP048, </v>
      </c>
      <c r="E33" s="342" t="str">
        <f>VLOOKUP(A33,'Diags Raw Data'!$A$6:$D$3821,4,FALSE)</f>
        <v>DPP</v>
      </c>
      <c r="F33" s="342" t="str">
        <f>VLOOKUP(A33,'Feature Raw Data'!$A$3:$E$3998,5,FALSE)</f>
        <v>Legacy</v>
      </c>
      <c r="G33" s="342" t="str">
        <f t="shared" si="6"/>
        <v>Yes</v>
      </c>
      <c r="H33" s="342" t="str">
        <f t="shared" si="7"/>
        <v>Yes</v>
      </c>
      <c r="I33" s="444">
        <f>SUMIF('Diags Raw Data'!$A$6:$A$3821,"*"&amp;$A33&amp;"*",'Diags Raw Data'!$K$6:$K$3821)</f>
        <v>4</v>
      </c>
      <c r="J33" s="446">
        <f>SUMIF('Diags Raw Data'!$A$6:$A$3821,"*"&amp;$A33&amp;"*",'Diags Raw Data'!$L$6:$L$3821)</f>
        <v>73</v>
      </c>
      <c r="K33" s="491" cm="1">
        <f t="array" ref="K33">IF(D33="",0, SUMPRODUCT(--(ISNUMBER(SEARCH($A33,'Diags Raw Data'!$A$6:$A$3821))),'Diags Raw Data'!$L$6:$L$3821,'Diags Raw Data'!$N$6:$N$3821)/J33)</f>
        <v>1</v>
      </c>
      <c r="L33" s="492" cm="1">
        <f t="array" ref="L33">IF(D33="",0, SUMPRODUCT(--(ISNUMBER(SEARCH($A33,'Diags Raw Data'!$A$6:$A$3821))),'Diags Raw Data'!$L$6:$L$3821,'Diags Raw Data'!$P$6:$P$3821)/J33)</f>
        <v>1</v>
      </c>
      <c r="M33" s="493" cm="1">
        <f t="array" ref="M33">SUMPRODUCT(--(ISNUMBER(SEARCH($A33,'Diags Raw Data'!$A$6:$A$3821))),--('Diags Raw Data'!$Q$6:$Q$3821&lt;&gt;"N/A"),'Diags Raw Data'!$R$6:$R$3821)</f>
        <v>73</v>
      </c>
      <c r="N33" s="494" cm="1">
        <f t="array" ref="N33">SUMPRODUCT(--(ISNUMBER(SEARCH($A33,'Diags Raw Data'!$A$6:$A$3821))),--('Diags Raw Data'!$Q$6:$Q$3821&lt;&gt;"N/A"),'Diags Raw Data'!$T$6:$T$3821)+SUMPRODUCT(--(ISNUMBER(SEARCH($A33,'Diags Raw Data'!$A$6:$A$3821))),--('Diags Raw Data'!$Q$6:$Q$3821&lt;&gt;"N/A"),'Diags Raw Data'!$U$6:$U$3821)</f>
        <v>0</v>
      </c>
      <c r="O33" s="495">
        <f t="shared" si="8"/>
        <v>0</v>
      </c>
      <c r="P33" s="496">
        <f>SUMIF('Diags Raw Data'!$A$6:$A$3821,"*"&amp;$A33&amp;"*",'Diags Raw Data'!$Z$6:$Z$3821)</f>
        <v>0</v>
      </c>
      <c r="Q33" s="497">
        <f>SUM(SUMIF('Diags Raw Data'!$A$6:$A$3821,"*"&amp;$A33&amp;"*",'Diags Raw Data'!$AA$6:$AA$3821),SUMIF('Diags Raw Data'!$A$6:$A$3821,"*"&amp;$A33&amp;"*",'Diags Raw Data'!$AB$6:$AB$3821))</f>
        <v>0</v>
      </c>
      <c r="R33" s="498">
        <f t="shared" si="9"/>
        <v>0</v>
      </c>
      <c r="S33" s="498">
        <f t="shared" si="10"/>
        <v>0</v>
      </c>
      <c r="T33" s="499">
        <f t="shared" si="11"/>
        <v>0</v>
      </c>
      <c r="U33" s="447" t="s">
        <v>47</v>
      </c>
      <c r="V33" s="182"/>
    </row>
    <row r="34" spans="1:22" x14ac:dyDescent="0.25">
      <c r="A34" s="337" t="s">
        <v>459</v>
      </c>
      <c r="B34" s="443" t="s">
        <v>981</v>
      </c>
      <c r="C34" s="444" t="s">
        <v>280</v>
      </c>
      <c r="D34" s="445" t="str" cm="1">
        <f t="array" ref="D34">_xlfn.TEXTJOIN("",TRUE,IF(ISNUMBER(SEARCH($A34,'Diags Raw Data'!$A$6:$A$3821)),CONCATENATE('Diags Raw Data'!$H$6:$H$3821,", "),""))</f>
        <v xml:space="preserve">DPP051, </v>
      </c>
      <c r="E34" s="342" t="str">
        <f>VLOOKUP(A34,'Diags Raw Data'!$A$6:$D$3821,4,FALSE)</f>
        <v>DPP</v>
      </c>
      <c r="F34" s="342" t="str">
        <f>VLOOKUP(A34,'Feature Raw Data'!$A$3:$E$3998,5,FALSE)</f>
        <v>Legacy</v>
      </c>
      <c r="G34" s="342" t="str">
        <f t="shared" si="6"/>
        <v>Yes</v>
      </c>
      <c r="H34" s="342" t="str">
        <f t="shared" si="7"/>
        <v>Yes</v>
      </c>
      <c r="I34" s="444">
        <f>SUMIF('Diags Raw Data'!$A$6:$A$3821,"*"&amp;$A34&amp;"*",'Diags Raw Data'!$K$6:$K$3821)</f>
        <v>1</v>
      </c>
      <c r="J34" s="446">
        <f>SUMIF('Diags Raw Data'!$A$6:$A$3821,"*"&amp;$A34&amp;"*",'Diags Raw Data'!$L$6:$L$3821)</f>
        <v>7</v>
      </c>
      <c r="K34" s="491" cm="1">
        <f t="array" ref="K34">IF(D34="",0, SUMPRODUCT(--(ISNUMBER(SEARCH($A34,'Diags Raw Data'!$A$6:$A$3821))),'Diags Raw Data'!$L$6:$L$3821,'Diags Raw Data'!$N$6:$N$3821)/J34)</f>
        <v>1</v>
      </c>
      <c r="L34" s="492" cm="1">
        <f t="array" ref="L34">IF(D34="",0, SUMPRODUCT(--(ISNUMBER(SEARCH($A34,'Diags Raw Data'!$A$6:$A$3821))),'Diags Raw Data'!$L$6:$L$3821,'Diags Raw Data'!$P$6:$P$3821)/J34)</f>
        <v>1</v>
      </c>
      <c r="M34" s="493" cm="1">
        <f t="array" ref="M34">SUMPRODUCT(--(ISNUMBER(SEARCH($A34,'Diags Raw Data'!$A$6:$A$3821))),--('Diags Raw Data'!$Q$6:$Q$3821&lt;&gt;"N/A"),'Diags Raw Data'!$R$6:$R$3821)</f>
        <v>7</v>
      </c>
      <c r="N34" s="494" cm="1">
        <f t="array" ref="N34">SUMPRODUCT(--(ISNUMBER(SEARCH($A34,'Diags Raw Data'!$A$6:$A$3821))),--('Diags Raw Data'!$Q$6:$Q$3821&lt;&gt;"N/A"),'Diags Raw Data'!$T$6:$T$3821)+SUMPRODUCT(--(ISNUMBER(SEARCH($A34,'Diags Raw Data'!$A$6:$A$3821))),--('Diags Raw Data'!$Q$6:$Q$3821&lt;&gt;"N/A"),'Diags Raw Data'!$U$6:$U$3821)</f>
        <v>0</v>
      </c>
      <c r="O34" s="495">
        <f t="shared" si="8"/>
        <v>0</v>
      </c>
      <c r="P34" s="496">
        <f>SUMIF('Diags Raw Data'!$A$6:$A$3821,"*"&amp;$A34&amp;"*",'Diags Raw Data'!$Z$6:$Z$3821)</f>
        <v>0</v>
      </c>
      <c r="Q34" s="497">
        <f>SUM(SUMIF('Diags Raw Data'!$A$6:$A$3821,"*"&amp;$A34&amp;"*",'Diags Raw Data'!$AA$6:$AA$3821),SUMIF('Diags Raw Data'!$A$6:$A$3821,"*"&amp;$A34&amp;"*",'Diags Raw Data'!$AB$6:$AB$3821))</f>
        <v>0</v>
      </c>
      <c r="R34" s="498">
        <f t="shared" si="9"/>
        <v>0</v>
      </c>
      <c r="S34" s="498">
        <f t="shared" si="10"/>
        <v>0</v>
      </c>
      <c r="T34" s="499">
        <f t="shared" si="11"/>
        <v>0</v>
      </c>
      <c r="U34" s="447" t="s">
        <v>964</v>
      </c>
      <c r="V34" s="182"/>
    </row>
    <row r="35" spans="1:22" x14ac:dyDescent="0.25">
      <c r="A35" s="337" t="s">
        <v>406</v>
      </c>
      <c r="B35" s="443" t="s">
        <v>982</v>
      </c>
      <c r="C35" s="444" t="s">
        <v>280</v>
      </c>
      <c r="D35" s="445" t="str" cm="1">
        <f t="array" ref="D35">_xlfn.TEXTJOIN("",TRUE,IF(ISNUMBER(SEARCH($A35,'Diags Raw Data'!$A$6:$A$3821)),CONCATENATE('Diags Raw Data'!$H$6:$H$3821,", "),""))</f>
        <v xml:space="preserve">DPP020, </v>
      </c>
      <c r="E35" s="342" t="str">
        <f>VLOOKUP(A35,'Diags Raw Data'!$A$6:$D$3821,4,FALSE)</f>
        <v>DPP</v>
      </c>
      <c r="F35" s="342" t="str">
        <f>VLOOKUP(A35,'Feature Raw Data'!$A$3:$E$3998,5,FALSE)</f>
        <v>Legacy</v>
      </c>
      <c r="G35" s="342" t="str">
        <f t="shared" si="6"/>
        <v>Yes</v>
      </c>
      <c r="H35" s="342" t="str">
        <f t="shared" si="7"/>
        <v>Yes</v>
      </c>
      <c r="I35" s="444">
        <f>SUMIF('Diags Raw Data'!$A$6:$A$3821,"*"&amp;$A35&amp;"*",'Diags Raw Data'!$K$6:$K$3821)</f>
        <v>1</v>
      </c>
      <c r="J35" s="446">
        <f>SUMIF('Diags Raw Data'!$A$6:$A$3821,"*"&amp;$A35&amp;"*",'Diags Raw Data'!$L$6:$L$3821)</f>
        <v>4</v>
      </c>
      <c r="K35" s="491" cm="1">
        <f t="array" ref="K35">IF(D35="",0, SUMPRODUCT(--(ISNUMBER(SEARCH($A35,'Diags Raw Data'!$A$6:$A$3821))),'Diags Raw Data'!$L$6:$L$3821,'Diags Raw Data'!$N$6:$N$3821)/J35)</f>
        <v>1</v>
      </c>
      <c r="L35" s="492" cm="1">
        <f t="array" ref="L35">IF(D35="",0, SUMPRODUCT(--(ISNUMBER(SEARCH($A35,'Diags Raw Data'!$A$6:$A$3821))),'Diags Raw Data'!$L$6:$L$3821,'Diags Raw Data'!$P$6:$P$3821)/J35)</f>
        <v>1</v>
      </c>
      <c r="M35" s="493" cm="1">
        <f t="array" ref="M35">SUMPRODUCT(--(ISNUMBER(SEARCH($A35,'Diags Raw Data'!$A$6:$A$3821))),--('Diags Raw Data'!$Q$6:$Q$3821&lt;&gt;"N/A"),'Diags Raw Data'!$R$6:$R$3821)</f>
        <v>4</v>
      </c>
      <c r="N35" s="494" cm="1">
        <f t="array" ref="N35">SUMPRODUCT(--(ISNUMBER(SEARCH($A35,'Diags Raw Data'!$A$6:$A$3821))),--('Diags Raw Data'!$Q$6:$Q$3821&lt;&gt;"N/A"),'Diags Raw Data'!$T$6:$T$3821)+SUMPRODUCT(--(ISNUMBER(SEARCH($A35,'Diags Raw Data'!$A$6:$A$3821))),--('Diags Raw Data'!$Q$6:$Q$3821&lt;&gt;"N/A"),'Diags Raw Data'!$U$6:$U$3821)</f>
        <v>0</v>
      </c>
      <c r="O35" s="495">
        <f t="shared" si="8"/>
        <v>0</v>
      </c>
      <c r="P35" s="496">
        <f>SUMIF('Diags Raw Data'!$A$6:$A$3821,"*"&amp;$A35&amp;"*",'Diags Raw Data'!$Z$6:$Z$3821)</f>
        <v>0</v>
      </c>
      <c r="Q35" s="497">
        <f>SUM(SUMIF('Diags Raw Data'!$A$6:$A$3821,"*"&amp;$A35&amp;"*",'Diags Raw Data'!$AA$6:$AA$3821),SUMIF('Diags Raw Data'!$A$6:$A$3821,"*"&amp;$A35&amp;"*",'Diags Raw Data'!$AB$6:$AB$3821))</f>
        <v>0</v>
      </c>
      <c r="R35" s="498">
        <f t="shared" si="9"/>
        <v>0</v>
      </c>
      <c r="S35" s="498">
        <f t="shared" si="10"/>
        <v>0</v>
      </c>
      <c r="T35" s="499">
        <f t="shared" si="11"/>
        <v>0</v>
      </c>
      <c r="U35" s="447" t="s">
        <v>961</v>
      </c>
      <c r="V35" s="182"/>
    </row>
    <row r="36" spans="1:22" x14ac:dyDescent="0.25">
      <c r="A36" s="337" t="s">
        <v>402</v>
      </c>
      <c r="B36" s="443" t="s">
        <v>983</v>
      </c>
      <c r="C36" s="444" t="s">
        <v>280</v>
      </c>
      <c r="D36" s="445" t="str" cm="1">
        <f t="array" ref="D36">_xlfn.TEXTJOIN("",TRUE,IF(ISNUMBER(SEARCH($A36,'Diags Raw Data'!$A$6:$A$3821)),CONCATENATE('Diags Raw Data'!$H$6:$H$3821,", "),""))</f>
        <v xml:space="preserve">DPP016, DPP034, DPP039, </v>
      </c>
      <c r="E36" s="342" t="str">
        <f>VLOOKUP(A36,'Diags Raw Data'!$A$6:$D$3821,4,FALSE)</f>
        <v>DPP</v>
      </c>
      <c r="F36" s="342" t="str">
        <f>VLOOKUP(A36,'Feature Raw Data'!$A$3:$E$3998,5,FALSE)</f>
        <v>Legacy</v>
      </c>
      <c r="G36" s="342" t="str">
        <f t="shared" si="6"/>
        <v>Yes</v>
      </c>
      <c r="H36" s="342" t="str">
        <f t="shared" si="7"/>
        <v>Yes</v>
      </c>
      <c r="I36" s="444">
        <f>SUMIF('Diags Raw Data'!$A$6:$A$3821,"*"&amp;$A36&amp;"*",'Diags Raw Data'!$K$6:$K$3821)</f>
        <v>3</v>
      </c>
      <c r="J36" s="446">
        <f>SUMIF('Diags Raw Data'!$A$6:$A$3821,"*"&amp;$A36&amp;"*",'Diags Raw Data'!$L$6:$L$3821)</f>
        <v>21</v>
      </c>
      <c r="K36" s="491" cm="1">
        <f t="array" ref="K36">IF(D36="",0, SUMPRODUCT(--(ISNUMBER(SEARCH($A36,'Diags Raw Data'!$A$6:$A$3821))),'Diags Raw Data'!$L$6:$L$3821,'Diags Raw Data'!$N$6:$N$3821)/J36)</f>
        <v>1</v>
      </c>
      <c r="L36" s="492" cm="1">
        <f t="array" ref="L36">IF(D36="",0, SUMPRODUCT(--(ISNUMBER(SEARCH($A36,'Diags Raw Data'!$A$6:$A$3821))),'Diags Raw Data'!$L$6:$L$3821,'Diags Raw Data'!$P$6:$P$3821)/J36)</f>
        <v>1</v>
      </c>
      <c r="M36" s="493" cm="1">
        <f t="array" ref="M36">SUMPRODUCT(--(ISNUMBER(SEARCH($A36,'Diags Raw Data'!$A$6:$A$3821))),--('Diags Raw Data'!$Q$6:$Q$3821&lt;&gt;"N/A"),'Diags Raw Data'!$R$6:$R$3821)</f>
        <v>21</v>
      </c>
      <c r="N36" s="494" cm="1">
        <f t="array" ref="N36">SUMPRODUCT(--(ISNUMBER(SEARCH($A36,'Diags Raw Data'!$A$6:$A$3821))),--('Diags Raw Data'!$Q$6:$Q$3821&lt;&gt;"N/A"),'Diags Raw Data'!$T$6:$T$3821)+SUMPRODUCT(--(ISNUMBER(SEARCH($A36,'Diags Raw Data'!$A$6:$A$3821))),--('Diags Raw Data'!$Q$6:$Q$3821&lt;&gt;"N/A"),'Diags Raw Data'!$U$6:$U$3821)</f>
        <v>0</v>
      </c>
      <c r="O36" s="495">
        <f t="shared" si="8"/>
        <v>0</v>
      </c>
      <c r="P36" s="496">
        <f>SUMIF('Diags Raw Data'!$A$6:$A$3821,"*"&amp;$A36&amp;"*",'Diags Raw Data'!$Z$6:$Z$3821)</f>
        <v>0</v>
      </c>
      <c r="Q36" s="497">
        <f>SUM(SUMIF('Diags Raw Data'!$A$6:$A$3821,"*"&amp;$A36&amp;"*",'Diags Raw Data'!$AA$6:$AA$3821),SUMIF('Diags Raw Data'!$A$6:$A$3821,"*"&amp;$A36&amp;"*",'Diags Raw Data'!$AB$6:$AB$3821))</f>
        <v>0</v>
      </c>
      <c r="R36" s="498">
        <f t="shared" si="9"/>
        <v>0</v>
      </c>
      <c r="S36" s="498">
        <f t="shared" si="10"/>
        <v>0</v>
      </c>
      <c r="T36" s="499">
        <f t="shared" si="11"/>
        <v>0</v>
      </c>
      <c r="U36" s="447" t="s">
        <v>47</v>
      </c>
      <c r="V36" s="182"/>
    </row>
    <row r="37" spans="1:22" x14ac:dyDescent="0.25">
      <c r="A37" s="337" t="s">
        <v>984</v>
      </c>
      <c r="B37" s="443" t="s">
        <v>985</v>
      </c>
      <c r="C37" s="444" t="s">
        <v>280</v>
      </c>
      <c r="D37" s="445" t="str" cm="1">
        <f t="array" ref="D37">_xlfn.TEXTJOIN("",TRUE,IF(ISNUMBER(SEARCH($A37,'Diags Raw Data'!$A$6:$A$3821)),CONCATENATE('Diags Raw Data'!$H$6:$H$3821,", "),""))</f>
        <v xml:space="preserve">DPP009, </v>
      </c>
      <c r="E37" s="342" t="e">
        <f>VLOOKUP(A37,'Diags Raw Data'!$A$6:$D$3821,4,FALSE)</f>
        <v>#N/A</v>
      </c>
      <c r="F37" s="342" t="str">
        <f>VLOOKUP(A37,'Feature Raw Data'!$A$3:$E$3998,5,FALSE)</f>
        <v>Legacy</v>
      </c>
      <c r="G37" s="342" t="str">
        <f t="shared" si="6"/>
        <v>Yes</v>
      </c>
      <c r="H37" s="342" t="str">
        <f t="shared" si="7"/>
        <v>Yes</v>
      </c>
      <c r="I37" s="444">
        <f>SUMIF('Diags Raw Data'!$A$6:$A$3821,"*"&amp;$A37&amp;"*",'Diags Raw Data'!$K$6:$K$3821)</f>
        <v>1</v>
      </c>
      <c r="J37" s="446">
        <f>SUMIF('Diags Raw Data'!$A$6:$A$3821,"*"&amp;$A37&amp;"*",'Diags Raw Data'!$L$6:$L$3821)</f>
        <v>52</v>
      </c>
      <c r="K37" s="491" cm="1">
        <f t="array" ref="K37">IF(D37="",0, SUMPRODUCT(--(ISNUMBER(SEARCH($A37,'Diags Raw Data'!$A$6:$A$3821))),'Diags Raw Data'!$L$6:$L$3821,'Diags Raw Data'!$N$6:$N$3821)/J37)</f>
        <v>1</v>
      </c>
      <c r="L37" s="492" cm="1">
        <f t="array" ref="L37">IF(D37="",0, SUMPRODUCT(--(ISNUMBER(SEARCH($A37,'Diags Raw Data'!$A$6:$A$3821))),'Diags Raw Data'!$L$6:$L$3821,'Diags Raw Data'!$P$6:$P$3821)/J37)</f>
        <v>1</v>
      </c>
      <c r="M37" s="493" cm="1">
        <f t="array" ref="M37">SUMPRODUCT(--(ISNUMBER(SEARCH($A37,'Diags Raw Data'!$A$6:$A$3821))),--('Diags Raw Data'!$Q$6:$Q$3821&lt;&gt;"N/A"),'Diags Raw Data'!$R$6:$R$3821)</f>
        <v>52</v>
      </c>
      <c r="N37" s="494" cm="1">
        <f t="array" ref="N37">SUMPRODUCT(--(ISNUMBER(SEARCH($A37,'Diags Raw Data'!$A$6:$A$3821))),--('Diags Raw Data'!$Q$6:$Q$3821&lt;&gt;"N/A"),'Diags Raw Data'!$T$6:$T$3821)+SUMPRODUCT(--(ISNUMBER(SEARCH($A37,'Diags Raw Data'!$A$6:$A$3821))),--('Diags Raw Data'!$Q$6:$Q$3821&lt;&gt;"N/A"),'Diags Raw Data'!$U$6:$U$3821)</f>
        <v>0</v>
      </c>
      <c r="O37" s="495">
        <f t="shared" si="8"/>
        <v>0</v>
      </c>
      <c r="P37" s="496">
        <f>SUMIF('Diags Raw Data'!$A$6:$A$3821,"*"&amp;$A37&amp;"*",'Diags Raw Data'!$Z$6:$Z$3821)</f>
        <v>0</v>
      </c>
      <c r="Q37" s="497">
        <f>SUM(SUMIF('Diags Raw Data'!$A$6:$A$3821,"*"&amp;$A37&amp;"*",'Diags Raw Data'!$AA$6:$AA$3821),SUMIF('Diags Raw Data'!$A$6:$A$3821,"*"&amp;$A37&amp;"*",'Diags Raw Data'!$AB$6:$AB$3821))</f>
        <v>0</v>
      </c>
      <c r="R37" s="498">
        <f t="shared" si="9"/>
        <v>0</v>
      </c>
      <c r="S37" s="498">
        <f t="shared" si="10"/>
        <v>0</v>
      </c>
      <c r="T37" s="499">
        <f t="shared" si="11"/>
        <v>0</v>
      </c>
      <c r="U37" s="447" t="s">
        <v>961</v>
      </c>
      <c r="V37" s="182"/>
    </row>
    <row r="38" spans="1:22" x14ac:dyDescent="0.25">
      <c r="A38" s="337" t="s">
        <v>986</v>
      </c>
      <c r="B38" s="443" t="s">
        <v>987</v>
      </c>
      <c r="C38" s="444" t="s">
        <v>280</v>
      </c>
      <c r="D38" s="445" t="str" cm="1">
        <f t="array" ref="D38">_xlfn.TEXTJOIN("",TRUE,IF(ISNUMBER(SEARCH($A38,'Diags Raw Data'!$A$6:$A$3821)),CONCATENATE('Diags Raw Data'!$H$6:$H$3821,", "),""))</f>
        <v xml:space="preserve">DPP009, DPP034, </v>
      </c>
      <c r="E38" s="342" t="e">
        <f>VLOOKUP(A38,'Diags Raw Data'!$A$6:$D$3821,4,FALSE)</f>
        <v>#N/A</v>
      </c>
      <c r="F38" s="342" t="str">
        <f>VLOOKUP(A38,'Feature Raw Data'!$A$3:$E$3998,5,FALSE)</f>
        <v>Legacy</v>
      </c>
      <c r="G38" s="342" t="str">
        <f t="shared" si="6"/>
        <v>Yes</v>
      </c>
      <c r="H38" s="342" t="str">
        <f t="shared" si="7"/>
        <v>Yes</v>
      </c>
      <c r="I38" s="444">
        <f>SUMIF('Diags Raw Data'!$A$6:$A$3821,"*"&amp;$A38&amp;"*",'Diags Raw Data'!$K$6:$K$3821)</f>
        <v>2</v>
      </c>
      <c r="J38" s="446">
        <f>SUMIF('Diags Raw Data'!$A$6:$A$3821,"*"&amp;$A38&amp;"*",'Diags Raw Data'!$L$6:$L$3821)</f>
        <v>65</v>
      </c>
      <c r="K38" s="491" cm="1">
        <f t="array" ref="K38">IF(D38="",0, SUMPRODUCT(--(ISNUMBER(SEARCH($A38,'Diags Raw Data'!$A$6:$A$3821))),'Diags Raw Data'!$L$6:$L$3821,'Diags Raw Data'!$N$6:$N$3821)/J38)</f>
        <v>1</v>
      </c>
      <c r="L38" s="492" cm="1">
        <f t="array" ref="L38">IF(D38="",0, SUMPRODUCT(--(ISNUMBER(SEARCH($A38,'Diags Raw Data'!$A$6:$A$3821))),'Diags Raw Data'!$L$6:$L$3821,'Diags Raw Data'!$P$6:$P$3821)/J38)</f>
        <v>1</v>
      </c>
      <c r="M38" s="493" cm="1">
        <f t="array" ref="M38">SUMPRODUCT(--(ISNUMBER(SEARCH($A38,'Diags Raw Data'!$A$6:$A$3821))),--('Diags Raw Data'!$Q$6:$Q$3821&lt;&gt;"N/A"),'Diags Raw Data'!$R$6:$R$3821)</f>
        <v>65</v>
      </c>
      <c r="N38" s="494" cm="1">
        <f t="array" ref="N38">SUMPRODUCT(--(ISNUMBER(SEARCH($A38,'Diags Raw Data'!$A$6:$A$3821))),--('Diags Raw Data'!$Q$6:$Q$3821&lt;&gt;"N/A"),'Diags Raw Data'!$T$6:$T$3821)+SUMPRODUCT(--(ISNUMBER(SEARCH($A38,'Diags Raw Data'!$A$6:$A$3821))),--('Diags Raw Data'!$Q$6:$Q$3821&lt;&gt;"N/A"),'Diags Raw Data'!$U$6:$U$3821)</f>
        <v>0</v>
      </c>
      <c r="O38" s="495">
        <f t="shared" si="8"/>
        <v>0</v>
      </c>
      <c r="P38" s="496">
        <f>SUMIF('Diags Raw Data'!$A$6:$A$3821,"*"&amp;$A38&amp;"*",'Diags Raw Data'!$Z$6:$Z$3821)</f>
        <v>0</v>
      </c>
      <c r="Q38" s="497">
        <f>SUM(SUMIF('Diags Raw Data'!$A$6:$A$3821,"*"&amp;$A38&amp;"*",'Diags Raw Data'!$AA$6:$AA$3821),SUMIF('Diags Raw Data'!$A$6:$A$3821,"*"&amp;$A38&amp;"*",'Diags Raw Data'!$AB$6:$AB$3821))</f>
        <v>0</v>
      </c>
      <c r="R38" s="498">
        <f t="shared" si="9"/>
        <v>0</v>
      </c>
      <c r="S38" s="498">
        <f t="shared" si="10"/>
        <v>0</v>
      </c>
      <c r="T38" s="499">
        <f t="shared" si="11"/>
        <v>0</v>
      </c>
      <c r="U38" s="447" t="s">
        <v>948</v>
      </c>
      <c r="V38" s="182"/>
    </row>
    <row r="39" spans="1:22" x14ac:dyDescent="0.25">
      <c r="A39" s="337" t="s">
        <v>988</v>
      </c>
      <c r="B39" s="443" t="s">
        <v>989</v>
      </c>
      <c r="C39" s="444" t="s">
        <v>280</v>
      </c>
      <c r="D39" s="445" t="str" cm="1">
        <f t="array" ref="D39">_xlfn.TEXTJOIN("",TRUE,IF(ISNUMBER(SEARCH($A39,'Diags Raw Data'!$A$6:$A$3821)),CONCATENATE('Diags Raw Data'!$H$6:$H$3821,", "),""))</f>
        <v xml:space="preserve">DPP034, </v>
      </c>
      <c r="E39" s="342" t="e">
        <f>VLOOKUP(A39,'Diags Raw Data'!$A$6:$D$3821,4,FALSE)</f>
        <v>#N/A</v>
      </c>
      <c r="F39" s="342" t="str">
        <f>VLOOKUP(A39,'Feature Raw Data'!$A$3:$E$3998,5,FALSE)</f>
        <v>Legacy</v>
      </c>
      <c r="G39" s="342" t="str">
        <f t="shared" si="6"/>
        <v>Yes</v>
      </c>
      <c r="H39" s="342" t="str">
        <f t="shared" si="7"/>
        <v>Yes</v>
      </c>
      <c r="I39" s="444">
        <f>SUMIF('Diags Raw Data'!$A$6:$A$3821,"*"&amp;$A39&amp;"*",'Diags Raw Data'!$K$6:$K$3821)</f>
        <v>1</v>
      </c>
      <c r="J39" s="446">
        <f>SUMIF('Diags Raw Data'!$A$6:$A$3821,"*"&amp;$A39&amp;"*",'Diags Raw Data'!$L$6:$L$3821)</f>
        <v>13</v>
      </c>
      <c r="K39" s="491" cm="1">
        <f t="array" ref="K39">IF(D39="",0, SUMPRODUCT(--(ISNUMBER(SEARCH($A39,'Diags Raw Data'!$A$6:$A$3821))),'Diags Raw Data'!$L$6:$L$3821,'Diags Raw Data'!$N$6:$N$3821)/J39)</f>
        <v>1</v>
      </c>
      <c r="L39" s="492" cm="1">
        <f t="array" ref="L39">IF(D39="",0, SUMPRODUCT(--(ISNUMBER(SEARCH($A39,'Diags Raw Data'!$A$6:$A$3821))),'Diags Raw Data'!$L$6:$L$3821,'Diags Raw Data'!$P$6:$P$3821)/J39)</f>
        <v>1</v>
      </c>
      <c r="M39" s="493" cm="1">
        <f t="array" ref="M39">SUMPRODUCT(--(ISNUMBER(SEARCH($A39,'Diags Raw Data'!$A$6:$A$3821))),--('Diags Raw Data'!$Q$6:$Q$3821&lt;&gt;"N/A"),'Diags Raw Data'!$R$6:$R$3821)</f>
        <v>13</v>
      </c>
      <c r="N39" s="494" cm="1">
        <f t="array" ref="N39">SUMPRODUCT(--(ISNUMBER(SEARCH($A39,'Diags Raw Data'!$A$6:$A$3821))),--('Diags Raw Data'!$Q$6:$Q$3821&lt;&gt;"N/A"),'Diags Raw Data'!$T$6:$T$3821)+SUMPRODUCT(--(ISNUMBER(SEARCH($A39,'Diags Raw Data'!$A$6:$A$3821))),--('Diags Raw Data'!$Q$6:$Q$3821&lt;&gt;"N/A"),'Diags Raw Data'!$U$6:$U$3821)</f>
        <v>0</v>
      </c>
      <c r="O39" s="495">
        <f t="shared" si="8"/>
        <v>0</v>
      </c>
      <c r="P39" s="496">
        <f>SUMIF('Diags Raw Data'!$A$6:$A$3821,"*"&amp;$A39&amp;"*",'Diags Raw Data'!$Z$6:$Z$3821)</f>
        <v>0</v>
      </c>
      <c r="Q39" s="497">
        <f>SUM(SUMIF('Diags Raw Data'!$A$6:$A$3821,"*"&amp;$A39&amp;"*",'Diags Raw Data'!$AA$6:$AA$3821),SUMIF('Diags Raw Data'!$A$6:$A$3821,"*"&amp;$A39&amp;"*",'Diags Raw Data'!$AB$6:$AB$3821))</f>
        <v>0</v>
      </c>
      <c r="R39" s="498">
        <f t="shared" si="9"/>
        <v>0</v>
      </c>
      <c r="S39" s="498">
        <f t="shared" si="10"/>
        <v>0</v>
      </c>
      <c r="T39" s="499">
        <f t="shared" si="11"/>
        <v>0</v>
      </c>
      <c r="U39" s="447" t="s">
        <v>939</v>
      </c>
      <c r="V39" s="182"/>
    </row>
    <row r="40" spans="1:22" x14ac:dyDescent="0.25">
      <c r="A40" s="337" t="s">
        <v>990</v>
      </c>
      <c r="B40" s="443" t="s">
        <v>991</v>
      </c>
      <c r="C40" s="444" t="s">
        <v>280</v>
      </c>
      <c r="D40" s="445" t="str" cm="1">
        <f t="array" ref="D40">_xlfn.TEXTJOIN("",TRUE,IF(ISNUMBER(SEARCH($A40,'Diags Raw Data'!$A$6:$A$3821)),CONCATENATE('Diags Raw Data'!$H$6:$H$3821,", "),""))</f>
        <v xml:space="preserve">DPP034, </v>
      </c>
      <c r="E40" s="342" t="e">
        <f>VLOOKUP(A40,'Diags Raw Data'!$A$6:$D$3821,4,FALSE)</f>
        <v>#N/A</v>
      </c>
      <c r="F40" s="342" t="str">
        <f>VLOOKUP(A40,'Feature Raw Data'!$A$3:$E$3998,5,FALSE)</f>
        <v>Legacy</v>
      </c>
      <c r="G40" s="342" t="str">
        <f t="shared" si="6"/>
        <v>Yes</v>
      </c>
      <c r="H40" s="342" t="str">
        <f t="shared" si="7"/>
        <v>Yes</v>
      </c>
      <c r="I40" s="444">
        <f>SUMIF('Diags Raw Data'!$A$6:$A$3821,"*"&amp;$A40&amp;"*",'Diags Raw Data'!$K$6:$K$3821)</f>
        <v>1</v>
      </c>
      <c r="J40" s="446">
        <f>SUMIF('Diags Raw Data'!$A$6:$A$3821,"*"&amp;$A40&amp;"*",'Diags Raw Data'!$L$6:$L$3821)</f>
        <v>13</v>
      </c>
      <c r="K40" s="491" cm="1">
        <f t="array" ref="K40">IF(D40="",0, SUMPRODUCT(--(ISNUMBER(SEARCH($A40,'Diags Raw Data'!$A$6:$A$3821))),'Diags Raw Data'!$L$6:$L$3821,'Diags Raw Data'!$N$6:$N$3821)/J40)</f>
        <v>1</v>
      </c>
      <c r="L40" s="492" cm="1">
        <f t="array" ref="L40">IF(D40="",0, SUMPRODUCT(--(ISNUMBER(SEARCH($A40,'Diags Raw Data'!$A$6:$A$3821))),'Diags Raw Data'!$L$6:$L$3821,'Diags Raw Data'!$P$6:$P$3821)/J40)</f>
        <v>1</v>
      </c>
      <c r="M40" s="493" cm="1">
        <f t="array" ref="M40">SUMPRODUCT(--(ISNUMBER(SEARCH($A40,'Diags Raw Data'!$A$6:$A$3821))),--('Diags Raw Data'!$Q$6:$Q$3821&lt;&gt;"N/A"),'Diags Raw Data'!$R$6:$R$3821)</f>
        <v>13</v>
      </c>
      <c r="N40" s="494" cm="1">
        <f t="array" ref="N40">SUMPRODUCT(--(ISNUMBER(SEARCH($A40,'Diags Raw Data'!$A$6:$A$3821))),--('Diags Raw Data'!$Q$6:$Q$3821&lt;&gt;"N/A"),'Diags Raw Data'!$T$6:$T$3821)+SUMPRODUCT(--(ISNUMBER(SEARCH($A40,'Diags Raw Data'!$A$6:$A$3821))),--('Diags Raw Data'!$Q$6:$Q$3821&lt;&gt;"N/A"),'Diags Raw Data'!$U$6:$U$3821)</f>
        <v>0</v>
      </c>
      <c r="O40" s="495">
        <f t="shared" si="8"/>
        <v>0</v>
      </c>
      <c r="P40" s="496">
        <f>SUMIF('Diags Raw Data'!$A$6:$A$3821,"*"&amp;$A40&amp;"*",'Diags Raw Data'!$Z$6:$Z$3821)</f>
        <v>0</v>
      </c>
      <c r="Q40" s="497">
        <f>SUM(SUMIF('Diags Raw Data'!$A$6:$A$3821,"*"&amp;$A40&amp;"*",'Diags Raw Data'!$AA$6:$AA$3821),SUMIF('Diags Raw Data'!$A$6:$A$3821,"*"&amp;$A40&amp;"*",'Diags Raw Data'!$AB$6:$AB$3821))</f>
        <v>0</v>
      </c>
      <c r="R40" s="498">
        <f t="shared" si="9"/>
        <v>0</v>
      </c>
      <c r="S40" s="498">
        <f t="shared" si="10"/>
        <v>0</v>
      </c>
      <c r="T40" s="499">
        <f t="shared" si="11"/>
        <v>0</v>
      </c>
      <c r="U40" s="447" t="s">
        <v>939</v>
      </c>
      <c r="V40" s="182"/>
    </row>
    <row r="41" spans="1:22" x14ac:dyDescent="0.25">
      <c r="A41" s="337" t="s">
        <v>390</v>
      </c>
      <c r="B41" s="443" t="s">
        <v>992</v>
      </c>
      <c r="C41" s="444" t="s">
        <v>280</v>
      </c>
      <c r="D41" s="445" t="str" cm="1">
        <f t="array" ref="D41">_xlfn.TEXTJOIN("",TRUE,IF(ISNUMBER(SEARCH($A41,'Diags Raw Data'!$A$6:$A$3821)),CONCATENATE('Diags Raw Data'!$H$6:$H$3821,", "),""))</f>
        <v xml:space="preserve">DPP008, </v>
      </c>
      <c r="E41" s="342" t="str">
        <f>VLOOKUP(A41,'Diags Raw Data'!$A$6:$D$3821,4,FALSE)</f>
        <v>DPP</v>
      </c>
      <c r="F41" s="342" t="str">
        <f>VLOOKUP(A41,'Feature Raw Data'!$A$3:$E$3998,5,FALSE)</f>
        <v>Legacy</v>
      </c>
      <c r="G41" s="342" t="str">
        <f t="shared" si="6"/>
        <v>Yes</v>
      </c>
      <c r="H41" s="342" t="str">
        <f t="shared" si="7"/>
        <v>Yes</v>
      </c>
      <c r="I41" s="444">
        <f>SUMIF('Diags Raw Data'!$A$6:$A$3821,"*"&amp;$A41&amp;"*",'Diags Raw Data'!$K$6:$K$3821)</f>
        <v>1</v>
      </c>
      <c r="J41" s="446">
        <f>SUMIF('Diags Raw Data'!$A$6:$A$3821,"*"&amp;$A41&amp;"*",'Diags Raw Data'!$L$6:$L$3821)</f>
        <v>2</v>
      </c>
      <c r="K41" s="491" cm="1">
        <f t="array" ref="K41">IF(D41="",0, SUMPRODUCT(--(ISNUMBER(SEARCH($A41,'Diags Raw Data'!$A$6:$A$3821))),'Diags Raw Data'!$L$6:$L$3821,'Diags Raw Data'!$N$6:$N$3821)/J41)</f>
        <v>1</v>
      </c>
      <c r="L41" s="492" cm="1">
        <f t="array" ref="L41">IF(D41="",0, SUMPRODUCT(--(ISNUMBER(SEARCH($A41,'Diags Raw Data'!$A$6:$A$3821))),'Diags Raw Data'!$L$6:$L$3821,'Diags Raw Data'!$P$6:$P$3821)/J41)</f>
        <v>1</v>
      </c>
      <c r="M41" s="493" cm="1">
        <f t="array" ref="M41">SUMPRODUCT(--(ISNUMBER(SEARCH($A41,'Diags Raw Data'!$A$6:$A$3821))),--('Diags Raw Data'!$Q$6:$Q$3821&lt;&gt;"N/A"),'Diags Raw Data'!$R$6:$R$3821)</f>
        <v>2</v>
      </c>
      <c r="N41" s="494" cm="1">
        <f t="array" ref="N41">SUMPRODUCT(--(ISNUMBER(SEARCH($A41,'Diags Raw Data'!$A$6:$A$3821))),--('Diags Raw Data'!$Q$6:$Q$3821&lt;&gt;"N/A"),'Diags Raw Data'!$T$6:$T$3821)+SUMPRODUCT(--(ISNUMBER(SEARCH($A41,'Diags Raw Data'!$A$6:$A$3821))),--('Diags Raw Data'!$Q$6:$Q$3821&lt;&gt;"N/A"),'Diags Raw Data'!$U$6:$U$3821)</f>
        <v>0</v>
      </c>
      <c r="O41" s="495">
        <f t="shared" si="8"/>
        <v>0</v>
      </c>
      <c r="P41" s="496">
        <f>SUMIF('Diags Raw Data'!$A$6:$A$3821,"*"&amp;$A41&amp;"*",'Diags Raw Data'!$Z$6:$Z$3821)</f>
        <v>0</v>
      </c>
      <c r="Q41" s="497">
        <f>SUM(SUMIF('Diags Raw Data'!$A$6:$A$3821,"*"&amp;$A41&amp;"*",'Diags Raw Data'!$AA$6:$AA$3821),SUMIF('Diags Raw Data'!$A$6:$A$3821,"*"&amp;$A41&amp;"*",'Diags Raw Data'!$AB$6:$AB$3821))</f>
        <v>0</v>
      </c>
      <c r="R41" s="498">
        <f t="shared" si="9"/>
        <v>0</v>
      </c>
      <c r="S41" s="498">
        <f t="shared" si="10"/>
        <v>0</v>
      </c>
      <c r="T41" s="499">
        <f t="shared" si="11"/>
        <v>0</v>
      </c>
      <c r="U41" s="447" t="s">
        <v>956</v>
      </c>
      <c r="V41" s="182"/>
    </row>
    <row r="42" spans="1:22" x14ac:dyDescent="0.25">
      <c r="A42" s="337" t="s">
        <v>384</v>
      </c>
      <c r="B42" s="443" t="s">
        <v>993</v>
      </c>
      <c r="C42" s="444" t="s">
        <v>280</v>
      </c>
      <c r="D42" s="445" t="str" cm="1">
        <f t="array" ref="D42">_xlfn.TEXTJOIN("",TRUE,IF(ISNUMBER(SEARCH($A42,'Diags Raw Data'!$A$6:$A$3821)),CONCATENATE('Diags Raw Data'!$H$6:$H$3821,", "),""))</f>
        <v xml:space="preserve">DPP006, DPP007, </v>
      </c>
      <c r="E42" s="342" t="str">
        <f>VLOOKUP(A42,'Diags Raw Data'!$A$6:$D$3821,4,FALSE)</f>
        <v>DPP</v>
      </c>
      <c r="F42" s="342" t="str">
        <f>VLOOKUP(A42,'Feature Raw Data'!$A$3:$E$3998,5,FALSE)</f>
        <v>Legacy</v>
      </c>
      <c r="G42" s="342" t="str">
        <f t="shared" si="6"/>
        <v>Yes</v>
      </c>
      <c r="H42" s="342" t="str">
        <f t="shared" si="7"/>
        <v>Yes</v>
      </c>
      <c r="I42" s="444">
        <f>SUMIF('Diags Raw Data'!$A$6:$A$3821,"*"&amp;$A42&amp;"*",'Diags Raw Data'!$K$6:$K$3821)</f>
        <v>2</v>
      </c>
      <c r="J42" s="446">
        <f>SUMIF('Diags Raw Data'!$A$6:$A$3821,"*"&amp;$A42&amp;"*",'Diags Raw Data'!$L$6:$L$3821)</f>
        <v>42</v>
      </c>
      <c r="K42" s="491" cm="1">
        <f t="array" ref="K42">IF(D42="",0, SUMPRODUCT(--(ISNUMBER(SEARCH($A42,'Diags Raw Data'!$A$6:$A$3821))),'Diags Raw Data'!$L$6:$L$3821,'Diags Raw Data'!$N$6:$N$3821)/J42)</f>
        <v>1</v>
      </c>
      <c r="L42" s="492" cm="1">
        <f t="array" ref="L42">IF(D42="",0, SUMPRODUCT(--(ISNUMBER(SEARCH($A42,'Diags Raw Data'!$A$6:$A$3821))),'Diags Raw Data'!$L$6:$L$3821,'Diags Raw Data'!$P$6:$P$3821)/J42)</f>
        <v>1</v>
      </c>
      <c r="M42" s="493" cm="1">
        <f t="array" ref="M42">SUMPRODUCT(--(ISNUMBER(SEARCH($A42,'Diags Raw Data'!$A$6:$A$3821))),--('Diags Raw Data'!$Q$6:$Q$3821&lt;&gt;"N/A"),'Diags Raw Data'!$R$6:$R$3821)</f>
        <v>42</v>
      </c>
      <c r="N42" s="494" cm="1">
        <f t="array" ref="N42">SUMPRODUCT(--(ISNUMBER(SEARCH($A42,'Diags Raw Data'!$A$6:$A$3821))),--('Diags Raw Data'!$Q$6:$Q$3821&lt;&gt;"N/A"),'Diags Raw Data'!$T$6:$T$3821)+SUMPRODUCT(--(ISNUMBER(SEARCH($A42,'Diags Raw Data'!$A$6:$A$3821))),--('Diags Raw Data'!$Q$6:$Q$3821&lt;&gt;"N/A"),'Diags Raw Data'!$U$6:$U$3821)</f>
        <v>0</v>
      </c>
      <c r="O42" s="495">
        <f t="shared" si="8"/>
        <v>0</v>
      </c>
      <c r="P42" s="496">
        <f>SUMIF('Diags Raw Data'!$A$6:$A$3821,"*"&amp;$A42&amp;"*",'Diags Raw Data'!$Z$6:$Z$3821)</f>
        <v>0</v>
      </c>
      <c r="Q42" s="497">
        <f>SUM(SUMIF('Diags Raw Data'!$A$6:$A$3821,"*"&amp;$A42&amp;"*",'Diags Raw Data'!$AA$6:$AA$3821),SUMIF('Diags Raw Data'!$A$6:$A$3821,"*"&amp;$A42&amp;"*",'Diags Raw Data'!$AB$6:$AB$3821))</f>
        <v>0</v>
      </c>
      <c r="R42" s="498">
        <f t="shared" si="9"/>
        <v>0</v>
      </c>
      <c r="S42" s="498">
        <f t="shared" si="10"/>
        <v>0</v>
      </c>
      <c r="T42" s="499">
        <f t="shared" si="11"/>
        <v>0</v>
      </c>
      <c r="U42" s="447" t="s">
        <v>961</v>
      </c>
      <c r="V42" s="182"/>
    </row>
    <row r="43" spans="1:22" x14ac:dyDescent="0.25">
      <c r="A43" s="337" t="s">
        <v>994</v>
      </c>
      <c r="B43" s="443" t="s">
        <v>995</v>
      </c>
      <c r="C43" s="444" t="s">
        <v>280</v>
      </c>
      <c r="D43" s="445" t="str" cm="1">
        <f t="array" ref="D43">_xlfn.TEXTJOIN("",TRUE,IF(ISNUMBER(SEARCH($A43,'Diags Raw Data'!$A$6:$A$3821)),CONCATENATE('Diags Raw Data'!$H$6:$H$3821,", "),""))</f>
        <v xml:space="preserve">DPP009, DPP034, </v>
      </c>
      <c r="E43" s="342" t="e">
        <f>VLOOKUP(A43,'Diags Raw Data'!$A$6:$D$3821,4,FALSE)</f>
        <v>#N/A</v>
      </c>
      <c r="F43" s="342" t="str">
        <f>VLOOKUP(A43,'Feature Raw Data'!$A$3:$E$3998,5,FALSE)</f>
        <v>Legacy</v>
      </c>
      <c r="G43" s="342" t="str">
        <f t="shared" si="6"/>
        <v>Yes</v>
      </c>
      <c r="H43" s="342" t="str">
        <f t="shared" si="7"/>
        <v>Yes</v>
      </c>
      <c r="I43" s="444">
        <f>SUMIF('Diags Raw Data'!$A$6:$A$3821,"*"&amp;$A43&amp;"*",'Diags Raw Data'!$K$6:$K$3821)</f>
        <v>2</v>
      </c>
      <c r="J43" s="446">
        <f>SUMIF('Diags Raw Data'!$A$6:$A$3821,"*"&amp;$A43&amp;"*",'Diags Raw Data'!$L$6:$L$3821)</f>
        <v>65</v>
      </c>
      <c r="K43" s="491" cm="1">
        <f t="array" ref="K43">IF(D43="",0, SUMPRODUCT(--(ISNUMBER(SEARCH($A43,'Diags Raw Data'!$A$6:$A$3821))),'Diags Raw Data'!$L$6:$L$3821,'Diags Raw Data'!$N$6:$N$3821)/J43)</f>
        <v>1</v>
      </c>
      <c r="L43" s="492" cm="1">
        <f t="array" ref="L43">IF(D43="",0, SUMPRODUCT(--(ISNUMBER(SEARCH($A43,'Diags Raw Data'!$A$6:$A$3821))),'Diags Raw Data'!$L$6:$L$3821,'Diags Raw Data'!$P$6:$P$3821)/J43)</f>
        <v>1</v>
      </c>
      <c r="M43" s="493" cm="1">
        <f t="array" ref="M43">SUMPRODUCT(--(ISNUMBER(SEARCH($A43,'Diags Raw Data'!$A$6:$A$3821))),--('Diags Raw Data'!$Q$6:$Q$3821&lt;&gt;"N/A"),'Diags Raw Data'!$R$6:$R$3821)</f>
        <v>65</v>
      </c>
      <c r="N43" s="494" cm="1">
        <f t="array" ref="N43">SUMPRODUCT(--(ISNUMBER(SEARCH($A43,'Diags Raw Data'!$A$6:$A$3821))),--('Diags Raw Data'!$Q$6:$Q$3821&lt;&gt;"N/A"),'Diags Raw Data'!$T$6:$T$3821)+SUMPRODUCT(--(ISNUMBER(SEARCH($A43,'Diags Raw Data'!$A$6:$A$3821))),--('Diags Raw Data'!$Q$6:$Q$3821&lt;&gt;"N/A"),'Diags Raw Data'!$U$6:$U$3821)</f>
        <v>0</v>
      </c>
      <c r="O43" s="495">
        <f t="shared" si="8"/>
        <v>0</v>
      </c>
      <c r="P43" s="496">
        <f>SUMIF('Diags Raw Data'!$A$6:$A$3821,"*"&amp;$A43&amp;"*",'Diags Raw Data'!$Z$6:$Z$3821)</f>
        <v>0</v>
      </c>
      <c r="Q43" s="497">
        <f>SUM(SUMIF('Diags Raw Data'!$A$6:$A$3821,"*"&amp;$A43&amp;"*",'Diags Raw Data'!$AA$6:$AA$3821),SUMIF('Diags Raw Data'!$A$6:$A$3821,"*"&amp;$A43&amp;"*",'Diags Raw Data'!$AB$6:$AB$3821))</f>
        <v>0</v>
      </c>
      <c r="R43" s="498">
        <f t="shared" si="9"/>
        <v>0</v>
      </c>
      <c r="S43" s="498">
        <f t="shared" si="10"/>
        <v>0</v>
      </c>
      <c r="T43" s="499">
        <f t="shared" si="11"/>
        <v>0</v>
      </c>
      <c r="U43" s="447" t="s">
        <v>47</v>
      </c>
      <c r="V43" s="182"/>
    </row>
    <row r="44" spans="1:22" x14ac:dyDescent="0.25">
      <c r="A44" s="337" t="s">
        <v>426</v>
      </c>
      <c r="B44" s="443" t="s">
        <v>996</v>
      </c>
      <c r="C44" s="444" t="s">
        <v>280</v>
      </c>
      <c r="D44" s="445" t="str" cm="1">
        <f t="array" ref="D44">_xlfn.TEXTJOIN("",TRUE,IF(ISNUMBER(SEARCH($A44,'Diags Raw Data'!$A$6:$A$3821)),CONCATENATE('Diags Raw Data'!$H$6:$H$3821,", "),""))</f>
        <v xml:space="preserve">DPP036, </v>
      </c>
      <c r="E44" s="342" t="str">
        <f>VLOOKUP(A44,'Diags Raw Data'!$A$6:$D$3821,4,FALSE)</f>
        <v>DPP</v>
      </c>
      <c r="F44" s="342" t="str">
        <f>VLOOKUP(A44,'Feature Raw Data'!$A$3:$E$3998,5,FALSE)</f>
        <v>Legacy</v>
      </c>
      <c r="G44" s="342" t="str">
        <f t="shared" si="6"/>
        <v>Yes</v>
      </c>
      <c r="H44" s="342" t="str">
        <f t="shared" si="7"/>
        <v>Yes</v>
      </c>
      <c r="I44" s="444">
        <f>SUMIF('Diags Raw Data'!$A$6:$A$3821,"*"&amp;$A44&amp;"*",'Diags Raw Data'!$K$6:$K$3821)</f>
        <v>1</v>
      </c>
      <c r="J44" s="446">
        <f>SUMIF('Diags Raw Data'!$A$6:$A$3821,"*"&amp;$A44&amp;"*",'Diags Raw Data'!$L$6:$L$3821)</f>
        <v>2</v>
      </c>
      <c r="K44" s="491" cm="1">
        <f t="array" ref="K44">IF(D44="",0, SUMPRODUCT(--(ISNUMBER(SEARCH($A44,'Diags Raw Data'!$A$6:$A$3821))),'Diags Raw Data'!$L$6:$L$3821,'Diags Raw Data'!$N$6:$N$3821)/J44)</f>
        <v>1</v>
      </c>
      <c r="L44" s="492" cm="1">
        <f t="array" ref="L44">IF(D44="",0, SUMPRODUCT(--(ISNUMBER(SEARCH($A44,'Diags Raw Data'!$A$6:$A$3821))),'Diags Raw Data'!$L$6:$L$3821,'Diags Raw Data'!$P$6:$P$3821)/J44)</f>
        <v>1</v>
      </c>
      <c r="M44" s="493" cm="1">
        <f t="array" ref="M44">SUMPRODUCT(--(ISNUMBER(SEARCH($A44,'Diags Raw Data'!$A$6:$A$3821))),--('Diags Raw Data'!$Q$6:$Q$3821&lt;&gt;"N/A"),'Diags Raw Data'!$R$6:$R$3821)</f>
        <v>2</v>
      </c>
      <c r="N44" s="494" cm="1">
        <f t="array" ref="N44">SUMPRODUCT(--(ISNUMBER(SEARCH($A44,'Diags Raw Data'!$A$6:$A$3821))),--('Diags Raw Data'!$Q$6:$Q$3821&lt;&gt;"N/A"),'Diags Raw Data'!$T$6:$T$3821)+SUMPRODUCT(--(ISNUMBER(SEARCH($A44,'Diags Raw Data'!$A$6:$A$3821))),--('Diags Raw Data'!$Q$6:$Q$3821&lt;&gt;"N/A"),'Diags Raw Data'!$U$6:$U$3821)</f>
        <v>0</v>
      </c>
      <c r="O44" s="495">
        <f t="shared" si="8"/>
        <v>0</v>
      </c>
      <c r="P44" s="496">
        <f>SUMIF('Diags Raw Data'!$A$6:$A$3821,"*"&amp;$A44&amp;"*",'Diags Raw Data'!$Z$6:$Z$3821)</f>
        <v>0</v>
      </c>
      <c r="Q44" s="497">
        <f>SUM(SUMIF('Diags Raw Data'!$A$6:$A$3821,"*"&amp;$A44&amp;"*",'Diags Raw Data'!$AA$6:$AA$3821),SUMIF('Diags Raw Data'!$A$6:$A$3821,"*"&amp;$A44&amp;"*",'Diags Raw Data'!$AB$6:$AB$3821))</f>
        <v>0</v>
      </c>
      <c r="R44" s="498">
        <f t="shared" si="9"/>
        <v>0</v>
      </c>
      <c r="S44" s="498">
        <f t="shared" si="10"/>
        <v>0</v>
      </c>
      <c r="T44" s="499">
        <f t="shared" si="11"/>
        <v>0</v>
      </c>
      <c r="U44" s="447" t="s">
        <v>948</v>
      </c>
      <c r="V44" s="182"/>
    </row>
    <row r="45" spans="1:22" x14ac:dyDescent="0.25">
      <c r="A45" s="337" t="s">
        <v>997</v>
      </c>
      <c r="B45" s="443" t="s">
        <v>998</v>
      </c>
      <c r="C45" s="444" t="s">
        <v>280</v>
      </c>
      <c r="D45" s="445" t="str" cm="1">
        <f t="array" ref="D45">_xlfn.TEXTJOIN("",TRUE,IF(ISNUMBER(SEARCH($A45,'Diags Raw Data'!$A$6:$A$3821)),CONCATENATE('Diags Raw Data'!$H$6:$H$3821,", "),""))</f>
        <v xml:space="preserve">DPP009, DPP034, </v>
      </c>
      <c r="E45" s="342" t="e">
        <f>VLOOKUP(A45,'Diags Raw Data'!$A$6:$D$3821,4,FALSE)</f>
        <v>#N/A</v>
      </c>
      <c r="F45" s="342" t="str">
        <f>VLOOKUP(A45,'Feature Raw Data'!$A$3:$E$3998,5,FALSE)</f>
        <v>Legacy</v>
      </c>
      <c r="G45" s="342" t="str">
        <f t="shared" si="6"/>
        <v>Yes</v>
      </c>
      <c r="H45" s="342" t="str">
        <f t="shared" si="7"/>
        <v>Yes</v>
      </c>
      <c r="I45" s="444">
        <f>SUMIF('Diags Raw Data'!$A$6:$A$3821,"*"&amp;$A45&amp;"*",'Diags Raw Data'!$K$6:$K$3821)</f>
        <v>2</v>
      </c>
      <c r="J45" s="446">
        <f>SUMIF('Diags Raw Data'!$A$6:$A$3821,"*"&amp;$A45&amp;"*",'Diags Raw Data'!$L$6:$L$3821)</f>
        <v>65</v>
      </c>
      <c r="K45" s="491" cm="1">
        <f t="array" ref="K45">IF(D45="",0, SUMPRODUCT(--(ISNUMBER(SEARCH($A45,'Diags Raw Data'!$A$6:$A$3821))),'Diags Raw Data'!$L$6:$L$3821,'Diags Raw Data'!$N$6:$N$3821)/J45)</f>
        <v>1</v>
      </c>
      <c r="L45" s="492" cm="1">
        <f t="array" ref="L45">IF(D45="",0, SUMPRODUCT(--(ISNUMBER(SEARCH($A45,'Diags Raw Data'!$A$6:$A$3821))),'Diags Raw Data'!$L$6:$L$3821,'Diags Raw Data'!$P$6:$P$3821)/J45)</f>
        <v>1</v>
      </c>
      <c r="M45" s="493" cm="1">
        <f t="array" ref="M45">SUMPRODUCT(--(ISNUMBER(SEARCH($A45,'Diags Raw Data'!$A$6:$A$3821))),--('Diags Raw Data'!$Q$6:$Q$3821&lt;&gt;"N/A"),'Diags Raw Data'!$R$6:$R$3821)</f>
        <v>65</v>
      </c>
      <c r="N45" s="494" cm="1">
        <f t="array" ref="N45">SUMPRODUCT(--(ISNUMBER(SEARCH($A45,'Diags Raw Data'!$A$6:$A$3821))),--('Diags Raw Data'!$Q$6:$Q$3821&lt;&gt;"N/A"),'Diags Raw Data'!$T$6:$T$3821)+SUMPRODUCT(--(ISNUMBER(SEARCH($A45,'Diags Raw Data'!$A$6:$A$3821))),--('Diags Raw Data'!$Q$6:$Q$3821&lt;&gt;"N/A"),'Diags Raw Data'!$U$6:$U$3821)</f>
        <v>0</v>
      </c>
      <c r="O45" s="495">
        <f t="shared" si="8"/>
        <v>0</v>
      </c>
      <c r="P45" s="496">
        <f>SUMIF('Diags Raw Data'!$A$6:$A$3821,"*"&amp;$A45&amp;"*",'Diags Raw Data'!$Z$6:$Z$3821)</f>
        <v>0</v>
      </c>
      <c r="Q45" s="497">
        <f>SUM(SUMIF('Diags Raw Data'!$A$6:$A$3821,"*"&amp;$A45&amp;"*",'Diags Raw Data'!$AA$6:$AA$3821),SUMIF('Diags Raw Data'!$A$6:$A$3821,"*"&amp;$A45&amp;"*",'Diags Raw Data'!$AB$6:$AB$3821))</f>
        <v>0</v>
      </c>
      <c r="R45" s="498">
        <f t="shared" si="9"/>
        <v>0</v>
      </c>
      <c r="S45" s="498">
        <f t="shared" si="10"/>
        <v>0</v>
      </c>
      <c r="T45" s="499">
        <f t="shared" si="11"/>
        <v>0</v>
      </c>
      <c r="U45" s="447" t="s">
        <v>948</v>
      </c>
      <c r="V45" s="182"/>
    </row>
    <row r="46" spans="1:22" x14ac:dyDescent="0.25">
      <c r="A46" s="337" t="s">
        <v>398</v>
      </c>
      <c r="B46" s="443" t="s">
        <v>999</v>
      </c>
      <c r="C46" s="444" t="s">
        <v>280</v>
      </c>
      <c r="D46" s="445" t="str" cm="1">
        <f t="array" ref="D46">_xlfn.TEXTJOIN("",TRUE,IF(ISNUMBER(SEARCH($A46,'Diags Raw Data'!$A$6:$A$3821)),CONCATENATE('Diags Raw Data'!$H$6:$H$3821,", "),""))</f>
        <v xml:space="preserve">DPP010, </v>
      </c>
      <c r="E46" s="342" t="str">
        <f>VLOOKUP(A46,'Diags Raw Data'!$A$6:$D$3821,4,FALSE)</f>
        <v>DPP</v>
      </c>
      <c r="F46" s="342" t="str">
        <f>VLOOKUP(A46,'Feature Raw Data'!$A$3:$E$3998,5,FALSE)</f>
        <v>Legacy</v>
      </c>
      <c r="G46" s="342" t="str">
        <f t="shared" si="6"/>
        <v>Yes</v>
      </c>
      <c r="H46" s="342" t="str">
        <f t="shared" si="7"/>
        <v>Yes</v>
      </c>
      <c r="I46" s="444">
        <f>SUMIF('Diags Raw Data'!$A$6:$A$3821,"*"&amp;$A46&amp;"*",'Diags Raw Data'!$K$6:$K$3821)</f>
        <v>1</v>
      </c>
      <c r="J46" s="446">
        <f>SUMIF('Diags Raw Data'!$A$6:$A$3821,"*"&amp;$A46&amp;"*",'Diags Raw Data'!$L$6:$L$3821)</f>
        <v>35</v>
      </c>
      <c r="K46" s="491" cm="1">
        <f t="array" ref="K46">IF(D46="",0, SUMPRODUCT(--(ISNUMBER(SEARCH($A46,'Diags Raw Data'!$A$6:$A$3821))),'Diags Raw Data'!$L$6:$L$3821,'Diags Raw Data'!$N$6:$N$3821)/J46)</f>
        <v>1</v>
      </c>
      <c r="L46" s="492" cm="1">
        <f t="array" ref="L46">IF(D46="",0, SUMPRODUCT(--(ISNUMBER(SEARCH($A46,'Diags Raw Data'!$A$6:$A$3821))),'Diags Raw Data'!$L$6:$L$3821,'Diags Raw Data'!$P$6:$P$3821)/J46)</f>
        <v>1</v>
      </c>
      <c r="M46" s="493" cm="1">
        <f t="array" ref="M46">SUMPRODUCT(--(ISNUMBER(SEARCH($A46,'Diags Raw Data'!$A$6:$A$3821))),--('Diags Raw Data'!$Q$6:$Q$3821&lt;&gt;"N/A"),'Diags Raw Data'!$R$6:$R$3821)</f>
        <v>35</v>
      </c>
      <c r="N46" s="494" cm="1">
        <f t="array" ref="N46">SUMPRODUCT(--(ISNUMBER(SEARCH($A46,'Diags Raw Data'!$A$6:$A$3821))),--('Diags Raw Data'!$Q$6:$Q$3821&lt;&gt;"N/A"),'Diags Raw Data'!$T$6:$T$3821)+SUMPRODUCT(--(ISNUMBER(SEARCH($A46,'Diags Raw Data'!$A$6:$A$3821))),--('Diags Raw Data'!$Q$6:$Q$3821&lt;&gt;"N/A"),'Diags Raw Data'!$U$6:$U$3821)</f>
        <v>0</v>
      </c>
      <c r="O46" s="495">
        <f t="shared" si="8"/>
        <v>0</v>
      </c>
      <c r="P46" s="496">
        <f>SUMIF('Diags Raw Data'!$A$6:$A$3821,"*"&amp;$A46&amp;"*",'Diags Raw Data'!$Z$6:$Z$3821)</f>
        <v>0</v>
      </c>
      <c r="Q46" s="497">
        <f>SUM(SUMIF('Diags Raw Data'!$A$6:$A$3821,"*"&amp;$A46&amp;"*",'Diags Raw Data'!$AA$6:$AA$3821),SUMIF('Diags Raw Data'!$A$6:$A$3821,"*"&amp;$A46&amp;"*",'Diags Raw Data'!$AB$6:$AB$3821))</f>
        <v>0</v>
      </c>
      <c r="R46" s="498">
        <f t="shared" si="9"/>
        <v>0</v>
      </c>
      <c r="S46" s="498">
        <f t="shared" si="10"/>
        <v>0</v>
      </c>
      <c r="T46" s="499">
        <f t="shared" si="11"/>
        <v>0</v>
      </c>
      <c r="U46" s="447" t="s">
        <v>948</v>
      </c>
      <c r="V46" s="182"/>
    </row>
    <row r="47" spans="1:22" x14ac:dyDescent="0.25">
      <c r="A47" s="337" t="s">
        <v>1000</v>
      </c>
      <c r="B47" s="443" t="s">
        <v>1001</v>
      </c>
      <c r="C47" s="444" t="s">
        <v>280</v>
      </c>
      <c r="D47" s="445" t="str" cm="1">
        <f t="array" ref="D47">_xlfn.TEXTJOIN("",TRUE,IF(ISNUMBER(SEARCH($A47,'Diags Raw Data'!$A$6:$A$3821)),CONCATENATE('Diags Raw Data'!$H$6:$H$3821,", "),""))</f>
        <v xml:space="preserve">DISP001, </v>
      </c>
      <c r="E47" s="342" t="e">
        <f>VLOOKUP(A47,'Diags Raw Data'!$A$6:$D$3821,4,FALSE)</f>
        <v>#N/A</v>
      </c>
      <c r="F47" s="342" t="str">
        <f>VLOOKUP(A47,'Feature Raw Data'!$A$3:$E$3998,5,FALSE)</f>
        <v>Legacy</v>
      </c>
      <c r="G47" s="342" t="str">
        <f t="shared" si="6"/>
        <v>Yes</v>
      </c>
      <c r="H47" s="342" t="str">
        <f t="shared" si="7"/>
        <v>Yes</v>
      </c>
      <c r="I47" s="444">
        <f>SUMIF('Diags Raw Data'!$A$6:$A$3821,"*"&amp;$A47&amp;"*",'Diags Raw Data'!$K$6:$K$3821)</f>
        <v>1</v>
      </c>
      <c r="J47" s="446">
        <f>SUMIF('Diags Raw Data'!$A$6:$A$3821,"*"&amp;$A47&amp;"*",'Diags Raw Data'!$L$6:$L$3821)</f>
        <v>4</v>
      </c>
      <c r="K47" s="491" cm="1">
        <f t="array" ref="K47">IF(D47="",0, SUMPRODUCT(--(ISNUMBER(SEARCH($A47,'Diags Raw Data'!$A$6:$A$3821))),'Diags Raw Data'!$L$6:$L$3821,'Diags Raw Data'!$N$6:$N$3821)/J47)</f>
        <v>1</v>
      </c>
      <c r="L47" s="492" cm="1">
        <f t="array" ref="L47">IF(D47="",0, SUMPRODUCT(--(ISNUMBER(SEARCH($A47,'Diags Raw Data'!$A$6:$A$3821))),'Diags Raw Data'!$L$6:$L$3821,'Diags Raw Data'!$P$6:$P$3821)/J47)</f>
        <v>1</v>
      </c>
      <c r="M47" s="493" cm="1">
        <f t="array" ref="M47">SUMPRODUCT(--(ISNUMBER(SEARCH($A47,'Diags Raw Data'!$A$6:$A$3821))),--('Diags Raw Data'!$Q$6:$Q$3821&lt;&gt;"N/A"),'Diags Raw Data'!$R$6:$R$3821)</f>
        <v>1</v>
      </c>
      <c r="N47" s="494" cm="1">
        <f t="array" ref="N47">SUMPRODUCT(--(ISNUMBER(SEARCH($A47,'Diags Raw Data'!$A$6:$A$3821))),--('Diags Raw Data'!$Q$6:$Q$3821&lt;&gt;"N/A"),'Diags Raw Data'!$T$6:$T$3821)+SUMPRODUCT(--(ISNUMBER(SEARCH($A47,'Diags Raw Data'!$A$6:$A$3821))),--('Diags Raw Data'!$Q$6:$Q$3821&lt;&gt;"N/A"),'Diags Raw Data'!$U$6:$U$3821)</f>
        <v>0</v>
      </c>
      <c r="O47" s="495">
        <f t="shared" si="8"/>
        <v>0</v>
      </c>
      <c r="P47" s="496">
        <v>0</v>
      </c>
      <c r="Q47" s="497">
        <f>SUM(SUMIF('Diags Raw Data'!$A$6:$A$3821,"*"&amp;$A47&amp;"*",'Diags Raw Data'!$AA$6:$AA$3821),SUMIF('Diags Raw Data'!$A$6:$A$3821,"*"&amp;$A47&amp;"*",'Diags Raw Data'!$AB$6:$AB$3821))</f>
        <v>0</v>
      </c>
      <c r="R47" s="498">
        <f t="shared" si="9"/>
        <v>0</v>
      </c>
      <c r="S47" s="498">
        <f t="shared" si="10"/>
        <v>0</v>
      </c>
      <c r="T47" s="499">
        <f t="shared" si="11"/>
        <v>0</v>
      </c>
      <c r="U47" s="447" t="s">
        <v>47</v>
      </c>
      <c r="V47" s="182"/>
    </row>
    <row r="48" spans="1:22" x14ac:dyDescent="0.25">
      <c r="A48" s="337" t="s">
        <v>1002</v>
      </c>
      <c r="B48" s="443" t="s">
        <v>1003</v>
      </c>
      <c r="C48" s="444" t="s">
        <v>280</v>
      </c>
      <c r="D48" s="445" t="str" cm="1">
        <f t="array" ref="D48">_xlfn.TEXTJOIN("",TRUE,IF(ISNUMBER(SEARCH($A48,'Diags Raw Data'!$A$6:$A$3821)),CONCATENATE('Diags Raw Data'!$H$6:$H$3821,", "),""))</f>
        <v xml:space="preserve">MPC003, </v>
      </c>
      <c r="E48" s="342" t="e">
        <f>VLOOKUP(A48,'Diags Raw Data'!$A$6:$D$3821,4,FALSE)</f>
        <v>#N/A</v>
      </c>
      <c r="F48" s="342" t="str">
        <f>VLOOKUP(A48,'Feature Raw Data'!$A$3:$E$3998,5,FALSE)</f>
        <v>Legacy</v>
      </c>
      <c r="G48" s="342" t="str">
        <f t="shared" si="6"/>
        <v>Yes</v>
      </c>
      <c r="H48" s="342" t="str">
        <f t="shared" si="7"/>
        <v>Yes</v>
      </c>
      <c r="I48" s="444">
        <f>SUMIF('Diags Raw Data'!$A$6:$A$3821,"*"&amp;$A48&amp;"*",'Diags Raw Data'!$K$6:$K$3821)</f>
        <v>1</v>
      </c>
      <c r="J48" s="446">
        <f>SUMIF('Diags Raw Data'!$A$6:$A$3821,"*"&amp;$A48&amp;"*",'Diags Raw Data'!$L$6:$L$3821)</f>
        <v>5</v>
      </c>
      <c r="K48" s="491" cm="1">
        <f t="array" ref="K48">IF(D48="",0, SUMPRODUCT(--(ISNUMBER(SEARCH($A48,'Diags Raw Data'!$A$6:$A$3821))),'Diags Raw Data'!$L$6:$L$3821,'Diags Raw Data'!$N$6:$N$3821)/J48)</f>
        <v>1</v>
      </c>
      <c r="L48" s="492" cm="1">
        <f t="array" ref="L48">IF(D48="",0, SUMPRODUCT(--(ISNUMBER(SEARCH($A48,'Diags Raw Data'!$A$6:$A$3821))),'Diags Raw Data'!$L$6:$L$3821,'Diags Raw Data'!$P$6:$P$3821)/J48)</f>
        <v>1</v>
      </c>
      <c r="M48" s="493" cm="1">
        <f t="array" ref="M48">SUMPRODUCT(--(ISNUMBER(SEARCH($A48,'Diags Raw Data'!$A$6:$A$3821))),--('Diags Raw Data'!$Q$6:$Q$3821&lt;&gt;"N/A"),'Diags Raw Data'!$R$6:$R$3821)</f>
        <v>5</v>
      </c>
      <c r="N48" s="494" cm="1">
        <f t="array" ref="N48">SUMPRODUCT(--(ISNUMBER(SEARCH($A48,'Diags Raw Data'!$A$6:$A$3821))),--('Diags Raw Data'!$Q$6:$Q$3821&lt;&gt;"N/A"),'Diags Raw Data'!$T$6:$T$3821)+SUMPRODUCT(--(ISNUMBER(SEARCH($A48,'Diags Raw Data'!$A$6:$A$3821))),--('Diags Raw Data'!$Q$6:$Q$3821&lt;&gt;"N/A"),'Diags Raw Data'!$U$6:$U$3821)</f>
        <v>0</v>
      </c>
      <c r="O48" s="495">
        <f t="shared" si="8"/>
        <v>0</v>
      </c>
      <c r="P48" s="496">
        <v>0</v>
      </c>
      <c r="Q48" s="497">
        <f>SUM(SUMIF('Diags Raw Data'!$A$6:$A$3821,"*"&amp;$A48&amp;"*",'Diags Raw Data'!$AA$6:$AA$3821),SUMIF('Diags Raw Data'!$A$6:$A$3821,"*"&amp;$A48&amp;"*",'Diags Raw Data'!$AB$6:$AB$3821))</f>
        <v>0</v>
      </c>
      <c r="R48" s="498">
        <f t="shared" si="9"/>
        <v>0</v>
      </c>
      <c r="S48" s="498">
        <f t="shared" si="10"/>
        <v>0</v>
      </c>
      <c r="T48" s="499">
        <f t="shared" si="11"/>
        <v>0</v>
      </c>
      <c r="U48" s="447" t="s">
        <v>961</v>
      </c>
      <c r="V48" s="182"/>
    </row>
    <row r="49" spans="1:22" x14ac:dyDescent="0.25">
      <c r="A49" s="337" t="s">
        <v>1004</v>
      </c>
      <c r="B49" s="443" t="s">
        <v>1005</v>
      </c>
      <c r="C49" s="444" t="s">
        <v>280</v>
      </c>
      <c r="D49" s="445" t="str" cm="1">
        <f t="array" ref="D49">_xlfn.TEXTJOIN("",TRUE,IF(ISNUMBER(SEARCH($A49,'Diags Raw Data'!$A$6:$A$3821)),CONCATENATE('Diags Raw Data'!$H$6:$H$3821,", "),""))</f>
        <v xml:space="preserve">MPC003, MPC007, </v>
      </c>
      <c r="E49" s="342" t="e">
        <f>VLOOKUP(A49,'Diags Raw Data'!$A$6:$D$3821,4,FALSE)</f>
        <v>#N/A</v>
      </c>
      <c r="F49" s="342" t="str">
        <f>VLOOKUP(A49,'Feature Raw Data'!$A$3:$E$3998,5,FALSE)</f>
        <v>Legacy</v>
      </c>
      <c r="G49" s="342" t="str">
        <f t="shared" si="6"/>
        <v>Yes</v>
      </c>
      <c r="H49" s="342" t="str">
        <f t="shared" si="7"/>
        <v>Yes</v>
      </c>
      <c r="I49" s="444">
        <f>SUMIF('Diags Raw Data'!$A$6:$A$3821,"*"&amp;$A49&amp;"*",'Diags Raw Data'!$K$6:$K$3821)</f>
        <v>2</v>
      </c>
      <c r="J49" s="446">
        <f>SUMIF('Diags Raw Data'!$A$6:$A$3821,"*"&amp;$A49&amp;"*",'Diags Raw Data'!$L$6:$L$3821)</f>
        <v>9</v>
      </c>
      <c r="K49" s="491" cm="1">
        <f t="array" ref="K49">IF(D49="",0, SUMPRODUCT(--(ISNUMBER(SEARCH($A49,'Diags Raw Data'!$A$6:$A$3821))),'Diags Raw Data'!$L$6:$L$3821,'Diags Raw Data'!$N$6:$N$3821)/J49)</f>
        <v>1</v>
      </c>
      <c r="L49" s="492" cm="1">
        <f t="array" ref="L49">IF(D49="",0, SUMPRODUCT(--(ISNUMBER(SEARCH($A49,'Diags Raw Data'!$A$6:$A$3821))),'Diags Raw Data'!$L$6:$L$3821,'Diags Raw Data'!$P$6:$P$3821)/J49)</f>
        <v>1</v>
      </c>
      <c r="M49" s="493" cm="1">
        <f t="array" ref="M49">SUMPRODUCT(--(ISNUMBER(SEARCH($A49,'Diags Raw Data'!$A$6:$A$3821))),--('Diags Raw Data'!$Q$6:$Q$3821&lt;&gt;"N/A"),'Diags Raw Data'!$R$6:$R$3821)</f>
        <v>9</v>
      </c>
      <c r="N49" s="494" cm="1">
        <f t="array" ref="N49">SUMPRODUCT(--(ISNUMBER(SEARCH($A49,'Diags Raw Data'!$A$6:$A$3821))),--('Diags Raw Data'!$Q$6:$Q$3821&lt;&gt;"N/A"),'Diags Raw Data'!$T$6:$T$3821)+SUMPRODUCT(--(ISNUMBER(SEARCH($A49,'Diags Raw Data'!$A$6:$A$3821))),--('Diags Raw Data'!$Q$6:$Q$3821&lt;&gt;"N/A"),'Diags Raw Data'!$U$6:$U$3821)</f>
        <v>0</v>
      </c>
      <c r="O49" s="495">
        <f t="shared" si="8"/>
        <v>0</v>
      </c>
      <c r="P49" s="496">
        <v>0</v>
      </c>
      <c r="Q49" s="497">
        <f>SUM(SUMIF('Diags Raw Data'!$A$6:$A$3821,"*"&amp;$A49&amp;"*",'Diags Raw Data'!$AA$6:$AA$3821),SUMIF('Diags Raw Data'!$A$6:$A$3821,"*"&amp;$A49&amp;"*",'Diags Raw Data'!$AB$6:$AB$3821))</f>
        <v>0</v>
      </c>
      <c r="R49" s="498">
        <f t="shared" si="9"/>
        <v>0</v>
      </c>
      <c r="S49" s="498">
        <f t="shared" si="10"/>
        <v>0</v>
      </c>
      <c r="T49" s="499">
        <f t="shared" si="11"/>
        <v>0</v>
      </c>
      <c r="U49" s="447" t="s">
        <v>961</v>
      </c>
      <c r="V49" s="182"/>
    </row>
    <row r="50" spans="1:22" x14ac:dyDescent="0.25">
      <c r="A50" s="337" t="s">
        <v>1006</v>
      </c>
      <c r="B50" s="443" t="s">
        <v>1007</v>
      </c>
      <c r="C50" s="444" t="s">
        <v>280</v>
      </c>
      <c r="D50" s="445" t="str" cm="1">
        <f t="array" ref="D50">_xlfn.TEXTJOIN("",TRUE,IF(ISNUMBER(SEARCH($A50,'Diags Raw Data'!$A$6:$A$3821)),CONCATENATE('Diags Raw Data'!$H$6:$H$3821,", "),""))</f>
        <v xml:space="preserve">MPC003, MPC007, </v>
      </c>
      <c r="E50" s="342" t="e">
        <f>VLOOKUP(A50,'Diags Raw Data'!$A$6:$D$3821,4,FALSE)</f>
        <v>#N/A</v>
      </c>
      <c r="F50" s="342" t="str">
        <f>VLOOKUP(A50,'Feature Raw Data'!$A$3:$E$3998,5,FALSE)</f>
        <v>Legacy</v>
      </c>
      <c r="G50" s="342" t="str">
        <f t="shared" si="6"/>
        <v>Yes</v>
      </c>
      <c r="H50" s="342" t="str">
        <f t="shared" si="7"/>
        <v>Yes</v>
      </c>
      <c r="I50" s="444">
        <f>SUMIF('Diags Raw Data'!$A$6:$A$3821,"*"&amp;$A50&amp;"*",'Diags Raw Data'!$K$6:$K$3821)</f>
        <v>2</v>
      </c>
      <c r="J50" s="446">
        <f>SUMIF('Diags Raw Data'!$A$6:$A$3821,"*"&amp;$A50&amp;"*",'Diags Raw Data'!$L$6:$L$3821)</f>
        <v>9</v>
      </c>
      <c r="K50" s="491" cm="1">
        <f t="array" ref="K50">IF(D50="",0, SUMPRODUCT(--(ISNUMBER(SEARCH($A50,'Diags Raw Data'!$A$6:$A$3821))),'Diags Raw Data'!$L$6:$L$3821,'Diags Raw Data'!$N$6:$N$3821)/J50)</f>
        <v>1</v>
      </c>
      <c r="L50" s="492" cm="1">
        <f t="array" ref="L50">IF(D50="",0, SUMPRODUCT(--(ISNUMBER(SEARCH($A50,'Diags Raw Data'!$A$6:$A$3821))),'Diags Raw Data'!$L$6:$L$3821,'Diags Raw Data'!$P$6:$P$3821)/J50)</f>
        <v>1</v>
      </c>
      <c r="M50" s="493" cm="1">
        <f t="array" ref="M50">SUMPRODUCT(--(ISNUMBER(SEARCH($A50,'Diags Raw Data'!$A$6:$A$3821))),--('Diags Raw Data'!$Q$6:$Q$3821&lt;&gt;"N/A"),'Diags Raw Data'!$R$6:$R$3821)</f>
        <v>9</v>
      </c>
      <c r="N50" s="494" cm="1">
        <f t="array" ref="N50">SUMPRODUCT(--(ISNUMBER(SEARCH($A50,'Diags Raw Data'!$A$6:$A$3821))),--('Diags Raw Data'!$Q$6:$Q$3821&lt;&gt;"N/A"),'Diags Raw Data'!$T$6:$T$3821)+SUMPRODUCT(--(ISNUMBER(SEARCH($A50,'Diags Raw Data'!$A$6:$A$3821))),--('Diags Raw Data'!$Q$6:$Q$3821&lt;&gt;"N/A"),'Diags Raw Data'!$U$6:$U$3821)</f>
        <v>0</v>
      </c>
      <c r="O50" s="495">
        <f t="shared" si="8"/>
        <v>0</v>
      </c>
      <c r="P50" s="496">
        <v>0</v>
      </c>
      <c r="Q50" s="497">
        <f>SUM(SUMIF('Diags Raw Data'!$A$6:$A$3821,"*"&amp;$A50&amp;"*",'Diags Raw Data'!$AA$6:$AA$3821),SUMIF('Diags Raw Data'!$A$6:$A$3821,"*"&amp;$A50&amp;"*",'Diags Raw Data'!$AB$6:$AB$3821))</f>
        <v>0</v>
      </c>
      <c r="R50" s="498">
        <f t="shared" si="9"/>
        <v>0</v>
      </c>
      <c r="S50" s="498">
        <f t="shared" si="10"/>
        <v>0</v>
      </c>
      <c r="T50" s="499">
        <f t="shared" si="11"/>
        <v>0</v>
      </c>
      <c r="U50" s="447" t="s">
        <v>961</v>
      </c>
      <c r="V50" s="182"/>
    </row>
    <row r="51" spans="1:22" x14ac:dyDescent="0.25">
      <c r="A51" s="337" t="s">
        <v>476</v>
      </c>
      <c r="B51" s="443" t="s">
        <v>1008</v>
      </c>
      <c r="C51" s="444" t="s">
        <v>280</v>
      </c>
      <c r="D51" s="445" t="str" cm="1">
        <f t="array" ref="D51">_xlfn.TEXTJOIN("",TRUE,IF(ISNUMBER(SEARCH($A51,'Diags Raw Data'!$A$6:$A$3821)),CONCATENATE('Diags Raw Data'!$H$6:$H$3821,", "),""))</f>
        <v xml:space="preserve">MPC005, </v>
      </c>
      <c r="E51" s="342" t="str">
        <f>VLOOKUP(A51,'Diags Raw Data'!$A$6:$D$3821,4,FALSE)</f>
        <v>MPC</v>
      </c>
      <c r="F51" s="342" t="str">
        <f>VLOOKUP(A51,'Feature Raw Data'!$A$3:$E$3998,5,FALSE)</f>
        <v>Legacy</v>
      </c>
      <c r="G51" s="342" t="str">
        <f t="shared" si="6"/>
        <v>Yes</v>
      </c>
      <c r="H51" s="342" t="str">
        <f t="shared" si="7"/>
        <v>Yes</v>
      </c>
      <c r="I51" s="444">
        <f>SUMIF('Diags Raw Data'!$A$6:$A$3821,"*"&amp;$A51&amp;"*",'Diags Raw Data'!$K$6:$K$3821)</f>
        <v>1</v>
      </c>
      <c r="J51" s="446">
        <f>SUMIF('Diags Raw Data'!$A$6:$A$3821,"*"&amp;$A51&amp;"*",'Diags Raw Data'!$L$6:$L$3821)</f>
        <v>1</v>
      </c>
      <c r="K51" s="491" cm="1">
        <f t="array" ref="K51">IF(D51="",0, SUMPRODUCT(--(ISNUMBER(SEARCH($A51,'Diags Raw Data'!$A$6:$A$3821))),'Diags Raw Data'!$L$6:$L$3821,'Diags Raw Data'!$N$6:$N$3821)/J51)</f>
        <v>1</v>
      </c>
      <c r="L51" s="492" cm="1">
        <f t="array" ref="L51">IF(D51="",0, SUMPRODUCT(--(ISNUMBER(SEARCH($A51,'Diags Raw Data'!$A$6:$A$3821))),'Diags Raw Data'!$L$6:$L$3821,'Diags Raw Data'!$P$6:$P$3821)/J51)</f>
        <v>1</v>
      </c>
      <c r="M51" s="493" cm="1">
        <f t="array" ref="M51">SUMPRODUCT(--(ISNUMBER(SEARCH($A51,'Diags Raw Data'!$A$6:$A$3821))),--('Diags Raw Data'!$Q$6:$Q$3821&lt;&gt;"N/A"),'Diags Raw Data'!$R$6:$R$3821)</f>
        <v>1</v>
      </c>
      <c r="N51" s="494" cm="1">
        <f t="array" ref="N51">SUMPRODUCT(--(ISNUMBER(SEARCH($A51,'Diags Raw Data'!$A$6:$A$3821))),--('Diags Raw Data'!$Q$6:$Q$3821&lt;&gt;"N/A"),'Diags Raw Data'!$T$6:$T$3821)+SUMPRODUCT(--(ISNUMBER(SEARCH($A51,'Diags Raw Data'!$A$6:$A$3821))),--('Diags Raw Data'!$Q$6:$Q$3821&lt;&gt;"N/A"),'Diags Raw Data'!$U$6:$U$3821)</f>
        <v>0</v>
      </c>
      <c r="O51" s="495">
        <f t="shared" si="8"/>
        <v>0</v>
      </c>
      <c r="P51" s="496">
        <f>SUMIF('Diags Raw Data'!$A$6:$A$3821,"*"&amp;$A51&amp;"*",'Diags Raw Data'!$Z$6:$Z$3821)</f>
        <v>0</v>
      </c>
      <c r="Q51" s="497">
        <f>SUM(SUMIF('Diags Raw Data'!$A$6:$A$3821,"*"&amp;$A51&amp;"*",'Diags Raw Data'!$AA$6:$AA$3821),SUMIF('Diags Raw Data'!$A$6:$A$3821,"*"&amp;$A51&amp;"*",'Diags Raw Data'!$AB$6:$AB$3821))</f>
        <v>0</v>
      </c>
      <c r="R51" s="498">
        <f t="shared" si="9"/>
        <v>0</v>
      </c>
      <c r="S51" s="498">
        <f t="shared" si="10"/>
        <v>0</v>
      </c>
      <c r="T51" s="499">
        <f t="shared" si="11"/>
        <v>0</v>
      </c>
      <c r="U51" s="447" t="s">
        <v>948</v>
      </c>
      <c r="V51" s="182"/>
    </row>
    <row r="52" spans="1:22" x14ac:dyDescent="0.25">
      <c r="A52" s="337" t="s">
        <v>1009</v>
      </c>
      <c r="B52" s="443" t="s">
        <v>1010</v>
      </c>
      <c r="C52" s="444" t="s">
        <v>280</v>
      </c>
      <c r="D52" s="445" t="str" cm="1">
        <f t="array" ref="D52">_xlfn.TEXTJOIN("",TRUE,IF(ISNUMBER(SEARCH($A52,'Diags Raw Data'!$A$6:$A$3821)),CONCATENATE('Diags Raw Data'!$H$6:$H$3821,", "),""))</f>
        <v xml:space="preserve">MPC015, </v>
      </c>
      <c r="E52" s="342" t="e">
        <f>VLOOKUP(A52,'Diags Raw Data'!$A$6:$D$3821,4,FALSE)</f>
        <v>#N/A</v>
      </c>
      <c r="F52" s="342" t="str">
        <f>VLOOKUP(A52,'Feature Raw Data'!$A$3:$E$3998,5,FALSE)</f>
        <v>Legacy</v>
      </c>
      <c r="G52" s="342" t="str">
        <f t="shared" si="6"/>
        <v>Yes</v>
      </c>
      <c r="H52" s="342" t="str">
        <f t="shared" si="7"/>
        <v>Yes</v>
      </c>
      <c r="I52" s="444">
        <f>SUMIF('Diags Raw Data'!$A$6:$A$3821,"*"&amp;$A52&amp;"*",'Diags Raw Data'!$K$6:$K$3821)</f>
        <v>1</v>
      </c>
      <c r="J52" s="446">
        <f>SUMIF('Diags Raw Data'!$A$6:$A$3821,"*"&amp;$A52&amp;"*",'Diags Raw Data'!$L$6:$L$3821)</f>
        <v>16</v>
      </c>
      <c r="K52" s="491" cm="1">
        <f t="array" ref="K52">IF(D52="",0, SUMPRODUCT(--(ISNUMBER(SEARCH($A52,'Diags Raw Data'!$A$6:$A$3821))),'Diags Raw Data'!$L$6:$L$3821,'Diags Raw Data'!$N$6:$N$3821)/J52)</f>
        <v>1</v>
      </c>
      <c r="L52" s="492" cm="1">
        <f t="array" ref="L52">IF(D52="",0, SUMPRODUCT(--(ISNUMBER(SEARCH($A52,'Diags Raw Data'!$A$6:$A$3821))),'Diags Raw Data'!$L$6:$L$3821,'Diags Raw Data'!$P$6:$P$3821)/J52)</f>
        <v>1</v>
      </c>
      <c r="M52" s="493" cm="1">
        <f t="array" ref="M52">SUMPRODUCT(--(ISNUMBER(SEARCH($A52,'Diags Raw Data'!$A$6:$A$3821))),--('Diags Raw Data'!$Q$6:$Q$3821&lt;&gt;"N/A"),'Diags Raw Data'!$R$6:$R$3821)</f>
        <v>16</v>
      </c>
      <c r="N52" s="494" cm="1">
        <f t="array" ref="N52">SUMPRODUCT(--(ISNUMBER(SEARCH($A52,'Diags Raw Data'!$A$6:$A$3821))),--('Diags Raw Data'!$Q$6:$Q$3821&lt;&gt;"N/A"),'Diags Raw Data'!$T$6:$T$3821)+SUMPRODUCT(--(ISNUMBER(SEARCH($A52,'Diags Raw Data'!$A$6:$A$3821))),--('Diags Raw Data'!$Q$6:$Q$3821&lt;&gt;"N/A"),'Diags Raw Data'!$U$6:$U$3821)</f>
        <v>0</v>
      </c>
      <c r="O52" s="495">
        <f t="shared" si="8"/>
        <v>0</v>
      </c>
      <c r="P52" s="496">
        <f>SUMIF('Diags Raw Data'!$A$6:$A$3821,"*"&amp;$A52&amp;"*",'Diags Raw Data'!$Z$6:$Z$3821)</f>
        <v>0</v>
      </c>
      <c r="Q52" s="497">
        <f>SUM(SUMIF('Diags Raw Data'!$A$6:$A$3821,"*"&amp;$A52&amp;"*",'Diags Raw Data'!$AA$6:$AA$3821),SUMIF('Diags Raw Data'!$A$6:$A$3821,"*"&amp;$A52&amp;"*",'Diags Raw Data'!$AB$6:$AB$3821))</f>
        <v>0</v>
      </c>
      <c r="R52" s="498">
        <f t="shared" si="9"/>
        <v>0</v>
      </c>
      <c r="S52" s="498">
        <f t="shared" si="10"/>
        <v>0</v>
      </c>
      <c r="T52" s="499">
        <f t="shared" si="11"/>
        <v>0</v>
      </c>
      <c r="U52" s="447" t="s">
        <v>47</v>
      </c>
      <c r="V52" s="182"/>
    </row>
    <row r="53" spans="1:22" x14ac:dyDescent="0.25">
      <c r="A53" s="337" t="s">
        <v>484</v>
      </c>
      <c r="B53" s="443" t="s">
        <v>1011</v>
      </c>
      <c r="C53" s="444" t="s">
        <v>280</v>
      </c>
      <c r="D53" s="445" t="str" cm="1">
        <f t="array" ref="D53">_xlfn.TEXTJOIN("",TRUE,IF(ISNUMBER(SEARCH($A53,'Diags Raw Data'!$A$6:$A$3821)),CONCATENATE('Diags Raw Data'!$H$6:$H$3821,", "),""))</f>
        <v xml:space="preserve">MPC009, </v>
      </c>
      <c r="E53" s="342" t="str">
        <f>VLOOKUP(A53,'Diags Raw Data'!$A$6:$D$3821,4,FALSE)</f>
        <v>MPC</v>
      </c>
      <c r="F53" s="342" t="str">
        <f>VLOOKUP(A53,'Feature Raw Data'!$A$3:$E$3998,5,FALSE)</f>
        <v>Legacy</v>
      </c>
      <c r="G53" s="342" t="str">
        <f t="shared" si="6"/>
        <v>Yes</v>
      </c>
      <c r="H53" s="342" t="str">
        <f t="shared" si="7"/>
        <v>Yes</v>
      </c>
      <c r="I53" s="444">
        <f>SUMIF('Diags Raw Data'!$A$6:$A$3821,"*"&amp;$A53&amp;"*",'Diags Raw Data'!$K$6:$K$3821)</f>
        <v>1</v>
      </c>
      <c r="J53" s="446">
        <f>SUMIF('Diags Raw Data'!$A$6:$A$3821,"*"&amp;$A53&amp;"*",'Diags Raw Data'!$L$6:$L$3821)</f>
        <v>4</v>
      </c>
      <c r="K53" s="491" cm="1">
        <f t="array" ref="K53">IF(D53="",0, SUMPRODUCT(--(ISNUMBER(SEARCH($A53,'Diags Raw Data'!$A$6:$A$3821))),'Diags Raw Data'!$L$6:$L$3821,'Diags Raw Data'!$N$6:$N$3821)/J53)</f>
        <v>1</v>
      </c>
      <c r="L53" s="492" cm="1">
        <f t="array" ref="L53">IF(D53="",0, SUMPRODUCT(--(ISNUMBER(SEARCH($A53,'Diags Raw Data'!$A$6:$A$3821))),'Diags Raw Data'!$L$6:$L$3821,'Diags Raw Data'!$P$6:$P$3821)/J53)</f>
        <v>1</v>
      </c>
      <c r="M53" s="493" cm="1">
        <f t="array" ref="M53">SUMPRODUCT(--(ISNUMBER(SEARCH($A53,'Diags Raw Data'!$A$6:$A$3821))),--('Diags Raw Data'!$Q$6:$Q$3821&lt;&gt;"N/A"),'Diags Raw Data'!$R$6:$R$3821)</f>
        <v>4</v>
      </c>
      <c r="N53" s="494" cm="1">
        <f t="array" ref="N53">SUMPRODUCT(--(ISNUMBER(SEARCH($A53,'Diags Raw Data'!$A$6:$A$3821))),--('Diags Raw Data'!$Q$6:$Q$3821&lt;&gt;"N/A"),'Diags Raw Data'!$T$6:$T$3821)+SUMPRODUCT(--(ISNUMBER(SEARCH($A53,'Diags Raw Data'!$A$6:$A$3821))),--('Diags Raw Data'!$Q$6:$Q$3821&lt;&gt;"N/A"),'Diags Raw Data'!$U$6:$U$3821)</f>
        <v>0</v>
      </c>
      <c r="O53" s="495">
        <f t="shared" si="8"/>
        <v>0</v>
      </c>
      <c r="P53" s="496">
        <f>SUMIF('Diags Raw Data'!$A$6:$A$3821,"*"&amp;$A53&amp;"*",'Diags Raw Data'!$Z$6:$Z$3821)</f>
        <v>0</v>
      </c>
      <c r="Q53" s="497">
        <f>SUM(SUMIF('Diags Raw Data'!$A$6:$A$3821,"*"&amp;$A53&amp;"*",'Diags Raw Data'!$AA$6:$AA$3821),SUMIF('Diags Raw Data'!$A$6:$A$3821,"*"&amp;$A53&amp;"*",'Diags Raw Data'!$AB$6:$AB$3821))</f>
        <v>0</v>
      </c>
      <c r="R53" s="498">
        <f t="shared" si="9"/>
        <v>0</v>
      </c>
      <c r="S53" s="498">
        <f t="shared" si="10"/>
        <v>0</v>
      </c>
      <c r="T53" s="499">
        <f t="shared" si="11"/>
        <v>0</v>
      </c>
      <c r="U53" s="447" t="s">
        <v>964</v>
      </c>
      <c r="V53" s="182"/>
    </row>
    <row r="54" spans="1:22" x14ac:dyDescent="0.25">
      <c r="A54" s="337" t="s">
        <v>488</v>
      </c>
      <c r="B54" s="443" t="s">
        <v>1012</v>
      </c>
      <c r="C54" s="444" t="s">
        <v>280</v>
      </c>
      <c r="D54" s="445" t="str" cm="1">
        <f t="array" ref="D54">_xlfn.TEXTJOIN("",TRUE,IF(ISNUMBER(SEARCH($A54,'Diags Raw Data'!$A$6:$A$3821)),CONCATENATE('Diags Raw Data'!$H$6:$H$3821,", "),""))</f>
        <v xml:space="preserve">MPC010, </v>
      </c>
      <c r="E54" s="342" t="str">
        <f>VLOOKUP(A54,'Diags Raw Data'!$A$6:$D$3821,4,FALSE)</f>
        <v>MPC</v>
      </c>
      <c r="F54" s="342" t="str">
        <f>VLOOKUP(A54,'Feature Raw Data'!$A$3:$E$3998,5,FALSE)</f>
        <v>Legacy</v>
      </c>
      <c r="G54" s="342" t="str">
        <f t="shared" si="6"/>
        <v>Yes</v>
      </c>
      <c r="H54" s="342" t="str">
        <f t="shared" si="7"/>
        <v>Yes</v>
      </c>
      <c r="I54" s="444">
        <f>SUMIF('Diags Raw Data'!$A$6:$A$3821,"*"&amp;$A54&amp;"*",'Diags Raw Data'!$K$6:$K$3821)</f>
        <v>1</v>
      </c>
      <c r="J54" s="446">
        <f>SUMIF('Diags Raw Data'!$A$6:$A$3821,"*"&amp;$A54&amp;"*",'Diags Raw Data'!$L$6:$L$3821)</f>
        <v>2</v>
      </c>
      <c r="K54" s="491" cm="1">
        <f t="array" ref="K54">IF(D54="",0, SUMPRODUCT(--(ISNUMBER(SEARCH($A54,'Diags Raw Data'!$A$6:$A$3821))),'Diags Raw Data'!$L$6:$L$3821,'Diags Raw Data'!$N$6:$N$3821)/J54)</f>
        <v>1</v>
      </c>
      <c r="L54" s="492" cm="1">
        <f t="array" ref="L54">IF(D54="",0, SUMPRODUCT(--(ISNUMBER(SEARCH($A54,'Diags Raw Data'!$A$6:$A$3821))),'Diags Raw Data'!$L$6:$L$3821,'Diags Raw Data'!$P$6:$P$3821)/J54)</f>
        <v>1</v>
      </c>
      <c r="M54" s="493" cm="1">
        <f t="array" ref="M54">SUMPRODUCT(--(ISNUMBER(SEARCH($A54,'Diags Raw Data'!$A$6:$A$3821))),--('Diags Raw Data'!$Q$6:$Q$3821&lt;&gt;"N/A"),'Diags Raw Data'!$R$6:$R$3821)</f>
        <v>2</v>
      </c>
      <c r="N54" s="494" cm="1">
        <f t="array" ref="N54">SUMPRODUCT(--(ISNUMBER(SEARCH($A54,'Diags Raw Data'!$A$6:$A$3821))),--('Diags Raw Data'!$Q$6:$Q$3821&lt;&gt;"N/A"),'Diags Raw Data'!$T$6:$T$3821)+SUMPRODUCT(--(ISNUMBER(SEARCH($A54,'Diags Raw Data'!$A$6:$A$3821))),--('Diags Raw Data'!$Q$6:$Q$3821&lt;&gt;"N/A"),'Diags Raw Data'!$U$6:$U$3821)</f>
        <v>0</v>
      </c>
      <c r="O54" s="495">
        <f t="shared" si="8"/>
        <v>0</v>
      </c>
      <c r="P54" s="496">
        <f>SUMIF('Diags Raw Data'!$A$6:$A$3821,"*"&amp;$A54&amp;"*",'Diags Raw Data'!$Z$6:$Z$3821)</f>
        <v>0</v>
      </c>
      <c r="Q54" s="497">
        <f>SUM(SUMIF('Diags Raw Data'!$A$6:$A$3821,"*"&amp;$A54&amp;"*",'Diags Raw Data'!$AA$6:$AA$3821),SUMIF('Diags Raw Data'!$A$6:$A$3821,"*"&amp;$A54&amp;"*",'Diags Raw Data'!$AB$6:$AB$3821))</f>
        <v>0</v>
      </c>
      <c r="R54" s="498">
        <f t="shared" si="9"/>
        <v>0</v>
      </c>
      <c r="S54" s="498">
        <f t="shared" si="10"/>
        <v>0</v>
      </c>
      <c r="T54" s="499">
        <f t="shared" si="11"/>
        <v>0</v>
      </c>
      <c r="U54" s="447" t="s">
        <v>948</v>
      </c>
      <c r="V54" s="182"/>
    </row>
    <row r="55" spans="1:22" x14ac:dyDescent="0.25">
      <c r="A55" s="337" t="s">
        <v>764</v>
      </c>
      <c r="B55" s="443" t="s">
        <v>1013</v>
      </c>
      <c r="C55" s="444" t="s">
        <v>280</v>
      </c>
      <c r="D55" s="445" t="str" cm="1">
        <f t="array" ref="D55">_xlfn.TEXTJOIN("",TRUE,IF(ISNUMBER(SEARCH($A55,'Diags Raw Data'!$A$6:$A$3821)),CONCATENATE('Diags Raw Data'!$H$6:$H$3821,", "),""))</f>
        <v xml:space="preserve">DIO328, </v>
      </c>
      <c r="E55" s="342" t="str">
        <f>VLOOKUP(A55,'Diags Raw Data'!$A$6:$D$3821,4,FALSE)</f>
        <v>DIO</v>
      </c>
      <c r="F55" s="342" t="str">
        <f>VLOOKUP(A55,'Feature Raw Data'!$A$3:$E$3998,5,FALSE)</f>
        <v>Legacy</v>
      </c>
      <c r="G55" s="342" t="str">
        <f t="shared" si="6"/>
        <v>Yes</v>
      </c>
      <c r="H55" s="342" t="str">
        <f t="shared" si="7"/>
        <v>Yes</v>
      </c>
      <c r="I55" s="444">
        <f>SUMIF('Diags Raw Data'!$A$6:$A$3821,"*"&amp;$A55&amp;"*",'Diags Raw Data'!$K$6:$K$3821)</f>
        <v>1</v>
      </c>
      <c r="J55" s="446">
        <f>SUMIF('Diags Raw Data'!$A$6:$A$3821,"*"&amp;$A55&amp;"*",'Diags Raw Data'!$L$6:$L$3821)</f>
        <v>63</v>
      </c>
      <c r="K55" s="491" cm="1">
        <f t="array" ref="K55">IF(D55="",0, SUMPRODUCT(--(ISNUMBER(SEARCH($A55,'Diags Raw Data'!$A$6:$A$3821))),'Diags Raw Data'!$L$6:$L$3821,'Diags Raw Data'!$N$6:$N$3821)/J55)</f>
        <v>1</v>
      </c>
      <c r="L55" s="492" cm="1">
        <f t="array" ref="L55">IF(D55="",0, SUMPRODUCT(--(ISNUMBER(SEARCH($A55,'Diags Raw Data'!$A$6:$A$3821))),'Diags Raw Data'!$L$6:$L$3821,'Diags Raw Data'!$P$6:$P$3821)/J55)</f>
        <v>1</v>
      </c>
      <c r="M55" s="493" cm="1">
        <f t="array" ref="M55">SUMPRODUCT(--(ISNUMBER(SEARCH($A55,'Diags Raw Data'!$A$6:$A$3821))),--('Diags Raw Data'!$Q$6:$Q$3821&lt;&gt;"N/A"),'Diags Raw Data'!$R$6:$R$3821)</f>
        <v>63</v>
      </c>
      <c r="N55" s="494" cm="1">
        <f t="array" ref="N55">SUMPRODUCT(--(ISNUMBER(SEARCH($A55,'Diags Raw Data'!$A$6:$A$3821))),--('Diags Raw Data'!$Q$6:$Q$3821&lt;&gt;"N/A"),'Diags Raw Data'!$T$6:$T$3821)+SUMPRODUCT(--(ISNUMBER(SEARCH($A55,'Diags Raw Data'!$A$6:$A$3821))),--('Diags Raw Data'!$Q$6:$Q$3821&lt;&gt;"N/A"),'Diags Raw Data'!$U$6:$U$3821)</f>
        <v>0</v>
      </c>
      <c r="O55" s="495">
        <f t="shared" si="8"/>
        <v>0</v>
      </c>
      <c r="P55" s="496">
        <f>SUMIF('Diags Raw Data'!$A$6:$A$3821,"*"&amp;$A55&amp;"*",'Diags Raw Data'!$Z$6:$Z$3821)</f>
        <v>0</v>
      </c>
      <c r="Q55" s="497">
        <f>SUM(SUMIF('Diags Raw Data'!$A$6:$A$3821,"*"&amp;$A55&amp;"*",'Diags Raw Data'!$AA$6:$AA$3821),SUMIF('Diags Raw Data'!$A$6:$A$3821,"*"&amp;$A55&amp;"*",'Diags Raw Data'!$AB$6:$AB$3821))</f>
        <v>0</v>
      </c>
      <c r="R55" s="498">
        <f t="shared" si="9"/>
        <v>0</v>
      </c>
      <c r="S55" s="498">
        <f t="shared" si="10"/>
        <v>0</v>
      </c>
      <c r="T55" s="499">
        <f t="shared" si="11"/>
        <v>0</v>
      </c>
      <c r="U55" s="447" t="s">
        <v>961</v>
      </c>
      <c r="V55" s="182"/>
    </row>
    <row r="56" spans="1:22" x14ac:dyDescent="0.25">
      <c r="A56" s="337" t="s">
        <v>614</v>
      </c>
      <c r="B56" s="443" t="s">
        <v>1014</v>
      </c>
      <c r="C56" s="444" t="s">
        <v>280</v>
      </c>
      <c r="D56" s="445" t="str" cm="1">
        <f t="array" ref="D56">_xlfn.TEXTJOIN("",TRUE,IF(ISNUMBER(SEARCH($A56,'Diags Raw Data'!$A$6:$A$3821)),CONCATENATE('Diags Raw Data'!$H$6:$H$3821,", "),""))</f>
        <v xml:space="preserve">OTG027, OTG032, </v>
      </c>
      <c r="E56" s="342" t="str">
        <f>VLOOKUP(A56,'Diags Raw Data'!$A$6:$D$3821,4,FALSE)</f>
        <v>OTG</v>
      </c>
      <c r="F56" s="342" t="str">
        <f>VLOOKUP(A56,'Feature Raw Data'!$A$3:$E$3998,5,FALSE)</f>
        <v>Legacy</v>
      </c>
      <c r="G56" s="342" t="str">
        <f t="shared" si="6"/>
        <v>Yes</v>
      </c>
      <c r="H56" s="342" t="str">
        <f t="shared" si="7"/>
        <v>Yes</v>
      </c>
      <c r="I56" s="444">
        <f>SUMIF('Diags Raw Data'!$A$6:$A$3821,"*"&amp;$A56&amp;"*",'Diags Raw Data'!$K$6:$K$3821)</f>
        <v>2</v>
      </c>
      <c r="J56" s="446">
        <f>SUMIF('Diags Raw Data'!$A$6:$A$3821,"*"&amp;$A56&amp;"*",'Diags Raw Data'!$L$6:$L$3821)</f>
        <v>20</v>
      </c>
      <c r="K56" s="491" cm="1">
        <f t="array" ref="K56">IF(D56="",0, SUMPRODUCT(--(ISNUMBER(SEARCH($A56,'Diags Raw Data'!$A$6:$A$3821))),'Diags Raw Data'!$L$6:$L$3821,'Diags Raw Data'!$N$6:$N$3821)/J56)</f>
        <v>1</v>
      </c>
      <c r="L56" s="492" cm="1">
        <f t="array" ref="L56">IF(D56="",0, SUMPRODUCT(--(ISNUMBER(SEARCH($A56,'Diags Raw Data'!$A$6:$A$3821))),'Diags Raw Data'!$L$6:$L$3821,'Diags Raw Data'!$P$6:$P$3821)/J56)</f>
        <v>1</v>
      </c>
      <c r="M56" s="493" cm="1">
        <f t="array" ref="M56">SUMPRODUCT(--(ISNUMBER(SEARCH($A56,'Diags Raw Data'!$A$6:$A$3821))),--('Diags Raw Data'!$Q$6:$Q$3821&lt;&gt;"N/A"),'Diags Raw Data'!$R$6:$R$3821)</f>
        <v>20</v>
      </c>
      <c r="N56" s="494" cm="1">
        <f t="array" ref="N56">SUMPRODUCT(--(ISNUMBER(SEARCH($A56,'Diags Raw Data'!$A$6:$A$3821))),--('Diags Raw Data'!$Q$6:$Q$3821&lt;&gt;"N/A"),'Diags Raw Data'!$T$6:$T$3821)+SUMPRODUCT(--(ISNUMBER(SEARCH($A56,'Diags Raw Data'!$A$6:$A$3821))),--('Diags Raw Data'!$Q$6:$Q$3821&lt;&gt;"N/A"),'Diags Raw Data'!$U$6:$U$3821)</f>
        <v>0</v>
      </c>
      <c r="O56" s="495">
        <f t="shared" si="8"/>
        <v>0</v>
      </c>
      <c r="P56" s="496">
        <v>0</v>
      </c>
      <c r="Q56" s="497">
        <f>SUM(SUMIF('Diags Raw Data'!$A$6:$A$3821,"*"&amp;$A56&amp;"*",'Diags Raw Data'!$AA$6:$AA$3821),SUMIF('Diags Raw Data'!$A$6:$A$3821,"*"&amp;$A56&amp;"*",'Diags Raw Data'!$AB$6:$AB$3821))</f>
        <v>0</v>
      </c>
      <c r="R56" s="498">
        <f t="shared" si="9"/>
        <v>0</v>
      </c>
      <c r="S56" s="498">
        <f t="shared" si="10"/>
        <v>0</v>
      </c>
      <c r="T56" s="499">
        <f t="shared" si="11"/>
        <v>0</v>
      </c>
      <c r="U56" s="447" t="s">
        <v>47</v>
      </c>
      <c r="V56" s="182"/>
    </row>
    <row r="57" spans="1:22" ht="45" x14ac:dyDescent="0.25">
      <c r="A57" s="337" t="s">
        <v>513</v>
      </c>
      <c r="B57" s="443" t="s">
        <v>1015</v>
      </c>
      <c r="C57" s="444" t="s">
        <v>280</v>
      </c>
      <c r="D57" s="445" t="str" cm="1">
        <f t="array" ref="D57">_xlfn.TEXTJOIN("",TRUE,IF(ISNUMBER(SEARCH($A57,'Diags Raw Data'!$A$6:$A$3821)),CONCATENATE('Diags Raw Data'!$H$6:$H$3821,", "),""))</f>
        <v xml:space="preserve">FMT001, FMT002, FMT003, FMT004, FMT005, FMT006, FMT008, </v>
      </c>
      <c r="E57" s="342" t="str">
        <f>VLOOKUP(A57,'Diags Raw Data'!$A$6:$D$3821,4,FALSE)</f>
        <v>FMT</v>
      </c>
      <c r="F57" s="342" t="str">
        <f>VLOOKUP(A57,'Feature Raw Data'!$A$3:$E$3998,5,FALSE)</f>
        <v>Legacy</v>
      </c>
      <c r="G57" s="342" t="str">
        <f t="shared" si="6"/>
        <v>Yes</v>
      </c>
      <c r="H57" s="342" t="str">
        <f t="shared" si="7"/>
        <v>Yes</v>
      </c>
      <c r="I57" s="444">
        <f>SUMIF('Diags Raw Data'!$A$6:$A$3821,"*"&amp;$A57&amp;"*",'Diags Raw Data'!$K$6:$K$3821)</f>
        <v>7</v>
      </c>
      <c r="J57" s="446">
        <f>SUMIF('Diags Raw Data'!$A$6:$A$3821,"*"&amp;$A57&amp;"*",'Diags Raw Data'!$L$6:$L$3821)</f>
        <v>90</v>
      </c>
      <c r="K57" s="491" cm="1">
        <f t="array" ref="K57">IF(D57="",0, SUMPRODUCT(--(ISNUMBER(SEARCH($A57,'Diags Raw Data'!$A$6:$A$3821))),'Diags Raw Data'!$L$6:$L$3821,'Diags Raw Data'!$N$6:$N$3821)/J57)</f>
        <v>1</v>
      </c>
      <c r="L57" s="492" cm="1">
        <f t="array" ref="L57">IF(D57="",0, SUMPRODUCT(--(ISNUMBER(SEARCH($A57,'Diags Raw Data'!$A$6:$A$3821))),'Diags Raw Data'!$L$6:$L$3821,'Diags Raw Data'!$P$6:$P$3821)/J57)</f>
        <v>1</v>
      </c>
      <c r="M57" s="493" cm="1">
        <f t="array" ref="M57">SUMPRODUCT(--(ISNUMBER(SEARCH($A57,'Diags Raw Data'!$A$6:$A$3821))),--('Diags Raw Data'!$Q$6:$Q$3821&lt;&gt;"N/A"),'Diags Raw Data'!$R$6:$R$3821)</f>
        <v>90</v>
      </c>
      <c r="N57" s="494" cm="1">
        <f t="array" ref="N57">SUMPRODUCT(--(ISNUMBER(SEARCH($A57,'Diags Raw Data'!$A$6:$A$3821))),--('Diags Raw Data'!$Q$6:$Q$3821&lt;&gt;"N/A"),'Diags Raw Data'!$T$6:$T$3821)+SUMPRODUCT(--(ISNUMBER(SEARCH($A57,'Diags Raw Data'!$A$6:$A$3821))),--('Diags Raw Data'!$Q$6:$Q$3821&lt;&gt;"N/A"),'Diags Raw Data'!$U$6:$U$3821)</f>
        <v>0</v>
      </c>
      <c r="O57" s="495">
        <f t="shared" si="8"/>
        <v>0</v>
      </c>
      <c r="P57" s="496">
        <f>SUMIF('Diags Raw Data'!$A$6:$A$3821,"*"&amp;$A57&amp;"*",'Diags Raw Data'!$Z$6:$Z$3821)</f>
        <v>0</v>
      </c>
      <c r="Q57" s="497">
        <f>SUM(SUMIF('Diags Raw Data'!$A$6:$A$3821,"*"&amp;$A57&amp;"*",'Diags Raw Data'!$AA$6:$AA$3821),SUMIF('Diags Raw Data'!$A$6:$A$3821,"*"&amp;$A57&amp;"*",'Diags Raw Data'!$AB$6:$AB$3821))</f>
        <v>0</v>
      </c>
      <c r="R57" s="498">
        <f t="shared" si="9"/>
        <v>0</v>
      </c>
      <c r="S57" s="498">
        <f t="shared" si="10"/>
        <v>0</v>
      </c>
      <c r="T57" s="499">
        <f t="shared" si="11"/>
        <v>0</v>
      </c>
      <c r="U57" s="447" t="s">
        <v>948</v>
      </c>
      <c r="V57" s="182"/>
    </row>
    <row r="58" spans="1:22" x14ac:dyDescent="0.25">
      <c r="A58" s="337" t="s">
        <v>528</v>
      </c>
      <c r="B58" s="443" t="s">
        <v>1016</v>
      </c>
      <c r="C58" s="444" t="s">
        <v>280</v>
      </c>
      <c r="D58" s="445" t="str" cm="1">
        <f t="array" ref="D58">_xlfn.TEXTJOIN("",TRUE,IF(ISNUMBER(SEARCH($A58,'Diags Raw Data'!$A$6:$A$3821)),CONCATENATE('Diags Raw Data'!$H$6:$H$3821,", "),""))</f>
        <v xml:space="preserve">FMT007, </v>
      </c>
      <c r="E58" s="342" t="str">
        <f>VLOOKUP(A58,'Diags Raw Data'!$A$6:$D$3821,4,FALSE)</f>
        <v>FMT</v>
      </c>
      <c r="F58" s="342" t="str">
        <f>VLOOKUP(A58,'Feature Raw Data'!$A$3:$E$3998,5,FALSE)</f>
        <v>Legacy</v>
      </c>
      <c r="G58" s="342" t="str">
        <f t="shared" si="6"/>
        <v>Yes</v>
      </c>
      <c r="H58" s="342" t="str">
        <f t="shared" si="7"/>
        <v>Yes</v>
      </c>
      <c r="I58" s="444">
        <f>SUMIF('Diags Raw Data'!$A$6:$A$3821,"*"&amp;$A58&amp;"*",'Diags Raw Data'!$K$6:$K$3821)</f>
        <v>1</v>
      </c>
      <c r="J58" s="446">
        <f>SUMIF('Diags Raw Data'!$A$6:$A$3821,"*"&amp;$A58&amp;"*",'Diags Raw Data'!$L$6:$L$3821)</f>
        <v>5</v>
      </c>
      <c r="K58" s="491" cm="1">
        <f t="array" ref="K58">IF(D58="",0, SUMPRODUCT(--(ISNUMBER(SEARCH($A58,'Diags Raw Data'!$A$6:$A$3821))),'Diags Raw Data'!$L$6:$L$3821,'Diags Raw Data'!$N$6:$N$3821)/J58)</f>
        <v>1</v>
      </c>
      <c r="L58" s="492" cm="1">
        <f t="array" ref="L58">IF(D58="",0, SUMPRODUCT(--(ISNUMBER(SEARCH($A58,'Diags Raw Data'!$A$6:$A$3821))),'Diags Raw Data'!$L$6:$L$3821,'Diags Raw Data'!$P$6:$P$3821)/J58)</f>
        <v>1</v>
      </c>
      <c r="M58" s="493" cm="1">
        <f t="array" ref="M58">SUMPRODUCT(--(ISNUMBER(SEARCH($A58,'Diags Raw Data'!$A$6:$A$3821))),--('Diags Raw Data'!$Q$6:$Q$3821&lt;&gt;"N/A"),'Diags Raw Data'!$R$6:$R$3821)</f>
        <v>5</v>
      </c>
      <c r="N58" s="494" cm="1">
        <f t="array" ref="N58">SUMPRODUCT(--(ISNUMBER(SEARCH($A58,'Diags Raw Data'!$A$6:$A$3821))),--('Diags Raw Data'!$Q$6:$Q$3821&lt;&gt;"N/A"),'Diags Raw Data'!$T$6:$T$3821)+SUMPRODUCT(--(ISNUMBER(SEARCH($A58,'Diags Raw Data'!$A$6:$A$3821))),--('Diags Raw Data'!$Q$6:$Q$3821&lt;&gt;"N/A"),'Diags Raw Data'!$U$6:$U$3821)</f>
        <v>0</v>
      </c>
      <c r="O58" s="495">
        <f t="shared" si="8"/>
        <v>0</v>
      </c>
      <c r="P58" s="496">
        <f>SUMIF('Diags Raw Data'!$A$6:$A$3821,"*"&amp;$A58&amp;"*",'Diags Raw Data'!$Z$6:$Z$3821)</f>
        <v>0</v>
      </c>
      <c r="Q58" s="497">
        <f>SUM(SUMIF('Diags Raw Data'!$A$6:$A$3821,"*"&amp;$A58&amp;"*",'Diags Raw Data'!$AA$6:$AA$3821),SUMIF('Diags Raw Data'!$A$6:$A$3821,"*"&amp;$A58&amp;"*",'Diags Raw Data'!$AB$6:$AB$3821))</f>
        <v>0</v>
      </c>
      <c r="R58" s="498">
        <f t="shared" si="9"/>
        <v>0</v>
      </c>
      <c r="S58" s="498">
        <f t="shared" si="10"/>
        <v>0</v>
      </c>
      <c r="T58" s="499">
        <f t="shared" si="11"/>
        <v>0</v>
      </c>
      <c r="U58" s="447" t="s">
        <v>948</v>
      </c>
      <c r="V58" s="182"/>
    </row>
    <row r="59" spans="1:22" ht="30" x14ac:dyDescent="0.25">
      <c r="A59" s="337" t="s">
        <v>534</v>
      </c>
      <c r="B59" s="443" t="s">
        <v>1017</v>
      </c>
      <c r="C59" s="444" t="s">
        <v>280</v>
      </c>
      <c r="D59" s="445" t="str" cm="1">
        <f t="array" ref="D59">_xlfn.TEXTJOIN("",TRUE,IF(ISNUMBER(SEARCH($A59,'Diags Raw Data'!$A$6:$A$3821)),CONCATENATE('Diags Raw Data'!$H$6:$H$3821,", "),""))</f>
        <v xml:space="preserve">MPC015, FMT009, FMT010, FMT011, FMT014, FMT015, </v>
      </c>
      <c r="E59" s="342" t="str">
        <f>VLOOKUP(A59,'Diags Raw Data'!$A$6:$D$3821,4,FALSE)</f>
        <v>FMT</v>
      </c>
      <c r="F59" s="342" t="str">
        <f>VLOOKUP(A59,'Feature Raw Data'!$A$3:$E$3998,5,FALSE)</f>
        <v>Legacy</v>
      </c>
      <c r="G59" s="342" t="str">
        <f t="shared" si="6"/>
        <v>Yes</v>
      </c>
      <c r="H59" s="342" t="str">
        <f t="shared" si="7"/>
        <v>Yes</v>
      </c>
      <c r="I59" s="444">
        <f>SUMIF('Diags Raw Data'!$A$6:$A$3821,"*"&amp;$A59&amp;"*",'Diags Raw Data'!$K$6:$K$3821)</f>
        <v>6</v>
      </c>
      <c r="J59" s="446">
        <f>SUMIF('Diags Raw Data'!$A$6:$A$3821,"*"&amp;$A59&amp;"*",'Diags Raw Data'!$L$6:$L$3821)</f>
        <v>41</v>
      </c>
      <c r="K59" s="491" cm="1">
        <f t="array" ref="K59">IF(D59="",0, SUMPRODUCT(--(ISNUMBER(SEARCH($A59,'Diags Raw Data'!$A$6:$A$3821))),'Diags Raw Data'!$L$6:$L$3821,'Diags Raw Data'!$N$6:$N$3821)/J59)</f>
        <v>1</v>
      </c>
      <c r="L59" s="492" cm="1">
        <f t="array" ref="L59">IF(D59="",0, SUMPRODUCT(--(ISNUMBER(SEARCH($A59,'Diags Raw Data'!$A$6:$A$3821))),'Diags Raw Data'!$L$6:$L$3821,'Diags Raw Data'!$P$6:$P$3821)/J59)</f>
        <v>1</v>
      </c>
      <c r="M59" s="493" cm="1">
        <f t="array" ref="M59">SUMPRODUCT(--(ISNUMBER(SEARCH($A59,'Diags Raw Data'!$A$6:$A$3821))),--('Diags Raw Data'!$Q$6:$Q$3821&lt;&gt;"N/A"),'Diags Raw Data'!$R$6:$R$3821)</f>
        <v>41</v>
      </c>
      <c r="N59" s="494" cm="1">
        <f t="array" ref="N59">SUMPRODUCT(--(ISNUMBER(SEARCH($A59,'Diags Raw Data'!$A$6:$A$3821))),--('Diags Raw Data'!$Q$6:$Q$3821&lt;&gt;"N/A"),'Diags Raw Data'!$T$6:$T$3821)+SUMPRODUCT(--(ISNUMBER(SEARCH($A59,'Diags Raw Data'!$A$6:$A$3821))),--('Diags Raw Data'!$Q$6:$Q$3821&lt;&gt;"N/A"),'Diags Raw Data'!$U$6:$U$3821)</f>
        <v>0</v>
      </c>
      <c r="O59" s="495">
        <f t="shared" si="8"/>
        <v>0</v>
      </c>
      <c r="P59" s="496">
        <f>SUMIF('Diags Raw Data'!$A$6:$A$3821,"*"&amp;$A59&amp;"*",'Diags Raw Data'!$Z$6:$Z$3821)</f>
        <v>0</v>
      </c>
      <c r="Q59" s="497">
        <f>SUM(SUMIF('Diags Raw Data'!$A$6:$A$3821,"*"&amp;$A59&amp;"*",'Diags Raw Data'!$AA$6:$AA$3821),SUMIF('Diags Raw Data'!$A$6:$A$3821,"*"&amp;$A59&amp;"*",'Diags Raw Data'!$AB$6:$AB$3821))</f>
        <v>0</v>
      </c>
      <c r="R59" s="498">
        <f t="shared" si="9"/>
        <v>0</v>
      </c>
      <c r="S59" s="498">
        <f t="shared" si="10"/>
        <v>0</v>
      </c>
      <c r="T59" s="499">
        <f t="shared" si="11"/>
        <v>0</v>
      </c>
      <c r="U59" s="447" t="s">
        <v>968</v>
      </c>
      <c r="V59" s="182"/>
    </row>
    <row r="60" spans="1:22" x14ac:dyDescent="0.25">
      <c r="A60" s="337" t="s">
        <v>542</v>
      </c>
      <c r="B60" s="443" t="s">
        <v>1018</v>
      </c>
      <c r="C60" s="444" t="s">
        <v>280</v>
      </c>
      <c r="D60" s="445" t="str" cm="1">
        <f t="array" ref="D60">_xlfn.TEXTJOIN("",TRUE,IF(ISNUMBER(SEARCH($A60,'Diags Raw Data'!$A$6:$A$3821)),CONCATENATE('Diags Raw Data'!$H$6:$H$3821,", "),""))</f>
        <v xml:space="preserve">FMT012, </v>
      </c>
      <c r="E60" s="342" t="str">
        <f>VLOOKUP(A60,'Diags Raw Data'!$A$6:$D$3821,4,FALSE)</f>
        <v>FMT</v>
      </c>
      <c r="F60" s="342" t="str">
        <f>VLOOKUP(A60,'Feature Raw Data'!$A$3:$E$3998,5,FALSE)</f>
        <v>Legacy</v>
      </c>
      <c r="G60" s="342" t="str">
        <f t="shared" si="6"/>
        <v>Yes</v>
      </c>
      <c r="H60" s="342" t="str">
        <f t="shared" si="7"/>
        <v>Yes</v>
      </c>
      <c r="I60" s="444">
        <f>SUMIF('Diags Raw Data'!$A$6:$A$3821,"*"&amp;$A60&amp;"*",'Diags Raw Data'!$K$6:$K$3821)</f>
        <v>1</v>
      </c>
      <c r="J60" s="446">
        <f>SUMIF('Diags Raw Data'!$A$6:$A$3821,"*"&amp;$A60&amp;"*",'Diags Raw Data'!$L$6:$L$3821)</f>
        <v>4</v>
      </c>
      <c r="K60" s="491" cm="1">
        <f t="array" ref="K60">IF(D60="",0, SUMPRODUCT(--(ISNUMBER(SEARCH($A60,'Diags Raw Data'!$A$6:$A$3821))),'Diags Raw Data'!$L$6:$L$3821,'Diags Raw Data'!$N$6:$N$3821)/J60)</f>
        <v>1</v>
      </c>
      <c r="L60" s="492" cm="1">
        <f t="array" ref="L60">IF(D60="",0, SUMPRODUCT(--(ISNUMBER(SEARCH($A60,'Diags Raw Data'!$A$6:$A$3821))),'Diags Raw Data'!$L$6:$L$3821,'Diags Raw Data'!$P$6:$P$3821)/J60)</f>
        <v>1</v>
      </c>
      <c r="M60" s="493" cm="1">
        <f t="array" ref="M60">SUMPRODUCT(--(ISNUMBER(SEARCH($A60,'Diags Raw Data'!$A$6:$A$3821))),--('Diags Raw Data'!$Q$6:$Q$3821&lt;&gt;"N/A"),'Diags Raw Data'!$R$6:$R$3821)</f>
        <v>4</v>
      </c>
      <c r="N60" s="494" cm="1">
        <f t="array" ref="N60">SUMPRODUCT(--(ISNUMBER(SEARCH($A60,'Diags Raw Data'!$A$6:$A$3821))),--('Diags Raw Data'!$Q$6:$Q$3821&lt;&gt;"N/A"),'Diags Raw Data'!$T$6:$T$3821)+SUMPRODUCT(--(ISNUMBER(SEARCH($A60,'Diags Raw Data'!$A$6:$A$3821))),--('Diags Raw Data'!$Q$6:$Q$3821&lt;&gt;"N/A"),'Diags Raw Data'!$U$6:$U$3821)</f>
        <v>0</v>
      </c>
      <c r="O60" s="495">
        <f t="shared" si="8"/>
        <v>0</v>
      </c>
      <c r="P60" s="496">
        <f>SUMIF('Diags Raw Data'!$A$6:$A$3821,"*"&amp;$A60&amp;"*",'Diags Raw Data'!$Z$6:$Z$3821)</f>
        <v>0</v>
      </c>
      <c r="Q60" s="497">
        <f>SUM(SUMIF('Diags Raw Data'!$A$6:$A$3821,"*"&amp;$A60&amp;"*",'Diags Raw Data'!$AA$6:$AA$3821),SUMIF('Diags Raw Data'!$A$6:$A$3821,"*"&amp;$A60&amp;"*",'Diags Raw Data'!$AB$6:$AB$3821))</f>
        <v>0</v>
      </c>
      <c r="R60" s="498">
        <f t="shared" si="9"/>
        <v>0</v>
      </c>
      <c r="S60" s="498">
        <f t="shared" si="10"/>
        <v>0</v>
      </c>
      <c r="T60" s="499">
        <f t="shared" si="11"/>
        <v>0</v>
      </c>
      <c r="U60" s="447" t="s">
        <v>934</v>
      </c>
      <c r="V60" s="182"/>
    </row>
    <row r="61" spans="1:22" x14ac:dyDescent="0.25">
      <c r="A61" s="337" t="s">
        <v>1019</v>
      </c>
      <c r="B61" s="443" t="s">
        <v>1020</v>
      </c>
      <c r="C61" s="444" t="s">
        <v>280</v>
      </c>
      <c r="D61" s="445" t="str" cm="1">
        <f t="array" ref="D61">_xlfn.TEXTJOIN("",TRUE,IF(ISNUMBER(SEARCH($A61,'Diags Raw Data'!$A$6:$A$3821)),CONCATENATE('Diags Raw Data'!$H$6:$H$3821,", "),""))</f>
        <v xml:space="preserve">OTG005, </v>
      </c>
      <c r="E61" s="342" t="e">
        <f>VLOOKUP(A61,'Diags Raw Data'!$A$6:$D$3821,4,FALSE)</f>
        <v>#N/A</v>
      </c>
      <c r="F61" s="342" t="str">
        <f>VLOOKUP(A61,'Feature Raw Data'!$A$3:$E$3998,5,FALSE)</f>
        <v>Legacy</v>
      </c>
      <c r="G61" s="342" t="str">
        <f t="shared" si="6"/>
        <v>Yes</v>
      </c>
      <c r="H61" s="342" t="str">
        <f t="shared" si="7"/>
        <v>Yes</v>
      </c>
      <c r="I61" s="444">
        <f>SUMIF('Diags Raw Data'!$A$6:$A$3821,"*"&amp;$A61&amp;"*",'Diags Raw Data'!$K$6:$K$3821)</f>
        <v>1</v>
      </c>
      <c r="J61" s="446">
        <f>SUMIF('Diags Raw Data'!$A$6:$A$3821,"*"&amp;$A61&amp;"*",'Diags Raw Data'!$L$6:$L$3821)</f>
        <v>10</v>
      </c>
      <c r="K61" s="491" cm="1">
        <f t="array" ref="K61">IF(D61="",0, SUMPRODUCT(--(ISNUMBER(SEARCH($A61,'Diags Raw Data'!$A$6:$A$3821))),'Diags Raw Data'!$L$6:$L$3821,'Diags Raw Data'!$N$6:$N$3821)/J61)</f>
        <v>1</v>
      </c>
      <c r="L61" s="492" cm="1">
        <f t="array" ref="L61">IF(D61="",0, SUMPRODUCT(--(ISNUMBER(SEARCH($A61,'Diags Raw Data'!$A$6:$A$3821))),'Diags Raw Data'!$L$6:$L$3821,'Diags Raw Data'!$P$6:$P$3821)/J61)</f>
        <v>1</v>
      </c>
      <c r="M61" s="493" cm="1">
        <f t="array" ref="M61">SUMPRODUCT(--(ISNUMBER(SEARCH($A61,'Diags Raw Data'!$A$6:$A$3821))),--('Diags Raw Data'!$Q$6:$Q$3821&lt;&gt;"N/A"),'Diags Raw Data'!$R$6:$R$3821)</f>
        <v>10</v>
      </c>
      <c r="N61" s="494" cm="1">
        <f t="array" ref="N61">SUMPRODUCT(--(ISNUMBER(SEARCH($A61,'Diags Raw Data'!$A$6:$A$3821))),--('Diags Raw Data'!$Q$6:$Q$3821&lt;&gt;"N/A"),'Diags Raw Data'!$T$6:$T$3821)+SUMPRODUCT(--(ISNUMBER(SEARCH($A61,'Diags Raw Data'!$A$6:$A$3821))),--('Diags Raw Data'!$Q$6:$Q$3821&lt;&gt;"N/A"),'Diags Raw Data'!$U$6:$U$3821)</f>
        <v>0</v>
      </c>
      <c r="O61" s="495">
        <f t="shared" si="8"/>
        <v>0</v>
      </c>
      <c r="P61" s="496">
        <f>SUMIF('Diags Raw Data'!$A$6:$A$3821,"*"&amp;$A61&amp;"*",'Diags Raw Data'!$Z$6:$Z$3821)</f>
        <v>0</v>
      </c>
      <c r="Q61" s="497">
        <f>SUM(SUMIF('Diags Raw Data'!$A$6:$A$3821,"*"&amp;$A61&amp;"*",'Diags Raw Data'!$AA$6:$AA$3821),SUMIF('Diags Raw Data'!$A$6:$A$3821,"*"&amp;$A61&amp;"*",'Diags Raw Data'!$AB$6:$AB$3821))</f>
        <v>0</v>
      </c>
      <c r="R61" s="498">
        <f t="shared" si="9"/>
        <v>0</v>
      </c>
      <c r="S61" s="498">
        <f t="shared" si="10"/>
        <v>0</v>
      </c>
      <c r="T61" s="499">
        <f t="shared" si="11"/>
        <v>0</v>
      </c>
      <c r="U61" s="447" t="s">
        <v>968</v>
      </c>
      <c r="V61" s="182"/>
    </row>
    <row r="62" spans="1:22" x14ac:dyDescent="0.25">
      <c r="A62" s="337" t="s">
        <v>1021</v>
      </c>
      <c r="B62" s="443" t="s">
        <v>1022</v>
      </c>
      <c r="C62" s="444" t="s">
        <v>280</v>
      </c>
      <c r="D62" s="445" t="str" cm="1">
        <f t="array" ref="D62">_xlfn.TEXTJOIN("",TRUE,IF(ISNUMBER(SEARCH($A62,'Diags Raw Data'!$A$6:$A$3821)),CONCATENATE('Diags Raw Data'!$H$6:$H$3821,", "),""))</f>
        <v xml:space="preserve">DIO220, </v>
      </c>
      <c r="E62" s="342" t="e">
        <f>VLOOKUP(A62,'Diags Raw Data'!$A$6:$D$3821,4,FALSE)</f>
        <v>#N/A</v>
      </c>
      <c r="F62" s="342" t="str">
        <f>VLOOKUP(A62,'Feature Raw Data'!$A$3:$E$3998,5,FALSE)</f>
        <v>Legacy</v>
      </c>
      <c r="G62" s="342" t="str">
        <f t="shared" si="6"/>
        <v>Yes</v>
      </c>
      <c r="H62" s="342" t="str">
        <f t="shared" si="7"/>
        <v>Yes</v>
      </c>
      <c r="I62" s="444">
        <f>SUMIF('Diags Raw Data'!$A$6:$A$3821,"*"&amp;$A62&amp;"*",'Diags Raw Data'!$K$6:$K$3821)</f>
        <v>1</v>
      </c>
      <c r="J62" s="446">
        <f>SUMIF('Diags Raw Data'!$A$6:$A$3821,"*"&amp;$A62&amp;"*",'Diags Raw Data'!$L$6:$L$3821)</f>
        <v>7</v>
      </c>
      <c r="K62" s="491" cm="1">
        <f t="array" ref="K62">IF(D62="",0, SUMPRODUCT(--(ISNUMBER(SEARCH($A62,'Diags Raw Data'!$A$6:$A$3821))),'Diags Raw Data'!$L$6:$L$3821,'Diags Raw Data'!$N$6:$N$3821)/J62)</f>
        <v>1</v>
      </c>
      <c r="L62" s="492" cm="1">
        <f t="array" ref="L62">IF(D62="",0, SUMPRODUCT(--(ISNUMBER(SEARCH($A62,'Diags Raw Data'!$A$6:$A$3821))),'Diags Raw Data'!$L$6:$L$3821,'Diags Raw Data'!$P$6:$P$3821)/J62)</f>
        <v>1</v>
      </c>
      <c r="M62" s="493" cm="1">
        <f t="array" ref="M62">SUMPRODUCT(--(ISNUMBER(SEARCH($A62,'Diags Raw Data'!$A$6:$A$3821))),--('Diags Raw Data'!$Q$6:$Q$3821&lt;&gt;"N/A"),'Diags Raw Data'!$R$6:$R$3821)</f>
        <v>7</v>
      </c>
      <c r="N62" s="494" cm="1">
        <f t="array" ref="N62">SUMPRODUCT(--(ISNUMBER(SEARCH($A62,'Diags Raw Data'!$A$6:$A$3821))),--('Diags Raw Data'!$Q$6:$Q$3821&lt;&gt;"N/A"),'Diags Raw Data'!$T$6:$T$3821)+SUMPRODUCT(--(ISNUMBER(SEARCH($A62,'Diags Raw Data'!$A$6:$A$3821))),--('Diags Raw Data'!$Q$6:$Q$3821&lt;&gt;"N/A"),'Diags Raw Data'!$U$6:$U$3821)</f>
        <v>0</v>
      </c>
      <c r="O62" s="495">
        <f t="shared" si="8"/>
        <v>0</v>
      </c>
      <c r="P62" s="496">
        <f>SUMIF('Diags Raw Data'!$A$6:$A$3821,"*"&amp;$A62&amp;"*",'Diags Raw Data'!$Z$6:$Z$3821)</f>
        <v>0</v>
      </c>
      <c r="Q62" s="497">
        <f>SUM(SUMIF('Diags Raw Data'!$A$6:$A$3821,"*"&amp;$A62&amp;"*",'Diags Raw Data'!$AA$6:$AA$3821),SUMIF('Diags Raw Data'!$A$6:$A$3821,"*"&amp;$A62&amp;"*",'Diags Raw Data'!$AB$6:$AB$3821))</f>
        <v>0</v>
      </c>
      <c r="R62" s="498">
        <f t="shared" si="9"/>
        <v>0</v>
      </c>
      <c r="S62" s="498">
        <f t="shared" si="10"/>
        <v>0</v>
      </c>
      <c r="T62" s="499">
        <f t="shared" si="11"/>
        <v>0</v>
      </c>
      <c r="U62" s="447" t="s">
        <v>944</v>
      </c>
      <c r="V62" s="182"/>
    </row>
    <row r="63" spans="1:22" x14ac:dyDescent="0.25">
      <c r="A63" s="337" t="s">
        <v>1023</v>
      </c>
      <c r="B63" s="443" t="s">
        <v>1024</v>
      </c>
      <c r="C63" s="444" t="s">
        <v>280</v>
      </c>
      <c r="D63" s="445" t="str" cm="1">
        <f t="array" ref="D63">_xlfn.TEXTJOIN("",TRUE,IF(ISNUMBER(SEARCH($A63,'Diags Raw Data'!$A$6:$A$3821)),CONCATENATE('Diags Raw Data'!$H$6:$H$3821,", "),""))</f>
        <v xml:space="preserve">DSC004, OTG027, </v>
      </c>
      <c r="E63" s="342" t="e">
        <f>VLOOKUP(A63,'Diags Raw Data'!$A$6:$D$3821,4,FALSE)</f>
        <v>#N/A</v>
      </c>
      <c r="F63" s="342" t="str">
        <f>VLOOKUP(A63,'Feature Raw Data'!$A$3:$E$3998,5,FALSE)</f>
        <v>Legacy</v>
      </c>
      <c r="G63" s="342" t="str">
        <f t="shared" si="6"/>
        <v>Yes</v>
      </c>
      <c r="H63" s="342" t="str">
        <f t="shared" si="7"/>
        <v>Yes</v>
      </c>
      <c r="I63" s="444">
        <f>SUMIF('Diags Raw Data'!$A$6:$A$3821,"*"&amp;$A63&amp;"*",'Diags Raw Data'!$K$6:$K$3821)</f>
        <v>2</v>
      </c>
      <c r="J63" s="446">
        <f>SUMIF('Diags Raw Data'!$A$6:$A$3821,"*"&amp;$A63&amp;"*",'Diags Raw Data'!$L$6:$L$3821)</f>
        <v>19</v>
      </c>
      <c r="K63" s="491" cm="1">
        <f t="array" ref="K63">IF(D63="",0, SUMPRODUCT(--(ISNUMBER(SEARCH($A63,'Diags Raw Data'!$A$6:$A$3821))),'Diags Raw Data'!$L$6:$L$3821,'Diags Raw Data'!$N$6:$N$3821)/J63)</f>
        <v>1</v>
      </c>
      <c r="L63" s="492" cm="1">
        <f t="array" ref="L63">IF(D63="",0, SUMPRODUCT(--(ISNUMBER(SEARCH($A63,'Diags Raw Data'!$A$6:$A$3821))),'Diags Raw Data'!$L$6:$L$3821,'Diags Raw Data'!$P$6:$P$3821)/J63)</f>
        <v>1</v>
      </c>
      <c r="M63" s="493" cm="1">
        <f t="array" ref="M63">SUMPRODUCT(--(ISNUMBER(SEARCH($A63,'Diags Raw Data'!$A$6:$A$3821))),--('Diags Raw Data'!$Q$6:$Q$3821&lt;&gt;"N/A"),'Diags Raw Data'!$R$6:$R$3821)</f>
        <v>19</v>
      </c>
      <c r="N63" s="494" cm="1">
        <f t="array" ref="N63">SUMPRODUCT(--(ISNUMBER(SEARCH($A63,'Diags Raw Data'!$A$6:$A$3821))),--('Diags Raw Data'!$Q$6:$Q$3821&lt;&gt;"N/A"),'Diags Raw Data'!$T$6:$T$3821)+SUMPRODUCT(--(ISNUMBER(SEARCH($A63,'Diags Raw Data'!$A$6:$A$3821))),--('Diags Raw Data'!$Q$6:$Q$3821&lt;&gt;"N/A"),'Diags Raw Data'!$U$6:$U$3821)</f>
        <v>0</v>
      </c>
      <c r="O63" s="495">
        <f t="shared" si="8"/>
        <v>0</v>
      </c>
      <c r="P63" s="496">
        <v>0</v>
      </c>
      <c r="Q63" s="497">
        <f>SUM(SUMIF('Diags Raw Data'!$A$6:$A$3821,"*"&amp;$A63&amp;"*",'Diags Raw Data'!$AA$6:$AA$3821),SUMIF('Diags Raw Data'!$A$6:$A$3821,"*"&amp;$A63&amp;"*",'Diags Raw Data'!$AB$6:$AB$3821))</f>
        <v>0</v>
      </c>
      <c r="R63" s="498">
        <f t="shared" si="9"/>
        <v>0</v>
      </c>
      <c r="S63" s="498">
        <f t="shared" si="10"/>
        <v>0</v>
      </c>
      <c r="T63" s="499">
        <f t="shared" si="11"/>
        <v>0</v>
      </c>
      <c r="U63" s="447" t="s">
        <v>961</v>
      </c>
      <c r="V63" s="182"/>
    </row>
    <row r="64" spans="1:22" x14ac:dyDescent="0.25">
      <c r="A64" s="337" t="s">
        <v>1025</v>
      </c>
      <c r="B64" s="443" t="s">
        <v>1026</v>
      </c>
      <c r="C64" s="444" t="s">
        <v>280</v>
      </c>
      <c r="D64" s="445" t="str" cm="1">
        <f t="array" ref="D64">_xlfn.TEXTJOIN("",TRUE,IF(ISNUMBER(SEARCH($A64,'Diags Raw Data'!$A$6:$A$3821)),CONCATENATE('Diags Raw Data'!$H$6:$H$3821,", "),""))</f>
        <v xml:space="preserve">DSC004, </v>
      </c>
      <c r="E64" s="342" t="e">
        <f>VLOOKUP(A64,'Diags Raw Data'!$A$6:$D$3821,4,FALSE)</f>
        <v>#N/A</v>
      </c>
      <c r="F64" s="342" t="str">
        <f>VLOOKUP(A64,'Feature Raw Data'!$A$3:$E$3998,5,FALSE)</f>
        <v>Legacy</v>
      </c>
      <c r="G64" s="342" t="str">
        <f t="shared" si="6"/>
        <v>Yes</v>
      </c>
      <c r="H64" s="342" t="str">
        <f t="shared" si="7"/>
        <v>Yes</v>
      </c>
      <c r="I64" s="444">
        <f>SUMIF('Diags Raw Data'!$A$6:$A$3821,"*"&amp;$A64&amp;"*",'Diags Raw Data'!$K$6:$K$3821)</f>
        <v>1</v>
      </c>
      <c r="J64" s="446">
        <f>SUMIF('Diags Raw Data'!$A$6:$A$3821,"*"&amp;$A64&amp;"*",'Diags Raw Data'!$L$6:$L$3821)</f>
        <v>3</v>
      </c>
      <c r="K64" s="491" cm="1">
        <f t="array" ref="K64">IF(D64="",0, SUMPRODUCT(--(ISNUMBER(SEARCH($A64,'Diags Raw Data'!$A$6:$A$3821))),'Diags Raw Data'!$L$6:$L$3821,'Diags Raw Data'!$N$6:$N$3821)/J64)</f>
        <v>1</v>
      </c>
      <c r="L64" s="492" cm="1">
        <f t="array" ref="L64">IF(D64="",0, SUMPRODUCT(--(ISNUMBER(SEARCH($A64,'Diags Raw Data'!$A$6:$A$3821))),'Diags Raw Data'!$L$6:$L$3821,'Diags Raw Data'!$P$6:$P$3821)/J64)</f>
        <v>1</v>
      </c>
      <c r="M64" s="493" cm="1">
        <f t="array" ref="M64">SUMPRODUCT(--(ISNUMBER(SEARCH($A64,'Diags Raw Data'!$A$6:$A$3821))),--('Diags Raw Data'!$Q$6:$Q$3821&lt;&gt;"N/A"),'Diags Raw Data'!$R$6:$R$3821)</f>
        <v>3</v>
      </c>
      <c r="N64" s="494" cm="1">
        <f t="array" ref="N64">SUMPRODUCT(--(ISNUMBER(SEARCH($A64,'Diags Raw Data'!$A$6:$A$3821))),--('Diags Raw Data'!$Q$6:$Q$3821&lt;&gt;"N/A"),'Diags Raw Data'!$T$6:$T$3821)+SUMPRODUCT(--(ISNUMBER(SEARCH($A64,'Diags Raw Data'!$A$6:$A$3821))),--('Diags Raw Data'!$Q$6:$Q$3821&lt;&gt;"N/A"),'Diags Raw Data'!$U$6:$U$3821)</f>
        <v>0</v>
      </c>
      <c r="O64" s="495">
        <f t="shared" si="8"/>
        <v>0</v>
      </c>
      <c r="P64" s="496">
        <v>0</v>
      </c>
      <c r="Q64" s="497">
        <f>SUM(SUMIF('Diags Raw Data'!$A$6:$A$3821,"*"&amp;$A64&amp;"*",'Diags Raw Data'!$AA$6:$AA$3821),SUMIF('Diags Raw Data'!$A$6:$A$3821,"*"&amp;$A64&amp;"*",'Diags Raw Data'!$AB$6:$AB$3821))</f>
        <v>0</v>
      </c>
      <c r="R64" s="498">
        <f t="shared" si="9"/>
        <v>0</v>
      </c>
      <c r="S64" s="498">
        <f t="shared" si="10"/>
        <v>0</v>
      </c>
      <c r="T64" s="499">
        <f t="shared" si="11"/>
        <v>0</v>
      </c>
      <c r="U64" s="447" t="s">
        <v>961</v>
      </c>
      <c r="V64" s="182"/>
    </row>
    <row r="65" spans="1:22" x14ac:dyDescent="0.25">
      <c r="A65" s="337" t="s">
        <v>1027</v>
      </c>
      <c r="B65" s="443" t="s">
        <v>1028</v>
      </c>
      <c r="C65" s="444" t="s">
        <v>280</v>
      </c>
      <c r="D65" s="445" t="str" cm="1">
        <f t="array" ref="D65">_xlfn.TEXTJOIN("",TRUE,IF(ISNUMBER(SEARCH($A65,'Diags Raw Data'!$A$6:$A$3821)),CONCATENATE('Diags Raw Data'!$H$6:$H$3821,", "),""))</f>
        <v xml:space="preserve">DSC004, </v>
      </c>
      <c r="E65" s="342" t="e">
        <f>VLOOKUP(A65,'Diags Raw Data'!$A$6:$D$3821,4,FALSE)</f>
        <v>#N/A</v>
      </c>
      <c r="F65" s="342" t="str">
        <f>VLOOKUP(A65,'Feature Raw Data'!$A$3:$E$3998,5,FALSE)</f>
        <v>Legacy</v>
      </c>
      <c r="G65" s="342" t="str">
        <f t="shared" si="6"/>
        <v>Yes</v>
      </c>
      <c r="H65" s="342" t="str">
        <f t="shared" si="7"/>
        <v>Yes</v>
      </c>
      <c r="I65" s="444">
        <f>SUMIF('Diags Raw Data'!$A$6:$A$3821,"*"&amp;$A65&amp;"*",'Diags Raw Data'!$K$6:$K$3821)</f>
        <v>1</v>
      </c>
      <c r="J65" s="446">
        <f>SUMIF('Diags Raw Data'!$A$6:$A$3821,"*"&amp;$A65&amp;"*",'Diags Raw Data'!$L$6:$L$3821)</f>
        <v>3</v>
      </c>
      <c r="K65" s="491" cm="1">
        <f t="array" ref="K65">IF(D65="",0, SUMPRODUCT(--(ISNUMBER(SEARCH($A65,'Diags Raw Data'!$A$6:$A$3821))),'Diags Raw Data'!$L$6:$L$3821,'Diags Raw Data'!$N$6:$N$3821)/J65)</f>
        <v>1</v>
      </c>
      <c r="L65" s="492" cm="1">
        <f t="array" ref="L65">IF(D65="",0, SUMPRODUCT(--(ISNUMBER(SEARCH($A65,'Diags Raw Data'!$A$6:$A$3821))),'Diags Raw Data'!$L$6:$L$3821,'Diags Raw Data'!$P$6:$P$3821)/J65)</f>
        <v>1</v>
      </c>
      <c r="M65" s="493" cm="1">
        <f t="array" ref="M65">SUMPRODUCT(--(ISNUMBER(SEARCH($A65,'Diags Raw Data'!$A$6:$A$3821))),--('Diags Raw Data'!$Q$6:$Q$3821&lt;&gt;"N/A"),'Diags Raw Data'!$R$6:$R$3821)</f>
        <v>3</v>
      </c>
      <c r="N65" s="494" cm="1">
        <f t="array" ref="N65">SUMPRODUCT(--(ISNUMBER(SEARCH($A65,'Diags Raw Data'!$A$6:$A$3821))),--('Diags Raw Data'!$Q$6:$Q$3821&lt;&gt;"N/A"),'Diags Raw Data'!$T$6:$T$3821)+SUMPRODUCT(--(ISNUMBER(SEARCH($A65,'Diags Raw Data'!$A$6:$A$3821))),--('Diags Raw Data'!$Q$6:$Q$3821&lt;&gt;"N/A"),'Diags Raw Data'!$U$6:$U$3821)</f>
        <v>0</v>
      </c>
      <c r="O65" s="495">
        <f t="shared" si="8"/>
        <v>0</v>
      </c>
      <c r="P65" s="496">
        <v>0</v>
      </c>
      <c r="Q65" s="497">
        <f>SUM(SUMIF('Diags Raw Data'!$A$6:$A$3821,"*"&amp;$A65&amp;"*",'Diags Raw Data'!$AA$6:$AA$3821),SUMIF('Diags Raw Data'!$A$6:$A$3821,"*"&amp;$A65&amp;"*",'Diags Raw Data'!$AB$6:$AB$3821))</f>
        <v>0</v>
      </c>
      <c r="R65" s="498">
        <f t="shared" si="9"/>
        <v>0</v>
      </c>
      <c r="S65" s="498">
        <f t="shared" si="10"/>
        <v>0</v>
      </c>
      <c r="T65" s="499">
        <f t="shared" si="11"/>
        <v>0</v>
      </c>
      <c r="U65" s="447" t="s">
        <v>961</v>
      </c>
      <c r="V65" s="182"/>
    </row>
    <row r="66" spans="1:22" ht="30" x14ac:dyDescent="0.25">
      <c r="A66" s="337" t="s">
        <v>555</v>
      </c>
      <c r="B66" s="443" t="s">
        <v>1029</v>
      </c>
      <c r="C66" s="444" t="s">
        <v>280</v>
      </c>
      <c r="D66" s="445" t="str" cm="1">
        <f t="array" ref="D66">_xlfn.TEXTJOIN("",TRUE,IF(ISNUMBER(SEARCH($A66,'Diags Raw Data'!$A$6:$A$3821)),CONCATENATE('Diags Raw Data'!$H$6:$H$3821,", "),""))</f>
        <v xml:space="preserve">ODM001, ODM003, ODM004, ODM005, </v>
      </c>
      <c r="E66" s="342" t="str">
        <f>VLOOKUP(A66,'Diags Raw Data'!$A$6:$D$3821,4,FALSE)</f>
        <v>ODM</v>
      </c>
      <c r="F66" s="342" t="str">
        <f>VLOOKUP(A66,'Feature Raw Data'!$A$3:$E$3998,5,FALSE)</f>
        <v>Legacy</v>
      </c>
      <c r="G66" s="342" t="str">
        <f t="shared" si="6"/>
        <v>Yes</v>
      </c>
      <c r="H66" s="342" t="str">
        <f t="shared" si="7"/>
        <v>Yes</v>
      </c>
      <c r="I66" s="444">
        <f>SUMIF('Diags Raw Data'!$A$6:$A$3821,"*"&amp;$A66&amp;"*",'Diags Raw Data'!$K$6:$K$3821)</f>
        <v>4</v>
      </c>
      <c r="J66" s="446">
        <f>SUMIF('Diags Raw Data'!$A$6:$A$3821,"*"&amp;$A66&amp;"*",'Diags Raw Data'!$L$6:$L$3821)</f>
        <v>61</v>
      </c>
      <c r="K66" s="491" cm="1">
        <f t="array" ref="K66">IF(D66="",0, SUMPRODUCT(--(ISNUMBER(SEARCH($A66,'Diags Raw Data'!$A$6:$A$3821))),'Diags Raw Data'!$L$6:$L$3821,'Diags Raw Data'!$N$6:$N$3821)/J66)</f>
        <v>1</v>
      </c>
      <c r="L66" s="492" cm="1">
        <f t="array" ref="L66">IF(D66="",0, SUMPRODUCT(--(ISNUMBER(SEARCH($A66,'Diags Raw Data'!$A$6:$A$3821))),'Diags Raw Data'!$L$6:$L$3821,'Diags Raw Data'!$P$6:$P$3821)/J66)</f>
        <v>1</v>
      </c>
      <c r="M66" s="493" cm="1">
        <f t="array" ref="M66">SUMPRODUCT(--(ISNUMBER(SEARCH($A66,'Diags Raw Data'!$A$6:$A$3821))),--('Diags Raw Data'!$Q$6:$Q$3821&lt;&gt;"N/A"),'Diags Raw Data'!$R$6:$R$3821)</f>
        <v>67</v>
      </c>
      <c r="N66" s="494" cm="1">
        <f t="array" ref="N66">SUMPRODUCT(--(ISNUMBER(SEARCH($A66,'Diags Raw Data'!$A$6:$A$3821))),--('Diags Raw Data'!$Q$6:$Q$3821&lt;&gt;"N/A"),'Diags Raw Data'!$T$6:$T$3821)+SUMPRODUCT(--(ISNUMBER(SEARCH($A66,'Diags Raw Data'!$A$6:$A$3821))),--('Diags Raw Data'!$Q$6:$Q$3821&lt;&gt;"N/A"),'Diags Raw Data'!$U$6:$U$3821)</f>
        <v>0</v>
      </c>
      <c r="O66" s="495">
        <f t="shared" si="8"/>
        <v>0</v>
      </c>
      <c r="P66" s="496">
        <f>SUMIF('Diags Raw Data'!$A$6:$A$3821,"*"&amp;$A66&amp;"*",'Diags Raw Data'!$Z$6:$Z$3821)</f>
        <v>0</v>
      </c>
      <c r="Q66" s="497">
        <f>SUM(SUMIF('Diags Raw Data'!$A$6:$A$3821,"*"&amp;$A66&amp;"*",'Diags Raw Data'!$AA$6:$AA$3821),SUMIF('Diags Raw Data'!$A$6:$A$3821,"*"&amp;$A66&amp;"*",'Diags Raw Data'!$AB$6:$AB$3821))</f>
        <v>0</v>
      </c>
      <c r="R66" s="498">
        <f t="shared" si="9"/>
        <v>0</v>
      </c>
      <c r="S66" s="498">
        <f t="shared" si="10"/>
        <v>0</v>
      </c>
      <c r="T66" s="499">
        <f t="shared" si="11"/>
        <v>0</v>
      </c>
      <c r="U66" s="447" t="s">
        <v>956</v>
      </c>
      <c r="V66" s="182"/>
    </row>
    <row r="67" spans="1:22" x14ac:dyDescent="0.25">
      <c r="A67" s="337" t="s">
        <v>1030</v>
      </c>
      <c r="B67" s="443" t="s">
        <v>1031</v>
      </c>
      <c r="C67" s="444" t="s">
        <v>280</v>
      </c>
      <c r="D67" s="445" t="str" cm="1">
        <f t="array" ref="D67">_xlfn.TEXTJOIN("",TRUE,IF(ISNUMBER(SEARCH($A67,'Diags Raw Data'!$A$6:$A$3821)),CONCATENATE('Diags Raw Data'!$H$6:$H$3821,", "),""))</f>
        <v xml:space="preserve">OTG017, </v>
      </c>
      <c r="E67" s="342" t="e">
        <f>VLOOKUP(A67,'Diags Raw Data'!$A$6:$D$3821,4,FALSE)</f>
        <v>#N/A</v>
      </c>
      <c r="F67" s="342" t="str">
        <f>VLOOKUP(A67,'Feature Raw Data'!$A$3:$E$3998,5,FALSE)</f>
        <v>Legacy</v>
      </c>
      <c r="G67" s="342" t="str">
        <f t="shared" si="6"/>
        <v>Yes</v>
      </c>
      <c r="H67" s="342" t="str">
        <f t="shared" si="7"/>
        <v>Yes</v>
      </c>
      <c r="I67" s="444">
        <f>SUMIF('Diags Raw Data'!$A$6:$A$3821,"*"&amp;$A67&amp;"*",'Diags Raw Data'!$K$6:$K$3821)</f>
        <v>1</v>
      </c>
      <c r="J67" s="446">
        <f>SUMIF('Diags Raw Data'!$A$6:$A$3821,"*"&amp;$A67&amp;"*",'Diags Raw Data'!$L$6:$L$3821)</f>
        <v>3</v>
      </c>
      <c r="K67" s="491" cm="1">
        <f t="array" ref="K67">IF(D67="",0, SUMPRODUCT(--(ISNUMBER(SEARCH($A67,'Diags Raw Data'!$A$6:$A$3821))),'Diags Raw Data'!$L$6:$L$3821,'Diags Raw Data'!$N$6:$N$3821)/J67)</f>
        <v>1</v>
      </c>
      <c r="L67" s="492" cm="1">
        <f t="array" ref="L67">IF(D67="",0, SUMPRODUCT(--(ISNUMBER(SEARCH($A67,'Diags Raw Data'!$A$6:$A$3821))),'Diags Raw Data'!$L$6:$L$3821,'Diags Raw Data'!$P$6:$P$3821)/J67)</f>
        <v>1</v>
      </c>
      <c r="M67" s="493" cm="1">
        <f t="array" ref="M67">SUMPRODUCT(--(ISNUMBER(SEARCH($A67,'Diags Raw Data'!$A$6:$A$3821))),--('Diags Raw Data'!$Q$6:$Q$3821&lt;&gt;"N/A"),'Diags Raw Data'!$R$6:$R$3821)</f>
        <v>3</v>
      </c>
      <c r="N67" s="494" cm="1">
        <f t="array" ref="N67">SUMPRODUCT(--(ISNUMBER(SEARCH($A67,'Diags Raw Data'!$A$6:$A$3821))),--('Diags Raw Data'!$Q$6:$Q$3821&lt;&gt;"N/A"),'Diags Raw Data'!$T$6:$T$3821)+SUMPRODUCT(--(ISNUMBER(SEARCH($A67,'Diags Raw Data'!$A$6:$A$3821))),--('Diags Raw Data'!$Q$6:$Q$3821&lt;&gt;"N/A"),'Diags Raw Data'!$U$6:$U$3821)</f>
        <v>0</v>
      </c>
      <c r="O67" s="495">
        <f t="shared" si="8"/>
        <v>0</v>
      </c>
      <c r="P67" s="496">
        <v>0</v>
      </c>
      <c r="Q67" s="497">
        <f>SUM(SUMIF('Diags Raw Data'!$A$6:$A$3821,"*"&amp;$A67&amp;"*",'Diags Raw Data'!$AA$6:$AA$3821),SUMIF('Diags Raw Data'!$A$6:$A$3821,"*"&amp;$A67&amp;"*",'Diags Raw Data'!$AB$6:$AB$3821))</f>
        <v>0</v>
      </c>
      <c r="R67" s="498">
        <f t="shared" si="9"/>
        <v>0</v>
      </c>
      <c r="S67" s="498">
        <f t="shared" si="10"/>
        <v>0</v>
      </c>
      <c r="T67" s="499">
        <f t="shared" si="11"/>
        <v>0</v>
      </c>
      <c r="U67" s="447" t="s">
        <v>934</v>
      </c>
      <c r="V67" s="182"/>
    </row>
    <row r="68" spans="1:22" ht="30" x14ac:dyDescent="0.25">
      <c r="A68" s="337" t="s">
        <v>583</v>
      </c>
      <c r="B68" s="443" t="s">
        <v>1032</v>
      </c>
      <c r="C68" s="444" t="s">
        <v>280</v>
      </c>
      <c r="D68" s="445" t="str" cm="1">
        <f t="array" ref="D68">_xlfn.TEXTJOIN("",TRUE,IF(ISNUMBER(SEARCH($A68,'Diags Raw Data'!$A$6:$A$3821)),CONCATENATE('Diags Raw Data'!$H$6:$H$3821,", "),""))</f>
        <v xml:space="preserve">OTG009, DIO220, DIO365, DIO366, </v>
      </c>
      <c r="E68" s="342" t="str">
        <f>VLOOKUP(A68,'Diags Raw Data'!$A$6:$D$3821,4,FALSE)</f>
        <v>OTG</v>
      </c>
      <c r="F68" s="342" t="str">
        <f>VLOOKUP(A68,'Feature Raw Data'!$A$3:$E$3998,5,FALSE)</f>
        <v>Legacy</v>
      </c>
      <c r="G68" s="342" t="str">
        <f t="shared" si="6"/>
        <v>Yes</v>
      </c>
      <c r="H68" s="342" t="str">
        <f t="shared" si="7"/>
        <v>Yes</v>
      </c>
      <c r="I68" s="444">
        <f>SUMIF('Diags Raw Data'!$A$6:$A$3821,"*"&amp;$A68&amp;"*",'Diags Raw Data'!$K$6:$K$3821)</f>
        <v>4</v>
      </c>
      <c r="J68" s="446">
        <f>SUMIF('Diags Raw Data'!$A$6:$A$3821,"*"&amp;$A68&amp;"*",'Diags Raw Data'!$L$6:$L$3821)</f>
        <v>231</v>
      </c>
      <c r="K68" s="491" cm="1">
        <f t="array" ref="K68">IF(D68="",0, SUMPRODUCT(--(ISNUMBER(SEARCH($A68,'Diags Raw Data'!$A$6:$A$3821))),'Diags Raw Data'!$L$6:$L$3821,'Diags Raw Data'!$N$6:$N$3821)/J68)</f>
        <v>1</v>
      </c>
      <c r="L68" s="492" cm="1">
        <f t="array" ref="L68">IF(D68="",0, SUMPRODUCT(--(ISNUMBER(SEARCH($A68,'Diags Raw Data'!$A$6:$A$3821))),'Diags Raw Data'!$L$6:$L$3821,'Diags Raw Data'!$P$6:$P$3821)/J68)</f>
        <v>1</v>
      </c>
      <c r="M68" s="493" cm="1">
        <f t="array" ref="M68">SUMPRODUCT(--(ISNUMBER(SEARCH($A68,'Diags Raw Data'!$A$6:$A$3821))),--('Diags Raw Data'!$Q$6:$Q$3821&lt;&gt;"N/A"),'Diags Raw Data'!$R$6:$R$3821)</f>
        <v>232</v>
      </c>
      <c r="N68" s="494" cm="1">
        <f t="array" ref="N68">SUMPRODUCT(--(ISNUMBER(SEARCH($A68,'Diags Raw Data'!$A$6:$A$3821))),--('Diags Raw Data'!$Q$6:$Q$3821&lt;&gt;"N/A"),'Diags Raw Data'!$T$6:$T$3821)+SUMPRODUCT(--(ISNUMBER(SEARCH($A68,'Diags Raw Data'!$A$6:$A$3821))),--('Diags Raw Data'!$Q$6:$Q$3821&lt;&gt;"N/A"),'Diags Raw Data'!$U$6:$U$3821)</f>
        <v>0</v>
      </c>
      <c r="O68" s="495">
        <f t="shared" si="8"/>
        <v>0</v>
      </c>
      <c r="P68" s="496">
        <v>0</v>
      </c>
      <c r="Q68" s="497">
        <f>SUM(SUMIF('Diags Raw Data'!$A$6:$A$3821,"*"&amp;$A68&amp;"*",'Diags Raw Data'!$AA$6:$AA$3821),SUMIF('Diags Raw Data'!$A$6:$A$3821,"*"&amp;$A68&amp;"*",'Diags Raw Data'!$AB$6:$AB$3821))</f>
        <v>0</v>
      </c>
      <c r="R68" s="498">
        <f t="shared" si="9"/>
        <v>0</v>
      </c>
      <c r="S68" s="498">
        <f t="shared" si="10"/>
        <v>0</v>
      </c>
      <c r="T68" s="499">
        <f t="shared" si="11"/>
        <v>0</v>
      </c>
      <c r="U68" s="447" t="s">
        <v>968</v>
      </c>
      <c r="V68" s="182"/>
    </row>
    <row r="69" spans="1:22" x14ac:dyDescent="0.25">
      <c r="A69" s="337" t="s">
        <v>720</v>
      </c>
      <c r="B69" s="443" t="s">
        <v>1033</v>
      </c>
      <c r="C69" s="444" t="s">
        <v>280</v>
      </c>
      <c r="D69" s="445" t="str" cm="1">
        <f t="array" ref="D69">_xlfn.TEXTJOIN("",TRUE,IF(ISNUMBER(SEARCH($A69,'Diags Raw Data'!$A$6:$A$3821)),CONCATENATE('Diags Raw Data'!$H$6:$H$3821,", "),""))</f>
        <v xml:space="preserve">DIO367, DIO368, </v>
      </c>
      <c r="E69" s="342" t="str">
        <f>VLOOKUP(A69,'Diags Raw Data'!$A$6:$D$3821,4,FALSE)</f>
        <v>DIO</v>
      </c>
      <c r="F69" s="342" t="str">
        <f>VLOOKUP(A69,'Feature Raw Data'!$A$3:$E$3998,5,FALSE)</f>
        <v>Legacy</v>
      </c>
      <c r="G69" s="342" t="str">
        <f t="shared" si="6"/>
        <v>Yes</v>
      </c>
      <c r="H69" s="342" t="str">
        <f t="shared" si="7"/>
        <v>Yes</v>
      </c>
      <c r="I69" s="444">
        <f>SUMIF('Diags Raw Data'!$A$6:$A$3821,"*"&amp;$A69&amp;"*",'Diags Raw Data'!$K$6:$K$3821)</f>
        <v>2</v>
      </c>
      <c r="J69" s="446">
        <f>SUMIF('Diags Raw Data'!$A$6:$A$3821,"*"&amp;$A69&amp;"*",'Diags Raw Data'!$L$6:$L$3821)</f>
        <v>2</v>
      </c>
      <c r="K69" s="491" cm="1">
        <f t="array" ref="K69">IF(D69="",0, SUMPRODUCT(--(ISNUMBER(SEARCH($A69,'Diags Raw Data'!$A$6:$A$3821))),'Diags Raw Data'!$L$6:$L$3821,'Diags Raw Data'!$N$6:$N$3821)/J69)</f>
        <v>1</v>
      </c>
      <c r="L69" s="492" cm="1">
        <f t="array" ref="L69">IF(D69="",0, SUMPRODUCT(--(ISNUMBER(SEARCH($A69,'Diags Raw Data'!$A$6:$A$3821))),'Diags Raw Data'!$L$6:$L$3821,'Diags Raw Data'!$P$6:$P$3821)/J69)</f>
        <v>1</v>
      </c>
      <c r="M69" s="493" cm="1">
        <f t="array" ref="M69">SUMPRODUCT(--(ISNUMBER(SEARCH($A69,'Diags Raw Data'!$A$6:$A$3821))),--('Diags Raw Data'!$Q$6:$Q$3821&lt;&gt;"N/A"),'Diags Raw Data'!$R$6:$R$3821)</f>
        <v>2</v>
      </c>
      <c r="N69" s="494" cm="1">
        <f t="array" ref="N69">SUMPRODUCT(--(ISNUMBER(SEARCH($A69,'Diags Raw Data'!$A$6:$A$3821))),--('Diags Raw Data'!$Q$6:$Q$3821&lt;&gt;"N/A"),'Diags Raw Data'!$T$6:$T$3821)+SUMPRODUCT(--(ISNUMBER(SEARCH($A69,'Diags Raw Data'!$A$6:$A$3821))),--('Diags Raw Data'!$Q$6:$Q$3821&lt;&gt;"N/A"),'Diags Raw Data'!$U$6:$U$3821)</f>
        <v>0</v>
      </c>
      <c r="O69" s="495">
        <f t="shared" si="8"/>
        <v>0</v>
      </c>
      <c r="P69" s="496">
        <v>0</v>
      </c>
      <c r="Q69" s="497">
        <f>SUM(SUMIF('Diags Raw Data'!$A$6:$A$3821,"*"&amp;$A69&amp;"*",'Diags Raw Data'!$AA$6:$AA$3821),SUMIF('Diags Raw Data'!$A$6:$A$3821,"*"&amp;$A69&amp;"*",'Diags Raw Data'!$AB$6:$AB$3821))</f>
        <v>0</v>
      </c>
      <c r="R69" s="498">
        <f t="shared" si="9"/>
        <v>0</v>
      </c>
      <c r="S69" s="498">
        <f t="shared" si="10"/>
        <v>0</v>
      </c>
      <c r="T69" s="499">
        <f t="shared" si="11"/>
        <v>0</v>
      </c>
      <c r="U69" s="447" t="s">
        <v>968</v>
      </c>
      <c r="V69" s="182"/>
    </row>
    <row r="70" spans="1:22" x14ac:dyDescent="0.25">
      <c r="A70" s="337" t="s">
        <v>602</v>
      </c>
      <c r="B70" s="443" t="s">
        <v>1034</v>
      </c>
      <c r="C70" s="444" t="s">
        <v>280</v>
      </c>
      <c r="D70" s="445" t="str" cm="1">
        <f t="array" ref="D70">_xlfn.TEXTJOIN("",TRUE,IF(ISNUMBER(SEARCH($A70,'Diags Raw Data'!$A$6:$A$3821)),CONCATENATE('Diags Raw Data'!$H$6:$H$3821,", "),""))</f>
        <v xml:space="preserve">OTG025, </v>
      </c>
      <c r="E70" s="342" t="str">
        <f>VLOOKUP(A70,'Diags Raw Data'!$A$6:$D$3821,4,FALSE)</f>
        <v>OTG</v>
      </c>
      <c r="F70" s="342" t="str">
        <f>VLOOKUP(A70,'Feature Raw Data'!$A$3:$E$3998,5,FALSE)</f>
        <v>Legacy</v>
      </c>
      <c r="G70" s="342" t="str">
        <f t="shared" si="6"/>
        <v>Yes</v>
      </c>
      <c r="H70" s="342" t="str">
        <f t="shared" si="7"/>
        <v>Yes</v>
      </c>
      <c r="I70" s="444">
        <f>SUMIF('Diags Raw Data'!$A$6:$A$3821,"*"&amp;$A70&amp;"*",'Diags Raw Data'!$K$6:$K$3821)</f>
        <v>1</v>
      </c>
      <c r="J70" s="446">
        <f>SUMIF('Diags Raw Data'!$A$6:$A$3821,"*"&amp;$A70&amp;"*",'Diags Raw Data'!$L$6:$L$3821)</f>
        <v>2</v>
      </c>
      <c r="K70" s="491" cm="1">
        <f t="array" ref="K70">IF(D70="",0, SUMPRODUCT(--(ISNUMBER(SEARCH($A70,'Diags Raw Data'!$A$6:$A$3821))),'Diags Raw Data'!$L$6:$L$3821,'Diags Raw Data'!$N$6:$N$3821)/J70)</f>
        <v>1</v>
      </c>
      <c r="L70" s="492" cm="1">
        <f t="array" ref="L70">IF(D70="",0, SUMPRODUCT(--(ISNUMBER(SEARCH($A70,'Diags Raw Data'!$A$6:$A$3821))),'Diags Raw Data'!$L$6:$L$3821,'Diags Raw Data'!$P$6:$P$3821)/J70)</f>
        <v>1</v>
      </c>
      <c r="M70" s="493" cm="1">
        <f t="array" ref="M70">SUMPRODUCT(--(ISNUMBER(SEARCH($A70,'Diags Raw Data'!$A$6:$A$3821))),--('Diags Raw Data'!$Q$6:$Q$3821&lt;&gt;"N/A"),'Diags Raw Data'!$R$6:$R$3821)</f>
        <v>2</v>
      </c>
      <c r="N70" s="494" cm="1">
        <f t="array" ref="N70">SUMPRODUCT(--(ISNUMBER(SEARCH($A70,'Diags Raw Data'!$A$6:$A$3821))),--('Diags Raw Data'!$Q$6:$Q$3821&lt;&gt;"N/A"),'Diags Raw Data'!$T$6:$T$3821)+SUMPRODUCT(--(ISNUMBER(SEARCH($A70,'Diags Raw Data'!$A$6:$A$3821))),--('Diags Raw Data'!$Q$6:$Q$3821&lt;&gt;"N/A"),'Diags Raw Data'!$U$6:$U$3821)</f>
        <v>0</v>
      </c>
      <c r="O70" s="495">
        <f t="shared" si="8"/>
        <v>0</v>
      </c>
      <c r="P70" s="496">
        <f>SUMIF('Diags Raw Data'!$A$6:$A$3821,"*"&amp;$A70&amp;"*",'Diags Raw Data'!$Z$6:$Z$3821)</f>
        <v>0</v>
      </c>
      <c r="Q70" s="497">
        <f>SUM(SUMIF('Diags Raw Data'!$A$6:$A$3821,"*"&amp;$A70&amp;"*",'Diags Raw Data'!$AA$6:$AA$3821),SUMIF('Diags Raw Data'!$A$6:$A$3821,"*"&amp;$A70&amp;"*",'Diags Raw Data'!$AB$6:$AB$3821))</f>
        <v>0</v>
      </c>
      <c r="R70" s="498">
        <f t="shared" si="9"/>
        <v>0</v>
      </c>
      <c r="S70" s="498">
        <f t="shared" si="10"/>
        <v>0</v>
      </c>
      <c r="T70" s="499">
        <f t="shared" si="11"/>
        <v>0</v>
      </c>
      <c r="U70" s="447" t="s">
        <v>968</v>
      </c>
      <c r="V70" s="182"/>
    </row>
    <row r="71" spans="1:22" x14ac:dyDescent="0.25">
      <c r="A71" s="337" t="s">
        <v>1035</v>
      </c>
      <c r="B71" s="443" t="s">
        <v>1036</v>
      </c>
      <c r="C71" s="444" t="s">
        <v>280</v>
      </c>
      <c r="D71" s="445" t="str" cm="1">
        <f t="array" ref="D71">_xlfn.TEXTJOIN("",TRUE,IF(ISNUMBER(SEARCH($A71,'Diags Raw Data'!$A$6:$A$3821)),CONCATENATE('Diags Raw Data'!$H$6:$H$3821,", "),""))</f>
        <v xml:space="preserve">OTG005, </v>
      </c>
      <c r="E71" s="342" t="e">
        <f>VLOOKUP(A71,'Diags Raw Data'!$A$6:$D$3821,4,FALSE)</f>
        <v>#N/A</v>
      </c>
      <c r="F71" s="342" t="str">
        <f>VLOOKUP(A71,'Feature Raw Data'!$A$3:$E$3998,5,FALSE)</f>
        <v>Legacy</v>
      </c>
      <c r="G71" s="342" t="str">
        <f t="shared" si="6"/>
        <v>Yes</v>
      </c>
      <c r="H71" s="342" t="str">
        <f t="shared" si="7"/>
        <v>Yes</v>
      </c>
      <c r="I71" s="444">
        <f>SUMIF('Diags Raw Data'!$A$6:$A$3821,"*"&amp;$A71&amp;"*",'Diags Raw Data'!$K$6:$K$3821)</f>
        <v>1</v>
      </c>
      <c r="J71" s="446">
        <f>SUMIF('Diags Raw Data'!$A$6:$A$3821,"*"&amp;$A71&amp;"*",'Diags Raw Data'!$L$6:$L$3821)</f>
        <v>10</v>
      </c>
      <c r="K71" s="491" cm="1">
        <f t="array" ref="K71">IF(D71="",0, SUMPRODUCT(--(ISNUMBER(SEARCH($A71,'Diags Raw Data'!$A$6:$A$3821))),'Diags Raw Data'!$L$6:$L$3821,'Diags Raw Data'!$N$6:$N$3821)/J71)</f>
        <v>1</v>
      </c>
      <c r="L71" s="492" cm="1">
        <f t="array" ref="L71">IF(D71="",0, SUMPRODUCT(--(ISNUMBER(SEARCH($A71,'Diags Raw Data'!$A$6:$A$3821))),'Diags Raw Data'!$L$6:$L$3821,'Diags Raw Data'!$P$6:$P$3821)/J71)</f>
        <v>1</v>
      </c>
      <c r="M71" s="493" cm="1">
        <f t="array" ref="M71">SUMPRODUCT(--(ISNUMBER(SEARCH($A71,'Diags Raw Data'!$A$6:$A$3821))),--('Diags Raw Data'!$Q$6:$Q$3821&lt;&gt;"N/A"),'Diags Raw Data'!$R$6:$R$3821)</f>
        <v>10</v>
      </c>
      <c r="N71" s="494" cm="1">
        <f t="array" ref="N71">SUMPRODUCT(--(ISNUMBER(SEARCH($A71,'Diags Raw Data'!$A$6:$A$3821))),--('Diags Raw Data'!$Q$6:$Q$3821&lt;&gt;"N/A"),'Diags Raw Data'!$T$6:$T$3821)+SUMPRODUCT(--(ISNUMBER(SEARCH($A71,'Diags Raw Data'!$A$6:$A$3821))),--('Diags Raw Data'!$Q$6:$Q$3821&lt;&gt;"N/A"),'Diags Raw Data'!$U$6:$U$3821)</f>
        <v>0</v>
      </c>
      <c r="O71" s="495">
        <f t="shared" si="8"/>
        <v>0</v>
      </c>
      <c r="P71" s="496">
        <f>SUMIF('Diags Raw Data'!$A$6:$A$3821,"*"&amp;$A71&amp;"*",'Diags Raw Data'!$Z$6:$Z$3821)</f>
        <v>0</v>
      </c>
      <c r="Q71" s="497">
        <f>SUM(SUMIF('Diags Raw Data'!$A$6:$A$3821,"*"&amp;$A71&amp;"*",'Diags Raw Data'!$AA$6:$AA$3821),SUMIF('Diags Raw Data'!$A$6:$A$3821,"*"&amp;$A71&amp;"*",'Diags Raw Data'!$AB$6:$AB$3821))</f>
        <v>0</v>
      </c>
      <c r="R71" s="498">
        <f t="shared" si="9"/>
        <v>0</v>
      </c>
      <c r="S71" s="498">
        <f t="shared" si="10"/>
        <v>0</v>
      </c>
      <c r="T71" s="499">
        <f t="shared" si="11"/>
        <v>0</v>
      </c>
      <c r="U71" s="447" t="s">
        <v>944</v>
      </c>
      <c r="V71" s="182"/>
    </row>
    <row r="72" spans="1:22" ht="30" x14ac:dyDescent="0.25">
      <c r="A72" s="337" t="s">
        <v>587</v>
      </c>
      <c r="B72" s="443" t="s">
        <v>1037</v>
      </c>
      <c r="C72" s="444" t="s">
        <v>280</v>
      </c>
      <c r="D72" s="445" t="str" cm="1">
        <f t="array" ref="D72">_xlfn.TEXTJOIN("",TRUE,IF(ISNUMBER(SEARCH($A72,'Diags Raw Data'!$A$6:$A$3821)),CONCATENATE('Diags Raw Data'!$H$6:$H$3821,", "),""))</f>
        <v xml:space="preserve">OTG011, OTG033, OTG804, OTG805, </v>
      </c>
      <c r="E72" s="342" t="str">
        <f>VLOOKUP(A72,'Diags Raw Data'!$A$6:$D$3821,4,FALSE)</f>
        <v>OTG</v>
      </c>
      <c r="F72" s="342" t="str">
        <f>VLOOKUP(A72,'Feature Raw Data'!$A$3:$E$3998,5,FALSE)</f>
        <v>Legacy</v>
      </c>
      <c r="G72" s="342" t="str">
        <f t="shared" si="6"/>
        <v>Yes</v>
      </c>
      <c r="H72" s="342" t="str">
        <f t="shared" si="7"/>
        <v>Yes</v>
      </c>
      <c r="I72" s="444">
        <f>SUMIF('Diags Raw Data'!$A$6:$A$3821,"*"&amp;$A72&amp;"*",'Diags Raw Data'!$K$6:$K$3821)</f>
        <v>4</v>
      </c>
      <c r="J72" s="446">
        <f>SUMIF('Diags Raw Data'!$A$6:$A$3821,"*"&amp;$A72&amp;"*",'Diags Raw Data'!$L$6:$L$3821)</f>
        <v>4</v>
      </c>
      <c r="K72" s="491" cm="1">
        <f t="array" ref="K72">IF(D72="",0, SUMPRODUCT(--(ISNUMBER(SEARCH($A72,'Diags Raw Data'!$A$6:$A$3821))),'Diags Raw Data'!$L$6:$L$3821,'Diags Raw Data'!$N$6:$N$3821)/J72)</f>
        <v>1</v>
      </c>
      <c r="L72" s="492" cm="1">
        <f t="array" ref="L72">IF(D72="",0, SUMPRODUCT(--(ISNUMBER(SEARCH($A72,'Diags Raw Data'!$A$6:$A$3821))),'Diags Raw Data'!$L$6:$L$3821,'Diags Raw Data'!$P$6:$P$3821)/J72)</f>
        <v>1</v>
      </c>
      <c r="M72" s="493" cm="1">
        <f t="array" ref="M72">SUMPRODUCT(--(ISNUMBER(SEARCH($A72,'Diags Raw Data'!$A$6:$A$3821))),--('Diags Raw Data'!$Q$6:$Q$3821&lt;&gt;"N/A"),'Diags Raw Data'!$R$6:$R$3821)</f>
        <v>4</v>
      </c>
      <c r="N72" s="494" cm="1">
        <f t="array" ref="N72">SUMPRODUCT(--(ISNUMBER(SEARCH($A72,'Diags Raw Data'!$A$6:$A$3821))),--('Diags Raw Data'!$Q$6:$Q$3821&lt;&gt;"N/A"),'Diags Raw Data'!$T$6:$T$3821)+SUMPRODUCT(--(ISNUMBER(SEARCH($A72,'Diags Raw Data'!$A$6:$A$3821))),--('Diags Raw Data'!$Q$6:$Q$3821&lt;&gt;"N/A"),'Diags Raw Data'!$U$6:$U$3821)</f>
        <v>0</v>
      </c>
      <c r="O72" s="495">
        <f t="shared" si="8"/>
        <v>0</v>
      </c>
      <c r="P72" s="496">
        <v>0</v>
      </c>
      <c r="Q72" s="497">
        <f>SUM(SUMIF('Diags Raw Data'!$A$6:$A$3821,"*"&amp;$A72&amp;"*",'Diags Raw Data'!$AA$6:$AA$3821),SUMIF('Diags Raw Data'!$A$6:$A$3821,"*"&amp;$A72&amp;"*",'Diags Raw Data'!$AB$6:$AB$3821))</f>
        <v>0</v>
      </c>
      <c r="R72" s="498">
        <f t="shared" si="9"/>
        <v>0</v>
      </c>
      <c r="S72" s="498">
        <f t="shared" si="10"/>
        <v>0</v>
      </c>
      <c r="T72" s="499">
        <f t="shared" si="11"/>
        <v>0</v>
      </c>
      <c r="U72" s="447" t="s">
        <v>47</v>
      </c>
      <c r="V72" s="182"/>
    </row>
    <row r="73" spans="1:22" x14ac:dyDescent="0.25">
      <c r="A73" s="337" t="s">
        <v>575</v>
      </c>
      <c r="B73" s="443" t="s">
        <v>1038</v>
      </c>
      <c r="C73" s="444" t="s">
        <v>280</v>
      </c>
      <c r="D73" s="445" t="str" cm="1">
        <f t="array" ref="D73">_xlfn.TEXTJOIN("",TRUE,IF(ISNUMBER(SEARCH($A73,'Diags Raw Data'!$A$6:$A$3821)),CONCATENATE('Diags Raw Data'!$H$6:$H$3821,", "),""))</f>
        <v xml:space="preserve">OTG007, </v>
      </c>
      <c r="E73" s="342" t="str">
        <f>VLOOKUP(A73,'Diags Raw Data'!$A$6:$D$3821,4,FALSE)</f>
        <v>OTG</v>
      </c>
      <c r="F73" s="342" t="str">
        <f>VLOOKUP(A73,'Feature Raw Data'!$A$3:$E$3998,5,FALSE)</f>
        <v>Legacy</v>
      </c>
      <c r="G73" s="342" t="str">
        <f t="shared" si="6"/>
        <v>Yes</v>
      </c>
      <c r="H73" s="342" t="str">
        <f t="shared" si="7"/>
        <v>Yes</v>
      </c>
      <c r="I73" s="444">
        <f>SUMIF('Diags Raw Data'!$A$6:$A$3821,"*"&amp;$A73&amp;"*",'Diags Raw Data'!$K$6:$K$3821)</f>
        <v>1</v>
      </c>
      <c r="J73" s="446">
        <f>SUMIF('Diags Raw Data'!$A$6:$A$3821,"*"&amp;$A73&amp;"*",'Diags Raw Data'!$L$6:$L$3821)</f>
        <v>215</v>
      </c>
      <c r="K73" s="491" cm="1">
        <f t="array" ref="K73">IF(D73="",0, SUMPRODUCT(--(ISNUMBER(SEARCH($A73,'Diags Raw Data'!$A$6:$A$3821))),'Diags Raw Data'!$L$6:$L$3821,'Diags Raw Data'!$N$6:$N$3821)/J73)</f>
        <v>1</v>
      </c>
      <c r="L73" s="492" cm="1">
        <f t="array" ref="L73">IF(D73="",0, SUMPRODUCT(--(ISNUMBER(SEARCH($A73,'Diags Raw Data'!$A$6:$A$3821))),'Diags Raw Data'!$L$6:$L$3821,'Diags Raw Data'!$P$6:$P$3821)/J73)</f>
        <v>1</v>
      </c>
      <c r="M73" s="493" cm="1">
        <f t="array" ref="M73">SUMPRODUCT(--(ISNUMBER(SEARCH($A73,'Diags Raw Data'!$A$6:$A$3821))),--('Diags Raw Data'!$Q$6:$Q$3821&lt;&gt;"N/A"),'Diags Raw Data'!$R$6:$R$3821)</f>
        <v>215</v>
      </c>
      <c r="N73" s="494" cm="1">
        <f t="array" ref="N73">SUMPRODUCT(--(ISNUMBER(SEARCH($A73,'Diags Raw Data'!$A$6:$A$3821))),--('Diags Raw Data'!$Q$6:$Q$3821&lt;&gt;"N/A"),'Diags Raw Data'!$T$6:$T$3821)+SUMPRODUCT(--(ISNUMBER(SEARCH($A73,'Diags Raw Data'!$A$6:$A$3821))),--('Diags Raw Data'!$Q$6:$Q$3821&lt;&gt;"N/A"),'Diags Raw Data'!$U$6:$U$3821)</f>
        <v>0</v>
      </c>
      <c r="O73" s="495">
        <f t="shared" si="8"/>
        <v>0</v>
      </c>
      <c r="P73" s="496">
        <f>SUMIF('Diags Raw Data'!$A$6:$A$3821,"*"&amp;$A73&amp;"*",'Diags Raw Data'!$Z$6:$Z$3821)</f>
        <v>0</v>
      </c>
      <c r="Q73" s="497">
        <f>SUM(SUMIF('Diags Raw Data'!$A$6:$A$3821,"*"&amp;$A73&amp;"*",'Diags Raw Data'!$AA$6:$AA$3821),SUMIF('Diags Raw Data'!$A$6:$A$3821,"*"&amp;$A73&amp;"*",'Diags Raw Data'!$AB$6:$AB$3821))</f>
        <v>0</v>
      </c>
      <c r="R73" s="498">
        <f t="shared" si="9"/>
        <v>0</v>
      </c>
      <c r="S73" s="498">
        <f t="shared" si="10"/>
        <v>0</v>
      </c>
      <c r="T73" s="499">
        <f t="shared" si="11"/>
        <v>0</v>
      </c>
      <c r="U73" s="447" t="s">
        <v>934</v>
      </c>
      <c r="V73" s="182"/>
    </row>
    <row r="74" spans="1:22" x14ac:dyDescent="0.25">
      <c r="A74" s="337" t="s">
        <v>579</v>
      </c>
      <c r="B74" s="443" t="s">
        <v>1039</v>
      </c>
      <c r="C74" s="444" t="s">
        <v>280</v>
      </c>
      <c r="D74" s="445" t="str" cm="1">
        <f t="array" ref="D74">_xlfn.TEXTJOIN("",TRUE,IF(ISNUMBER(SEARCH($A74,'Diags Raw Data'!$A$6:$A$3821)),CONCATENATE('Diags Raw Data'!$H$6:$H$3821,", "),""))</f>
        <v xml:space="preserve">OTG008, OTG801, </v>
      </c>
      <c r="E74" s="342" t="str">
        <f>VLOOKUP(A74,'Diags Raw Data'!$A$6:$D$3821,4,FALSE)</f>
        <v>OTG</v>
      </c>
      <c r="F74" s="342" t="str">
        <f>VLOOKUP(A74,'Feature Raw Data'!$A$3:$E$3998,5,FALSE)</f>
        <v>Legacy</v>
      </c>
      <c r="G74" s="342" t="str">
        <f t="shared" si="6"/>
        <v>Yes</v>
      </c>
      <c r="H74" s="342" t="str">
        <f t="shared" si="7"/>
        <v>Yes</v>
      </c>
      <c r="I74" s="444">
        <f>SUMIF('Diags Raw Data'!$A$6:$A$3821,"*"&amp;$A74&amp;"*",'Diags Raw Data'!$K$6:$K$3821)</f>
        <v>2</v>
      </c>
      <c r="J74" s="446">
        <f>SUMIF('Diags Raw Data'!$A$6:$A$3821,"*"&amp;$A74&amp;"*",'Diags Raw Data'!$L$6:$L$3821)</f>
        <v>216</v>
      </c>
      <c r="K74" s="491" cm="1">
        <f t="array" ref="K74">IF(D74="",0, SUMPRODUCT(--(ISNUMBER(SEARCH($A74,'Diags Raw Data'!$A$6:$A$3821))),'Diags Raw Data'!$L$6:$L$3821,'Diags Raw Data'!$N$6:$N$3821)/J74)</f>
        <v>1</v>
      </c>
      <c r="L74" s="492" cm="1">
        <f t="array" ref="L74">IF(D74="",0, SUMPRODUCT(--(ISNUMBER(SEARCH($A74,'Diags Raw Data'!$A$6:$A$3821))),'Diags Raw Data'!$L$6:$L$3821,'Diags Raw Data'!$P$6:$P$3821)/J74)</f>
        <v>1</v>
      </c>
      <c r="M74" s="493" cm="1">
        <f t="array" ref="M74">SUMPRODUCT(--(ISNUMBER(SEARCH($A74,'Diags Raw Data'!$A$6:$A$3821))),--('Diags Raw Data'!$Q$6:$Q$3821&lt;&gt;"N/A"),'Diags Raw Data'!$R$6:$R$3821)</f>
        <v>216</v>
      </c>
      <c r="N74" s="494" cm="1">
        <f t="array" ref="N74">SUMPRODUCT(--(ISNUMBER(SEARCH($A74,'Diags Raw Data'!$A$6:$A$3821))),--('Diags Raw Data'!$Q$6:$Q$3821&lt;&gt;"N/A"),'Diags Raw Data'!$T$6:$T$3821)+SUMPRODUCT(--(ISNUMBER(SEARCH($A74,'Diags Raw Data'!$A$6:$A$3821))),--('Diags Raw Data'!$Q$6:$Q$3821&lt;&gt;"N/A"),'Diags Raw Data'!$U$6:$U$3821)</f>
        <v>0</v>
      </c>
      <c r="O74" s="495">
        <f t="shared" si="8"/>
        <v>0</v>
      </c>
      <c r="P74" s="496">
        <f>SUMIF('Diags Raw Data'!$A$6:$A$3821,"*"&amp;$A74&amp;"*",'Diags Raw Data'!$Z$6:$Z$3821)</f>
        <v>0</v>
      </c>
      <c r="Q74" s="497">
        <f>SUM(SUMIF('Diags Raw Data'!$A$6:$A$3821,"*"&amp;$A74&amp;"*",'Diags Raw Data'!$AA$6:$AA$3821),SUMIF('Diags Raw Data'!$A$6:$A$3821,"*"&amp;$A74&amp;"*",'Diags Raw Data'!$AB$6:$AB$3821))</f>
        <v>0</v>
      </c>
      <c r="R74" s="498">
        <f t="shared" si="9"/>
        <v>0</v>
      </c>
      <c r="S74" s="498">
        <f t="shared" si="10"/>
        <v>0</v>
      </c>
      <c r="T74" s="499">
        <f t="shared" si="11"/>
        <v>0</v>
      </c>
      <c r="U74" s="447" t="s">
        <v>968</v>
      </c>
      <c r="V74" s="182"/>
    </row>
    <row r="75" spans="1:22" x14ac:dyDescent="0.25">
      <c r="A75" s="337" t="s">
        <v>591</v>
      </c>
      <c r="B75" s="443" t="s">
        <v>1040</v>
      </c>
      <c r="C75" s="444" t="s">
        <v>280</v>
      </c>
      <c r="D75" s="445" t="str" cm="1">
        <f t="array" ref="D75">_xlfn.TEXTJOIN("",TRUE,IF(ISNUMBER(SEARCH($A75,'Diags Raw Data'!$A$6:$A$3821)),CONCATENATE('Diags Raw Data'!$H$6:$H$3821,", "),""))</f>
        <v xml:space="preserve">OTG013, </v>
      </c>
      <c r="E75" s="342" t="str">
        <f>VLOOKUP(A75,'Diags Raw Data'!$A$6:$D$3821,4,FALSE)</f>
        <v>OTG</v>
      </c>
      <c r="F75" s="342" t="str">
        <f>VLOOKUP(A75,'Feature Raw Data'!$A$3:$E$3998,5,FALSE)</f>
        <v>Legacy</v>
      </c>
      <c r="G75" s="342" t="str">
        <f t="shared" si="6"/>
        <v>Yes</v>
      </c>
      <c r="H75" s="342" t="str">
        <f t="shared" si="7"/>
        <v>Yes</v>
      </c>
      <c r="I75" s="444">
        <f>SUMIF('Diags Raw Data'!$A$6:$A$3821,"*"&amp;$A75&amp;"*",'Diags Raw Data'!$K$6:$K$3821)</f>
        <v>1</v>
      </c>
      <c r="J75" s="446">
        <f>SUMIF('Diags Raw Data'!$A$6:$A$3821,"*"&amp;$A75&amp;"*",'Diags Raw Data'!$L$6:$L$3821)</f>
        <v>1</v>
      </c>
      <c r="K75" s="491" cm="1">
        <f t="array" ref="K75">IF(D75="",0, SUMPRODUCT(--(ISNUMBER(SEARCH($A75,'Diags Raw Data'!$A$6:$A$3821))),'Diags Raw Data'!$L$6:$L$3821,'Diags Raw Data'!$N$6:$N$3821)/J75)</f>
        <v>1</v>
      </c>
      <c r="L75" s="492" cm="1">
        <f t="array" ref="L75">IF(D75="",0, SUMPRODUCT(--(ISNUMBER(SEARCH($A75,'Diags Raw Data'!$A$6:$A$3821))),'Diags Raw Data'!$L$6:$L$3821,'Diags Raw Data'!$P$6:$P$3821)/J75)</f>
        <v>1</v>
      </c>
      <c r="M75" s="493" cm="1">
        <f t="array" ref="M75">SUMPRODUCT(--(ISNUMBER(SEARCH($A75,'Diags Raw Data'!$A$6:$A$3821))),--('Diags Raw Data'!$Q$6:$Q$3821&lt;&gt;"N/A"),'Diags Raw Data'!$R$6:$R$3821)</f>
        <v>1</v>
      </c>
      <c r="N75" s="494" cm="1">
        <f t="array" ref="N75">SUMPRODUCT(--(ISNUMBER(SEARCH($A75,'Diags Raw Data'!$A$6:$A$3821))),--('Diags Raw Data'!$Q$6:$Q$3821&lt;&gt;"N/A"),'Diags Raw Data'!$T$6:$T$3821)+SUMPRODUCT(--(ISNUMBER(SEARCH($A75,'Diags Raw Data'!$A$6:$A$3821))),--('Diags Raw Data'!$Q$6:$Q$3821&lt;&gt;"N/A"),'Diags Raw Data'!$U$6:$U$3821)</f>
        <v>0</v>
      </c>
      <c r="O75" s="495">
        <f t="shared" si="8"/>
        <v>0</v>
      </c>
      <c r="P75" s="496">
        <f>SUMIF('Diags Raw Data'!$A$6:$A$3821,"*"&amp;$A75&amp;"*",'Diags Raw Data'!$Z$6:$Z$3821)</f>
        <v>0</v>
      </c>
      <c r="Q75" s="497">
        <f>SUM(SUMIF('Diags Raw Data'!$A$6:$A$3821,"*"&amp;$A75&amp;"*",'Diags Raw Data'!$AA$6:$AA$3821),SUMIF('Diags Raw Data'!$A$6:$A$3821,"*"&amp;$A75&amp;"*",'Diags Raw Data'!$AB$6:$AB$3821))</f>
        <v>0</v>
      </c>
      <c r="R75" s="498">
        <f t="shared" si="9"/>
        <v>0</v>
      </c>
      <c r="S75" s="498">
        <f t="shared" si="10"/>
        <v>0</v>
      </c>
      <c r="T75" s="499">
        <f t="shared" si="11"/>
        <v>0</v>
      </c>
      <c r="U75" s="447" t="s">
        <v>956</v>
      </c>
      <c r="V75" s="182"/>
    </row>
    <row r="76" spans="1:22" ht="30" x14ac:dyDescent="0.25">
      <c r="A76" s="337" t="s">
        <v>634</v>
      </c>
      <c r="B76" s="443" t="s">
        <v>1041</v>
      </c>
      <c r="C76" s="444" t="s">
        <v>280</v>
      </c>
      <c r="D76" s="445" t="str" cm="1">
        <f t="array" ref="D76">_xlfn.TEXTJOIN("",TRUE,IF(ISNUMBER(SEARCH($A76,'Diags Raw Data'!$A$6:$A$3821)),CONCATENATE('Diags Raw Data'!$H$6:$H$3821,", "),""))</f>
        <v xml:space="preserve">OTG800, OTG801, OTG809, OTG810, </v>
      </c>
      <c r="E76" s="342" t="str">
        <f>VLOOKUP(A76,'Diags Raw Data'!$A$6:$D$3821,4,FALSE)</f>
        <v>OTG</v>
      </c>
      <c r="F76" s="342" t="str">
        <f>VLOOKUP(A76,'Feature Raw Data'!$A$3:$E$3998,5,FALSE)</f>
        <v>Legacy</v>
      </c>
      <c r="G76" s="342" t="str">
        <f t="shared" si="6"/>
        <v>Yes</v>
      </c>
      <c r="H76" s="342" t="str">
        <f t="shared" si="7"/>
        <v>Yes</v>
      </c>
      <c r="I76" s="444">
        <f>SUMIF('Diags Raw Data'!$A$6:$A$3821,"*"&amp;$A76&amp;"*",'Diags Raw Data'!$K$6:$K$3821)</f>
        <v>4</v>
      </c>
      <c r="J76" s="446">
        <f>SUMIF('Diags Raw Data'!$A$6:$A$3821,"*"&amp;$A76&amp;"*",'Diags Raw Data'!$L$6:$L$3821)</f>
        <v>6</v>
      </c>
      <c r="K76" s="491" cm="1">
        <f t="array" ref="K76">IF(D76="",0, SUMPRODUCT(--(ISNUMBER(SEARCH($A76,'Diags Raw Data'!$A$6:$A$3821))),'Diags Raw Data'!$L$6:$L$3821,'Diags Raw Data'!$N$6:$N$3821)/J76)</f>
        <v>1</v>
      </c>
      <c r="L76" s="492" cm="1">
        <f t="array" ref="L76">IF(D76="",0, SUMPRODUCT(--(ISNUMBER(SEARCH($A76,'Diags Raw Data'!$A$6:$A$3821))),'Diags Raw Data'!$L$6:$L$3821,'Diags Raw Data'!$P$6:$P$3821)/J76)</f>
        <v>1</v>
      </c>
      <c r="M76" s="493" cm="1">
        <f t="array" ref="M76">SUMPRODUCT(--(ISNUMBER(SEARCH($A76,'Diags Raw Data'!$A$6:$A$3821))),--('Diags Raw Data'!$Q$6:$Q$3821&lt;&gt;"N/A"),'Diags Raw Data'!$R$6:$R$3821)</f>
        <v>6</v>
      </c>
      <c r="N76" s="494" cm="1">
        <f t="array" ref="N76">SUMPRODUCT(--(ISNUMBER(SEARCH($A76,'Diags Raw Data'!$A$6:$A$3821))),--('Diags Raw Data'!$Q$6:$Q$3821&lt;&gt;"N/A"),'Diags Raw Data'!$T$6:$T$3821)+SUMPRODUCT(--(ISNUMBER(SEARCH($A76,'Diags Raw Data'!$A$6:$A$3821))),--('Diags Raw Data'!$Q$6:$Q$3821&lt;&gt;"N/A"),'Diags Raw Data'!$U$6:$U$3821)</f>
        <v>0</v>
      </c>
      <c r="O76" s="495">
        <f t="shared" si="8"/>
        <v>0</v>
      </c>
      <c r="P76" s="496">
        <f>SUMIF('Diags Raw Data'!$A$6:$A$3821,"*"&amp;$A76&amp;"*",'Diags Raw Data'!$Z$6:$Z$3821)</f>
        <v>0</v>
      </c>
      <c r="Q76" s="497">
        <f>SUM(SUMIF('Diags Raw Data'!$A$6:$A$3821,"*"&amp;$A76&amp;"*",'Diags Raw Data'!$AA$6:$AA$3821),SUMIF('Diags Raw Data'!$A$6:$A$3821,"*"&amp;$A76&amp;"*",'Diags Raw Data'!$AB$6:$AB$3821))</f>
        <v>0</v>
      </c>
      <c r="R76" s="498">
        <f t="shared" si="9"/>
        <v>0</v>
      </c>
      <c r="S76" s="498">
        <f t="shared" si="10"/>
        <v>0</v>
      </c>
      <c r="T76" s="499">
        <f t="shared" si="11"/>
        <v>0</v>
      </c>
      <c r="U76" s="447" t="s">
        <v>944</v>
      </c>
      <c r="V76" s="182"/>
    </row>
    <row r="77" spans="1:22" x14ac:dyDescent="0.25">
      <c r="A77" s="337" t="s">
        <v>606</v>
      </c>
      <c r="B77" s="443" t="s">
        <v>1042</v>
      </c>
      <c r="C77" s="444" t="s">
        <v>280</v>
      </c>
      <c r="D77" s="445" t="str" cm="1">
        <f t="array" ref="D77">_xlfn.TEXTJOIN("",TRUE,IF(ISNUMBER(SEARCH($A77,'Diags Raw Data'!$A$6:$A$3821)),CONCATENATE('Diags Raw Data'!$H$6:$H$3821,", "),""))</f>
        <v xml:space="preserve">OTG026, </v>
      </c>
      <c r="E77" s="342" t="str">
        <f>VLOOKUP(A77,'Diags Raw Data'!$A$6:$D$3821,4,FALSE)</f>
        <v>OTG</v>
      </c>
      <c r="F77" s="342" t="str">
        <f>VLOOKUP(A77,'Feature Raw Data'!$A$3:$E$3998,5,FALSE)</f>
        <v>Legacy</v>
      </c>
      <c r="G77" s="342" t="str">
        <f t="shared" si="6"/>
        <v>Yes</v>
      </c>
      <c r="H77" s="342" t="str">
        <f t="shared" si="7"/>
        <v>Yes</v>
      </c>
      <c r="I77" s="444">
        <f>SUMIF('Diags Raw Data'!$A$6:$A$3821,"*"&amp;$A77&amp;"*",'Diags Raw Data'!$K$6:$K$3821)</f>
        <v>1</v>
      </c>
      <c r="J77" s="446">
        <f>SUMIF('Diags Raw Data'!$A$6:$A$3821,"*"&amp;$A77&amp;"*",'Diags Raw Data'!$L$6:$L$3821)</f>
        <v>2</v>
      </c>
      <c r="K77" s="491" cm="1">
        <f t="array" ref="K77">IF(D77="",0, SUMPRODUCT(--(ISNUMBER(SEARCH($A77,'Diags Raw Data'!$A$6:$A$3821))),'Diags Raw Data'!$L$6:$L$3821,'Diags Raw Data'!$N$6:$N$3821)/J77)</f>
        <v>1</v>
      </c>
      <c r="L77" s="492" cm="1">
        <f t="array" ref="L77">IF(D77="",0, SUMPRODUCT(--(ISNUMBER(SEARCH($A77,'Diags Raw Data'!$A$6:$A$3821))),'Diags Raw Data'!$L$6:$L$3821,'Diags Raw Data'!$P$6:$P$3821)/J77)</f>
        <v>1</v>
      </c>
      <c r="M77" s="493" cm="1">
        <f t="array" ref="M77">SUMPRODUCT(--(ISNUMBER(SEARCH($A77,'Diags Raw Data'!$A$6:$A$3821))),--('Diags Raw Data'!$Q$6:$Q$3821&lt;&gt;"N/A"),'Diags Raw Data'!$R$6:$R$3821)</f>
        <v>2</v>
      </c>
      <c r="N77" s="494" cm="1">
        <f t="array" ref="N77">SUMPRODUCT(--(ISNUMBER(SEARCH($A77,'Diags Raw Data'!$A$6:$A$3821))),--('Diags Raw Data'!$Q$6:$Q$3821&lt;&gt;"N/A"),'Diags Raw Data'!$T$6:$T$3821)+SUMPRODUCT(--(ISNUMBER(SEARCH($A77,'Diags Raw Data'!$A$6:$A$3821))),--('Diags Raw Data'!$Q$6:$Q$3821&lt;&gt;"N/A"),'Diags Raw Data'!$U$6:$U$3821)</f>
        <v>0</v>
      </c>
      <c r="O77" s="495">
        <f t="shared" si="8"/>
        <v>0</v>
      </c>
      <c r="P77" s="496">
        <f>SUMIF('Diags Raw Data'!$A$6:$A$3821,"*"&amp;$A77&amp;"*",'Diags Raw Data'!$Z$6:$Z$3821)</f>
        <v>0</v>
      </c>
      <c r="Q77" s="497">
        <f>SUM(SUMIF('Diags Raw Data'!$A$6:$A$3821,"*"&amp;$A77&amp;"*",'Diags Raw Data'!$AA$6:$AA$3821),SUMIF('Diags Raw Data'!$A$6:$A$3821,"*"&amp;$A77&amp;"*",'Diags Raw Data'!$AB$6:$AB$3821))</f>
        <v>0</v>
      </c>
      <c r="R77" s="498">
        <f t="shared" si="9"/>
        <v>0</v>
      </c>
      <c r="S77" s="498">
        <f t="shared" si="10"/>
        <v>0</v>
      </c>
      <c r="T77" s="499">
        <f t="shared" si="11"/>
        <v>0</v>
      </c>
      <c r="U77" s="447" t="s">
        <v>968</v>
      </c>
      <c r="V77" s="182"/>
    </row>
    <row r="78" spans="1:22" x14ac:dyDescent="0.25">
      <c r="A78" s="337" t="s">
        <v>1043</v>
      </c>
      <c r="B78" s="443" t="s">
        <v>1044</v>
      </c>
      <c r="C78" s="444" t="s">
        <v>280</v>
      </c>
      <c r="D78" s="445" t="str" cm="1">
        <f t="array" ref="D78">_xlfn.TEXTJOIN("",TRUE,IF(ISNUMBER(SEARCH($A78,'Diags Raw Data'!$A$6:$A$3821)),CONCATENATE('Diags Raw Data'!$H$6:$H$3821,", "),""))</f>
        <v xml:space="preserve">OTG017, </v>
      </c>
      <c r="E78" s="342" t="e">
        <f>VLOOKUP(A78,'Diags Raw Data'!$A$6:$D$3821,4,FALSE)</f>
        <v>#N/A</v>
      </c>
      <c r="F78" s="342" t="str">
        <f>VLOOKUP(A78,'Feature Raw Data'!$A$3:$E$3998,5,FALSE)</f>
        <v>Legacy</v>
      </c>
      <c r="G78" s="342" t="str">
        <f t="shared" si="6"/>
        <v>Yes</v>
      </c>
      <c r="H78" s="342" t="str">
        <f t="shared" si="7"/>
        <v>Yes</v>
      </c>
      <c r="I78" s="444">
        <f>SUMIF('Diags Raw Data'!$A$6:$A$3821,"*"&amp;$A78&amp;"*",'Diags Raw Data'!$K$6:$K$3821)</f>
        <v>1</v>
      </c>
      <c r="J78" s="446">
        <f>SUMIF('Diags Raw Data'!$A$6:$A$3821,"*"&amp;$A78&amp;"*",'Diags Raw Data'!$L$6:$L$3821)</f>
        <v>3</v>
      </c>
      <c r="K78" s="491" cm="1">
        <f t="array" ref="K78">IF(D78="",0, SUMPRODUCT(--(ISNUMBER(SEARCH($A78,'Diags Raw Data'!$A$6:$A$3821))),'Diags Raw Data'!$L$6:$L$3821,'Diags Raw Data'!$N$6:$N$3821)/J78)</f>
        <v>1</v>
      </c>
      <c r="L78" s="492" cm="1">
        <f t="array" ref="L78">IF(D78="",0, SUMPRODUCT(--(ISNUMBER(SEARCH($A78,'Diags Raw Data'!$A$6:$A$3821))),'Diags Raw Data'!$L$6:$L$3821,'Diags Raw Data'!$P$6:$P$3821)/J78)</f>
        <v>1</v>
      </c>
      <c r="M78" s="493" cm="1">
        <f t="array" ref="M78">SUMPRODUCT(--(ISNUMBER(SEARCH($A78,'Diags Raw Data'!$A$6:$A$3821))),--('Diags Raw Data'!$Q$6:$Q$3821&lt;&gt;"N/A"),'Diags Raw Data'!$R$6:$R$3821)</f>
        <v>3</v>
      </c>
      <c r="N78" s="494" cm="1">
        <f t="array" ref="N78">SUMPRODUCT(--(ISNUMBER(SEARCH($A78,'Diags Raw Data'!$A$6:$A$3821))),--('Diags Raw Data'!$Q$6:$Q$3821&lt;&gt;"N/A"),'Diags Raw Data'!$T$6:$T$3821)+SUMPRODUCT(--(ISNUMBER(SEARCH($A78,'Diags Raw Data'!$A$6:$A$3821))),--('Diags Raw Data'!$Q$6:$Q$3821&lt;&gt;"N/A"),'Diags Raw Data'!$U$6:$U$3821)</f>
        <v>0</v>
      </c>
      <c r="O78" s="495">
        <f t="shared" si="8"/>
        <v>0</v>
      </c>
      <c r="P78" s="496">
        <v>0</v>
      </c>
      <c r="Q78" s="497">
        <f>SUM(SUMIF('Diags Raw Data'!$A$6:$A$3821,"*"&amp;$A78&amp;"*",'Diags Raw Data'!$AA$6:$AA$3821),SUMIF('Diags Raw Data'!$A$6:$A$3821,"*"&amp;$A78&amp;"*",'Diags Raw Data'!$AB$6:$AB$3821))</f>
        <v>0</v>
      </c>
      <c r="R78" s="498">
        <f t="shared" si="9"/>
        <v>0</v>
      </c>
      <c r="S78" s="498">
        <f t="shared" si="10"/>
        <v>0</v>
      </c>
      <c r="T78" s="499">
        <f t="shared" si="11"/>
        <v>0</v>
      </c>
      <c r="U78" s="447" t="s">
        <v>968</v>
      </c>
      <c r="V78" s="182"/>
    </row>
    <row r="79" spans="1:22" x14ac:dyDescent="0.25">
      <c r="A79" s="337" t="s">
        <v>595</v>
      </c>
      <c r="B79" s="443" t="s">
        <v>1045</v>
      </c>
      <c r="C79" s="444" t="s">
        <v>280</v>
      </c>
      <c r="D79" s="445" t="str" cm="1">
        <f t="array" ref="D79">_xlfn.TEXTJOIN("",TRUE,IF(ISNUMBER(SEARCH($A79,'Diags Raw Data'!$A$6:$A$3821)),CONCATENATE('Diags Raw Data'!$H$6:$H$3821,", "),""))</f>
        <v xml:space="preserve">OTG014, </v>
      </c>
      <c r="E79" s="342" t="str">
        <f>VLOOKUP(A79,'Diags Raw Data'!$A$6:$D$3821,4,FALSE)</f>
        <v>OTG</v>
      </c>
      <c r="F79" s="342" t="str">
        <f>VLOOKUP(A79,'Feature Raw Data'!$A$3:$E$3998,5,FALSE)</f>
        <v>Legacy</v>
      </c>
      <c r="G79" s="342" t="str">
        <f t="shared" si="6"/>
        <v>Yes</v>
      </c>
      <c r="H79" s="342" t="str">
        <f t="shared" si="7"/>
        <v>Yes</v>
      </c>
      <c r="I79" s="444">
        <f>SUMIF('Diags Raw Data'!$A$6:$A$3821,"*"&amp;$A79&amp;"*",'Diags Raw Data'!$K$6:$K$3821)</f>
        <v>1</v>
      </c>
      <c r="J79" s="446">
        <f>SUMIF('Diags Raw Data'!$A$6:$A$3821,"*"&amp;$A79&amp;"*",'Diags Raw Data'!$L$6:$L$3821)</f>
        <v>199</v>
      </c>
      <c r="K79" s="491" cm="1">
        <f t="array" ref="K79">IF(D79="",0, SUMPRODUCT(--(ISNUMBER(SEARCH($A79,'Diags Raw Data'!$A$6:$A$3821))),'Diags Raw Data'!$L$6:$L$3821,'Diags Raw Data'!$N$6:$N$3821)/J79)</f>
        <v>1</v>
      </c>
      <c r="L79" s="492" cm="1">
        <f t="array" ref="L79">IF(D79="",0, SUMPRODUCT(--(ISNUMBER(SEARCH($A79,'Diags Raw Data'!$A$6:$A$3821))),'Diags Raw Data'!$L$6:$L$3821,'Diags Raw Data'!$P$6:$P$3821)/J79)</f>
        <v>1</v>
      </c>
      <c r="M79" s="493" cm="1">
        <f t="array" ref="M79">SUMPRODUCT(--(ISNUMBER(SEARCH($A79,'Diags Raw Data'!$A$6:$A$3821))),--('Diags Raw Data'!$Q$6:$Q$3821&lt;&gt;"N/A"),'Diags Raw Data'!$R$6:$R$3821)</f>
        <v>199</v>
      </c>
      <c r="N79" s="494" cm="1">
        <f t="array" ref="N79">SUMPRODUCT(--(ISNUMBER(SEARCH($A79,'Diags Raw Data'!$A$6:$A$3821))),--('Diags Raw Data'!$Q$6:$Q$3821&lt;&gt;"N/A"),'Diags Raw Data'!$T$6:$T$3821)+SUMPRODUCT(--(ISNUMBER(SEARCH($A79,'Diags Raw Data'!$A$6:$A$3821))),--('Diags Raw Data'!$Q$6:$Q$3821&lt;&gt;"N/A"),'Diags Raw Data'!$U$6:$U$3821)</f>
        <v>0</v>
      </c>
      <c r="O79" s="495">
        <f t="shared" si="8"/>
        <v>0</v>
      </c>
      <c r="P79" s="496">
        <f>SUMIF('Diags Raw Data'!$A$6:$A$3821,"*"&amp;$A79&amp;"*",'Diags Raw Data'!$Z$6:$Z$3821)</f>
        <v>0</v>
      </c>
      <c r="Q79" s="497">
        <f>SUM(SUMIF('Diags Raw Data'!$A$6:$A$3821,"*"&amp;$A79&amp;"*",'Diags Raw Data'!$AA$6:$AA$3821),SUMIF('Diags Raw Data'!$A$6:$A$3821,"*"&amp;$A79&amp;"*",'Diags Raw Data'!$AB$6:$AB$3821))</f>
        <v>0</v>
      </c>
      <c r="R79" s="498">
        <f t="shared" si="9"/>
        <v>0</v>
      </c>
      <c r="S79" s="498">
        <f t="shared" si="10"/>
        <v>0</v>
      </c>
      <c r="T79" s="499">
        <f t="shared" si="11"/>
        <v>0</v>
      </c>
      <c r="U79" s="447" t="s">
        <v>968</v>
      </c>
      <c r="V79" s="182"/>
    </row>
    <row r="80" spans="1:22" ht="105" x14ac:dyDescent="0.25">
      <c r="A80" s="337" t="s">
        <v>652</v>
      </c>
      <c r="B80" s="443" t="s">
        <v>705</v>
      </c>
      <c r="C80" s="444" t="s">
        <v>280</v>
      </c>
      <c r="D80" s="445" t="str" cm="1">
        <f t="array" ref="D80">_xlfn.TEXTJOIN("",TRUE,IF(ISNUMBER(SEARCH($A80,'Diags Raw Data'!$A$6:$A$3821)),CONCATENATE('Diags Raw Data'!$H$6:$H$3821,", "),""))</f>
        <v xml:space="preserve">DIO220, DIO221, DIO217, DIO224, DIO225, DIO226, DIO227, DIO228, DIO229, DIO230, DIO231, DIO232, DIO233, DIO234, DIO235, DIO236, DIO237, DIO238, DIO240, DIO242, DIO253, </v>
      </c>
      <c r="E80" s="342" t="str">
        <f>VLOOKUP(A80,'Diags Raw Data'!$A$6:$D$3821,4,FALSE)</f>
        <v>DIO</v>
      </c>
      <c r="F80" s="342" t="str">
        <f>VLOOKUP(A80,'Feature Raw Data'!$A$3:$E$3998,5,FALSE)</f>
        <v>Legacy</v>
      </c>
      <c r="G80" s="342" t="str">
        <f t="shared" si="6"/>
        <v>Yes</v>
      </c>
      <c r="H80" s="342" t="str">
        <f t="shared" si="7"/>
        <v>Yes</v>
      </c>
      <c r="I80" s="444">
        <f>SUMIF('Diags Raw Data'!$A$6:$A$3821,"*"&amp;$A80&amp;"*",'Diags Raw Data'!$K$6:$K$3821)</f>
        <v>21</v>
      </c>
      <c r="J80" s="446">
        <f>SUMIF('Diags Raw Data'!$A$6:$A$3821,"*"&amp;$A80&amp;"*",'Diags Raw Data'!$L$6:$L$3821)</f>
        <v>330</v>
      </c>
      <c r="K80" s="491" cm="1">
        <f t="array" ref="K80">IF(D80="",0, SUMPRODUCT(--(ISNUMBER(SEARCH($A80,'Diags Raw Data'!$A$6:$A$3821))),'Diags Raw Data'!$L$6:$L$3821,'Diags Raw Data'!$N$6:$N$3821)/J80)</f>
        <v>1</v>
      </c>
      <c r="L80" s="492" cm="1">
        <f t="array" ref="L80">IF(D80="",0, SUMPRODUCT(--(ISNUMBER(SEARCH($A80,'Diags Raw Data'!$A$6:$A$3821))),'Diags Raw Data'!$L$6:$L$3821,'Diags Raw Data'!$P$6:$P$3821)/J80)</f>
        <v>1</v>
      </c>
      <c r="M80" s="493" cm="1">
        <f t="array" ref="M80">SUMPRODUCT(--(ISNUMBER(SEARCH($A80,'Diags Raw Data'!$A$6:$A$3821))),--('Diags Raw Data'!$Q$6:$Q$3821&lt;&gt;"N/A"),'Diags Raw Data'!$R$6:$R$3821)</f>
        <v>328</v>
      </c>
      <c r="N80" s="494" cm="1">
        <f t="array" ref="N80">SUMPRODUCT(--(ISNUMBER(SEARCH($A80,'Diags Raw Data'!$A$6:$A$3821))),--('Diags Raw Data'!$Q$6:$Q$3821&lt;&gt;"N/A"),'Diags Raw Data'!$T$6:$T$3821)+SUMPRODUCT(--(ISNUMBER(SEARCH($A80,'Diags Raw Data'!$A$6:$A$3821))),--('Diags Raw Data'!$Q$6:$Q$3821&lt;&gt;"N/A"),'Diags Raw Data'!$U$6:$U$3821)</f>
        <v>0</v>
      </c>
      <c r="O80" s="495">
        <f t="shared" si="8"/>
        <v>0</v>
      </c>
      <c r="P80" s="496">
        <v>0</v>
      </c>
      <c r="Q80" s="497">
        <f>SUM(SUMIF('Diags Raw Data'!$A$6:$A$3821,"*"&amp;$A80&amp;"*",'Diags Raw Data'!$AA$6:$AA$3821),SUMIF('Diags Raw Data'!$A$6:$A$3821,"*"&amp;$A80&amp;"*",'Diags Raw Data'!$AB$6:$AB$3821))</f>
        <v>0</v>
      </c>
      <c r="R80" s="498">
        <f t="shared" si="9"/>
        <v>0</v>
      </c>
      <c r="S80" s="498">
        <f t="shared" si="10"/>
        <v>0</v>
      </c>
      <c r="T80" s="499">
        <f t="shared" si="11"/>
        <v>0</v>
      </c>
      <c r="U80" s="447" t="s">
        <v>944</v>
      </c>
      <c r="V80" s="182"/>
    </row>
    <row r="81" spans="1:22" x14ac:dyDescent="0.25">
      <c r="A81" s="337" t="s">
        <v>1046</v>
      </c>
      <c r="B81" s="443" t="s">
        <v>1047</v>
      </c>
      <c r="C81" s="444" t="s">
        <v>280</v>
      </c>
      <c r="D81" s="445" t="str" cm="1">
        <f t="array" ref="D81">_xlfn.TEXTJOIN("",TRUE,IF(ISNUMBER(SEARCH($A81,'Diags Raw Data'!$A$6:$A$3821)),CONCATENATE('Diags Raw Data'!$H$6:$H$3821,", "),""))</f>
        <v xml:space="preserve">DIO620, </v>
      </c>
      <c r="E81" s="342" t="e">
        <f>VLOOKUP(A81,'Diags Raw Data'!$A$6:$D$3821,4,FALSE)</f>
        <v>#N/A</v>
      </c>
      <c r="F81" s="342" t="str">
        <f>VLOOKUP(A81,'Feature Raw Data'!$A$3:$E$3998,5,FALSE)</f>
        <v>Legacy</v>
      </c>
      <c r="G81" s="342" t="str">
        <f t="shared" si="6"/>
        <v>Yes</v>
      </c>
      <c r="H81" s="342" t="str">
        <f t="shared" si="7"/>
        <v>Yes</v>
      </c>
      <c r="I81" s="444">
        <f>SUMIF('Diags Raw Data'!$A$6:$A$3821,"*"&amp;$A81&amp;"*",'Diags Raw Data'!$K$6:$K$3821)</f>
        <v>63</v>
      </c>
      <c r="J81" s="446">
        <f>SUMIF('Diags Raw Data'!$A$6:$A$3821,"*"&amp;$A81&amp;"*",'Diags Raw Data'!$L$6:$L$3821)</f>
        <v>63</v>
      </c>
      <c r="K81" s="491" cm="1">
        <f t="array" ref="K81">IF(D81="",0, SUMPRODUCT(--(ISNUMBER(SEARCH($A81,'Diags Raw Data'!$A$6:$A$3821))),'Diags Raw Data'!$L$6:$L$3821,'Diags Raw Data'!$N$6:$N$3821)/J81)</f>
        <v>1</v>
      </c>
      <c r="L81" s="492" cm="1">
        <f t="array" ref="L81">IF(D81="",0, SUMPRODUCT(--(ISNUMBER(SEARCH($A81,'Diags Raw Data'!$A$6:$A$3821))),'Diags Raw Data'!$L$6:$L$3821,'Diags Raw Data'!$P$6:$P$3821)/J81)</f>
        <v>1</v>
      </c>
      <c r="M81" s="493" cm="1">
        <f t="array" ref="M81">SUMPRODUCT(--(ISNUMBER(SEARCH($A81,'Diags Raw Data'!$A$6:$A$3821))),--('Diags Raw Data'!$Q$6:$Q$3821&lt;&gt;"N/A"),'Diags Raw Data'!$R$6:$R$3821)</f>
        <v>63</v>
      </c>
      <c r="N81" s="494" cm="1">
        <f t="array" ref="N81">SUMPRODUCT(--(ISNUMBER(SEARCH($A81,'Diags Raw Data'!$A$6:$A$3821))),--('Diags Raw Data'!$Q$6:$Q$3821&lt;&gt;"N/A"),'Diags Raw Data'!$T$6:$T$3821)+SUMPRODUCT(--(ISNUMBER(SEARCH($A81,'Diags Raw Data'!$A$6:$A$3821))),--('Diags Raw Data'!$Q$6:$Q$3821&lt;&gt;"N/A"),'Diags Raw Data'!$U$6:$U$3821)</f>
        <v>0</v>
      </c>
      <c r="O81" s="495">
        <f t="shared" si="8"/>
        <v>0</v>
      </c>
      <c r="P81" s="496">
        <v>0</v>
      </c>
      <c r="Q81" s="497">
        <f>SUM(SUMIF('Diags Raw Data'!$A$6:$A$3821,"*"&amp;$A81&amp;"*",'Diags Raw Data'!$AA$6:$AA$3821),SUMIF('Diags Raw Data'!$A$6:$A$3821,"*"&amp;$A81&amp;"*",'Diags Raw Data'!$AB$6:$AB$3821))</f>
        <v>0</v>
      </c>
      <c r="R81" s="498">
        <f t="shared" si="9"/>
        <v>0</v>
      </c>
      <c r="S81" s="498">
        <f t="shared" si="10"/>
        <v>0</v>
      </c>
      <c r="T81" s="499">
        <f t="shared" si="11"/>
        <v>0</v>
      </c>
      <c r="U81" s="447" t="s">
        <v>968</v>
      </c>
      <c r="V81" s="182"/>
    </row>
    <row r="82" spans="1:22" x14ac:dyDescent="0.25">
      <c r="A82" s="337" t="s">
        <v>1048</v>
      </c>
      <c r="B82" s="443" t="s">
        <v>1049</v>
      </c>
      <c r="C82" s="444" t="s">
        <v>280</v>
      </c>
      <c r="D82" s="445" t="str" cm="1">
        <f t="array" ref="D82">_xlfn.TEXTJOIN("",TRUE,IF(ISNUMBER(SEARCH($A82,'Diags Raw Data'!$A$6:$A$3821)),CONCATENATE('Diags Raw Data'!$H$6:$H$3821,", "),""))</f>
        <v xml:space="preserve">DIO222, </v>
      </c>
      <c r="E82" s="342" t="e">
        <f>VLOOKUP(A82,'Diags Raw Data'!$A$6:$D$3821,4,FALSE)</f>
        <v>#N/A</v>
      </c>
      <c r="F82" s="342" t="str">
        <f>VLOOKUP(A82,'Feature Raw Data'!$A$3:$E$3998,5,FALSE)</f>
        <v>Legacy</v>
      </c>
      <c r="G82" s="342" t="str">
        <f t="shared" si="6"/>
        <v>Yes</v>
      </c>
      <c r="H82" s="342" t="str">
        <f t="shared" si="7"/>
        <v>Yes</v>
      </c>
      <c r="I82" s="444">
        <f>SUMIF('Diags Raw Data'!$A$6:$A$3821,"*"&amp;$A82&amp;"*",'Diags Raw Data'!$K$6:$K$3821)</f>
        <v>1</v>
      </c>
      <c r="J82" s="446">
        <f>SUMIF('Diags Raw Data'!$A$6:$A$3821,"*"&amp;$A82&amp;"*",'Diags Raw Data'!$L$6:$L$3821)</f>
        <v>2</v>
      </c>
      <c r="K82" s="491" cm="1">
        <f t="array" ref="K82">IF(D82="",0, SUMPRODUCT(--(ISNUMBER(SEARCH($A82,'Diags Raw Data'!$A$6:$A$3821))),'Diags Raw Data'!$L$6:$L$3821,'Diags Raw Data'!$N$6:$N$3821)/J82)</f>
        <v>1</v>
      </c>
      <c r="L82" s="492" cm="1">
        <f t="array" ref="L82">IF(D82="",0, SUMPRODUCT(--(ISNUMBER(SEARCH($A82,'Diags Raw Data'!$A$6:$A$3821))),'Diags Raw Data'!$L$6:$L$3821,'Diags Raw Data'!$P$6:$P$3821)/J82)</f>
        <v>1</v>
      </c>
      <c r="M82" s="493" cm="1">
        <f t="array" ref="M82">SUMPRODUCT(--(ISNUMBER(SEARCH($A82,'Diags Raw Data'!$A$6:$A$3821))),--('Diags Raw Data'!$Q$6:$Q$3821&lt;&gt;"N/A"),'Diags Raw Data'!$R$6:$R$3821)</f>
        <v>2</v>
      </c>
      <c r="N82" s="494" cm="1">
        <f t="array" ref="N82">SUMPRODUCT(--(ISNUMBER(SEARCH($A82,'Diags Raw Data'!$A$6:$A$3821))),--('Diags Raw Data'!$Q$6:$Q$3821&lt;&gt;"N/A"),'Diags Raw Data'!$T$6:$T$3821)+SUMPRODUCT(--(ISNUMBER(SEARCH($A82,'Diags Raw Data'!$A$6:$A$3821))),--('Diags Raw Data'!$Q$6:$Q$3821&lt;&gt;"N/A"),'Diags Raw Data'!$U$6:$U$3821)</f>
        <v>0</v>
      </c>
      <c r="O82" s="495">
        <f t="shared" si="8"/>
        <v>0</v>
      </c>
      <c r="P82" s="496">
        <f>SUMIF('Diags Raw Data'!$A$6:$A$3821,"*"&amp;$A82&amp;"*",'Diags Raw Data'!$Z$6:$Z$3821)</f>
        <v>0</v>
      </c>
      <c r="Q82" s="497">
        <f>SUM(SUMIF('Diags Raw Data'!$A$6:$A$3821,"*"&amp;$A82&amp;"*",'Diags Raw Data'!$AA$6:$AA$3821),SUMIF('Diags Raw Data'!$A$6:$A$3821,"*"&amp;$A82&amp;"*",'Diags Raw Data'!$AB$6:$AB$3821))</f>
        <v>0</v>
      </c>
      <c r="R82" s="498">
        <f t="shared" si="9"/>
        <v>0</v>
      </c>
      <c r="S82" s="498">
        <f t="shared" si="10"/>
        <v>0</v>
      </c>
      <c r="T82" s="499">
        <f t="shared" si="11"/>
        <v>0</v>
      </c>
      <c r="U82" s="447" t="s">
        <v>956</v>
      </c>
      <c r="V82" s="182"/>
    </row>
    <row r="83" spans="1:22" x14ac:dyDescent="0.25">
      <c r="A83" s="337" t="s">
        <v>660</v>
      </c>
      <c r="B83" s="443" t="s">
        <v>1050</v>
      </c>
      <c r="C83" s="444" t="s">
        <v>280</v>
      </c>
      <c r="D83" s="445" t="str" cm="1">
        <f t="array" ref="D83">_xlfn.TEXTJOIN("",TRUE,IF(ISNUMBER(SEARCH($A83,'Diags Raw Data'!$A$6:$A$3821)),CONCATENATE('Diags Raw Data'!$H$6:$H$3821,", "),""))</f>
        <v xml:space="preserve">DIO223, </v>
      </c>
      <c r="E83" s="342" t="str">
        <f>VLOOKUP(A83,'Diags Raw Data'!$A$6:$D$3821,4,FALSE)</f>
        <v>DIO</v>
      </c>
      <c r="F83" s="342" t="str">
        <f>VLOOKUP(A83,'Feature Raw Data'!$A$3:$E$3998,5,FALSE)</f>
        <v>Legacy</v>
      </c>
      <c r="G83" s="342" t="str">
        <f t="shared" si="6"/>
        <v>Yes</v>
      </c>
      <c r="H83" s="342" t="str">
        <f t="shared" si="7"/>
        <v>Yes</v>
      </c>
      <c r="I83" s="444">
        <f>SUMIF('Diags Raw Data'!$A$6:$A$3821,"*"&amp;$A83&amp;"*",'Diags Raw Data'!$K$6:$K$3821)</f>
        <v>1</v>
      </c>
      <c r="J83" s="446">
        <f>SUMIF('Diags Raw Data'!$A$6:$A$3821,"*"&amp;$A83&amp;"*",'Diags Raw Data'!$L$6:$L$3821)</f>
        <v>9</v>
      </c>
      <c r="K83" s="491" cm="1">
        <f t="array" ref="K83">IF(D83="",0, SUMPRODUCT(--(ISNUMBER(SEARCH($A83,'Diags Raw Data'!$A$6:$A$3821))),'Diags Raw Data'!$L$6:$L$3821,'Diags Raw Data'!$N$6:$N$3821)/J83)</f>
        <v>1</v>
      </c>
      <c r="L83" s="492" cm="1">
        <f t="array" ref="L83">IF(D83="",0, SUMPRODUCT(--(ISNUMBER(SEARCH($A83,'Diags Raw Data'!$A$6:$A$3821))),'Diags Raw Data'!$L$6:$L$3821,'Diags Raw Data'!$P$6:$P$3821)/J83)</f>
        <v>1</v>
      </c>
      <c r="M83" s="493" cm="1">
        <f t="array" ref="M83">SUMPRODUCT(--(ISNUMBER(SEARCH($A83,'Diags Raw Data'!$A$6:$A$3821))),--('Diags Raw Data'!$Q$6:$Q$3821&lt;&gt;"N/A"),'Diags Raw Data'!$R$6:$R$3821)</f>
        <v>9</v>
      </c>
      <c r="N83" s="494" cm="1">
        <f t="array" ref="N83">SUMPRODUCT(--(ISNUMBER(SEARCH($A83,'Diags Raw Data'!$A$6:$A$3821))),--('Diags Raw Data'!$Q$6:$Q$3821&lt;&gt;"N/A"),'Diags Raw Data'!$T$6:$T$3821)+SUMPRODUCT(--(ISNUMBER(SEARCH($A83,'Diags Raw Data'!$A$6:$A$3821))),--('Diags Raw Data'!$Q$6:$Q$3821&lt;&gt;"N/A"),'Diags Raw Data'!$U$6:$U$3821)</f>
        <v>0</v>
      </c>
      <c r="O83" s="495">
        <f t="shared" si="8"/>
        <v>0</v>
      </c>
      <c r="P83" s="496">
        <f>SUMIF('Diags Raw Data'!$A$6:$A$3821,"*"&amp;$A83&amp;"*",'Diags Raw Data'!$Z$6:$Z$3821)</f>
        <v>0</v>
      </c>
      <c r="Q83" s="497">
        <f>SUM(SUMIF('Diags Raw Data'!$A$6:$A$3821,"*"&amp;$A83&amp;"*",'Diags Raw Data'!$AA$6:$AA$3821),SUMIF('Diags Raw Data'!$A$6:$A$3821,"*"&amp;$A83&amp;"*",'Diags Raw Data'!$AB$6:$AB$3821))</f>
        <v>0</v>
      </c>
      <c r="R83" s="498">
        <f t="shared" si="9"/>
        <v>0</v>
      </c>
      <c r="S83" s="498">
        <f t="shared" si="10"/>
        <v>0</v>
      </c>
      <c r="T83" s="499">
        <f t="shared" si="11"/>
        <v>0</v>
      </c>
      <c r="U83" s="447" t="s">
        <v>934</v>
      </c>
      <c r="V83" s="182"/>
    </row>
    <row r="84" spans="1:22" ht="105" x14ac:dyDescent="0.25">
      <c r="A84" s="337" t="s">
        <v>708</v>
      </c>
      <c r="B84" s="443" t="s">
        <v>1051</v>
      </c>
      <c r="C84" s="444" t="s">
        <v>280</v>
      </c>
      <c r="D84" s="445" t="str" cm="1">
        <f t="array" ref="D84">_xlfn.TEXTJOIN("",TRUE,IF(ISNUMBER(SEARCH($A84,'Diags Raw Data'!$A$6:$A$3821)),CONCATENATE('Diags Raw Data'!$H$6:$H$3821,", "),""))</f>
        <v xml:space="preserve">DIO270, DIO369, DIO370, DIO371, DIO372, DIO373, DIO374, DIO375, DIO376, DIO377, DIO378, DIO379, DIO380, DIO381, DIO335, DIO337, DIO383, DIO384, DIO385, DIO389, </v>
      </c>
      <c r="E84" s="342" t="str">
        <f>VLOOKUP(A84,'Diags Raw Data'!$A$6:$D$3821,4,FALSE)</f>
        <v>DIO</v>
      </c>
      <c r="F84" s="342" t="str">
        <f>VLOOKUP(A84,'Feature Raw Data'!$A$3:$E$3998,5,FALSE)</f>
        <v>Legacy</v>
      </c>
      <c r="G84" s="342" t="str">
        <f t="shared" si="6"/>
        <v>Yes</v>
      </c>
      <c r="H84" s="342" t="str">
        <f t="shared" si="7"/>
        <v>Yes</v>
      </c>
      <c r="I84" s="444">
        <f>SUMIF('Diags Raw Data'!$A$6:$A$3821,"*"&amp;$A84&amp;"*",'Diags Raw Data'!$K$6:$K$3821)</f>
        <v>20</v>
      </c>
      <c r="J84" s="446">
        <f>SUMIF('Diags Raw Data'!$A$6:$A$3821,"*"&amp;$A84&amp;"*",'Diags Raw Data'!$L$6:$L$3821)</f>
        <v>277</v>
      </c>
      <c r="K84" s="491" cm="1">
        <f t="array" ref="K84">IF(D84="",0, SUMPRODUCT(--(ISNUMBER(SEARCH($A84,'Diags Raw Data'!$A$6:$A$3821))),'Diags Raw Data'!$L$6:$L$3821,'Diags Raw Data'!$N$6:$N$3821)/J84)</f>
        <v>1</v>
      </c>
      <c r="L84" s="492" cm="1">
        <f t="array" ref="L84">IF(D84="",0, SUMPRODUCT(--(ISNUMBER(SEARCH($A84,'Diags Raw Data'!$A$6:$A$3821))),'Diags Raw Data'!$L$6:$L$3821,'Diags Raw Data'!$P$6:$P$3821)/J84)</f>
        <v>1</v>
      </c>
      <c r="M84" s="493" cm="1">
        <f t="array" ref="M84">SUMPRODUCT(--(ISNUMBER(SEARCH($A84,'Diags Raw Data'!$A$6:$A$3821))),--('Diags Raw Data'!$Q$6:$Q$3821&lt;&gt;"N/A"),'Diags Raw Data'!$R$6:$R$3821)</f>
        <v>481</v>
      </c>
      <c r="N84" s="494" cm="1">
        <f t="array" ref="N84">SUMPRODUCT(--(ISNUMBER(SEARCH($A84,'Diags Raw Data'!$A$6:$A$3821))),--('Diags Raw Data'!$Q$6:$Q$3821&lt;&gt;"N/A"),'Diags Raw Data'!$T$6:$T$3821)+SUMPRODUCT(--(ISNUMBER(SEARCH($A84,'Diags Raw Data'!$A$6:$A$3821))),--('Diags Raw Data'!$Q$6:$Q$3821&lt;&gt;"N/A"),'Diags Raw Data'!$U$6:$U$3821)</f>
        <v>0</v>
      </c>
      <c r="O84" s="495">
        <f t="shared" si="8"/>
        <v>0</v>
      </c>
      <c r="P84" s="496">
        <v>0</v>
      </c>
      <c r="Q84" s="497">
        <f>SUM(SUMIF('Diags Raw Data'!$A$6:$A$3821,"*"&amp;$A84&amp;"*",'Diags Raw Data'!$AA$6:$AA$3821),SUMIF('Diags Raw Data'!$A$6:$A$3821,"*"&amp;$A84&amp;"*",'Diags Raw Data'!$AB$6:$AB$3821))</f>
        <v>0</v>
      </c>
      <c r="R84" s="498">
        <f t="shared" si="9"/>
        <v>0</v>
      </c>
      <c r="S84" s="498">
        <f t="shared" si="10"/>
        <v>0</v>
      </c>
      <c r="T84" s="499">
        <f t="shared" si="11"/>
        <v>0</v>
      </c>
      <c r="U84" s="447" t="s">
        <v>944</v>
      </c>
      <c r="V84" s="182"/>
    </row>
    <row r="85" spans="1:22" x14ac:dyDescent="0.25">
      <c r="A85" s="337" t="s">
        <v>753</v>
      </c>
      <c r="B85" s="443" t="s">
        <v>1052</v>
      </c>
      <c r="C85" s="444" t="s">
        <v>280</v>
      </c>
      <c r="D85" s="445" t="str" cm="1">
        <f t="array" ref="D85">_xlfn.TEXTJOIN("",TRUE,IF(ISNUMBER(SEARCH($A85,'Diags Raw Data'!$A$6:$A$3821)),CONCATENATE('Diags Raw Data'!$H$6:$H$3821,", "),""))</f>
        <v xml:space="preserve">DIO322, DIO324, DIO325, </v>
      </c>
      <c r="E85" s="342" t="str">
        <f>VLOOKUP(A85,'Diags Raw Data'!$A$6:$D$3821,4,FALSE)</f>
        <v>DIO</v>
      </c>
      <c r="F85" s="342" t="str">
        <f>VLOOKUP(A85,'Feature Raw Data'!$A$3:$E$3998,5,FALSE)</f>
        <v>Legacy</v>
      </c>
      <c r="G85" s="342" t="str">
        <f t="shared" si="6"/>
        <v>Yes</v>
      </c>
      <c r="H85" s="342" t="str">
        <f t="shared" si="7"/>
        <v>Yes</v>
      </c>
      <c r="I85" s="444">
        <f>SUMIF('Diags Raw Data'!$A$6:$A$3821,"*"&amp;$A85&amp;"*",'Diags Raw Data'!$K$6:$K$3821)</f>
        <v>3</v>
      </c>
      <c r="J85" s="446">
        <f>SUMIF('Diags Raw Data'!$A$6:$A$3821,"*"&amp;$A85&amp;"*",'Diags Raw Data'!$L$6:$L$3821)</f>
        <v>36</v>
      </c>
      <c r="K85" s="491" cm="1">
        <f t="array" ref="K85">IF(D85="",0, SUMPRODUCT(--(ISNUMBER(SEARCH($A85,'Diags Raw Data'!$A$6:$A$3821))),'Diags Raw Data'!$L$6:$L$3821,'Diags Raw Data'!$N$6:$N$3821)/J85)</f>
        <v>1</v>
      </c>
      <c r="L85" s="492" cm="1">
        <f t="array" ref="L85">IF(D85="",0, SUMPRODUCT(--(ISNUMBER(SEARCH($A85,'Diags Raw Data'!$A$6:$A$3821))),'Diags Raw Data'!$L$6:$L$3821,'Diags Raw Data'!$P$6:$P$3821)/J85)</f>
        <v>1</v>
      </c>
      <c r="M85" s="493" cm="1">
        <f t="array" ref="M85">SUMPRODUCT(--(ISNUMBER(SEARCH($A85,'Diags Raw Data'!$A$6:$A$3821))),--('Diags Raw Data'!$Q$6:$Q$3821&lt;&gt;"N/A"),'Diags Raw Data'!$R$6:$R$3821)</f>
        <v>34</v>
      </c>
      <c r="N85" s="494" cm="1">
        <f t="array" ref="N85">SUMPRODUCT(--(ISNUMBER(SEARCH($A85,'Diags Raw Data'!$A$6:$A$3821))),--('Diags Raw Data'!$Q$6:$Q$3821&lt;&gt;"N/A"),'Diags Raw Data'!$T$6:$T$3821)+SUMPRODUCT(--(ISNUMBER(SEARCH($A85,'Diags Raw Data'!$A$6:$A$3821))),--('Diags Raw Data'!$Q$6:$Q$3821&lt;&gt;"N/A"),'Diags Raw Data'!$U$6:$U$3821)</f>
        <v>0</v>
      </c>
      <c r="O85" s="495">
        <f t="shared" si="8"/>
        <v>0</v>
      </c>
      <c r="P85" s="496">
        <v>0</v>
      </c>
      <c r="Q85" s="497">
        <f>SUM(SUMIF('Diags Raw Data'!$A$6:$A$3821,"*"&amp;$A85&amp;"*",'Diags Raw Data'!$AA$6:$AA$3821),SUMIF('Diags Raw Data'!$A$6:$A$3821,"*"&amp;$A85&amp;"*",'Diags Raw Data'!$AB$6:$AB$3821))</f>
        <v>0</v>
      </c>
      <c r="R85" s="498">
        <f t="shared" si="9"/>
        <v>0</v>
      </c>
      <c r="S85" s="498">
        <f t="shared" si="10"/>
        <v>0</v>
      </c>
      <c r="T85" s="499">
        <f t="shared" si="11"/>
        <v>0</v>
      </c>
      <c r="U85" s="447" t="s">
        <v>944</v>
      </c>
      <c r="V85" s="182"/>
    </row>
    <row r="86" spans="1:22" x14ac:dyDescent="0.25">
      <c r="A86" s="337" t="s">
        <v>1053</v>
      </c>
      <c r="B86" s="443" t="s">
        <v>1054</v>
      </c>
      <c r="C86" s="444" t="s">
        <v>280</v>
      </c>
      <c r="D86" s="445" t="str" cm="1">
        <f t="array" ref="D86">_xlfn.TEXTJOIN("",TRUE,IF(ISNUMBER(SEARCH($A86,'Diags Raw Data'!$A$6:$A$3821)),CONCATENATE('Diags Raw Data'!$H$6:$H$3821,", "),""))</f>
        <v xml:space="preserve">DIO222, DIO359, </v>
      </c>
      <c r="E86" s="342" t="e">
        <f>VLOOKUP(A86,'Diags Raw Data'!$A$6:$D$3821,4,FALSE)</f>
        <v>#N/A</v>
      </c>
      <c r="F86" s="342" t="str">
        <f>VLOOKUP(A86,'Feature Raw Data'!$A$3:$E$3998,5,FALSE)</f>
        <v>Legacy</v>
      </c>
      <c r="G86" s="342" t="str">
        <f t="shared" si="6"/>
        <v>Yes</v>
      </c>
      <c r="H86" s="342" t="str">
        <f t="shared" si="7"/>
        <v>Yes</v>
      </c>
      <c r="I86" s="444">
        <f>SUMIF('Diags Raw Data'!$A$6:$A$3821,"*"&amp;$A86&amp;"*",'Diags Raw Data'!$K$6:$K$3821)</f>
        <v>2</v>
      </c>
      <c r="J86" s="446">
        <f>SUMIF('Diags Raw Data'!$A$6:$A$3821,"*"&amp;$A86&amp;"*",'Diags Raw Data'!$L$6:$L$3821)</f>
        <v>3</v>
      </c>
      <c r="K86" s="491" cm="1">
        <f t="array" ref="K86">IF(D86="",0, SUMPRODUCT(--(ISNUMBER(SEARCH($A86,'Diags Raw Data'!$A$6:$A$3821))),'Diags Raw Data'!$L$6:$L$3821,'Diags Raw Data'!$N$6:$N$3821)/J86)</f>
        <v>1</v>
      </c>
      <c r="L86" s="492" cm="1">
        <f t="array" ref="L86">IF(D86="",0, SUMPRODUCT(--(ISNUMBER(SEARCH($A86,'Diags Raw Data'!$A$6:$A$3821))),'Diags Raw Data'!$L$6:$L$3821,'Diags Raw Data'!$P$6:$P$3821)/J86)</f>
        <v>1</v>
      </c>
      <c r="M86" s="493" cm="1">
        <f t="array" ref="M86">SUMPRODUCT(--(ISNUMBER(SEARCH($A86,'Diags Raw Data'!$A$6:$A$3821))),--('Diags Raw Data'!$Q$6:$Q$3821&lt;&gt;"N/A"),'Diags Raw Data'!$R$6:$R$3821)</f>
        <v>3</v>
      </c>
      <c r="N86" s="494" cm="1">
        <f t="array" ref="N86">SUMPRODUCT(--(ISNUMBER(SEARCH($A86,'Diags Raw Data'!$A$6:$A$3821))),--('Diags Raw Data'!$Q$6:$Q$3821&lt;&gt;"N/A"),'Diags Raw Data'!$T$6:$T$3821)+SUMPRODUCT(--(ISNUMBER(SEARCH($A86,'Diags Raw Data'!$A$6:$A$3821))),--('Diags Raw Data'!$Q$6:$Q$3821&lt;&gt;"N/A"),'Diags Raw Data'!$U$6:$U$3821)</f>
        <v>0</v>
      </c>
      <c r="O86" s="495">
        <f t="shared" si="8"/>
        <v>0</v>
      </c>
      <c r="P86" s="496">
        <v>0</v>
      </c>
      <c r="Q86" s="497">
        <f>SUM(SUMIF('Diags Raw Data'!$A$6:$A$3821,"*"&amp;$A86&amp;"*",'Diags Raw Data'!$AA$6:$AA$3821),SUMIF('Diags Raw Data'!$A$6:$A$3821,"*"&amp;$A86&amp;"*",'Diags Raw Data'!$AB$6:$AB$3821))</f>
        <v>0</v>
      </c>
      <c r="R86" s="498">
        <f t="shared" si="9"/>
        <v>0</v>
      </c>
      <c r="S86" s="498">
        <f t="shared" si="10"/>
        <v>0</v>
      </c>
      <c r="T86" s="499">
        <f t="shared" si="11"/>
        <v>0</v>
      </c>
      <c r="U86" s="447" t="s">
        <v>934</v>
      </c>
      <c r="V86" s="182"/>
    </row>
    <row r="87" spans="1:22" x14ac:dyDescent="0.25">
      <c r="A87" s="337" t="s">
        <v>1055</v>
      </c>
      <c r="B87" s="443" t="s">
        <v>1056</v>
      </c>
      <c r="C87" s="444" t="s">
        <v>280</v>
      </c>
      <c r="D87" s="445" t="str" cm="1">
        <f t="array" ref="D87">_xlfn.TEXTJOIN("",TRUE,IF(ISNUMBER(SEARCH($A87,'Diags Raw Data'!$A$6:$A$3821)),CONCATENATE('Diags Raw Data'!$H$6:$H$3821,", "),""))</f>
        <v/>
      </c>
      <c r="E87" s="342" t="e">
        <f>VLOOKUP(A87,'Diags Raw Data'!$A$6:$D$3821,4,FALSE)</f>
        <v>#N/A</v>
      </c>
      <c r="F87" s="342" t="str">
        <f>VLOOKUP(A87,'Feature Raw Data'!$A$3:$E$3998,5,FALSE)</f>
        <v>Legacy</v>
      </c>
      <c r="G87" s="342" t="str">
        <f t="shared" si="6"/>
        <v>No</v>
      </c>
      <c r="H87" s="342" t="str">
        <f t="shared" si="7"/>
        <v>No</v>
      </c>
      <c r="I87" s="444">
        <f>SUMIF('Diags Raw Data'!$A$6:$A$3821,"*"&amp;$A87&amp;"*",'Diags Raw Data'!$K$6:$K$3821)</f>
        <v>0</v>
      </c>
      <c r="J87" s="446">
        <f>SUMIF('Diags Raw Data'!$A$6:$A$3821,"*"&amp;$A87&amp;"*",'Diags Raw Data'!$L$6:$L$3821)</f>
        <v>0</v>
      </c>
      <c r="K87" s="491" cm="1">
        <f t="array" ref="K87">IF(D87="",0, SUMPRODUCT(--(ISNUMBER(SEARCH($A87,'Diags Raw Data'!$A$6:$A$3821))),'Diags Raw Data'!$L$6:$L$3821,'Diags Raw Data'!$N$6:$N$3821)/J87)</f>
        <v>0</v>
      </c>
      <c r="L87" s="492" cm="1">
        <f t="array" ref="L87">IF(D87="",0, SUMPRODUCT(--(ISNUMBER(SEARCH($A87,'Diags Raw Data'!$A$6:$A$3821))),'Diags Raw Data'!$L$6:$L$3821,'Diags Raw Data'!$P$6:$P$3821)/J87)</f>
        <v>0</v>
      </c>
      <c r="M87" s="493" cm="1">
        <f t="array" ref="M87">SUMPRODUCT(--(ISNUMBER(SEARCH($A87,'Diags Raw Data'!$A$6:$A$3821))),--('Diags Raw Data'!$Q$6:$Q$3821&lt;&gt;"N/A"),'Diags Raw Data'!$R$6:$R$3821)</f>
        <v>0</v>
      </c>
      <c r="N87" s="494" cm="1">
        <f t="array" ref="N87">SUMPRODUCT(--(ISNUMBER(SEARCH($A87,'Diags Raw Data'!$A$6:$A$3821))),--('Diags Raw Data'!$Q$6:$Q$3821&lt;&gt;"N/A"),'Diags Raw Data'!$T$6:$T$3821)+SUMPRODUCT(--(ISNUMBER(SEARCH($A87,'Diags Raw Data'!$A$6:$A$3821))),--('Diags Raw Data'!$Q$6:$Q$3821&lt;&gt;"N/A"),'Diags Raw Data'!$U$6:$U$3821)</f>
        <v>0</v>
      </c>
      <c r="O87" s="495">
        <f t="shared" si="8"/>
        <v>0</v>
      </c>
      <c r="P87" s="496">
        <f>SUMIF('Diags Raw Data'!$A$6:$A$3821,"*"&amp;$A87&amp;"*",'Diags Raw Data'!$Z$6:$Z$3821)</f>
        <v>0</v>
      </c>
      <c r="Q87" s="497">
        <f>SUM(SUMIF('Diags Raw Data'!$A$6:$A$3821,"*"&amp;$A87&amp;"*",'Diags Raw Data'!$AA$6:$AA$3821),SUMIF('Diags Raw Data'!$A$6:$A$3821,"*"&amp;$A87&amp;"*",'Diags Raw Data'!$AB$6:$AB$3821))</f>
        <v>0</v>
      </c>
      <c r="R87" s="498">
        <f t="shared" si="9"/>
        <v>0</v>
      </c>
      <c r="S87" s="498">
        <f t="shared" si="10"/>
        <v>0</v>
      </c>
      <c r="T87" s="499">
        <f t="shared" si="11"/>
        <v>0</v>
      </c>
      <c r="U87" s="447" t="s">
        <v>956</v>
      </c>
      <c r="V87" s="182"/>
    </row>
    <row r="88" spans="1:22" x14ac:dyDescent="0.25">
      <c r="A88" s="337" t="s">
        <v>640</v>
      </c>
      <c r="B88" s="443" t="s">
        <v>1057</v>
      </c>
      <c r="C88" s="444" t="s">
        <v>280</v>
      </c>
      <c r="D88" s="445" t="str" cm="1">
        <f t="array" ref="D88">_xlfn.TEXTJOIN("",TRUE,IF(ISNUMBER(SEARCH($A88,'Diags Raw Data'!$A$6:$A$3821)),CONCATENATE('Diags Raw Data'!$H$6:$H$3821,", "),""))</f>
        <v xml:space="preserve">DIO002, DIO003, </v>
      </c>
      <c r="E88" s="342" t="str">
        <f>VLOOKUP(A88,'Diags Raw Data'!$A$6:$D$3821,4,FALSE)</f>
        <v>DIO</v>
      </c>
      <c r="F88" s="342" t="str">
        <f>VLOOKUP(A88,'Feature Raw Data'!$A$3:$E$3998,5,FALSE)</f>
        <v>Legacy</v>
      </c>
      <c r="G88" s="342" t="str">
        <f t="shared" si="6"/>
        <v>Yes</v>
      </c>
      <c r="H88" s="342" t="str">
        <f t="shared" si="7"/>
        <v>Yes</v>
      </c>
      <c r="I88" s="444">
        <f>SUMIF('Diags Raw Data'!$A$6:$A$3821,"*"&amp;$A88&amp;"*",'Diags Raw Data'!$K$6:$K$3821)</f>
        <v>2</v>
      </c>
      <c r="J88" s="446">
        <f>SUMIF('Diags Raw Data'!$A$6:$A$3821,"*"&amp;$A88&amp;"*",'Diags Raw Data'!$L$6:$L$3821)</f>
        <v>5</v>
      </c>
      <c r="K88" s="491" cm="1">
        <f t="array" ref="K88">IF(D88="",0, SUMPRODUCT(--(ISNUMBER(SEARCH($A88,'Diags Raw Data'!$A$6:$A$3821))),'Diags Raw Data'!$L$6:$L$3821,'Diags Raw Data'!$N$6:$N$3821)/J88)</f>
        <v>1</v>
      </c>
      <c r="L88" s="492" cm="1">
        <f t="array" ref="L88">IF(D88="",0, SUMPRODUCT(--(ISNUMBER(SEARCH($A88,'Diags Raw Data'!$A$6:$A$3821))),'Diags Raw Data'!$L$6:$L$3821,'Diags Raw Data'!$P$6:$P$3821)/J88)</f>
        <v>1</v>
      </c>
      <c r="M88" s="493" cm="1">
        <f t="array" ref="M88">SUMPRODUCT(--(ISNUMBER(SEARCH($A88,'Diags Raw Data'!$A$6:$A$3821))),--('Diags Raw Data'!$Q$6:$Q$3821&lt;&gt;"N/A"),'Diags Raw Data'!$R$6:$R$3821)</f>
        <v>10</v>
      </c>
      <c r="N88" s="494" cm="1">
        <f t="array" ref="N88">SUMPRODUCT(--(ISNUMBER(SEARCH($A88,'Diags Raw Data'!$A$6:$A$3821))),--('Diags Raw Data'!$Q$6:$Q$3821&lt;&gt;"N/A"),'Diags Raw Data'!$T$6:$T$3821)+SUMPRODUCT(--(ISNUMBER(SEARCH($A88,'Diags Raw Data'!$A$6:$A$3821))),--('Diags Raw Data'!$Q$6:$Q$3821&lt;&gt;"N/A"),'Diags Raw Data'!$U$6:$U$3821)</f>
        <v>0</v>
      </c>
      <c r="O88" s="495">
        <f t="shared" si="8"/>
        <v>0</v>
      </c>
      <c r="P88" s="496">
        <v>0</v>
      </c>
      <c r="Q88" s="497">
        <f>SUM(SUMIF('Diags Raw Data'!$A$6:$A$3821,"*"&amp;$A88&amp;"*",'Diags Raw Data'!$AA$6:$AA$3821),SUMIF('Diags Raw Data'!$A$6:$A$3821,"*"&amp;$A88&amp;"*",'Diags Raw Data'!$AB$6:$AB$3821))</f>
        <v>0</v>
      </c>
      <c r="R88" s="498">
        <f t="shared" si="9"/>
        <v>0</v>
      </c>
      <c r="S88" s="498">
        <f t="shared" si="10"/>
        <v>0</v>
      </c>
      <c r="T88" s="499">
        <f t="shared" si="11"/>
        <v>0</v>
      </c>
      <c r="U88" s="447" t="s">
        <v>934</v>
      </c>
      <c r="V88" s="182"/>
    </row>
    <row r="89" spans="1:22" x14ac:dyDescent="0.25">
      <c r="A89" s="337" t="s">
        <v>1058</v>
      </c>
      <c r="B89" s="443" t="s">
        <v>1059</v>
      </c>
      <c r="C89" s="444" t="s">
        <v>280</v>
      </c>
      <c r="D89" s="445" t="str" cm="1">
        <f t="array" ref="D89">_xlfn.TEXTJOIN("",TRUE,IF(ISNUMBER(SEARCH($A89,'Diags Raw Data'!$A$6:$A$3821)),CONCATENATE('Diags Raw Data'!$H$6:$H$3821,", "),""))</f>
        <v/>
      </c>
      <c r="E89" s="342" t="e">
        <f>VLOOKUP(A89,'Diags Raw Data'!$A$6:$D$3821,4,FALSE)</f>
        <v>#N/A</v>
      </c>
      <c r="F89" s="342" t="str">
        <f>VLOOKUP(A89,'Feature Raw Data'!$A$3:$E$3998,5,FALSE)</f>
        <v>Legacy</v>
      </c>
      <c r="G89" s="342" t="str">
        <f t="shared" si="6"/>
        <v>No</v>
      </c>
      <c r="H89" s="342" t="str">
        <f t="shared" si="7"/>
        <v>No</v>
      </c>
      <c r="I89" s="444">
        <f>SUMIF('Diags Raw Data'!$A$6:$A$3821,"*"&amp;$A89&amp;"*",'Diags Raw Data'!$K$6:$K$3821)</f>
        <v>0</v>
      </c>
      <c r="J89" s="446">
        <f>SUMIF('Diags Raw Data'!$A$6:$A$3821,"*"&amp;$A89&amp;"*",'Diags Raw Data'!$L$6:$L$3821)</f>
        <v>0</v>
      </c>
      <c r="K89" s="491" cm="1">
        <f t="array" ref="K89">IF(D89="",0, SUMPRODUCT(--(ISNUMBER(SEARCH($A89,'Diags Raw Data'!$A$6:$A$3821))),'Diags Raw Data'!$L$6:$L$3821,'Diags Raw Data'!$N$6:$N$3821)/J89)</f>
        <v>0</v>
      </c>
      <c r="L89" s="492" cm="1">
        <f t="array" ref="L89">IF(D89="",0, SUMPRODUCT(--(ISNUMBER(SEARCH($A89,'Diags Raw Data'!$A$6:$A$3821))),'Diags Raw Data'!$L$6:$L$3821,'Diags Raw Data'!$P$6:$P$3821)/J89)</f>
        <v>0</v>
      </c>
      <c r="M89" s="493" cm="1">
        <f t="array" ref="M89">SUMPRODUCT(--(ISNUMBER(SEARCH($A89,'Diags Raw Data'!$A$6:$A$3821))),--('Diags Raw Data'!$Q$6:$Q$3821&lt;&gt;"N/A"),'Diags Raw Data'!$R$6:$R$3821)</f>
        <v>0</v>
      </c>
      <c r="N89" s="494" cm="1">
        <f t="array" ref="N89">SUMPRODUCT(--(ISNUMBER(SEARCH($A89,'Diags Raw Data'!$A$6:$A$3821))),--('Diags Raw Data'!$Q$6:$Q$3821&lt;&gt;"N/A"),'Diags Raw Data'!$T$6:$T$3821)+SUMPRODUCT(--(ISNUMBER(SEARCH($A89,'Diags Raw Data'!$A$6:$A$3821))),--('Diags Raw Data'!$Q$6:$Q$3821&lt;&gt;"N/A"),'Diags Raw Data'!$U$6:$U$3821)</f>
        <v>0</v>
      </c>
      <c r="O89" s="495">
        <f t="shared" si="8"/>
        <v>0</v>
      </c>
      <c r="P89" s="496">
        <f>SUMIF('Diags Raw Data'!$A$6:$A$3821,"*"&amp;$A89&amp;"*",'Diags Raw Data'!$Z$6:$Z$3821)</f>
        <v>0</v>
      </c>
      <c r="Q89" s="497">
        <f>SUM(SUMIF('Diags Raw Data'!$A$6:$A$3821,"*"&amp;$A89&amp;"*",'Diags Raw Data'!$AA$6:$AA$3821),SUMIF('Diags Raw Data'!$A$6:$A$3821,"*"&amp;$A89&amp;"*",'Diags Raw Data'!$AB$6:$AB$3821))</f>
        <v>0</v>
      </c>
      <c r="R89" s="498">
        <f t="shared" si="9"/>
        <v>0</v>
      </c>
      <c r="S89" s="498">
        <f t="shared" si="10"/>
        <v>0</v>
      </c>
      <c r="T89" s="499">
        <f t="shared" si="11"/>
        <v>0</v>
      </c>
      <c r="U89" s="447" t="s">
        <v>934</v>
      </c>
      <c r="V89" s="182"/>
    </row>
    <row r="90" spans="1:22" ht="60" x14ac:dyDescent="0.25">
      <c r="A90" s="337" t="s">
        <v>1060</v>
      </c>
      <c r="B90" s="443" t="s">
        <v>1061</v>
      </c>
      <c r="C90" s="444" t="s">
        <v>280</v>
      </c>
      <c r="D90" s="445" t="str" cm="1">
        <f t="array" ref="D90">_xlfn.TEXTJOIN("",TRUE,IF(ISNUMBER(SEARCH($A90,'Diags Raw Data'!$A$6:$A$3821)),CONCATENATE('Diags Raw Data'!$H$6:$H$3821,", "),""))</f>
        <v xml:space="preserve">DIO369, DIO370, DIO371, DIO372, DIO373, DIO374, DIO375, DIO376, DIO377, DIO378, DIO379, DIO380, </v>
      </c>
      <c r="E90" s="342" t="e">
        <f>VLOOKUP(A90,'Diags Raw Data'!$A$6:$D$3821,4,FALSE)</f>
        <v>#N/A</v>
      </c>
      <c r="F90" s="342" t="str">
        <f>VLOOKUP(A90,'Feature Raw Data'!$A$3:$E$3998,5,FALSE)</f>
        <v>Legacy</v>
      </c>
      <c r="G90" s="342" t="str">
        <f t="shared" si="6"/>
        <v>Yes</v>
      </c>
      <c r="H90" s="342" t="str">
        <f t="shared" si="7"/>
        <v>Yes</v>
      </c>
      <c r="I90" s="444">
        <f>SUMIF('Diags Raw Data'!$A$6:$A$3821,"*"&amp;$A90&amp;"*",'Diags Raw Data'!$K$6:$K$3821)</f>
        <v>12</v>
      </c>
      <c r="J90" s="446">
        <f>SUMIF('Diags Raw Data'!$A$6:$A$3821,"*"&amp;$A90&amp;"*",'Diags Raw Data'!$L$6:$L$3821)</f>
        <v>49</v>
      </c>
      <c r="K90" s="491" cm="1">
        <f t="array" ref="K90">IF(D90="",0, SUMPRODUCT(--(ISNUMBER(SEARCH($A90,'Diags Raw Data'!$A$6:$A$3821))),'Diags Raw Data'!$L$6:$L$3821,'Diags Raw Data'!$N$6:$N$3821)/J90)</f>
        <v>1</v>
      </c>
      <c r="L90" s="492" cm="1">
        <f t="array" ref="L90">IF(D90="",0, SUMPRODUCT(--(ISNUMBER(SEARCH($A90,'Diags Raw Data'!$A$6:$A$3821))),'Diags Raw Data'!$L$6:$L$3821,'Diags Raw Data'!$P$6:$P$3821)/J90)</f>
        <v>1</v>
      </c>
      <c r="M90" s="493" cm="1">
        <f t="array" ref="M90">SUMPRODUCT(--(ISNUMBER(SEARCH($A90,'Diags Raw Data'!$A$6:$A$3821))),--('Diags Raw Data'!$Q$6:$Q$3821&lt;&gt;"N/A"),'Diags Raw Data'!$R$6:$R$3821)</f>
        <v>96</v>
      </c>
      <c r="N90" s="494" cm="1">
        <f t="array" ref="N90">SUMPRODUCT(--(ISNUMBER(SEARCH($A90,'Diags Raw Data'!$A$6:$A$3821))),--('Diags Raw Data'!$Q$6:$Q$3821&lt;&gt;"N/A"),'Diags Raw Data'!$T$6:$T$3821)+SUMPRODUCT(--(ISNUMBER(SEARCH($A90,'Diags Raw Data'!$A$6:$A$3821))),--('Diags Raw Data'!$Q$6:$Q$3821&lt;&gt;"N/A"),'Diags Raw Data'!$U$6:$U$3821)</f>
        <v>0</v>
      </c>
      <c r="O90" s="495">
        <f t="shared" si="8"/>
        <v>0</v>
      </c>
      <c r="P90" s="496">
        <v>0</v>
      </c>
      <c r="Q90" s="497">
        <f>SUM(SUMIF('Diags Raw Data'!$A$6:$A$3821,"*"&amp;$A90&amp;"*",'Diags Raw Data'!$AA$6:$AA$3821),SUMIF('Diags Raw Data'!$A$6:$A$3821,"*"&amp;$A90&amp;"*",'Diags Raw Data'!$AB$6:$AB$3821))</f>
        <v>0</v>
      </c>
      <c r="R90" s="498">
        <f t="shared" si="9"/>
        <v>0</v>
      </c>
      <c r="S90" s="498">
        <f t="shared" si="10"/>
        <v>0</v>
      </c>
      <c r="T90" s="499">
        <f t="shared" si="11"/>
        <v>0</v>
      </c>
      <c r="U90" s="447" t="s">
        <v>956</v>
      </c>
      <c r="V90" s="182"/>
    </row>
    <row r="91" spans="1:22" x14ac:dyDescent="0.25">
      <c r="A91" s="337" t="s">
        <v>849</v>
      </c>
      <c r="B91" s="443" t="s">
        <v>1062</v>
      </c>
      <c r="C91" s="444" t="s">
        <v>280</v>
      </c>
      <c r="D91" s="445" t="str" cm="1">
        <f t="array" ref="D91">_xlfn.TEXTJOIN("",TRUE,IF(ISNUMBER(SEARCH($A91,'Diags Raw Data'!$A$6:$A$3821)),CONCATENATE('Diags Raw Data'!$H$6:$H$3821,", "),""))</f>
        <v xml:space="preserve">EB001, EB200, EB213, EB300, </v>
      </c>
      <c r="E91" s="342" t="str">
        <f>VLOOKUP(A91,'Diags Raw Data'!$A$6:$D$3821,4,FALSE)</f>
        <v>EB</v>
      </c>
      <c r="F91" s="342" t="str">
        <f>VLOOKUP(A91,'Feature Raw Data'!$A$3:$E$3998,5,FALSE)</f>
        <v>Delta</v>
      </c>
      <c r="G91" s="342" t="str">
        <f t="shared" si="6"/>
        <v>Yes</v>
      </c>
      <c r="H91" s="342" t="str">
        <f t="shared" si="7"/>
        <v>Yes</v>
      </c>
      <c r="I91" s="444">
        <f>SUMIF('Diags Raw Data'!$A$6:$A$3821,"*"&amp;$A91&amp;"*",'Diags Raw Data'!$K$6:$K$3821)</f>
        <v>4</v>
      </c>
      <c r="J91" s="446">
        <f>SUMIF('Diags Raw Data'!$A$6:$A$3821,"*"&amp;$A91&amp;"*",'Diags Raw Data'!$L$6:$L$3821)</f>
        <v>34</v>
      </c>
      <c r="K91" s="491" cm="1">
        <f t="array" ref="K91">IF(D91="",0, SUMPRODUCT(--(ISNUMBER(SEARCH($A91,'Diags Raw Data'!$A$6:$A$3821))),'Diags Raw Data'!$L$6:$L$3821,'Diags Raw Data'!$N$6:$N$3821)/J91)</f>
        <v>1</v>
      </c>
      <c r="L91" s="492" cm="1">
        <f t="array" ref="L91">IF(D91="",0, SUMPRODUCT(--(ISNUMBER(SEARCH($A91,'Diags Raw Data'!$A$6:$A$3821))),'Diags Raw Data'!$L$6:$L$3821,'Diags Raw Data'!$P$6:$P$3821)/J91)</f>
        <v>1</v>
      </c>
      <c r="M91" s="493" cm="1">
        <f t="array" ref="M91">SUMPRODUCT(--(ISNUMBER(SEARCH($A91,'Diags Raw Data'!$A$6:$A$3821))),--('Diags Raw Data'!$Q$6:$Q$3821&lt;&gt;"N/A"),'Diags Raw Data'!$R$6:$R$3821)</f>
        <v>16</v>
      </c>
      <c r="N91" s="494" cm="1">
        <f t="array" ref="N91">SUMPRODUCT(--(ISNUMBER(SEARCH($A91,'Diags Raw Data'!$A$6:$A$3821))),--('Diags Raw Data'!$Q$6:$Q$3821&lt;&gt;"N/A"),'Diags Raw Data'!$T$6:$T$3821)+SUMPRODUCT(--(ISNUMBER(SEARCH($A91,'Diags Raw Data'!$A$6:$A$3821))),--('Diags Raw Data'!$Q$6:$Q$3821&lt;&gt;"N/A"),'Diags Raw Data'!$U$6:$U$3821)</f>
        <v>0</v>
      </c>
      <c r="O91" s="495">
        <f t="shared" si="8"/>
        <v>0</v>
      </c>
      <c r="P91" s="496">
        <v>0</v>
      </c>
      <c r="Q91" s="497">
        <f>SUM(SUMIF('Diags Raw Data'!$A$6:$A$3821,"*"&amp;$A91&amp;"*",'Diags Raw Data'!$AA$6:$AA$3821),SUMIF('Diags Raw Data'!$A$6:$A$3821,"*"&amp;$A91&amp;"*",'Diags Raw Data'!$AB$6:$AB$3821))</f>
        <v>0</v>
      </c>
      <c r="R91" s="498">
        <f t="shared" si="9"/>
        <v>0</v>
      </c>
      <c r="S91" s="498">
        <f t="shared" si="10"/>
        <v>0</v>
      </c>
      <c r="T91" s="499">
        <f t="shared" si="11"/>
        <v>0</v>
      </c>
      <c r="U91" s="447" t="s">
        <v>956</v>
      </c>
      <c r="V91" s="182"/>
    </row>
    <row r="92" spans="1:22" x14ac:dyDescent="0.25">
      <c r="A92" s="337" t="s">
        <v>863</v>
      </c>
      <c r="B92" s="443" t="s">
        <v>1063</v>
      </c>
      <c r="C92" s="444" t="s">
        <v>280</v>
      </c>
      <c r="D92" s="445" t="str" cm="1">
        <f t="array" ref="D92">_xlfn.TEXTJOIN("",TRUE,IF(ISNUMBER(SEARCH($A92,'Diags Raw Data'!$A$6:$A$3821)),CONCATENATE('Diags Raw Data'!$H$6:$H$3821,", "),""))</f>
        <v xml:space="preserve">EB303, </v>
      </c>
      <c r="E92" s="342" t="str">
        <f>VLOOKUP(A92,'Diags Raw Data'!$A$6:$D$3821,4,FALSE)</f>
        <v>EB</v>
      </c>
      <c r="F92" s="342" t="str">
        <f>VLOOKUP(A92,'Feature Raw Data'!$A$3:$E$3998,5,FALSE)</f>
        <v>Delta</v>
      </c>
      <c r="G92" s="342" t="str">
        <f t="shared" ref="G92:G97" si="12">IF(D92="","No","Yes")</f>
        <v>Yes</v>
      </c>
      <c r="H92" s="342" t="str">
        <f t="shared" ref="H92:H97" si="13">IF(D92="","No","Yes")</f>
        <v>Yes</v>
      </c>
      <c r="I92" s="444">
        <f>SUMIF('Diags Raw Data'!$A$6:$A$3821,"*"&amp;$A92&amp;"*",'Diags Raw Data'!$K$6:$K$3821)</f>
        <v>1</v>
      </c>
      <c r="J92" s="446">
        <f>SUMIF('Diags Raw Data'!$A$6:$A$3821,"*"&amp;$A92&amp;"*",'Diags Raw Data'!$L$6:$L$3821)</f>
        <v>31</v>
      </c>
      <c r="K92" s="491" cm="1">
        <f t="array" ref="K92">IF(D92="",0, SUMPRODUCT(--(ISNUMBER(SEARCH($A92,'Diags Raw Data'!$A$6:$A$3821))),'Diags Raw Data'!$L$6:$L$3821,'Diags Raw Data'!$N$6:$N$3821)/J92)</f>
        <v>1</v>
      </c>
      <c r="L92" s="492" cm="1">
        <f t="array" ref="L92">IF(D92="",0, SUMPRODUCT(--(ISNUMBER(SEARCH($A92,'Diags Raw Data'!$A$6:$A$3821))),'Diags Raw Data'!$L$6:$L$3821,'Diags Raw Data'!$P$6:$P$3821)/J92)</f>
        <v>1</v>
      </c>
      <c r="M92" s="493" cm="1">
        <f t="array" ref="M92">SUMPRODUCT(--(ISNUMBER(SEARCH($A92,'Diags Raw Data'!$A$6:$A$3821))),--('Diags Raw Data'!$Q$6:$Q$3821&lt;&gt;"N/A"),'Diags Raw Data'!$R$6:$R$3821)</f>
        <v>4</v>
      </c>
      <c r="N92" s="494" cm="1">
        <f t="array" ref="N92">SUMPRODUCT(--(ISNUMBER(SEARCH($A92,'Diags Raw Data'!$A$6:$A$3821))),--('Diags Raw Data'!$Q$6:$Q$3821&lt;&gt;"N/A"),'Diags Raw Data'!$T$6:$T$3821)+SUMPRODUCT(--(ISNUMBER(SEARCH($A92,'Diags Raw Data'!$A$6:$A$3821))),--('Diags Raw Data'!$Q$6:$Q$3821&lt;&gt;"N/A"),'Diags Raw Data'!$U$6:$U$3821)</f>
        <v>0</v>
      </c>
      <c r="O92" s="495">
        <f t="shared" ref="O92:O97" si="14">IF((M92=0),0,N92/M92)</f>
        <v>0</v>
      </c>
      <c r="P92" s="496">
        <v>0</v>
      </c>
      <c r="Q92" s="497">
        <f>SUM(SUMIF('Diags Raw Data'!$A$6:$A$3821,"*"&amp;$A92&amp;"*",'Diags Raw Data'!$AA$6:$AA$3821),SUMIF('Diags Raw Data'!$A$6:$A$3821,"*"&amp;$A92&amp;"*",'Diags Raw Data'!$AB$6:$AB$3821))</f>
        <v>0</v>
      </c>
      <c r="R92" s="498">
        <f t="shared" ref="R92:R97" si="15">IF((J92=0),0,P92/J92)</f>
        <v>0</v>
      </c>
      <c r="S92" s="498">
        <f t="shared" ref="S92:S97" si="16">IF((P92=0),0,Q92/P92)</f>
        <v>0</v>
      </c>
      <c r="T92" s="499">
        <f t="shared" ref="T92:T97" si="17">R92*S92</f>
        <v>0</v>
      </c>
      <c r="U92" s="447" t="s">
        <v>956</v>
      </c>
      <c r="V92" s="182"/>
    </row>
    <row r="93" spans="1:22" x14ac:dyDescent="0.25">
      <c r="A93" s="337" t="s">
        <v>1064</v>
      </c>
      <c r="B93" s="443" t="s">
        <v>1065</v>
      </c>
      <c r="C93" s="444" t="s">
        <v>280</v>
      </c>
      <c r="D93" s="445" t="str" cm="1">
        <f t="array" ref="D93">_xlfn.TEXTJOIN("",TRUE,IF(ISNUMBER(SEARCH($A93,'Diags Raw Data'!$A$6:$A$3821)),CONCATENATE('Diags Raw Data'!$H$6:$H$3821,", "),""))</f>
        <v/>
      </c>
      <c r="E93" s="342" t="e">
        <f>VLOOKUP(A93,'Diags Raw Data'!$A$6:$D$3821,4,FALSE)</f>
        <v>#N/A</v>
      </c>
      <c r="F93" s="342" t="str">
        <f>VLOOKUP(A93,'Feature Raw Data'!$A$3:$E$3998,5,FALSE)</f>
        <v>Legacy</v>
      </c>
      <c r="G93" s="342" t="str">
        <f t="shared" si="12"/>
        <v>No</v>
      </c>
      <c r="H93" s="342" t="str">
        <f t="shared" si="13"/>
        <v>No</v>
      </c>
      <c r="I93" s="444">
        <f>SUMIF('Diags Raw Data'!$A$6:$A$3821,"*"&amp;$A93&amp;"*",'Diags Raw Data'!$K$6:$K$3821)</f>
        <v>0</v>
      </c>
      <c r="J93" s="446">
        <f>SUMIF('Diags Raw Data'!$A$6:$A$3821,"*"&amp;$A93&amp;"*",'Diags Raw Data'!$L$6:$L$3821)</f>
        <v>0</v>
      </c>
      <c r="K93" s="491" cm="1">
        <f t="array" ref="K93">IF(D93="",0, SUMPRODUCT(--(ISNUMBER(SEARCH($A93,'Diags Raw Data'!$A$6:$A$3821))),'Diags Raw Data'!$L$6:$L$3821,'Diags Raw Data'!$N$6:$N$3821)/J93)</f>
        <v>0</v>
      </c>
      <c r="L93" s="492" cm="1">
        <f t="array" ref="L93">IF(D93="",0, SUMPRODUCT(--(ISNUMBER(SEARCH($A93,'Diags Raw Data'!$A$6:$A$3821))),'Diags Raw Data'!$L$6:$L$3821,'Diags Raw Data'!$P$6:$P$3821)/J93)</f>
        <v>0</v>
      </c>
      <c r="M93" s="493" cm="1">
        <f t="array" ref="M93">SUMPRODUCT(--(ISNUMBER(SEARCH($A93,'Diags Raw Data'!$A$6:$A$3821))),--('Diags Raw Data'!$Q$6:$Q$3821&lt;&gt;"N/A"),'Diags Raw Data'!$R$6:$R$3821)</f>
        <v>0</v>
      </c>
      <c r="N93" s="494" cm="1">
        <f t="array" ref="N93">SUMPRODUCT(--(ISNUMBER(SEARCH($A93,'Diags Raw Data'!$A$6:$A$3821))),--('Diags Raw Data'!$Q$6:$Q$3821&lt;&gt;"N/A"),'Diags Raw Data'!$T$6:$T$3821)+SUMPRODUCT(--(ISNUMBER(SEARCH($A93,'Diags Raw Data'!$A$6:$A$3821))),--('Diags Raw Data'!$Q$6:$Q$3821&lt;&gt;"N/A"),'Diags Raw Data'!$U$6:$U$3821)</f>
        <v>0</v>
      </c>
      <c r="O93" s="495">
        <f t="shared" si="14"/>
        <v>0</v>
      </c>
      <c r="P93" s="496">
        <v>0</v>
      </c>
      <c r="Q93" s="497">
        <f>SUM(SUMIF('Diags Raw Data'!$A$6:$A$3821,"*"&amp;$A93&amp;"*",'Diags Raw Data'!$AA$6:$AA$3821),SUMIF('Diags Raw Data'!$A$6:$A$3821,"*"&amp;$A93&amp;"*",'Diags Raw Data'!$AB$6:$AB$3821))</f>
        <v>0</v>
      </c>
      <c r="R93" s="498">
        <f t="shared" si="15"/>
        <v>0</v>
      </c>
      <c r="S93" s="498">
        <f t="shared" si="16"/>
        <v>0</v>
      </c>
      <c r="T93" s="499">
        <f t="shared" si="17"/>
        <v>0</v>
      </c>
      <c r="U93" s="447" t="s">
        <v>944</v>
      </c>
      <c r="V93" s="182"/>
    </row>
    <row r="94" spans="1:22" x14ac:dyDescent="0.25">
      <c r="A94" s="337" t="s">
        <v>867</v>
      </c>
      <c r="B94" s="443" t="s">
        <v>1066</v>
      </c>
      <c r="C94" s="444" t="s">
        <v>280</v>
      </c>
      <c r="D94" s="445" t="str" cm="1">
        <f t="array" ref="D94">_xlfn.TEXTJOIN("",TRUE,IF(ISNUMBER(SEARCH($A94,'Diags Raw Data'!$A$6:$A$3821)),CONCATENATE('Diags Raw Data'!$H$6:$H$3821,", "),""))</f>
        <v xml:space="preserve">CE005, </v>
      </c>
      <c r="E94" s="342" t="str">
        <f>VLOOKUP(A94,'Diags Raw Data'!$A$6:$D$3821,4,FALSE)</f>
        <v>CE</v>
      </c>
      <c r="F94" s="342" t="str">
        <f>VLOOKUP(A94,'Feature Raw Data'!$A$3:$E$3998,5,FALSE)</f>
        <v>Legacy</v>
      </c>
      <c r="G94" s="342" t="str">
        <f t="shared" si="12"/>
        <v>Yes</v>
      </c>
      <c r="H94" s="342" t="str">
        <f t="shared" si="13"/>
        <v>Yes</v>
      </c>
      <c r="I94" s="444">
        <f>SUMIF('Diags Raw Data'!$A$6:$A$3821,"*"&amp;$A94&amp;"*",'Diags Raw Data'!$K$6:$K$3821)</f>
        <v>1</v>
      </c>
      <c r="J94" s="446">
        <f>SUMIF('Diags Raw Data'!$A$6:$A$3821,"*"&amp;$A94&amp;"*",'Diags Raw Data'!$L$6:$L$3821)</f>
        <v>2</v>
      </c>
      <c r="K94" s="491" cm="1">
        <f t="array" ref="K94">IF(D94="",0, SUMPRODUCT(--(ISNUMBER(SEARCH($A94,'Diags Raw Data'!$A$6:$A$3821))),'Diags Raw Data'!$L$6:$L$3821,'Diags Raw Data'!$N$6:$N$3821)/J94)</f>
        <v>1</v>
      </c>
      <c r="L94" s="492" cm="1">
        <f t="array" ref="L94">IF(D94="",0, SUMPRODUCT(--(ISNUMBER(SEARCH($A94,'Diags Raw Data'!$A$6:$A$3821))),'Diags Raw Data'!$L$6:$L$3821,'Diags Raw Data'!$P$6:$P$3821)/J94)</f>
        <v>1</v>
      </c>
      <c r="M94" s="493" cm="1">
        <f t="array" ref="M94">SUMPRODUCT(--(ISNUMBER(SEARCH($A94,'Diags Raw Data'!$A$6:$A$3821))),--('Diags Raw Data'!$Q$6:$Q$3821&lt;&gt;"N/A"),'Diags Raw Data'!$R$6:$R$3821)</f>
        <v>4</v>
      </c>
      <c r="N94" s="494" cm="1">
        <f t="array" ref="N94">SUMPRODUCT(--(ISNUMBER(SEARCH($A94,'Diags Raw Data'!$A$6:$A$3821))),--('Diags Raw Data'!$Q$6:$Q$3821&lt;&gt;"N/A"),'Diags Raw Data'!$T$6:$T$3821)+SUMPRODUCT(--(ISNUMBER(SEARCH($A94,'Diags Raw Data'!$A$6:$A$3821))),--('Diags Raw Data'!$Q$6:$Q$3821&lt;&gt;"N/A"),'Diags Raw Data'!$U$6:$U$3821)</f>
        <v>0</v>
      </c>
      <c r="O94" s="495">
        <f t="shared" si="14"/>
        <v>0</v>
      </c>
      <c r="P94" s="496">
        <v>0</v>
      </c>
      <c r="Q94" s="497">
        <f>SUM(SUMIF('Diags Raw Data'!$A$6:$A$3821,"*"&amp;$A94&amp;"*",'Diags Raw Data'!$AA$6:$AA$3821),SUMIF('Diags Raw Data'!$A$6:$A$3821,"*"&amp;$A94&amp;"*",'Diags Raw Data'!$AB$6:$AB$3821))</f>
        <v>0</v>
      </c>
      <c r="R94" s="498">
        <f t="shared" si="15"/>
        <v>0</v>
      </c>
      <c r="S94" s="498">
        <f t="shared" si="16"/>
        <v>0</v>
      </c>
      <c r="T94" s="499">
        <f t="shared" si="17"/>
        <v>0</v>
      </c>
      <c r="U94" s="447" t="s">
        <v>944</v>
      </c>
      <c r="V94" s="182"/>
    </row>
    <row r="95" spans="1:22" x14ac:dyDescent="0.25">
      <c r="A95" s="337" t="s">
        <v>780</v>
      </c>
      <c r="B95" s="443" t="s">
        <v>1067</v>
      </c>
      <c r="C95" s="444" t="s">
        <v>280</v>
      </c>
      <c r="D95" s="445" t="str" cm="1">
        <f t="array" ref="D95">_xlfn.TEXTJOIN("",TRUE,IF(ISNUMBER(SEARCH($A95,'Diags Raw Data'!$A$6:$A$3821)),CONCATENATE('Diags Raw Data'!$H$6:$H$3821,", "),""))</f>
        <v xml:space="preserve">DIO386, </v>
      </c>
      <c r="E95" s="342" t="str">
        <f>VLOOKUP(A95,'Diags Raw Data'!$A$6:$D$3821,4,FALSE)</f>
        <v>DIO</v>
      </c>
      <c r="F95" s="342" t="str">
        <f>VLOOKUP(A95,'Feature Raw Data'!$A$3:$E$3998,5,FALSE)</f>
        <v>Legacy</v>
      </c>
      <c r="G95" s="342" t="str">
        <f t="shared" si="12"/>
        <v>Yes</v>
      </c>
      <c r="H95" s="342" t="str">
        <f t="shared" si="13"/>
        <v>Yes</v>
      </c>
      <c r="I95" s="444">
        <f>SUMIF('Diags Raw Data'!$A$6:$A$3821,"*"&amp;$A95&amp;"*",'Diags Raw Data'!$K$6:$K$3821)</f>
        <v>1</v>
      </c>
      <c r="J95" s="446">
        <f>SUMIF('Diags Raw Data'!$A$6:$A$3821,"*"&amp;$A95&amp;"*",'Diags Raw Data'!$L$6:$L$3821)</f>
        <v>3</v>
      </c>
      <c r="K95" s="491" cm="1">
        <f t="array" ref="K95">IF(D95="",0, SUMPRODUCT(--(ISNUMBER(SEARCH($A95,'Diags Raw Data'!$A$6:$A$3821))),'Diags Raw Data'!$L$6:$L$3821,'Diags Raw Data'!$N$6:$N$3821)/J95)</f>
        <v>1</v>
      </c>
      <c r="L95" s="492" cm="1">
        <f t="array" ref="L95">IF(D95="",0, SUMPRODUCT(--(ISNUMBER(SEARCH($A95,'Diags Raw Data'!$A$6:$A$3821))),'Diags Raw Data'!$L$6:$L$3821,'Diags Raw Data'!$P$6:$P$3821)/J95)</f>
        <v>1</v>
      </c>
      <c r="M95" s="493" cm="1">
        <f t="array" ref="M95">SUMPRODUCT(--(ISNUMBER(SEARCH($A95,'Diags Raw Data'!$A$6:$A$3821))),--('Diags Raw Data'!$Q$6:$Q$3821&lt;&gt;"N/A"),'Diags Raw Data'!$R$6:$R$3821)</f>
        <v>3</v>
      </c>
      <c r="N95" s="494" cm="1">
        <f t="array" ref="N95">SUMPRODUCT(--(ISNUMBER(SEARCH($A95,'Diags Raw Data'!$A$6:$A$3821))),--('Diags Raw Data'!$Q$6:$Q$3821&lt;&gt;"N/A"),'Diags Raw Data'!$T$6:$T$3821)+SUMPRODUCT(--(ISNUMBER(SEARCH($A95,'Diags Raw Data'!$A$6:$A$3821))),--('Diags Raw Data'!$Q$6:$Q$3821&lt;&gt;"N/A"),'Diags Raw Data'!$U$6:$U$3821)</f>
        <v>0</v>
      </c>
      <c r="O95" s="495">
        <f t="shared" si="14"/>
        <v>0</v>
      </c>
      <c r="P95" s="496">
        <v>0</v>
      </c>
      <c r="Q95" s="497">
        <f>SUM(SUMIF('Diags Raw Data'!$A$6:$A$3821,"*"&amp;$A95&amp;"*",'Diags Raw Data'!$AA$6:$AA$3821),SUMIF('Diags Raw Data'!$A$6:$A$3821,"*"&amp;$A95&amp;"*",'Diags Raw Data'!$AB$6:$AB$3821))</f>
        <v>0</v>
      </c>
      <c r="R95" s="498">
        <f t="shared" si="15"/>
        <v>0</v>
      </c>
      <c r="S95" s="498">
        <f t="shared" si="16"/>
        <v>0</v>
      </c>
      <c r="T95" s="499">
        <f t="shared" si="17"/>
        <v>0</v>
      </c>
      <c r="U95" s="447" t="s">
        <v>944</v>
      </c>
      <c r="V95" s="182"/>
    </row>
    <row r="96" spans="1:22" ht="15.75" thickBot="1" x14ac:dyDescent="0.3">
      <c r="A96" s="339" t="s">
        <v>872</v>
      </c>
      <c r="B96" s="443" t="s">
        <v>1068</v>
      </c>
      <c r="C96" s="444" t="s">
        <v>280</v>
      </c>
      <c r="D96" s="445" t="str" cm="1">
        <f t="array" ref="D96">_xlfn.TEXTJOIN("",TRUE,IF(ISNUMBER(SEARCH($A96,'Diags Raw Data'!$A$6:$A$3821)),CONCATENATE('Diags Raw Data'!$H$6:$H$3821,", "),""))</f>
        <v xml:space="preserve">CE012, </v>
      </c>
      <c r="E96" s="342" t="str">
        <f>VLOOKUP(A96,'Diags Raw Data'!$A$6:$D$3821,4,FALSE)</f>
        <v>CE</v>
      </c>
      <c r="F96" s="342" t="str">
        <f>VLOOKUP(A96,'Feature Raw Data'!$A$3:$E$3998,5,FALSE)</f>
        <v>Legacy</v>
      </c>
      <c r="G96" s="342" t="str">
        <f t="shared" si="12"/>
        <v>Yes</v>
      </c>
      <c r="H96" s="342" t="str">
        <f t="shared" si="13"/>
        <v>Yes</v>
      </c>
      <c r="I96" s="444">
        <f>SUMIF('Diags Raw Data'!$A$6:$A$3821,"*"&amp;$A96&amp;"*",'Diags Raw Data'!$K$6:$K$3821)</f>
        <v>1</v>
      </c>
      <c r="J96" s="446">
        <f>SUMIF('Diags Raw Data'!$A$6:$A$3821,"*"&amp;$A96&amp;"*",'Diags Raw Data'!$L$6:$L$3821)</f>
        <v>1</v>
      </c>
      <c r="K96" s="491" cm="1">
        <f t="array" ref="K96">IF(D96="",0, SUMPRODUCT(--(ISNUMBER(SEARCH($A96,'Diags Raw Data'!$A$6:$A$3821))),'Diags Raw Data'!$L$6:$L$3821,'Diags Raw Data'!$N$6:$N$3821)/J96)</f>
        <v>1</v>
      </c>
      <c r="L96" s="492" cm="1">
        <f t="array" ref="L96">IF(D96="",0, SUMPRODUCT(--(ISNUMBER(SEARCH($A96,'Diags Raw Data'!$A$6:$A$3821))),'Diags Raw Data'!$L$6:$L$3821,'Diags Raw Data'!$P$6:$P$3821)/J96)</f>
        <v>1</v>
      </c>
      <c r="M96" s="493" cm="1">
        <f t="array" ref="M96">SUMPRODUCT(--(ISNUMBER(SEARCH($A96,'Diags Raw Data'!$A$6:$A$3821))),--('Diags Raw Data'!$Q$6:$Q$3821&lt;&gt;"N/A"),'Diags Raw Data'!$R$6:$R$3821)</f>
        <v>2</v>
      </c>
      <c r="N96" s="494" cm="1">
        <f t="array" ref="N96">SUMPRODUCT(--(ISNUMBER(SEARCH($A96,'Diags Raw Data'!$A$6:$A$3821))),--('Diags Raw Data'!$Q$6:$Q$3821&lt;&gt;"N/A"),'Diags Raw Data'!$T$6:$T$3821)+SUMPRODUCT(--(ISNUMBER(SEARCH($A96,'Diags Raw Data'!$A$6:$A$3821))),--('Diags Raw Data'!$Q$6:$Q$3821&lt;&gt;"N/A"),'Diags Raw Data'!$U$6:$U$3821)</f>
        <v>0</v>
      </c>
      <c r="O96" s="495">
        <f t="shared" si="14"/>
        <v>0</v>
      </c>
      <c r="P96" s="496">
        <v>0</v>
      </c>
      <c r="Q96" s="497">
        <f>SUM(SUMIF('Diags Raw Data'!$A$6:$A$3821,"*"&amp;$A96&amp;"*",'Diags Raw Data'!$AA$6:$AA$3821),SUMIF('Diags Raw Data'!$A$6:$A$3821,"*"&amp;$A96&amp;"*",'Diags Raw Data'!$AB$6:$AB$3821))</f>
        <v>0</v>
      </c>
      <c r="R96" s="498">
        <f t="shared" si="15"/>
        <v>0</v>
      </c>
      <c r="S96" s="498">
        <f t="shared" si="16"/>
        <v>0</v>
      </c>
      <c r="T96" s="499">
        <f t="shared" si="17"/>
        <v>0</v>
      </c>
      <c r="U96" s="447" t="s">
        <v>944</v>
      </c>
      <c r="V96" s="182"/>
    </row>
    <row r="97" spans="1:22" ht="15.75" thickBot="1" x14ac:dyDescent="0.3">
      <c r="A97" s="339" t="s">
        <v>876</v>
      </c>
      <c r="B97" s="443" t="s">
        <v>1069</v>
      </c>
      <c r="C97" s="444" t="s">
        <v>280</v>
      </c>
      <c r="D97" s="445" t="str" cm="1">
        <f t="array" ref="D97">_xlfn.TEXTJOIN("",TRUE,IF(ISNUMBER(SEARCH($A97,'Diags Raw Data'!$A$6:$A$3821)),CONCATENATE('Diags Raw Data'!$H$6:$H$3821,", "),""))</f>
        <v xml:space="preserve">CE013, </v>
      </c>
      <c r="E97" s="342" t="str">
        <f>VLOOKUP(A97,'Diags Raw Data'!$A$6:$D$3821,4,FALSE)</f>
        <v>CE</v>
      </c>
      <c r="F97" s="342" t="str">
        <f>VLOOKUP(A97,'Feature Raw Data'!$A$3:$E$3998,5,FALSE)</f>
        <v>Legacy</v>
      </c>
      <c r="G97" s="342" t="str">
        <f t="shared" si="12"/>
        <v>Yes</v>
      </c>
      <c r="H97" s="342" t="str">
        <f t="shared" si="13"/>
        <v>Yes</v>
      </c>
      <c r="I97" s="444">
        <f>SUMIF('Diags Raw Data'!$A$6:$A$3821,"*"&amp;$A97&amp;"*",'Diags Raw Data'!$K$6:$K$3821)</f>
        <v>1</v>
      </c>
      <c r="J97" s="446">
        <f>SUMIF('Diags Raw Data'!$A$6:$A$3821,"*"&amp;$A97&amp;"*",'Diags Raw Data'!$L$6:$L$3821)</f>
        <v>3</v>
      </c>
      <c r="K97" s="491" cm="1">
        <f t="array" ref="K97">IF(D97="",0, SUMPRODUCT(--(ISNUMBER(SEARCH($A97,'Diags Raw Data'!$A$6:$A$3821))),'Diags Raw Data'!$L$6:$L$3821,'Diags Raw Data'!$N$6:$N$3821)/J97)</f>
        <v>1</v>
      </c>
      <c r="L97" s="492" cm="1">
        <f t="array" ref="L97">IF(D97="",0, SUMPRODUCT(--(ISNUMBER(SEARCH($A97,'Diags Raw Data'!$A$6:$A$3821))),'Diags Raw Data'!$L$6:$L$3821,'Diags Raw Data'!$P$6:$P$3821)/J97)</f>
        <v>1</v>
      </c>
      <c r="M97" s="493" cm="1">
        <f t="array" ref="M97">SUMPRODUCT(--(ISNUMBER(SEARCH($A97,'Diags Raw Data'!$A$6:$A$3821))),--('Diags Raw Data'!$Q$6:$Q$3821&lt;&gt;"N/A"),'Diags Raw Data'!$R$6:$R$3821)</f>
        <v>4</v>
      </c>
      <c r="N97" s="494" cm="1">
        <f t="array" ref="N97">SUMPRODUCT(--(ISNUMBER(SEARCH($A97,'Diags Raw Data'!$A$6:$A$3821))),--('Diags Raw Data'!$Q$6:$Q$3821&lt;&gt;"N/A"),'Diags Raw Data'!$T$6:$T$3821)+SUMPRODUCT(--(ISNUMBER(SEARCH($A97,'Diags Raw Data'!$A$6:$A$3821))),--('Diags Raw Data'!$Q$6:$Q$3821&lt;&gt;"N/A"),'Diags Raw Data'!$U$6:$U$3821)</f>
        <v>0</v>
      </c>
      <c r="O97" s="495">
        <f t="shared" si="14"/>
        <v>0</v>
      </c>
      <c r="P97" s="496">
        <v>0</v>
      </c>
      <c r="Q97" s="497">
        <f>SUM(SUMIF('Diags Raw Data'!$A$6:$A$3821,"*"&amp;$A97&amp;"*",'Diags Raw Data'!$AA$6:$AA$3821),SUMIF('Diags Raw Data'!$A$6:$A$3821,"*"&amp;$A97&amp;"*",'Diags Raw Data'!$AB$6:$AB$3821))</f>
        <v>0</v>
      </c>
      <c r="R97" s="498">
        <f t="shared" si="15"/>
        <v>0</v>
      </c>
      <c r="S97" s="498">
        <f t="shared" si="16"/>
        <v>0</v>
      </c>
      <c r="T97" s="499">
        <f t="shared" si="17"/>
        <v>0</v>
      </c>
      <c r="U97" s="447" t="s">
        <v>47</v>
      </c>
      <c r="V97" s="182"/>
    </row>
    <row r="98" spans="1:22" ht="15.75" thickBot="1" x14ac:dyDescent="0.3">
      <c r="A98" s="339" t="s">
        <v>840</v>
      </c>
      <c r="B98" s="443" t="s">
        <v>1070</v>
      </c>
      <c r="C98" s="444" t="s">
        <v>280</v>
      </c>
      <c r="D98" s="445" t="str" cm="1">
        <f t="array" ref="D98">_xlfn.TEXTJOIN("",TRUE,IF(ISNUMBER(SEARCH($A98,'Diags Raw Data'!$A$6:$A$3821)),CONCATENATE('Diags Raw Data'!$H$6:$H$3821,", "),""))</f>
        <v xml:space="preserve">DWB002, DWB018, </v>
      </c>
      <c r="E98" s="342" t="str">
        <f>VLOOKUP(A98,'Diags Raw Data'!$A$6:$D$3821,4,FALSE)</f>
        <v>DWB</v>
      </c>
      <c r="F98" s="342" t="str">
        <f>VLOOKUP(A98,'Feature Raw Data'!$A$3:$E$3998,5,FALSE)</f>
        <v>Legacy</v>
      </c>
      <c r="G98" s="342" t="str">
        <f t="shared" si="0"/>
        <v>Yes</v>
      </c>
      <c r="H98" s="342" t="str">
        <f t="shared" si="1"/>
        <v>Yes</v>
      </c>
      <c r="I98" s="444">
        <f>SUMIF('Diags Raw Data'!$A$6:$A$3821,"*"&amp;$A98&amp;"*",'Diags Raw Data'!$K$6:$K$3821)</f>
        <v>2</v>
      </c>
      <c r="J98" s="446">
        <f>SUMIF('Diags Raw Data'!$A$6:$A$3821,"*"&amp;$A98&amp;"*",'Diags Raw Data'!$L$6:$L$3821)</f>
        <v>4</v>
      </c>
      <c r="K98" s="491" cm="1">
        <f t="array" ref="K98">IF(D98="",0, SUMPRODUCT(--(ISNUMBER(SEARCH($A98,'Diags Raw Data'!$A$6:$A$3821))),'Diags Raw Data'!$L$6:$L$3821,'Diags Raw Data'!$N$6:$N$3821)/J98)</f>
        <v>1</v>
      </c>
      <c r="L98" s="492" cm="1">
        <f t="array" ref="L98">IF(D98="",0, SUMPRODUCT(--(ISNUMBER(SEARCH($A98,'Diags Raw Data'!$A$6:$A$3821))),'Diags Raw Data'!$L$6:$L$3821,'Diags Raw Data'!$P$6:$P$3821)/J98)</f>
        <v>1</v>
      </c>
      <c r="M98" s="493" cm="1">
        <f t="array" ref="M98">SUMPRODUCT(--(ISNUMBER(SEARCH($A98,'Diags Raw Data'!$A$6:$A$3821))),--('Diags Raw Data'!$Q$6:$Q$3821&lt;&gt;"N/A"),'Diags Raw Data'!$R$6:$R$3821)</f>
        <v>4</v>
      </c>
      <c r="N98" s="494" cm="1">
        <f t="array" ref="N98">SUMPRODUCT(--(ISNUMBER(SEARCH($A98,'Diags Raw Data'!$A$6:$A$3821))),--('Diags Raw Data'!$Q$6:$Q$3821&lt;&gt;"N/A"),'Diags Raw Data'!$T$6:$T$3821)+SUMPRODUCT(--(ISNUMBER(SEARCH($A98,'Diags Raw Data'!$A$6:$A$3821))),--('Diags Raw Data'!$Q$6:$Q$3821&lt;&gt;"N/A"),'Diags Raw Data'!$U$6:$U$3821)</f>
        <v>0</v>
      </c>
      <c r="O98" s="495">
        <f t="shared" si="2"/>
        <v>0</v>
      </c>
      <c r="P98" s="496">
        <v>0</v>
      </c>
      <c r="Q98" s="497">
        <f>SUM(SUMIF('Diags Raw Data'!$A$6:$A$3821,"*"&amp;$A98&amp;"*",'Diags Raw Data'!$AA$6:$AA$3821),SUMIF('Diags Raw Data'!$A$6:$A$3821,"*"&amp;$A98&amp;"*",'Diags Raw Data'!$AB$6:$AB$3821))</f>
        <v>0</v>
      </c>
      <c r="R98" s="498">
        <f t="shared" si="3"/>
        <v>0</v>
      </c>
      <c r="S98" s="498">
        <f t="shared" si="4"/>
        <v>0</v>
      </c>
      <c r="T98" s="499">
        <f t="shared" si="5"/>
        <v>0</v>
      </c>
      <c r="U98" s="447" t="s">
        <v>47</v>
      </c>
      <c r="V98" s="182"/>
    </row>
    <row r="99" spans="1:22" s="185" customFormat="1" ht="15.75" thickBot="1" x14ac:dyDescent="0.3">
      <c r="A99" s="339" t="s">
        <v>1071</v>
      </c>
      <c r="B99" s="443" t="s">
        <v>1072</v>
      </c>
      <c r="C99" s="444" t="s">
        <v>280</v>
      </c>
      <c r="D99" s="445" t="str" cm="1">
        <f t="array" ref="D99">_xlfn.TEXTJOIN("",TRUE,IF(ISNUMBER(SEARCH($A99,'Diags Raw Data'!$A$6:$A$3821)),CONCATENATE('Diags Raw Data'!$H$6:$H$3821,", "),""))</f>
        <v xml:space="preserve">DMU001, DMU003, </v>
      </c>
      <c r="E99" s="342" t="e">
        <f>VLOOKUP(A99,'Diags Raw Data'!$A$6:$D$3821,4,FALSE)</f>
        <v>#N/A</v>
      </c>
      <c r="F99" s="342" t="str">
        <f>VLOOKUP(A99,'Feature Raw Data'!$A$3:$E$3998,5,FALSE)</f>
        <v>Legacy</v>
      </c>
      <c r="G99" s="342" t="str">
        <f t="shared" si="0"/>
        <v>Yes</v>
      </c>
      <c r="H99" s="342" t="str">
        <f t="shared" si="1"/>
        <v>Yes</v>
      </c>
      <c r="I99" s="444">
        <f>SUMIF('Diags Raw Data'!$A$6:$A$3821,"*"&amp;$A99&amp;"*",'Diags Raw Data'!$K$6:$K$3821)</f>
        <v>2</v>
      </c>
      <c r="J99" s="446">
        <f>SUMIF('Diags Raw Data'!$A$6:$A$3821,"*"&amp;$A99&amp;"*",'Diags Raw Data'!$L$6:$L$3821)</f>
        <v>4</v>
      </c>
      <c r="K99" s="491" cm="1">
        <f t="array" ref="K99">IF(D99="",0, SUMPRODUCT(--(ISNUMBER(SEARCH($A99,'Diags Raw Data'!$A$6:$A$3821))),'Diags Raw Data'!$L$6:$L$3821,'Diags Raw Data'!$N$6:$N$3821)/J99)</f>
        <v>1</v>
      </c>
      <c r="L99" s="492" cm="1">
        <f t="array" ref="L99">IF(D99="",0, SUMPRODUCT(--(ISNUMBER(SEARCH($A99,'Diags Raw Data'!$A$6:$A$3821))),'Diags Raw Data'!$L$6:$L$3821,'Diags Raw Data'!$P$6:$P$3821)/J99)</f>
        <v>1</v>
      </c>
      <c r="M99" s="493" cm="1">
        <f t="array" ref="M99">SUMPRODUCT(--(ISNUMBER(SEARCH($A99,'Diags Raw Data'!$A$6:$A$3821))),--('Diags Raw Data'!$Q$6:$Q$3821&lt;&gt;"N/A"),'Diags Raw Data'!$R$6:$R$3821)</f>
        <v>2</v>
      </c>
      <c r="N99" s="494" cm="1">
        <f t="array" ref="N99">SUMPRODUCT(--(ISNUMBER(SEARCH($A99,'Diags Raw Data'!$A$6:$A$3821))),--('Diags Raw Data'!$Q$6:$Q$3821&lt;&gt;"N/A"),'Diags Raw Data'!$T$6:$T$3821)+SUMPRODUCT(--(ISNUMBER(SEARCH($A99,'Diags Raw Data'!$A$6:$A$3821))),--('Diags Raw Data'!$Q$6:$Q$3821&lt;&gt;"N/A"),'Diags Raw Data'!$U$6:$U$3821)</f>
        <v>0</v>
      </c>
      <c r="O99" s="495">
        <f t="shared" si="2"/>
        <v>0</v>
      </c>
      <c r="P99" s="496">
        <v>0</v>
      </c>
      <c r="Q99" s="497">
        <f>SUM(SUMIF('Diags Raw Data'!$A$6:$A$3821,"*"&amp;$A99&amp;"*",'Diags Raw Data'!$AA$6:$AA$3821),SUMIF('Diags Raw Data'!$A$6:$A$3821,"*"&amp;$A99&amp;"*",'Diags Raw Data'!$AB$6:$AB$3821))</f>
        <v>0</v>
      </c>
      <c r="R99" s="498">
        <f t="shared" si="3"/>
        <v>0</v>
      </c>
      <c r="S99" s="498">
        <f t="shared" si="4"/>
        <v>0</v>
      </c>
      <c r="T99" s="499">
        <f t="shared" si="5"/>
        <v>0</v>
      </c>
      <c r="U99" s="447" t="s">
        <v>47</v>
      </c>
      <c r="V99" s="184"/>
    </row>
    <row r="100" spans="1:22" ht="15.75" thickBot="1" x14ac:dyDescent="0.3">
      <c r="A100" s="339" t="s">
        <v>1073</v>
      </c>
      <c r="B100" s="443" t="s">
        <v>1074</v>
      </c>
      <c r="C100" s="444" t="s">
        <v>280</v>
      </c>
      <c r="D100" s="445" t="str" cm="1">
        <f t="array" ref="D100">_xlfn.TEXTJOIN("",TRUE,IF(ISNUMBER(SEARCH($A100,'Diags Raw Data'!$A$6:$A$3821)),CONCATENATE('Diags Raw Data'!$H$6:$H$3821,", "),""))</f>
        <v xml:space="preserve">DCHB004, </v>
      </c>
      <c r="E100" s="342" t="e">
        <f>VLOOKUP(A100,'Diags Raw Data'!$A$6:$D$3821,4,FALSE)</f>
        <v>#N/A</v>
      </c>
      <c r="F100" s="342" t="str">
        <f>VLOOKUP(A100,'Feature Raw Data'!$A$3:$E$3998,5,FALSE)</f>
        <v>Legacy</v>
      </c>
      <c r="G100" s="342" t="str">
        <f t="shared" ref="G100:G127" si="18">IF(D100="","No","Yes")</f>
        <v>Yes</v>
      </c>
      <c r="H100" s="342" t="str">
        <f t="shared" ref="H100:H127" si="19">IF(D100="","No","Yes")</f>
        <v>Yes</v>
      </c>
      <c r="I100" s="444">
        <f>SUMIF('Diags Raw Data'!$A$6:$A$3821,"*"&amp;$A100&amp;"*",'Diags Raw Data'!$K$6:$K$3821)</f>
        <v>1</v>
      </c>
      <c r="J100" s="446">
        <f>SUMIF('Diags Raw Data'!$A$6:$A$3821,"*"&amp;$A100&amp;"*",'Diags Raw Data'!$L$6:$L$3821)</f>
        <v>15</v>
      </c>
      <c r="K100" s="491" cm="1">
        <f t="array" ref="K100">IF(D100="",0, SUMPRODUCT(--(ISNUMBER(SEARCH($A100,'Diags Raw Data'!$A$6:$A$3821))),'Diags Raw Data'!$L$6:$L$3821,'Diags Raw Data'!$N$6:$N$3821)/J100)</f>
        <v>1</v>
      </c>
      <c r="L100" s="492" cm="1">
        <f t="array" ref="L100">IF(D100="",0, SUMPRODUCT(--(ISNUMBER(SEARCH($A100,'Diags Raw Data'!$A$6:$A$3821))),'Diags Raw Data'!$L$6:$L$3821,'Diags Raw Data'!$P$6:$P$3821)/J100)</f>
        <v>1</v>
      </c>
      <c r="M100" s="493" cm="1">
        <f t="array" ref="M100">SUMPRODUCT(--(ISNUMBER(SEARCH($A100,'Diags Raw Data'!$A$6:$A$3821))),--('Diags Raw Data'!$Q$6:$Q$3821&lt;&gt;"N/A"),'Diags Raw Data'!$R$6:$R$3821)</f>
        <v>24</v>
      </c>
      <c r="N100" s="494" cm="1">
        <f t="array" ref="N100">SUMPRODUCT(--(ISNUMBER(SEARCH($A100,'Diags Raw Data'!$A$6:$A$3821))),--('Diags Raw Data'!$Q$6:$Q$3821&lt;&gt;"N/A"),'Diags Raw Data'!$T$6:$T$3821)+SUMPRODUCT(--(ISNUMBER(SEARCH($A100,'Diags Raw Data'!$A$6:$A$3821))),--('Diags Raw Data'!$Q$6:$Q$3821&lt;&gt;"N/A"),'Diags Raw Data'!$U$6:$U$3821)</f>
        <v>0</v>
      </c>
      <c r="O100" s="495">
        <f t="shared" si="2"/>
        <v>0</v>
      </c>
      <c r="P100" s="496">
        <f>SUMIF('Diags Raw Data'!$A$6:$A$3821,"*"&amp;$A100&amp;"*",'Diags Raw Data'!$Z$6:$Z$3821)</f>
        <v>0</v>
      </c>
      <c r="Q100" s="497">
        <f>SUM(SUMIF('Diags Raw Data'!$A$6:$A$3821,"*"&amp;$A100&amp;"*",'Diags Raw Data'!$AA$6:$AA$3821),SUMIF('Diags Raw Data'!$A$6:$A$3821,"*"&amp;$A100&amp;"*",'Diags Raw Data'!$AB$6:$AB$3821))</f>
        <v>0</v>
      </c>
      <c r="R100" s="498">
        <f t="shared" si="3"/>
        <v>0</v>
      </c>
      <c r="S100" s="498">
        <f t="shared" si="4"/>
        <v>0</v>
      </c>
      <c r="T100" s="499">
        <f t="shared" si="5"/>
        <v>0</v>
      </c>
      <c r="U100" s="447" t="s">
        <v>47</v>
      </c>
      <c r="V100" s="182"/>
    </row>
    <row r="101" spans="1:22" ht="15.75" thickBot="1" x14ac:dyDescent="0.3">
      <c r="A101" s="339" t="s">
        <v>1075</v>
      </c>
      <c r="B101" s="443" t="s">
        <v>1076</v>
      </c>
      <c r="C101" s="444" t="s">
        <v>280</v>
      </c>
      <c r="D101" s="445" t="str" cm="1">
        <f t="array" ref="D101">_xlfn.TEXTJOIN("",TRUE,IF(ISNUMBER(SEARCH($A101,'Diags Raw Data'!$A$6:$A$3821)),CONCATENATE('Diags Raw Data'!$H$6:$H$3821,", "),""))</f>
        <v xml:space="preserve">OTG800, OTG804, OTG805, </v>
      </c>
      <c r="E101" s="342" t="e">
        <f>VLOOKUP(A101,'Diags Raw Data'!$A$6:$D$3821,4,FALSE)</f>
        <v>#N/A</v>
      </c>
      <c r="F101" s="342" t="str">
        <f>VLOOKUP(A101,'Feature Raw Data'!$A$3:$E$3998,5,FALSE)</f>
        <v>Legacy</v>
      </c>
      <c r="G101" s="342" t="str">
        <f t="shared" si="18"/>
        <v>Yes</v>
      </c>
      <c r="H101" s="342" t="str">
        <f t="shared" si="19"/>
        <v>Yes</v>
      </c>
      <c r="I101" s="444">
        <f>SUMIF('Diags Raw Data'!$A$6:$A$3821,"*"&amp;$A101&amp;"*",'Diags Raw Data'!$K$6:$K$3821)</f>
        <v>3</v>
      </c>
      <c r="J101" s="446">
        <f>SUMIF('Diags Raw Data'!$A$6:$A$3821,"*"&amp;$A101&amp;"*",'Diags Raw Data'!$L$6:$L$3821)</f>
        <v>4</v>
      </c>
      <c r="K101" s="491" cm="1">
        <f t="array" ref="K101">IF(D101="",0, SUMPRODUCT(--(ISNUMBER(SEARCH($A101,'Diags Raw Data'!$A$6:$A$3821))),'Diags Raw Data'!$L$6:$L$3821,'Diags Raw Data'!$N$6:$N$3821)/J101)</f>
        <v>1</v>
      </c>
      <c r="L101" s="492" cm="1">
        <f t="array" ref="L101">IF(D101="",0, SUMPRODUCT(--(ISNUMBER(SEARCH($A101,'Diags Raw Data'!$A$6:$A$3821))),'Diags Raw Data'!$L$6:$L$3821,'Diags Raw Data'!$P$6:$P$3821)/J101)</f>
        <v>1</v>
      </c>
      <c r="M101" s="493" cm="1">
        <f t="array" ref="M101">SUMPRODUCT(--(ISNUMBER(SEARCH($A101,'Diags Raw Data'!$A$6:$A$3821))),--('Diags Raw Data'!$Q$6:$Q$3821&lt;&gt;"N/A"),'Diags Raw Data'!$R$6:$R$3821)</f>
        <v>4</v>
      </c>
      <c r="N101" s="494" cm="1">
        <f t="array" ref="N101">SUMPRODUCT(--(ISNUMBER(SEARCH($A101,'Diags Raw Data'!$A$6:$A$3821))),--('Diags Raw Data'!$Q$6:$Q$3821&lt;&gt;"N/A"),'Diags Raw Data'!$T$6:$T$3821)+SUMPRODUCT(--(ISNUMBER(SEARCH($A101,'Diags Raw Data'!$A$6:$A$3821))),--('Diags Raw Data'!$Q$6:$Q$3821&lt;&gt;"N/A"),'Diags Raw Data'!$U$6:$U$3821)</f>
        <v>0</v>
      </c>
      <c r="O101" s="495">
        <f t="shared" si="2"/>
        <v>0</v>
      </c>
      <c r="P101" s="496">
        <f>SUMIF('Diags Raw Data'!$A$6:$A$3821,"*"&amp;$A101&amp;"*",'Diags Raw Data'!$Z$6:$Z$3821)</f>
        <v>0</v>
      </c>
      <c r="Q101" s="497">
        <f>SUM(SUMIF('Diags Raw Data'!$A$6:$A$3821,"*"&amp;$A101&amp;"*",'Diags Raw Data'!$AA$6:$AA$3821),SUMIF('Diags Raw Data'!$A$6:$A$3821,"*"&amp;$A101&amp;"*",'Diags Raw Data'!$AB$6:$AB$3821))</f>
        <v>0</v>
      </c>
      <c r="R101" s="498">
        <f t="shared" si="3"/>
        <v>0</v>
      </c>
      <c r="S101" s="498">
        <f t="shared" si="4"/>
        <v>0</v>
      </c>
      <c r="T101" s="499">
        <f t="shared" si="5"/>
        <v>0</v>
      </c>
      <c r="U101" s="447" t="s">
        <v>47</v>
      </c>
      <c r="V101" s="182"/>
    </row>
    <row r="102" spans="1:22" ht="15.75" thickBot="1" x14ac:dyDescent="0.3">
      <c r="A102" s="339" t="s">
        <v>885</v>
      </c>
      <c r="B102" s="443" t="s">
        <v>1077</v>
      </c>
      <c r="C102" s="444" t="s">
        <v>280</v>
      </c>
      <c r="D102" s="445" t="str" cm="1">
        <f t="array" ref="D102">_xlfn.TEXTJOIN("",TRUE,IF(ISNUMBER(SEARCH($A102,'Diags Raw Data'!$A$6:$A$3821)),CONCATENATE('Diags Raw Data'!$H$6:$H$3821,", "),""))</f>
        <v xml:space="preserve">DMU002, </v>
      </c>
      <c r="E102" s="342" t="str">
        <f>VLOOKUP(A102,'Diags Raw Data'!$A$6:$D$3821,4,FALSE)</f>
        <v>DMU</v>
      </c>
      <c r="F102" s="342" t="str">
        <f>VLOOKUP(A102,'Feature Raw Data'!$A$3:$E$3998,5,FALSE)</f>
        <v>Legacy</v>
      </c>
      <c r="G102" s="342" t="str">
        <f t="shared" si="18"/>
        <v>Yes</v>
      </c>
      <c r="H102" s="342" t="str">
        <f t="shared" si="19"/>
        <v>Yes</v>
      </c>
      <c r="I102" s="444">
        <f>SUMIF('Diags Raw Data'!$A$6:$A$3821,"*"&amp;$A102&amp;"*",'Diags Raw Data'!$K$6:$K$3821)</f>
        <v>1</v>
      </c>
      <c r="J102" s="446">
        <f>SUMIF('Diags Raw Data'!$A$6:$A$3821,"*"&amp;$A102&amp;"*",'Diags Raw Data'!$L$6:$L$3821)</f>
        <v>1</v>
      </c>
      <c r="K102" s="491" cm="1">
        <f t="array" ref="K102">IF(D102="",0, SUMPRODUCT(--(ISNUMBER(SEARCH($A102,'Diags Raw Data'!$A$6:$A$3821))),'Diags Raw Data'!$L$6:$L$3821,'Diags Raw Data'!$N$6:$N$3821)/J102)</f>
        <v>1</v>
      </c>
      <c r="L102" s="492" cm="1">
        <f t="array" ref="L102">IF(D102="",0, SUMPRODUCT(--(ISNUMBER(SEARCH($A102,'Diags Raw Data'!$A$6:$A$3821))),'Diags Raw Data'!$L$6:$L$3821,'Diags Raw Data'!$P$6:$P$3821)/J102)</f>
        <v>1</v>
      </c>
      <c r="M102" s="493" cm="1">
        <f t="array" ref="M102">SUMPRODUCT(--(ISNUMBER(SEARCH($A102,'Diags Raw Data'!$A$6:$A$3821))),--('Diags Raw Data'!$Q$6:$Q$3821&lt;&gt;"N/A"),'Diags Raw Data'!$R$6:$R$3821)</f>
        <v>1</v>
      </c>
      <c r="N102" s="494" cm="1">
        <f t="array" ref="N102">SUMPRODUCT(--(ISNUMBER(SEARCH($A102,'Diags Raw Data'!$A$6:$A$3821))),--('Diags Raw Data'!$Q$6:$Q$3821&lt;&gt;"N/A"),'Diags Raw Data'!$T$6:$T$3821)+SUMPRODUCT(--(ISNUMBER(SEARCH($A102,'Diags Raw Data'!$A$6:$A$3821))),--('Diags Raw Data'!$Q$6:$Q$3821&lt;&gt;"N/A"),'Diags Raw Data'!$U$6:$U$3821)</f>
        <v>0</v>
      </c>
      <c r="O102" s="495">
        <f t="shared" si="2"/>
        <v>0</v>
      </c>
      <c r="P102" s="496">
        <v>0</v>
      </c>
      <c r="Q102" s="497">
        <f>SUM(SUMIF('Diags Raw Data'!$A$6:$A$3821,"*"&amp;$A102&amp;"*",'Diags Raw Data'!$AA$6:$AA$3821),SUMIF('Diags Raw Data'!$A$6:$A$3821,"*"&amp;$A102&amp;"*",'Diags Raw Data'!$AB$6:$AB$3821))</f>
        <v>0</v>
      </c>
      <c r="R102" s="498">
        <f t="shared" si="3"/>
        <v>0</v>
      </c>
      <c r="S102" s="498">
        <f t="shared" si="4"/>
        <v>0</v>
      </c>
      <c r="T102" s="499">
        <f t="shared" si="5"/>
        <v>0</v>
      </c>
      <c r="U102" s="447" t="s">
        <v>47</v>
      </c>
      <c r="V102" s="182"/>
    </row>
    <row r="103" spans="1:22" ht="15.75" thickBot="1" x14ac:dyDescent="0.3">
      <c r="A103" s="339" t="s">
        <v>898</v>
      </c>
      <c r="B103" s="443" t="s">
        <v>1078</v>
      </c>
      <c r="C103" s="444" t="s">
        <v>280</v>
      </c>
      <c r="D103" s="445" t="str" cm="1">
        <f t="array" ref="D103">_xlfn.TEXTJOIN("",TRUE,IF(ISNUMBER(SEARCH($A103,'Diags Raw Data'!$A$6:$A$3821)),CONCATENATE('Diags Raw Data'!$H$6:$H$3821,", "),""))</f>
        <v xml:space="preserve">DISP002, </v>
      </c>
      <c r="E103" s="342" t="str">
        <f>VLOOKUP(A103,'Diags Raw Data'!$A$6:$D$3821,4,FALSE)</f>
        <v>DISP</v>
      </c>
      <c r="F103" s="342" t="str">
        <f>VLOOKUP(A103,'Feature Raw Data'!$A$3:$E$3998,5,FALSE)</f>
        <v>Legacy</v>
      </c>
      <c r="G103" s="342" t="str">
        <f t="shared" si="18"/>
        <v>Yes</v>
      </c>
      <c r="H103" s="342" t="str">
        <f t="shared" si="19"/>
        <v>Yes</v>
      </c>
      <c r="I103" s="444">
        <f>SUMIF('Diags Raw Data'!$A$6:$A$3821,"*"&amp;$A103&amp;"*",'Diags Raw Data'!$K$6:$K$3821)</f>
        <v>1</v>
      </c>
      <c r="J103" s="446">
        <f>SUMIF('Diags Raw Data'!$A$6:$A$3821,"*"&amp;$A103&amp;"*",'Diags Raw Data'!$L$6:$L$3821)</f>
        <v>4</v>
      </c>
      <c r="K103" s="491" cm="1">
        <f t="array" ref="K103">IF(D103="",0, SUMPRODUCT(--(ISNUMBER(SEARCH($A103,'Diags Raw Data'!$A$6:$A$3821))),'Diags Raw Data'!$L$6:$L$3821,'Diags Raw Data'!$N$6:$N$3821)/J103)</f>
        <v>1</v>
      </c>
      <c r="L103" s="492" cm="1">
        <f t="array" ref="L103">IF(D103="",0, SUMPRODUCT(--(ISNUMBER(SEARCH($A103,'Diags Raw Data'!$A$6:$A$3821))),'Diags Raw Data'!$L$6:$L$3821,'Diags Raw Data'!$P$6:$P$3821)/J103)</f>
        <v>1</v>
      </c>
      <c r="M103" s="493" cm="1">
        <f t="array" ref="M103">SUMPRODUCT(--(ISNUMBER(SEARCH($A103,'Diags Raw Data'!$A$6:$A$3821))),--('Diags Raw Data'!$Q$6:$Q$3821&lt;&gt;"N/A"),'Diags Raw Data'!$R$6:$R$3821)</f>
        <v>1</v>
      </c>
      <c r="N103" s="494" cm="1">
        <f t="array" ref="N103">SUMPRODUCT(--(ISNUMBER(SEARCH($A103,'Diags Raw Data'!$A$6:$A$3821))),--('Diags Raw Data'!$Q$6:$Q$3821&lt;&gt;"N/A"),'Diags Raw Data'!$T$6:$T$3821)+SUMPRODUCT(--(ISNUMBER(SEARCH($A103,'Diags Raw Data'!$A$6:$A$3821))),--('Diags Raw Data'!$Q$6:$Q$3821&lt;&gt;"N/A"),'Diags Raw Data'!$U$6:$U$3821)</f>
        <v>0</v>
      </c>
      <c r="O103" s="495">
        <f t="shared" si="2"/>
        <v>0</v>
      </c>
      <c r="P103" s="496">
        <v>0</v>
      </c>
      <c r="Q103" s="497">
        <f>SUM(SUMIF('Diags Raw Data'!$A$6:$A$3821,"*"&amp;$A103&amp;"*",'Diags Raw Data'!$AA$6:$AA$3821),SUMIF('Diags Raw Data'!$A$6:$A$3821,"*"&amp;$A103&amp;"*",'Diags Raw Data'!$AB$6:$AB$3821))</f>
        <v>0</v>
      </c>
      <c r="R103" s="498">
        <f t="shared" si="3"/>
        <v>0</v>
      </c>
      <c r="S103" s="498">
        <f t="shared" si="4"/>
        <v>0</v>
      </c>
      <c r="T103" s="499">
        <f t="shared" si="5"/>
        <v>0</v>
      </c>
      <c r="U103" s="447" t="s">
        <v>47</v>
      </c>
      <c r="V103" s="182"/>
    </row>
    <row r="104" spans="1:22" ht="15.75" thickBot="1" x14ac:dyDescent="0.3">
      <c r="A104" s="339" t="s">
        <v>902</v>
      </c>
      <c r="B104" s="443" t="s">
        <v>1079</v>
      </c>
      <c r="C104" s="444" t="s">
        <v>280</v>
      </c>
      <c r="D104" s="445" t="str" cm="1">
        <f t="array" ref="D104">_xlfn.TEXTJOIN("",TRUE,IF(ISNUMBER(SEARCH($A104,'Diags Raw Data'!$A$6:$A$3821)),CONCATENATE('Diags Raw Data'!$H$6:$H$3821,", "),""))</f>
        <v xml:space="preserve">DISP007, </v>
      </c>
      <c r="E104" s="342" t="str">
        <f>VLOOKUP(A104,'Diags Raw Data'!$A$6:$D$3821,4,FALSE)</f>
        <v>DISP</v>
      </c>
      <c r="F104" s="342" t="str">
        <f>VLOOKUP(A104,'Feature Raw Data'!$A$3:$E$3998,5,FALSE)</f>
        <v>Legacy</v>
      </c>
      <c r="G104" s="342" t="str">
        <f t="shared" si="18"/>
        <v>Yes</v>
      </c>
      <c r="H104" s="342" t="str">
        <f t="shared" si="19"/>
        <v>Yes</v>
      </c>
      <c r="I104" s="444">
        <f>SUMIF('Diags Raw Data'!$A$6:$A$3821,"*"&amp;$A104&amp;"*",'Diags Raw Data'!$K$6:$K$3821)</f>
        <v>1</v>
      </c>
      <c r="J104" s="446">
        <f>SUMIF('Diags Raw Data'!$A$6:$A$3821,"*"&amp;$A104&amp;"*",'Diags Raw Data'!$L$6:$L$3821)</f>
        <v>2</v>
      </c>
      <c r="K104" s="491" cm="1">
        <f t="array" ref="K104">IF(D104="",0, SUMPRODUCT(--(ISNUMBER(SEARCH($A104,'Diags Raw Data'!$A$6:$A$3821))),'Diags Raw Data'!$L$6:$L$3821,'Diags Raw Data'!$N$6:$N$3821)/J104)</f>
        <v>1</v>
      </c>
      <c r="L104" s="492" cm="1">
        <f t="array" ref="L104">IF(D104="",0, SUMPRODUCT(--(ISNUMBER(SEARCH($A104,'Diags Raw Data'!$A$6:$A$3821))),'Diags Raw Data'!$L$6:$L$3821,'Diags Raw Data'!$P$6:$P$3821)/J104)</f>
        <v>1</v>
      </c>
      <c r="M104" s="493" cm="1">
        <f t="array" ref="M104">SUMPRODUCT(--(ISNUMBER(SEARCH($A104,'Diags Raw Data'!$A$6:$A$3821))),--('Diags Raw Data'!$Q$6:$Q$3821&lt;&gt;"N/A"),'Diags Raw Data'!$R$6:$R$3821)</f>
        <v>1</v>
      </c>
      <c r="N104" s="494" cm="1">
        <f t="array" ref="N104">SUMPRODUCT(--(ISNUMBER(SEARCH($A104,'Diags Raw Data'!$A$6:$A$3821))),--('Diags Raw Data'!$Q$6:$Q$3821&lt;&gt;"N/A"),'Diags Raw Data'!$T$6:$T$3821)+SUMPRODUCT(--(ISNUMBER(SEARCH($A104,'Diags Raw Data'!$A$6:$A$3821))),--('Diags Raw Data'!$Q$6:$Q$3821&lt;&gt;"N/A"),'Diags Raw Data'!$U$6:$U$3821)</f>
        <v>0</v>
      </c>
      <c r="O104" s="495">
        <f t="shared" si="2"/>
        <v>0</v>
      </c>
      <c r="P104" s="496">
        <v>0</v>
      </c>
      <c r="Q104" s="497">
        <f>SUM(SUMIF('Diags Raw Data'!$A$6:$A$3821,"*"&amp;$A104&amp;"*",'Diags Raw Data'!$AA$6:$AA$3821),SUMIF('Diags Raw Data'!$A$6:$A$3821,"*"&amp;$A104&amp;"*",'Diags Raw Data'!$AB$6:$AB$3821))</f>
        <v>0</v>
      </c>
      <c r="R104" s="498">
        <f t="shared" si="3"/>
        <v>0</v>
      </c>
      <c r="S104" s="498">
        <f t="shared" si="4"/>
        <v>0</v>
      </c>
      <c r="T104" s="499">
        <f t="shared" si="5"/>
        <v>0</v>
      </c>
      <c r="U104" s="447" t="s">
        <v>47</v>
      </c>
      <c r="V104" s="182"/>
    </row>
    <row r="105" spans="1:22" ht="15.75" thickBot="1" x14ac:dyDescent="0.3">
      <c r="A105" s="339" t="s">
        <v>1080</v>
      </c>
      <c r="B105" s="443" t="s">
        <v>1081</v>
      </c>
      <c r="C105" s="444" t="s">
        <v>280</v>
      </c>
      <c r="D105" s="445" t="str" cm="1">
        <f t="array" ref="D105">_xlfn.TEXTJOIN("",TRUE,IF(ISNUMBER(SEARCH($A105,'Diags Raw Data'!$A$6:$A$3821)),CONCATENATE('Diags Raw Data'!$H$6:$H$3821,", "),""))</f>
        <v xml:space="preserve">DISP001, </v>
      </c>
      <c r="E105" s="342" t="e">
        <f>VLOOKUP(A105,'Diags Raw Data'!$A$6:$D$3821,4,FALSE)</f>
        <v>#N/A</v>
      </c>
      <c r="F105" s="342" t="str">
        <f>VLOOKUP(A105,'Feature Raw Data'!$A$3:$E$3998,5,FALSE)</f>
        <v>Legacy</v>
      </c>
      <c r="G105" s="342" t="str">
        <f t="shared" si="18"/>
        <v>Yes</v>
      </c>
      <c r="H105" s="342" t="str">
        <f t="shared" si="19"/>
        <v>Yes</v>
      </c>
      <c r="I105" s="444">
        <f>SUMIF('Diags Raw Data'!$A$6:$A$3821,"*"&amp;$A105&amp;"*",'Diags Raw Data'!$K$6:$K$3821)</f>
        <v>1</v>
      </c>
      <c r="J105" s="446">
        <f>SUMIF('Diags Raw Data'!$A$6:$A$3821,"*"&amp;$A105&amp;"*",'Diags Raw Data'!$L$6:$L$3821)</f>
        <v>4</v>
      </c>
      <c r="K105" s="491" cm="1">
        <f t="array" ref="K105">IF(D105="",0, SUMPRODUCT(--(ISNUMBER(SEARCH($A105,'Diags Raw Data'!$A$6:$A$3821))),'Diags Raw Data'!$L$6:$L$3821,'Diags Raw Data'!$N$6:$N$3821)/J105)</f>
        <v>1</v>
      </c>
      <c r="L105" s="492" cm="1">
        <f t="array" ref="L105">IF(D105="",0, SUMPRODUCT(--(ISNUMBER(SEARCH($A105,'Diags Raw Data'!$A$6:$A$3821))),'Diags Raw Data'!$L$6:$L$3821,'Diags Raw Data'!$P$6:$P$3821)/J105)</f>
        <v>1</v>
      </c>
      <c r="M105" s="493" cm="1">
        <f t="array" ref="M105">SUMPRODUCT(--(ISNUMBER(SEARCH($A105,'Diags Raw Data'!$A$6:$A$3821))),--('Diags Raw Data'!$Q$6:$Q$3821&lt;&gt;"N/A"),'Diags Raw Data'!$R$6:$R$3821)</f>
        <v>1</v>
      </c>
      <c r="N105" s="494" cm="1">
        <f t="array" ref="N105">SUMPRODUCT(--(ISNUMBER(SEARCH($A105,'Diags Raw Data'!$A$6:$A$3821))),--('Diags Raw Data'!$Q$6:$Q$3821&lt;&gt;"N/A"),'Diags Raw Data'!$T$6:$T$3821)+SUMPRODUCT(--(ISNUMBER(SEARCH($A105,'Diags Raw Data'!$A$6:$A$3821))),--('Diags Raw Data'!$Q$6:$Q$3821&lt;&gt;"N/A"),'Diags Raw Data'!$U$6:$U$3821)</f>
        <v>0</v>
      </c>
      <c r="O105" s="495">
        <f t="shared" si="2"/>
        <v>0</v>
      </c>
      <c r="P105" s="496">
        <v>0</v>
      </c>
      <c r="Q105" s="497">
        <f>SUM(SUMIF('Diags Raw Data'!$A$6:$A$3821,"*"&amp;$A105&amp;"*",'Diags Raw Data'!$AA$6:$AA$3821),SUMIF('Diags Raw Data'!$A$6:$A$3821,"*"&amp;$A105&amp;"*",'Diags Raw Data'!$AB$6:$AB$3821))</f>
        <v>0</v>
      </c>
      <c r="R105" s="498">
        <f t="shared" si="3"/>
        <v>0</v>
      </c>
      <c r="S105" s="498">
        <f t="shared" si="4"/>
        <v>0</v>
      </c>
      <c r="T105" s="499">
        <f t="shared" si="5"/>
        <v>0</v>
      </c>
      <c r="U105" s="447" t="s">
        <v>47</v>
      </c>
      <c r="V105" s="182"/>
    </row>
    <row r="106" spans="1:22" ht="15.75" thickBot="1" x14ac:dyDescent="0.3">
      <c r="A106" s="339" t="s">
        <v>1082</v>
      </c>
      <c r="B106" s="443" t="s">
        <v>1083</v>
      </c>
      <c r="C106" s="444" t="s">
        <v>280</v>
      </c>
      <c r="D106" s="445" t="str" cm="1">
        <f t="array" ref="D106">_xlfn.TEXTJOIN("",TRUE,IF(ISNUMBER(SEARCH($A106,'Diags Raw Data'!$A$6:$A$3821)),CONCATENATE('Diags Raw Data'!$H$6:$H$3821,", "),""))</f>
        <v xml:space="preserve">DCHB060, DCHB061, </v>
      </c>
      <c r="E106" s="342" t="e">
        <f>VLOOKUP(A106,'Diags Raw Data'!$A$6:$D$3821,4,FALSE)</f>
        <v>#N/A</v>
      </c>
      <c r="F106" s="342" t="str">
        <f>VLOOKUP(A106,'Feature Raw Data'!$A$3:$E$3998,5,FALSE)</f>
        <v>Legacy</v>
      </c>
      <c r="G106" s="342" t="str">
        <f t="shared" si="18"/>
        <v>Yes</v>
      </c>
      <c r="H106" s="342" t="str">
        <f t="shared" si="19"/>
        <v>Yes</v>
      </c>
      <c r="I106" s="444">
        <f>SUMIF('Diags Raw Data'!$A$6:$A$3821,"*"&amp;$A106&amp;"*",'Diags Raw Data'!$K$6:$K$3821)</f>
        <v>16</v>
      </c>
      <c r="J106" s="446">
        <f>SUMIF('Diags Raw Data'!$A$6:$A$3821,"*"&amp;$A106&amp;"*",'Diags Raw Data'!$L$6:$L$3821)</f>
        <v>2</v>
      </c>
      <c r="K106" s="491" cm="1">
        <f t="array" ref="K106">IF(D106="",0, SUMPRODUCT(--(ISNUMBER(SEARCH($A106,'Diags Raw Data'!$A$6:$A$3821))),'Diags Raw Data'!$L$6:$L$3821,'Diags Raw Data'!$N$6:$N$3821)/J106)</f>
        <v>1</v>
      </c>
      <c r="L106" s="492" cm="1">
        <f t="array" ref="L106">IF(D106="",0, SUMPRODUCT(--(ISNUMBER(SEARCH($A106,'Diags Raw Data'!$A$6:$A$3821))),'Diags Raw Data'!$L$6:$L$3821,'Diags Raw Data'!$P$6:$P$3821)/J106)</f>
        <v>1</v>
      </c>
      <c r="M106" s="493" cm="1">
        <f t="array" ref="M106">SUMPRODUCT(--(ISNUMBER(SEARCH($A106,'Diags Raw Data'!$A$6:$A$3821))),--('Diags Raw Data'!$Q$6:$Q$3821&lt;&gt;"N/A"),'Diags Raw Data'!$R$6:$R$3821)</f>
        <v>2</v>
      </c>
      <c r="N106" s="494" cm="1">
        <f t="array" ref="N106">SUMPRODUCT(--(ISNUMBER(SEARCH($A106,'Diags Raw Data'!$A$6:$A$3821))),--('Diags Raw Data'!$Q$6:$Q$3821&lt;&gt;"N/A"),'Diags Raw Data'!$T$6:$T$3821)+SUMPRODUCT(--(ISNUMBER(SEARCH($A106,'Diags Raw Data'!$A$6:$A$3821))),--('Diags Raw Data'!$Q$6:$Q$3821&lt;&gt;"N/A"),'Diags Raw Data'!$U$6:$U$3821)</f>
        <v>0</v>
      </c>
      <c r="O106" s="495">
        <f t="shared" si="2"/>
        <v>0</v>
      </c>
      <c r="P106" s="496">
        <v>0</v>
      </c>
      <c r="Q106" s="497">
        <f>SUM(SUMIF('Diags Raw Data'!$A$6:$A$3821,"*"&amp;$A106&amp;"*",'Diags Raw Data'!$AA$6:$AA$3821),SUMIF('Diags Raw Data'!$A$6:$A$3821,"*"&amp;$A106&amp;"*",'Diags Raw Data'!$AB$6:$AB$3821))</f>
        <v>0</v>
      </c>
      <c r="R106" s="498">
        <f t="shared" si="3"/>
        <v>0</v>
      </c>
      <c r="S106" s="498">
        <f t="shared" si="4"/>
        <v>0</v>
      </c>
      <c r="T106" s="499">
        <f t="shared" si="5"/>
        <v>0</v>
      </c>
      <c r="U106" s="447" t="s">
        <v>47</v>
      </c>
      <c r="V106" s="182"/>
    </row>
    <row r="107" spans="1:22" ht="75.75" thickBot="1" x14ac:dyDescent="0.3">
      <c r="A107" s="339" t="s">
        <v>814</v>
      </c>
      <c r="B107" s="443" t="s">
        <v>1084</v>
      </c>
      <c r="C107" s="444" t="s">
        <v>280</v>
      </c>
      <c r="D107" s="445" t="str" cm="1">
        <f t="array" ref="D107">_xlfn.TEXTJOIN("",TRUE,IF(ISNUMBER(SEARCH($A107,'Diags Raw Data'!$A$6:$A$3821)),CONCATENATE('Diags Raw Data'!$H$6:$H$3821,", "),""))</f>
        <v xml:space="preserve">DIO650, DIO651, DIO652, DIO653, DIO654, DIO655, DIO656, DIO657, DIO658, DIO659, DIO660, DIO661, DIO662, </v>
      </c>
      <c r="E107" s="342" t="str">
        <f>VLOOKUP(A107,'Diags Raw Data'!$A$6:$D$3821,4,FALSE)</f>
        <v>DIO</v>
      </c>
      <c r="F107" s="342" t="str">
        <f>VLOOKUP(A107,'Feature Raw Data'!$A$3:$E$3998,5,FALSE)</f>
        <v>Delta</v>
      </c>
      <c r="G107" s="342" t="str">
        <f t="shared" si="18"/>
        <v>Yes</v>
      </c>
      <c r="H107" s="342" t="str">
        <f t="shared" si="19"/>
        <v>Yes</v>
      </c>
      <c r="I107" s="444">
        <f>SUMIF('Diags Raw Data'!$A$6:$A$3821,"*"&amp;$A107&amp;"*",'Diags Raw Data'!$K$6:$K$3821)</f>
        <v>9</v>
      </c>
      <c r="J107" s="446">
        <f>SUMIF('Diags Raw Data'!$A$6:$A$3821,"*"&amp;$A107&amp;"*",'Diags Raw Data'!$L$6:$L$3821)</f>
        <v>502</v>
      </c>
      <c r="K107" s="491" cm="1">
        <f t="array" ref="K107">IF(D107="",0, SUMPRODUCT(--(ISNUMBER(SEARCH($A107,'Diags Raw Data'!$A$6:$A$3821))),'Diags Raw Data'!$L$6:$L$3821,'Diags Raw Data'!$N$6:$N$3821)/J107)</f>
        <v>1</v>
      </c>
      <c r="L107" s="492" cm="1">
        <f t="array" ref="L107">IF(D107="",0, SUMPRODUCT(--(ISNUMBER(SEARCH($A107,'Diags Raw Data'!$A$6:$A$3821))),'Diags Raw Data'!$L$6:$L$3821,'Diags Raw Data'!$P$6:$P$3821)/J107)</f>
        <v>1</v>
      </c>
      <c r="M107" s="493" cm="1">
        <f t="array" ref="M107">SUMPRODUCT(--(ISNUMBER(SEARCH($A107,'Diags Raw Data'!$A$6:$A$3821))),--('Diags Raw Data'!$Q$6:$Q$3821&lt;&gt;"N/A"),'Diags Raw Data'!$R$6:$R$3821)</f>
        <v>38</v>
      </c>
      <c r="N107" s="494" cm="1">
        <f t="array" ref="N107">SUMPRODUCT(--(ISNUMBER(SEARCH($A107,'Diags Raw Data'!$A$6:$A$3821))),--('Diags Raw Data'!$Q$6:$Q$3821&lt;&gt;"N/A"),'Diags Raw Data'!$T$6:$T$3821)+SUMPRODUCT(--(ISNUMBER(SEARCH($A107,'Diags Raw Data'!$A$6:$A$3821))),--('Diags Raw Data'!$Q$6:$Q$3821&lt;&gt;"N/A"),'Diags Raw Data'!$U$6:$U$3821)</f>
        <v>0</v>
      </c>
      <c r="O107" s="495">
        <f t="shared" si="2"/>
        <v>0</v>
      </c>
      <c r="P107" s="496">
        <f>SUMIF('Diags Raw Data'!$A$6:$A$3821,"*"&amp;$A107&amp;"*",'Diags Raw Data'!$Z$6:$Z$3821)</f>
        <v>0</v>
      </c>
      <c r="Q107" s="497">
        <f>SUM(SUMIF('Diags Raw Data'!$A$6:$A$3821,"*"&amp;$A107&amp;"*",'Diags Raw Data'!$AA$6:$AA$3821),SUMIF('Diags Raw Data'!$A$6:$A$3821,"*"&amp;$A107&amp;"*",'Diags Raw Data'!$AB$6:$AB$3821))</f>
        <v>0</v>
      </c>
      <c r="R107" s="498">
        <f t="shared" si="3"/>
        <v>0</v>
      </c>
      <c r="S107" s="498">
        <f t="shared" si="4"/>
        <v>0</v>
      </c>
      <c r="T107" s="499">
        <f t="shared" si="5"/>
        <v>0</v>
      </c>
      <c r="U107" s="447" t="s">
        <v>1085</v>
      </c>
      <c r="V107" s="182"/>
    </row>
    <row r="108" spans="1:22" ht="15.75" thickBot="1" x14ac:dyDescent="0.3">
      <c r="A108" s="339" t="s">
        <v>1086</v>
      </c>
      <c r="B108" s="443" t="s">
        <v>1087</v>
      </c>
      <c r="C108" s="444" t="s">
        <v>280</v>
      </c>
      <c r="D108" s="445" t="str" cm="1">
        <f t="array" ref="D108">_xlfn.TEXTJOIN("",TRUE,IF(ISNUMBER(SEARCH($A108,'Diags Raw Data'!$A$6:$A$3821)),CONCATENATE('Diags Raw Data'!$H$6:$H$3821,", "),""))</f>
        <v xml:space="preserve">DIO620, </v>
      </c>
      <c r="E108" s="342" t="e">
        <f>VLOOKUP(A108,'Diags Raw Data'!$A$6:$D$3821,4,FALSE)</f>
        <v>#N/A</v>
      </c>
      <c r="F108" s="342" t="str">
        <f>VLOOKUP(A108,'Feature Raw Data'!$A$3:$E$3998,5,FALSE)</f>
        <v>Legacy</v>
      </c>
      <c r="G108" s="342" t="str">
        <f t="shared" si="18"/>
        <v>Yes</v>
      </c>
      <c r="H108" s="342" t="str">
        <f t="shared" si="19"/>
        <v>Yes</v>
      </c>
      <c r="I108" s="444">
        <f>SUMIF('Diags Raw Data'!$A$6:$A$3821,"*"&amp;$A108&amp;"*",'Diags Raw Data'!$K$6:$K$3821)</f>
        <v>63</v>
      </c>
      <c r="J108" s="446">
        <f>SUMIF('Diags Raw Data'!$A$6:$A$3821,"*"&amp;$A108&amp;"*",'Diags Raw Data'!$L$6:$L$3821)</f>
        <v>63</v>
      </c>
      <c r="K108" s="491" cm="1">
        <f t="array" ref="K108">IF(D108="",0, SUMPRODUCT(--(ISNUMBER(SEARCH($A108,'Diags Raw Data'!$A$6:$A$3821))),'Diags Raw Data'!$L$6:$L$3821,'Diags Raw Data'!$N$6:$N$3821)/J108)</f>
        <v>1</v>
      </c>
      <c r="L108" s="492" cm="1">
        <f t="array" ref="L108">IF(D108="",0, SUMPRODUCT(--(ISNUMBER(SEARCH($A108,'Diags Raw Data'!$A$6:$A$3821))),'Diags Raw Data'!$L$6:$L$3821,'Diags Raw Data'!$P$6:$P$3821)/J108)</f>
        <v>1</v>
      </c>
      <c r="M108" s="493" cm="1">
        <f t="array" ref="M108">SUMPRODUCT(--(ISNUMBER(SEARCH($A108,'Diags Raw Data'!$A$6:$A$3821))),--('Diags Raw Data'!$Q$6:$Q$3821&lt;&gt;"N/A"),'Diags Raw Data'!$R$6:$R$3821)</f>
        <v>63</v>
      </c>
      <c r="N108" s="494" cm="1">
        <f t="array" ref="N108">SUMPRODUCT(--(ISNUMBER(SEARCH($A108,'Diags Raw Data'!$A$6:$A$3821))),--('Diags Raw Data'!$Q$6:$Q$3821&lt;&gt;"N/A"),'Diags Raw Data'!$T$6:$T$3821)+SUMPRODUCT(--(ISNUMBER(SEARCH($A108,'Diags Raw Data'!$A$6:$A$3821))),--('Diags Raw Data'!$Q$6:$Q$3821&lt;&gt;"N/A"),'Diags Raw Data'!$U$6:$U$3821)</f>
        <v>0</v>
      </c>
      <c r="O108" s="495">
        <f t="shared" si="2"/>
        <v>0</v>
      </c>
      <c r="P108" s="496">
        <v>0</v>
      </c>
      <c r="Q108" s="497">
        <f>SUM(SUMIF('Diags Raw Data'!$A$6:$A$3821,"*"&amp;$A108&amp;"*",'Diags Raw Data'!$AA$6:$AA$3821),SUMIF('Diags Raw Data'!$A$6:$A$3821,"*"&amp;$A108&amp;"*",'Diags Raw Data'!$AB$6:$AB$3821))</f>
        <v>0</v>
      </c>
      <c r="R108" s="498">
        <f t="shared" si="3"/>
        <v>0</v>
      </c>
      <c r="S108" s="498">
        <f t="shared" si="4"/>
        <v>0</v>
      </c>
      <c r="T108" s="499">
        <f t="shared" si="5"/>
        <v>0</v>
      </c>
      <c r="U108" s="447" t="s">
        <v>47</v>
      </c>
      <c r="V108" s="182"/>
    </row>
    <row r="109" spans="1:22" ht="15.75" thickBot="1" x14ac:dyDescent="0.3">
      <c r="A109" s="339" t="s">
        <v>1088</v>
      </c>
      <c r="B109" s="443" t="s">
        <v>1089</v>
      </c>
      <c r="C109" s="444" t="s">
        <v>280</v>
      </c>
      <c r="D109" s="445" t="str" cm="1">
        <f t="array" ref="D109">_xlfn.TEXTJOIN("",TRUE,IF(ISNUMBER(SEARCH($A109,'Diags Raw Data'!$A$6:$A$3821)),CONCATENATE('Diags Raw Data'!$H$6:$H$3821,", "),""))</f>
        <v xml:space="preserve">DMU003, </v>
      </c>
      <c r="E109" s="342" t="e">
        <f>VLOOKUP(A109,'Diags Raw Data'!$A$6:$D$3821,4,FALSE)</f>
        <v>#N/A</v>
      </c>
      <c r="F109" s="342" t="str">
        <f>VLOOKUP(A109,'Feature Raw Data'!$A$3:$E$3998,5,FALSE)</f>
        <v>Legacy</v>
      </c>
      <c r="G109" s="342" t="str">
        <f t="shared" si="18"/>
        <v>Yes</v>
      </c>
      <c r="H109" s="342" t="str">
        <f t="shared" si="19"/>
        <v>Yes</v>
      </c>
      <c r="I109" s="444">
        <f>SUMIF('Diags Raw Data'!$A$6:$A$3821,"*"&amp;$A109&amp;"*",'Diags Raw Data'!$K$6:$K$3821)</f>
        <v>1</v>
      </c>
      <c r="J109" s="446">
        <f>SUMIF('Diags Raw Data'!$A$6:$A$3821,"*"&amp;$A109&amp;"*",'Diags Raw Data'!$L$6:$L$3821)</f>
        <v>1</v>
      </c>
      <c r="K109" s="491" cm="1">
        <f t="array" ref="K109">IF(D109="",0, SUMPRODUCT(--(ISNUMBER(SEARCH($A109,'Diags Raw Data'!$A$6:$A$3821))),'Diags Raw Data'!$L$6:$L$3821,'Diags Raw Data'!$N$6:$N$3821)/J109)</f>
        <v>1</v>
      </c>
      <c r="L109" s="492" cm="1">
        <f t="array" ref="L109">IF(D109="",0, SUMPRODUCT(--(ISNUMBER(SEARCH($A109,'Diags Raw Data'!$A$6:$A$3821))),'Diags Raw Data'!$L$6:$L$3821,'Diags Raw Data'!$P$6:$P$3821)/J109)</f>
        <v>1</v>
      </c>
      <c r="M109" s="493" cm="1">
        <f t="array" ref="M109">SUMPRODUCT(--(ISNUMBER(SEARCH($A109,'Diags Raw Data'!$A$6:$A$3821))),--('Diags Raw Data'!$Q$6:$Q$3821&lt;&gt;"N/A"),'Diags Raw Data'!$R$6:$R$3821)</f>
        <v>1</v>
      </c>
      <c r="N109" s="494" cm="1">
        <f t="array" ref="N109">SUMPRODUCT(--(ISNUMBER(SEARCH($A109,'Diags Raw Data'!$A$6:$A$3821))),--('Diags Raw Data'!$Q$6:$Q$3821&lt;&gt;"N/A"),'Diags Raw Data'!$T$6:$T$3821)+SUMPRODUCT(--(ISNUMBER(SEARCH($A109,'Diags Raw Data'!$A$6:$A$3821))),--('Diags Raw Data'!$Q$6:$Q$3821&lt;&gt;"N/A"),'Diags Raw Data'!$U$6:$U$3821)</f>
        <v>0</v>
      </c>
      <c r="O109" s="495">
        <f t="shared" si="2"/>
        <v>0</v>
      </c>
      <c r="P109" s="496">
        <v>0</v>
      </c>
      <c r="Q109" s="497">
        <f>SUM(SUMIF('Diags Raw Data'!$A$6:$A$3821,"*"&amp;$A109&amp;"*",'Diags Raw Data'!$AA$6:$AA$3821),SUMIF('Diags Raw Data'!$A$6:$A$3821,"*"&amp;$A109&amp;"*",'Diags Raw Data'!$AB$6:$AB$3821))</f>
        <v>0</v>
      </c>
      <c r="R109" s="498">
        <f t="shared" si="3"/>
        <v>0</v>
      </c>
      <c r="S109" s="498">
        <f t="shared" si="4"/>
        <v>0</v>
      </c>
      <c r="T109" s="499">
        <f t="shared" si="5"/>
        <v>0</v>
      </c>
      <c r="U109" s="447" t="s">
        <v>1090</v>
      </c>
      <c r="V109" s="182"/>
    </row>
    <row r="110" spans="1:22" ht="15.75" thickBot="1" x14ac:dyDescent="0.3">
      <c r="A110" s="339" t="s">
        <v>1091</v>
      </c>
      <c r="B110" s="443" t="s">
        <v>1092</v>
      </c>
      <c r="C110" s="444" t="s">
        <v>280</v>
      </c>
      <c r="D110" s="445" t="str" cm="1">
        <f t="array" ref="D110">_xlfn.TEXTJOIN("",TRUE,IF(ISNUMBER(SEARCH($A110,'Diags Raw Data'!$A$6:$A$3821)),CONCATENATE('Diags Raw Data'!$H$6:$H$3821,", "),""))</f>
        <v xml:space="preserve">DMU001, </v>
      </c>
      <c r="E110" s="342" t="e">
        <f>VLOOKUP(A110,'Diags Raw Data'!$A$6:$D$3821,4,FALSE)</f>
        <v>#N/A</v>
      </c>
      <c r="F110" s="342" t="str">
        <f>VLOOKUP(A110,'Feature Raw Data'!$A$3:$E$3998,5,FALSE)</f>
        <v>Legacy</v>
      </c>
      <c r="G110" s="342" t="str">
        <f t="shared" si="18"/>
        <v>Yes</v>
      </c>
      <c r="H110" s="342" t="str">
        <f t="shared" si="19"/>
        <v>Yes</v>
      </c>
      <c r="I110" s="444">
        <f>SUMIF('Diags Raw Data'!$A$6:$A$3821,"*"&amp;$A110&amp;"*",'Diags Raw Data'!$K$6:$K$3821)</f>
        <v>1</v>
      </c>
      <c r="J110" s="446">
        <f>SUMIF('Diags Raw Data'!$A$6:$A$3821,"*"&amp;$A110&amp;"*",'Diags Raw Data'!$L$6:$L$3821)</f>
        <v>3</v>
      </c>
      <c r="K110" s="491" cm="1">
        <f t="array" ref="K110">IF(D110="",0, SUMPRODUCT(--(ISNUMBER(SEARCH($A110,'Diags Raw Data'!$A$6:$A$3821))),'Diags Raw Data'!$L$6:$L$3821,'Diags Raw Data'!$N$6:$N$3821)/J110)</f>
        <v>1</v>
      </c>
      <c r="L110" s="492" cm="1">
        <f t="array" ref="L110">IF(D110="",0, SUMPRODUCT(--(ISNUMBER(SEARCH($A110,'Diags Raw Data'!$A$6:$A$3821))),'Diags Raw Data'!$L$6:$L$3821,'Diags Raw Data'!$P$6:$P$3821)/J110)</f>
        <v>1</v>
      </c>
      <c r="M110" s="493" cm="1">
        <f t="array" ref="M110">SUMPRODUCT(--(ISNUMBER(SEARCH($A110,'Diags Raw Data'!$A$6:$A$3821))),--('Diags Raw Data'!$Q$6:$Q$3821&lt;&gt;"N/A"),'Diags Raw Data'!$R$6:$R$3821)</f>
        <v>1</v>
      </c>
      <c r="N110" s="494" cm="1">
        <f t="array" ref="N110">SUMPRODUCT(--(ISNUMBER(SEARCH($A110,'Diags Raw Data'!$A$6:$A$3821))),--('Diags Raw Data'!$Q$6:$Q$3821&lt;&gt;"N/A"),'Diags Raw Data'!$T$6:$T$3821)+SUMPRODUCT(--(ISNUMBER(SEARCH($A110,'Diags Raw Data'!$A$6:$A$3821))),--('Diags Raw Data'!$Q$6:$Q$3821&lt;&gt;"N/A"),'Diags Raw Data'!$U$6:$U$3821)</f>
        <v>0</v>
      </c>
      <c r="O110" s="495">
        <f t="shared" si="2"/>
        <v>0</v>
      </c>
      <c r="P110" s="496">
        <v>0</v>
      </c>
      <c r="Q110" s="497">
        <f>SUM(SUMIF('Diags Raw Data'!$A$6:$A$3821,"*"&amp;$A110&amp;"*",'Diags Raw Data'!$AA$6:$AA$3821),SUMIF('Diags Raw Data'!$A$6:$A$3821,"*"&amp;$A110&amp;"*",'Diags Raw Data'!$AB$6:$AB$3821))</f>
        <v>0</v>
      </c>
      <c r="R110" s="498">
        <f t="shared" si="3"/>
        <v>0</v>
      </c>
      <c r="S110" s="498">
        <f t="shared" si="4"/>
        <v>0</v>
      </c>
      <c r="T110" s="499">
        <f t="shared" si="5"/>
        <v>0</v>
      </c>
      <c r="U110" s="447" t="s">
        <v>1090</v>
      </c>
      <c r="V110" s="182"/>
    </row>
    <row r="111" spans="1:22" ht="15.75" thickBot="1" x14ac:dyDescent="0.3">
      <c r="A111" s="339" t="s">
        <v>1093</v>
      </c>
      <c r="B111" s="443" t="s">
        <v>1094</v>
      </c>
      <c r="C111" s="444" t="s">
        <v>280</v>
      </c>
      <c r="D111" s="445" t="str" cm="1">
        <f t="array" ref="D111">_xlfn.TEXTJOIN("",TRUE,IF(ISNUMBER(SEARCH($A111,'Diags Raw Data'!$A$6:$A$3821)),CONCATENATE('Diags Raw Data'!$H$6:$H$3821,", "),""))</f>
        <v/>
      </c>
      <c r="E111" s="342" t="e">
        <f>VLOOKUP(A111,'Diags Raw Data'!$A$6:$D$3821,4,FALSE)</f>
        <v>#N/A</v>
      </c>
      <c r="F111" s="342" t="str">
        <f>VLOOKUP(A111,'Feature Raw Data'!$A$3:$E$3998,5,FALSE)</f>
        <v>Legacy</v>
      </c>
      <c r="G111" s="342" t="str">
        <f t="shared" si="18"/>
        <v>No</v>
      </c>
      <c r="H111" s="342" t="str">
        <f t="shared" si="19"/>
        <v>No</v>
      </c>
      <c r="I111" s="444">
        <f>SUMIF('Diags Raw Data'!$A$6:$A$3821,"*"&amp;$A111&amp;"*",'Diags Raw Data'!$K$6:$K$3821)</f>
        <v>0</v>
      </c>
      <c r="J111" s="446">
        <f>SUMIF('Diags Raw Data'!$A$6:$A$3821,"*"&amp;$A111&amp;"*",'Diags Raw Data'!$L$6:$L$3821)</f>
        <v>0</v>
      </c>
      <c r="K111" s="491" cm="1">
        <f t="array" ref="K111">IF(D111="",0, SUMPRODUCT(--(ISNUMBER(SEARCH($A111,'Diags Raw Data'!$A$6:$A$3821))),'Diags Raw Data'!$L$6:$L$3821,'Diags Raw Data'!$N$6:$N$3821)/J111)</f>
        <v>0</v>
      </c>
      <c r="L111" s="492" cm="1">
        <f t="array" ref="L111">IF(D111="",0, SUMPRODUCT(--(ISNUMBER(SEARCH($A111,'Diags Raw Data'!$A$6:$A$3821))),'Diags Raw Data'!$L$6:$L$3821,'Diags Raw Data'!$P$6:$P$3821)/J111)</f>
        <v>0</v>
      </c>
      <c r="M111" s="493" cm="1">
        <f t="array" ref="M111">SUMPRODUCT(--(ISNUMBER(SEARCH($A111,'Diags Raw Data'!$A$6:$A$3821))),--('Diags Raw Data'!$Q$6:$Q$3821&lt;&gt;"N/A"),'Diags Raw Data'!$R$6:$R$3821)</f>
        <v>0</v>
      </c>
      <c r="N111" s="494" cm="1">
        <f t="array" ref="N111">SUMPRODUCT(--(ISNUMBER(SEARCH($A111,'Diags Raw Data'!$A$6:$A$3821))),--('Diags Raw Data'!$Q$6:$Q$3821&lt;&gt;"N/A"),'Diags Raw Data'!$T$6:$T$3821)+SUMPRODUCT(--(ISNUMBER(SEARCH($A111,'Diags Raw Data'!$A$6:$A$3821))),--('Diags Raw Data'!$Q$6:$Q$3821&lt;&gt;"N/A"),'Diags Raw Data'!$U$6:$U$3821)</f>
        <v>0</v>
      </c>
      <c r="O111" s="495">
        <f t="shared" si="2"/>
        <v>0</v>
      </c>
      <c r="P111" s="496">
        <f>SUMIF('Diags Raw Data'!$A$6:$A$3821,"*"&amp;$A111&amp;"*",'Diags Raw Data'!$Z$6:$Z$3821)</f>
        <v>0</v>
      </c>
      <c r="Q111" s="497">
        <f>SUM(SUMIF('Diags Raw Data'!$A$6:$A$3821,"*"&amp;$A111&amp;"*",'Diags Raw Data'!$AA$6:$AA$3821),SUMIF('Diags Raw Data'!$A$6:$A$3821,"*"&amp;$A111&amp;"*",'Diags Raw Data'!$AB$6:$AB$3821))</f>
        <v>0</v>
      </c>
      <c r="R111" s="498">
        <f t="shared" si="3"/>
        <v>0</v>
      </c>
      <c r="S111" s="498">
        <f t="shared" si="4"/>
        <v>0</v>
      </c>
      <c r="T111" s="499">
        <f t="shared" si="5"/>
        <v>0</v>
      </c>
      <c r="U111" s="447" t="s">
        <v>1090</v>
      </c>
      <c r="V111" s="182"/>
    </row>
    <row r="112" spans="1:22" ht="15.75" thickBot="1" x14ac:dyDescent="0.3">
      <c r="A112" s="339" t="s">
        <v>792</v>
      </c>
      <c r="B112" s="443" t="s">
        <v>1095</v>
      </c>
      <c r="C112" s="444" t="s">
        <v>280</v>
      </c>
      <c r="D112" s="445" t="str" cm="1">
        <f t="array" ref="D112">_xlfn.TEXTJOIN("",TRUE,IF(ISNUMBER(SEARCH($A112,'Diags Raw Data'!$A$6:$A$3821)),CONCATENATE('Diags Raw Data'!$H$6:$H$3821,", "),""))</f>
        <v xml:space="preserve">DIO602, DIO603, DIO604, </v>
      </c>
      <c r="E112" s="342" t="str">
        <f>VLOOKUP(A112,'Diags Raw Data'!$A$6:$D$3821,4,FALSE)</f>
        <v>DIO</v>
      </c>
      <c r="F112" s="342" t="str">
        <f>VLOOKUP(A112,'Feature Raw Data'!$A$3:$E$3998,5,FALSE)</f>
        <v>Legacy</v>
      </c>
      <c r="G112" s="342" t="str">
        <f t="shared" si="18"/>
        <v>Yes</v>
      </c>
      <c r="H112" s="342" t="str">
        <f t="shared" si="19"/>
        <v>Yes</v>
      </c>
      <c r="I112" s="444">
        <f>SUMIF('Diags Raw Data'!$A$6:$A$3821,"*"&amp;$A112&amp;"*",'Diags Raw Data'!$K$6:$K$3821)</f>
        <v>3</v>
      </c>
      <c r="J112" s="446">
        <f>SUMIF('Diags Raw Data'!$A$6:$A$3821,"*"&amp;$A112&amp;"*",'Diags Raw Data'!$L$6:$L$3821)</f>
        <v>15</v>
      </c>
      <c r="K112" s="491" cm="1">
        <f t="array" ref="K112">IF(D112="",0, SUMPRODUCT(--(ISNUMBER(SEARCH($A112,'Diags Raw Data'!$A$6:$A$3821))),'Diags Raw Data'!$L$6:$L$3821,'Diags Raw Data'!$N$6:$N$3821)/J112)</f>
        <v>1</v>
      </c>
      <c r="L112" s="492" cm="1">
        <f t="array" ref="L112">IF(D112="",0, SUMPRODUCT(--(ISNUMBER(SEARCH($A112,'Diags Raw Data'!$A$6:$A$3821))),'Diags Raw Data'!$L$6:$L$3821,'Diags Raw Data'!$P$6:$P$3821)/J112)</f>
        <v>1</v>
      </c>
      <c r="M112" s="493" cm="1">
        <f t="array" ref="M112">SUMPRODUCT(--(ISNUMBER(SEARCH($A112,'Diags Raw Data'!$A$6:$A$3821))),--('Diags Raw Data'!$Q$6:$Q$3821&lt;&gt;"N/A"),'Diags Raw Data'!$R$6:$R$3821)</f>
        <v>15</v>
      </c>
      <c r="N112" s="494" cm="1">
        <f t="array" ref="N112">SUMPRODUCT(--(ISNUMBER(SEARCH($A112,'Diags Raw Data'!$A$6:$A$3821))),--('Diags Raw Data'!$Q$6:$Q$3821&lt;&gt;"N/A"),'Diags Raw Data'!$T$6:$T$3821)+SUMPRODUCT(--(ISNUMBER(SEARCH($A112,'Diags Raw Data'!$A$6:$A$3821))),--('Diags Raw Data'!$Q$6:$Q$3821&lt;&gt;"N/A"),'Diags Raw Data'!$U$6:$U$3821)</f>
        <v>0</v>
      </c>
      <c r="O112" s="495">
        <f t="shared" si="2"/>
        <v>0</v>
      </c>
      <c r="P112" s="496">
        <v>0</v>
      </c>
      <c r="Q112" s="497">
        <f>SUM(SUMIF('Diags Raw Data'!$A$6:$A$3821,"*"&amp;$A112&amp;"*",'Diags Raw Data'!$AA$6:$AA$3821),SUMIF('Diags Raw Data'!$A$6:$A$3821,"*"&amp;$A112&amp;"*",'Diags Raw Data'!$AB$6:$AB$3821))</f>
        <v>0</v>
      </c>
      <c r="R112" s="498">
        <f t="shared" si="3"/>
        <v>0</v>
      </c>
      <c r="S112" s="498">
        <f t="shared" si="4"/>
        <v>0</v>
      </c>
      <c r="T112" s="499">
        <f t="shared" si="5"/>
        <v>0</v>
      </c>
      <c r="U112" s="447" t="s">
        <v>1090</v>
      </c>
      <c r="V112" s="182"/>
    </row>
    <row r="113" spans="1:22" ht="15.75" thickBot="1" x14ac:dyDescent="0.3">
      <c r="A113" s="339" t="s">
        <v>800</v>
      </c>
      <c r="B113" s="443" t="s">
        <v>1096</v>
      </c>
      <c r="C113" s="444" t="s">
        <v>280</v>
      </c>
      <c r="D113" s="445" t="str" cm="1">
        <f t="array" ref="D113">_xlfn.TEXTJOIN("",TRUE,IF(ISNUMBER(SEARCH($A113,'Diags Raw Data'!$A$6:$A$3821)),CONCATENATE('Diags Raw Data'!$H$6:$H$3821,", "),""))</f>
        <v xml:space="preserve">DIO605, </v>
      </c>
      <c r="E113" s="342" t="str">
        <f>VLOOKUP(A113,'Diags Raw Data'!$A$6:$D$3821,4,FALSE)</f>
        <v>DIO</v>
      </c>
      <c r="F113" s="342" t="str">
        <f>VLOOKUP(A113,'Feature Raw Data'!$A$3:$E$3998,5,FALSE)</f>
        <v>Legacy</v>
      </c>
      <c r="G113" s="342" t="str">
        <f t="shared" si="18"/>
        <v>Yes</v>
      </c>
      <c r="H113" s="342" t="str">
        <f t="shared" si="19"/>
        <v>Yes</v>
      </c>
      <c r="I113" s="444">
        <f>SUMIF('Diags Raw Data'!$A$6:$A$3821,"*"&amp;$A113&amp;"*",'Diags Raw Data'!$K$6:$K$3821)</f>
        <v>1</v>
      </c>
      <c r="J113" s="446">
        <f>SUMIF('Diags Raw Data'!$A$6:$A$3821,"*"&amp;$A113&amp;"*",'Diags Raw Data'!$L$6:$L$3821)</f>
        <v>1</v>
      </c>
      <c r="K113" s="491" cm="1">
        <f t="array" ref="K113">IF(D113="",0, SUMPRODUCT(--(ISNUMBER(SEARCH($A113,'Diags Raw Data'!$A$6:$A$3821))),'Diags Raw Data'!$L$6:$L$3821,'Diags Raw Data'!$N$6:$N$3821)/J113)</f>
        <v>1</v>
      </c>
      <c r="L113" s="492" cm="1">
        <f t="array" ref="L113">IF(D113="",0, SUMPRODUCT(--(ISNUMBER(SEARCH($A113,'Diags Raw Data'!$A$6:$A$3821))),'Diags Raw Data'!$L$6:$L$3821,'Diags Raw Data'!$P$6:$P$3821)/J113)</f>
        <v>1</v>
      </c>
      <c r="M113" s="493" cm="1">
        <f t="array" ref="M113">SUMPRODUCT(--(ISNUMBER(SEARCH($A113,'Diags Raw Data'!$A$6:$A$3821))),--('Diags Raw Data'!$Q$6:$Q$3821&lt;&gt;"N/A"),'Diags Raw Data'!$R$6:$R$3821)</f>
        <v>1</v>
      </c>
      <c r="N113" s="494" cm="1">
        <f t="array" ref="N113">SUMPRODUCT(--(ISNUMBER(SEARCH($A113,'Diags Raw Data'!$A$6:$A$3821))),--('Diags Raw Data'!$Q$6:$Q$3821&lt;&gt;"N/A"),'Diags Raw Data'!$T$6:$T$3821)+SUMPRODUCT(--(ISNUMBER(SEARCH($A113,'Diags Raw Data'!$A$6:$A$3821))),--('Diags Raw Data'!$Q$6:$Q$3821&lt;&gt;"N/A"),'Diags Raw Data'!$U$6:$U$3821)</f>
        <v>0</v>
      </c>
      <c r="O113" s="495">
        <f t="shared" si="2"/>
        <v>0</v>
      </c>
      <c r="P113" s="496">
        <v>0</v>
      </c>
      <c r="Q113" s="497">
        <f>SUM(SUMIF('Diags Raw Data'!$A$6:$A$3821,"*"&amp;$A113&amp;"*",'Diags Raw Data'!$AA$6:$AA$3821),SUMIF('Diags Raw Data'!$A$6:$A$3821,"*"&amp;$A113&amp;"*",'Diags Raw Data'!$AB$6:$AB$3821))</f>
        <v>0</v>
      </c>
      <c r="R113" s="498">
        <f t="shared" si="3"/>
        <v>0</v>
      </c>
      <c r="S113" s="498">
        <f t="shared" si="4"/>
        <v>0</v>
      </c>
      <c r="T113" s="499">
        <f t="shared" si="5"/>
        <v>0</v>
      </c>
      <c r="U113" s="447" t="s">
        <v>1090</v>
      </c>
      <c r="V113" s="182"/>
    </row>
    <row r="114" spans="1:22" ht="15.75" thickBot="1" x14ac:dyDescent="0.3">
      <c r="A114" s="339" t="s">
        <v>804</v>
      </c>
      <c r="B114" s="443" t="s">
        <v>1097</v>
      </c>
      <c r="C114" s="444" t="s">
        <v>280</v>
      </c>
      <c r="D114" s="445" t="str" cm="1">
        <f t="array" ref="D114">_xlfn.TEXTJOIN("",TRUE,IF(ISNUMBER(SEARCH($A114,'Diags Raw Data'!$A$6:$A$3821)),CONCATENATE('Diags Raw Data'!$H$6:$H$3821,", "),""))</f>
        <v xml:space="preserve">DIO606, DIO607, </v>
      </c>
      <c r="E114" s="342" t="str">
        <f>VLOOKUP(A114,'Diags Raw Data'!$A$6:$D$3821,4,FALSE)</f>
        <v>DIO</v>
      </c>
      <c r="F114" s="342" t="str">
        <f>VLOOKUP(A114,'Feature Raw Data'!$A$3:$E$3998,5,FALSE)</f>
        <v>Legacy</v>
      </c>
      <c r="G114" s="342" t="str">
        <f t="shared" si="18"/>
        <v>Yes</v>
      </c>
      <c r="H114" s="342" t="str">
        <f t="shared" si="19"/>
        <v>Yes</v>
      </c>
      <c r="I114" s="444">
        <f>SUMIF('Diags Raw Data'!$A$6:$A$3821,"*"&amp;$A114&amp;"*",'Diags Raw Data'!$K$6:$K$3821)</f>
        <v>2</v>
      </c>
      <c r="J114" s="446">
        <f>SUMIF('Diags Raw Data'!$A$6:$A$3821,"*"&amp;$A114&amp;"*",'Diags Raw Data'!$L$6:$L$3821)</f>
        <v>3</v>
      </c>
      <c r="K114" s="491" cm="1">
        <f t="array" ref="K114">IF(D114="",0, SUMPRODUCT(--(ISNUMBER(SEARCH($A114,'Diags Raw Data'!$A$6:$A$3821))),'Diags Raw Data'!$L$6:$L$3821,'Diags Raw Data'!$N$6:$N$3821)/J114)</f>
        <v>1</v>
      </c>
      <c r="L114" s="492" cm="1">
        <f t="array" ref="L114">IF(D114="",0, SUMPRODUCT(--(ISNUMBER(SEARCH($A114,'Diags Raw Data'!$A$6:$A$3821))),'Diags Raw Data'!$L$6:$L$3821,'Diags Raw Data'!$P$6:$P$3821)/J114)</f>
        <v>1</v>
      </c>
      <c r="M114" s="493" cm="1">
        <f t="array" ref="M114">SUMPRODUCT(--(ISNUMBER(SEARCH($A114,'Diags Raw Data'!$A$6:$A$3821))),--('Diags Raw Data'!$Q$6:$Q$3821&lt;&gt;"N/A"),'Diags Raw Data'!$R$6:$R$3821)</f>
        <v>3</v>
      </c>
      <c r="N114" s="494" cm="1">
        <f t="array" ref="N114">SUMPRODUCT(--(ISNUMBER(SEARCH($A114,'Diags Raw Data'!$A$6:$A$3821))),--('Diags Raw Data'!$Q$6:$Q$3821&lt;&gt;"N/A"),'Diags Raw Data'!$T$6:$T$3821)+SUMPRODUCT(--(ISNUMBER(SEARCH($A114,'Diags Raw Data'!$A$6:$A$3821))),--('Diags Raw Data'!$Q$6:$Q$3821&lt;&gt;"N/A"),'Diags Raw Data'!$U$6:$U$3821)</f>
        <v>0</v>
      </c>
      <c r="O114" s="495">
        <f t="shared" si="2"/>
        <v>0</v>
      </c>
      <c r="P114" s="496">
        <v>0</v>
      </c>
      <c r="Q114" s="497">
        <f>SUM(SUMIF('Diags Raw Data'!$A$6:$A$3821,"*"&amp;$A114&amp;"*",'Diags Raw Data'!$AA$6:$AA$3821),SUMIF('Diags Raw Data'!$A$6:$A$3821,"*"&amp;$A114&amp;"*",'Diags Raw Data'!$AB$6:$AB$3821))</f>
        <v>0</v>
      </c>
      <c r="R114" s="498">
        <f t="shared" si="3"/>
        <v>0</v>
      </c>
      <c r="S114" s="498">
        <f t="shared" si="4"/>
        <v>0</v>
      </c>
      <c r="T114" s="499">
        <f t="shared" si="5"/>
        <v>0</v>
      </c>
      <c r="U114" s="447" t="s">
        <v>1090</v>
      </c>
      <c r="V114" s="182"/>
    </row>
    <row r="115" spans="1:22" ht="15.75" thickBot="1" x14ac:dyDescent="0.3">
      <c r="A115" s="339" t="s">
        <v>810</v>
      </c>
      <c r="B115" s="443" t="s">
        <v>1098</v>
      </c>
      <c r="C115" s="444" t="s">
        <v>280</v>
      </c>
      <c r="D115" s="445" t="str" cm="1">
        <f t="array" ref="D115">_xlfn.TEXTJOIN("",TRUE,IF(ISNUMBER(SEARCH($A115,'Diags Raw Data'!$A$6:$A$3821)),CONCATENATE('Diags Raw Data'!$H$6:$H$3821,", "),""))</f>
        <v xml:space="preserve">DIO608, </v>
      </c>
      <c r="E115" s="342" t="str">
        <f>VLOOKUP(A115,'Diags Raw Data'!$A$6:$D$3821,4,FALSE)</f>
        <v>DIO</v>
      </c>
      <c r="F115" s="342" t="str">
        <f>VLOOKUP(A115,'Feature Raw Data'!$A$3:$E$3998,5,FALSE)</f>
        <v>Legacy</v>
      </c>
      <c r="G115" s="342" t="str">
        <f t="shared" si="18"/>
        <v>Yes</v>
      </c>
      <c r="H115" s="342" t="str">
        <f t="shared" si="19"/>
        <v>Yes</v>
      </c>
      <c r="I115" s="444">
        <f>SUMIF('Diags Raw Data'!$A$6:$A$3821,"*"&amp;$A115&amp;"*",'Diags Raw Data'!$K$6:$K$3821)</f>
        <v>1</v>
      </c>
      <c r="J115" s="446">
        <f>SUMIF('Diags Raw Data'!$A$6:$A$3821,"*"&amp;$A115&amp;"*",'Diags Raw Data'!$L$6:$L$3821)</f>
        <v>1</v>
      </c>
      <c r="K115" s="491" cm="1">
        <f t="array" ref="K115">IF(D115="",0, SUMPRODUCT(--(ISNUMBER(SEARCH($A115,'Diags Raw Data'!$A$6:$A$3821))),'Diags Raw Data'!$L$6:$L$3821,'Diags Raw Data'!$N$6:$N$3821)/J115)</f>
        <v>1</v>
      </c>
      <c r="L115" s="492" cm="1">
        <f t="array" ref="L115">IF(D115="",0, SUMPRODUCT(--(ISNUMBER(SEARCH($A115,'Diags Raw Data'!$A$6:$A$3821))),'Diags Raw Data'!$L$6:$L$3821,'Diags Raw Data'!$P$6:$P$3821)/J115)</f>
        <v>1</v>
      </c>
      <c r="M115" s="493" cm="1">
        <f t="array" ref="M115">SUMPRODUCT(--(ISNUMBER(SEARCH($A115,'Diags Raw Data'!$A$6:$A$3821))),--('Diags Raw Data'!$Q$6:$Q$3821&lt;&gt;"N/A"),'Diags Raw Data'!$R$6:$R$3821)</f>
        <v>1</v>
      </c>
      <c r="N115" s="494" cm="1">
        <f t="array" ref="N115">SUMPRODUCT(--(ISNUMBER(SEARCH($A115,'Diags Raw Data'!$A$6:$A$3821))),--('Diags Raw Data'!$Q$6:$Q$3821&lt;&gt;"N/A"),'Diags Raw Data'!$T$6:$T$3821)+SUMPRODUCT(--(ISNUMBER(SEARCH($A115,'Diags Raw Data'!$A$6:$A$3821))),--('Diags Raw Data'!$Q$6:$Q$3821&lt;&gt;"N/A"),'Diags Raw Data'!$U$6:$U$3821)</f>
        <v>0</v>
      </c>
      <c r="O115" s="495">
        <f t="shared" si="2"/>
        <v>0</v>
      </c>
      <c r="P115" s="496">
        <v>0</v>
      </c>
      <c r="Q115" s="497">
        <f>SUM(SUMIF('Diags Raw Data'!$A$6:$A$3821,"*"&amp;$A115&amp;"*",'Diags Raw Data'!$AA$6:$AA$3821),SUMIF('Diags Raw Data'!$A$6:$A$3821,"*"&amp;$A115&amp;"*",'Diags Raw Data'!$AB$6:$AB$3821))</f>
        <v>0</v>
      </c>
      <c r="R115" s="498">
        <f t="shared" si="3"/>
        <v>0</v>
      </c>
      <c r="S115" s="498">
        <f t="shared" si="4"/>
        <v>0</v>
      </c>
      <c r="T115" s="499">
        <f t="shared" si="5"/>
        <v>0</v>
      </c>
      <c r="U115" s="447" t="s">
        <v>1090</v>
      </c>
      <c r="V115" s="182"/>
    </row>
    <row r="116" spans="1:22" ht="15.75" thickBot="1" x14ac:dyDescent="0.3">
      <c r="A116" s="339" t="s">
        <v>492</v>
      </c>
      <c r="B116" s="443" t="s">
        <v>1099</v>
      </c>
      <c r="C116" s="444" t="s">
        <v>280</v>
      </c>
      <c r="D116" s="445" t="str" cm="1">
        <f t="array" ref="D116">_xlfn.TEXTJOIN("",TRUE,IF(ISNUMBER(SEARCH($A116,'Diags Raw Data'!$A$6:$A$3821)),CONCATENATE('Diags Raw Data'!$H$6:$H$3821,", "),""))</f>
        <v xml:space="preserve">MPC017, </v>
      </c>
      <c r="E116" s="342" t="str">
        <f>VLOOKUP(A116,'Diags Raw Data'!$A$6:$D$3821,4,FALSE)</f>
        <v>MPC</v>
      </c>
      <c r="F116" s="342" t="str">
        <f>VLOOKUP(A116,'Feature Raw Data'!$A$3:$E$3998,5,FALSE)</f>
        <v>Legacy</v>
      </c>
      <c r="G116" s="342" t="str">
        <f t="shared" si="18"/>
        <v>Yes</v>
      </c>
      <c r="H116" s="342" t="str">
        <f t="shared" si="19"/>
        <v>Yes</v>
      </c>
      <c r="I116" s="444">
        <f>SUMIF('Diags Raw Data'!$A$6:$A$3821,"*"&amp;$A116&amp;"*",'Diags Raw Data'!$K$6:$K$3821)</f>
        <v>1</v>
      </c>
      <c r="J116" s="446">
        <f>SUMIF('Diags Raw Data'!$A$6:$A$3821,"*"&amp;$A116&amp;"*",'Diags Raw Data'!$L$6:$L$3821)</f>
        <v>3</v>
      </c>
      <c r="K116" s="491" cm="1">
        <f t="array" ref="K116">IF(D116="",0, SUMPRODUCT(--(ISNUMBER(SEARCH($A116,'Diags Raw Data'!$A$6:$A$3821))),'Diags Raw Data'!$L$6:$L$3821,'Diags Raw Data'!$N$6:$N$3821)/J116)</f>
        <v>1</v>
      </c>
      <c r="L116" s="492" cm="1">
        <f t="array" ref="L116">IF(D116="",0, SUMPRODUCT(--(ISNUMBER(SEARCH($A116,'Diags Raw Data'!$A$6:$A$3821))),'Diags Raw Data'!$L$6:$L$3821,'Diags Raw Data'!$P$6:$P$3821)/J116)</f>
        <v>1</v>
      </c>
      <c r="M116" s="493" cm="1">
        <f t="array" ref="M116">SUMPRODUCT(--(ISNUMBER(SEARCH($A116,'Diags Raw Data'!$A$6:$A$3821))),--('Diags Raw Data'!$Q$6:$Q$3821&lt;&gt;"N/A"),'Diags Raw Data'!$R$6:$R$3821)</f>
        <v>3</v>
      </c>
      <c r="N116" s="494" cm="1">
        <f t="array" ref="N116">SUMPRODUCT(--(ISNUMBER(SEARCH($A116,'Diags Raw Data'!$A$6:$A$3821))),--('Diags Raw Data'!$Q$6:$Q$3821&lt;&gt;"N/A"),'Diags Raw Data'!$T$6:$T$3821)+SUMPRODUCT(--(ISNUMBER(SEARCH($A116,'Diags Raw Data'!$A$6:$A$3821))),--('Diags Raw Data'!$Q$6:$Q$3821&lt;&gt;"N/A"),'Diags Raw Data'!$U$6:$U$3821)</f>
        <v>0</v>
      </c>
      <c r="O116" s="495">
        <f t="shared" si="2"/>
        <v>0</v>
      </c>
      <c r="P116" s="496">
        <f>SUMIF('Diags Raw Data'!$A$6:$A$3821,"*"&amp;$A116&amp;"*",'Diags Raw Data'!$Z$6:$Z$3821)</f>
        <v>0</v>
      </c>
      <c r="Q116" s="497">
        <f>SUM(SUMIF('Diags Raw Data'!$A$6:$A$3821,"*"&amp;$A116&amp;"*",'Diags Raw Data'!$AA$6:$AA$3821),SUMIF('Diags Raw Data'!$A$6:$A$3821,"*"&amp;$A116&amp;"*",'Diags Raw Data'!$AB$6:$AB$3821))</f>
        <v>0</v>
      </c>
      <c r="R116" s="498">
        <f t="shared" si="3"/>
        <v>0</v>
      </c>
      <c r="S116" s="498">
        <f t="shared" si="4"/>
        <v>0</v>
      </c>
      <c r="T116" s="499">
        <f t="shared" si="5"/>
        <v>0</v>
      </c>
      <c r="U116" s="447" t="s">
        <v>1090</v>
      </c>
      <c r="V116" s="182"/>
    </row>
    <row r="117" spans="1:22" ht="15.75" thickBot="1" x14ac:dyDescent="0.3">
      <c r="A117" s="339" t="s">
        <v>496</v>
      </c>
      <c r="B117" s="443" t="s">
        <v>1100</v>
      </c>
      <c r="C117" s="444" t="s">
        <v>280</v>
      </c>
      <c r="D117" s="445" t="str" cm="1">
        <f t="array" ref="D117">_xlfn.TEXTJOIN("",TRUE,IF(ISNUMBER(SEARCH($A117,'Diags Raw Data'!$A$6:$A$3821)),CONCATENATE('Diags Raw Data'!$H$6:$H$3821,", "),""))</f>
        <v xml:space="preserve">MPC012, MPC013, </v>
      </c>
      <c r="E117" s="342" t="str">
        <f>VLOOKUP(A117,'Diags Raw Data'!$A$6:$D$3821,4,FALSE)</f>
        <v>MPC</v>
      </c>
      <c r="F117" s="342" t="str">
        <f>VLOOKUP(A117,'Feature Raw Data'!$A$3:$E$3998,5,FALSE)</f>
        <v>Legacy</v>
      </c>
      <c r="G117" s="342" t="str">
        <f t="shared" si="18"/>
        <v>Yes</v>
      </c>
      <c r="H117" s="342" t="str">
        <f t="shared" si="19"/>
        <v>Yes</v>
      </c>
      <c r="I117" s="444">
        <f>SUMIF('Diags Raw Data'!$A$6:$A$3821,"*"&amp;$A117&amp;"*",'Diags Raw Data'!$K$6:$K$3821)</f>
        <v>2</v>
      </c>
      <c r="J117" s="446">
        <f>SUMIF('Diags Raw Data'!$A$6:$A$3821,"*"&amp;$A117&amp;"*",'Diags Raw Data'!$L$6:$L$3821)</f>
        <v>2</v>
      </c>
      <c r="K117" s="491" cm="1">
        <f t="array" ref="K117">IF(D117="",0, SUMPRODUCT(--(ISNUMBER(SEARCH($A117,'Diags Raw Data'!$A$6:$A$3821))),'Diags Raw Data'!$L$6:$L$3821,'Diags Raw Data'!$N$6:$N$3821)/J117)</f>
        <v>1</v>
      </c>
      <c r="L117" s="492" cm="1">
        <f t="array" ref="L117">IF(D117="",0, SUMPRODUCT(--(ISNUMBER(SEARCH($A117,'Diags Raw Data'!$A$6:$A$3821))),'Diags Raw Data'!$L$6:$L$3821,'Diags Raw Data'!$P$6:$P$3821)/J117)</f>
        <v>1</v>
      </c>
      <c r="M117" s="493" cm="1">
        <f t="array" ref="M117">SUMPRODUCT(--(ISNUMBER(SEARCH($A117,'Diags Raw Data'!$A$6:$A$3821))),--('Diags Raw Data'!$Q$6:$Q$3821&lt;&gt;"N/A"),'Diags Raw Data'!$R$6:$R$3821)</f>
        <v>2</v>
      </c>
      <c r="N117" s="494" cm="1">
        <f t="array" ref="N117">SUMPRODUCT(--(ISNUMBER(SEARCH($A117,'Diags Raw Data'!$A$6:$A$3821))),--('Diags Raw Data'!$Q$6:$Q$3821&lt;&gt;"N/A"),'Diags Raw Data'!$T$6:$T$3821)+SUMPRODUCT(--(ISNUMBER(SEARCH($A117,'Diags Raw Data'!$A$6:$A$3821))),--('Diags Raw Data'!$Q$6:$Q$3821&lt;&gt;"N/A"),'Diags Raw Data'!$U$6:$U$3821)</f>
        <v>0</v>
      </c>
      <c r="O117" s="495">
        <f t="shared" si="2"/>
        <v>0</v>
      </c>
      <c r="P117" s="496">
        <f>SUMIF('Diags Raw Data'!$A$6:$A$3821,"*"&amp;$A117&amp;"*",'Diags Raw Data'!$Z$6:$Z$3821)</f>
        <v>0</v>
      </c>
      <c r="Q117" s="497">
        <f>SUM(SUMIF('Diags Raw Data'!$A$6:$A$3821,"*"&amp;$A117&amp;"*",'Diags Raw Data'!$AA$6:$AA$3821),SUMIF('Diags Raw Data'!$A$6:$A$3821,"*"&amp;$A117&amp;"*",'Diags Raw Data'!$AB$6:$AB$3821))</f>
        <v>0</v>
      </c>
      <c r="R117" s="498">
        <f t="shared" si="3"/>
        <v>0</v>
      </c>
      <c r="S117" s="498">
        <f t="shared" si="4"/>
        <v>0</v>
      </c>
      <c r="T117" s="499">
        <f t="shared" si="5"/>
        <v>0</v>
      </c>
      <c r="U117" s="447" t="s">
        <v>1090</v>
      </c>
      <c r="V117" s="182"/>
    </row>
    <row r="118" spans="1:22" ht="15.75" thickBot="1" x14ac:dyDescent="0.3">
      <c r="A118" s="339" t="s">
        <v>444</v>
      </c>
      <c r="B118" s="443" t="s">
        <v>1101</v>
      </c>
      <c r="C118" s="444" t="s">
        <v>280</v>
      </c>
      <c r="D118" s="445" t="str" cm="1">
        <f t="array" ref="D118">_xlfn.TEXTJOIN("",TRUE,IF(ISNUMBER(SEARCH($A118,'Diags Raw Data'!$A$6:$A$3821)),CONCATENATE('Diags Raw Data'!$H$6:$H$3821,", "),""))</f>
        <v xml:space="preserve">DPP046, </v>
      </c>
      <c r="E118" s="342" t="str">
        <f>VLOOKUP(A118,'Diags Raw Data'!$A$6:$D$3821,4,FALSE)</f>
        <v>DPP</v>
      </c>
      <c r="F118" s="342" t="str">
        <f>VLOOKUP(A118,'Feature Raw Data'!$A$3:$E$3998,5,FALSE)</f>
        <v>Legacy</v>
      </c>
      <c r="G118" s="342" t="str">
        <f t="shared" si="18"/>
        <v>Yes</v>
      </c>
      <c r="H118" s="342" t="str">
        <f t="shared" si="19"/>
        <v>Yes</v>
      </c>
      <c r="I118" s="444">
        <f>SUMIF('Diags Raw Data'!$A$6:$A$3821,"*"&amp;$A118&amp;"*",'Diags Raw Data'!$K$6:$K$3821)</f>
        <v>1</v>
      </c>
      <c r="J118" s="446">
        <f>SUMIF('Diags Raw Data'!$A$6:$A$3821,"*"&amp;$A118&amp;"*",'Diags Raw Data'!$L$6:$L$3821)</f>
        <v>1</v>
      </c>
      <c r="K118" s="491" cm="1">
        <f t="array" ref="K118">IF(D118="",0, SUMPRODUCT(--(ISNUMBER(SEARCH($A118,'Diags Raw Data'!$A$6:$A$3821))),'Diags Raw Data'!$L$6:$L$3821,'Diags Raw Data'!$N$6:$N$3821)/J118)</f>
        <v>1</v>
      </c>
      <c r="L118" s="492" cm="1">
        <f t="array" ref="L118">IF(D118="",0, SUMPRODUCT(--(ISNUMBER(SEARCH($A118,'Diags Raw Data'!$A$6:$A$3821))),'Diags Raw Data'!$L$6:$L$3821,'Diags Raw Data'!$P$6:$P$3821)/J118)</f>
        <v>1</v>
      </c>
      <c r="M118" s="493" cm="1">
        <f t="array" ref="M118">SUMPRODUCT(--(ISNUMBER(SEARCH($A118,'Diags Raw Data'!$A$6:$A$3821))),--('Diags Raw Data'!$Q$6:$Q$3821&lt;&gt;"N/A"),'Diags Raw Data'!$R$6:$R$3821)</f>
        <v>1</v>
      </c>
      <c r="N118" s="494" cm="1">
        <f t="array" ref="N118">SUMPRODUCT(--(ISNUMBER(SEARCH($A118,'Diags Raw Data'!$A$6:$A$3821))),--('Diags Raw Data'!$Q$6:$Q$3821&lt;&gt;"N/A"),'Diags Raw Data'!$T$6:$T$3821)+SUMPRODUCT(--(ISNUMBER(SEARCH($A118,'Diags Raw Data'!$A$6:$A$3821))),--('Diags Raw Data'!$Q$6:$Q$3821&lt;&gt;"N/A"),'Diags Raw Data'!$U$6:$U$3821)</f>
        <v>0</v>
      </c>
      <c r="O118" s="495">
        <f t="shared" si="2"/>
        <v>0</v>
      </c>
      <c r="P118" s="496">
        <f>SUMIF('Diags Raw Data'!$A$6:$A$3821,"*"&amp;$A118&amp;"*",'Diags Raw Data'!$Z$6:$Z$3821)</f>
        <v>0</v>
      </c>
      <c r="Q118" s="497">
        <f>SUM(SUMIF('Diags Raw Data'!$A$6:$A$3821,"*"&amp;$A118&amp;"*",'Diags Raw Data'!$AA$6:$AA$3821),SUMIF('Diags Raw Data'!$A$6:$A$3821,"*"&amp;$A118&amp;"*",'Diags Raw Data'!$AB$6:$AB$3821))</f>
        <v>0</v>
      </c>
      <c r="R118" s="498">
        <f t="shared" si="3"/>
        <v>0</v>
      </c>
      <c r="S118" s="498">
        <f t="shared" si="4"/>
        <v>0</v>
      </c>
      <c r="T118" s="499">
        <f t="shared" si="5"/>
        <v>0</v>
      </c>
      <c r="U118" s="447" t="s">
        <v>1090</v>
      </c>
      <c r="V118" s="182"/>
    </row>
    <row r="119" spans="1:22" ht="15.75" thickBot="1" x14ac:dyDescent="0.3">
      <c r="A119" s="339" t="s">
        <v>453</v>
      </c>
      <c r="B119" s="443" t="s">
        <v>1102</v>
      </c>
      <c r="C119" s="444" t="s">
        <v>280</v>
      </c>
      <c r="D119" s="445" t="str" cm="1">
        <f t="array" ref="D119">_xlfn.TEXTJOIN("",TRUE,IF(ISNUMBER(SEARCH($A119,'Diags Raw Data'!$A$6:$A$3821)),CONCATENATE('Diags Raw Data'!$H$6:$H$3821,", "),""))</f>
        <v xml:space="preserve">DPP049, DPP050, </v>
      </c>
      <c r="E119" s="342" t="str">
        <f>VLOOKUP(A119,'Diags Raw Data'!$A$6:$D$3821,4,FALSE)</f>
        <v>DPP</v>
      </c>
      <c r="F119" s="342" t="str">
        <f>VLOOKUP(A119,'Feature Raw Data'!$A$3:$E$3998,5,FALSE)</f>
        <v>Legacy</v>
      </c>
      <c r="G119" s="342" t="str">
        <f t="shared" si="18"/>
        <v>Yes</v>
      </c>
      <c r="H119" s="342" t="str">
        <f t="shared" si="19"/>
        <v>Yes</v>
      </c>
      <c r="I119" s="444">
        <f>SUMIF('Diags Raw Data'!$A$6:$A$3821,"*"&amp;$A119&amp;"*",'Diags Raw Data'!$K$6:$K$3821)</f>
        <v>2</v>
      </c>
      <c r="J119" s="446">
        <f>SUMIF('Diags Raw Data'!$A$6:$A$3821,"*"&amp;$A119&amp;"*",'Diags Raw Data'!$L$6:$L$3821)</f>
        <v>10</v>
      </c>
      <c r="K119" s="491" cm="1">
        <f t="array" ref="K119">IF(D119="",0, SUMPRODUCT(--(ISNUMBER(SEARCH($A119,'Diags Raw Data'!$A$6:$A$3821))),'Diags Raw Data'!$L$6:$L$3821,'Diags Raw Data'!$N$6:$N$3821)/J119)</f>
        <v>1</v>
      </c>
      <c r="L119" s="492" cm="1">
        <f t="array" ref="L119">IF(D119="",0, SUMPRODUCT(--(ISNUMBER(SEARCH($A119,'Diags Raw Data'!$A$6:$A$3821))),'Diags Raw Data'!$L$6:$L$3821,'Diags Raw Data'!$P$6:$P$3821)/J119)</f>
        <v>1</v>
      </c>
      <c r="M119" s="493" cm="1">
        <f t="array" ref="M119">SUMPRODUCT(--(ISNUMBER(SEARCH($A119,'Diags Raw Data'!$A$6:$A$3821))),--('Diags Raw Data'!$Q$6:$Q$3821&lt;&gt;"N/A"),'Diags Raw Data'!$R$6:$R$3821)</f>
        <v>10</v>
      </c>
      <c r="N119" s="494" cm="1">
        <f t="array" ref="N119">SUMPRODUCT(--(ISNUMBER(SEARCH($A119,'Diags Raw Data'!$A$6:$A$3821))),--('Diags Raw Data'!$Q$6:$Q$3821&lt;&gt;"N/A"),'Diags Raw Data'!$T$6:$T$3821)+SUMPRODUCT(--(ISNUMBER(SEARCH($A119,'Diags Raw Data'!$A$6:$A$3821))),--('Diags Raw Data'!$Q$6:$Q$3821&lt;&gt;"N/A"),'Diags Raw Data'!$U$6:$U$3821)</f>
        <v>0</v>
      </c>
      <c r="O119" s="495">
        <f t="shared" si="2"/>
        <v>0</v>
      </c>
      <c r="P119" s="496">
        <f>SUMIF('Diags Raw Data'!$A$6:$A$3821,"*"&amp;$A119&amp;"*",'Diags Raw Data'!$Z$6:$Z$3821)</f>
        <v>0</v>
      </c>
      <c r="Q119" s="497">
        <f>SUM(SUMIF('Diags Raw Data'!$A$6:$A$3821,"*"&amp;$A119&amp;"*",'Diags Raw Data'!$AA$6:$AA$3821),SUMIF('Diags Raw Data'!$A$6:$A$3821,"*"&amp;$A119&amp;"*",'Diags Raw Data'!$AB$6:$AB$3821))</f>
        <v>0</v>
      </c>
      <c r="R119" s="498">
        <f t="shared" si="3"/>
        <v>0</v>
      </c>
      <c r="S119" s="498">
        <f t="shared" si="4"/>
        <v>0</v>
      </c>
      <c r="T119" s="499">
        <f t="shared" si="5"/>
        <v>0</v>
      </c>
      <c r="U119" s="447" t="s">
        <v>1090</v>
      </c>
      <c r="V119" s="182"/>
    </row>
    <row r="120" spans="1:22" ht="15.75" thickBot="1" x14ac:dyDescent="0.3">
      <c r="A120" s="339" t="s">
        <v>1103</v>
      </c>
      <c r="B120" s="443" t="s">
        <v>1104</v>
      </c>
      <c r="C120" s="444" t="s">
        <v>280</v>
      </c>
      <c r="D120" s="445" t="str" cm="1">
        <f t="array" ref="D120">_xlfn.TEXTJOIN("",TRUE,IF(ISNUMBER(SEARCH($A120,'Diags Raw Data'!$A$6:$A$3821)),CONCATENATE('Diags Raw Data'!$H$6:$H$3821,", "),""))</f>
        <v xml:space="preserve">DPP052, </v>
      </c>
      <c r="E120" s="342" t="e">
        <f>VLOOKUP(A120,'Diags Raw Data'!$A$6:$D$3821,4,FALSE)</f>
        <v>#N/A</v>
      </c>
      <c r="F120" s="342" t="str">
        <f>VLOOKUP(A120,'Feature Raw Data'!$A$3:$E$3998,5,FALSE)</f>
        <v>Legacy</v>
      </c>
      <c r="G120" s="342" t="str">
        <f t="shared" si="18"/>
        <v>Yes</v>
      </c>
      <c r="H120" s="342" t="str">
        <f t="shared" si="19"/>
        <v>Yes</v>
      </c>
      <c r="I120" s="444">
        <f>SUMIF('Diags Raw Data'!$A$6:$A$3821,"*"&amp;$A120&amp;"*",'Diags Raw Data'!$K$6:$K$3821)</f>
        <v>1</v>
      </c>
      <c r="J120" s="446">
        <f>SUMIF('Diags Raw Data'!$A$6:$A$3821,"*"&amp;$A120&amp;"*",'Diags Raw Data'!$L$6:$L$3821)</f>
        <v>2</v>
      </c>
      <c r="K120" s="491" cm="1">
        <f t="array" ref="K120">IF(D120="",0, SUMPRODUCT(--(ISNUMBER(SEARCH($A120,'Diags Raw Data'!$A$6:$A$3821))),'Diags Raw Data'!$L$6:$L$3821,'Diags Raw Data'!$N$6:$N$3821)/J120)</f>
        <v>1</v>
      </c>
      <c r="L120" s="492" cm="1">
        <f t="array" ref="L120">IF(D120="",0, SUMPRODUCT(--(ISNUMBER(SEARCH($A120,'Diags Raw Data'!$A$6:$A$3821))),'Diags Raw Data'!$L$6:$L$3821,'Diags Raw Data'!$P$6:$P$3821)/J120)</f>
        <v>1</v>
      </c>
      <c r="M120" s="493" cm="1">
        <f t="array" ref="M120">SUMPRODUCT(--(ISNUMBER(SEARCH($A120,'Diags Raw Data'!$A$6:$A$3821))),--('Diags Raw Data'!$Q$6:$Q$3821&lt;&gt;"N/A"),'Diags Raw Data'!$R$6:$R$3821)</f>
        <v>2</v>
      </c>
      <c r="N120" s="494" cm="1">
        <f t="array" ref="N120">SUMPRODUCT(--(ISNUMBER(SEARCH($A120,'Diags Raw Data'!$A$6:$A$3821))),--('Diags Raw Data'!$Q$6:$Q$3821&lt;&gt;"N/A"),'Diags Raw Data'!$T$6:$T$3821)+SUMPRODUCT(--(ISNUMBER(SEARCH($A120,'Diags Raw Data'!$A$6:$A$3821))),--('Diags Raw Data'!$Q$6:$Q$3821&lt;&gt;"N/A"),'Diags Raw Data'!$U$6:$U$3821)</f>
        <v>0</v>
      </c>
      <c r="O120" s="495">
        <f t="shared" si="2"/>
        <v>0</v>
      </c>
      <c r="P120" s="496">
        <f>SUMIF('Diags Raw Data'!$A$6:$A$3821,"*"&amp;$A120&amp;"*",'Diags Raw Data'!$Z$6:$Z$3821)</f>
        <v>0</v>
      </c>
      <c r="Q120" s="497">
        <f>SUM(SUMIF('Diags Raw Data'!$A$6:$A$3821,"*"&amp;$A120&amp;"*",'Diags Raw Data'!$AA$6:$AA$3821),SUMIF('Diags Raw Data'!$A$6:$A$3821,"*"&amp;$A120&amp;"*",'Diags Raw Data'!$AB$6:$AB$3821))</f>
        <v>0</v>
      </c>
      <c r="R120" s="498">
        <f t="shared" si="3"/>
        <v>0</v>
      </c>
      <c r="S120" s="498">
        <f t="shared" si="4"/>
        <v>0</v>
      </c>
      <c r="T120" s="499">
        <f t="shared" si="5"/>
        <v>0</v>
      </c>
      <c r="U120" s="447" t="s">
        <v>1090</v>
      </c>
      <c r="V120" s="182"/>
    </row>
    <row r="121" spans="1:22" ht="15.75" thickBot="1" x14ac:dyDescent="0.3">
      <c r="A121" s="339" t="s">
        <v>467</v>
      </c>
      <c r="B121" s="443" t="s">
        <v>1105</v>
      </c>
      <c r="C121" s="444" t="s">
        <v>280</v>
      </c>
      <c r="D121" s="445" t="str" cm="1">
        <f t="array" ref="D121">_xlfn.TEXTJOIN("",TRUE,IF(ISNUMBER(SEARCH($A121,'Diags Raw Data'!$A$6:$A$3821)),CONCATENATE('Diags Raw Data'!$H$6:$H$3821,", "),""))</f>
        <v xml:space="preserve">DPP053, </v>
      </c>
      <c r="E121" s="342" t="str">
        <f>VLOOKUP(A121,'Diags Raw Data'!$A$6:$D$3821,4,FALSE)</f>
        <v>DPP</v>
      </c>
      <c r="F121" s="342" t="str">
        <f>VLOOKUP(A121,'Feature Raw Data'!$A$3:$E$3998,5,FALSE)</f>
        <v>Legacy</v>
      </c>
      <c r="G121" s="342" t="str">
        <f t="shared" si="18"/>
        <v>Yes</v>
      </c>
      <c r="H121" s="342" t="str">
        <f t="shared" si="19"/>
        <v>Yes</v>
      </c>
      <c r="I121" s="444">
        <f>SUMIF('Diags Raw Data'!$A$6:$A$3821,"*"&amp;$A121&amp;"*",'Diags Raw Data'!$K$6:$K$3821)</f>
        <v>1</v>
      </c>
      <c r="J121" s="446">
        <f>SUMIF('Diags Raw Data'!$A$6:$A$3821,"*"&amp;$A121&amp;"*",'Diags Raw Data'!$L$6:$L$3821)</f>
        <v>16</v>
      </c>
      <c r="K121" s="491" cm="1">
        <f t="array" ref="K121">IF(D121="",0, SUMPRODUCT(--(ISNUMBER(SEARCH($A121,'Diags Raw Data'!$A$6:$A$3821))),'Diags Raw Data'!$L$6:$L$3821,'Diags Raw Data'!$N$6:$N$3821)/J121)</f>
        <v>1</v>
      </c>
      <c r="L121" s="492" cm="1">
        <f t="array" ref="L121">IF(D121="",0, SUMPRODUCT(--(ISNUMBER(SEARCH($A121,'Diags Raw Data'!$A$6:$A$3821))),'Diags Raw Data'!$L$6:$L$3821,'Diags Raw Data'!$P$6:$P$3821)/J121)</f>
        <v>1</v>
      </c>
      <c r="M121" s="493" cm="1">
        <f t="array" ref="M121">SUMPRODUCT(--(ISNUMBER(SEARCH($A121,'Diags Raw Data'!$A$6:$A$3821))),--('Diags Raw Data'!$Q$6:$Q$3821&lt;&gt;"N/A"),'Diags Raw Data'!$R$6:$R$3821)</f>
        <v>16</v>
      </c>
      <c r="N121" s="494" cm="1">
        <f t="array" ref="N121">SUMPRODUCT(--(ISNUMBER(SEARCH($A121,'Diags Raw Data'!$A$6:$A$3821))),--('Diags Raw Data'!$Q$6:$Q$3821&lt;&gt;"N/A"),'Diags Raw Data'!$T$6:$T$3821)+SUMPRODUCT(--(ISNUMBER(SEARCH($A121,'Diags Raw Data'!$A$6:$A$3821))),--('Diags Raw Data'!$Q$6:$Q$3821&lt;&gt;"N/A"),'Diags Raw Data'!$U$6:$U$3821)</f>
        <v>0</v>
      </c>
      <c r="O121" s="495">
        <f t="shared" si="2"/>
        <v>0</v>
      </c>
      <c r="P121" s="496">
        <f>SUMIF('Diags Raw Data'!$A$6:$A$3821,"*"&amp;$A121&amp;"*",'Diags Raw Data'!$Z$6:$Z$3821)</f>
        <v>0</v>
      </c>
      <c r="Q121" s="497">
        <f>SUM(SUMIF('Diags Raw Data'!$A$6:$A$3821,"*"&amp;$A121&amp;"*",'Diags Raw Data'!$AA$6:$AA$3821),SUMIF('Diags Raw Data'!$A$6:$A$3821,"*"&amp;$A121&amp;"*",'Diags Raw Data'!$AB$6:$AB$3821))</f>
        <v>0</v>
      </c>
      <c r="R121" s="498">
        <f t="shared" si="3"/>
        <v>0</v>
      </c>
      <c r="S121" s="498">
        <f t="shared" si="4"/>
        <v>0</v>
      </c>
      <c r="T121" s="499">
        <f t="shared" si="5"/>
        <v>0</v>
      </c>
      <c r="U121" s="447" t="s">
        <v>1090</v>
      </c>
      <c r="V121" s="182"/>
    </row>
    <row r="122" spans="1:22" ht="15.75" thickBot="1" x14ac:dyDescent="0.3">
      <c r="A122" s="339" t="s">
        <v>1106</v>
      </c>
      <c r="B122" s="443" t="s">
        <v>1107</v>
      </c>
      <c r="C122" s="444" t="s">
        <v>280</v>
      </c>
      <c r="D122" s="445" t="str" cm="1">
        <f t="array" ref="D122">_xlfn.TEXTJOIN("",TRUE,IF(ISNUMBER(SEARCH($A122,'Diags Raw Data'!$A$6:$A$3821)),CONCATENATE('Diags Raw Data'!$H$6:$H$3821,", "),""))</f>
        <v/>
      </c>
      <c r="E122" s="342" t="e">
        <f>VLOOKUP(A122,'Diags Raw Data'!$A$6:$D$3821,4,FALSE)</f>
        <v>#N/A</v>
      </c>
      <c r="F122" s="342" t="str">
        <f>VLOOKUP(A122,'Feature Raw Data'!$A$3:$E$3998,5,FALSE)</f>
        <v>Legacy</v>
      </c>
      <c r="G122" s="342" t="str">
        <f t="shared" si="18"/>
        <v>No</v>
      </c>
      <c r="H122" s="342" t="str">
        <f t="shared" si="19"/>
        <v>No</v>
      </c>
      <c r="I122" s="444">
        <f>SUMIF('Diags Raw Data'!$A$6:$A$3821,"*"&amp;$A122&amp;"*",'Diags Raw Data'!$K$6:$K$3821)</f>
        <v>0</v>
      </c>
      <c r="J122" s="446">
        <f>SUMIF('Diags Raw Data'!$A$6:$A$3821,"*"&amp;$A122&amp;"*",'Diags Raw Data'!$L$6:$L$3821)</f>
        <v>0</v>
      </c>
      <c r="K122" s="491" cm="1">
        <f t="array" ref="K122">IF(D122="",0, SUMPRODUCT(--(ISNUMBER(SEARCH($A122,'Diags Raw Data'!$A$6:$A$3821))),'Diags Raw Data'!$L$6:$L$3821,'Diags Raw Data'!$N$6:$N$3821)/J122)</f>
        <v>0</v>
      </c>
      <c r="L122" s="492" cm="1">
        <f t="array" ref="L122">IF(D122="",0, SUMPRODUCT(--(ISNUMBER(SEARCH($A122,'Diags Raw Data'!$A$6:$A$3821))),'Diags Raw Data'!$L$6:$L$3821,'Diags Raw Data'!$P$6:$P$3821)/J122)</f>
        <v>0</v>
      </c>
      <c r="M122" s="493" cm="1">
        <f t="array" ref="M122">SUMPRODUCT(--(ISNUMBER(SEARCH($A122,'Diags Raw Data'!$A$6:$A$3821))),--('Diags Raw Data'!$Q$6:$Q$3821&lt;&gt;"N/A"),'Diags Raw Data'!$R$6:$R$3821)</f>
        <v>0</v>
      </c>
      <c r="N122" s="494" cm="1">
        <f t="array" ref="N122">SUMPRODUCT(--(ISNUMBER(SEARCH($A122,'Diags Raw Data'!$A$6:$A$3821))),--('Diags Raw Data'!$Q$6:$Q$3821&lt;&gt;"N/A"),'Diags Raw Data'!$T$6:$T$3821)+SUMPRODUCT(--(ISNUMBER(SEARCH($A122,'Diags Raw Data'!$A$6:$A$3821))),--('Diags Raw Data'!$Q$6:$Q$3821&lt;&gt;"N/A"),'Diags Raw Data'!$U$6:$U$3821)</f>
        <v>0</v>
      </c>
      <c r="O122" s="495">
        <f t="shared" si="2"/>
        <v>0</v>
      </c>
      <c r="P122" s="496">
        <f>SUMIF('Diags Raw Data'!$A$6:$A$3821,"*"&amp;$A122&amp;"*",'Diags Raw Data'!$Z$6:$Z$3821)</f>
        <v>0</v>
      </c>
      <c r="Q122" s="497">
        <f>SUM(SUMIF('Diags Raw Data'!$A$6:$A$3821,"*"&amp;$A122&amp;"*",'Diags Raw Data'!$AA$6:$AA$3821),SUMIF('Diags Raw Data'!$A$6:$A$3821,"*"&amp;$A122&amp;"*",'Diags Raw Data'!$AB$6:$AB$3821))</f>
        <v>0</v>
      </c>
      <c r="R122" s="498">
        <f t="shared" si="3"/>
        <v>0</v>
      </c>
      <c r="S122" s="498">
        <f t="shared" si="4"/>
        <v>0</v>
      </c>
      <c r="T122" s="499">
        <f t="shared" si="5"/>
        <v>0</v>
      </c>
      <c r="U122" s="447" t="s">
        <v>1085</v>
      </c>
      <c r="V122" s="182"/>
    </row>
    <row r="123" spans="1:22" ht="17.25" customHeight="1" thickBot="1" x14ac:dyDescent="0.3">
      <c r="A123" s="339" t="s">
        <v>1108</v>
      </c>
      <c r="B123" s="443" t="s">
        <v>1109</v>
      </c>
      <c r="C123" s="444" t="s">
        <v>280</v>
      </c>
      <c r="D123" s="445" t="str" cm="1">
        <f t="array" ref="D123">_xlfn.TEXTJOIN("",TRUE,IF(ISNUMBER(SEARCH($A123,'Diags Raw Data'!$A$6:$A$3821)),CONCATENATE('Diags Raw Data'!$H$6:$H$3821,", "),""))</f>
        <v/>
      </c>
      <c r="E123" s="342" t="e">
        <f>VLOOKUP(A123,'Diags Raw Data'!$A$6:$D$3821,4,FALSE)</f>
        <v>#N/A</v>
      </c>
      <c r="F123" s="342" t="str">
        <f>VLOOKUP(A123,'Feature Raw Data'!$A$3:$E$3998,5,FALSE)</f>
        <v>Legacy</v>
      </c>
      <c r="G123" s="342" t="str">
        <f t="shared" si="18"/>
        <v>No</v>
      </c>
      <c r="H123" s="342" t="str">
        <f t="shared" si="19"/>
        <v>No</v>
      </c>
      <c r="I123" s="444">
        <f>SUMIF('Diags Raw Data'!$A$6:$A$3821,"*"&amp;$A123&amp;"*",'Diags Raw Data'!$K$6:$K$3821)</f>
        <v>0</v>
      </c>
      <c r="J123" s="446">
        <f>SUMIF('Diags Raw Data'!$A$6:$A$3821,"*"&amp;$A123&amp;"*",'Diags Raw Data'!$L$6:$L$3821)</f>
        <v>0</v>
      </c>
      <c r="K123" s="491" cm="1">
        <f t="array" ref="K123">IF(D123="",0, SUMPRODUCT(--(ISNUMBER(SEARCH($A123,'Diags Raw Data'!$A$6:$A$3821))),'Diags Raw Data'!$L$6:$L$3821,'Diags Raw Data'!$N$6:$N$3821)/J123)</f>
        <v>0</v>
      </c>
      <c r="L123" s="492" cm="1">
        <f t="array" ref="L123">IF(D123="",0, SUMPRODUCT(--(ISNUMBER(SEARCH($A123,'Diags Raw Data'!$A$6:$A$3821))),'Diags Raw Data'!$L$6:$L$3821,'Diags Raw Data'!$P$6:$P$3821)/J123)</f>
        <v>0</v>
      </c>
      <c r="M123" s="493" cm="1">
        <f t="array" ref="M123">SUMPRODUCT(--(ISNUMBER(SEARCH($A123,'Diags Raw Data'!$A$6:$A$3821))),--('Diags Raw Data'!$Q$6:$Q$3821&lt;&gt;"N/A"),'Diags Raw Data'!$R$6:$R$3821)</f>
        <v>0</v>
      </c>
      <c r="N123" s="494" cm="1">
        <f t="array" ref="N123">SUMPRODUCT(--(ISNUMBER(SEARCH($A123,'Diags Raw Data'!$A$6:$A$3821))),--('Diags Raw Data'!$Q$6:$Q$3821&lt;&gt;"N/A"),'Diags Raw Data'!$T$6:$T$3821)+SUMPRODUCT(--(ISNUMBER(SEARCH($A123,'Diags Raw Data'!$A$6:$A$3821))),--('Diags Raw Data'!$Q$6:$Q$3821&lt;&gt;"N/A"),'Diags Raw Data'!$U$6:$U$3821)</f>
        <v>0</v>
      </c>
      <c r="O123" s="495">
        <f t="shared" si="2"/>
        <v>0</v>
      </c>
      <c r="P123" s="496">
        <f>SUMIF('Diags Raw Data'!$A$6:$A$3821,"*"&amp;$A123&amp;"*",'Diags Raw Data'!$Z$6:$Z$3821)</f>
        <v>0</v>
      </c>
      <c r="Q123" s="497">
        <f>SUM(SUMIF('Diags Raw Data'!$A$6:$A$3821,"*"&amp;$A123&amp;"*",'Diags Raw Data'!$AA$6:$AA$3821),SUMIF('Diags Raw Data'!$A$6:$A$3821,"*"&amp;$A123&amp;"*",'Diags Raw Data'!$AB$6:$AB$3821))</f>
        <v>0</v>
      </c>
      <c r="R123" s="498">
        <f t="shared" si="3"/>
        <v>0</v>
      </c>
      <c r="S123" s="498">
        <f t="shared" si="4"/>
        <v>0</v>
      </c>
      <c r="T123" s="499">
        <f t="shared" si="5"/>
        <v>0</v>
      </c>
      <c r="U123" s="447" t="s">
        <v>1085</v>
      </c>
      <c r="V123" s="182"/>
    </row>
    <row r="124" spans="1:22" ht="15.75" thickBot="1" x14ac:dyDescent="0.3">
      <c r="A124" s="339" t="s">
        <v>1110</v>
      </c>
      <c r="B124" s="443" t="s">
        <v>1111</v>
      </c>
      <c r="C124" s="444" t="s">
        <v>280</v>
      </c>
      <c r="D124" s="445" t="str" cm="1">
        <f t="array" ref="D124">_xlfn.TEXTJOIN("",TRUE,IF(ISNUMBER(SEARCH($A124,'Diags Raw Data'!$A$6:$A$3821)),CONCATENATE('Diags Raw Data'!$H$6:$H$3821,", "),""))</f>
        <v/>
      </c>
      <c r="E124" s="342" t="e">
        <f>VLOOKUP(A124,'Diags Raw Data'!$A$6:$D$3821,4,FALSE)</f>
        <v>#N/A</v>
      </c>
      <c r="F124" s="342" t="str">
        <f>VLOOKUP(A124,'Feature Raw Data'!$A$3:$E$3998,5,FALSE)</f>
        <v>Legacy</v>
      </c>
      <c r="G124" s="342" t="str">
        <f t="shared" si="18"/>
        <v>No</v>
      </c>
      <c r="H124" s="342" t="str">
        <f t="shared" si="19"/>
        <v>No</v>
      </c>
      <c r="I124" s="444">
        <f>SUMIF('Diags Raw Data'!$A$6:$A$3821,"*"&amp;$A124&amp;"*",'Diags Raw Data'!$K$6:$K$3821)</f>
        <v>0</v>
      </c>
      <c r="J124" s="446">
        <f>SUMIF('Diags Raw Data'!$A$6:$A$3821,"*"&amp;$A124&amp;"*",'Diags Raw Data'!$L$6:$L$3821)</f>
        <v>0</v>
      </c>
      <c r="K124" s="491" cm="1">
        <f t="array" ref="K124">IF(D124="",0, SUMPRODUCT(--(ISNUMBER(SEARCH($A124,'Diags Raw Data'!$A$6:$A$3821))),'Diags Raw Data'!$L$6:$L$3821,'Diags Raw Data'!$N$6:$N$3821)/J124)</f>
        <v>0</v>
      </c>
      <c r="L124" s="492" cm="1">
        <f t="array" ref="L124">IF(D124="",0, SUMPRODUCT(--(ISNUMBER(SEARCH($A124,'Diags Raw Data'!$A$6:$A$3821))),'Diags Raw Data'!$L$6:$L$3821,'Diags Raw Data'!$P$6:$P$3821)/J124)</f>
        <v>0</v>
      </c>
      <c r="M124" s="493" cm="1">
        <f t="array" ref="M124">SUMPRODUCT(--(ISNUMBER(SEARCH($A124,'Diags Raw Data'!$A$6:$A$3821))),--('Diags Raw Data'!$Q$6:$Q$3821&lt;&gt;"N/A"),'Diags Raw Data'!$R$6:$R$3821)</f>
        <v>0</v>
      </c>
      <c r="N124" s="494" cm="1">
        <f t="array" ref="N124">SUMPRODUCT(--(ISNUMBER(SEARCH($A124,'Diags Raw Data'!$A$6:$A$3821))),--('Diags Raw Data'!$Q$6:$Q$3821&lt;&gt;"N/A"),'Diags Raw Data'!$T$6:$T$3821)+SUMPRODUCT(--(ISNUMBER(SEARCH($A124,'Diags Raw Data'!$A$6:$A$3821))),--('Diags Raw Data'!$Q$6:$Q$3821&lt;&gt;"N/A"),'Diags Raw Data'!$U$6:$U$3821)</f>
        <v>0</v>
      </c>
      <c r="O124" s="495">
        <f t="shared" si="2"/>
        <v>0</v>
      </c>
      <c r="P124" s="496">
        <f>SUMIF('Diags Raw Data'!$A$6:$A$3821,"*"&amp;$A124&amp;"*",'Diags Raw Data'!$Z$6:$Z$3821)</f>
        <v>0</v>
      </c>
      <c r="Q124" s="497">
        <f>SUM(SUMIF('Diags Raw Data'!$A$6:$A$3821,"*"&amp;$A124&amp;"*",'Diags Raw Data'!$AA$6:$AA$3821),SUMIF('Diags Raw Data'!$A$6:$A$3821,"*"&amp;$A124&amp;"*",'Diags Raw Data'!$AB$6:$AB$3821))</f>
        <v>0</v>
      </c>
      <c r="R124" s="498">
        <f t="shared" si="3"/>
        <v>0</v>
      </c>
      <c r="S124" s="498">
        <f t="shared" si="4"/>
        <v>0</v>
      </c>
      <c r="T124" s="499">
        <f t="shared" si="5"/>
        <v>0</v>
      </c>
      <c r="U124" s="447" t="s">
        <v>1085</v>
      </c>
      <c r="V124" s="182"/>
    </row>
    <row r="125" spans="1:22" ht="15.75" thickBot="1" x14ac:dyDescent="0.3">
      <c r="A125" s="339" t="s">
        <v>1112</v>
      </c>
      <c r="B125" s="443" t="s">
        <v>1113</v>
      </c>
      <c r="C125" s="444" t="s">
        <v>280</v>
      </c>
      <c r="D125" s="445" t="str" cm="1">
        <f t="array" ref="D125">_xlfn.TEXTJOIN("",TRUE,IF(ISNUMBER(SEARCH($A125,'Diags Raw Data'!$A$6:$A$3821)),CONCATENATE('Diags Raw Data'!$H$6:$H$3821,", "),""))</f>
        <v/>
      </c>
      <c r="E125" s="342" t="e">
        <f>VLOOKUP(A125,'Diags Raw Data'!$A$6:$D$3821,4,FALSE)</f>
        <v>#N/A</v>
      </c>
      <c r="F125" s="342" t="str">
        <f>VLOOKUP(A125,'Feature Raw Data'!$A$3:$E$3998,5,FALSE)</f>
        <v>Legacy</v>
      </c>
      <c r="G125" s="342" t="str">
        <f t="shared" si="18"/>
        <v>No</v>
      </c>
      <c r="H125" s="342" t="str">
        <f t="shared" si="19"/>
        <v>No</v>
      </c>
      <c r="I125" s="444">
        <f>SUMIF('Diags Raw Data'!$A$6:$A$3821,"*"&amp;$A125&amp;"*",'Diags Raw Data'!$K$6:$K$3821)</f>
        <v>0</v>
      </c>
      <c r="J125" s="446">
        <f>SUMIF('Diags Raw Data'!$A$6:$A$3821,"*"&amp;$A125&amp;"*",'Diags Raw Data'!$L$6:$L$3821)</f>
        <v>0</v>
      </c>
      <c r="K125" s="491" cm="1">
        <f t="array" ref="K125">IF(D125="",0, SUMPRODUCT(--(ISNUMBER(SEARCH($A125,'Diags Raw Data'!$A$6:$A$3821))),'Diags Raw Data'!$L$6:$L$3821,'Diags Raw Data'!$N$6:$N$3821)/J125)</f>
        <v>0</v>
      </c>
      <c r="L125" s="492" cm="1">
        <f t="array" ref="L125">IF(D125="",0, SUMPRODUCT(--(ISNUMBER(SEARCH($A125,'Diags Raw Data'!$A$6:$A$3821))),'Diags Raw Data'!$L$6:$L$3821,'Diags Raw Data'!$P$6:$P$3821)/J125)</f>
        <v>0</v>
      </c>
      <c r="M125" s="493" cm="1">
        <f t="array" ref="M125">SUMPRODUCT(--(ISNUMBER(SEARCH($A125,'Diags Raw Data'!$A$6:$A$3821))),--('Diags Raw Data'!$Q$6:$Q$3821&lt;&gt;"N/A"),'Diags Raw Data'!$R$6:$R$3821)</f>
        <v>0</v>
      </c>
      <c r="N125" s="494" cm="1">
        <f t="array" ref="N125">SUMPRODUCT(--(ISNUMBER(SEARCH($A125,'Diags Raw Data'!$A$6:$A$3821))),--('Diags Raw Data'!$Q$6:$Q$3821&lt;&gt;"N/A"),'Diags Raw Data'!$T$6:$T$3821)+SUMPRODUCT(--(ISNUMBER(SEARCH($A125,'Diags Raw Data'!$A$6:$A$3821))),--('Diags Raw Data'!$Q$6:$Q$3821&lt;&gt;"N/A"),'Diags Raw Data'!$U$6:$U$3821)</f>
        <v>0</v>
      </c>
      <c r="O125" s="495">
        <f t="shared" si="2"/>
        <v>0</v>
      </c>
      <c r="P125" s="496">
        <f>SUMIF('Diags Raw Data'!$A$6:$A$3821,"*"&amp;$A125&amp;"*",'Diags Raw Data'!$Z$6:$Z$3821)</f>
        <v>0</v>
      </c>
      <c r="Q125" s="497">
        <f>SUM(SUMIF('Diags Raw Data'!$A$6:$A$3821,"*"&amp;$A125&amp;"*",'Diags Raw Data'!$AA$6:$AA$3821),SUMIF('Diags Raw Data'!$A$6:$A$3821,"*"&amp;$A125&amp;"*",'Diags Raw Data'!$AB$6:$AB$3821))</f>
        <v>0</v>
      </c>
      <c r="R125" s="498">
        <f t="shared" si="3"/>
        <v>0</v>
      </c>
      <c r="S125" s="498">
        <f t="shared" si="4"/>
        <v>0</v>
      </c>
      <c r="T125" s="499">
        <f t="shared" si="5"/>
        <v>0</v>
      </c>
      <c r="U125" s="447" t="s">
        <v>1085</v>
      </c>
      <c r="V125" s="182"/>
    </row>
    <row r="126" spans="1:22" ht="15.75" thickBot="1" x14ac:dyDescent="0.3">
      <c r="A126" s="339" t="s">
        <v>1114</v>
      </c>
      <c r="B126" s="443" t="s">
        <v>1115</v>
      </c>
      <c r="C126" s="444" t="s">
        <v>280</v>
      </c>
      <c r="D126" s="445" t="str" cm="1">
        <f t="array" ref="D126">_xlfn.TEXTJOIN("",TRUE,IF(ISNUMBER(SEARCH($A126,'Diags Raw Data'!$A$6:$A$3821)),CONCATENATE('Diags Raw Data'!$H$6:$H$3821,", "),""))</f>
        <v/>
      </c>
      <c r="E126" s="342" t="e">
        <f>VLOOKUP(A126,'Diags Raw Data'!$A$6:$D$3821,4,FALSE)</f>
        <v>#N/A</v>
      </c>
      <c r="F126" s="342" t="str">
        <f>VLOOKUP(A126,'Feature Raw Data'!$A$3:$E$3998,5,FALSE)</f>
        <v>Legacy</v>
      </c>
      <c r="G126" s="342" t="str">
        <f t="shared" si="18"/>
        <v>No</v>
      </c>
      <c r="H126" s="342" t="str">
        <f t="shared" si="19"/>
        <v>No</v>
      </c>
      <c r="I126" s="444">
        <f>SUMIF('Diags Raw Data'!$A$6:$A$3821,"*"&amp;$A126&amp;"*",'Diags Raw Data'!$K$6:$K$3821)</f>
        <v>0</v>
      </c>
      <c r="J126" s="446">
        <f>SUMIF('Diags Raw Data'!$A$6:$A$3821,"*"&amp;$A126&amp;"*",'Diags Raw Data'!$L$6:$L$3821)</f>
        <v>0</v>
      </c>
      <c r="K126" s="491" cm="1">
        <f t="array" ref="K126">IF(D126="",0, SUMPRODUCT(--(ISNUMBER(SEARCH($A126,'Diags Raw Data'!$A$6:$A$3821))),'Diags Raw Data'!$L$6:$L$3821,'Diags Raw Data'!$N$6:$N$3821)/J126)</f>
        <v>0</v>
      </c>
      <c r="L126" s="492" cm="1">
        <f t="array" ref="L126">IF(D126="",0, SUMPRODUCT(--(ISNUMBER(SEARCH($A126,'Diags Raw Data'!$A$6:$A$3821))),'Diags Raw Data'!$L$6:$L$3821,'Diags Raw Data'!$P$6:$P$3821)/J126)</f>
        <v>0</v>
      </c>
      <c r="M126" s="493" cm="1">
        <f t="array" ref="M126">SUMPRODUCT(--(ISNUMBER(SEARCH($A126,'Diags Raw Data'!$A$6:$A$3821))),--('Diags Raw Data'!$Q$6:$Q$3821&lt;&gt;"N/A"),'Diags Raw Data'!$R$6:$R$3821)</f>
        <v>0</v>
      </c>
      <c r="N126" s="494" cm="1">
        <f t="array" ref="N126">SUMPRODUCT(--(ISNUMBER(SEARCH($A126,'Diags Raw Data'!$A$6:$A$3821))),--('Diags Raw Data'!$Q$6:$Q$3821&lt;&gt;"N/A"),'Diags Raw Data'!$T$6:$T$3821)+SUMPRODUCT(--(ISNUMBER(SEARCH($A126,'Diags Raw Data'!$A$6:$A$3821))),--('Diags Raw Data'!$Q$6:$Q$3821&lt;&gt;"N/A"),'Diags Raw Data'!$U$6:$U$3821)</f>
        <v>0</v>
      </c>
      <c r="O126" s="495">
        <f t="shared" si="2"/>
        <v>0</v>
      </c>
      <c r="P126" s="496">
        <f>SUMIF('Diags Raw Data'!$A$6:$A$3821,"*"&amp;$A126&amp;"*",'Diags Raw Data'!$Z$6:$Z$3821)</f>
        <v>0</v>
      </c>
      <c r="Q126" s="497">
        <f>SUM(SUMIF('Diags Raw Data'!$A$6:$A$3821,"*"&amp;$A126&amp;"*",'Diags Raw Data'!$AA$6:$AA$3821),SUMIF('Diags Raw Data'!$A$6:$A$3821,"*"&amp;$A126&amp;"*",'Diags Raw Data'!$AB$6:$AB$3821))</f>
        <v>0</v>
      </c>
      <c r="R126" s="498">
        <f t="shared" si="3"/>
        <v>0</v>
      </c>
      <c r="S126" s="498">
        <f t="shared" si="4"/>
        <v>0</v>
      </c>
      <c r="T126" s="499">
        <f t="shared" si="5"/>
        <v>0</v>
      </c>
      <c r="U126" s="447" t="s">
        <v>1085</v>
      </c>
      <c r="V126" s="182"/>
    </row>
    <row r="127" spans="1:22" ht="15.75" thickBot="1" x14ac:dyDescent="0.3">
      <c r="A127" s="339" t="s">
        <v>1116</v>
      </c>
      <c r="B127" s="443" t="s">
        <v>1117</v>
      </c>
      <c r="C127" s="444" t="s">
        <v>280</v>
      </c>
      <c r="D127" s="445" t="str" cm="1">
        <f t="array" ref="D127">_xlfn.TEXTJOIN("",TRUE,IF(ISNUMBER(SEARCH($A127,'Diags Raw Data'!$A$6:$A$3821)),CONCATENATE('Diags Raw Data'!$H$6:$H$3821,", "),""))</f>
        <v/>
      </c>
      <c r="E127" s="342" t="e">
        <f>VLOOKUP(A127,'Diags Raw Data'!$A$6:$D$3821,4,FALSE)</f>
        <v>#N/A</v>
      </c>
      <c r="F127" s="342" t="str">
        <f>VLOOKUP(A127,'Feature Raw Data'!$A$3:$E$3998,5,FALSE)</f>
        <v>Legacy</v>
      </c>
      <c r="G127" s="342" t="str">
        <f t="shared" si="18"/>
        <v>No</v>
      </c>
      <c r="H127" s="342" t="str">
        <f t="shared" si="19"/>
        <v>No</v>
      </c>
      <c r="I127" s="444">
        <f>SUMIF('Diags Raw Data'!$A$6:$A$3821,"*"&amp;$A127&amp;"*",'Diags Raw Data'!$K$6:$K$3821)</f>
        <v>0</v>
      </c>
      <c r="J127" s="446">
        <f>SUMIF('Diags Raw Data'!$A$6:$A$3821,"*"&amp;$A127&amp;"*",'Diags Raw Data'!$L$6:$L$3821)</f>
        <v>0</v>
      </c>
      <c r="K127" s="491" cm="1">
        <f t="array" ref="K127">IF(D127="",0, SUMPRODUCT(--(ISNUMBER(SEARCH($A127,'Diags Raw Data'!$A$6:$A$3821))),'Diags Raw Data'!$L$6:$L$3821,'Diags Raw Data'!$N$6:$N$3821)/J127)</f>
        <v>0</v>
      </c>
      <c r="L127" s="492" cm="1">
        <f t="array" ref="L127">IF(D127="",0, SUMPRODUCT(--(ISNUMBER(SEARCH($A127,'Diags Raw Data'!$A$6:$A$3821))),'Diags Raw Data'!$L$6:$L$3821,'Diags Raw Data'!$P$6:$P$3821)/J127)</f>
        <v>0</v>
      </c>
      <c r="M127" s="493" cm="1">
        <f t="array" ref="M127">SUMPRODUCT(--(ISNUMBER(SEARCH($A127,'Diags Raw Data'!$A$6:$A$3821))),--('Diags Raw Data'!$Q$6:$Q$3821&lt;&gt;"N/A"),'Diags Raw Data'!$R$6:$R$3821)</f>
        <v>0</v>
      </c>
      <c r="N127" s="494" cm="1">
        <f t="array" ref="N127">SUMPRODUCT(--(ISNUMBER(SEARCH($A127,'Diags Raw Data'!$A$6:$A$3821))),--('Diags Raw Data'!$Q$6:$Q$3821&lt;&gt;"N/A"),'Diags Raw Data'!$T$6:$T$3821)+SUMPRODUCT(--(ISNUMBER(SEARCH($A127,'Diags Raw Data'!$A$6:$A$3821))),--('Diags Raw Data'!$Q$6:$Q$3821&lt;&gt;"N/A"),'Diags Raw Data'!$U$6:$U$3821)</f>
        <v>0</v>
      </c>
      <c r="O127" s="495">
        <f t="shared" si="2"/>
        <v>0</v>
      </c>
      <c r="P127" s="496">
        <f>SUMIF('Diags Raw Data'!$A$6:$A$3821,"*"&amp;$A127&amp;"*",'Diags Raw Data'!$Z$6:$Z$3821)</f>
        <v>0</v>
      </c>
      <c r="Q127" s="497">
        <f>SUM(SUMIF('Diags Raw Data'!$A$6:$A$3821,"*"&amp;$A127&amp;"*",'Diags Raw Data'!$AA$6:$AA$3821),SUMIF('Diags Raw Data'!$A$6:$A$3821,"*"&amp;$A127&amp;"*",'Diags Raw Data'!$AB$6:$AB$3821))</f>
        <v>0</v>
      </c>
      <c r="R127" s="498">
        <f t="shared" si="3"/>
        <v>0</v>
      </c>
      <c r="S127" s="498">
        <f t="shared" si="4"/>
        <v>0</v>
      </c>
      <c r="T127" s="499">
        <f t="shared" si="5"/>
        <v>0</v>
      </c>
      <c r="U127" s="447" t="s">
        <v>1085</v>
      </c>
      <c r="V127" s="182"/>
    </row>
    <row r="128" spans="1:22" ht="15.75" thickBot="1" x14ac:dyDescent="0.3">
      <c r="A128" s="339" t="s">
        <v>1118</v>
      </c>
      <c r="B128" s="443" t="s">
        <v>1119</v>
      </c>
      <c r="C128" s="444" t="s">
        <v>280</v>
      </c>
      <c r="D128" s="445" t="str" cm="1">
        <f t="array" ref="D128">_xlfn.TEXTJOIN("",TRUE,IF(ISNUMBER(SEARCH($A128,'Diags Raw Data'!$A$6:$A$3821)),CONCATENATE('Diags Raw Data'!$H$6:$H$3821,", "),""))</f>
        <v/>
      </c>
      <c r="E128" s="342" t="e">
        <f>VLOOKUP(A128,'Diags Raw Data'!$A$6:$D$3821,4,FALSE)</f>
        <v>#N/A</v>
      </c>
      <c r="F128" s="342" t="str">
        <f>VLOOKUP(A128,'Feature Raw Data'!$A$3:$E$3998,5,FALSE)</f>
        <v>Legacy</v>
      </c>
      <c r="G128" s="342" t="str">
        <f t="shared" ref="G128:G131" si="20">IF(D128="","No","Yes")</f>
        <v>No</v>
      </c>
      <c r="H128" s="342" t="str">
        <f t="shared" ref="H128:H131" si="21">IF(D128="","No","Yes")</f>
        <v>No</v>
      </c>
      <c r="I128" s="444">
        <f>SUMIF('Diags Raw Data'!$A$6:$A$3821,"*"&amp;$A128&amp;"*",'Diags Raw Data'!$K$6:$K$3821)</f>
        <v>0</v>
      </c>
      <c r="J128" s="446">
        <f>SUMIF('Diags Raw Data'!$A$6:$A$3821,"*"&amp;$A128&amp;"*",'Diags Raw Data'!$L$6:$L$3821)</f>
        <v>0</v>
      </c>
      <c r="K128" s="491" cm="1">
        <f t="array" ref="K128">IF(D128="",0, SUMPRODUCT(--(ISNUMBER(SEARCH($A128,'Diags Raw Data'!$A$6:$A$3821))),'Diags Raw Data'!$L$6:$L$3821,'Diags Raw Data'!$N$6:$N$3821)/J128)</f>
        <v>0</v>
      </c>
      <c r="L128" s="492" cm="1">
        <f t="array" ref="L128">IF(D128="",0, SUMPRODUCT(--(ISNUMBER(SEARCH($A128,'Diags Raw Data'!$A$6:$A$3821))),'Diags Raw Data'!$L$6:$L$3821,'Diags Raw Data'!$P$6:$P$3821)/J128)</f>
        <v>0</v>
      </c>
      <c r="M128" s="493" cm="1">
        <f t="array" ref="M128">SUMPRODUCT(--(ISNUMBER(SEARCH($A128,'Diags Raw Data'!$A$6:$A$3821))),--('Diags Raw Data'!$Q$6:$Q$3821&lt;&gt;"N/A"),'Diags Raw Data'!$R$6:$R$3821)</f>
        <v>0</v>
      </c>
      <c r="N128" s="494" cm="1">
        <f t="array" ref="N128">SUMPRODUCT(--(ISNUMBER(SEARCH($A128,'Diags Raw Data'!$A$6:$A$3821))),--('Diags Raw Data'!$Q$6:$Q$3821&lt;&gt;"N/A"),'Diags Raw Data'!$T$6:$T$3821)+SUMPRODUCT(--(ISNUMBER(SEARCH($A128,'Diags Raw Data'!$A$6:$A$3821))),--('Diags Raw Data'!$Q$6:$Q$3821&lt;&gt;"N/A"),'Diags Raw Data'!$U$6:$U$3821)</f>
        <v>0</v>
      </c>
      <c r="O128" s="495">
        <f t="shared" si="2"/>
        <v>0</v>
      </c>
      <c r="P128" s="496">
        <f>SUMIF('Diags Raw Data'!$A$6:$A$3821,"*"&amp;$A128&amp;"*",'Diags Raw Data'!$Z$6:$Z$3821)</f>
        <v>0</v>
      </c>
      <c r="Q128" s="497">
        <f>SUM(SUMIF('Diags Raw Data'!$A$6:$A$3821,"*"&amp;$A128&amp;"*",'Diags Raw Data'!$AA$6:$AA$3821),SUMIF('Diags Raw Data'!$A$6:$A$3821,"*"&amp;$A128&amp;"*",'Diags Raw Data'!$AB$6:$AB$3821))</f>
        <v>0</v>
      </c>
      <c r="R128" s="498">
        <f t="shared" ref="R128:R131" si="22">IF((J128=0),0,P128/J128)</f>
        <v>0</v>
      </c>
      <c r="S128" s="498">
        <f t="shared" ref="S128:S131" si="23">IF((P128=0),0,Q128/P128)</f>
        <v>0</v>
      </c>
      <c r="T128" s="499">
        <f t="shared" ref="T128:T131" si="24">R128*S128</f>
        <v>0</v>
      </c>
      <c r="U128" s="447" t="s">
        <v>1085</v>
      </c>
      <c r="V128" s="182"/>
    </row>
    <row r="129" spans="1:22" ht="15.75" thickBot="1" x14ac:dyDescent="0.3">
      <c r="A129" s="339" t="s">
        <v>1120</v>
      </c>
      <c r="B129" s="443" t="s">
        <v>1121</v>
      </c>
      <c r="C129" s="444" t="s">
        <v>280</v>
      </c>
      <c r="D129" s="445" t="str" cm="1">
        <f t="array" ref="D129">_xlfn.TEXTJOIN("",TRUE,IF(ISNUMBER(SEARCH($A129,'Diags Raw Data'!$A$6:$A$3821)),CONCATENATE('Diags Raw Data'!$H$6:$H$3821,", "),""))</f>
        <v/>
      </c>
      <c r="E129" s="342" t="e">
        <f>VLOOKUP(A129,'Diags Raw Data'!$A$6:$D$3821,4,FALSE)</f>
        <v>#N/A</v>
      </c>
      <c r="F129" s="342" t="str">
        <f>VLOOKUP(A129,'Feature Raw Data'!$A$3:$E$3998,5,FALSE)</f>
        <v>Legacy</v>
      </c>
      <c r="G129" s="342" t="str">
        <f t="shared" si="20"/>
        <v>No</v>
      </c>
      <c r="H129" s="342" t="str">
        <f t="shared" si="21"/>
        <v>No</v>
      </c>
      <c r="I129" s="444">
        <f>SUMIF('Diags Raw Data'!$A$6:$A$3821,"*"&amp;$A129&amp;"*",'Diags Raw Data'!$K$6:$K$3821)</f>
        <v>0</v>
      </c>
      <c r="J129" s="446">
        <f>SUMIF('Diags Raw Data'!$A$6:$A$3821,"*"&amp;$A129&amp;"*",'Diags Raw Data'!$L$6:$L$3821)</f>
        <v>0</v>
      </c>
      <c r="K129" s="491" cm="1">
        <f t="array" ref="K129">IF(D129="",0, SUMPRODUCT(--(ISNUMBER(SEARCH($A129,'Diags Raw Data'!$A$6:$A$3821))),'Diags Raw Data'!$L$6:$L$3821,'Diags Raw Data'!$N$6:$N$3821)/J129)</f>
        <v>0</v>
      </c>
      <c r="L129" s="492" cm="1">
        <f t="array" ref="L129">IF(D129="",0, SUMPRODUCT(--(ISNUMBER(SEARCH($A129,'Diags Raw Data'!$A$6:$A$3821))),'Diags Raw Data'!$L$6:$L$3821,'Diags Raw Data'!$P$6:$P$3821)/J129)</f>
        <v>0</v>
      </c>
      <c r="M129" s="493" cm="1">
        <f t="array" ref="M129">SUMPRODUCT(--(ISNUMBER(SEARCH($A129,'Diags Raw Data'!$A$6:$A$3821))),--('Diags Raw Data'!$Q$6:$Q$3821&lt;&gt;"N/A"),'Diags Raw Data'!$R$6:$R$3821)</f>
        <v>0</v>
      </c>
      <c r="N129" s="494" cm="1">
        <f t="array" ref="N129">SUMPRODUCT(--(ISNUMBER(SEARCH($A129,'Diags Raw Data'!$A$6:$A$3821))),--('Diags Raw Data'!$Q$6:$Q$3821&lt;&gt;"N/A"),'Diags Raw Data'!$T$6:$T$3821)+SUMPRODUCT(--(ISNUMBER(SEARCH($A129,'Diags Raw Data'!$A$6:$A$3821))),--('Diags Raw Data'!$Q$6:$Q$3821&lt;&gt;"N/A"),'Diags Raw Data'!$U$6:$U$3821)</f>
        <v>0</v>
      </c>
      <c r="O129" s="495">
        <f t="shared" ref="O129:O131" si="25">IF((M129=0),0,N129/M129)</f>
        <v>0</v>
      </c>
      <c r="P129" s="496">
        <f>SUMIF('Diags Raw Data'!$A$6:$A$3821,"*"&amp;$A129&amp;"*",'Diags Raw Data'!$Z$6:$Z$3821)</f>
        <v>0</v>
      </c>
      <c r="Q129" s="497">
        <f>SUM(SUMIF('Diags Raw Data'!$A$6:$A$3821,"*"&amp;$A129&amp;"*",'Diags Raw Data'!$AA$6:$AA$3821),SUMIF('Diags Raw Data'!$A$6:$A$3821,"*"&amp;$A129&amp;"*",'Diags Raw Data'!$AB$6:$AB$3821))</f>
        <v>0</v>
      </c>
      <c r="R129" s="498">
        <f t="shared" si="22"/>
        <v>0</v>
      </c>
      <c r="S129" s="498">
        <f t="shared" si="23"/>
        <v>0</v>
      </c>
      <c r="T129" s="499">
        <f t="shared" si="24"/>
        <v>0</v>
      </c>
      <c r="U129" s="447" t="s">
        <v>1085</v>
      </c>
      <c r="V129" s="182"/>
    </row>
    <row r="130" spans="1:22" ht="15.75" thickBot="1" x14ac:dyDescent="0.3">
      <c r="A130" s="339" t="s">
        <v>1122</v>
      </c>
      <c r="B130" s="443" t="s">
        <v>1123</v>
      </c>
      <c r="C130" s="444" t="s">
        <v>280</v>
      </c>
      <c r="D130" s="445" t="str" cm="1">
        <f t="array" ref="D130">_xlfn.TEXTJOIN("",TRUE,IF(ISNUMBER(SEARCH($A130,'Diags Raw Data'!$A$6:$A$3821)),CONCATENATE('Diags Raw Data'!$H$6:$H$3821,", "),""))</f>
        <v/>
      </c>
      <c r="E130" s="342" t="e">
        <f>VLOOKUP(A130,'Diags Raw Data'!$A$6:$D$3821,4,FALSE)</f>
        <v>#N/A</v>
      </c>
      <c r="F130" s="342" t="str">
        <f>VLOOKUP(A130,'Feature Raw Data'!$A$3:$E$3998,5,FALSE)</f>
        <v>Legacy</v>
      </c>
      <c r="G130" s="342" t="str">
        <f t="shared" si="20"/>
        <v>No</v>
      </c>
      <c r="H130" s="342" t="str">
        <f t="shared" si="21"/>
        <v>No</v>
      </c>
      <c r="I130" s="444">
        <f>SUMIF('Diags Raw Data'!$A$6:$A$3821,"*"&amp;$A130&amp;"*",'Diags Raw Data'!$K$6:$K$3821)</f>
        <v>0</v>
      </c>
      <c r="J130" s="446">
        <f>SUMIF('Diags Raw Data'!$A$6:$A$3821,"*"&amp;$A130&amp;"*",'Diags Raw Data'!$L$6:$L$3821)</f>
        <v>0</v>
      </c>
      <c r="K130" s="491" cm="1">
        <f t="array" ref="K130">IF(D130="",0, SUMPRODUCT(--(ISNUMBER(SEARCH($A130,'Diags Raw Data'!$A$6:$A$3821))),'Diags Raw Data'!$L$6:$L$3821,'Diags Raw Data'!$N$6:$N$3821)/J130)</f>
        <v>0</v>
      </c>
      <c r="L130" s="492" cm="1">
        <f t="array" ref="L130">IF(D130="",0, SUMPRODUCT(--(ISNUMBER(SEARCH($A130,'Diags Raw Data'!$A$6:$A$3821))),'Diags Raw Data'!$L$6:$L$3821,'Diags Raw Data'!$P$6:$P$3821)/J130)</f>
        <v>0</v>
      </c>
      <c r="M130" s="493" cm="1">
        <f t="array" ref="M130">SUMPRODUCT(--(ISNUMBER(SEARCH($A130,'Diags Raw Data'!$A$6:$A$3821))),--('Diags Raw Data'!$Q$6:$Q$3821&lt;&gt;"N/A"),'Diags Raw Data'!$R$6:$R$3821)</f>
        <v>0</v>
      </c>
      <c r="N130" s="494" cm="1">
        <f t="array" ref="N130">SUMPRODUCT(--(ISNUMBER(SEARCH($A130,'Diags Raw Data'!$A$6:$A$3821))),--('Diags Raw Data'!$Q$6:$Q$3821&lt;&gt;"N/A"),'Diags Raw Data'!$T$6:$T$3821)+SUMPRODUCT(--(ISNUMBER(SEARCH($A130,'Diags Raw Data'!$A$6:$A$3821))),--('Diags Raw Data'!$Q$6:$Q$3821&lt;&gt;"N/A"),'Diags Raw Data'!$U$6:$U$3821)</f>
        <v>0</v>
      </c>
      <c r="O130" s="495">
        <f t="shared" si="25"/>
        <v>0</v>
      </c>
      <c r="P130" s="496">
        <f>SUMIF('Diags Raw Data'!$A$6:$A$3821,"*"&amp;$A130&amp;"*",'Diags Raw Data'!$Z$6:$Z$3821)</f>
        <v>0</v>
      </c>
      <c r="Q130" s="497">
        <f>SUM(SUMIF('Diags Raw Data'!$A$6:$A$3821,"*"&amp;$A130&amp;"*",'Diags Raw Data'!$AA$6:$AA$3821),SUMIF('Diags Raw Data'!$A$6:$A$3821,"*"&amp;$A130&amp;"*",'Diags Raw Data'!$AB$6:$AB$3821))</f>
        <v>0</v>
      </c>
      <c r="R130" s="498">
        <f t="shared" si="22"/>
        <v>0</v>
      </c>
      <c r="S130" s="498">
        <f t="shared" si="23"/>
        <v>0</v>
      </c>
      <c r="T130" s="499">
        <f t="shared" si="24"/>
        <v>0</v>
      </c>
      <c r="U130" s="447" t="s">
        <v>1085</v>
      </c>
      <c r="V130" s="182"/>
    </row>
    <row r="131" spans="1:22" ht="15.75" thickBot="1" x14ac:dyDescent="0.3">
      <c r="A131" s="339" t="s">
        <v>1124</v>
      </c>
      <c r="B131" s="443" t="s">
        <v>1125</v>
      </c>
      <c r="C131" s="444" t="s">
        <v>259</v>
      </c>
      <c r="D131" s="445" t="str" cm="1">
        <f t="array" ref="D131">_xlfn.TEXTJOIN("",TRUE,IF(ISNUMBER(SEARCH($A131,'Diags Raw Data'!$A$6:$A$3821)),CONCATENATE('Diags Raw Data'!$H$6:$H$3821,", "),""))</f>
        <v/>
      </c>
      <c r="E131" s="342" t="e">
        <f>VLOOKUP(A131,'Diags Raw Data'!$A$6:$D$3821,4,FALSE)</f>
        <v>#N/A</v>
      </c>
      <c r="F131" s="342" t="str">
        <f>VLOOKUP(A131,'Feature Raw Data'!$A$3:$E$3998,5,FALSE)</f>
        <v>Legacy</v>
      </c>
      <c r="G131" s="342" t="str">
        <f t="shared" si="20"/>
        <v>No</v>
      </c>
      <c r="H131" s="342" t="str">
        <f t="shared" si="21"/>
        <v>No</v>
      </c>
      <c r="I131" s="444">
        <f>SUMIF('Diags Raw Data'!$A$6:$A$3821,"*"&amp;$A131&amp;"*",'Diags Raw Data'!$K$6:$K$3821)</f>
        <v>0</v>
      </c>
      <c r="J131" s="446">
        <f>SUMIF('Diags Raw Data'!$A$6:$A$3821,"*"&amp;$A131&amp;"*",'Diags Raw Data'!$L$6:$L$3821)</f>
        <v>0</v>
      </c>
      <c r="K131" s="491" cm="1">
        <f t="array" ref="K131">IF(D131="",0, SUMPRODUCT(--(ISNUMBER(SEARCH($A131,'Diags Raw Data'!$A$6:$A$3821))),'Diags Raw Data'!$L$6:$L$3821,'Diags Raw Data'!$N$6:$N$3821)/J131)</f>
        <v>0</v>
      </c>
      <c r="L131" s="492" cm="1">
        <f t="array" ref="L131">IF(D131="",0, SUMPRODUCT(--(ISNUMBER(SEARCH($A131,'Diags Raw Data'!$A$6:$A$3821))),'Diags Raw Data'!$L$6:$L$3821,'Diags Raw Data'!$P$6:$P$3821)/J131)</f>
        <v>0</v>
      </c>
      <c r="M131" s="493" cm="1">
        <f t="array" ref="M131">SUMPRODUCT(--(ISNUMBER(SEARCH($A131,'Diags Raw Data'!$A$6:$A$3821))),--('Diags Raw Data'!$Q$6:$Q$3821&lt;&gt;"N/A"),'Diags Raw Data'!$R$6:$R$3821)</f>
        <v>0</v>
      </c>
      <c r="N131" s="494" cm="1">
        <f t="array" ref="N131">SUMPRODUCT(--(ISNUMBER(SEARCH($A131,'Diags Raw Data'!$A$6:$A$3821))),--('Diags Raw Data'!$Q$6:$Q$3821&lt;&gt;"N/A"),'Diags Raw Data'!$T$6:$T$3821)+SUMPRODUCT(--(ISNUMBER(SEARCH($A131,'Diags Raw Data'!$A$6:$A$3821))),--('Diags Raw Data'!$Q$6:$Q$3821&lt;&gt;"N/A"),'Diags Raw Data'!$U$6:$U$3821)</f>
        <v>0</v>
      </c>
      <c r="O131" s="495">
        <f t="shared" si="25"/>
        <v>0</v>
      </c>
      <c r="P131" s="496">
        <f>SUMIF('Diags Raw Data'!$A$6:$A$3821,"*"&amp;$A131&amp;"*",'Diags Raw Data'!$Z$6:$Z$3821)</f>
        <v>0</v>
      </c>
      <c r="Q131" s="497">
        <f>SUM(SUMIF('Diags Raw Data'!$A$6:$A$3821,"*"&amp;$A131&amp;"*",'Diags Raw Data'!$AA$6:$AA$3821),SUMIF('Diags Raw Data'!$A$6:$A$3821,"*"&amp;$A131&amp;"*",'Diags Raw Data'!$AB$6:$AB$3821))</f>
        <v>0</v>
      </c>
      <c r="R131" s="498">
        <f t="shared" si="22"/>
        <v>0</v>
      </c>
      <c r="S131" s="498">
        <f t="shared" si="23"/>
        <v>0</v>
      </c>
      <c r="T131" s="499">
        <f t="shared" si="24"/>
        <v>0</v>
      </c>
      <c r="U131" s="447" t="s">
        <v>1085</v>
      </c>
      <c r="V131" s="182"/>
    </row>
    <row r="132" spans="1:22" x14ac:dyDescent="0.25">
      <c r="A132" s="380"/>
      <c r="B132" s="413"/>
      <c r="C132" s="341"/>
      <c r="D132" s="82"/>
      <c r="E132" s="181"/>
      <c r="F132" s="181"/>
      <c r="G132" s="181"/>
      <c r="H132" s="181"/>
      <c r="I132" s="341"/>
      <c r="J132" s="193"/>
      <c r="K132" s="500"/>
      <c r="L132" s="501"/>
      <c r="M132" s="502"/>
      <c r="N132" s="503"/>
      <c r="O132" s="504"/>
      <c r="P132" s="505"/>
      <c r="Q132" s="506"/>
      <c r="R132" s="507"/>
      <c r="S132" s="507"/>
      <c r="T132" s="508"/>
      <c r="U132" s="381"/>
      <c r="V132" s="182"/>
    </row>
    <row r="133" spans="1:22" x14ac:dyDescent="0.25">
      <c r="A133" s="380"/>
      <c r="B133" s="413"/>
      <c r="C133" s="341"/>
      <c r="E133" s="181"/>
      <c r="F133" s="181"/>
      <c r="G133" s="181"/>
      <c r="H133" s="181"/>
      <c r="I133" s="341"/>
      <c r="J133" s="193"/>
      <c r="K133" s="500"/>
      <c r="L133" s="501"/>
      <c r="M133" s="502"/>
      <c r="N133" s="503"/>
      <c r="O133" s="504"/>
      <c r="P133" s="505"/>
      <c r="Q133" s="506"/>
      <c r="R133" s="507"/>
      <c r="S133" s="507"/>
      <c r="T133" s="508"/>
      <c r="U133" s="381"/>
      <c r="V133" s="182"/>
    </row>
    <row r="134" spans="1:22" ht="15.75" thickBot="1" x14ac:dyDescent="0.3">
      <c r="A134" s="388"/>
      <c r="B134" s="414"/>
      <c r="C134" s="389"/>
      <c r="D134" s="390"/>
      <c r="E134" s="391"/>
      <c r="F134" s="391"/>
      <c r="G134" s="391"/>
      <c r="H134" s="391"/>
      <c r="I134" s="389"/>
      <c r="J134" s="392"/>
      <c r="K134" s="509"/>
      <c r="L134" s="510"/>
      <c r="M134" s="511"/>
      <c r="N134" s="512"/>
      <c r="O134" s="513"/>
      <c r="P134" s="514"/>
      <c r="Q134" s="515"/>
      <c r="R134" s="516"/>
      <c r="S134" s="516"/>
      <c r="T134" s="517"/>
      <c r="U134" s="393"/>
      <c r="V134" s="182"/>
    </row>
    <row r="135" spans="1:22" x14ac:dyDescent="0.25">
      <c r="A135" s="724" t="s">
        <v>1126</v>
      </c>
      <c r="B135" s="725"/>
      <c r="C135" s="725"/>
      <c r="D135" s="725"/>
      <c r="E135" s="725"/>
      <c r="F135" s="725"/>
      <c r="G135" s="725"/>
      <c r="H135" s="725"/>
      <c r="I135" s="725"/>
      <c r="J135" s="725"/>
      <c r="K135" s="725"/>
      <c r="L135" s="725"/>
      <c r="M135" s="725"/>
      <c r="N135" s="725"/>
      <c r="O135" s="725"/>
      <c r="P135" s="725"/>
      <c r="Q135" s="725"/>
      <c r="R135" s="725"/>
      <c r="S135" s="725"/>
      <c r="T135" s="725"/>
      <c r="U135" s="726"/>
      <c r="V135" s="182"/>
    </row>
    <row r="136" spans="1:22" ht="15.75" thickBot="1" x14ac:dyDescent="0.3">
      <c r="A136" s="727"/>
      <c r="B136" s="728"/>
      <c r="C136" s="728"/>
      <c r="D136" s="728"/>
      <c r="E136" s="728"/>
      <c r="F136" s="728"/>
      <c r="G136" s="728"/>
      <c r="H136" s="728"/>
      <c r="I136" s="728"/>
      <c r="J136" s="728"/>
      <c r="K136" s="728"/>
      <c r="L136" s="728"/>
      <c r="M136" s="728"/>
      <c r="N136" s="728"/>
      <c r="O136" s="728"/>
      <c r="P136" s="728"/>
      <c r="Q136" s="728"/>
      <c r="R136" s="728"/>
      <c r="S136" s="728"/>
      <c r="T136" s="728"/>
      <c r="U136" s="729"/>
      <c r="V136" s="182"/>
    </row>
    <row r="137" spans="1:22" s="187" customFormat="1" ht="18.75" x14ac:dyDescent="0.25">
      <c r="A137" s="718" t="s">
        <v>302</v>
      </c>
      <c r="B137" s="719"/>
      <c r="C137" s="719"/>
      <c r="D137" s="719"/>
      <c r="E137" s="719"/>
      <c r="F137" s="720"/>
      <c r="G137" s="402">
        <f>COUNTIF(G7:G134,"Yes")</f>
        <v>109</v>
      </c>
      <c r="H137" s="402">
        <f>COUNTIF(H7:H134,"Yes")</f>
        <v>109</v>
      </c>
      <c r="I137" s="750">
        <f>'Diags Raw Data'!K211</f>
        <v>391</v>
      </c>
      <c r="J137" s="752">
        <f>'Diags Raw Data'!L211</f>
        <v>3312</v>
      </c>
      <c r="K137" s="738">
        <f>'Diags Raw Data'!N211</f>
        <v>1</v>
      </c>
      <c r="L137" s="740">
        <f>'Diags Raw Data'!P211</f>
        <v>1</v>
      </c>
      <c r="M137" s="742">
        <f>'Diags Raw Data'!R211</f>
        <v>2973</v>
      </c>
      <c r="N137" s="734">
        <f>SUM('Diags Raw Data'!T211+'Diags Raw Data'!U211)</f>
        <v>0</v>
      </c>
      <c r="O137" s="730">
        <f>IF((M137=0),0,N137/M137)</f>
        <v>0</v>
      </c>
      <c r="P137" s="732">
        <v>0</v>
      </c>
      <c r="Q137" s="748">
        <f>SUM('Diags Raw Data'!AA211+'Diags Raw Data'!AB211)</f>
        <v>0</v>
      </c>
      <c r="R137" s="744">
        <f>IF((J137=0),0,P137/J137)</f>
        <v>0</v>
      </c>
      <c r="S137" s="744">
        <f>IF((P137=0),0,Q137/P137)</f>
        <v>0</v>
      </c>
      <c r="T137" s="744">
        <f>R137*S137</f>
        <v>0</v>
      </c>
      <c r="U137" s="746"/>
      <c r="V137" s="186"/>
    </row>
    <row r="138" spans="1:22" ht="19.5" thickBot="1" x14ac:dyDescent="0.3">
      <c r="A138" s="721"/>
      <c r="B138" s="722"/>
      <c r="C138" s="722"/>
      <c r="D138" s="722"/>
      <c r="E138" s="722"/>
      <c r="F138" s="723"/>
      <c r="G138" s="403">
        <f>COUNTIF(G7:G134,"Yes")/COUNTA(A7:A134)</f>
        <v>0.872</v>
      </c>
      <c r="H138" s="403">
        <f>(COUNTIF(H7:H134,"Yes")/G137)</f>
        <v>1</v>
      </c>
      <c r="I138" s="751"/>
      <c r="J138" s="753"/>
      <c r="K138" s="739"/>
      <c r="L138" s="741"/>
      <c r="M138" s="743"/>
      <c r="N138" s="735"/>
      <c r="O138" s="731"/>
      <c r="P138" s="733"/>
      <c r="Q138" s="749"/>
      <c r="R138" s="745"/>
      <c r="S138" s="745"/>
      <c r="T138" s="745"/>
      <c r="U138" s="747"/>
      <c r="V138" s="182"/>
    </row>
    <row r="139" spans="1:22" x14ac:dyDescent="0.25">
      <c r="A139" s="188"/>
      <c r="B139" s="189"/>
      <c r="C139" s="189"/>
      <c r="D139" s="188"/>
      <c r="E139" s="189"/>
      <c r="F139" s="189"/>
      <c r="G139" s="384"/>
      <c r="H139" s="189"/>
      <c r="I139" s="394"/>
      <c r="J139" s="394"/>
      <c r="K139" s="194"/>
      <c r="L139" s="194"/>
      <c r="M139" s="195"/>
      <c r="N139" s="195"/>
      <c r="O139" s="194"/>
      <c r="P139" s="191"/>
      <c r="Q139" s="191"/>
      <c r="R139" s="198"/>
      <c r="S139" s="198"/>
      <c r="T139" s="199"/>
      <c r="U139" s="188"/>
    </row>
  </sheetData>
  <sheetProtection insertColumns="0" insertRows="0" deleteRows="0" sort="0"/>
  <autoFilter ref="A6:U138"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137:K138"/>
    <mergeCell ref="L137:L138"/>
    <mergeCell ref="M137:M138"/>
    <mergeCell ref="T2:T3"/>
    <mergeCell ref="U2:U3"/>
    <mergeCell ref="R2:R3"/>
    <mergeCell ref="S2:S3"/>
    <mergeCell ref="S137:S138"/>
    <mergeCell ref="T137:T138"/>
    <mergeCell ref="U137:U138"/>
    <mergeCell ref="Q137:Q138"/>
    <mergeCell ref="R137:R138"/>
    <mergeCell ref="I137:I138"/>
    <mergeCell ref="J137:J138"/>
    <mergeCell ref="K5:L5"/>
    <mergeCell ref="A5:J5"/>
    <mergeCell ref="M5:O5"/>
    <mergeCell ref="P5:U5"/>
    <mergeCell ref="A137:F138"/>
    <mergeCell ref="A135:U136"/>
    <mergeCell ref="O137:O138"/>
    <mergeCell ref="P137:P138"/>
    <mergeCell ref="N137:N138"/>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sheetPr codeName="Sheet7"/>
  <dimension ref="A1:V65"/>
  <sheetViews>
    <sheetView zoomScaleNormal="100" workbookViewId="0">
      <pane xSplit="1" ySplit="3" topLeftCell="C4" activePane="bottomRight" state="frozen"/>
      <selection pane="topRight" activeCell="B1" sqref="B1"/>
      <selection pane="bottomLeft" activeCell="A4" sqref="A4"/>
      <selection pane="bottomRight" activeCell="G25" sqref="G25"/>
    </sheetView>
  </sheetViews>
  <sheetFormatPr defaultRowHeight="15" x14ac:dyDescent="0.25"/>
  <cols>
    <col min="1" max="1" width="27.7109375" customWidth="1"/>
    <col min="2" max="2" width="15.7109375" customWidth="1"/>
    <col min="3" max="3" width="27.85546875" customWidth="1"/>
    <col min="4" max="4" width="6" customWidth="1"/>
    <col min="5" max="5" width="14.5703125" customWidth="1"/>
    <col min="6" max="6" width="15.140625" customWidth="1"/>
    <col min="7" max="7" width="9.28515625" customWidth="1"/>
    <col min="8" max="11" width="9.140625"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766" t="s">
        <v>1127</v>
      </c>
      <c r="B1" s="767"/>
      <c r="C1" s="767"/>
      <c r="D1" s="767"/>
      <c r="E1" s="767"/>
      <c r="F1" s="767"/>
      <c r="G1" s="767"/>
      <c r="H1" s="767"/>
      <c r="I1" s="767"/>
      <c r="J1" s="767"/>
      <c r="K1" s="767"/>
      <c r="L1" s="767"/>
      <c r="M1" s="767"/>
      <c r="N1" s="767"/>
      <c r="O1" s="767"/>
      <c r="P1" s="767"/>
      <c r="Q1" s="767"/>
      <c r="R1" s="767"/>
      <c r="S1" s="767"/>
      <c r="T1" s="767"/>
      <c r="U1" s="767"/>
      <c r="V1" s="768"/>
    </row>
    <row r="2" spans="1:22" ht="15.75" thickBot="1" x14ac:dyDescent="0.3">
      <c r="A2" s="217" t="s">
        <v>1128</v>
      </c>
      <c r="B2" s="769" t="s">
        <v>166</v>
      </c>
      <c r="C2" s="769"/>
      <c r="D2" s="769"/>
      <c r="E2" s="769"/>
      <c r="F2" s="769"/>
      <c r="G2" s="770" t="s">
        <v>177</v>
      </c>
      <c r="H2" s="771"/>
      <c r="I2" s="771"/>
      <c r="J2" s="771"/>
      <c r="K2" s="771"/>
      <c r="L2" s="771"/>
      <c r="M2" s="771"/>
      <c r="N2" s="772"/>
      <c r="O2" s="773" t="s">
        <v>144</v>
      </c>
      <c r="P2" s="774"/>
      <c r="Q2" s="774"/>
      <c r="R2" s="774"/>
      <c r="S2" s="774"/>
      <c r="T2" s="774"/>
      <c r="U2" s="774"/>
      <c r="V2" s="775"/>
    </row>
    <row r="3" spans="1:22" s="250" customFormat="1" ht="15.75" thickBot="1" x14ac:dyDescent="0.3">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25">
      <c r="A4" s="333" t="s">
        <v>508</v>
      </c>
      <c r="B4" s="251">
        <f>SUMIFS('Diags Raw Data'!$L$6:$L$4825,'Diags Raw Data'!$D$6:$D$4825,$A4)</f>
        <v>13</v>
      </c>
      <c r="C4" s="241">
        <f>SUMIFS('Diags Raw Data'!$R$6:$R$4825,'Diags Raw Data'!$D$6:$D$4825,$A4)</f>
        <v>13</v>
      </c>
      <c r="D4" s="241">
        <f>SUMIFS('Diags Raw Data'!$K$6:$K$4825,'Diags Raw Data'!$D$6:$D$4825,$A4)</f>
        <v>2</v>
      </c>
      <c r="E4" s="241">
        <f>SUMIFS('Diags Raw Data'!$O$6:$O$4825,'Diags Raw Data'!$D$6:$D$4825,$A4)</f>
        <v>13</v>
      </c>
      <c r="F4" s="247">
        <f>IF(NOT($B4=0), E4/$B4, "---")</f>
        <v>1</v>
      </c>
      <c r="G4" s="219">
        <f>SUMIFS('Diags Raw Data'!$S$6:$S$4825,'Diags Raw Data'!$D$6:$D$4825,$A4)</f>
        <v>0</v>
      </c>
      <c r="H4" s="220">
        <f>SUMIFS('Diags Raw Data'!$T$6:$T$4825,'Diags Raw Data'!$D$6:$D$4825,$A4)</f>
        <v>0</v>
      </c>
      <c r="I4" s="222">
        <f>SUMIFS('Diags Raw Data'!$U$6:$U$4825,'Diags Raw Data'!$D$6:$D$4825,$A4)</f>
        <v>0</v>
      </c>
      <c r="J4" s="220">
        <f>SUMIFS('Diags Raw Data'!$V$6:$V$4825,'Diags Raw Data'!$D$6:$D$4825,$A4)</f>
        <v>0</v>
      </c>
      <c r="K4" s="222">
        <f>SUMIFS('Diags Raw Data'!$W$6:$W$4825,'Diags Raw Data'!$D$6:$D$4825,$A4)</f>
        <v>0</v>
      </c>
      <c r="L4" s="621">
        <f>IF(NOT($C4=0), G4/$C4, "---")</f>
        <v>0</v>
      </c>
      <c r="M4" s="223" t="str">
        <f>IF(NOT($G4=0), (H4+I4)/$G4, "---")</f>
        <v>---</v>
      </c>
      <c r="N4" s="225">
        <f>IF(NOT($C4=0), (H4+I4)/$C4, "---")</f>
        <v>0</v>
      </c>
      <c r="O4" s="212">
        <v>0</v>
      </c>
      <c r="P4" s="209">
        <f>SUMIFS('Diags Raw Data'!$AA$6:$AA$4825,'Diags Raw Data'!$D$6:$D$4825,$A4)</f>
        <v>0</v>
      </c>
      <c r="Q4" s="211">
        <f>SUMIFS('Diags Raw Data'!$AB$6:$AB$4825,'Diags Raw Data'!$D$6:$D$4825,$A4)</f>
        <v>0</v>
      </c>
      <c r="R4" s="209">
        <f>SUMIFS('Diags Raw Data'!$AC$6:$AC$4825,'Diags Raw Data'!$D$6:$D$4825,$A4)</f>
        <v>0</v>
      </c>
      <c r="S4" s="211">
        <f>SUMIFS('Diags Raw Data'!$AD$6:$AD$4825,'Diags Raw Data'!$D$6:$D$4825,$A4)</f>
        <v>0</v>
      </c>
      <c r="T4" s="624">
        <f>IF(NOT($B4=0), O4/$B4, "---")</f>
        <v>0</v>
      </c>
      <c r="U4" s="224" t="str">
        <f>IF(NOT($O4=0), (P4+Q4)/$O4, "---")</f>
        <v>---</v>
      </c>
      <c r="V4" s="240">
        <f>IF(NOT($B4=0), (P4+Q4)/$B4, "---")</f>
        <v>0</v>
      </c>
    </row>
    <row r="5" spans="1:22" x14ac:dyDescent="0.25">
      <c r="A5" s="333" t="s">
        <v>869</v>
      </c>
      <c r="B5" s="252">
        <f>SUMIFS('Diags Raw Data'!$L$6:$L$4825,'Diags Raw Data'!$D$6:$D$4825,$A5)</f>
        <v>6</v>
      </c>
      <c r="C5" s="242">
        <f>SUMIFS('Diags Raw Data'!$R$6:$R$4825,'Diags Raw Data'!$D$6:$D$4825,$A5)</f>
        <v>10</v>
      </c>
      <c r="D5" s="242">
        <f>SUMIFS('Diags Raw Data'!$K$6:$K$4825,'Diags Raw Data'!$D$6:$D$4825,$A5)</f>
        <v>3</v>
      </c>
      <c r="E5" s="242">
        <f>SUMIFS('Diags Raw Data'!$O$6:$O$4825,'Diags Raw Data'!$D$6:$D$4825,$A5)</f>
        <v>6</v>
      </c>
      <c r="F5" s="248">
        <f t="shared" ref="F5:F15" si="0">IF(NOT($B5=0), E5/$B5, "---")</f>
        <v>1</v>
      </c>
      <c r="G5" s="230">
        <f>SUMIFS('Diags Raw Data'!$S$6:$S$4825,'Diags Raw Data'!$D$6:$D$4825,$A5)</f>
        <v>0</v>
      </c>
      <c r="H5" s="226">
        <f>SUMIFS('Diags Raw Data'!$T$6:$T$4825,'Diags Raw Data'!$D$6:$D$4825,$A5)</f>
        <v>0</v>
      </c>
      <c r="I5" s="227">
        <f>SUMIFS('Diags Raw Data'!$U$6:$U$4825,'Diags Raw Data'!$D$6:$D$4825,$A5)</f>
        <v>0</v>
      </c>
      <c r="J5" s="226">
        <f>SUMIFS('Diags Raw Data'!$V$6:$V$4825,'Diags Raw Data'!$D$6:$D$4825,$A5)</f>
        <v>0</v>
      </c>
      <c r="K5" s="227">
        <f>SUMIFS('Diags Raw Data'!$W$6:$W$4825,'Diags Raw Data'!$D$6:$D$4825,$A5)</f>
        <v>0</v>
      </c>
      <c r="L5" s="622">
        <f t="shared" ref="L5:L18" si="1">IF(NOT($C5=0), G5/$C5, "---")</f>
        <v>0</v>
      </c>
      <c r="M5" s="228" t="str">
        <f t="shared" ref="M5:M18" si="2">IF(NOT($G5=0), (H5+I5)/$G5, "---")</f>
        <v>---</v>
      </c>
      <c r="N5" s="237">
        <f t="shared" ref="N5:N15" si="3">IF(NOT($C5=0), (H5+I5)/$C5, "---")</f>
        <v>0</v>
      </c>
      <c r="O5" s="213">
        <v>0</v>
      </c>
      <c r="P5" s="203">
        <f>SUMIFS('Diags Raw Data'!$AA$6:$AA$4825,'Diags Raw Data'!$D$6:$D$4825,$A5)</f>
        <v>0</v>
      </c>
      <c r="Q5" s="205">
        <f>SUMIFS('Diags Raw Data'!$AB$6:$AB$4825,'Diags Raw Data'!$D$6:$D$4825,$A5)</f>
        <v>0</v>
      </c>
      <c r="R5" s="203">
        <f>SUMIFS('Diags Raw Data'!$AC$6:$AC$4825,'Diags Raw Data'!$D$6:$D$4825,$A5)</f>
        <v>0</v>
      </c>
      <c r="S5" s="205">
        <f>SUMIFS('Diags Raw Data'!$AD$6:$AD$4825,'Diags Raw Data'!$D$6:$D$4825,$A5)</f>
        <v>0</v>
      </c>
      <c r="T5" s="625">
        <f t="shared" ref="T5:T18" si="4">IF(NOT($B5=0), O5/$B5, "---")</f>
        <v>0</v>
      </c>
      <c r="U5" s="229" t="str">
        <f t="shared" ref="U5:U8" si="5">IF(NOT($O5=0), (P5+Q5)/$O5, "---")</f>
        <v>---</v>
      </c>
      <c r="V5" s="231">
        <f t="shared" ref="V5:V18" si="6">IF(NOT($B5=0), (P5+Q5)/$B5, "---")</f>
        <v>0</v>
      </c>
    </row>
    <row r="6" spans="1:22" x14ac:dyDescent="0.25">
      <c r="A6" s="333" t="s">
        <v>264</v>
      </c>
      <c r="B6" s="252">
        <f>SUMIFS('Diags Raw Data'!$L$6:$L$4825,'Diags Raw Data'!$D$6:$D$4825,$A6)</f>
        <v>400</v>
      </c>
      <c r="C6" s="242">
        <f>SUMIFS('Diags Raw Data'!$R$6:$R$4825,'Diags Raw Data'!$D$6:$D$4825,$A6)</f>
        <v>409</v>
      </c>
      <c r="D6" s="242">
        <f>SUMIFS('Diags Raw Data'!$K$6:$K$4825,'Diags Raw Data'!$D$6:$D$4825,$A6)</f>
        <v>33</v>
      </c>
      <c r="E6" s="242">
        <f>SUMIFS('Diags Raw Data'!$O$6:$O$4825,'Diags Raw Data'!$D$6:$D$4825,$A6)</f>
        <v>400</v>
      </c>
      <c r="F6" s="248">
        <f t="shared" si="0"/>
        <v>1</v>
      </c>
      <c r="G6" s="230">
        <f>SUMIFS('Diags Raw Data'!$S$6:$S$4825,'Diags Raw Data'!$D$6:$D$4825,$A6)</f>
        <v>0</v>
      </c>
      <c r="H6" s="226">
        <f>SUMIFS('Diags Raw Data'!$T$6:$T$4825,'Diags Raw Data'!$D$6:$D$4825,$A6)</f>
        <v>0</v>
      </c>
      <c r="I6" s="227">
        <f>SUMIFS('Diags Raw Data'!$U$6:$U$4825,'Diags Raw Data'!$D$6:$D$4825,$A6)</f>
        <v>0</v>
      </c>
      <c r="J6" s="226">
        <f>SUMIFS('Diags Raw Data'!$V$6:$V$4825,'Diags Raw Data'!$D$6:$D$4825,$A6)</f>
        <v>0</v>
      </c>
      <c r="K6" s="227">
        <f>SUMIFS('Diags Raw Data'!$W$6:$W$4825,'Diags Raw Data'!$D$6:$D$4825,$A6)</f>
        <v>0</v>
      </c>
      <c r="L6" s="622">
        <f t="shared" si="1"/>
        <v>0</v>
      </c>
      <c r="M6" s="228" t="str">
        <f t="shared" si="2"/>
        <v>---</v>
      </c>
      <c r="N6" s="237">
        <f t="shared" si="3"/>
        <v>0</v>
      </c>
      <c r="O6" s="213">
        <v>0</v>
      </c>
      <c r="P6" s="203">
        <f>SUMIFS('Diags Raw Data'!$AA$6:$AA$4825,'Diags Raw Data'!$D$6:$D$4825,$A6)</f>
        <v>0</v>
      </c>
      <c r="Q6" s="205">
        <f>SUMIFS('Diags Raw Data'!$AB$6:$AB$4825,'Diags Raw Data'!$D$6:$D$4825,$A6)</f>
        <v>0</v>
      </c>
      <c r="R6" s="203">
        <f>SUMIFS('Diags Raw Data'!$AC$6:$AC$4825,'Diags Raw Data'!$D$6:$D$4825,$A6)</f>
        <v>0</v>
      </c>
      <c r="S6" s="205">
        <f>SUMIFS('Diags Raw Data'!$AD$6:$AD$4825,'Diags Raw Data'!$D$6:$D$4825,$A6)</f>
        <v>0</v>
      </c>
      <c r="T6" s="625">
        <f>IF(NOT($B6=0), O6/$B6, "---")</f>
        <v>0</v>
      </c>
      <c r="U6" s="229" t="str">
        <f t="shared" si="5"/>
        <v>---</v>
      </c>
      <c r="V6" s="231">
        <f t="shared" si="6"/>
        <v>0</v>
      </c>
    </row>
    <row r="7" spans="1:22" x14ac:dyDescent="0.25">
      <c r="A7" s="333" t="s">
        <v>257</v>
      </c>
      <c r="B7" s="252">
        <f>SUMIFS('Diags Raw Data'!$L$6:$L$4825,'Diags Raw Data'!$D$6:$D$4825,$A7)</f>
        <v>1328</v>
      </c>
      <c r="C7" s="242">
        <f>SUMIFS('Diags Raw Data'!$R$6:$R$4825,'Diags Raw Data'!$D$6:$D$4825,$A7)</f>
        <v>1070</v>
      </c>
      <c r="D7" s="242">
        <f>SUMIFS('Diags Raw Data'!$K$6:$K$4825,'Diags Raw Data'!$D$6:$D$4825,$A7)</f>
        <v>138</v>
      </c>
      <c r="E7" s="242">
        <f>SUMIFS('Diags Raw Data'!$O$6:$O$4825,'Diags Raw Data'!$D$6:$D$4825,$A7)</f>
        <v>1328</v>
      </c>
      <c r="F7" s="248">
        <f t="shared" si="0"/>
        <v>1</v>
      </c>
      <c r="G7" s="230">
        <v>0</v>
      </c>
      <c r="H7" s="226">
        <f>SUMIFS('Diags Raw Data'!$T$6:$T$4825,'Diags Raw Data'!$D$6:$D$4825,$A7)</f>
        <v>0</v>
      </c>
      <c r="I7" s="227">
        <f>SUMIFS('Diags Raw Data'!$U$6:$U$4825,'Diags Raw Data'!$D$6:$D$4825,$A7)</f>
        <v>0</v>
      </c>
      <c r="J7" s="226">
        <f>SUMIFS('Diags Raw Data'!$V$6:$V$4825,'Diags Raw Data'!$D$6:$D$4825,$A7)</f>
        <v>0</v>
      </c>
      <c r="K7" s="227">
        <f>SUMIFS('Diags Raw Data'!$W$6:$W$4825,'Diags Raw Data'!$D$6:$D$4825,$A7)</f>
        <v>0</v>
      </c>
      <c r="L7" s="622">
        <f t="shared" si="1"/>
        <v>0</v>
      </c>
      <c r="M7" s="228" t="str">
        <f t="shared" si="2"/>
        <v>---</v>
      </c>
      <c r="N7" s="237">
        <f t="shared" si="3"/>
        <v>0</v>
      </c>
      <c r="O7" s="213">
        <v>0</v>
      </c>
      <c r="P7" s="203">
        <f>SUMIFS('Diags Raw Data'!$AA$6:$AA$4825,'Diags Raw Data'!$D$6:$D$4825,$A7)</f>
        <v>0</v>
      </c>
      <c r="Q7" s="205">
        <f>SUMIFS('Diags Raw Data'!$AB$6:$AB$4825,'Diags Raw Data'!$D$6:$D$4825,$A7)</f>
        <v>0</v>
      </c>
      <c r="R7" s="203">
        <f>SUMIFS('Diags Raw Data'!$AC$6:$AC$4825,'Diags Raw Data'!$D$6:$D$4825,$A7)</f>
        <v>0</v>
      </c>
      <c r="S7" s="205">
        <f>SUMIFS('Diags Raw Data'!$AD$6:$AD$4825,'Diags Raw Data'!$D$6:$D$4825,$A7)</f>
        <v>0</v>
      </c>
      <c r="T7" s="625">
        <f t="shared" si="4"/>
        <v>0</v>
      </c>
      <c r="U7" s="229" t="str">
        <f t="shared" si="5"/>
        <v>---</v>
      </c>
      <c r="V7" s="231">
        <f t="shared" si="6"/>
        <v>0</v>
      </c>
    </row>
    <row r="8" spans="1:22" x14ac:dyDescent="0.25">
      <c r="A8" s="333" t="s">
        <v>895</v>
      </c>
      <c r="B8" s="252">
        <f>SUMIFS('Diags Raw Data'!$L$6:$L$4825,'Diags Raw Data'!$D$6:$D$4825,$A8)</f>
        <v>13</v>
      </c>
      <c r="C8" s="242">
        <f>SUMIFS('Diags Raw Data'!$R$6:$R$4825,'Diags Raw Data'!$D$6:$D$4825,$A8)</f>
        <v>5</v>
      </c>
      <c r="D8" s="242">
        <f>SUMIFS('Diags Raw Data'!$K$6:$K$4825,'Diags Raw Data'!$D$6:$D$4825,$A8)</f>
        <v>6</v>
      </c>
      <c r="E8" s="242">
        <f>SUMIFS('Diags Raw Data'!$O$6:$O$4825,'Diags Raw Data'!$D$6:$D$4825,$A8)</f>
        <v>13</v>
      </c>
      <c r="F8" s="248">
        <f t="shared" si="0"/>
        <v>1</v>
      </c>
      <c r="G8" s="230">
        <f>SUMIFS('Diags Raw Data'!$S$6:$S$4825,'Diags Raw Data'!$D$6:$D$4825,$A8)</f>
        <v>0</v>
      </c>
      <c r="H8" s="226">
        <f>SUMIFS('Diags Raw Data'!$T$6:$T$4825,'Diags Raw Data'!$D$6:$D$4825,$A8)</f>
        <v>0</v>
      </c>
      <c r="I8" s="227">
        <f>SUMIFS('Diags Raw Data'!$U$6:$U$4825,'Diags Raw Data'!$D$6:$D$4825,$A8)</f>
        <v>0</v>
      </c>
      <c r="J8" s="226">
        <f>SUMIFS('Diags Raw Data'!$V$6:$V$4825,'Diags Raw Data'!$D$6:$D$4825,$A8)</f>
        <v>0</v>
      </c>
      <c r="K8" s="227">
        <f>SUMIFS('Diags Raw Data'!$W$6:$W$4825,'Diags Raw Data'!$D$6:$D$4825,$A8)</f>
        <v>0</v>
      </c>
      <c r="L8" s="622">
        <f t="shared" si="1"/>
        <v>0</v>
      </c>
      <c r="M8" s="228" t="str">
        <f t="shared" si="2"/>
        <v>---</v>
      </c>
      <c r="N8" s="237">
        <f t="shared" si="3"/>
        <v>0</v>
      </c>
      <c r="O8" s="213">
        <v>0</v>
      </c>
      <c r="P8" s="203">
        <f>SUMIFS('Diags Raw Data'!$AA$6:$AA$4825,'Diags Raw Data'!$D$6:$D$4825,$A8)</f>
        <v>0</v>
      </c>
      <c r="Q8" s="205">
        <f>SUMIFS('Diags Raw Data'!$AB$6:$AB$4825,'Diags Raw Data'!$D$6:$D$4825,$A8)</f>
        <v>0</v>
      </c>
      <c r="R8" s="203">
        <f>SUMIFS('Diags Raw Data'!$AC$6:$AC$4825,'Diags Raw Data'!$D$6:$D$4825,$A8)</f>
        <v>0</v>
      </c>
      <c r="S8" s="205">
        <f>SUMIFS('Diags Raw Data'!$AD$6:$AD$4825,'Diags Raw Data'!$D$6:$D$4825,$A8)</f>
        <v>0</v>
      </c>
      <c r="T8" s="625">
        <f t="shared" si="4"/>
        <v>0</v>
      </c>
      <c r="U8" s="229" t="str">
        <f t="shared" si="5"/>
        <v>---</v>
      </c>
      <c r="V8" s="231">
        <f t="shared" si="6"/>
        <v>0</v>
      </c>
    </row>
    <row r="9" spans="1:22" x14ac:dyDescent="0.25">
      <c r="A9" s="333" t="s">
        <v>882</v>
      </c>
      <c r="B9" s="252">
        <f>SUMIFS('Diags Raw Data'!$L$6:$L$4825,'Diags Raw Data'!$D$6:$D$4825,$A9)</f>
        <v>5</v>
      </c>
      <c r="C9" s="242">
        <f>SUMIFS('Diags Raw Data'!$R$6:$R$4825,'Diags Raw Data'!$D$6:$D$4825,$A9)</f>
        <v>3</v>
      </c>
      <c r="D9" s="242">
        <f>SUMIFS('Diags Raw Data'!$K$6:$K$4825,'Diags Raw Data'!$D$6:$D$4825,$A9)</f>
        <v>3</v>
      </c>
      <c r="E9" s="242">
        <f>SUMIFS('Diags Raw Data'!$O$6:$O$4825,'Diags Raw Data'!$D$6:$D$4825,$A9)</f>
        <v>5</v>
      </c>
      <c r="F9" s="248">
        <f t="shared" si="0"/>
        <v>1</v>
      </c>
      <c r="G9" s="230">
        <f>SUMIFS('Diags Raw Data'!$S$6:$S$4825,'Diags Raw Data'!$D$6:$D$4825,$A9)</f>
        <v>0</v>
      </c>
      <c r="H9" s="226">
        <f>SUMIFS('Diags Raw Data'!$T$6:$T$4825,'Diags Raw Data'!$D$6:$D$4825,$A9)</f>
        <v>0</v>
      </c>
      <c r="I9" s="227">
        <f>SUMIFS('Diags Raw Data'!$U$6:$U$4825,'Diags Raw Data'!$D$6:$D$4825,$A9)</f>
        <v>0</v>
      </c>
      <c r="J9" s="226">
        <f>SUMIFS('Diags Raw Data'!$V$6:$V$4825,'Diags Raw Data'!$D$6:$D$4825,$A9)</f>
        <v>0</v>
      </c>
      <c r="K9" s="227">
        <f>SUMIFS('Diags Raw Data'!$W$6:$W$4825,'Diags Raw Data'!$D$6:$D$4825,$A9)</f>
        <v>0</v>
      </c>
      <c r="L9" s="622">
        <f t="shared" si="1"/>
        <v>0</v>
      </c>
      <c r="M9" s="228" t="str">
        <f t="shared" si="2"/>
        <v>---</v>
      </c>
      <c r="N9" s="237">
        <f t="shared" si="3"/>
        <v>0</v>
      </c>
      <c r="O9" s="213">
        <v>0</v>
      </c>
      <c r="P9" s="203">
        <f>SUMIFS('Diags Raw Data'!$AA$6:$AA$4825,'Diags Raw Data'!$D$6:$D$4825,$A9)</f>
        <v>0</v>
      </c>
      <c r="Q9" s="205">
        <f>SUMIFS('Diags Raw Data'!$AB$6:$AB$4825,'Diags Raw Data'!$D$6:$D$4825,$A9)</f>
        <v>0</v>
      </c>
      <c r="R9" s="203">
        <f>SUMIFS('Diags Raw Data'!$AC$6:$AC$4825,'Diags Raw Data'!$D$6:$D$4825,$A9)</f>
        <v>0</v>
      </c>
      <c r="S9" s="205">
        <f>SUMIFS('Diags Raw Data'!$AD$6:$AD$4825,'Diags Raw Data'!$D$6:$D$4825,$A9)</f>
        <v>0</v>
      </c>
      <c r="T9" s="625">
        <f t="shared" si="4"/>
        <v>0</v>
      </c>
      <c r="U9" s="229" t="str">
        <f>IF(NOT($O9=0), (P9+Q9)/$O9, "---")</f>
        <v>---</v>
      </c>
      <c r="V9" s="231">
        <f t="shared" si="6"/>
        <v>0</v>
      </c>
    </row>
    <row r="10" spans="1:22" x14ac:dyDescent="0.25">
      <c r="A10" s="333" t="s">
        <v>377</v>
      </c>
      <c r="B10" s="252">
        <f>SUMIFS('Diags Raw Data'!$L$6:$L$4825,'Diags Raw Data'!$D$6:$D$4825,$A10)</f>
        <v>303</v>
      </c>
      <c r="C10" s="242">
        <f>SUMIFS('Diags Raw Data'!$R$6:$R$4825,'Diags Raw Data'!$D$6:$D$4825,$A10)</f>
        <v>303</v>
      </c>
      <c r="D10" s="242">
        <f>SUMIFS('Diags Raw Data'!$K$6:$K$4825,'Diags Raw Data'!$D$6:$D$4825,$A10)</f>
        <v>29</v>
      </c>
      <c r="E10" s="242">
        <f>SUMIFS('Diags Raw Data'!$O$6:$O$4825,'Diags Raw Data'!$D$6:$D$4825,$A10)</f>
        <v>303</v>
      </c>
      <c r="F10" s="248">
        <f t="shared" ref="F10:F12" si="7">IF(NOT($B10=0), E10/$B10, "---")</f>
        <v>1</v>
      </c>
      <c r="G10" s="230">
        <f>SUMIFS('Diags Raw Data'!$S$6:$S$4825,'Diags Raw Data'!$D$6:$D$4825,$A10)</f>
        <v>0</v>
      </c>
      <c r="H10" s="226">
        <f>SUMIFS('Diags Raw Data'!$T$6:$T$4825,'Diags Raw Data'!$D$6:$D$4825,$A10)</f>
        <v>0</v>
      </c>
      <c r="I10" s="227">
        <f>SUMIFS('Diags Raw Data'!$U$6:$U$4825,'Diags Raw Data'!$D$6:$D$4825,$A10)</f>
        <v>0</v>
      </c>
      <c r="J10" s="226">
        <f>SUMIFS('Diags Raw Data'!$V$6:$V$4825,'Diags Raw Data'!$D$6:$D$4825,$A10)</f>
        <v>0</v>
      </c>
      <c r="K10" s="227">
        <f>SUMIFS('Diags Raw Data'!$W$6:$W$4825,'Diags Raw Data'!$D$6:$D$4825,$A10)</f>
        <v>0</v>
      </c>
      <c r="L10" s="622">
        <f t="shared" ref="L10:L12" si="8">IF(NOT($C10=0), G10/$C10, "---")</f>
        <v>0</v>
      </c>
      <c r="M10" s="228" t="str">
        <f t="shared" ref="M10:M12" si="9">IF(NOT($G10=0), (H10+I10)/$G10, "---")</f>
        <v>---</v>
      </c>
      <c r="N10" s="237">
        <f t="shared" ref="N10:N12" si="10">IF(NOT($C10=0), (H10+I10)/$C10, "---")</f>
        <v>0</v>
      </c>
      <c r="O10" s="213">
        <v>0</v>
      </c>
      <c r="P10" s="203">
        <f>SUMIFS('Diags Raw Data'!$AA$6:$AA$4825,'Diags Raw Data'!$D$6:$D$4825,$A10)</f>
        <v>0</v>
      </c>
      <c r="Q10" s="205">
        <f>SUMIFS('Diags Raw Data'!$AB$6:$AB$4825,'Diags Raw Data'!$D$6:$D$4825,$A10)</f>
        <v>0</v>
      </c>
      <c r="R10" s="203">
        <f>SUMIFS('Diags Raw Data'!$AC$6:$AC$4825,'Diags Raw Data'!$D$6:$D$4825,$A10)</f>
        <v>0</v>
      </c>
      <c r="S10" s="205">
        <f>SUMIFS('Diags Raw Data'!$AD$6:$AD$4825,'Diags Raw Data'!$D$6:$D$4825,$A10)</f>
        <v>0</v>
      </c>
      <c r="T10" s="625">
        <f t="shared" ref="T10:T12" si="11">IF(NOT($B10=0), O10/$B10, "---")</f>
        <v>0</v>
      </c>
      <c r="U10" s="229" t="str">
        <f t="shared" ref="U10:U12" si="12">IF(NOT($O10=0), (P10+Q10)/$O10, "---")</f>
        <v>---</v>
      </c>
      <c r="V10" s="231">
        <f t="shared" ref="V10:V12" si="13">IF(NOT($B10=0), (P10+Q10)/$B10, "---")</f>
        <v>0</v>
      </c>
    </row>
    <row r="11" spans="1:22" x14ac:dyDescent="0.25">
      <c r="A11" s="333" t="s">
        <v>552</v>
      </c>
      <c r="B11" s="252">
        <f>SUMIFS('Diags Raw Data'!$L$6:$L$4825,'Diags Raw Data'!$D$6:$D$4825,$A11)</f>
        <v>3</v>
      </c>
      <c r="C11" s="242">
        <f>SUMIFS('Diags Raw Data'!$R$6:$R$4825,'Diags Raw Data'!$D$6:$D$4825,$A11)</f>
        <v>3</v>
      </c>
      <c r="D11" s="242">
        <f>SUMIFS('Diags Raw Data'!$K$6:$K$4825,'Diags Raw Data'!$D$6:$D$4825,$A11)</f>
        <v>1</v>
      </c>
      <c r="E11" s="242">
        <f>SUMIFS('Diags Raw Data'!$O$6:$O$4825,'Diags Raw Data'!$D$6:$D$4825,$A11)</f>
        <v>3</v>
      </c>
      <c r="F11" s="248">
        <f t="shared" si="7"/>
        <v>1</v>
      </c>
      <c r="G11" s="230">
        <f>SUMIFS('Diags Raw Data'!$S$6:$S$4825,'Diags Raw Data'!$D$6:$D$4825,$A11)</f>
        <v>0</v>
      </c>
      <c r="H11" s="226">
        <f>SUMIFS('Diags Raw Data'!$T$6:$T$4825,'Diags Raw Data'!$D$6:$D$4825,$A11)</f>
        <v>0</v>
      </c>
      <c r="I11" s="227">
        <f>SUMIFS('Diags Raw Data'!$U$6:$U$4825,'Diags Raw Data'!$D$6:$D$4825,$A11)</f>
        <v>0</v>
      </c>
      <c r="J11" s="226">
        <f>SUMIFS('Diags Raw Data'!$V$6:$V$4825,'Diags Raw Data'!$D$6:$D$4825,$A11)</f>
        <v>0</v>
      </c>
      <c r="K11" s="227">
        <f>SUMIFS('Diags Raw Data'!$W$6:$W$4825,'Diags Raw Data'!$D$6:$D$4825,$A11)</f>
        <v>0</v>
      </c>
      <c r="L11" s="622">
        <f t="shared" si="8"/>
        <v>0</v>
      </c>
      <c r="M11" s="228" t="str">
        <f t="shared" si="9"/>
        <v>---</v>
      </c>
      <c r="N11" s="237">
        <f t="shared" si="10"/>
        <v>0</v>
      </c>
      <c r="O11" s="213">
        <v>0</v>
      </c>
      <c r="P11" s="203">
        <f>SUMIFS('Diags Raw Data'!$AA$6:$AA$4825,'Diags Raw Data'!$D$6:$D$4825,$A11)</f>
        <v>0</v>
      </c>
      <c r="Q11" s="205">
        <f>SUMIFS('Diags Raw Data'!$AB$6:$AB$4825,'Diags Raw Data'!$D$6:$D$4825,$A11)</f>
        <v>0</v>
      </c>
      <c r="R11" s="203">
        <f>SUMIFS('Diags Raw Data'!$AC$6:$AC$4825,'Diags Raw Data'!$D$6:$D$4825,$A11)</f>
        <v>0</v>
      </c>
      <c r="S11" s="205">
        <f>SUMIFS('Diags Raw Data'!$AD$6:$AD$4825,'Diags Raw Data'!$D$6:$D$4825,$A11)</f>
        <v>0</v>
      </c>
      <c r="T11" s="625">
        <f t="shared" si="11"/>
        <v>0</v>
      </c>
      <c r="U11" s="229" t="str">
        <f t="shared" si="12"/>
        <v>---</v>
      </c>
      <c r="V11" s="231">
        <f t="shared" si="13"/>
        <v>0</v>
      </c>
    </row>
    <row r="12" spans="1:22" x14ac:dyDescent="0.25">
      <c r="A12" s="333" t="s">
        <v>842</v>
      </c>
      <c r="B12" s="252">
        <f>SUMIFS('Diags Raw Data'!$L$6:$L$4825,'Diags Raw Data'!$D$6:$D$4825,$A12)</f>
        <v>4</v>
      </c>
      <c r="C12" s="242">
        <f>SUMIFS('Diags Raw Data'!$R$6:$R$4825,'Diags Raw Data'!$D$6:$D$4825,$A12)</f>
        <v>4</v>
      </c>
      <c r="D12" s="242">
        <f>SUMIFS('Diags Raw Data'!$K$6:$K$4825,'Diags Raw Data'!$D$6:$D$4825,$A12)</f>
        <v>2</v>
      </c>
      <c r="E12" s="242">
        <f>SUMIFS('Diags Raw Data'!$O$6:$O$4825,'Diags Raw Data'!$D$6:$D$4825,$A12)</f>
        <v>4</v>
      </c>
      <c r="F12" s="248">
        <f t="shared" si="7"/>
        <v>1</v>
      </c>
      <c r="G12" s="230">
        <f>SUMIFS('Diags Raw Data'!$S$6:$S$4825,'Diags Raw Data'!$D$6:$D$4825,$A12)</f>
        <v>0</v>
      </c>
      <c r="H12" s="226">
        <f>SUMIFS('Diags Raw Data'!$T$6:$T$4825,'Diags Raw Data'!$D$6:$D$4825,$A12)</f>
        <v>0</v>
      </c>
      <c r="I12" s="227">
        <f>SUMIFS('Diags Raw Data'!$U$6:$U$4825,'Diags Raw Data'!$D$6:$D$4825,$A12)</f>
        <v>0</v>
      </c>
      <c r="J12" s="226">
        <f>SUMIFS('Diags Raw Data'!$V$6:$V$4825,'Diags Raw Data'!$D$6:$D$4825,$A12)</f>
        <v>0</v>
      </c>
      <c r="K12" s="227">
        <f>SUMIFS('Diags Raw Data'!$W$6:$W$4825,'Diags Raw Data'!$D$6:$D$4825,$A12)</f>
        <v>0</v>
      </c>
      <c r="L12" s="622">
        <f t="shared" si="8"/>
        <v>0</v>
      </c>
      <c r="M12" s="228" t="str">
        <f t="shared" si="9"/>
        <v>---</v>
      </c>
      <c r="N12" s="237">
        <f t="shared" si="10"/>
        <v>0</v>
      </c>
      <c r="O12" s="213">
        <v>0</v>
      </c>
      <c r="P12" s="203">
        <f>SUMIFS('Diags Raw Data'!$AA$6:$AA$4825,'Diags Raw Data'!$D$6:$D$4825,$A12)</f>
        <v>0</v>
      </c>
      <c r="Q12" s="205">
        <f>SUMIFS('Diags Raw Data'!$AB$6:$AB$4825,'Diags Raw Data'!$D$6:$D$4825,$A12)</f>
        <v>0</v>
      </c>
      <c r="R12" s="203">
        <f>SUMIFS('Diags Raw Data'!$AC$6:$AC$4825,'Diags Raw Data'!$D$6:$D$4825,$A12)</f>
        <v>0</v>
      </c>
      <c r="S12" s="205">
        <f>SUMIFS('Diags Raw Data'!$AD$6:$AD$4825,'Diags Raw Data'!$D$6:$D$4825,$A12)</f>
        <v>0</v>
      </c>
      <c r="T12" s="625">
        <f t="shared" si="11"/>
        <v>0</v>
      </c>
      <c r="U12" s="229" t="str">
        <f t="shared" si="12"/>
        <v>---</v>
      </c>
      <c r="V12" s="231">
        <f t="shared" si="13"/>
        <v>0</v>
      </c>
    </row>
    <row r="13" spans="1:22" x14ac:dyDescent="0.25">
      <c r="A13" s="333" t="s">
        <v>851</v>
      </c>
      <c r="B13" s="252">
        <f>SUMIFS('Diags Raw Data'!$L$6:$L$4825,'Diags Raw Data'!$D$6:$D$4825,$A13)</f>
        <v>107</v>
      </c>
      <c r="C13" s="242">
        <f>SUMIFS('Diags Raw Data'!$R$6:$R$4825,'Diags Raw Data'!$D$6:$D$4825,$A13)</f>
        <v>21</v>
      </c>
      <c r="D13" s="242">
        <f>SUMIFS('Diags Raw Data'!$K$6:$K$4825,'Diags Raw Data'!$D$6:$D$4825,$A13)</f>
        <v>6</v>
      </c>
      <c r="E13" s="242">
        <f>SUMIFS('Diags Raw Data'!$O$6:$O$4825,'Diags Raw Data'!$D$6:$D$4825,$A13)</f>
        <v>107</v>
      </c>
      <c r="F13" s="248">
        <f>IF(NOT($B13=0), E13/$B13, "---")</f>
        <v>1</v>
      </c>
      <c r="G13" s="230">
        <f>SUMIFS('Diags Raw Data'!$S$6:$S$4825,'Diags Raw Data'!$D$6:$D$4825,$A13)</f>
        <v>0</v>
      </c>
      <c r="H13" s="226">
        <f>SUMIFS('Diags Raw Data'!$T$6:$T$4825,'Diags Raw Data'!$D$6:$D$4825,$A13)</f>
        <v>0</v>
      </c>
      <c r="I13" s="227">
        <f>SUMIFS('Diags Raw Data'!$U$6:$U$4825,'Diags Raw Data'!$D$6:$D$4825,$A13)</f>
        <v>0</v>
      </c>
      <c r="J13" s="226">
        <f>SUMIFS('Diags Raw Data'!$V$6:$V$4825,'Diags Raw Data'!$D$6:$D$4825,$A13)</f>
        <v>0</v>
      </c>
      <c r="K13" s="227">
        <f>SUMIFS('Diags Raw Data'!$W$6:$W$4825,'Diags Raw Data'!$D$6:$D$4825,$A13)</f>
        <v>0</v>
      </c>
      <c r="L13" s="622">
        <f t="shared" si="1"/>
        <v>0</v>
      </c>
      <c r="M13" s="228" t="str">
        <f t="shared" si="2"/>
        <v>---</v>
      </c>
      <c r="N13" s="237">
        <f t="shared" si="3"/>
        <v>0</v>
      </c>
      <c r="O13" s="213">
        <v>0</v>
      </c>
      <c r="P13" s="203">
        <f>SUMIFS('Diags Raw Data'!$AA$6:$AA$4825,'Diags Raw Data'!$D$6:$D$4825,$A13)</f>
        <v>0</v>
      </c>
      <c r="Q13" s="205">
        <f>SUMIFS('Diags Raw Data'!$AB$6:$AB$4825,'Diags Raw Data'!$D$6:$D$4825,$A13)</f>
        <v>0</v>
      </c>
      <c r="R13" s="203">
        <f>SUMIFS('Diags Raw Data'!$AC$6:$AC$4825,'Diags Raw Data'!$D$6:$D$4825,$A13)</f>
        <v>0</v>
      </c>
      <c r="S13" s="205">
        <f>SUMIFS('Diags Raw Data'!$AD$6:$AD$4825,'Diags Raw Data'!$D$6:$D$4825,$A13)</f>
        <v>0</v>
      </c>
      <c r="T13" s="625">
        <f t="shared" si="4"/>
        <v>0</v>
      </c>
      <c r="U13" s="229" t="str">
        <f t="shared" ref="U13:U18" si="14">IF(NOT($O13=0), (P13+Q13)/$O13, "---")</f>
        <v>---</v>
      </c>
      <c r="V13" s="231">
        <f t="shared" si="6"/>
        <v>0</v>
      </c>
    </row>
    <row r="14" spans="1:22" x14ac:dyDescent="0.25">
      <c r="A14" s="333" t="s">
        <v>515</v>
      </c>
      <c r="B14" s="252">
        <f>SUMIFS('Diags Raw Data'!$L$6:$L$4825,'Diags Raw Data'!$D$6:$D$4825,$A14)</f>
        <v>124</v>
      </c>
      <c r="C14" s="242">
        <f>SUMIFS('Diags Raw Data'!$R$6:$R$4825,'Diags Raw Data'!$D$6:$D$4825,$A14)</f>
        <v>124</v>
      </c>
      <c r="D14" s="242">
        <f>SUMIFS('Diags Raw Data'!$K$6:$K$4825,'Diags Raw Data'!$D$6:$D$4825,$A14)</f>
        <v>14</v>
      </c>
      <c r="E14" s="242">
        <f>SUMIFS('Diags Raw Data'!$O$6:$O$4825,'Diags Raw Data'!$D$6:$D$4825,$A14)</f>
        <v>124</v>
      </c>
      <c r="F14" s="248">
        <f t="shared" si="0"/>
        <v>1</v>
      </c>
      <c r="G14" s="230">
        <f>SUMIFS('Diags Raw Data'!$S$6:$S$4825,'Diags Raw Data'!$D$6:$D$4825,$A14)</f>
        <v>0</v>
      </c>
      <c r="H14" s="226">
        <f>SUMIFS('Diags Raw Data'!$T$6:$T$4825,'Diags Raw Data'!$D$6:$D$4825,$A14)</f>
        <v>0</v>
      </c>
      <c r="I14" s="227">
        <f>SUMIFS('Diags Raw Data'!$U$6:$U$4825,'Diags Raw Data'!$D$6:$D$4825,$A14)</f>
        <v>0</v>
      </c>
      <c r="J14" s="226">
        <f>SUMIFS('Diags Raw Data'!$V$6:$V$4825,'Diags Raw Data'!$D$6:$D$4825,$A14)</f>
        <v>0</v>
      </c>
      <c r="K14" s="227">
        <f>SUMIFS('Diags Raw Data'!$W$6:$W$4825,'Diags Raw Data'!$D$6:$D$4825,$A14)</f>
        <v>0</v>
      </c>
      <c r="L14" s="622">
        <f t="shared" si="1"/>
        <v>0</v>
      </c>
      <c r="M14" s="228" t="str">
        <f t="shared" si="2"/>
        <v>---</v>
      </c>
      <c r="N14" s="237">
        <f t="shared" si="3"/>
        <v>0</v>
      </c>
      <c r="O14" s="213">
        <v>0</v>
      </c>
      <c r="P14" s="203">
        <f>SUMIFS('Diags Raw Data'!$AA$6:$AA$4825,'Diags Raw Data'!$D$6:$D$4825,$A14)</f>
        <v>0</v>
      </c>
      <c r="Q14" s="205">
        <f>SUMIFS('Diags Raw Data'!$AB$6:$AB$4825,'Diags Raw Data'!$D$6:$D$4825,$A14)</f>
        <v>0</v>
      </c>
      <c r="R14" s="203">
        <f>SUMIFS('Diags Raw Data'!$AC$6:$AC$4825,'Diags Raw Data'!$D$6:$D$4825,$A14)</f>
        <v>0</v>
      </c>
      <c r="S14" s="205">
        <f>SUMIFS('Diags Raw Data'!$AD$6:$AD$4825,'Diags Raw Data'!$D$6:$D$4825,$A14)</f>
        <v>0</v>
      </c>
      <c r="T14" s="625">
        <f t="shared" si="4"/>
        <v>0</v>
      </c>
      <c r="U14" s="229" t="str">
        <f t="shared" si="14"/>
        <v>---</v>
      </c>
      <c r="V14" s="231">
        <f t="shared" si="6"/>
        <v>0</v>
      </c>
    </row>
    <row r="15" spans="1:22" x14ac:dyDescent="0.25">
      <c r="A15" s="333" t="s">
        <v>473</v>
      </c>
      <c r="B15" s="252">
        <f>SUMIFS('Diags Raw Data'!$L$6:$L$4825,'Diags Raw Data'!$D$6:$D$4825,$A15)</f>
        <v>37</v>
      </c>
      <c r="C15" s="242">
        <f>SUMIFS('Diags Raw Data'!$R$6:$R$4825,'Diags Raw Data'!$D$6:$D$4825,$A15)</f>
        <v>37</v>
      </c>
      <c r="D15" s="242">
        <f>SUMIFS('Diags Raw Data'!$K$6:$K$4825,'Diags Raw Data'!$D$6:$D$4825,$A15)</f>
        <v>9</v>
      </c>
      <c r="E15" s="242">
        <f>SUMIFS('Diags Raw Data'!$O$6:$O$4825,'Diags Raw Data'!$D$6:$D$4825,$A15)</f>
        <v>37</v>
      </c>
      <c r="F15" s="248">
        <f t="shared" si="0"/>
        <v>1</v>
      </c>
      <c r="G15" s="230">
        <f>SUMIFS('Diags Raw Data'!$S$6:$S$4825,'Diags Raw Data'!$D$6:$D$4825,$A15)</f>
        <v>0</v>
      </c>
      <c r="H15" s="226">
        <f>SUMIFS('Diags Raw Data'!$T$6:$T$4825,'Diags Raw Data'!$D$6:$D$4825,$A15)</f>
        <v>0</v>
      </c>
      <c r="I15" s="227">
        <f>SUMIFS('Diags Raw Data'!$U$6:$U$4825,'Diags Raw Data'!$D$6:$D$4825,$A15)</f>
        <v>0</v>
      </c>
      <c r="J15" s="226">
        <f>SUMIFS('Diags Raw Data'!$V$6:$V$4825,'Diags Raw Data'!$D$6:$D$4825,$A15)</f>
        <v>0</v>
      </c>
      <c r="K15" s="227">
        <f>SUMIFS('Diags Raw Data'!$W$6:$W$4825,'Diags Raw Data'!$D$6:$D$4825,$A15)</f>
        <v>0</v>
      </c>
      <c r="L15" s="622">
        <f t="shared" si="1"/>
        <v>0</v>
      </c>
      <c r="M15" s="228" t="str">
        <f t="shared" si="2"/>
        <v>---</v>
      </c>
      <c r="N15" s="237">
        <f t="shared" si="3"/>
        <v>0</v>
      </c>
      <c r="O15" s="213">
        <v>0</v>
      </c>
      <c r="P15" s="203">
        <f>SUMIFS('Diags Raw Data'!$AA$6:$AA$4825,'Diags Raw Data'!$D$6:$D$4825,$A15)</f>
        <v>0</v>
      </c>
      <c r="Q15" s="205">
        <f>SUMIFS('Diags Raw Data'!$AB$6:$AB$4825,'Diags Raw Data'!$D$6:$D$4825,$A15)</f>
        <v>0</v>
      </c>
      <c r="R15" s="203">
        <f>SUMIFS('Diags Raw Data'!$AC$6:$AC$4825,'Diags Raw Data'!$D$6:$D$4825,$A15)</f>
        <v>0</v>
      </c>
      <c r="S15" s="205">
        <f>SUMIFS('Diags Raw Data'!$AD$6:$AD$4825,'Diags Raw Data'!$D$6:$D$4825,$A15)</f>
        <v>0</v>
      </c>
      <c r="T15" s="625">
        <f t="shared" si="4"/>
        <v>0</v>
      </c>
      <c r="U15" s="229" t="str">
        <f t="shared" si="14"/>
        <v>---</v>
      </c>
      <c r="V15" s="231">
        <f t="shared" si="6"/>
        <v>0</v>
      </c>
    </row>
    <row r="16" spans="1:22" x14ac:dyDescent="0.25">
      <c r="A16" s="333" t="s">
        <v>557</v>
      </c>
      <c r="B16" s="252">
        <f>SUMIFS('Diags Raw Data'!$L$6:$L$4825,'Diags Raw Data'!$D$6:$D$4825,$A16)</f>
        <v>73</v>
      </c>
      <c r="C16" s="242">
        <f>SUMIFS('Diags Raw Data'!$R$6:$R$4825,'Diags Raw Data'!$D$6:$D$4825,$A16)</f>
        <v>79</v>
      </c>
      <c r="D16" s="242">
        <f>SUMIFS('Diags Raw Data'!$K$6:$K$4825,'Diags Raw Data'!$D$6:$D$4825,$A16)</f>
        <v>6</v>
      </c>
      <c r="E16" s="242">
        <f>SUMIFS('Diags Raw Data'!$O$6:$O$4825,'Diags Raw Data'!$D$6:$D$4825,$A16)</f>
        <v>73</v>
      </c>
      <c r="F16" s="248">
        <f t="shared" ref="F16" si="15">IF(NOT($B16=0), E16/$B16, "---")</f>
        <v>1</v>
      </c>
      <c r="G16" s="230">
        <f>SUMIFS('Diags Raw Data'!$S$6:$S$4825,'Diags Raw Data'!$D$6:$D$4825,$A16)</f>
        <v>0</v>
      </c>
      <c r="H16" s="226">
        <f>SUMIFS('Diags Raw Data'!$T$6:$T$4825,'Diags Raw Data'!$D$6:$D$4825,$A16)</f>
        <v>0</v>
      </c>
      <c r="I16" s="227">
        <f>SUMIFS('Diags Raw Data'!$U$6:$U$4825,'Diags Raw Data'!$D$6:$D$4825,$A16)</f>
        <v>0</v>
      </c>
      <c r="J16" s="226">
        <f>SUMIFS('Diags Raw Data'!$V$6:$V$4825,'Diags Raw Data'!$D$6:$D$4825,$A16)</f>
        <v>0</v>
      </c>
      <c r="K16" s="227">
        <f>SUMIFS('Diags Raw Data'!$W$6:$W$4825,'Diags Raw Data'!$D$6:$D$4825,$A16)</f>
        <v>0</v>
      </c>
      <c r="L16" s="622">
        <f t="shared" ref="L16" si="16">IF(NOT($C16=0), G16/$C16, "---")</f>
        <v>0</v>
      </c>
      <c r="M16" s="228" t="str">
        <f t="shared" ref="M16" si="17">IF(NOT($G16=0), (H16+I16)/$G16, "---")</f>
        <v>---</v>
      </c>
      <c r="N16" s="237">
        <f t="shared" ref="N16" si="18">IF(NOT($C16=0), (H16+I16)/$C16, "---")</f>
        <v>0</v>
      </c>
      <c r="O16" s="213">
        <v>0</v>
      </c>
      <c r="P16" s="203">
        <f>SUMIFS('Diags Raw Data'!$AA$6:$AA$4825,'Diags Raw Data'!$D$6:$D$4825,$A16)</f>
        <v>0</v>
      </c>
      <c r="Q16" s="205">
        <f>SUMIFS('Diags Raw Data'!$AB$6:$AB$4825,'Diags Raw Data'!$D$6:$D$4825,$A16)</f>
        <v>0</v>
      </c>
      <c r="R16" s="203">
        <f>SUMIFS('Diags Raw Data'!$AC$6:$AC$4825,'Diags Raw Data'!$D$6:$D$4825,$A16)</f>
        <v>0</v>
      </c>
      <c r="S16" s="205">
        <f>SUMIFS('Diags Raw Data'!$AD$6:$AD$4825,'Diags Raw Data'!$D$6:$D$4825,$A16)</f>
        <v>0</v>
      </c>
      <c r="T16" s="625">
        <f t="shared" ref="T16" si="19">IF(NOT($B16=0), O16/$B16, "---")</f>
        <v>0</v>
      </c>
      <c r="U16" s="229" t="str">
        <f t="shared" ref="U16" si="20">IF(NOT($O16=0), (P16+Q16)/$O16, "---")</f>
        <v>---</v>
      </c>
      <c r="V16" s="231">
        <f t="shared" ref="V16" si="21">IF(NOT($B16=0), (P16+Q16)/$B16, "---")</f>
        <v>0</v>
      </c>
    </row>
    <row r="17" spans="1:22" x14ac:dyDescent="0.25">
      <c r="A17" s="333" t="s">
        <v>916</v>
      </c>
      <c r="B17" s="252">
        <f>SUMIFS('Diags Raw Data'!$L$6:$L$4825,'Diags Raw Data'!$D$6:$D$4825,$A17)</f>
        <v>4</v>
      </c>
      <c r="C17" s="242">
        <f>SUMIFS('Diags Raw Data'!$R$6:$R$4825,'Diags Raw Data'!$D$6:$D$4825,$A17)</f>
        <v>0</v>
      </c>
      <c r="D17" s="242">
        <f>SUMIFS('Diags Raw Data'!$K$6:$K$4825,'Diags Raw Data'!$D$6:$D$4825,$A17)</f>
        <v>120</v>
      </c>
      <c r="E17" s="242">
        <f>SUMIFS('Diags Raw Data'!$O$6:$O$4825,'Diags Raw Data'!$D$6:$D$4825,$A17)</f>
        <v>4</v>
      </c>
      <c r="F17" s="248">
        <f t="shared" ref="F17" si="22">IF(NOT($B17=0), E17/$B17, "---")</f>
        <v>1</v>
      </c>
      <c r="G17" s="230">
        <f>SUMIFS('Diags Raw Data'!$S$6:$S$4825,'Diags Raw Data'!$D$6:$D$4825,$A17)</f>
        <v>0</v>
      </c>
      <c r="H17" s="226">
        <f>SUMIFS('Diags Raw Data'!$T$6:$T$4825,'Diags Raw Data'!$D$6:$D$4825,$A17)</f>
        <v>0</v>
      </c>
      <c r="I17" s="227">
        <f>SUMIFS('Diags Raw Data'!$U$6:$U$4825,'Diags Raw Data'!$D$6:$D$4825,$A17)</f>
        <v>0</v>
      </c>
      <c r="J17" s="226">
        <f>SUMIFS('Diags Raw Data'!$V$6:$V$4825,'Diags Raw Data'!$D$6:$D$4825,$A17)</f>
        <v>0</v>
      </c>
      <c r="K17" s="227">
        <f>SUMIFS('Diags Raw Data'!$W$6:$W$4825,'Diags Raw Data'!$D$6:$D$4825,$A17)</f>
        <v>0</v>
      </c>
      <c r="L17" s="622" t="str">
        <f t="shared" ref="L17" si="23">IF(NOT($C17=0), G17/$C17, "---")</f>
        <v>---</v>
      </c>
      <c r="M17" s="228" t="str">
        <f t="shared" ref="M17" si="24">IF(NOT($G17=0), (H17+I17)/$G17, "---")</f>
        <v>---</v>
      </c>
      <c r="N17" s="237" t="str">
        <f t="shared" ref="N17" si="25">IF(NOT($C17=0), (H17+I17)/$C17, "---")</f>
        <v>---</v>
      </c>
      <c r="O17" s="213">
        <v>0</v>
      </c>
      <c r="P17" s="203">
        <f>SUMIFS('Diags Raw Data'!$AA$6:$AA$4825,'Diags Raw Data'!$D$6:$D$4825,$A17)</f>
        <v>0</v>
      </c>
      <c r="Q17" s="205">
        <f>SUMIFS('Diags Raw Data'!$AB$6:$AB$4825,'Diags Raw Data'!$D$6:$D$4825,$A17)</f>
        <v>0</v>
      </c>
      <c r="R17" s="203">
        <f>SUMIFS('Diags Raw Data'!$AC$6:$AC$4825,'Diags Raw Data'!$D$6:$D$4825,$A17)</f>
        <v>0</v>
      </c>
      <c r="S17" s="205">
        <f>SUMIFS('Diags Raw Data'!$AD$6:$AD$4825,'Diags Raw Data'!$D$6:$D$4825,$A17)</f>
        <v>0</v>
      </c>
      <c r="T17" s="625">
        <f t="shared" ref="T17" si="26">IF(NOT($B17=0), O17/$B17, "---")</f>
        <v>0</v>
      </c>
      <c r="U17" s="229" t="str">
        <f t="shared" ref="U17" si="27">IF(NOT($O17=0), (P17+Q17)/$O17, "---")</f>
        <v>---</v>
      </c>
      <c r="V17" s="231">
        <f t="shared" ref="V17" si="28">IF(NOT($B17=0), (P17+Q17)/$B17, "---")</f>
        <v>0</v>
      </c>
    </row>
    <row r="18" spans="1:22" ht="15.75" thickBot="1" x14ac:dyDescent="0.3">
      <c r="A18" s="333" t="s">
        <v>572</v>
      </c>
      <c r="B18" s="253">
        <f>SUMIFS('Diags Raw Data'!$L$6:$L$4825,'Diags Raw Data'!$D$6:$D$4825,$A18)</f>
        <v>892</v>
      </c>
      <c r="C18" s="244">
        <f>SUMIFS('Diags Raw Data'!$R$6:$R$4825,'Diags Raw Data'!$D$6:$D$4825,$A18)</f>
        <v>892</v>
      </c>
      <c r="D18" s="244">
        <f>SUMIFS('Diags Raw Data'!$K$6:$K$4825,'Diags Raw Data'!$D$6:$D$4825,$A18)</f>
        <v>19</v>
      </c>
      <c r="E18" s="244">
        <f>SUMIFS('Diags Raw Data'!$O$6:$O$4825,'Diags Raw Data'!$D$6:$D$4825,$A18)</f>
        <v>892</v>
      </c>
      <c r="F18" s="249">
        <f>IF(NOT($B18=0), E18/$B18, "---")</f>
        <v>1</v>
      </c>
      <c r="G18" s="232">
        <f>SUMIFS('Diags Raw Data'!$S$6:$S$4825,'Diags Raw Data'!$D$6:$D$4825,$A18)</f>
        <v>0</v>
      </c>
      <c r="H18" s="233">
        <f>SUMIFS('Diags Raw Data'!$T$6:$T$4825,'Diags Raw Data'!$D$6:$D$4825,$A18)</f>
        <v>0</v>
      </c>
      <c r="I18" s="234">
        <f>SUMIFS('Diags Raw Data'!$U$6:$U$4825,'Diags Raw Data'!$D$6:$D$4825,$A18)</f>
        <v>0</v>
      </c>
      <c r="J18" s="233">
        <f>SUMIFS('Diags Raw Data'!$V$6:$V$4825,'Diags Raw Data'!$D$6:$D$4825,$A18)</f>
        <v>0</v>
      </c>
      <c r="K18" s="234">
        <f>SUMIFS('Diags Raw Data'!$W$6:$W$4825,'Diags Raw Data'!$D$6:$D$4825,$A18)</f>
        <v>0</v>
      </c>
      <c r="L18" s="623">
        <f t="shared" si="1"/>
        <v>0</v>
      </c>
      <c r="M18" s="235" t="str">
        <f t="shared" si="2"/>
        <v>---</v>
      </c>
      <c r="N18" s="238">
        <f>IF(NOT($C18=0), (H18+I18)/$C18, "---")</f>
        <v>0</v>
      </c>
      <c r="O18" s="214">
        <v>0</v>
      </c>
      <c r="P18" s="206">
        <f>SUMIFS('Diags Raw Data'!$AA$6:$AA$4825,'Diags Raw Data'!$D$6:$D$4825,$A18)</f>
        <v>0</v>
      </c>
      <c r="Q18" s="208">
        <f>SUMIFS('Diags Raw Data'!$AB$6:$AB$4825,'Diags Raw Data'!$D$6:$D$4825,$A18)</f>
        <v>0</v>
      </c>
      <c r="R18" s="206">
        <f>SUMIFS('Diags Raw Data'!$AC$6:$AC$4825,'Diags Raw Data'!$D$6:$D$4825,$A18)</f>
        <v>0</v>
      </c>
      <c r="S18" s="208">
        <f>SUMIFS('Diags Raw Data'!$AD$6:$AD$4825,'Diags Raw Data'!$D$6:$D$4825,$A18)</f>
        <v>0</v>
      </c>
      <c r="T18" s="626">
        <f t="shared" si="4"/>
        <v>0</v>
      </c>
      <c r="U18" s="239" t="str">
        <f t="shared" si="14"/>
        <v>---</v>
      </c>
      <c r="V18" s="236">
        <f t="shared" si="6"/>
        <v>0</v>
      </c>
    </row>
    <row r="19" spans="1:22" ht="16.5" thickBot="1" x14ac:dyDescent="0.3">
      <c r="A19" s="272" t="s">
        <v>1129</v>
      </c>
      <c r="B19" s="256">
        <f>SUM(B4:B18)</f>
        <v>3312</v>
      </c>
      <c r="C19" s="257">
        <f>SUM(C4:C18)</f>
        <v>2973</v>
      </c>
      <c r="D19" s="257">
        <f>SUM(D4:D18)</f>
        <v>391</v>
      </c>
      <c r="E19" s="257">
        <f>SUM(E4:E18)</f>
        <v>3312</v>
      </c>
      <c r="F19" s="258" cm="1">
        <f t="array" ref="F19">SUMPRODUCT(--(ISNUMBER(SEARCH("New",'Diags Raw Data'!$M$6:$M$4825))),'Diags Raw Data'!$K$6:$K$4825,'Diags Raw Data'!$P$6:$P$4825)/D19+SUMPRODUCT(--(ISNUMBER(SEARCH("Delta",'Diags Raw Data'!$M$6:$M$4825))),'Diags Raw Data'!$K$6:$K$4825,'Diags Raw Data'!$P$6:$P$4825)/D19+SUMPRODUCT(--(ISNUMBER(SEARCH("Legacy",'Diags Raw Data'!$M$6:$M$4825))),'Diags Raw Data'!$K$6:$K$4825,'Diags Raw Data'!$P$6:$P$4825)/D19</f>
        <v>1</v>
      </c>
      <c r="G19" s="259">
        <f>SUM(G4:G18)</f>
        <v>0</v>
      </c>
      <c r="H19" s="260">
        <f>SUM(H4:H18)</f>
        <v>0</v>
      </c>
      <c r="I19" s="261">
        <f>SUM(I4:I18)</f>
        <v>0</v>
      </c>
      <c r="J19" s="260">
        <f>SUM(J4:J18)</f>
        <v>0</v>
      </c>
      <c r="K19" s="261">
        <f>SUM(K4:K18)</f>
        <v>0</v>
      </c>
      <c r="L19" s="262">
        <f>IF(NOT($C19=0), G19/$C19, "---")</f>
        <v>0</v>
      </c>
      <c r="M19" s="263" t="str">
        <f>IF(NOT($G19=0), (H19+I19)/$G19, "---")</f>
        <v>---</v>
      </c>
      <c r="N19" s="264">
        <f>IF(NOT($C19=0), (H19+I19)/$C19, "---")</f>
        <v>0</v>
      </c>
      <c r="O19" s="265">
        <f>SUM(O4:O18)</f>
        <v>0</v>
      </c>
      <c r="P19" s="266">
        <f>SUM(P4:P18)</f>
        <v>0</v>
      </c>
      <c r="Q19" s="267">
        <f>SUM(Q4:Q18)</f>
        <v>0</v>
      </c>
      <c r="R19" s="266">
        <f>SUM(R4:R18)</f>
        <v>0</v>
      </c>
      <c r="S19" s="267">
        <f>SUM(S4:S18)</f>
        <v>0</v>
      </c>
      <c r="T19" s="268">
        <f>IF(NOT($B19=0), O19/$B19, "---")</f>
        <v>0</v>
      </c>
      <c r="U19" s="269" t="str">
        <f>IF(NOT($O19=0), (P19+Q19)/$O19, "---")</f>
        <v>---</v>
      </c>
      <c r="V19" s="270">
        <f>IF(NOT($B19=0), (P19+Q19)/$B19, "---")</f>
        <v>0</v>
      </c>
    </row>
    <row r="20" spans="1:22" ht="15.75" thickBot="1" x14ac:dyDescent="0.3"/>
    <row r="21" spans="1:22" ht="15.75" thickBot="1" x14ac:dyDescent="0.3">
      <c r="A21" s="215" t="s">
        <v>1130</v>
      </c>
      <c r="B21" s="769" t="s">
        <v>166</v>
      </c>
      <c r="C21" s="769"/>
      <c r="D21" s="769"/>
      <c r="E21" s="769"/>
      <c r="F21" s="769"/>
      <c r="G21" s="770" t="s">
        <v>177</v>
      </c>
      <c r="H21" s="771"/>
      <c r="I21" s="771"/>
      <c r="J21" s="771"/>
      <c r="K21" s="771"/>
      <c r="L21" s="771"/>
      <c r="M21" s="771"/>
      <c r="N21" s="772"/>
      <c r="O21" s="773" t="s">
        <v>144</v>
      </c>
      <c r="P21" s="774"/>
      <c r="Q21" s="774"/>
      <c r="R21" s="774"/>
      <c r="S21" s="774"/>
      <c r="T21" s="774"/>
      <c r="U21" s="774"/>
      <c r="V21" s="775"/>
    </row>
    <row r="22" spans="1:22" s="250" customFormat="1" ht="15.75" thickBot="1" x14ac:dyDescent="0.3">
      <c r="A22" s="254" t="s">
        <v>88</v>
      </c>
      <c r="B22" s="311" t="s">
        <v>167</v>
      </c>
      <c r="C22" s="312" t="s">
        <v>128</v>
      </c>
      <c r="D22" s="313" t="s">
        <v>105</v>
      </c>
      <c r="E22" s="313" t="s">
        <v>173</v>
      </c>
      <c r="F22" s="314" t="s">
        <v>175</v>
      </c>
      <c r="G22" s="315" t="s">
        <v>132</v>
      </c>
      <c r="H22" s="316" t="s">
        <v>30</v>
      </c>
      <c r="I22" s="316" t="s">
        <v>135</v>
      </c>
      <c r="J22" s="316" t="s">
        <v>36</v>
      </c>
      <c r="K22" s="316" t="s">
        <v>138</v>
      </c>
      <c r="L22" s="316" t="s">
        <v>184</v>
      </c>
      <c r="M22" s="316" t="s">
        <v>140</v>
      </c>
      <c r="N22" s="317" t="s">
        <v>187</v>
      </c>
      <c r="O22" s="318" t="s">
        <v>132</v>
      </c>
      <c r="P22" s="319" t="s">
        <v>30</v>
      </c>
      <c r="Q22" s="319" t="s">
        <v>135</v>
      </c>
      <c r="R22" s="319" t="s">
        <v>36</v>
      </c>
      <c r="S22" s="319" t="s">
        <v>138</v>
      </c>
      <c r="T22" s="319" t="s">
        <v>184</v>
      </c>
      <c r="U22" s="319" t="s">
        <v>140</v>
      </c>
      <c r="V22" s="320" t="s">
        <v>187</v>
      </c>
    </row>
    <row r="23" spans="1:22" ht="15.75" thickBot="1" x14ac:dyDescent="0.3">
      <c r="A23" s="333" t="s">
        <v>508</v>
      </c>
      <c r="B23" s="251">
        <f>SUMIFS('Diags Raw Data'!$L$6:$L$4825,'Diags Raw Data'!$D$6:$D$4825,$A23,'Diags Raw Data'!$M$6:$M$4825,"New")+SUMIFS('Diags Raw Data'!$L$6:$L$4825,'Diags Raw Data'!$D$6:$D$4825,$A23,'Diags Raw Data'!$M$6:$M$4825,"Delta")</f>
        <v>0</v>
      </c>
      <c r="C23" s="241">
        <f>SUMIFS('Diags Raw Data'!$R$6:$R$4825,'Diags Raw Data'!$D$6:$D$4825,$A23,'Diags Raw Data'!$M$6:$M$4825,"New")+SUMIFS('Diags Raw Data'!$R$6:$R$4825,'Diags Raw Data'!$D$6:$D$4825,$A23,'Diags Raw Data'!$M$6:$M$4825,"Delta")</f>
        <v>0</v>
      </c>
      <c r="D23" s="241">
        <f>SUMIFS('Diags Raw Data'!$K$6:$K$4825,'Diags Raw Data'!$D$6:$D$4825,$A23,'Diags Raw Data'!$M$6:$M$4825,"New")+SUMIFS('Diags Raw Data'!$K$6:$K$4825,'Diags Raw Data'!$D$6:$D$4825,$A23,'Diags Raw Data'!$M$6:$M$4825,"Delta")</f>
        <v>0</v>
      </c>
      <c r="E23" s="241">
        <f>SUMIFS('Diags Raw Data'!$O$6:$O$4825,'Diags Raw Data'!$D$6:$D$4825,$A23,'Diags Raw Data'!$M$6:$M$4825,"New")+SUMIFS('Diags Raw Data'!$O$6:$O$4825,'Diags Raw Data'!$D$6:$D$4825,$A23,'Diags Raw Data'!$M$6:$M$4825,"Delta")</f>
        <v>0</v>
      </c>
      <c r="F23" s="247" t="str">
        <f t="shared" ref="F23" si="29">IF(NOT($B23=0), E23/$B23, "---")</f>
        <v>---</v>
      </c>
      <c r="G23" s="219">
        <f>SUMIFS('Diags Raw Data'!$S$6:$S$4825,'Diags Raw Data'!$D$6:$D$4825,$A23,'Diags Raw Data'!$M$6:$M$4825,"New")+SUMIFS('Diags Raw Data'!$S$6:$S$4825,'Diags Raw Data'!$D$6:$D$4825,$A23,'Diags Raw Data'!$M$6:$M$4825,"Delta")</f>
        <v>0</v>
      </c>
      <c r="H23" s="220">
        <f>SUMIFS('Diags Raw Data'!$T$6:$T$4825,'Diags Raw Data'!$D$6:$D$4825,$A23,'Diags Raw Data'!$M$6:$M$4825,"New")+SUMIFS('Diags Raw Data'!$T$6:$T$4825,'Diags Raw Data'!$D$6:$D$4825,$A23,'Diags Raw Data'!$M$6:$M$4825,"Delta")</f>
        <v>0</v>
      </c>
      <c r="I23" s="220">
        <f>SUMIFS('Diags Raw Data'!$U$6:$U$4825,'Diags Raw Data'!$D$6:$D$4825,$A23,'Diags Raw Data'!$M$6:$M$4825,"New")+SUMIFS('Diags Raw Data'!$U$6:$U$4825,'Diags Raw Data'!$D$6:$D$4825,$A23,'Diags Raw Data'!$M$6:$M$4825,"Delta")</f>
        <v>0</v>
      </c>
      <c r="J23" s="220">
        <f>SUMIFS('Diags Raw Data'!$V$6:$V$4825,'Diags Raw Data'!$D$6:$D$4825,$A23,'Diags Raw Data'!$M$6:$M$4825,"New")+SUMIFS('Diags Raw Data'!$V$6:$V$4825,'Diags Raw Data'!$D$6:$D$4825,$A23,'Diags Raw Data'!$M$6:$M$4825,"Delta")</f>
        <v>0</v>
      </c>
      <c r="K23" s="220">
        <f>SUMIFS('Diags Raw Data'!$W$6:$W$4825,'Diags Raw Data'!$D$6:$D$4825,$A23,'Diags Raw Data'!$M$6:$M$4825,"New")+SUMIFS('Diags Raw Data'!$W$6:$W$4825,'Diags Raw Data'!$D$6:$D$4825,$A23,'Diags Raw Data'!$M$6:$M$4825,"Delta")</f>
        <v>0</v>
      </c>
      <c r="L23" s="221" t="str">
        <f>IF(NOT($C23=0), G23/$C23, "---")</f>
        <v>---</v>
      </c>
      <c r="M23" s="223" t="str">
        <f>IF(NOT($G23=0), (H23+I23)/$G23, "---")</f>
        <v>---</v>
      </c>
      <c r="N23" s="225" t="str">
        <f>IF(NOT($C23=0), (H23+I23)/$C23, "---")</f>
        <v>---</v>
      </c>
      <c r="O23" s="212">
        <f>SUMIFS('Diags Raw Data'!$Z$6:$Z$4825,'Diags Raw Data'!$D$6:$D$4825,$A23,'Diags Raw Data'!$M$6:$M$4825,"New")+SUMIFS('Diags Raw Data'!$Z$6:$Z$4825,'Diags Raw Data'!$D$6:$D$4825,$A23,'Diags Raw Data'!$M$6:$M$4825,"Delta")</f>
        <v>0</v>
      </c>
      <c r="P23" s="209">
        <f>SUMIFS('Diags Raw Data'!$AA$6:$AA$4825,'Diags Raw Data'!$D$6:$D$4825,$A23,'Diags Raw Data'!$M$6:$M$4825,"New")+SUMIFS('Diags Raw Data'!$AA$6:$AA$4825,'Diags Raw Data'!$D$6:$D$4825,$A23,'Diags Raw Data'!$M$6:$M$4825,"Delta")</f>
        <v>0</v>
      </c>
      <c r="Q23" s="209">
        <f>SUMIFS('Diags Raw Data'!$AB$6:$AB$4825,'Diags Raw Data'!$D$6:$D$4825,$A23,'Diags Raw Data'!$M$6:$M$4825,"New")+SUMIFS('Diags Raw Data'!$AB$6:$AB$4825,'Diags Raw Data'!$D$6:$D$4825,$A23,'Diags Raw Data'!$M$6:$M$4825,"Delta")</f>
        <v>0</v>
      </c>
      <c r="R23" s="209">
        <f>SUMIFS('Diags Raw Data'!$AC$6:$AC$4825,'Diags Raw Data'!$D$6:$D$4825,$A23,'Diags Raw Data'!$M$6:$M$4825,"New")+SUMIFS('Diags Raw Data'!$AC$6:$AC$4825,'Diags Raw Data'!$D$6:$D$4825,$A23,'Diags Raw Data'!$M$6:$M$4825,"Delta")</f>
        <v>0</v>
      </c>
      <c r="S23" s="209">
        <f>SUMIFS('Diags Raw Data'!$AD$6:$AD$4825,'Diags Raw Data'!$D$6:$D$4825,$A23,'Diags Raw Data'!$M$6:$M$4825,"New")+SUMIFS('Diags Raw Data'!$AD$6:$AD$4825,'Diags Raw Data'!$D$6:$D$4825,$A23,'Diags Raw Data'!$M$6:$M$4825,"Delta")</f>
        <v>0</v>
      </c>
      <c r="T23" s="210" t="str">
        <f>IF(NOT($B23=0), O23/$B23, "---")</f>
        <v>---</v>
      </c>
      <c r="U23" s="224" t="str">
        <f>IF(NOT($O23=0), (P23+Q23)/$O23, "---")</f>
        <v>---</v>
      </c>
      <c r="V23" s="240" t="str">
        <f>IF(NOT($B23=0), (P23+Q23)/$B23, "---")</f>
        <v>---</v>
      </c>
    </row>
    <row r="24" spans="1:22" ht="15.75" thickBot="1" x14ac:dyDescent="0.3">
      <c r="A24" s="333" t="s">
        <v>869</v>
      </c>
      <c r="B24" s="251">
        <f>SUMIFS('Diags Raw Data'!$L$6:$L$4825,'Diags Raw Data'!$D$6:$D$4825,$A24,'Diags Raw Data'!$M$6:$M$4825,"New")+SUMIFS('Diags Raw Data'!$L$6:$L$4825,'Diags Raw Data'!$D$6:$D$4825,$A24,'Diags Raw Data'!$M$6:$M$4825,"Delta")</f>
        <v>0</v>
      </c>
      <c r="C24" s="241">
        <f>SUMIFS('Diags Raw Data'!$R$6:$R$4825,'Diags Raw Data'!$D$6:$D$4825,$A24,'Diags Raw Data'!$M$6:$M$4825,"New")+SUMIFS('Diags Raw Data'!$R$6:$R$4825,'Diags Raw Data'!$D$6:$D$4825,$A24,'Diags Raw Data'!$M$6:$M$4825,"Delta")</f>
        <v>0</v>
      </c>
      <c r="D24" s="241">
        <f>SUMIFS('Diags Raw Data'!$K$6:$K$4825,'Diags Raw Data'!$D$6:$D$4825,$A24,'Diags Raw Data'!$M$6:$M$4825,"New")+SUMIFS('Diags Raw Data'!$K$6:$K$4825,'Diags Raw Data'!$D$6:$D$4825,$A24,'Diags Raw Data'!$M$6:$M$4825,"Delta")</f>
        <v>0</v>
      </c>
      <c r="E24" s="241">
        <f>SUMIFS('Diags Raw Data'!$O$6:$O$4825,'Diags Raw Data'!$D$6:$D$4825,$A24,'Diags Raw Data'!$M$6:$M$4825,"New")+SUMIFS('Diags Raw Data'!$O$6:$O$4825,'Diags Raw Data'!$D$6:$D$4825,$A24,'Diags Raw Data'!$M$6:$M$4825,"Delta")</f>
        <v>0</v>
      </c>
      <c r="F24" s="247" t="str">
        <f t="shared" ref="F24:F37" si="30">IF(NOT($B24=0), E24/$B24, "---")</f>
        <v>---</v>
      </c>
      <c r="G24" s="219">
        <f>SUMIFS('Diags Raw Data'!$S$6:$S$4825,'Diags Raw Data'!$D$6:$D$4825,$A24,'Diags Raw Data'!$M$6:$M$4825,"New")+SUMIFS('Diags Raw Data'!$S$6:$S$4825,'Diags Raw Data'!$D$6:$D$4825,$A24,'Diags Raw Data'!$M$6:$M$4825,"Delta")</f>
        <v>0</v>
      </c>
      <c r="H24" s="220">
        <f>SUMIFS('Diags Raw Data'!$T$6:$T$4825,'Diags Raw Data'!$D$6:$D$4825,$A24,'Diags Raw Data'!$M$6:$M$4825,"New")+SUMIFS('Diags Raw Data'!$T$6:$T$4825,'Diags Raw Data'!$D$6:$D$4825,$A24,'Diags Raw Data'!$M$6:$M$4825,"Delta")</f>
        <v>0</v>
      </c>
      <c r="I24" s="220">
        <f>SUMIFS('Diags Raw Data'!$U$6:$U$4825,'Diags Raw Data'!$D$6:$D$4825,$A24,'Diags Raw Data'!$M$6:$M$4825,"New")+SUMIFS('Diags Raw Data'!$U$6:$U$4825,'Diags Raw Data'!$D$6:$D$4825,$A24,'Diags Raw Data'!$M$6:$M$4825,"Delta")</f>
        <v>0</v>
      </c>
      <c r="J24" s="220">
        <f>SUMIFS('Diags Raw Data'!$V$6:$V$4825,'Diags Raw Data'!$D$6:$D$4825,$A24,'Diags Raw Data'!$M$6:$M$4825,"New")+SUMIFS('Diags Raw Data'!$V$6:$V$4825,'Diags Raw Data'!$D$6:$D$4825,$A24,'Diags Raw Data'!$M$6:$M$4825,"Delta")</f>
        <v>0</v>
      </c>
      <c r="K24" s="220">
        <f>SUMIFS('Diags Raw Data'!$W$6:$W$4825,'Diags Raw Data'!$D$6:$D$4825,$A24,'Diags Raw Data'!$M$6:$M$4825,"New")+SUMIFS('Diags Raw Data'!$W$6:$W$4825,'Diags Raw Data'!$D$6:$D$4825,$A24,'Diags Raw Data'!$M$6:$M$4825,"Delta")</f>
        <v>0</v>
      </c>
      <c r="L24" s="221" t="str">
        <f t="shared" ref="L24:L37" si="31">IF(NOT($C24=0), G24/$C24, "---")</f>
        <v>---</v>
      </c>
      <c r="M24" s="223" t="str">
        <f t="shared" ref="M24:M37" si="32">IF(NOT($G24=0), (H24+I24)/$G24, "---")</f>
        <v>---</v>
      </c>
      <c r="N24" s="225" t="str">
        <f t="shared" ref="N24:N37" si="33">IF(NOT($C24=0), (H24+I24)/$C24, "---")</f>
        <v>---</v>
      </c>
      <c r="O24" s="212">
        <f>SUMIFS('Diags Raw Data'!$Z$6:$Z$4825,'Diags Raw Data'!$D$6:$D$4825,$A24,'Diags Raw Data'!$M$6:$M$4825,"New")+SUMIFS('Diags Raw Data'!$Z$6:$Z$4825,'Diags Raw Data'!$D$6:$D$4825,$A24,'Diags Raw Data'!$M$6:$M$4825,"Delta")</f>
        <v>0</v>
      </c>
      <c r="P24" s="209">
        <f>SUMIFS('Diags Raw Data'!$AA$6:$AA$4825,'Diags Raw Data'!$D$6:$D$4825,$A24,'Diags Raw Data'!$M$6:$M$4825,"New")+SUMIFS('Diags Raw Data'!$AA$6:$AA$4825,'Diags Raw Data'!$D$6:$D$4825,$A24,'Diags Raw Data'!$M$6:$M$4825,"Delta")</f>
        <v>0</v>
      </c>
      <c r="Q24" s="209">
        <f>SUMIFS('Diags Raw Data'!$AB$6:$AB$4825,'Diags Raw Data'!$D$6:$D$4825,$A24,'Diags Raw Data'!$M$6:$M$4825,"New")+SUMIFS('Diags Raw Data'!$AB$6:$AB$4825,'Diags Raw Data'!$D$6:$D$4825,$A24,'Diags Raw Data'!$M$6:$M$4825,"Delta")</f>
        <v>0</v>
      </c>
      <c r="R24" s="209">
        <f>SUMIFS('Diags Raw Data'!$AC$6:$AC$4825,'Diags Raw Data'!$D$6:$D$4825,$A24,'Diags Raw Data'!$M$6:$M$4825,"New")+SUMIFS('Diags Raw Data'!$AC$6:$AC$4825,'Diags Raw Data'!$D$6:$D$4825,$A24,'Diags Raw Data'!$M$6:$M$4825,"Delta")</f>
        <v>0</v>
      </c>
      <c r="S24" s="209">
        <f>SUMIFS('Diags Raw Data'!$AD$6:$AD$4825,'Diags Raw Data'!$D$6:$D$4825,$A24,'Diags Raw Data'!$M$6:$M$4825,"New")+SUMIFS('Diags Raw Data'!$AD$6:$AD$4825,'Diags Raw Data'!$D$6:$D$4825,$A24,'Diags Raw Data'!$M$6:$M$4825,"Delta")</f>
        <v>0</v>
      </c>
      <c r="T24" s="210" t="str">
        <f t="shared" ref="T24:T37" si="34">IF(NOT($B24=0), O24/$B24, "---")</f>
        <v>---</v>
      </c>
      <c r="U24" s="224" t="str">
        <f t="shared" ref="U24:U37" si="35">IF(NOT($O24=0), (P24+Q24)/$O24, "---")</f>
        <v>---</v>
      </c>
      <c r="V24" s="240" t="str">
        <f t="shared" ref="V24:V37" si="36">IF(NOT($B24=0), (P24+Q24)/$B24, "---")</f>
        <v>---</v>
      </c>
    </row>
    <row r="25" spans="1:22" ht="15.75" thickBot="1" x14ac:dyDescent="0.3">
      <c r="A25" s="333" t="s">
        <v>264</v>
      </c>
      <c r="B25" s="251">
        <f>SUMIFS('Diags Raw Data'!$L$6:$L$4825,'Diags Raw Data'!$D$6:$D$4825,$A25,'Diags Raw Data'!$M$6:$M$4825,"New")+SUMIFS('Diags Raw Data'!$L$6:$L$4825,'Diags Raw Data'!$D$6:$D$4825,$A25,'Diags Raw Data'!$M$6:$M$4825,"Delta")</f>
        <v>0</v>
      </c>
      <c r="C25" s="241">
        <f>SUMIFS('Diags Raw Data'!$R$6:$R$4825,'Diags Raw Data'!$D$6:$D$4825,$A25,'Diags Raw Data'!$M$6:$M$4825,"New")+SUMIFS('Diags Raw Data'!$R$6:$R$4825,'Diags Raw Data'!$D$6:$D$4825,$A25,'Diags Raw Data'!$M$6:$M$4825,"Delta")</f>
        <v>0</v>
      </c>
      <c r="D25" s="241">
        <f>SUMIFS('Diags Raw Data'!$K$6:$K$4825,'Diags Raw Data'!$D$6:$D$4825,$A25,'Diags Raw Data'!$M$6:$M$4825,"New")+SUMIFS('Diags Raw Data'!$K$6:$K$4825,'Diags Raw Data'!$D$6:$D$4825,$A25,'Diags Raw Data'!$M$6:$M$4825,"Delta")</f>
        <v>0</v>
      </c>
      <c r="E25" s="241">
        <f>SUMIFS('Diags Raw Data'!$O$6:$O$4825,'Diags Raw Data'!$D$6:$D$4825,$A25,'Diags Raw Data'!$M$6:$M$4825,"New")+SUMIFS('Diags Raw Data'!$O$6:$O$4825,'Diags Raw Data'!$D$6:$D$4825,$A25,'Diags Raw Data'!$M$6:$M$4825,"Delta")</f>
        <v>0</v>
      </c>
      <c r="F25" s="247" t="str">
        <f t="shared" si="30"/>
        <v>---</v>
      </c>
      <c r="G25" s="219">
        <f>SUMIFS('Diags Raw Data'!$S$6:$S$4825,'Diags Raw Data'!$D$6:$D$4825,$A25,'Diags Raw Data'!$M$6:$M$4825,"New")+SUMIFS('Diags Raw Data'!$S$6:$S$4825,'Diags Raw Data'!$D$6:$D$4825,$A25,'Diags Raw Data'!$M$6:$M$4825,"Delta")</f>
        <v>0</v>
      </c>
      <c r="H25" s="220">
        <f>SUMIFS('Diags Raw Data'!$T$6:$T$4825,'Diags Raw Data'!$D$6:$D$4825,$A25,'Diags Raw Data'!$M$6:$M$4825,"New")+SUMIFS('Diags Raw Data'!$T$6:$T$4825,'Diags Raw Data'!$D$6:$D$4825,$A25,'Diags Raw Data'!$M$6:$M$4825,"Delta")</f>
        <v>0</v>
      </c>
      <c r="I25" s="220">
        <f>SUMIFS('Diags Raw Data'!$U$6:$U$4825,'Diags Raw Data'!$D$6:$D$4825,$A25,'Diags Raw Data'!$M$6:$M$4825,"New")+SUMIFS('Diags Raw Data'!$U$6:$U$4825,'Diags Raw Data'!$D$6:$D$4825,$A25,'Diags Raw Data'!$M$6:$M$4825,"Delta")</f>
        <v>0</v>
      </c>
      <c r="J25" s="220">
        <f>SUMIFS('Diags Raw Data'!$V$6:$V$4825,'Diags Raw Data'!$D$6:$D$4825,$A25,'Diags Raw Data'!$M$6:$M$4825,"New")+SUMIFS('Diags Raw Data'!$V$6:$V$4825,'Diags Raw Data'!$D$6:$D$4825,$A25,'Diags Raw Data'!$M$6:$M$4825,"Delta")</f>
        <v>0</v>
      </c>
      <c r="K25" s="220">
        <f>SUMIFS('Diags Raw Data'!$W$6:$W$4825,'Diags Raw Data'!$D$6:$D$4825,$A25,'Diags Raw Data'!$M$6:$M$4825,"New")+SUMIFS('Diags Raw Data'!$W$6:$W$4825,'Diags Raw Data'!$D$6:$D$4825,$A25,'Diags Raw Data'!$M$6:$M$4825,"Delta")</f>
        <v>0</v>
      </c>
      <c r="L25" s="221" t="str">
        <f t="shared" si="31"/>
        <v>---</v>
      </c>
      <c r="M25" s="223" t="str">
        <f t="shared" si="32"/>
        <v>---</v>
      </c>
      <c r="N25" s="225" t="str">
        <f t="shared" si="33"/>
        <v>---</v>
      </c>
      <c r="O25" s="212">
        <f>SUMIFS('Diags Raw Data'!$Z$6:$Z$4825,'Diags Raw Data'!$D$6:$D$4825,$A25,'Diags Raw Data'!$M$6:$M$4825,"New")+SUMIFS('Diags Raw Data'!$Z$6:$Z$4825,'Diags Raw Data'!$D$6:$D$4825,$A25,'Diags Raw Data'!$M$6:$M$4825,"Delta")</f>
        <v>0</v>
      </c>
      <c r="P25" s="209">
        <f>SUMIFS('Diags Raw Data'!$AA$6:$AA$4825,'Diags Raw Data'!$D$6:$D$4825,$A25,'Diags Raw Data'!$M$6:$M$4825,"New")+SUMIFS('Diags Raw Data'!$AA$6:$AA$4825,'Diags Raw Data'!$D$6:$D$4825,$A25,'Diags Raw Data'!$M$6:$M$4825,"Delta")</f>
        <v>0</v>
      </c>
      <c r="Q25" s="209">
        <f>SUMIFS('Diags Raw Data'!$AB$6:$AB$4825,'Diags Raw Data'!$D$6:$D$4825,$A25,'Diags Raw Data'!$M$6:$M$4825,"New")+SUMIFS('Diags Raw Data'!$AB$6:$AB$4825,'Diags Raw Data'!$D$6:$D$4825,$A25,'Diags Raw Data'!$M$6:$M$4825,"Delta")</f>
        <v>0</v>
      </c>
      <c r="R25" s="209">
        <f>SUMIFS('Diags Raw Data'!$AC$6:$AC$4825,'Diags Raw Data'!$D$6:$D$4825,$A25,'Diags Raw Data'!$M$6:$M$4825,"New")+SUMIFS('Diags Raw Data'!$AC$6:$AC$4825,'Diags Raw Data'!$D$6:$D$4825,$A25,'Diags Raw Data'!$M$6:$M$4825,"Delta")</f>
        <v>0</v>
      </c>
      <c r="S25" s="209">
        <f>SUMIFS('Diags Raw Data'!$AD$6:$AD$4825,'Diags Raw Data'!$D$6:$D$4825,$A25,'Diags Raw Data'!$M$6:$M$4825,"New")+SUMIFS('Diags Raw Data'!$AD$6:$AD$4825,'Diags Raw Data'!$D$6:$D$4825,$A25,'Diags Raw Data'!$M$6:$M$4825,"Delta")</f>
        <v>0</v>
      </c>
      <c r="T25" s="210" t="str">
        <f t="shared" si="34"/>
        <v>---</v>
      </c>
      <c r="U25" s="224" t="str">
        <f t="shared" si="35"/>
        <v>---</v>
      </c>
      <c r="V25" s="240" t="str">
        <f t="shared" si="36"/>
        <v>---</v>
      </c>
    </row>
    <row r="26" spans="1:22" ht="15.75" thickBot="1" x14ac:dyDescent="0.3">
      <c r="A26" s="333" t="s">
        <v>257</v>
      </c>
      <c r="B26" s="251">
        <f>SUMIFS('Diags Raw Data'!$L$6:$L$4825,'Diags Raw Data'!$D$6:$D$4825,$A26,'Diags Raw Data'!$M$6:$M$4825,"New")+SUMIFS('Diags Raw Data'!$L$6:$L$4825,'Diags Raw Data'!$D$6:$D$4825,$A26,'Diags Raw Data'!$M$6:$M$4825,"Delta")</f>
        <v>0</v>
      </c>
      <c r="C26" s="241">
        <f>SUMIFS('Diags Raw Data'!$R$6:$R$4825,'Diags Raw Data'!$D$6:$D$4825,$A26,'Diags Raw Data'!$M$6:$M$4825,"New")+SUMIFS('Diags Raw Data'!$R$6:$R$4825,'Diags Raw Data'!$D$6:$D$4825,$A26,'Diags Raw Data'!$M$6:$M$4825,"Delta")</f>
        <v>0</v>
      </c>
      <c r="D26" s="241">
        <f>SUMIFS('Diags Raw Data'!$K$6:$K$4825,'Diags Raw Data'!$D$6:$D$4825,$A26,'Diags Raw Data'!$M$6:$M$4825,"New")+SUMIFS('Diags Raw Data'!$K$6:$K$4825,'Diags Raw Data'!$D$6:$D$4825,$A26,'Diags Raw Data'!$M$6:$M$4825,"Delta")</f>
        <v>0</v>
      </c>
      <c r="E26" s="241">
        <f>SUMIFS('Diags Raw Data'!$O$6:$O$4825,'Diags Raw Data'!$D$6:$D$4825,$A26,'Diags Raw Data'!$M$6:$M$4825,"New")+SUMIFS('Diags Raw Data'!$O$6:$O$4825,'Diags Raw Data'!$D$6:$D$4825,$A26,'Diags Raw Data'!$M$6:$M$4825,"Delta")</f>
        <v>0</v>
      </c>
      <c r="F26" s="247" t="str">
        <f t="shared" si="30"/>
        <v>---</v>
      </c>
      <c r="G26" s="219">
        <f>SUMIFS('Diags Raw Data'!$S$6:$S$4825,'Diags Raw Data'!$D$6:$D$4825,$A26,'Diags Raw Data'!$M$6:$M$4825,"New")+SUMIFS('Diags Raw Data'!$S$6:$S$4825,'Diags Raw Data'!$D$6:$D$4825,$A26,'Diags Raw Data'!$M$6:$M$4825,"Delta")</f>
        <v>0</v>
      </c>
      <c r="H26" s="220">
        <f>SUMIFS('Diags Raw Data'!$T$6:$T$4825,'Diags Raw Data'!$D$6:$D$4825,$A26,'Diags Raw Data'!$M$6:$M$4825,"New")+SUMIFS('Diags Raw Data'!$T$6:$T$4825,'Diags Raw Data'!$D$6:$D$4825,$A26,'Diags Raw Data'!$M$6:$M$4825,"Delta")</f>
        <v>0</v>
      </c>
      <c r="I26" s="220">
        <f>SUMIFS('Diags Raw Data'!$U$6:$U$4825,'Diags Raw Data'!$D$6:$D$4825,$A26,'Diags Raw Data'!$M$6:$M$4825,"New")+SUMIFS('Diags Raw Data'!$U$6:$U$4825,'Diags Raw Data'!$D$6:$D$4825,$A26,'Diags Raw Data'!$M$6:$M$4825,"Delta")</f>
        <v>0</v>
      </c>
      <c r="J26" s="220">
        <f>SUMIFS('Diags Raw Data'!$V$6:$V$4825,'Diags Raw Data'!$D$6:$D$4825,$A26,'Diags Raw Data'!$M$6:$M$4825,"New")+SUMIFS('Diags Raw Data'!$V$6:$V$4825,'Diags Raw Data'!$D$6:$D$4825,$A26,'Diags Raw Data'!$M$6:$M$4825,"Delta")</f>
        <v>0</v>
      </c>
      <c r="K26" s="220">
        <f>SUMIFS('Diags Raw Data'!$W$6:$W$4825,'Diags Raw Data'!$D$6:$D$4825,$A26,'Diags Raw Data'!$M$6:$M$4825,"New")+SUMIFS('Diags Raw Data'!$W$6:$W$4825,'Diags Raw Data'!$D$6:$D$4825,$A26,'Diags Raw Data'!$M$6:$M$4825,"Delta")</f>
        <v>0</v>
      </c>
      <c r="L26" s="221" t="str">
        <f t="shared" si="31"/>
        <v>---</v>
      </c>
      <c r="M26" s="223" t="str">
        <f t="shared" si="32"/>
        <v>---</v>
      </c>
      <c r="N26" s="225" t="str">
        <f t="shared" si="33"/>
        <v>---</v>
      </c>
      <c r="O26" s="212">
        <f>SUMIFS('Diags Raw Data'!$Z$6:$Z$4825,'Diags Raw Data'!$D$6:$D$4825,$A26,'Diags Raw Data'!$M$6:$M$4825,"New")+SUMIFS('Diags Raw Data'!$Z$6:$Z$4825,'Diags Raw Data'!$D$6:$D$4825,$A26,'Diags Raw Data'!$M$6:$M$4825,"Delta")</f>
        <v>0</v>
      </c>
      <c r="P26" s="209">
        <f>SUMIFS('Diags Raw Data'!$AA$6:$AA$4825,'Diags Raw Data'!$D$6:$D$4825,$A26,'Diags Raw Data'!$M$6:$M$4825,"New")+SUMIFS('Diags Raw Data'!$AA$6:$AA$4825,'Diags Raw Data'!$D$6:$D$4825,$A26,'Diags Raw Data'!$M$6:$M$4825,"Delta")</f>
        <v>0</v>
      </c>
      <c r="Q26" s="209">
        <f>SUMIFS('Diags Raw Data'!$AB$6:$AB$4825,'Diags Raw Data'!$D$6:$D$4825,$A26,'Diags Raw Data'!$M$6:$M$4825,"New")+SUMIFS('Diags Raw Data'!$AB$6:$AB$4825,'Diags Raw Data'!$D$6:$D$4825,$A26,'Diags Raw Data'!$M$6:$M$4825,"Delta")</f>
        <v>0</v>
      </c>
      <c r="R26" s="209">
        <f>SUMIFS('Diags Raw Data'!$AC$6:$AC$4825,'Diags Raw Data'!$D$6:$D$4825,$A26,'Diags Raw Data'!$M$6:$M$4825,"New")+SUMIFS('Diags Raw Data'!$AC$6:$AC$4825,'Diags Raw Data'!$D$6:$D$4825,$A26,'Diags Raw Data'!$M$6:$M$4825,"Delta")</f>
        <v>0</v>
      </c>
      <c r="S26" s="209">
        <f>SUMIFS('Diags Raw Data'!$AD$6:$AD$4825,'Diags Raw Data'!$D$6:$D$4825,$A26,'Diags Raw Data'!$M$6:$M$4825,"New")+SUMIFS('Diags Raw Data'!$AD$6:$AD$4825,'Diags Raw Data'!$D$6:$D$4825,$A26,'Diags Raw Data'!$M$6:$M$4825,"Delta")</f>
        <v>0</v>
      </c>
      <c r="T26" s="210" t="str">
        <f t="shared" si="34"/>
        <v>---</v>
      </c>
      <c r="U26" s="224" t="str">
        <f t="shared" si="35"/>
        <v>---</v>
      </c>
      <c r="V26" s="240" t="str">
        <f t="shared" si="36"/>
        <v>---</v>
      </c>
    </row>
    <row r="27" spans="1:22" ht="15.75" thickBot="1" x14ac:dyDescent="0.3">
      <c r="A27" s="333" t="s">
        <v>895</v>
      </c>
      <c r="B27" s="251">
        <f>SUMIFS('Diags Raw Data'!$L$6:$L$4825,'Diags Raw Data'!$D$6:$D$4825,$A27,'Diags Raw Data'!$M$6:$M$4825,"New")+SUMIFS('Diags Raw Data'!$L$6:$L$4825,'Diags Raw Data'!$D$6:$D$4825,$A27,'Diags Raw Data'!$M$6:$M$4825,"Delta")</f>
        <v>0</v>
      </c>
      <c r="C27" s="241">
        <f>SUMIFS('Diags Raw Data'!$R$6:$R$4825,'Diags Raw Data'!$D$6:$D$4825,$A27,'Diags Raw Data'!$M$6:$M$4825,"New")+SUMIFS('Diags Raw Data'!$R$6:$R$4825,'Diags Raw Data'!$D$6:$D$4825,$A27,'Diags Raw Data'!$M$6:$M$4825,"Delta")</f>
        <v>0</v>
      </c>
      <c r="D27" s="241">
        <f>SUMIFS('Diags Raw Data'!$K$6:$K$4825,'Diags Raw Data'!$D$6:$D$4825,$A27,'Diags Raw Data'!$M$6:$M$4825,"New")+SUMIFS('Diags Raw Data'!$K$6:$K$4825,'Diags Raw Data'!$D$6:$D$4825,$A27,'Diags Raw Data'!$M$6:$M$4825,"Delta")</f>
        <v>0</v>
      </c>
      <c r="E27" s="241">
        <f>SUMIFS('Diags Raw Data'!$O$6:$O$4825,'Diags Raw Data'!$D$6:$D$4825,$A27,'Diags Raw Data'!$M$6:$M$4825,"New")+SUMIFS('Diags Raw Data'!$O$6:$O$4825,'Diags Raw Data'!$D$6:$D$4825,$A27,'Diags Raw Data'!$M$6:$M$4825,"Delta")</f>
        <v>0</v>
      </c>
      <c r="F27" s="247" t="str">
        <f t="shared" si="30"/>
        <v>---</v>
      </c>
      <c r="G27" s="219">
        <f>SUMIFS('Diags Raw Data'!$S$6:$S$4825,'Diags Raw Data'!$D$6:$D$4825,$A27,'Diags Raw Data'!$M$6:$M$4825,"New")+SUMIFS('Diags Raw Data'!$S$6:$S$4825,'Diags Raw Data'!$D$6:$D$4825,$A27,'Diags Raw Data'!$M$6:$M$4825,"Delta")</f>
        <v>0</v>
      </c>
      <c r="H27" s="220">
        <f>SUMIFS('Diags Raw Data'!$T$6:$T$4825,'Diags Raw Data'!$D$6:$D$4825,$A27,'Diags Raw Data'!$M$6:$M$4825,"New")+SUMIFS('Diags Raw Data'!$T$6:$T$4825,'Diags Raw Data'!$D$6:$D$4825,$A27,'Diags Raw Data'!$M$6:$M$4825,"Delta")</f>
        <v>0</v>
      </c>
      <c r="I27" s="220">
        <f>SUMIFS('Diags Raw Data'!$U$6:$U$4825,'Diags Raw Data'!$D$6:$D$4825,$A27,'Diags Raw Data'!$M$6:$M$4825,"New")+SUMIFS('Diags Raw Data'!$U$6:$U$4825,'Diags Raw Data'!$D$6:$D$4825,$A27,'Diags Raw Data'!$M$6:$M$4825,"Delta")</f>
        <v>0</v>
      </c>
      <c r="J27" s="220">
        <f>SUMIFS('Diags Raw Data'!$V$6:$V$4825,'Diags Raw Data'!$D$6:$D$4825,$A27,'Diags Raw Data'!$M$6:$M$4825,"New")+SUMIFS('Diags Raw Data'!$V$6:$V$4825,'Diags Raw Data'!$D$6:$D$4825,$A27,'Diags Raw Data'!$M$6:$M$4825,"Delta")</f>
        <v>0</v>
      </c>
      <c r="K27" s="220">
        <f>SUMIFS('Diags Raw Data'!$W$6:$W$4825,'Diags Raw Data'!$D$6:$D$4825,$A27,'Diags Raw Data'!$M$6:$M$4825,"New")+SUMIFS('Diags Raw Data'!$W$6:$W$4825,'Diags Raw Data'!$D$6:$D$4825,$A27,'Diags Raw Data'!$M$6:$M$4825,"Delta")</f>
        <v>0</v>
      </c>
      <c r="L27" s="221" t="str">
        <f t="shared" si="31"/>
        <v>---</v>
      </c>
      <c r="M27" s="223" t="str">
        <f t="shared" si="32"/>
        <v>---</v>
      </c>
      <c r="N27" s="225" t="str">
        <f t="shared" si="33"/>
        <v>---</v>
      </c>
      <c r="O27" s="212">
        <f>SUMIFS('Diags Raw Data'!$Z$6:$Z$4825,'Diags Raw Data'!$D$6:$D$4825,$A27,'Diags Raw Data'!$M$6:$M$4825,"New")+SUMIFS('Diags Raw Data'!$Z$6:$Z$4825,'Diags Raw Data'!$D$6:$D$4825,$A27,'Diags Raw Data'!$M$6:$M$4825,"Delta")</f>
        <v>0</v>
      </c>
      <c r="P27" s="209">
        <f>SUMIFS('Diags Raw Data'!$AA$6:$AA$4825,'Diags Raw Data'!$D$6:$D$4825,$A27,'Diags Raw Data'!$M$6:$M$4825,"New")+SUMIFS('Diags Raw Data'!$AA$6:$AA$4825,'Diags Raw Data'!$D$6:$D$4825,$A27,'Diags Raw Data'!$M$6:$M$4825,"Delta")</f>
        <v>0</v>
      </c>
      <c r="Q27" s="209">
        <f>SUMIFS('Diags Raw Data'!$AB$6:$AB$4825,'Diags Raw Data'!$D$6:$D$4825,$A27,'Diags Raw Data'!$M$6:$M$4825,"New")+SUMIFS('Diags Raw Data'!$AB$6:$AB$4825,'Diags Raw Data'!$D$6:$D$4825,$A27,'Diags Raw Data'!$M$6:$M$4825,"Delta")</f>
        <v>0</v>
      </c>
      <c r="R27" s="209">
        <f>SUMIFS('Diags Raw Data'!$AC$6:$AC$4825,'Diags Raw Data'!$D$6:$D$4825,$A27,'Diags Raw Data'!$M$6:$M$4825,"New")+SUMIFS('Diags Raw Data'!$AC$6:$AC$4825,'Diags Raw Data'!$D$6:$D$4825,$A27,'Diags Raw Data'!$M$6:$M$4825,"Delta")</f>
        <v>0</v>
      </c>
      <c r="S27" s="209">
        <f>SUMIFS('Diags Raw Data'!$AD$6:$AD$4825,'Diags Raw Data'!$D$6:$D$4825,$A27,'Diags Raw Data'!$M$6:$M$4825,"New")+SUMIFS('Diags Raw Data'!$AD$6:$AD$4825,'Diags Raw Data'!$D$6:$D$4825,$A27,'Diags Raw Data'!$M$6:$M$4825,"Delta")</f>
        <v>0</v>
      </c>
      <c r="T27" s="210" t="str">
        <f t="shared" si="34"/>
        <v>---</v>
      </c>
      <c r="U27" s="224" t="str">
        <f t="shared" si="35"/>
        <v>---</v>
      </c>
      <c r="V27" s="240" t="str">
        <f t="shared" si="36"/>
        <v>---</v>
      </c>
    </row>
    <row r="28" spans="1:22" ht="15.75" thickBot="1" x14ac:dyDescent="0.3">
      <c r="A28" s="333" t="s">
        <v>882</v>
      </c>
      <c r="B28" s="251">
        <f>SUMIFS('Diags Raw Data'!$L$6:$L$4825,'Diags Raw Data'!$D$6:$D$4825,$A28,'Diags Raw Data'!$M$6:$M$4825,"New")+SUMIFS('Diags Raw Data'!$L$6:$L$4825,'Diags Raw Data'!$D$6:$D$4825,$A28,'Diags Raw Data'!$M$6:$M$4825,"Delta")</f>
        <v>0</v>
      </c>
      <c r="C28" s="241">
        <f>SUMIFS('Diags Raw Data'!$R$6:$R$4825,'Diags Raw Data'!$D$6:$D$4825,$A28,'Diags Raw Data'!$M$6:$M$4825,"New")+SUMIFS('Diags Raw Data'!$R$6:$R$4825,'Diags Raw Data'!$D$6:$D$4825,$A28,'Diags Raw Data'!$M$6:$M$4825,"Delta")</f>
        <v>0</v>
      </c>
      <c r="D28" s="241">
        <f>SUMIFS('Diags Raw Data'!$K$6:$K$4825,'Diags Raw Data'!$D$6:$D$4825,$A28,'Diags Raw Data'!$M$6:$M$4825,"New")+SUMIFS('Diags Raw Data'!$K$6:$K$4825,'Diags Raw Data'!$D$6:$D$4825,$A28,'Diags Raw Data'!$M$6:$M$4825,"Delta")</f>
        <v>0</v>
      </c>
      <c r="E28" s="241">
        <f>SUMIFS('Diags Raw Data'!$O$6:$O$4825,'Diags Raw Data'!$D$6:$D$4825,$A28,'Diags Raw Data'!$M$6:$M$4825,"New")+SUMIFS('Diags Raw Data'!$O$6:$O$4825,'Diags Raw Data'!$D$6:$D$4825,$A28,'Diags Raw Data'!$M$6:$M$4825,"Delta")</f>
        <v>0</v>
      </c>
      <c r="F28" s="247" t="str">
        <f t="shared" si="30"/>
        <v>---</v>
      </c>
      <c r="G28" s="219">
        <f>SUMIFS('Diags Raw Data'!$S$6:$S$4825,'Diags Raw Data'!$D$6:$D$4825,$A28,'Diags Raw Data'!$M$6:$M$4825,"New")+SUMIFS('Diags Raw Data'!$S$6:$S$4825,'Diags Raw Data'!$D$6:$D$4825,$A28,'Diags Raw Data'!$M$6:$M$4825,"Delta")</f>
        <v>0</v>
      </c>
      <c r="H28" s="220">
        <f>SUMIFS('Diags Raw Data'!$T$6:$T$4825,'Diags Raw Data'!$D$6:$D$4825,$A28,'Diags Raw Data'!$M$6:$M$4825,"New")+SUMIFS('Diags Raw Data'!$T$6:$T$4825,'Diags Raw Data'!$D$6:$D$4825,$A28,'Diags Raw Data'!$M$6:$M$4825,"Delta")</f>
        <v>0</v>
      </c>
      <c r="I28" s="220">
        <f>SUMIFS('Diags Raw Data'!$U$6:$U$4825,'Diags Raw Data'!$D$6:$D$4825,$A28,'Diags Raw Data'!$M$6:$M$4825,"New")+SUMIFS('Diags Raw Data'!$U$6:$U$4825,'Diags Raw Data'!$D$6:$D$4825,$A28,'Diags Raw Data'!$M$6:$M$4825,"Delta")</f>
        <v>0</v>
      </c>
      <c r="J28" s="220">
        <f>SUMIFS('Diags Raw Data'!$V$6:$V$4825,'Diags Raw Data'!$D$6:$D$4825,$A28,'Diags Raw Data'!$M$6:$M$4825,"New")+SUMIFS('Diags Raw Data'!$V$6:$V$4825,'Diags Raw Data'!$D$6:$D$4825,$A28,'Diags Raw Data'!$M$6:$M$4825,"Delta")</f>
        <v>0</v>
      </c>
      <c r="K28" s="220">
        <f>SUMIFS('Diags Raw Data'!$W$6:$W$4825,'Diags Raw Data'!$D$6:$D$4825,$A28,'Diags Raw Data'!$M$6:$M$4825,"New")+SUMIFS('Diags Raw Data'!$W$6:$W$4825,'Diags Raw Data'!$D$6:$D$4825,$A28,'Diags Raw Data'!$M$6:$M$4825,"Delta")</f>
        <v>0</v>
      </c>
      <c r="L28" s="221" t="str">
        <f t="shared" si="31"/>
        <v>---</v>
      </c>
      <c r="M28" s="223" t="str">
        <f t="shared" si="32"/>
        <v>---</v>
      </c>
      <c r="N28" s="225" t="str">
        <f t="shared" si="33"/>
        <v>---</v>
      </c>
      <c r="O28" s="212">
        <f>SUMIFS('Diags Raw Data'!$Z$6:$Z$4825,'Diags Raw Data'!$D$6:$D$4825,$A28,'Diags Raw Data'!$M$6:$M$4825,"New")+SUMIFS('Diags Raw Data'!$Z$6:$Z$4825,'Diags Raw Data'!$D$6:$D$4825,$A28,'Diags Raw Data'!$M$6:$M$4825,"Delta")</f>
        <v>0</v>
      </c>
      <c r="P28" s="209">
        <f>SUMIFS('Diags Raw Data'!$AA$6:$AA$4825,'Diags Raw Data'!$D$6:$D$4825,$A28,'Diags Raw Data'!$M$6:$M$4825,"New")+SUMIFS('Diags Raw Data'!$AA$6:$AA$4825,'Diags Raw Data'!$D$6:$D$4825,$A28,'Diags Raw Data'!$M$6:$M$4825,"Delta")</f>
        <v>0</v>
      </c>
      <c r="Q28" s="209">
        <f>SUMIFS('Diags Raw Data'!$AB$6:$AB$4825,'Diags Raw Data'!$D$6:$D$4825,$A28,'Diags Raw Data'!$M$6:$M$4825,"New")+SUMIFS('Diags Raw Data'!$AB$6:$AB$4825,'Diags Raw Data'!$D$6:$D$4825,$A28,'Diags Raw Data'!$M$6:$M$4825,"Delta")</f>
        <v>0</v>
      </c>
      <c r="R28" s="209">
        <f>SUMIFS('Diags Raw Data'!$AC$6:$AC$4825,'Diags Raw Data'!$D$6:$D$4825,$A28,'Diags Raw Data'!$M$6:$M$4825,"New")+SUMIFS('Diags Raw Data'!$AC$6:$AC$4825,'Diags Raw Data'!$D$6:$D$4825,$A28,'Diags Raw Data'!$M$6:$M$4825,"Delta")</f>
        <v>0</v>
      </c>
      <c r="S28" s="209">
        <f>SUMIFS('Diags Raw Data'!$AD$6:$AD$4825,'Diags Raw Data'!$D$6:$D$4825,$A28,'Diags Raw Data'!$M$6:$M$4825,"New")+SUMIFS('Diags Raw Data'!$AD$6:$AD$4825,'Diags Raw Data'!$D$6:$D$4825,$A28,'Diags Raw Data'!$M$6:$M$4825,"Delta")</f>
        <v>0</v>
      </c>
      <c r="T28" s="210" t="str">
        <f t="shared" si="34"/>
        <v>---</v>
      </c>
      <c r="U28" s="224" t="str">
        <f t="shared" si="35"/>
        <v>---</v>
      </c>
      <c r="V28" s="240" t="str">
        <f t="shared" si="36"/>
        <v>---</v>
      </c>
    </row>
    <row r="29" spans="1:22" ht="15.75" thickBot="1" x14ac:dyDescent="0.3">
      <c r="A29" s="333" t="s">
        <v>377</v>
      </c>
      <c r="B29" s="251">
        <f>SUMIFS('Diags Raw Data'!$L$6:$L$4825,'Diags Raw Data'!$D$6:$D$4825,$A29,'Diags Raw Data'!$M$6:$M$4825,"New")+SUMIFS('Diags Raw Data'!$L$6:$L$4825,'Diags Raw Data'!$D$6:$D$4825,$A29,'Diags Raw Data'!$M$6:$M$4825,"Delta")</f>
        <v>0</v>
      </c>
      <c r="C29" s="241">
        <f>SUMIFS('Diags Raw Data'!$R$6:$R$4825,'Diags Raw Data'!$D$6:$D$4825,$A29,'Diags Raw Data'!$M$6:$M$4825,"New")+SUMIFS('Diags Raw Data'!$R$6:$R$4825,'Diags Raw Data'!$D$6:$D$4825,$A29,'Diags Raw Data'!$M$6:$M$4825,"Delta")</f>
        <v>0</v>
      </c>
      <c r="D29" s="241">
        <f>SUMIFS('Diags Raw Data'!$K$6:$K$4825,'Diags Raw Data'!$D$6:$D$4825,$A29,'Diags Raw Data'!$M$6:$M$4825,"New")+SUMIFS('Diags Raw Data'!$K$6:$K$4825,'Diags Raw Data'!$D$6:$D$4825,$A29,'Diags Raw Data'!$M$6:$M$4825,"Delta")</f>
        <v>0</v>
      </c>
      <c r="E29" s="241">
        <f>SUMIFS('Diags Raw Data'!$O$6:$O$4825,'Diags Raw Data'!$D$6:$D$4825,$A29,'Diags Raw Data'!$M$6:$M$4825,"New")+SUMIFS('Diags Raw Data'!$O$6:$O$4825,'Diags Raw Data'!$D$6:$D$4825,$A29,'Diags Raw Data'!$M$6:$M$4825,"Delta")</f>
        <v>0</v>
      </c>
      <c r="F29" s="247" t="str">
        <f t="shared" si="30"/>
        <v>---</v>
      </c>
      <c r="G29" s="219">
        <f>SUMIFS('Diags Raw Data'!$S$6:$S$4825,'Diags Raw Data'!$D$6:$D$4825,$A29,'Diags Raw Data'!$M$6:$M$4825,"New")+SUMIFS('Diags Raw Data'!$S$6:$S$4825,'Diags Raw Data'!$D$6:$D$4825,$A29,'Diags Raw Data'!$M$6:$M$4825,"Delta")</f>
        <v>0</v>
      </c>
      <c r="H29" s="220">
        <f>SUMIFS('Diags Raw Data'!$T$6:$T$4825,'Diags Raw Data'!$D$6:$D$4825,$A29,'Diags Raw Data'!$M$6:$M$4825,"New")+SUMIFS('Diags Raw Data'!$T$6:$T$4825,'Diags Raw Data'!$D$6:$D$4825,$A29,'Diags Raw Data'!$M$6:$M$4825,"Delta")</f>
        <v>0</v>
      </c>
      <c r="I29" s="220">
        <f>SUMIFS('Diags Raw Data'!$U$6:$U$4825,'Diags Raw Data'!$D$6:$D$4825,$A29,'Diags Raw Data'!$M$6:$M$4825,"New")+SUMIFS('Diags Raw Data'!$U$6:$U$4825,'Diags Raw Data'!$D$6:$D$4825,$A29,'Diags Raw Data'!$M$6:$M$4825,"Delta")</f>
        <v>0</v>
      </c>
      <c r="J29" s="220">
        <f>SUMIFS('Diags Raw Data'!$V$6:$V$4825,'Diags Raw Data'!$D$6:$D$4825,$A29,'Diags Raw Data'!$M$6:$M$4825,"New")+SUMIFS('Diags Raw Data'!$V$6:$V$4825,'Diags Raw Data'!$D$6:$D$4825,$A29,'Diags Raw Data'!$M$6:$M$4825,"Delta")</f>
        <v>0</v>
      </c>
      <c r="K29" s="220">
        <f>SUMIFS('Diags Raw Data'!$W$6:$W$4825,'Diags Raw Data'!$D$6:$D$4825,$A29,'Diags Raw Data'!$M$6:$M$4825,"New")+SUMIFS('Diags Raw Data'!$W$6:$W$4825,'Diags Raw Data'!$D$6:$D$4825,$A29,'Diags Raw Data'!$M$6:$M$4825,"Delta")</f>
        <v>0</v>
      </c>
      <c r="L29" s="221" t="str">
        <f t="shared" si="31"/>
        <v>---</v>
      </c>
      <c r="M29" s="223" t="str">
        <f t="shared" si="32"/>
        <v>---</v>
      </c>
      <c r="N29" s="225" t="str">
        <f t="shared" si="33"/>
        <v>---</v>
      </c>
      <c r="O29" s="212">
        <f>SUMIFS('Diags Raw Data'!$Z$6:$Z$4825,'Diags Raw Data'!$D$6:$D$4825,$A29,'Diags Raw Data'!$M$6:$M$4825,"New")+SUMIFS('Diags Raw Data'!$Z$6:$Z$4825,'Diags Raw Data'!$D$6:$D$4825,$A29,'Diags Raw Data'!$M$6:$M$4825,"Delta")</f>
        <v>0</v>
      </c>
      <c r="P29" s="209">
        <f>SUMIFS('Diags Raw Data'!$AA$6:$AA$4825,'Diags Raw Data'!$D$6:$D$4825,$A29,'Diags Raw Data'!$M$6:$M$4825,"New")+SUMIFS('Diags Raw Data'!$AA$6:$AA$4825,'Diags Raw Data'!$D$6:$D$4825,$A29,'Diags Raw Data'!$M$6:$M$4825,"Delta")</f>
        <v>0</v>
      </c>
      <c r="Q29" s="209">
        <f>SUMIFS('Diags Raw Data'!$AB$6:$AB$4825,'Diags Raw Data'!$D$6:$D$4825,$A29,'Diags Raw Data'!$M$6:$M$4825,"New")+SUMIFS('Diags Raw Data'!$AB$6:$AB$4825,'Diags Raw Data'!$D$6:$D$4825,$A29,'Diags Raw Data'!$M$6:$M$4825,"Delta")</f>
        <v>0</v>
      </c>
      <c r="R29" s="209">
        <f>SUMIFS('Diags Raw Data'!$AC$6:$AC$4825,'Diags Raw Data'!$D$6:$D$4825,$A29,'Diags Raw Data'!$M$6:$M$4825,"New")+SUMIFS('Diags Raw Data'!$AC$6:$AC$4825,'Diags Raw Data'!$D$6:$D$4825,$A29,'Diags Raw Data'!$M$6:$M$4825,"Delta")</f>
        <v>0</v>
      </c>
      <c r="S29" s="209">
        <f>SUMIFS('Diags Raw Data'!$AD$6:$AD$4825,'Diags Raw Data'!$D$6:$D$4825,$A29,'Diags Raw Data'!$M$6:$M$4825,"New")+SUMIFS('Diags Raw Data'!$AD$6:$AD$4825,'Diags Raw Data'!$D$6:$D$4825,$A29,'Diags Raw Data'!$M$6:$M$4825,"Delta")</f>
        <v>0</v>
      </c>
      <c r="T29" s="210" t="str">
        <f t="shared" si="34"/>
        <v>---</v>
      </c>
      <c r="U29" s="224" t="str">
        <f t="shared" si="35"/>
        <v>---</v>
      </c>
      <c r="V29" s="240" t="str">
        <f t="shared" si="36"/>
        <v>---</v>
      </c>
    </row>
    <row r="30" spans="1:22" ht="15.75" thickBot="1" x14ac:dyDescent="0.3">
      <c r="A30" s="333" t="s">
        <v>552</v>
      </c>
      <c r="B30" s="251">
        <f>SUMIFS('Diags Raw Data'!$L$6:$L$4825,'Diags Raw Data'!$D$6:$D$4825,$A30,'Diags Raw Data'!$M$6:$M$4825,"New")+SUMIFS('Diags Raw Data'!$L$6:$L$4825,'Diags Raw Data'!$D$6:$D$4825,$A30,'Diags Raw Data'!$M$6:$M$4825,"Delta")</f>
        <v>0</v>
      </c>
      <c r="C30" s="241">
        <f>SUMIFS('Diags Raw Data'!$R$6:$R$4825,'Diags Raw Data'!$D$6:$D$4825,$A30,'Diags Raw Data'!$M$6:$M$4825,"New")+SUMIFS('Diags Raw Data'!$R$6:$R$4825,'Diags Raw Data'!$D$6:$D$4825,$A30,'Diags Raw Data'!$M$6:$M$4825,"Delta")</f>
        <v>0</v>
      </c>
      <c r="D30" s="241">
        <f>SUMIFS('Diags Raw Data'!$K$6:$K$4825,'Diags Raw Data'!$D$6:$D$4825,$A30,'Diags Raw Data'!$M$6:$M$4825,"New")+SUMIFS('Diags Raw Data'!$K$6:$K$4825,'Diags Raw Data'!$D$6:$D$4825,$A30,'Diags Raw Data'!$M$6:$M$4825,"Delta")</f>
        <v>0</v>
      </c>
      <c r="E30" s="241">
        <f>SUMIFS('Diags Raw Data'!$O$6:$O$4825,'Diags Raw Data'!$D$6:$D$4825,$A30,'Diags Raw Data'!$M$6:$M$4825,"New")+SUMIFS('Diags Raw Data'!$O$6:$O$4825,'Diags Raw Data'!$D$6:$D$4825,$A30,'Diags Raw Data'!$M$6:$M$4825,"Delta")</f>
        <v>0</v>
      </c>
      <c r="F30" s="247" t="str">
        <f t="shared" si="30"/>
        <v>---</v>
      </c>
      <c r="G30" s="219">
        <f>SUMIFS('Diags Raw Data'!$S$6:$S$4825,'Diags Raw Data'!$D$6:$D$4825,$A30,'Diags Raw Data'!$M$6:$M$4825,"New")+SUMIFS('Diags Raw Data'!$S$6:$S$4825,'Diags Raw Data'!$D$6:$D$4825,$A30,'Diags Raw Data'!$M$6:$M$4825,"Delta")</f>
        <v>0</v>
      </c>
      <c r="H30" s="220">
        <f>SUMIFS('Diags Raw Data'!$T$6:$T$4825,'Diags Raw Data'!$D$6:$D$4825,$A30,'Diags Raw Data'!$M$6:$M$4825,"New")+SUMIFS('Diags Raw Data'!$T$6:$T$4825,'Diags Raw Data'!$D$6:$D$4825,$A30,'Diags Raw Data'!$M$6:$M$4825,"Delta")</f>
        <v>0</v>
      </c>
      <c r="I30" s="220">
        <f>SUMIFS('Diags Raw Data'!$U$6:$U$4825,'Diags Raw Data'!$D$6:$D$4825,$A30,'Diags Raw Data'!$M$6:$M$4825,"New")+SUMIFS('Diags Raw Data'!$U$6:$U$4825,'Diags Raw Data'!$D$6:$D$4825,$A30,'Diags Raw Data'!$M$6:$M$4825,"Delta")</f>
        <v>0</v>
      </c>
      <c r="J30" s="220">
        <f>SUMIFS('Diags Raw Data'!$V$6:$V$4825,'Diags Raw Data'!$D$6:$D$4825,$A30,'Diags Raw Data'!$M$6:$M$4825,"New")+SUMIFS('Diags Raw Data'!$V$6:$V$4825,'Diags Raw Data'!$D$6:$D$4825,$A30,'Diags Raw Data'!$M$6:$M$4825,"Delta")</f>
        <v>0</v>
      </c>
      <c r="K30" s="220">
        <f>SUMIFS('Diags Raw Data'!$W$6:$W$4825,'Diags Raw Data'!$D$6:$D$4825,$A30,'Diags Raw Data'!$M$6:$M$4825,"New")+SUMIFS('Diags Raw Data'!$W$6:$W$4825,'Diags Raw Data'!$D$6:$D$4825,$A30,'Diags Raw Data'!$M$6:$M$4825,"Delta")</f>
        <v>0</v>
      </c>
      <c r="L30" s="221" t="str">
        <f t="shared" si="31"/>
        <v>---</v>
      </c>
      <c r="M30" s="223" t="str">
        <f t="shared" si="32"/>
        <v>---</v>
      </c>
      <c r="N30" s="225" t="str">
        <f t="shared" si="33"/>
        <v>---</v>
      </c>
      <c r="O30" s="212">
        <f>SUMIFS('Diags Raw Data'!$Z$6:$Z$4825,'Diags Raw Data'!$D$6:$D$4825,$A30,'Diags Raw Data'!$M$6:$M$4825,"New")+SUMIFS('Diags Raw Data'!$Z$6:$Z$4825,'Diags Raw Data'!$D$6:$D$4825,$A30,'Diags Raw Data'!$M$6:$M$4825,"Delta")</f>
        <v>0</v>
      </c>
      <c r="P30" s="209">
        <f>SUMIFS('Diags Raw Data'!$AA$6:$AA$4825,'Diags Raw Data'!$D$6:$D$4825,$A30,'Diags Raw Data'!$M$6:$M$4825,"New")+SUMIFS('Diags Raw Data'!$AA$6:$AA$4825,'Diags Raw Data'!$D$6:$D$4825,$A30,'Diags Raw Data'!$M$6:$M$4825,"Delta")</f>
        <v>0</v>
      </c>
      <c r="Q30" s="209">
        <f>SUMIFS('Diags Raw Data'!$AB$6:$AB$4825,'Diags Raw Data'!$D$6:$D$4825,$A30,'Diags Raw Data'!$M$6:$M$4825,"New")+SUMIFS('Diags Raw Data'!$AB$6:$AB$4825,'Diags Raw Data'!$D$6:$D$4825,$A30,'Diags Raw Data'!$M$6:$M$4825,"Delta")</f>
        <v>0</v>
      </c>
      <c r="R30" s="209">
        <f>SUMIFS('Diags Raw Data'!$AC$6:$AC$4825,'Diags Raw Data'!$D$6:$D$4825,$A30,'Diags Raw Data'!$M$6:$M$4825,"New")+SUMIFS('Diags Raw Data'!$AC$6:$AC$4825,'Diags Raw Data'!$D$6:$D$4825,$A30,'Diags Raw Data'!$M$6:$M$4825,"Delta")</f>
        <v>0</v>
      </c>
      <c r="S30" s="209">
        <f>SUMIFS('Diags Raw Data'!$AD$6:$AD$4825,'Diags Raw Data'!$D$6:$D$4825,$A30,'Diags Raw Data'!$M$6:$M$4825,"New")+SUMIFS('Diags Raw Data'!$AD$6:$AD$4825,'Diags Raw Data'!$D$6:$D$4825,$A30,'Diags Raw Data'!$M$6:$M$4825,"Delta")</f>
        <v>0</v>
      </c>
      <c r="T30" s="210" t="str">
        <f t="shared" si="34"/>
        <v>---</v>
      </c>
      <c r="U30" s="224" t="str">
        <f t="shared" si="35"/>
        <v>---</v>
      </c>
      <c r="V30" s="240" t="str">
        <f t="shared" si="36"/>
        <v>---</v>
      </c>
    </row>
    <row r="31" spans="1:22" ht="15.75" thickBot="1" x14ac:dyDescent="0.3">
      <c r="A31" s="333" t="s">
        <v>842</v>
      </c>
      <c r="B31" s="251">
        <f>SUMIFS('Diags Raw Data'!$L$6:$L$4825,'Diags Raw Data'!$D$6:$D$4825,$A31,'Diags Raw Data'!$M$6:$M$4825,"New")+SUMIFS('Diags Raw Data'!$L$6:$L$4825,'Diags Raw Data'!$D$6:$D$4825,$A31,'Diags Raw Data'!$M$6:$M$4825,"Delta")</f>
        <v>0</v>
      </c>
      <c r="C31" s="241">
        <f>SUMIFS('Diags Raw Data'!$R$6:$R$4825,'Diags Raw Data'!$D$6:$D$4825,$A31,'Diags Raw Data'!$M$6:$M$4825,"New")+SUMIFS('Diags Raw Data'!$R$6:$R$4825,'Diags Raw Data'!$D$6:$D$4825,$A31,'Diags Raw Data'!$M$6:$M$4825,"Delta")</f>
        <v>0</v>
      </c>
      <c r="D31" s="241">
        <f>SUMIFS('Diags Raw Data'!$K$6:$K$4825,'Diags Raw Data'!$D$6:$D$4825,$A31,'Diags Raw Data'!$M$6:$M$4825,"New")+SUMIFS('Diags Raw Data'!$K$6:$K$4825,'Diags Raw Data'!$D$6:$D$4825,$A31,'Diags Raw Data'!$M$6:$M$4825,"Delta")</f>
        <v>0</v>
      </c>
      <c r="E31" s="241">
        <f>SUMIFS('Diags Raw Data'!$O$6:$O$4825,'Diags Raw Data'!$D$6:$D$4825,$A31,'Diags Raw Data'!$M$6:$M$4825,"New")+SUMIFS('Diags Raw Data'!$O$6:$O$4825,'Diags Raw Data'!$D$6:$D$4825,$A31,'Diags Raw Data'!$M$6:$M$4825,"Delta")</f>
        <v>0</v>
      </c>
      <c r="F31" s="247" t="str">
        <f t="shared" si="30"/>
        <v>---</v>
      </c>
      <c r="G31" s="219">
        <f>SUMIFS('Diags Raw Data'!$S$6:$S$4825,'Diags Raw Data'!$D$6:$D$4825,$A31,'Diags Raw Data'!$M$6:$M$4825,"New")+SUMIFS('Diags Raw Data'!$S$6:$S$4825,'Diags Raw Data'!$D$6:$D$4825,$A31,'Diags Raw Data'!$M$6:$M$4825,"Delta")</f>
        <v>0</v>
      </c>
      <c r="H31" s="220">
        <f>SUMIFS('Diags Raw Data'!$T$6:$T$4825,'Diags Raw Data'!$D$6:$D$4825,$A31,'Diags Raw Data'!$M$6:$M$4825,"New")+SUMIFS('Diags Raw Data'!$T$6:$T$4825,'Diags Raw Data'!$D$6:$D$4825,$A31,'Diags Raw Data'!$M$6:$M$4825,"Delta")</f>
        <v>0</v>
      </c>
      <c r="I31" s="220">
        <f>SUMIFS('Diags Raw Data'!$U$6:$U$4825,'Diags Raw Data'!$D$6:$D$4825,$A31,'Diags Raw Data'!$M$6:$M$4825,"New")+SUMIFS('Diags Raw Data'!$U$6:$U$4825,'Diags Raw Data'!$D$6:$D$4825,$A31,'Diags Raw Data'!$M$6:$M$4825,"Delta")</f>
        <v>0</v>
      </c>
      <c r="J31" s="220">
        <f>SUMIFS('Diags Raw Data'!$V$6:$V$4825,'Diags Raw Data'!$D$6:$D$4825,$A31,'Diags Raw Data'!$M$6:$M$4825,"New")+SUMIFS('Diags Raw Data'!$V$6:$V$4825,'Diags Raw Data'!$D$6:$D$4825,$A31,'Diags Raw Data'!$M$6:$M$4825,"Delta")</f>
        <v>0</v>
      </c>
      <c r="K31" s="220">
        <f>SUMIFS('Diags Raw Data'!$W$6:$W$4825,'Diags Raw Data'!$D$6:$D$4825,$A31,'Diags Raw Data'!$M$6:$M$4825,"New")+SUMIFS('Diags Raw Data'!$W$6:$W$4825,'Diags Raw Data'!$D$6:$D$4825,$A31,'Diags Raw Data'!$M$6:$M$4825,"Delta")</f>
        <v>0</v>
      </c>
      <c r="L31" s="221" t="str">
        <f t="shared" si="31"/>
        <v>---</v>
      </c>
      <c r="M31" s="223" t="str">
        <f t="shared" si="32"/>
        <v>---</v>
      </c>
      <c r="N31" s="225" t="str">
        <f t="shared" si="33"/>
        <v>---</v>
      </c>
      <c r="O31" s="212">
        <f>SUMIFS('Diags Raw Data'!$Z$6:$Z$4825,'Diags Raw Data'!$D$6:$D$4825,$A31,'Diags Raw Data'!$M$6:$M$4825,"New")+SUMIFS('Diags Raw Data'!$Z$6:$Z$4825,'Diags Raw Data'!$D$6:$D$4825,$A31,'Diags Raw Data'!$M$6:$M$4825,"Delta")</f>
        <v>0</v>
      </c>
      <c r="P31" s="209">
        <f>SUMIFS('Diags Raw Data'!$AA$6:$AA$4825,'Diags Raw Data'!$D$6:$D$4825,$A31,'Diags Raw Data'!$M$6:$M$4825,"New")+SUMIFS('Diags Raw Data'!$AA$6:$AA$4825,'Diags Raw Data'!$D$6:$D$4825,$A31,'Diags Raw Data'!$M$6:$M$4825,"Delta")</f>
        <v>0</v>
      </c>
      <c r="Q31" s="209">
        <f>SUMIFS('Diags Raw Data'!$AB$6:$AB$4825,'Diags Raw Data'!$D$6:$D$4825,$A31,'Diags Raw Data'!$M$6:$M$4825,"New")+SUMIFS('Diags Raw Data'!$AB$6:$AB$4825,'Diags Raw Data'!$D$6:$D$4825,$A31,'Diags Raw Data'!$M$6:$M$4825,"Delta")</f>
        <v>0</v>
      </c>
      <c r="R31" s="209">
        <f>SUMIFS('Diags Raw Data'!$AC$6:$AC$4825,'Diags Raw Data'!$D$6:$D$4825,$A31,'Diags Raw Data'!$M$6:$M$4825,"New")+SUMIFS('Diags Raw Data'!$AC$6:$AC$4825,'Diags Raw Data'!$D$6:$D$4825,$A31,'Diags Raw Data'!$M$6:$M$4825,"Delta")</f>
        <v>0</v>
      </c>
      <c r="S31" s="209">
        <f>SUMIFS('Diags Raw Data'!$AD$6:$AD$4825,'Diags Raw Data'!$D$6:$D$4825,$A31,'Diags Raw Data'!$M$6:$M$4825,"New")+SUMIFS('Diags Raw Data'!$AD$6:$AD$4825,'Diags Raw Data'!$D$6:$D$4825,$A31,'Diags Raw Data'!$M$6:$M$4825,"Delta")</f>
        <v>0</v>
      </c>
      <c r="T31" s="210" t="str">
        <f t="shared" si="34"/>
        <v>---</v>
      </c>
      <c r="U31" s="224" t="str">
        <f t="shared" si="35"/>
        <v>---</v>
      </c>
      <c r="V31" s="240" t="str">
        <f t="shared" si="36"/>
        <v>---</v>
      </c>
    </row>
    <row r="32" spans="1:22" ht="15.75" thickBot="1" x14ac:dyDescent="0.3">
      <c r="A32" s="333" t="s">
        <v>851</v>
      </c>
      <c r="B32" s="251">
        <f>SUMIFS('Diags Raw Data'!$L$6:$L$4825,'Diags Raw Data'!$D$6:$D$4825,$A32,'Diags Raw Data'!$M$6:$M$4825,"New")+SUMIFS('Diags Raw Data'!$L$6:$L$4825,'Diags Raw Data'!$D$6:$D$4825,$A32,'Diags Raw Data'!$M$6:$M$4825,"Delta")</f>
        <v>107</v>
      </c>
      <c r="C32" s="241">
        <f>SUMIFS('Diags Raw Data'!$R$6:$R$4825,'Diags Raw Data'!$D$6:$D$4825,$A32,'Diags Raw Data'!$M$6:$M$4825,"New")+SUMIFS('Diags Raw Data'!$R$6:$R$4825,'Diags Raw Data'!$D$6:$D$4825,$A32,'Diags Raw Data'!$M$6:$M$4825,"Delta")</f>
        <v>21</v>
      </c>
      <c r="D32" s="241">
        <f>SUMIFS('Diags Raw Data'!$K$6:$K$4825,'Diags Raw Data'!$D$6:$D$4825,$A32,'Diags Raw Data'!$M$6:$M$4825,"New")+SUMIFS('Diags Raw Data'!$K$6:$K$4825,'Diags Raw Data'!$D$6:$D$4825,$A32,'Diags Raw Data'!$M$6:$M$4825,"Delta")</f>
        <v>6</v>
      </c>
      <c r="E32" s="241">
        <f>SUMIFS('Diags Raw Data'!$O$6:$O$4825,'Diags Raw Data'!$D$6:$D$4825,$A32,'Diags Raw Data'!$M$6:$M$4825,"New")+SUMIFS('Diags Raw Data'!$O$6:$O$4825,'Diags Raw Data'!$D$6:$D$4825,$A32,'Diags Raw Data'!$M$6:$M$4825,"Delta")</f>
        <v>107</v>
      </c>
      <c r="F32" s="247">
        <f t="shared" si="30"/>
        <v>1</v>
      </c>
      <c r="G32" s="219">
        <f>SUMIFS('Diags Raw Data'!$S$6:$S$4825,'Diags Raw Data'!$D$6:$D$4825,$A32,'Diags Raw Data'!$M$6:$M$4825,"New")+SUMIFS('Diags Raw Data'!$S$6:$S$4825,'Diags Raw Data'!$D$6:$D$4825,$A32,'Diags Raw Data'!$M$6:$M$4825,"Delta")</f>
        <v>0</v>
      </c>
      <c r="H32" s="220">
        <f>SUMIFS('Diags Raw Data'!$T$6:$T$4825,'Diags Raw Data'!$D$6:$D$4825,$A32,'Diags Raw Data'!$M$6:$M$4825,"New")+SUMIFS('Diags Raw Data'!$T$6:$T$4825,'Diags Raw Data'!$D$6:$D$4825,$A32,'Diags Raw Data'!$M$6:$M$4825,"Delta")</f>
        <v>0</v>
      </c>
      <c r="I32" s="220">
        <f>SUMIFS('Diags Raw Data'!$U$6:$U$4825,'Diags Raw Data'!$D$6:$D$4825,$A32,'Diags Raw Data'!$M$6:$M$4825,"New")+SUMIFS('Diags Raw Data'!$U$6:$U$4825,'Diags Raw Data'!$D$6:$D$4825,$A32,'Diags Raw Data'!$M$6:$M$4825,"Delta")</f>
        <v>0</v>
      </c>
      <c r="J32" s="220">
        <f>SUMIFS('Diags Raw Data'!$V$6:$V$4825,'Diags Raw Data'!$D$6:$D$4825,$A32,'Diags Raw Data'!$M$6:$M$4825,"New")+SUMIFS('Diags Raw Data'!$V$6:$V$4825,'Diags Raw Data'!$D$6:$D$4825,$A32,'Diags Raw Data'!$M$6:$M$4825,"Delta")</f>
        <v>0</v>
      </c>
      <c r="K32" s="220">
        <f>SUMIFS('Diags Raw Data'!$W$6:$W$4825,'Diags Raw Data'!$D$6:$D$4825,$A32,'Diags Raw Data'!$M$6:$M$4825,"New")+SUMIFS('Diags Raw Data'!$W$6:$W$4825,'Diags Raw Data'!$D$6:$D$4825,$A32,'Diags Raw Data'!$M$6:$M$4825,"Delta")</f>
        <v>0</v>
      </c>
      <c r="L32" s="221">
        <f t="shared" si="31"/>
        <v>0</v>
      </c>
      <c r="M32" s="223" t="str">
        <f t="shared" si="32"/>
        <v>---</v>
      </c>
      <c r="N32" s="225">
        <f t="shared" si="33"/>
        <v>0</v>
      </c>
      <c r="O32" s="212">
        <v>0</v>
      </c>
      <c r="P32" s="209">
        <f>SUMIFS('Diags Raw Data'!$AA$6:$AA$4825,'Diags Raw Data'!$D$6:$D$4825,$A32,'Diags Raw Data'!$M$6:$M$4825,"New")+SUMIFS('Diags Raw Data'!$AA$6:$AA$4825,'Diags Raw Data'!$D$6:$D$4825,$A32,'Diags Raw Data'!$M$6:$M$4825,"Delta")</f>
        <v>0</v>
      </c>
      <c r="Q32" s="209">
        <f>SUMIFS('Diags Raw Data'!$AB$6:$AB$4825,'Diags Raw Data'!$D$6:$D$4825,$A32,'Diags Raw Data'!$M$6:$M$4825,"New")+SUMIFS('Diags Raw Data'!$AB$6:$AB$4825,'Diags Raw Data'!$D$6:$D$4825,$A32,'Diags Raw Data'!$M$6:$M$4825,"Delta")</f>
        <v>0</v>
      </c>
      <c r="R32" s="209">
        <f>SUMIFS('Diags Raw Data'!$AC$6:$AC$4825,'Diags Raw Data'!$D$6:$D$4825,$A32,'Diags Raw Data'!$M$6:$M$4825,"New")+SUMIFS('Diags Raw Data'!$AC$6:$AC$4825,'Diags Raw Data'!$D$6:$D$4825,$A32,'Diags Raw Data'!$M$6:$M$4825,"Delta")</f>
        <v>0</v>
      </c>
      <c r="S32" s="209">
        <f>SUMIFS('Diags Raw Data'!$AD$6:$AD$4825,'Diags Raw Data'!$D$6:$D$4825,$A32,'Diags Raw Data'!$M$6:$M$4825,"New")+SUMIFS('Diags Raw Data'!$AD$6:$AD$4825,'Diags Raw Data'!$D$6:$D$4825,$A32,'Diags Raw Data'!$M$6:$M$4825,"Delta")</f>
        <v>0</v>
      </c>
      <c r="T32" s="621">
        <f t="shared" si="34"/>
        <v>0</v>
      </c>
      <c r="U32" s="224" t="str">
        <f t="shared" si="35"/>
        <v>---</v>
      </c>
      <c r="V32" s="240">
        <f t="shared" si="36"/>
        <v>0</v>
      </c>
    </row>
    <row r="33" spans="1:22" ht="15.75" thickBot="1" x14ac:dyDescent="0.3">
      <c r="A33" s="333" t="s">
        <v>515</v>
      </c>
      <c r="B33" s="251">
        <f>SUMIFS('Diags Raw Data'!$L$6:$L$4825,'Diags Raw Data'!$D$6:$D$4825,$A33,'Diags Raw Data'!$M$6:$M$4825,"New")+SUMIFS('Diags Raw Data'!$L$6:$L$4825,'Diags Raw Data'!$D$6:$D$4825,$A33,'Diags Raw Data'!$M$6:$M$4825,"Delta")</f>
        <v>0</v>
      </c>
      <c r="C33" s="241">
        <f>SUMIFS('Diags Raw Data'!$R$6:$R$4825,'Diags Raw Data'!$D$6:$D$4825,$A33,'Diags Raw Data'!$M$6:$M$4825,"New")+SUMIFS('Diags Raw Data'!$R$6:$R$4825,'Diags Raw Data'!$D$6:$D$4825,$A33,'Diags Raw Data'!$M$6:$M$4825,"Delta")</f>
        <v>0</v>
      </c>
      <c r="D33" s="241">
        <f>SUMIFS('Diags Raw Data'!$K$6:$K$4825,'Diags Raw Data'!$D$6:$D$4825,$A33,'Diags Raw Data'!$M$6:$M$4825,"New")+SUMIFS('Diags Raw Data'!$K$6:$K$4825,'Diags Raw Data'!$D$6:$D$4825,$A33,'Diags Raw Data'!$M$6:$M$4825,"Delta")</f>
        <v>0</v>
      </c>
      <c r="E33" s="241">
        <f>SUMIFS('Diags Raw Data'!$O$6:$O$4825,'Diags Raw Data'!$D$6:$D$4825,$A33,'Diags Raw Data'!$M$6:$M$4825,"New")+SUMIFS('Diags Raw Data'!$O$6:$O$4825,'Diags Raw Data'!$D$6:$D$4825,$A33,'Diags Raw Data'!$M$6:$M$4825,"Delta")</f>
        <v>0</v>
      </c>
      <c r="F33" s="247" t="str">
        <f t="shared" si="30"/>
        <v>---</v>
      </c>
      <c r="G33" s="219">
        <f>SUMIFS('Diags Raw Data'!$S$6:$S$4825,'Diags Raw Data'!$D$6:$D$4825,$A33,'Diags Raw Data'!$M$6:$M$4825,"New")+SUMIFS('Diags Raw Data'!$S$6:$S$4825,'Diags Raw Data'!$D$6:$D$4825,$A33,'Diags Raw Data'!$M$6:$M$4825,"Delta")</f>
        <v>0</v>
      </c>
      <c r="H33" s="220">
        <f>SUMIFS('Diags Raw Data'!$T$6:$T$4825,'Diags Raw Data'!$D$6:$D$4825,$A33,'Diags Raw Data'!$M$6:$M$4825,"New")+SUMIFS('Diags Raw Data'!$T$6:$T$4825,'Diags Raw Data'!$D$6:$D$4825,$A33,'Diags Raw Data'!$M$6:$M$4825,"Delta")</f>
        <v>0</v>
      </c>
      <c r="I33" s="220">
        <f>SUMIFS('Diags Raw Data'!$U$6:$U$4825,'Diags Raw Data'!$D$6:$D$4825,$A33,'Diags Raw Data'!$M$6:$M$4825,"New")+SUMIFS('Diags Raw Data'!$U$6:$U$4825,'Diags Raw Data'!$D$6:$D$4825,$A33,'Diags Raw Data'!$M$6:$M$4825,"Delta")</f>
        <v>0</v>
      </c>
      <c r="J33" s="220">
        <f>SUMIFS('Diags Raw Data'!$V$6:$V$4825,'Diags Raw Data'!$D$6:$D$4825,$A33,'Diags Raw Data'!$M$6:$M$4825,"New")+SUMIFS('Diags Raw Data'!$V$6:$V$4825,'Diags Raw Data'!$D$6:$D$4825,$A33,'Diags Raw Data'!$M$6:$M$4825,"Delta")</f>
        <v>0</v>
      </c>
      <c r="K33" s="220">
        <f>SUMIFS('Diags Raw Data'!$W$6:$W$4825,'Diags Raw Data'!$D$6:$D$4825,$A33,'Diags Raw Data'!$M$6:$M$4825,"New")+SUMIFS('Diags Raw Data'!$W$6:$W$4825,'Diags Raw Data'!$D$6:$D$4825,$A33,'Diags Raw Data'!$M$6:$M$4825,"Delta")</f>
        <v>0</v>
      </c>
      <c r="L33" s="221" t="str">
        <f t="shared" si="31"/>
        <v>---</v>
      </c>
      <c r="M33" s="223" t="str">
        <f t="shared" si="32"/>
        <v>---</v>
      </c>
      <c r="N33" s="225" t="str">
        <f t="shared" si="33"/>
        <v>---</v>
      </c>
      <c r="O33" s="212">
        <f>SUMIFS('Diags Raw Data'!$Z$6:$Z$4825,'Diags Raw Data'!$D$6:$D$4825,$A33,'Diags Raw Data'!$M$6:$M$4825,"New")+SUMIFS('Diags Raw Data'!$Z$6:$Z$4825,'Diags Raw Data'!$D$6:$D$4825,$A33,'Diags Raw Data'!$M$6:$M$4825,"Delta")</f>
        <v>0</v>
      </c>
      <c r="P33" s="209">
        <f>SUMIFS('Diags Raw Data'!$AA$6:$AA$4825,'Diags Raw Data'!$D$6:$D$4825,$A33,'Diags Raw Data'!$M$6:$M$4825,"New")+SUMIFS('Diags Raw Data'!$AA$6:$AA$4825,'Diags Raw Data'!$D$6:$D$4825,$A33,'Diags Raw Data'!$M$6:$M$4825,"Delta")</f>
        <v>0</v>
      </c>
      <c r="Q33" s="209">
        <f>SUMIFS('Diags Raw Data'!$AB$6:$AB$4825,'Diags Raw Data'!$D$6:$D$4825,$A33,'Diags Raw Data'!$M$6:$M$4825,"New")+SUMIFS('Diags Raw Data'!$AB$6:$AB$4825,'Diags Raw Data'!$D$6:$D$4825,$A33,'Diags Raw Data'!$M$6:$M$4825,"Delta")</f>
        <v>0</v>
      </c>
      <c r="R33" s="209">
        <f>SUMIFS('Diags Raw Data'!$AC$6:$AC$4825,'Diags Raw Data'!$D$6:$D$4825,$A33,'Diags Raw Data'!$M$6:$M$4825,"New")+SUMIFS('Diags Raw Data'!$AC$6:$AC$4825,'Diags Raw Data'!$D$6:$D$4825,$A33,'Diags Raw Data'!$M$6:$M$4825,"Delta")</f>
        <v>0</v>
      </c>
      <c r="S33" s="209">
        <f>SUMIFS('Diags Raw Data'!$AD$6:$AD$4825,'Diags Raw Data'!$D$6:$D$4825,$A33,'Diags Raw Data'!$M$6:$M$4825,"New")+SUMIFS('Diags Raw Data'!$AD$6:$AD$4825,'Diags Raw Data'!$D$6:$D$4825,$A33,'Diags Raw Data'!$M$6:$M$4825,"Delta")</f>
        <v>0</v>
      </c>
      <c r="T33" s="210" t="str">
        <f t="shared" si="34"/>
        <v>---</v>
      </c>
      <c r="U33" s="224" t="str">
        <f t="shared" si="35"/>
        <v>---</v>
      </c>
      <c r="V33" s="240" t="str">
        <f t="shared" si="36"/>
        <v>---</v>
      </c>
    </row>
    <row r="34" spans="1:22" ht="15.75" thickBot="1" x14ac:dyDescent="0.3">
      <c r="A34" s="333" t="s">
        <v>473</v>
      </c>
      <c r="B34" s="251">
        <f>SUMIFS('Diags Raw Data'!$L$6:$L$4825,'Diags Raw Data'!$D$6:$D$4825,$A34,'Diags Raw Data'!$M$6:$M$4825,"New")+SUMIFS('Diags Raw Data'!$L$6:$L$4825,'Diags Raw Data'!$D$6:$D$4825,$A34,'Diags Raw Data'!$M$6:$M$4825,"Delta")</f>
        <v>0</v>
      </c>
      <c r="C34" s="241">
        <f>SUMIFS('Diags Raw Data'!$R$6:$R$4825,'Diags Raw Data'!$D$6:$D$4825,$A34,'Diags Raw Data'!$M$6:$M$4825,"New")+SUMIFS('Diags Raw Data'!$R$6:$R$4825,'Diags Raw Data'!$D$6:$D$4825,$A34,'Diags Raw Data'!$M$6:$M$4825,"Delta")</f>
        <v>0</v>
      </c>
      <c r="D34" s="241">
        <f>SUMIFS('Diags Raw Data'!$K$6:$K$4825,'Diags Raw Data'!$D$6:$D$4825,$A34,'Diags Raw Data'!$M$6:$M$4825,"New")+SUMIFS('Diags Raw Data'!$K$6:$K$4825,'Diags Raw Data'!$D$6:$D$4825,$A34,'Diags Raw Data'!$M$6:$M$4825,"Delta")</f>
        <v>0</v>
      </c>
      <c r="E34" s="241">
        <f>SUMIFS('Diags Raw Data'!$O$6:$O$4825,'Diags Raw Data'!$D$6:$D$4825,$A34,'Diags Raw Data'!$M$6:$M$4825,"New")+SUMIFS('Diags Raw Data'!$O$6:$O$4825,'Diags Raw Data'!$D$6:$D$4825,$A34,'Diags Raw Data'!$M$6:$M$4825,"Delta")</f>
        <v>0</v>
      </c>
      <c r="F34" s="247" t="str">
        <f t="shared" si="30"/>
        <v>---</v>
      </c>
      <c r="G34" s="219">
        <f>SUMIFS('Diags Raw Data'!$S$6:$S$4825,'Diags Raw Data'!$D$6:$D$4825,$A34,'Diags Raw Data'!$M$6:$M$4825,"New")+SUMIFS('Diags Raw Data'!$S$6:$S$4825,'Diags Raw Data'!$D$6:$D$4825,$A34,'Diags Raw Data'!$M$6:$M$4825,"Delta")</f>
        <v>0</v>
      </c>
      <c r="H34" s="220">
        <f>SUMIFS('Diags Raw Data'!$T$6:$T$4825,'Diags Raw Data'!$D$6:$D$4825,$A34,'Diags Raw Data'!$M$6:$M$4825,"New")+SUMIFS('Diags Raw Data'!$T$6:$T$4825,'Diags Raw Data'!$D$6:$D$4825,$A34,'Diags Raw Data'!$M$6:$M$4825,"Delta")</f>
        <v>0</v>
      </c>
      <c r="I34" s="220">
        <f>SUMIFS('Diags Raw Data'!$U$6:$U$4825,'Diags Raw Data'!$D$6:$D$4825,$A34,'Diags Raw Data'!$M$6:$M$4825,"New")+SUMIFS('Diags Raw Data'!$U$6:$U$4825,'Diags Raw Data'!$D$6:$D$4825,$A34,'Diags Raw Data'!$M$6:$M$4825,"Delta")</f>
        <v>0</v>
      </c>
      <c r="J34" s="220">
        <f>SUMIFS('Diags Raw Data'!$V$6:$V$4825,'Diags Raw Data'!$D$6:$D$4825,$A34,'Diags Raw Data'!$M$6:$M$4825,"New")+SUMIFS('Diags Raw Data'!$V$6:$V$4825,'Diags Raw Data'!$D$6:$D$4825,$A34,'Diags Raw Data'!$M$6:$M$4825,"Delta")</f>
        <v>0</v>
      </c>
      <c r="K34" s="220">
        <f>SUMIFS('Diags Raw Data'!$W$6:$W$4825,'Diags Raw Data'!$D$6:$D$4825,$A34,'Diags Raw Data'!$M$6:$M$4825,"New")+SUMIFS('Diags Raw Data'!$W$6:$W$4825,'Diags Raw Data'!$D$6:$D$4825,$A34,'Diags Raw Data'!$M$6:$M$4825,"Delta")</f>
        <v>0</v>
      </c>
      <c r="L34" s="221" t="str">
        <f t="shared" si="31"/>
        <v>---</v>
      </c>
      <c r="M34" s="223" t="str">
        <f t="shared" si="32"/>
        <v>---</v>
      </c>
      <c r="N34" s="225" t="str">
        <f t="shared" si="33"/>
        <v>---</v>
      </c>
      <c r="O34" s="212">
        <f>SUMIFS('Diags Raw Data'!$Z$6:$Z$4825,'Diags Raw Data'!$D$6:$D$4825,$A34,'Diags Raw Data'!$M$6:$M$4825,"New")+SUMIFS('Diags Raw Data'!$Z$6:$Z$4825,'Diags Raw Data'!$D$6:$D$4825,$A34,'Diags Raw Data'!$M$6:$M$4825,"Delta")</f>
        <v>0</v>
      </c>
      <c r="P34" s="209">
        <f>SUMIFS('Diags Raw Data'!$AA$6:$AA$4825,'Diags Raw Data'!$D$6:$D$4825,$A34,'Diags Raw Data'!$M$6:$M$4825,"New")+SUMIFS('Diags Raw Data'!$AA$6:$AA$4825,'Diags Raw Data'!$D$6:$D$4825,$A34,'Diags Raw Data'!$M$6:$M$4825,"Delta")</f>
        <v>0</v>
      </c>
      <c r="Q34" s="209">
        <f>SUMIFS('Diags Raw Data'!$AB$6:$AB$4825,'Diags Raw Data'!$D$6:$D$4825,$A34,'Diags Raw Data'!$M$6:$M$4825,"New")+SUMIFS('Diags Raw Data'!$AB$6:$AB$4825,'Diags Raw Data'!$D$6:$D$4825,$A34,'Diags Raw Data'!$M$6:$M$4825,"Delta")</f>
        <v>0</v>
      </c>
      <c r="R34" s="209">
        <f>SUMIFS('Diags Raw Data'!$AC$6:$AC$4825,'Diags Raw Data'!$D$6:$D$4825,$A34,'Diags Raw Data'!$M$6:$M$4825,"New")+SUMIFS('Diags Raw Data'!$AC$6:$AC$4825,'Diags Raw Data'!$D$6:$D$4825,$A34,'Diags Raw Data'!$M$6:$M$4825,"Delta")</f>
        <v>0</v>
      </c>
      <c r="S34" s="209">
        <f>SUMIFS('Diags Raw Data'!$AD$6:$AD$4825,'Diags Raw Data'!$D$6:$D$4825,$A34,'Diags Raw Data'!$M$6:$M$4825,"New")+SUMIFS('Diags Raw Data'!$AD$6:$AD$4825,'Diags Raw Data'!$D$6:$D$4825,$A34,'Diags Raw Data'!$M$6:$M$4825,"Delta")</f>
        <v>0</v>
      </c>
      <c r="T34" s="210" t="str">
        <f t="shared" si="34"/>
        <v>---</v>
      </c>
      <c r="U34" s="224" t="str">
        <f t="shared" si="35"/>
        <v>---</v>
      </c>
      <c r="V34" s="240" t="str">
        <f t="shared" si="36"/>
        <v>---</v>
      </c>
    </row>
    <row r="35" spans="1:22" ht="15.75" thickBot="1" x14ac:dyDescent="0.3">
      <c r="A35" s="333" t="s">
        <v>557</v>
      </c>
      <c r="B35" s="251">
        <f>SUMIFS('Diags Raw Data'!$L$6:$L$4825,'Diags Raw Data'!$D$6:$D$4825,$A35,'Diags Raw Data'!$M$6:$M$4825,"New")+SUMIFS('Diags Raw Data'!$L$6:$L$4825,'Diags Raw Data'!$D$6:$D$4825,$A35,'Diags Raw Data'!$M$6:$M$4825,"Delta")</f>
        <v>0</v>
      </c>
      <c r="C35" s="241">
        <f>SUMIFS('Diags Raw Data'!$R$6:$R$4825,'Diags Raw Data'!$D$6:$D$4825,$A35,'Diags Raw Data'!$M$6:$M$4825,"New")+SUMIFS('Diags Raw Data'!$R$6:$R$4825,'Diags Raw Data'!$D$6:$D$4825,$A35,'Diags Raw Data'!$M$6:$M$4825,"Delta")</f>
        <v>0</v>
      </c>
      <c r="D35" s="241">
        <f>SUMIFS('Diags Raw Data'!$K$6:$K$4825,'Diags Raw Data'!$D$6:$D$4825,$A35,'Diags Raw Data'!$M$6:$M$4825,"New")+SUMIFS('Diags Raw Data'!$K$6:$K$4825,'Diags Raw Data'!$D$6:$D$4825,$A35,'Diags Raw Data'!$M$6:$M$4825,"Delta")</f>
        <v>0</v>
      </c>
      <c r="E35" s="241">
        <f>SUMIFS('Diags Raw Data'!$O$6:$O$4825,'Diags Raw Data'!$D$6:$D$4825,$A35,'Diags Raw Data'!$M$6:$M$4825,"New")+SUMIFS('Diags Raw Data'!$O$6:$O$4825,'Diags Raw Data'!$D$6:$D$4825,$A35,'Diags Raw Data'!$M$6:$M$4825,"Delta")</f>
        <v>0</v>
      </c>
      <c r="F35" s="247" t="str">
        <f t="shared" si="30"/>
        <v>---</v>
      </c>
      <c r="G35" s="219">
        <f>SUMIFS('Diags Raw Data'!$S$6:$S$4825,'Diags Raw Data'!$D$6:$D$4825,$A35,'Diags Raw Data'!$M$6:$M$4825,"New")+SUMIFS('Diags Raw Data'!$S$6:$S$4825,'Diags Raw Data'!$D$6:$D$4825,$A35,'Diags Raw Data'!$M$6:$M$4825,"Delta")</f>
        <v>0</v>
      </c>
      <c r="H35" s="220">
        <f>SUMIFS('Diags Raw Data'!$T$6:$T$4825,'Diags Raw Data'!$D$6:$D$4825,$A35,'Diags Raw Data'!$M$6:$M$4825,"New")+SUMIFS('Diags Raw Data'!$T$6:$T$4825,'Diags Raw Data'!$D$6:$D$4825,$A35,'Diags Raw Data'!$M$6:$M$4825,"Delta")</f>
        <v>0</v>
      </c>
      <c r="I35" s="220">
        <f>SUMIFS('Diags Raw Data'!$U$6:$U$4825,'Diags Raw Data'!$D$6:$D$4825,$A35,'Diags Raw Data'!$M$6:$M$4825,"New")+SUMIFS('Diags Raw Data'!$U$6:$U$4825,'Diags Raw Data'!$D$6:$D$4825,$A35,'Diags Raw Data'!$M$6:$M$4825,"Delta")</f>
        <v>0</v>
      </c>
      <c r="J35" s="220">
        <f>SUMIFS('Diags Raw Data'!$V$6:$V$4825,'Diags Raw Data'!$D$6:$D$4825,$A35,'Diags Raw Data'!$M$6:$M$4825,"New")+SUMIFS('Diags Raw Data'!$V$6:$V$4825,'Diags Raw Data'!$D$6:$D$4825,$A35,'Diags Raw Data'!$M$6:$M$4825,"Delta")</f>
        <v>0</v>
      </c>
      <c r="K35" s="220">
        <f>SUMIFS('Diags Raw Data'!$W$6:$W$4825,'Diags Raw Data'!$D$6:$D$4825,$A35,'Diags Raw Data'!$M$6:$M$4825,"New")+SUMIFS('Diags Raw Data'!$W$6:$W$4825,'Diags Raw Data'!$D$6:$D$4825,$A35,'Diags Raw Data'!$M$6:$M$4825,"Delta")</f>
        <v>0</v>
      </c>
      <c r="L35" s="221" t="str">
        <f t="shared" si="31"/>
        <v>---</v>
      </c>
      <c r="M35" s="223" t="str">
        <f t="shared" si="32"/>
        <v>---</v>
      </c>
      <c r="N35" s="225" t="str">
        <f t="shared" si="33"/>
        <v>---</v>
      </c>
      <c r="O35" s="212">
        <f>SUMIFS('Diags Raw Data'!$Z$6:$Z$4825,'Diags Raw Data'!$D$6:$D$4825,$A35,'Diags Raw Data'!$M$6:$M$4825,"New")+SUMIFS('Diags Raw Data'!$Z$6:$Z$4825,'Diags Raw Data'!$D$6:$D$4825,$A35,'Diags Raw Data'!$M$6:$M$4825,"Delta")</f>
        <v>0</v>
      </c>
      <c r="P35" s="209">
        <f>SUMIFS('Diags Raw Data'!$AA$6:$AA$4825,'Diags Raw Data'!$D$6:$D$4825,$A35,'Diags Raw Data'!$M$6:$M$4825,"New")+SUMIFS('Diags Raw Data'!$AA$6:$AA$4825,'Diags Raw Data'!$D$6:$D$4825,$A35,'Diags Raw Data'!$M$6:$M$4825,"Delta")</f>
        <v>0</v>
      </c>
      <c r="Q35" s="209">
        <f>SUMIFS('Diags Raw Data'!$AB$6:$AB$4825,'Diags Raw Data'!$D$6:$D$4825,$A35,'Diags Raw Data'!$M$6:$M$4825,"New")+SUMIFS('Diags Raw Data'!$AB$6:$AB$4825,'Diags Raw Data'!$D$6:$D$4825,$A35,'Diags Raw Data'!$M$6:$M$4825,"Delta")</f>
        <v>0</v>
      </c>
      <c r="R35" s="209">
        <f>SUMIFS('Diags Raw Data'!$AC$6:$AC$4825,'Diags Raw Data'!$D$6:$D$4825,$A35,'Diags Raw Data'!$M$6:$M$4825,"New")+SUMIFS('Diags Raw Data'!$AC$6:$AC$4825,'Diags Raw Data'!$D$6:$D$4825,$A35,'Diags Raw Data'!$M$6:$M$4825,"Delta")</f>
        <v>0</v>
      </c>
      <c r="S35" s="209">
        <f>SUMIFS('Diags Raw Data'!$AD$6:$AD$4825,'Diags Raw Data'!$D$6:$D$4825,$A35,'Diags Raw Data'!$M$6:$M$4825,"New")+SUMIFS('Diags Raw Data'!$AD$6:$AD$4825,'Diags Raw Data'!$D$6:$D$4825,$A35,'Diags Raw Data'!$M$6:$M$4825,"Delta")</f>
        <v>0</v>
      </c>
      <c r="T35" s="210" t="str">
        <f t="shared" si="34"/>
        <v>---</v>
      </c>
      <c r="U35" s="224" t="str">
        <f t="shared" si="35"/>
        <v>---</v>
      </c>
      <c r="V35" s="240" t="str">
        <f t="shared" si="36"/>
        <v>---</v>
      </c>
    </row>
    <row r="36" spans="1:22" ht="15.75" thickBot="1" x14ac:dyDescent="0.3">
      <c r="A36" s="333" t="s">
        <v>916</v>
      </c>
      <c r="B36" s="251">
        <f>SUMIFS('Diags Raw Data'!$L$6:$L$4825,'Diags Raw Data'!$D$6:$D$4825,$A36,'Diags Raw Data'!$M$6:$M$4825,"New")+SUMIFS('Diags Raw Data'!$L$6:$L$4825,'Diags Raw Data'!$D$6:$D$4825,$A36,'Diags Raw Data'!$M$6:$M$4825,"Delta")</f>
        <v>4</v>
      </c>
      <c r="C36" s="241">
        <f>SUMIFS('Diags Raw Data'!$R$6:$R$4825,'Diags Raw Data'!$D$6:$D$4825,$A36,'Diags Raw Data'!$M$6:$M$4825,"New")+SUMIFS('Diags Raw Data'!$R$6:$R$4825,'Diags Raw Data'!$D$6:$D$4825,$A36,'Diags Raw Data'!$M$6:$M$4825,"Delta")</f>
        <v>0</v>
      </c>
      <c r="D36" s="241">
        <f>SUMIFS('Diags Raw Data'!$K$6:$K$4825,'Diags Raw Data'!$D$6:$D$4825,$A36,'Diags Raw Data'!$M$6:$M$4825,"New")+SUMIFS('Diags Raw Data'!$K$6:$K$4825,'Diags Raw Data'!$D$6:$D$4825,$A36,'Diags Raw Data'!$M$6:$M$4825,"Delta")</f>
        <v>120</v>
      </c>
      <c r="E36" s="241">
        <f>SUMIFS('Diags Raw Data'!$O$6:$O$4825,'Diags Raw Data'!$D$6:$D$4825,$A36,'Diags Raw Data'!$M$6:$M$4825,"New")+SUMIFS('Diags Raw Data'!$O$6:$O$4825,'Diags Raw Data'!$D$6:$D$4825,$A36,'Diags Raw Data'!$M$6:$M$4825,"Delta")</f>
        <v>4</v>
      </c>
      <c r="F36" s="247">
        <f t="shared" ref="F36" si="37">IF(NOT($B36=0), E36/$B36, "---")</f>
        <v>1</v>
      </c>
      <c r="G36" s="219">
        <f>SUMIFS('Diags Raw Data'!$S$6:$S$4825,'Diags Raw Data'!$D$6:$D$4825,$A36,'Diags Raw Data'!$M$6:$M$4825,"New")+SUMIFS('Diags Raw Data'!$S$6:$S$4825,'Diags Raw Data'!$D$6:$D$4825,$A36,'Diags Raw Data'!$M$6:$M$4825,"Delta")</f>
        <v>0</v>
      </c>
      <c r="H36" s="220">
        <f>SUMIFS('Diags Raw Data'!$T$6:$T$4825,'Diags Raw Data'!$D$6:$D$4825,$A36,'Diags Raw Data'!$M$6:$M$4825,"New")+SUMIFS('Diags Raw Data'!$T$6:$T$4825,'Diags Raw Data'!$D$6:$D$4825,$A36,'Diags Raw Data'!$M$6:$M$4825,"Delta")</f>
        <v>0</v>
      </c>
      <c r="I36" s="220">
        <f>SUMIFS('Diags Raw Data'!$U$6:$U$4825,'Diags Raw Data'!$D$6:$D$4825,$A36,'Diags Raw Data'!$M$6:$M$4825,"New")+SUMIFS('Diags Raw Data'!$U$6:$U$4825,'Diags Raw Data'!$D$6:$D$4825,$A36,'Diags Raw Data'!$M$6:$M$4825,"Delta")</f>
        <v>0</v>
      </c>
      <c r="J36" s="220">
        <f>SUMIFS('Diags Raw Data'!$V$6:$V$4825,'Diags Raw Data'!$D$6:$D$4825,$A36,'Diags Raw Data'!$M$6:$M$4825,"New")+SUMIFS('Diags Raw Data'!$V$6:$V$4825,'Diags Raw Data'!$D$6:$D$4825,$A36,'Diags Raw Data'!$M$6:$M$4825,"Delta")</f>
        <v>0</v>
      </c>
      <c r="K36" s="220">
        <f>SUMIFS('Diags Raw Data'!$W$6:$W$4825,'Diags Raw Data'!$D$6:$D$4825,$A36,'Diags Raw Data'!$M$6:$M$4825,"New")+SUMIFS('Diags Raw Data'!$W$6:$W$4825,'Diags Raw Data'!$D$6:$D$4825,$A36,'Diags Raw Data'!$M$6:$M$4825,"Delta")</f>
        <v>0</v>
      </c>
      <c r="L36" s="221" t="str">
        <f t="shared" ref="L36" si="38">IF(NOT($C36=0), G36/$C36, "---")</f>
        <v>---</v>
      </c>
      <c r="M36" s="223" t="str">
        <f t="shared" ref="M36" si="39">IF(NOT($G36=0), (H36+I36)/$G36, "---")</f>
        <v>---</v>
      </c>
      <c r="N36" s="225" t="str">
        <f t="shared" ref="N36" si="40">IF(NOT($C36=0), (H36+I36)/$C36, "---")</f>
        <v>---</v>
      </c>
      <c r="O36" s="212">
        <f>SUMIFS('Diags Raw Data'!$Z$6:$Z$4825,'Diags Raw Data'!$D$6:$D$4825,$A36,'Diags Raw Data'!$M$6:$M$4825,"New")+SUMIFS('Diags Raw Data'!$Z$6:$Z$4825,'Diags Raw Data'!$D$6:$D$4825,$A36,'Diags Raw Data'!$M$6:$M$4825,"Delta")</f>
        <v>0</v>
      </c>
      <c r="P36" s="209">
        <f>SUMIFS('Diags Raw Data'!$AA$6:$AA$4825,'Diags Raw Data'!$D$6:$D$4825,$A36,'Diags Raw Data'!$M$6:$M$4825,"New")+SUMIFS('Diags Raw Data'!$AA$6:$AA$4825,'Diags Raw Data'!$D$6:$D$4825,$A36,'Diags Raw Data'!$M$6:$M$4825,"Delta")</f>
        <v>0</v>
      </c>
      <c r="Q36" s="209">
        <f>SUMIFS('Diags Raw Data'!$AB$6:$AB$4825,'Diags Raw Data'!$D$6:$D$4825,$A36,'Diags Raw Data'!$M$6:$M$4825,"New")+SUMIFS('Diags Raw Data'!$AB$6:$AB$4825,'Diags Raw Data'!$D$6:$D$4825,$A36,'Diags Raw Data'!$M$6:$M$4825,"Delta")</f>
        <v>0</v>
      </c>
      <c r="R36" s="209">
        <f>SUMIFS('Diags Raw Data'!$AC$6:$AC$4825,'Diags Raw Data'!$D$6:$D$4825,$A36,'Diags Raw Data'!$M$6:$M$4825,"New")+SUMIFS('Diags Raw Data'!$AC$6:$AC$4825,'Diags Raw Data'!$D$6:$D$4825,$A36,'Diags Raw Data'!$M$6:$M$4825,"Delta")</f>
        <v>0</v>
      </c>
      <c r="S36" s="209">
        <f>SUMIFS('Diags Raw Data'!$AD$6:$AD$4825,'Diags Raw Data'!$D$6:$D$4825,$A36,'Diags Raw Data'!$M$6:$M$4825,"New")+SUMIFS('Diags Raw Data'!$AD$6:$AD$4825,'Diags Raw Data'!$D$6:$D$4825,$A36,'Diags Raw Data'!$M$6:$M$4825,"Delta")</f>
        <v>0</v>
      </c>
      <c r="T36" s="210">
        <f t="shared" ref="T36" si="41">IF(NOT($B36=0), O36/$B36, "---")</f>
        <v>0</v>
      </c>
      <c r="U36" s="224" t="str">
        <f t="shared" ref="U36" si="42">IF(NOT($O36=0), (P36+Q36)/$O36, "---")</f>
        <v>---</v>
      </c>
      <c r="V36" s="240">
        <f t="shared" ref="V36" si="43">IF(NOT($B36=0), (P36+Q36)/$B36, "---")</f>
        <v>0</v>
      </c>
    </row>
    <row r="37" spans="1:22" ht="15.75" thickBot="1" x14ac:dyDescent="0.3">
      <c r="A37" s="334" t="s">
        <v>572</v>
      </c>
      <c r="B37" s="251">
        <f>SUMIFS('Diags Raw Data'!$L$6:$L$4825,'Diags Raw Data'!$D$6:$D$4825,$A37,'Diags Raw Data'!$M$6:$M$4825,"New")+SUMIFS('Diags Raw Data'!$L$6:$L$4825,'Diags Raw Data'!$D$6:$D$4825,$A37,'Diags Raw Data'!$M$6:$M$4825,"Delta")</f>
        <v>0</v>
      </c>
      <c r="C37" s="241">
        <f>SUMIFS('Diags Raw Data'!$R$6:$R$4825,'Diags Raw Data'!$D$6:$D$4825,$A37,'Diags Raw Data'!$M$6:$M$4825,"New")+SUMIFS('Diags Raw Data'!$R$6:$R$4825,'Diags Raw Data'!$D$6:$D$4825,$A37,'Diags Raw Data'!$M$6:$M$4825,"Delta")</f>
        <v>0</v>
      </c>
      <c r="D37" s="241">
        <f>SUMIFS('Diags Raw Data'!$K$6:$K$4825,'Diags Raw Data'!$D$6:$D$4825,$A37,'Diags Raw Data'!$M$6:$M$4825,"New")+SUMIFS('Diags Raw Data'!$K$6:$K$4825,'Diags Raw Data'!$D$6:$D$4825,$A37,'Diags Raw Data'!$M$6:$M$4825,"Delta")</f>
        <v>0</v>
      </c>
      <c r="E37" s="241">
        <f>SUMIFS('Diags Raw Data'!$O$6:$O$4825,'Diags Raw Data'!$D$6:$D$4825,$A37,'Diags Raw Data'!$M$6:$M$4825,"New")+SUMIFS('Diags Raw Data'!$O$6:$O$4825,'Diags Raw Data'!$D$6:$D$4825,$A37,'Diags Raw Data'!$M$6:$M$4825,"Delta")</f>
        <v>0</v>
      </c>
      <c r="F37" s="247" t="str">
        <f t="shared" si="30"/>
        <v>---</v>
      </c>
      <c r="G37" s="219">
        <f>SUMIFS('Diags Raw Data'!$S$6:$S$4825,'Diags Raw Data'!$D$6:$D$4825,$A37,'Diags Raw Data'!$M$6:$M$4825,"New")+SUMIFS('Diags Raw Data'!$S$6:$S$4825,'Diags Raw Data'!$D$6:$D$4825,$A37,'Diags Raw Data'!$M$6:$M$4825,"Delta")</f>
        <v>0</v>
      </c>
      <c r="H37" s="220">
        <f>SUMIFS('Diags Raw Data'!$T$6:$T$4825,'Diags Raw Data'!$D$6:$D$4825,$A37,'Diags Raw Data'!$M$6:$M$4825,"New")+SUMIFS('Diags Raw Data'!$T$6:$T$4825,'Diags Raw Data'!$D$6:$D$4825,$A37,'Diags Raw Data'!$M$6:$M$4825,"Delta")</f>
        <v>0</v>
      </c>
      <c r="I37" s="220">
        <f>SUMIFS('Diags Raw Data'!$U$6:$U$4825,'Diags Raw Data'!$D$6:$D$4825,$A37,'Diags Raw Data'!$M$6:$M$4825,"New")+SUMIFS('Diags Raw Data'!$U$6:$U$4825,'Diags Raw Data'!$D$6:$D$4825,$A37,'Diags Raw Data'!$M$6:$M$4825,"Delta")</f>
        <v>0</v>
      </c>
      <c r="J37" s="220">
        <f>SUMIFS('Diags Raw Data'!$V$6:$V$4825,'Diags Raw Data'!$D$6:$D$4825,$A37,'Diags Raw Data'!$M$6:$M$4825,"New")+SUMIFS('Diags Raw Data'!$V$6:$V$4825,'Diags Raw Data'!$D$6:$D$4825,$A37,'Diags Raw Data'!$M$6:$M$4825,"Delta")</f>
        <v>0</v>
      </c>
      <c r="K37" s="220">
        <f>SUMIFS('Diags Raw Data'!$W$6:$W$4825,'Diags Raw Data'!$D$6:$D$4825,$A37,'Diags Raw Data'!$M$6:$M$4825,"New")+SUMIFS('Diags Raw Data'!$W$6:$W$4825,'Diags Raw Data'!$D$6:$D$4825,$A37,'Diags Raw Data'!$M$6:$M$4825,"Delta")</f>
        <v>0</v>
      </c>
      <c r="L37" s="221" t="str">
        <f t="shared" si="31"/>
        <v>---</v>
      </c>
      <c r="M37" s="223" t="str">
        <f t="shared" si="32"/>
        <v>---</v>
      </c>
      <c r="N37" s="225" t="str">
        <f t="shared" si="33"/>
        <v>---</v>
      </c>
      <c r="O37" s="212">
        <f>SUMIFS('Diags Raw Data'!$Z$6:$Z$4825,'Diags Raw Data'!$D$6:$D$4825,$A37,'Diags Raw Data'!$M$6:$M$4825,"New")+SUMIFS('Diags Raw Data'!$Z$6:$Z$4825,'Diags Raw Data'!$D$6:$D$4825,$A37,'Diags Raw Data'!$M$6:$M$4825,"Delta")</f>
        <v>0</v>
      </c>
      <c r="P37" s="209">
        <f>SUMIFS('Diags Raw Data'!$AA$6:$AA$4825,'Diags Raw Data'!$D$6:$D$4825,$A37,'Diags Raw Data'!$M$6:$M$4825,"New")+SUMIFS('Diags Raw Data'!$AA$6:$AA$4825,'Diags Raw Data'!$D$6:$D$4825,$A37,'Diags Raw Data'!$M$6:$M$4825,"Delta")</f>
        <v>0</v>
      </c>
      <c r="Q37" s="209">
        <f>SUMIFS('Diags Raw Data'!$AB$6:$AB$4825,'Diags Raw Data'!$D$6:$D$4825,$A37,'Diags Raw Data'!$M$6:$M$4825,"New")+SUMIFS('Diags Raw Data'!$AB$6:$AB$4825,'Diags Raw Data'!$D$6:$D$4825,$A37,'Diags Raw Data'!$M$6:$M$4825,"Delta")</f>
        <v>0</v>
      </c>
      <c r="R37" s="209">
        <f>SUMIFS('Diags Raw Data'!$AC$6:$AC$4825,'Diags Raw Data'!$D$6:$D$4825,$A37,'Diags Raw Data'!$M$6:$M$4825,"New")+SUMIFS('Diags Raw Data'!$AC$6:$AC$4825,'Diags Raw Data'!$D$6:$D$4825,$A37,'Diags Raw Data'!$M$6:$M$4825,"Delta")</f>
        <v>0</v>
      </c>
      <c r="S37" s="209">
        <f>SUMIFS('Diags Raw Data'!$AD$6:$AD$4825,'Diags Raw Data'!$D$6:$D$4825,$A37,'Diags Raw Data'!$M$6:$M$4825,"New")+SUMIFS('Diags Raw Data'!$AD$6:$AD$4825,'Diags Raw Data'!$D$6:$D$4825,$A37,'Diags Raw Data'!$M$6:$M$4825,"Delta")</f>
        <v>0</v>
      </c>
      <c r="T37" s="210" t="str">
        <f t="shared" si="34"/>
        <v>---</v>
      </c>
      <c r="U37" s="224" t="str">
        <f t="shared" si="35"/>
        <v>---</v>
      </c>
      <c r="V37" s="240" t="str">
        <f t="shared" si="36"/>
        <v>---</v>
      </c>
    </row>
    <row r="38" spans="1:22" ht="16.5" thickBot="1" x14ac:dyDescent="0.3">
      <c r="A38" s="255" t="s">
        <v>1131</v>
      </c>
      <c r="B38" s="256">
        <f>SUM(B23:B37)</f>
        <v>111</v>
      </c>
      <c r="C38" s="257">
        <f>SUM(C23:C37)</f>
        <v>21</v>
      </c>
      <c r="D38" s="257">
        <f>SUM(D23:D37)</f>
        <v>126</v>
      </c>
      <c r="E38" s="257">
        <f>SUM(E23:E37)</f>
        <v>111</v>
      </c>
      <c r="F38" s="258" cm="1">
        <f t="array" ref="F38">SUMPRODUCT(--(ISNUMBER(SEARCH("New",'Diags Raw Data'!$M$6:$M$4825))),'Diags Raw Data'!$K$6:$K$4825,'Diags Raw Data'!$P$6:$P$4825)/D38+SUMPRODUCT(--(ISNUMBER(SEARCH("Delta",'Diags Raw Data'!$M$6:$M$4825))),'Diags Raw Data'!$K$6:$K$4825,'Diags Raw Data'!$P$6:$P$4825)/D38</f>
        <v>1</v>
      </c>
      <c r="G38" s="259">
        <f>SUM(G23:G37)</f>
        <v>0</v>
      </c>
      <c r="H38" s="260">
        <f>SUM(H23:H37)</f>
        <v>0</v>
      </c>
      <c r="I38" s="261">
        <f>SUM(I23:I37)</f>
        <v>0</v>
      </c>
      <c r="J38" s="260">
        <f>SUM(J23:J37)</f>
        <v>0</v>
      </c>
      <c r="K38" s="261">
        <f>SUM(K23:K37)</f>
        <v>0</v>
      </c>
      <c r="L38" s="262">
        <f>IF(NOT($C38=0), G38/$C38, "---")</f>
        <v>0</v>
      </c>
      <c r="M38" s="263" t="str">
        <f t="shared" ref="M38" si="44">IF(NOT($G38=0), (H38+I38)/$G38, "---")</f>
        <v>---</v>
      </c>
      <c r="N38" s="264">
        <f>IF(NOT($C38=0), (H38+I38)/$C38, "---")</f>
        <v>0</v>
      </c>
      <c r="O38" s="265">
        <f>SUM(O23:O37)</f>
        <v>0</v>
      </c>
      <c r="P38" s="266">
        <f>SUM(P23:P37)</f>
        <v>0</v>
      </c>
      <c r="Q38" s="267">
        <f>SUM(Q23:Q37)</f>
        <v>0</v>
      </c>
      <c r="R38" s="266">
        <f>SUM(R23:R37)</f>
        <v>0</v>
      </c>
      <c r="S38" s="267">
        <f>SUM(S23:S37)</f>
        <v>0</v>
      </c>
      <c r="T38" s="268">
        <f>IF(NOT($B38=0), O38/$B38, "---")</f>
        <v>0</v>
      </c>
      <c r="U38" s="269" t="str">
        <f t="shared" ref="U38" si="45">IF(NOT($O38=0), (P38+Q38)/$O38, "---")</f>
        <v>---</v>
      </c>
      <c r="V38" s="270">
        <f t="shared" ref="V38" si="46">IF(NOT($B38=0), (P38+Q38)/$B38, "---")</f>
        <v>0</v>
      </c>
    </row>
    <row r="39" spans="1:22" ht="15.75" thickBot="1" x14ac:dyDescent="0.3">
      <c r="A39" s="246"/>
      <c r="B39" s="246"/>
      <c r="C39" s="246"/>
      <c r="D39" s="246"/>
      <c r="E39" s="246"/>
      <c r="F39" s="246"/>
      <c r="G39" s="246"/>
      <c r="H39" s="246"/>
      <c r="I39" s="246"/>
      <c r="J39" s="246"/>
      <c r="K39" s="246"/>
      <c r="L39" s="246"/>
      <c r="M39" s="246"/>
      <c r="N39" s="246"/>
      <c r="O39" s="246"/>
      <c r="P39" s="246"/>
      <c r="Q39" s="246"/>
      <c r="R39" s="246"/>
      <c r="S39" s="246"/>
      <c r="T39" s="246"/>
      <c r="U39" s="246"/>
      <c r="V39" s="246"/>
    </row>
    <row r="40" spans="1:22" ht="15.75" thickBot="1" x14ac:dyDescent="0.3">
      <c r="A40" s="216" t="s">
        <v>33</v>
      </c>
      <c r="B40" s="769" t="s">
        <v>166</v>
      </c>
      <c r="C40" s="769"/>
      <c r="D40" s="769"/>
      <c r="E40" s="769"/>
      <c r="F40" s="769"/>
      <c r="G40" s="770" t="s">
        <v>177</v>
      </c>
      <c r="H40" s="771"/>
      <c r="I40" s="771"/>
      <c r="J40" s="771"/>
      <c r="K40" s="771"/>
      <c r="L40" s="771"/>
      <c r="M40" s="771"/>
      <c r="N40" s="772"/>
      <c r="O40" s="773" t="s">
        <v>144</v>
      </c>
      <c r="P40" s="774"/>
      <c r="Q40" s="774"/>
      <c r="R40" s="774"/>
      <c r="S40" s="774"/>
      <c r="T40" s="774"/>
      <c r="U40" s="774"/>
      <c r="V40" s="775"/>
    </row>
    <row r="41" spans="1:22" s="250" customFormat="1" ht="15.75" thickBot="1" x14ac:dyDescent="0.3">
      <c r="A41" s="254" t="s">
        <v>88</v>
      </c>
      <c r="B41" s="311" t="s">
        <v>167</v>
      </c>
      <c r="C41" s="312" t="s">
        <v>128</v>
      </c>
      <c r="D41" s="313" t="s">
        <v>105</v>
      </c>
      <c r="E41" s="313" t="s">
        <v>173</v>
      </c>
      <c r="F41" s="314" t="s">
        <v>175</v>
      </c>
      <c r="G41" s="315" t="s">
        <v>132</v>
      </c>
      <c r="H41" s="316" t="s">
        <v>30</v>
      </c>
      <c r="I41" s="316" t="s">
        <v>135</v>
      </c>
      <c r="J41" s="316" t="s">
        <v>36</v>
      </c>
      <c r="K41" s="316" t="s">
        <v>138</v>
      </c>
      <c r="L41" s="316" t="s">
        <v>184</v>
      </c>
      <c r="M41" s="316" t="s">
        <v>140</v>
      </c>
      <c r="N41" s="317" t="s">
        <v>187</v>
      </c>
      <c r="O41" s="318" t="s">
        <v>132</v>
      </c>
      <c r="P41" s="319" t="s">
        <v>30</v>
      </c>
      <c r="Q41" s="319" t="s">
        <v>135</v>
      </c>
      <c r="R41" s="319" t="s">
        <v>36</v>
      </c>
      <c r="S41" s="319" t="s">
        <v>138</v>
      </c>
      <c r="T41" s="319" t="s">
        <v>184</v>
      </c>
      <c r="U41" s="319" t="s">
        <v>140</v>
      </c>
      <c r="V41" s="320" t="s">
        <v>187</v>
      </c>
    </row>
    <row r="42" spans="1:22" x14ac:dyDescent="0.25">
      <c r="A42" s="333" t="s">
        <v>508</v>
      </c>
      <c r="B42" s="251">
        <f>SUMIFS('Diags Raw Data'!$L$6:$L$4825,'Diags Raw Data'!$D$6:$D$4825,$A42,'Diags Raw Data'!$M$6:$M$4825,"Legacy")</f>
        <v>13</v>
      </c>
      <c r="C42" s="241">
        <f>SUMIFS('Diags Raw Data'!$R$6:$R$4825,'Diags Raw Data'!$D$6:$D$4825,$A42,'Diags Raw Data'!$M$6:$M$4825,"Legacy")</f>
        <v>13</v>
      </c>
      <c r="D42" s="241">
        <f>SUMIFS('Diags Raw Data'!$K$6:$K$4825,'Diags Raw Data'!$D$6:$D$4825,$A42,'Diags Raw Data'!$M$6:$M$4825,"Legacy")</f>
        <v>2</v>
      </c>
      <c r="E42" s="241">
        <f>SUMIFS('Diags Raw Data'!$O$6:$O$4825,'Diags Raw Data'!$D$6:$D$4825,$A42,'Diags Raw Data'!$M$6:$M$4825,"Legacy")</f>
        <v>13</v>
      </c>
      <c r="F42" s="247">
        <f>IF(NOT($B42=0), E42/$B42, "---")</f>
        <v>1</v>
      </c>
      <c r="G42" s="219">
        <f>SUMIFS('Diags Raw Data'!$S$6:$S$4825,'Diags Raw Data'!$D$6:$D$4825,$A42,'Diags Raw Data'!$M$6:$M$4825,"Legacy")</f>
        <v>0</v>
      </c>
      <c r="H42" s="220">
        <f>SUMIFS('Diags Raw Data'!$T$6:$T$4825,'Diags Raw Data'!$D$6:$D$4825,$A42,'Diags Raw Data'!$M$6:$M$4825,"Legacy")</f>
        <v>0</v>
      </c>
      <c r="I42" s="222">
        <f>SUMIFS('Diags Raw Data'!$U$6:$U$4825,'Diags Raw Data'!$D$6:$D$4825,$A42,'Diags Raw Data'!$M$6:$M$4825,"Legacy")</f>
        <v>0</v>
      </c>
      <c r="J42" s="220">
        <f>SUMIFS('Diags Raw Data'!$V$6:$V$4825,'Diags Raw Data'!$D$6:$D$4825,$A42,'Diags Raw Data'!$M$6:$M$4825,"Legacy")</f>
        <v>0</v>
      </c>
      <c r="K42" s="222">
        <f>SUMIFS('Diags Raw Data'!$W$6:$W$4825,'Diags Raw Data'!$D$6:$D$4825,$A42,'Diags Raw Data'!$M$6:$M$4825,"Legacy")</f>
        <v>0</v>
      </c>
      <c r="L42" s="221">
        <f>IF(NOT($C42=0), G42/$C42, "---")</f>
        <v>0</v>
      </c>
      <c r="M42" s="223" t="str">
        <f>IF(NOT($G42=0), (H42+I42)/$G42, "---")</f>
        <v>---</v>
      </c>
      <c r="N42" s="225">
        <f>IF(NOT($C42=0), (H42+I42)/$C42, "---")</f>
        <v>0</v>
      </c>
      <c r="O42" s="212">
        <v>0</v>
      </c>
      <c r="P42" s="209">
        <f>SUMIFS('Diags Raw Data'!$AA$6:$AA$4825,'Diags Raw Data'!$D$6:$D$4825,$A42,'Diags Raw Data'!$M$6:$M$4825,"Legacy")</f>
        <v>0</v>
      </c>
      <c r="Q42" s="211">
        <f>SUMIFS('Diags Raw Data'!$AB$6:$AB$4825,'Diags Raw Data'!$D$6:$D$4825,$A42,'Diags Raw Data'!$M$6:$M$4825,"Legacy")</f>
        <v>0</v>
      </c>
      <c r="R42" s="209">
        <f>SUMIFS('Diags Raw Data'!$AC$6:$AC$4825,'Diags Raw Data'!$D$6:$D$4825,$A42,'Diags Raw Data'!$M$6:$M$4825,"Legacy")</f>
        <v>0</v>
      </c>
      <c r="S42" s="211">
        <f>SUMIFS('Diags Raw Data'!$AD$6:$AD$4825,'Diags Raw Data'!$D$6:$D$4825,$A42,'Diags Raw Data'!$M$6:$M$4825,"Legacy")</f>
        <v>0</v>
      </c>
      <c r="T42" s="210">
        <f>IF(NOT($B42=0), O42/$B42, "---")</f>
        <v>0</v>
      </c>
      <c r="U42" s="224" t="str">
        <f>IF(NOT($O42=0), (P42+Q42)/$O42, "---")</f>
        <v>---</v>
      </c>
      <c r="V42" s="240">
        <f>IF(NOT($B42=0), (P42+Q42)/$B42, "---")</f>
        <v>0</v>
      </c>
    </row>
    <row r="43" spans="1:22" x14ac:dyDescent="0.25">
      <c r="A43" s="333" t="s">
        <v>869</v>
      </c>
      <c r="B43" s="252">
        <f>SUMIFS('Diags Raw Data'!$L$6:$L$4825,'Diags Raw Data'!$D$6:$D$4825,$A43,'Diags Raw Data'!$M$6:$M$4825,"Legacy")</f>
        <v>6</v>
      </c>
      <c r="C43" s="242">
        <f>SUMIFS('Diags Raw Data'!$R$6:$R$4825,'Diags Raw Data'!$D$6:$D$4825,$A43,'Diags Raw Data'!$M$6:$M$4825,"Legacy")</f>
        <v>10</v>
      </c>
      <c r="D43" s="242">
        <f>SUMIFS('Diags Raw Data'!$K$6:$K$4825,'Diags Raw Data'!$D$6:$D$4825,$A43,'Diags Raw Data'!$M$6:$M$4825,"Legacy")</f>
        <v>3</v>
      </c>
      <c r="E43" s="242">
        <f>SUMIFS('Diags Raw Data'!$O$6:$O$4825,'Diags Raw Data'!$D$6:$D$4825,$A43,'Diags Raw Data'!$M$6:$M$4825,"Legacy")</f>
        <v>6</v>
      </c>
      <c r="F43" s="248">
        <f t="shared" ref="F43:F56" si="47">IF(NOT($B43=0), E43/$B43, "---")</f>
        <v>1</v>
      </c>
      <c r="G43" s="230">
        <f>SUMIFS('Diags Raw Data'!$S$6:$S$4825,'Diags Raw Data'!$D$6:$D$4825,$A43,'Diags Raw Data'!$M$6:$M$4825,"Legacy")</f>
        <v>0</v>
      </c>
      <c r="H43" s="226">
        <f>SUMIFS('Diags Raw Data'!$T$6:$T$4825,'Diags Raw Data'!$D$6:$D$4825,$A43,'Diags Raw Data'!$M$6:$M$4825,"Legacy")</f>
        <v>0</v>
      </c>
      <c r="I43" s="227">
        <f>SUMIFS('Diags Raw Data'!$U$6:$U$4825,'Diags Raw Data'!$D$6:$D$4825,$A43,'Diags Raw Data'!$M$6:$M$4825,"Legacy")</f>
        <v>0</v>
      </c>
      <c r="J43" s="226">
        <f>SUMIFS('Diags Raw Data'!$V$6:$V$4825,'Diags Raw Data'!$D$6:$D$4825,$A43,'Diags Raw Data'!$M$6:$M$4825,"Legacy")</f>
        <v>0</v>
      </c>
      <c r="K43" s="227">
        <f>SUMIFS('Diags Raw Data'!$W$6:$W$4825,'Diags Raw Data'!$D$6:$D$4825,$A43,'Diags Raw Data'!$M$6:$M$4825,"Legacy")</f>
        <v>0</v>
      </c>
      <c r="L43" s="243">
        <f t="shared" ref="L43:L56" si="48">IF(NOT($C43=0), G43/$C43, "---")</f>
        <v>0</v>
      </c>
      <c r="M43" s="228" t="str">
        <f t="shared" ref="M43:M57" si="49">IF(NOT($G43=0), (H43+I43)/$G43, "---")</f>
        <v>---</v>
      </c>
      <c r="N43" s="237">
        <f t="shared" ref="N43:N57" si="50">IF(NOT($C43=0), (H43+I43)/$C43, "---")</f>
        <v>0</v>
      </c>
      <c r="O43" s="213">
        <v>0</v>
      </c>
      <c r="P43" s="203">
        <f>SUMIFS('Diags Raw Data'!$AA$6:$AA$4825,'Diags Raw Data'!$D$6:$D$4825,$A43,'Diags Raw Data'!$M$6:$M$4825,"Legacy")</f>
        <v>0</v>
      </c>
      <c r="Q43" s="205">
        <f>SUMIFS('Diags Raw Data'!$AB$6:$AB$4825,'Diags Raw Data'!$D$6:$D$4825,$A43,'Diags Raw Data'!$M$6:$M$4825,"Legacy")</f>
        <v>0</v>
      </c>
      <c r="R43" s="203">
        <f>SUMIFS('Diags Raw Data'!$AC$6:$AC$4825,'Diags Raw Data'!$D$6:$D$4825,$A43,'Diags Raw Data'!$M$6:$M$4825,"Legacy")</f>
        <v>0</v>
      </c>
      <c r="S43" s="205">
        <f>SUMIFS('Diags Raw Data'!$AD$6:$AD$4825,'Diags Raw Data'!$D$6:$D$4825,$A43,'Diags Raw Data'!$M$6:$M$4825,"Legacy")</f>
        <v>0</v>
      </c>
      <c r="T43" s="204">
        <f t="shared" ref="T43:T56" si="51">IF(NOT($B43=0), O43/$B43, "---")</f>
        <v>0</v>
      </c>
      <c r="U43" s="229" t="str">
        <f t="shared" ref="U43:U57" si="52">IF(NOT($O43=0), (P43+Q43)/$O43, "---")</f>
        <v>---</v>
      </c>
      <c r="V43" s="231">
        <f t="shared" ref="V43:V56" si="53">IF(NOT($B43=0), (P43+Q43)/$B43, "---")</f>
        <v>0</v>
      </c>
    </row>
    <row r="44" spans="1:22" x14ac:dyDescent="0.25">
      <c r="A44" s="333" t="s">
        <v>264</v>
      </c>
      <c r="B44" s="252">
        <f>SUMIFS('Diags Raw Data'!$L$6:$L$4825,'Diags Raw Data'!$D$6:$D$4825,$A44,'Diags Raw Data'!$M$6:$M$4825,"Legacy")</f>
        <v>400</v>
      </c>
      <c r="C44" s="242">
        <f>SUMIFS('Diags Raw Data'!$R$6:$R$4825,'Diags Raw Data'!$D$6:$D$4825,$A44,'Diags Raw Data'!$M$6:$M$4825,"Legacy")</f>
        <v>409</v>
      </c>
      <c r="D44" s="242">
        <f>SUMIFS('Diags Raw Data'!$K$6:$K$4825,'Diags Raw Data'!$D$6:$D$4825,$A44,'Diags Raw Data'!$M$6:$M$4825,"Legacy")</f>
        <v>33</v>
      </c>
      <c r="E44" s="242">
        <f>SUMIFS('Diags Raw Data'!$O$6:$O$4825,'Diags Raw Data'!$D$6:$D$4825,$A44,'Diags Raw Data'!$M$6:$M$4825,"Legacy")</f>
        <v>400</v>
      </c>
      <c r="F44" s="248">
        <f t="shared" si="47"/>
        <v>1</v>
      </c>
      <c r="G44" s="230">
        <f>SUMIFS('Diags Raw Data'!$S$6:$S$4825,'Diags Raw Data'!$D$6:$D$4825,$A44,'Diags Raw Data'!$M$6:$M$4825,"Legacy")</f>
        <v>0</v>
      </c>
      <c r="H44" s="226">
        <f>SUMIFS('Diags Raw Data'!$T$6:$T$4825,'Diags Raw Data'!$D$6:$D$4825,$A44,'Diags Raw Data'!$M$6:$M$4825,"Legacy")</f>
        <v>0</v>
      </c>
      <c r="I44" s="227">
        <f>SUMIFS('Diags Raw Data'!$U$6:$U$4825,'Diags Raw Data'!$D$6:$D$4825,$A44,'Diags Raw Data'!$M$6:$M$4825,"Legacy")</f>
        <v>0</v>
      </c>
      <c r="J44" s="226">
        <f>SUMIFS('Diags Raw Data'!$V$6:$V$4825,'Diags Raw Data'!$D$6:$D$4825,$A44,'Diags Raw Data'!$M$6:$M$4825,"Legacy")</f>
        <v>0</v>
      </c>
      <c r="K44" s="227">
        <f>SUMIFS('Diags Raw Data'!$W$6:$W$4825,'Diags Raw Data'!$D$6:$D$4825,$A44,'Diags Raw Data'!$M$6:$M$4825,"Legacy")</f>
        <v>0</v>
      </c>
      <c r="L44" s="243">
        <f t="shared" si="48"/>
        <v>0</v>
      </c>
      <c r="M44" s="228" t="str">
        <f t="shared" si="49"/>
        <v>---</v>
      </c>
      <c r="N44" s="237">
        <f t="shared" si="50"/>
        <v>0</v>
      </c>
      <c r="O44" s="213">
        <v>0</v>
      </c>
      <c r="P44" s="203">
        <f>SUMIFS('Diags Raw Data'!$AA$6:$AA$4825,'Diags Raw Data'!$D$6:$D$4825,$A44,'Diags Raw Data'!$M$6:$M$4825,"Legacy")</f>
        <v>0</v>
      </c>
      <c r="Q44" s="205">
        <f>SUMIFS('Diags Raw Data'!$AB$6:$AB$4825,'Diags Raw Data'!$D$6:$D$4825,$A44,'Diags Raw Data'!$M$6:$M$4825,"Legacy")</f>
        <v>0</v>
      </c>
      <c r="R44" s="203">
        <f>SUMIFS('Diags Raw Data'!$AC$6:$AC$4825,'Diags Raw Data'!$D$6:$D$4825,$A44,'Diags Raw Data'!$M$6:$M$4825,"Legacy")</f>
        <v>0</v>
      </c>
      <c r="S44" s="205">
        <f>SUMIFS('Diags Raw Data'!$AD$6:$AD$4825,'Diags Raw Data'!$D$6:$D$4825,$A44,'Diags Raw Data'!$M$6:$M$4825,"Legacy")</f>
        <v>0</v>
      </c>
      <c r="T44" s="204">
        <f t="shared" si="51"/>
        <v>0</v>
      </c>
      <c r="U44" s="229" t="str">
        <f t="shared" si="52"/>
        <v>---</v>
      </c>
      <c r="V44" s="231">
        <f t="shared" si="53"/>
        <v>0</v>
      </c>
    </row>
    <row r="45" spans="1:22" x14ac:dyDescent="0.25">
      <c r="A45" s="333" t="s">
        <v>257</v>
      </c>
      <c r="B45" s="252">
        <f>SUMIFS('Diags Raw Data'!$L$6:$L$4825,'Diags Raw Data'!$D$6:$D$4825,$A45,'Diags Raw Data'!$M$6:$M$4825,"Legacy")</f>
        <v>1328</v>
      </c>
      <c r="C45" s="242">
        <f>SUMIFS('Diags Raw Data'!$R$6:$R$4825,'Diags Raw Data'!$D$6:$D$4825,$A45,'Diags Raw Data'!$M$6:$M$4825,"Legacy")</f>
        <v>1070</v>
      </c>
      <c r="D45" s="242">
        <f>SUMIFS('Diags Raw Data'!$K$6:$K$4825,'Diags Raw Data'!$D$6:$D$4825,$A45,'Diags Raw Data'!$M$6:$M$4825,"Legacy")</f>
        <v>138</v>
      </c>
      <c r="E45" s="242">
        <f>SUMIFS('Diags Raw Data'!$O$6:$O$4825,'Diags Raw Data'!$D$6:$D$4825,$A45,'Diags Raw Data'!$M$6:$M$4825,"Legacy")</f>
        <v>1328</v>
      </c>
      <c r="F45" s="248">
        <f t="shared" si="47"/>
        <v>1</v>
      </c>
      <c r="G45" s="230">
        <v>0</v>
      </c>
      <c r="H45" s="226">
        <f>SUMIFS('Diags Raw Data'!$T$6:$T$4825,'Diags Raw Data'!$D$6:$D$4825,$A45,'Diags Raw Data'!$M$6:$M$4825,"Legacy")</f>
        <v>0</v>
      </c>
      <c r="I45" s="227">
        <f>SUMIFS('Diags Raw Data'!$U$6:$U$4825,'Diags Raw Data'!$D$6:$D$4825,$A45,'Diags Raw Data'!$M$6:$M$4825,"Legacy")</f>
        <v>0</v>
      </c>
      <c r="J45" s="226">
        <f>SUMIFS('Diags Raw Data'!$V$6:$V$4825,'Diags Raw Data'!$D$6:$D$4825,$A45,'Diags Raw Data'!$M$6:$M$4825,"Legacy")</f>
        <v>0</v>
      </c>
      <c r="K45" s="227">
        <f>SUMIFS('Diags Raw Data'!$W$6:$W$4825,'Diags Raw Data'!$D$6:$D$4825,$A45,'Diags Raw Data'!$M$6:$M$4825,"Legacy")</f>
        <v>0</v>
      </c>
      <c r="L45" s="243">
        <f t="shared" si="48"/>
        <v>0</v>
      </c>
      <c r="M45" s="228" t="str">
        <f t="shared" si="49"/>
        <v>---</v>
      </c>
      <c r="N45" s="237">
        <f t="shared" si="50"/>
        <v>0</v>
      </c>
      <c r="O45" s="213">
        <v>0</v>
      </c>
      <c r="P45" s="203">
        <f>SUMIFS('Diags Raw Data'!$AA$6:$AA$4825,'Diags Raw Data'!$D$6:$D$4825,$A45,'Diags Raw Data'!$M$6:$M$4825,"Legacy")</f>
        <v>0</v>
      </c>
      <c r="Q45" s="205">
        <f>SUMIFS('Diags Raw Data'!$AB$6:$AB$4825,'Diags Raw Data'!$D$6:$D$4825,$A45,'Diags Raw Data'!$M$6:$M$4825,"Legacy")</f>
        <v>0</v>
      </c>
      <c r="R45" s="203">
        <f>SUMIFS('Diags Raw Data'!$AC$6:$AC$4825,'Diags Raw Data'!$D$6:$D$4825,$A45,'Diags Raw Data'!$M$6:$M$4825,"Legacy")</f>
        <v>0</v>
      </c>
      <c r="S45" s="205">
        <f>SUMIFS('Diags Raw Data'!$AD$6:$AD$4825,'Diags Raw Data'!$D$6:$D$4825,$A45,'Diags Raw Data'!$M$6:$M$4825,"Legacy")</f>
        <v>0</v>
      </c>
      <c r="T45" s="204">
        <f t="shared" si="51"/>
        <v>0</v>
      </c>
      <c r="U45" s="229" t="str">
        <f t="shared" si="52"/>
        <v>---</v>
      </c>
      <c r="V45" s="231">
        <f t="shared" si="53"/>
        <v>0</v>
      </c>
    </row>
    <row r="46" spans="1:22" x14ac:dyDescent="0.25">
      <c r="A46" s="333" t="s">
        <v>895</v>
      </c>
      <c r="B46" s="252">
        <f>SUMIFS('Diags Raw Data'!$L$6:$L$4825,'Diags Raw Data'!$D$6:$D$4825,$A46,'Diags Raw Data'!$M$6:$M$4825,"Legacy")</f>
        <v>13</v>
      </c>
      <c r="C46" s="242">
        <f>SUMIFS('Diags Raw Data'!$R$6:$R$4825,'Diags Raw Data'!$D$6:$D$4825,$A46,'Diags Raw Data'!$M$6:$M$4825,"Legacy")</f>
        <v>5</v>
      </c>
      <c r="D46" s="242">
        <f>SUMIFS('Diags Raw Data'!$K$6:$K$4825,'Diags Raw Data'!$D$6:$D$4825,$A46,'Diags Raw Data'!$M$6:$M$4825,"Legacy")</f>
        <v>6</v>
      </c>
      <c r="E46" s="242">
        <f>SUMIFS('Diags Raw Data'!$O$6:$O$4825,'Diags Raw Data'!$D$6:$D$4825,$A46,'Diags Raw Data'!$M$6:$M$4825,"Legacy")</f>
        <v>13</v>
      </c>
      <c r="F46" s="248">
        <f t="shared" si="47"/>
        <v>1</v>
      </c>
      <c r="G46" s="230">
        <f>SUMIFS('Diags Raw Data'!$S$6:$S$4825,'Diags Raw Data'!$D$6:$D$4825,$A46,'Diags Raw Data'!$M$6:$M$4825,"Legacy")</f>
        <v>0</v>
      </c>
      <c r="H46" s="226">
        <f>SUMIFS('Diags Raw Data'!$T$6:$T$4825,'Diags Raw Data'!$D$6:$D$4825,$A46,'Diags Raw Data'!$M$6:$M$4825,"Legacy")</f>
        <v>0</v>
      </c>
      <c r="I46" s="227">
        <f>SUMIFS('Diags Raw Data'!$U$6:$U$4825,'Diags Raw Data'!$D$6:$D$4825,$A46,'Diags Raw Data'!$M$6:$M$4825,"Legacy")</f>
        <v>0</v>
      </c>
      <c r="J46" s="226">
        <f>SUMIFS('Diags Raw Data'!$V$6:$V$4825,'Diags Raw Data'!$D$6:$D$4825,$A46,'Diags Raw Data'!$M$6:$M$4825,"Legacy")</f>
        <v>0</v>
      </c>
      <c r="K46" s="227">
        <f>SUMIFS('Diags Raw Data'!$W$6:$W$4825,'Diags Raw Data'!$D$6:$D$4825,$A46,'Diags Raw Data'!$M$6:$M$4825,"Legacy")</f>
        <v>0</v>
      </c>
      <c r="L46" s="243">
        <f t="shared" si="48"/>
        <v>0</v>
      </c>
      <c r="M46" s="228" t="str">
        <f t="shared" si="49"/>
        <v>---</v>
      </c>
      <c r="N46" s="237">
        <f t="shared" si="50"/>
        <v>0</v>
      </c>
      <c r="O46" s="213">
        <v>0</v>
      </c>
      <c r="P46" s="203">
        <f>SUMIFS('Diags Raw Data'!$AA$6:$AA$4825,'Diags Raw Data'!$D$6:$D$4825,$A46,'Diags Raw Data'!$M$6:$M$4825,"Legacy")</f>
        <v>0</v>
      </c>
      <c r="Q46" s="205">
        <f>SUMIFS('Diags Raw Data'!$AB$6:$AB$4825,'Diags Raw Data'!$D$6:$D$4825,$A46,'Diags Raw Data'!$M$6:$M$4825,"Legacy")</f>
        <v>0</v>
      </c>
      <c r="R46" s="203">
        <f>SUMIFS('Diags Raw Data'!$AC$6:$AC$4825,'Diags Raw Data'!$D$6:$D$4825,$A46,'Diags Raw Data'!$M$6:$M$4825,"Legacy")</f>
        <v>0</v>
      </c>
      <c r="S46" s="205">
        <f>SUMIFS('Diags Raw Data'!$AD$6:$AD$4825,'Diags Raw Data'!$D$6:$D$4825,$A46,'Diags Raw Data'!$M$6:$M$4825,"Legacy")</f>
        <v>0</v>
      </c>
      <c r="T46" s="204">
        <f t="shared" si="51"/>
        <v>0</v>
      </c>
      <c r="U46" s="229" t="str">
        <f t="shared" si="52"/>
        <v>---</v>
      </c>
      <c r="V46" s="231">
        <f t="shared" si="53"/>
        <v>0</v>
      </c>
    </row>
    <row r="47" spans="1:22" x14ac:dyDescent="0.25">
      <c r="A47" s="333" t="s">
        <v>882</v>
      </c>
      <c r="B47" s="252">
        <f>SUMIFS('Diags Raw Data'!$L$6:$L$4825,'Diags Raw Data'!$D$6:$D$4825,$A47,'Diags Raw Data'!$M$6:$M$4825,"Legacy")</f>
        <v>5</v>
      </c>
      <c r="C47" s="242">
        <f>SUMIFS('Diags Raw Data'!$R$6:$R$4825,'Diags Raw Data'!$D$6:$D$4825,$A47,'Diags Raw Data'!$M$6:$M$4825,"Legacy")</f>
        <v>3</v>
      </c>
      <c r="D47" s="242">
        <f>SUMIFS('Diags Raw Data'!$K$6:$K$4825,'Diags Raw Data'!$D$6:$D$4825,$A47,'Diags Raw Data'!$M$6:$M$4825,"Legacy")</f>
        <v>3</v>
      </c>
      <c r="E47" s="242">
        <f>SUMIFS('Diags Raw Data'!$O$6:$O$4825,'Diags Raw Data'!$D$6:$D$4825,$A47,'Diags Raw Data'!$M$6:$M$4825,"Legacy")</f>
        <v>5</v>
      </c>
      <c r="F47" s="248">
        <f t="shared" si="47"/>
        <v>1</v>
      </c>
      <c r="G47" s="230">
        <f>SUMIFS('Diags Raw Data'!$S$6:$S$4825,'Diags Raw Data'!$D$6:$D$4825,$A47,'Diags Raw Data'!$M$6:$M$4825,"Legacy")</f>
        <v>0</v>
      </c>
      <c r="H47" s="226">
        <f>SUMIFS('Diags Raw Data'!$T$6:$T$4825,'Diags Raw Data'!$D$6:$D$4825,$A47,'Diags Raw Data'!$M$6:$M$4825,"Legacy")</f>
        <v>0</v>
      </c>
      <c r="I47" s="227">
        <f>SUMIFS('Diags Raw Data'!$U$6:$U$4825,'Diags Raw Data'!$D$6:$D$4825,$A47,'Diags Raw Data'!$M$6:$M$4825,"Legacy")</f>
        <v>0</v>
      </c>
      <c r="J47" s="226">
        <f>SUMIFS('Diags Raw Data'!$V$6:$V$4825,'Diags Raw Data'!$D$6:$D$4825,$A47,'Diags Raw Data'!$M$6:$M$4825,"Legacy")</f>
        <v>0</v>
      </c>
      <c r="K47" s="227">
        <f>SUMIFS('Diags Raw Data'!$W$6:$W$4825,'Diags Raw Data'!$D$6:$D$4825,$A47,'Diags Raw Data'!$M$6:$M$4825,"Legacy")</f>
        <v>0</v>
      </c>
      <c r="L47" s="243">
        <f t="shared" si="48"/>
        <v>0</v>
      </c>
      <c r="M47" s="228" t="str">
        <f t="shared" si="49"/>
        <v>---</v>
      </c>
      <c r="N47" s="237">
        <f t="shared" si="50"/>
        <v>0</v>
      </c>
      <c r="O47" s="213">
        <v>0</v>
      </c>
      <c r="P47" s="203">
        <f>SUMIFS('Diags Raw Data'!$AA$6:$AA$4825,'Diags Raw Data'!$D$6:$D$4825,$A47,'Diags Raw Data'!$M$6:$M$4825,"Legacy")</f>
        <v>0</v>
      </c>
      <c r="Q47" s="205">
        <f>SUMIFS('Diags Raw Data'!$AB$6:$AB$4825,'Diags Raw Data'!$D$6:$D$4825,$A47,'Diags Raw Data'!$M$6:$M$4825,"Legacy")</f>
        <v>0</v>
      </c>
      <c r="R47" s="203">
        <f>SUMIFS('Diags Raw Data'!$AC$6:$AC$4825,'Diags Raw Data'!$D$6:$D$4825,$A47,'Diags Raw Data'!$M$6:$M$4825,"Legacy")</f>
        <v>0</v>
      </c>
      <c r="S47" s="205">
        <f>SUMIFS('Diags Raw Data'!$AD$6:$AD$4825,'Diags Raw Data'!$D$6:$D$4825,$A47,'Diags Raw Data'!$M$6:$M$4825,"Legacy")</f>
        <v>0</v>
      </c>
      <c r="T47" s="204">
        <f t="shared" si="51"/>
        <v>0</v>
      </c>
      <c r="U47" s="229" t="str">
        <f t="shared" si="52"/>
        <v>---</v>
      </c>
      <c r="V47" s="231">
        <f t="shared" si="53"/>
        <v>0</v>
      </c>
    </row>
    <row r="48" spans="1:22" x14ac:dyDescent="0.25">
      <c r="A48" s="333" t="s">
        <v>377</v>
      </c>
      <c r="B48" s="252">
        <f>SUMIFS('Diags Raw Data'!$L$6:$L$4825,'Diags Raw Data'!$D$6:$D$4825,$A48,'Diags Raw Data'!$M$6:$M$4825,"Legacy")</f>
        <v>303</v>
      </c>
      <c r="C48" s="242">
        <f>SUMIFS('Diags Raw Data'!$R$6:$R$4825,'Diags Raw Data'!$D$6:$D$4825,$A48,'Diags Raw Data'!$M$6:$M$4825,"Legacy")</f>
        <v>303</v>
      </c>
      <c r="D48" s="242">
        <f>SUMIFS('Diags Raw Data'!$K$6:$K$4825,'Diags Raw Data'!$D$6:$D$4825,$A48,'Diags Raw Data'!$M$6:$M$4825,"Legacy")</f>
        <v>29</v>
      </c>
      <c r="E48" s="242">
        <f>SUMIFS('Diags Raw Data'!$O$6:$O$4825,'Diags Raw Data'!$D$6:$D$4825,$A48,'Diags Raw Data'!$M$6:$M$4825,"Legacy")</f>
        <v>303</v>
      </c>
      <c r="F48" s="248">
        <f t="shared" ref="F48:F51" si="54">IF(NOT($B48=0), E48/$B48, "---")</f>
        <v>1</v>
      </c>
      <c r="G48" s="230">
        <f>SUMIFS('Diags Raw Data'!$S$6:$S$4825,'Diags Raw Data'!$D$6:$D$4825,$A48,'Diags Raw Data'!$M$6:$M$4825,"Legacy")</f>
        <v>0</v>
      </c>
      <c r="H48" s="226">
        <f>SUMIFS('Diags Raw Data'!$T$6:$T$4825,'Diags Raw Data'!$D$6:$D$4825,$A48,'Diags Raw Data'!$M$6:$M$4825,"Legacy")</f>
        <v>0</v>
      </c>
      <c r="I48" s="227">
        <f>SUMIFS('Diags Raw Data'!$U$6:$U$4825,'Diags Raw Data'!$D$6:$D$4825,$A48,'Diags Raw Data'!$M$6:$M$4825,"Legacy")</f>
        <v>0</v>
      </c>
      <c r="J48" s="226">
        <f>SUMIFS('Diags Raw Data'!$V$6:$V$4825,'Diags Raw Data'!$D$6:$D$4825,$A48,'Diags Raw Data'!$M$6:$M$4825,"Legacy")</f>
        <v>0</v>
      </c>
      <c r="K48" s="227">
        <f>SUMIFS('Diags Raw Data'!$W$6:$W$4825,'Diags Raw Data'!$D$6:$D$4825,$A48,'Diags Raw Data'!$M$6:$M$4825,"Legacy")</f>
        <v>0</v>
      </c>
      <c r="L48" s="243">
        <f t="shared" ref="L48:L51" si="55">IF(NOT($C48=0), G48/$C48, "---")</f>
        <v>0</v>
      </c>
      <c r="M48" s="228" t="str">
        <f t="shared" ref="M48:M51" si="56">IF(NOT($G48=0), (H48+I48)/$G48, "---")</f>
        <v>---</v>
      </c>
      <c r="N48" s="237">
        <f t="shared" ref="N48:N51" si="57">IF(NOT($C48=0), (H48+I48)/$C48, "---")</f>
        <v>0</v>
      </c>
      <c r="O48" s="213">
        <v>0</v>
      </c>
      <c r="P48" s="203">
        <f>SUMIFS('Diags Raw Data'!$AA$6:$AA$4825,'Diags Raw Data'!$D$6:$D$4825,$A48,'Diags Raw Data'!$M$6:$M$4825,"Legacy")</f>
        <v>0</v>
      </c>
      <c r="Q48" s="205">
        <f>SUMIFS('Diags Raw Data'!$AB$6:$AB$4825,'Diags Raw Data'!$D$6:$D$4825,$A48,'Diags Raw Data'!$M$6:$M$4825,"Legacy")</f>
        <v>0</v>
      </c>
      <c r="R48" s="203">
        <f>SUMIFS('Diags Raw Data'!$AC$6:$AC$4825,'Diags Raw Data'!$D$6:$D$4825,$A48,'Diags Raw Data'!$M$6:$M$4825,"Legacy")</f>
        <v>0</v>
      </c>
      <c r="S48" s="205">
        <f>SUMIFS('Diags Raw Data'!$AD$6:$AD$4825,'Diags Raw Data'!$D$6:$D$4825,$A48,'Diags Raw Data'!$M$6:$M$4825,"Legacy")</f>
        <v>0</v>
      </c>
      <c r="T48" s="204">
        <f t="shared" ref="T48:T51" si="58">IF(NOT($B48=0), O48/$B48, "---")</f>
        <v>0</v>
      </c>
      <c r="U48" s="229" t="str">
        <f t="shared" ref="U48:U51" si="59">IF(NOT($O48=0), (P48+Q48)/$O48, "---")</f>
        <v>---</v>
      </c>
      <c r="V48" s="231">
        <f t="shared" ref="V48:V51" si="60">IF(NOT($B48=0), (P48+Q48)/$B48, "---")</f>
        <v>0</v>
      </c>
    </row>
    <row r="49" spans="1:22" x14ac:dyDescent="0.25">
      <c r="A49" s="333" t="s">
        <v>552</v>
      </c>
      <c r="B49" s="252">
        <f>SUMIFS('Diags Raw Data'!$L$6:$L$4825,'Diags Raw Data'!$D$6:$D$4825,$A49,'Diags Raw Data'!$M$6:$M$4825,"Legacy")</f>
        <v>3</v>
      </c>
      <c r="C49" s="242">
        <f>SUMIFS('Diags Raw Data'!$R$6:$R$4825,'Diags Raw Data'!$D$6:$D$4825,$A49,'Diags Raw Data'!$M$6:$M$4825,"Legacy")</f>
        <v>3</v>
      </c>
      <c r="D49" s="242">
        <f>SUMIFS('Diags Raw Data'!$K$6:$K$4825,'Diags Raw Data'!$D$6:$D$4825,$A49,'Diags Raw Data'!$M$6:$M$4825,"Legacy")</f>
        <v>1</v>
      </c>
      <c r="E49" s="242">
        <f>SUMIFS('Diags Raw Data'!$O$6:$O$4825,'Diags Raw Data'!$D$6:$D$4825,$A49,'Diags Raw Data'!$M$6:$M$4825,"Legacy")</f>
        <v>3</v>
      </c>
      <c r="F49" s="248">
        <f t="shared" si="54"/>
        <v>1</v>
      </c>
      <c r="G49" s="230">
        <f>SUMIFS('Diags Raw Data'!$S$6:$S$4825,'Diags Raw Data'!$D$6:$D$4825,$A49,'Diags Raw Data'!$M$6:$M$4825,"Legacy")</f>
        <v>0</v>
      </c>
      <c r="H49" s="226">
        <f>SUMIFS('Diags Raw Data'!$T$6:$T$4825,'Diags Raw Data'!$D$6:$D$4825,$A49,'Diags Raw Data'!$M$6:$M$4825,"Legacy")</f>
        <v>0</v>
      </c>
      <c r="I49" s="227">
        <f>SUMIFS('Diags Raw Data'!$U$6:$U$4825,'Diags Raw Data'!$D$6:$D$4825,$A49,'Diags Raw Data'!$M$6:$M$4825,"Legacy")</f>
        <v>0</v>
      </c>
      <c r="J49" s="226">
        <f>SUMIFS('Diags Raw Data'!$V$6:$V$4825,'Diags Raw Data'!$D$6:$D$4825,$A49,'Diags Raw Data'!$M$6:$M$4825,"Legacy")</f>
        <v>0</v>
      </c>
      <c r="K49" s="227">
        <f>SUMIFS('Diags Raw Data'!$W$6:$W$4825,'Diags Raw Data'!$D$6:$D$4825,$A49,'Diags Raw Data'!$M$6:$M$4825,"Legacy")</f>
        <v>0</v>
      </c>
      <c r="L49" s="243">
        <f t="shared" si="55"/>
        <v>0</v>
      </c>
      <c r="M49" s="228" t="str">
        <f t="shared" si="56"/>
        <v>---</v>
      </c>
      <c r="N49" s="237">
        <f t="shared" si="57"/>
        <v>0</v>
      </c>
      <c r="O49" s="213">
        <v>0</v>
      </c>
      <c r="P49" s="203">
        <f>SUMIFS('Diags Raw Data'!$AA$6:$AA$4825,'Diags Raw Data'!$D$6:$D$4825,$A49,'Diags Raw Data'!$M$6:$M$4825,"Legacy")</f>
        <v>0</v>
      </c>
      <c r="Q49" s="205">
        <f>SUMIFS('Diags Raw Data'!$AB$6:$AB$4825,'Diags Raw Data'!$D$6:$D$4825,$A49,'Diags Raw Data'!$M$6:$M$4825,"Legacy")</f>
        <v>0</v>
      </c>
      <c r="R49" s="203">
        <f>SUMIFS('Diags Raw Data'!$AC$6:$AC$4825,'Diags Raw Data'!$D$6:$D$4825,$A49,'Diags Raw Data'!$M$6:$M$4825,"Legacy")</f>
        <v>0</v>
      </c>
      <c r="S49" s="205">
        <f>SUMIFS('Diags Raw Data'!$AD$6:$AD$4825,'Diags Raw Data'!$D$6:$D$4825,$A49,'Diags Raw Data'!$M$6:$M$4825,"Legacy")</f>
        <v>0</v>
      </c>
      <c r="T49" s="204">
        <f t="shared" si="58"/>
        <v>0</v>
      </c>
      <c r="U49" s="229" t="str">
        <f t="shared" si="59"/>
        <v>---</v>
      </c>
      <c r="V49" s="231">
        <f t="shared" si="60"/>
        <v>0</v>
      </c>
    </row>
    <row r="50" spans="1:22" x14ac:dyDescent="0.25">
      <c r="A50" s="333" t="s">
        <v>842</v>
      </c>
      <c r="B50" s="252">
        <f>SUMIFS('Diags Raw Data'!$L$6:$L$4825,'Diags Raw Data'!$D$6:$D$4825,$A50,'Diags Raw Data'!$M$6:$M$4825,"Legacy")</f>
        <v>4</v>
      </c>
      <c r="C50" s="242">
        <f>SUMIFS('Diags Raw Data'!$R$6:$R$4825,'Diags Raw Data'!$D$6:$D$4825,$A50,'Diags Raw Data'!$M$6:$M$4825,"Legacy")</f>
        <v>4</v>
      </c>
      <c r="D50" s="242">
        <f>SUMIFS('Diags Raw Data'!$K$6:$K$4825,'Diags Raw Data'!$D$6:$D$4825,$A50,'Diags Raw Data'!$M$6:$M$4825,"Legacy")</f>
        <v>2</v>
      </c>
      <c r="E50" s="242">
        <f>SUMIFS('Diags Raw Data'!$O$6:$O$4825,'Diags Raw Data'!$D$6:$D$4825,$A50,'Diags Raw Data'!$M$6:$M$4825,"Legacy")</f>
        <v>4</v>
      </c>
      <c r="F50" s="248">
        <f t="shared" si="54"/>
        <v>1</v>
      </c>
      <c r="G50" s="230">
        <f>SUMIFS('Diags Raw Data'!$S$6:$S$4825,'Diags Raw Data'!$D$6:$D$4825,$A50,'Diags Raw Data'!$M$6:$M$4825,"Legacy")</f>
        <v>0</v>
      </c>
      <c r="H50" s="226">
        <f>SUMIFS('Diags Raw Data'!$T$6:$T$4825,'Diags Raw Data'!$D$6:$D$4825,$A50,'Diags Raw Data'!$M$6:$M$4825,"Legacy")</f>
        <v>0</v>
      </c>
      <c r="I50" s="227">
        <f>SUMIFS('Diags Raw Data'!$U$6:$U$4825,'Diags Raw Data'!$D$6:$D$4825,$A50,'Diags Raw Data'!$M$6:$M$4825,"Legacy")</f>
        <v>0</v>
      </c>
      <c r="J50" s="226">
        <f>SUMIFS('Diags Raw Data'!$V$6:$V$4825,'Diags Raw Data'!$D$6:$D$4825,$A50,'Diags Raw Data'!$M$6:$M$4825,"Legacy")</f>
        <v>0</v>
      </c>
      <c r="K50" s="227">
        <f>SUMIFS('Diags Raw Data'!$W$6:$W$4825,'Diags Raw Data'!$D$6:$D$4825,$A50,'Diags Raw Data'!$M$6:$M$4825,"Legacy")</f>
        <v>0</v>
      </c>
      <c r="L50" s="243">
        <f t="shared" si="55"/>
        <v>0</v>
      </c>
      <c r="M50" s="228" t="str">
        <f t="shared" si="56"/>
        <v>---</v>
      </c>
      <c r="N50" s="237">
        <f t="shared" si="57"/>
        <v>0</v>
      </c>
      <c r="O50" s="213">
        <v>0</v>
      </c>
      <c r="P50" s="203">
        <f>SUMIFS('Diags Raw Data'!$AA$6:$AA$4825,'Diags Raw Data'!$D$6:$D$4825,$A50,'Diags Raw Data'!$M$6:$M$4825,"Legacy")</f>
        <v>0</v>
      </c>
      <c r="Q50" s="205">
        <f>SUMIFS('Diags Raw Data'!$AB$6:$AB$4825,'Diags Raw Data'!$D$6:$D$4825,$A50,'Diags Raw Data'!$M$6:$M$4825,"Legacy")</f>
        <v>0</v>
      </c>
      <c r="R50" s="203">
        <f>SUMIFS('Diags Raw Data'!$AC$6:$AC$4825,'Diags Raw Data'!$D$6:$D$4825,$A50,'Diags Raw Data'!$M$6:$M$4825,"Legacy")</f>
        <v>0</v>
      </c>
      <c r="S50" s="205">
        <f>SUMIFS('Diags Raw Data'!$AD$6:$AD$4825,'Diags Raw Data'!$D$6:$D$4825,$A50,'Diags Raw Data'!$M$6:$M$4825,"Legacy")</f>
        <v>0</v>
      </c>
      <c r="T50" s="204">
        <f t="shared" si="58"/>
        <v>0</v>
      </c>
      <c r="U50" s="229" t="str">
        <f t="shared" si="59"/>
        <v>---</v>
      </c>
      <c r="V50" s="231">
        <f t="shared" si="60"/>
        <v>0</v>
      </c>
    </row>
    <row r="51" spans="1:22" x14ac:dyDescent="0.25">
      <c r="A51" s="333" t="s">
        <v>851</v>
      </c>
      <c r="B51" s="252">
        <f>SUMIFS('Diags Raw Data'!$L$6:$L$4825,'Diags Raw Data'!$D$6:$D$4825,$A51,'Diags Raw Data'!$M$6:$M$4825,"Legacy")</f>
        <v>0</v>
      </c>
      <c r="C51" s="242">
        <f>SUMIFS('Diags Raw Data'!$R$6:$R$4825,'Diags Raw Data'!$D$6:$D$4825,$A51,'Diags Raw Data'!$M$6:$M$4825,"Legacy")</f>
        <v>0</v>
      </c>
      <c r="D51" s="242">
        <f>SUMIFS('Diags Raw Data'!$K$6:$K$4825,'Diags Raw Data'!$D$6:$D$4825,$A51,'Diags Raw Data'!$M$6:$M$4825,"Legacy")</f>
        <v>0</v>
      </c>
      <c r="E51" s="242">
        <f>SUMIFS('Diags Raw Data'!$O$6:$O$4825,'Diags Raw Data'!$D$6:$D$4825,$A51,'Diags Raw Data'!$M$6:$M$4825,"Legacy")</f>
        <v>0</v>
      </c>
      <c r="F51" s="248" t="str">
        <f t="shared" si="54"/>
        <v>---</v>
      </c>
      <c r="G51" s="230">
        <f>SUMIFS('Diags Raw Data'!$S$6:$S$4825,'Diags Raw Data'!$D$6:$D$4825,$A51,'Diags Raw Data'!$M$6:$M$4825,"Legacy")</f>
        <v>0</v>
      </c>
      <c r="H51" s="226">
        <f>SUMIFS('Diags Raw Data'!$T$6:$T$4825,'Diags Raw Data'!$D$6:$D$4825,$A51,'Diags Raw Data'!$M$6:$M$4825,"Legacy")</f>
        <v>0</v>
      </c>
      <c r="I51" s="227">
        <f>SUMIFS('Diags Raw Data'!$U$6:$U$4825,'Diags Raw Data'!$D$6:$D$4825,$A51,'Diags Raw Data'!$M$6:$M$4825,"Legacy")</f>
        <v>0</v>
      </c>
      <c r="J51" s="226">
        <f>SUMIFS('Diags Raw Data'!$V$6:$V$4825,'Diags Raw Data'!$D$6:$D$4825,$A51,'Diags Raw Data'!$M$6:$M$4825,"Legacy")</f>
        <v>0</v>
      </c>
      <c r="K51" s="227">
        <f>SUMIFS('Diags Raw Data'!$W$6:$W$4825,'Diags Raw Data'!$D$6:$D$4825,$A51,'Diags Raw Data'!$M$6:$M$4825,"Legacy")</f>
        <v>0</v>
      </c>
      <c r="L51" s="243" t="str">
        <f t="shared" si="55"/>
        <v>---</v>
      </c>
      <c r="M51" s="228" t="str">
        <f t="shared" si="56"/>
        <v>---</v>
      </c>
      <c r="N51" s="237" t="str">
        <f t="shared" si="57"/>
        <v>---</v>
      </c>
      <c r="O51" s="213">
        <f>SUMIFS('Diags Raw Data'!$Z$6:$Z$4825,'Diags Raw Data'!$D$6:$D$4825,$A51,'Diags Raw Data'!$M$6:$M$4825,"Legacy")</f>
        <v>0</v>
      </c>
      <c r="P51" s="203">
        <f>SUMIFS('Diags Raw Data'!$AA$6:$AA$4825,'Diags Raw Data'!$D$6:$D$4825,$A51,'Diags Raw Data'!$M$6:$M$4825,"Legacy")</f>
        <v>0</v>
      </c>
      <c r="Q51" s="205">
        <f>SUMIFS('Diags Raw Data'!$AB$6:$AB$4825,'Diags Raw Data'!$D$6:$D$4825,$A51,'Diags Raw Data'!$M$6:$M$4825,"Legacy")</f>
        <v>0</v>
      </c>
      <c r="R51" s="203">
        <f>SUMIFS('Diags Raw Data'!$AC$6:$AC$4825,'Diags Raw Data'!$D$6:$D$4825,$A51,'Diags Raw Data'!$M$6:$M$4825,"Legacy")</f>
        <v>0</v>
      </c>
      <c r="S51" s="205">
        <f>SUMIFS('Diags Raw Data'!$AD$6:$AD$4825,'Diags Raw Data'!$D$6:$D$4825,$A51,'Diags Raw Data'!$M$6:$M$4825,"Legacy")</f>
        <v>0</v>
      </c>
      <c r="T51" s="204" t="str">
        <f t="shared" si="58"/>
        <v>---</v>
      </c>
      <c r="U51" s="229" t="str">
        <f t="shared" si="59"/>
        <v>---</v>
      </c>
      <c r="V51" s="231" t="str">
        <f t="shared" si="60"/>
        <v>---</v>
      </c>
    </row>
    <row r="52" spans="1:22" x14ac:dyDescent="0.25">
      <c r="A52" s="333" t="s">
        <v>515</v>
      </c>
      <c r="B52" s="252">
        <f>SUMIFS('Diags Raw Data'!$L$6:$L$4825,'Diags Raw Data'!$D$6:$D$4825,$A52,'Diags Raw Data'!$M$6:$M$4825,"Legacy")</f>
        <v>124</v>
      </c>
      <c r="C52" s="242">
        <f>SUMIFS('Diags Raw Data'!$R$6:$R$4825,'Diags Raw Data'!$D$6:$D$4825,$A52,'Diags Raw Data'!$M$6:$M$4825,"Legacy")</f>
        <v>124</v>
      </c>
      <c r="D52" s="242">
        <f>SUMIFS('Diags Raw Data'!$K$6:$K$4825,'Diags Raw Data'!$D$6:$D$4825,$A52,'Diags Raw Data'!$M$6:$M$4825,"Legacy")</f>
        <v>14</v>
      </c>
      <c r="E52" s="242">
        <f>SUMIFS('Diags Raw Data'!$O$6:$O$4825,'Diags Raw Data'!$D$6:$D$4825,$A52,'Diags Raw Data'!$M$6:$M$4825,"Legacy")</f>
        <v>124</v>
      </c>
      <c r="F52" s="248">
        <f t="shared" si="47"/>
        <v>1</v>
      </c>
      <c r="G52" s="230">
        <f>SUMIFS('Diags Raw Data'!$S$6:$S$4825,'Diags Raw Data'!$D$6:$D$4825,$A52,'Diags Raw Data'!$M$6:$M$4825,"Legacy")</f>
        <v>0</v>
      </c>
      <c r="H52" s="226">
        <f>SUMIFS('Diags Raw Data'!$T$6:$T$4825,'Diags Raw Data'!$D$6:$D$4825,$A52,'Diags Raw Data'!$M$6:$M$4825,"Legacy")</f>
        <v>0</v>
      </c>
      <c r="I52" s="227">
        <f>SUMIFS('Diags Raw Data'!$U$6:$U$4825,'Diags Raw Data'!$D$6:$D$4825,$A52,'Diags Raw Data'!$M$6:$M$4825,"Legacy")</f>
        <v>0</v>
      </c>
      <c r="J52" s="226">
        <f>SUMIFS('Diags Raw Data'!$V$6:$V$4825,'Diags Raw Data'!$D$6:$D$4825,$A52,'Diags Raw Data'!$M$6:$M$4825,"Legacy")</f>
        <v>0</v>
      </c>
      <c r="K52" s="227">
        <f>SUMIFS('Diags Raw Data'!$W$6:$W$4825,'Diags Raw Data'!$D$6:$D$4825,$A52,'Diags Raw Data'!$M$6:$M$4825,"Legacy")</f>
        <v>0</v>
      </c>
      <c r="L52" s="243">
        <f t="shared" si="48"/>
        <v>0</v>
      </c>
      <c r="M52" s="228" t="str">
        <f t="shared" si="49"/>
        <v>---</v>
      </c>
      <c r="N52" s="237">
        <f t="shared" si="50"/>
        <v>0</v>
      </c>
      <c r="O52" s="212">
        <v>0</v>
      </c>
      <c r="P52" s="203">
        <f>SUMIFS('Diags Raw Data'!$AA$6:$AA$4825,'Diags Raw Data'!$D$6:$D$4825,$A52,'Diags Raw Data'!$M$6:$M$4825,"Legacy")</f>
        <v>0</v>
      </c>
      <c r="Q52" s="205">
        <f>SUMIFS('Diags Raw Data'!$AB$6:$AB$4825,'Diags Raw Data'!$D$6:$D$4825,$A52,'Diags Raw Data'!$M$6:$M$4825,"Legacy")</f>
        <v>0</v>
      </c>
      <c r="R52" s="203">
        <f>SUMIFS('Diags Raw Data'!$AC$6:$AC$4825,'Diags Raw Data'!$D$6:$D$4825,$A52,'Diags Raw Data'!$M$6:$M$4825,"Legacy")</f>
        <v>0</v>
      </c>
      <c r="S52" s="205">
        <f>SUMIFS('Diags Raw Data'!$AD$6:$AD$4825,'Diags Raw Data'!$D$6:$D$4825,$A52,'Diags Raw Data'!$M$6:$M$4825,"Legacy")</f>
        <v>0</v>
      </c>
      <c r="T52" s="204">
        <f t="shared" si="51"/>
        <v>0</v>
      </c>
      <c r="U52" s="229" t="str">
        <f t="shared" si="52"/>
        <v>---</v>
      </c>
      <c r="V52" s="231">
        <f t="shared" si="53"/>
        <v>0</v>
      </c>
    </row>
    <row r="53" spans="1:22" x14ac:dyDescent="0.25">
      <c r="A53" s="333" t="s">
        <v>473</v>
      </c>
      <c r="B53" s="252">
        <f>SUMIFS('Diags Raw Data'!$L$6:$L$4825,'Diags Raw Data'!$D$6:$D$4825,$A53,'Diags Raw Data'!$M$6:$M$4825,"Legacy")</f>
        <v>37</v>
      </c>
      <c r="C53" s="242">
        <f>SUMIFS('Diags Raw Data'!$R$6:$R$4825,'Diags Raw Data'!$D$6:$D$4825,$A53,'Diags Raw Data'!$M$6:$M$4825,"Legacy")</f>
        <v>37</v>
      </c>
      <c r="D53" s="242">
        <f>SUMIFS('Diags Raw Data'!$K$6:$K$4825,'Diags Raw Data'!$D$6:$D$4825,$A53,'Diags Raw Data'!$M$6:$M$4825,"Legacy")</f>
        <v>9</v>
      </c>
      <c r="E53" s="242">
        <f>SUMIFS('Diags Raw Data'!$O$6:$O$4825,'Diags Raw Data'!$D$6:$D$4825,$A53,'Diags Raw Data'!$M$6:$M$4825,"Legacy")</f>
        <v>37</v>
      </c>
      <c r="F53" s="248">
        <f t="shared" si="47"/>
        <v>1</v>
      </c>
      <c r="G53" s="230">
        <f>SUMIFS('Diags Raw Data'!$S$6:$S$4825,'Diags Raw Data'!$D$6:$D$4825,$A53,'Diags Raw Data'!$M$6:$M$4825,"Legacy")</f>
        <v>0</v>
      </c>
      <c r="H53" s="226">
        <f>SUMIFS('Diags Raw Data'!$T$6:$T$4825,'Diags Raw Data'!$D$6:$D$4825,$A53,'Diags Raw Data'!$M$6:$M$4825,"Legacy")</f>
        <v>0</v>
      </c>
      <c r="I53" s="227">
        <f>SUMIFS('Diags Raw Data'!$U$6:$U$4825,'Diags Raw Data'!$D$6:$D$4825,$A53,'Diags Raw Data'!$M$6:$M$4825,"Legacy")</f>
        <v>0</v>
      </c>
      <c r="J53" s="226">
        <f>SUMIFS('Diags Raw Data'!$V$6:$V$4825,'Diags Raw Data'!$D$6:$D$4825,$A53,'Diags Raw Data'!$M$6:$M$4825,"Legacy")</f>
        <v>0</v>
      </c>
      <c r="K53" s="227">
        <f>SUMIFS('Diags Raw Data'!$W$6:$W$4825,'Diags Raw Data'!$D$6:$D$4825,$A53,'Diags Raw Data'!$M$6:$M$4825,"Legacy")</f>
        <v>0</v>
      </c>
      <c r="L53" s="243">
        <f t="shared" si="48"/>
        <v>0</v>
      </c>
      <c r="M53" s="228" t="str">
        <f t="shared" si="49"/>
        <v>---</v>
      </c>
      <c r="N53" s="237">
        <f t="shared" si="50"/>
        <v>0</v>
      </c>
      <c r="O53" s="213">
        <v>0</v>
      </c>
      <c r="P53" s="203">
        <f>SUMIFS('Diags Raw Data'!$AA$6:$AA$4825,'Diags Raw Data'!$D$6:$D$4825,$A53,'Diags Raw Data'!$M$6:$M$4825,"Legacy")</f>
        <v>0</v>
      </c>
      <c r="Q53" s="205">
        <f>SUMIFS('Diags Raw Data'!$AB$6:$AB$4825,'Diags Raw Data'!$D$6:$D$4825,$A53,'Diags Raw Data'!$M$6:$M$4825,"Legacy")</f>
        <v>0</v>
      </c>
      <c r="R53" s="203">
        <f>SUMIFS('Diags Raw Data'!$AC$6:$AC$4825,'Diags Raw Data'!$D$6:$D$4825,$A53,'Diags Raw Data'!$M$6:$M$4825,"Legacy")</f>
        <v>0</v>
      </c>
      <c r="S53" s="205">
        <f>SUMIFS('Diags Raw Data'!$AD$6:$AD$4825,'Diags Raw Data'!$D$6:$D$4825,$A53,'Diags Raw Data'!$M$6:$M$4825,"Legacy")</f>
        <v>0</v>
      </c>
      <c r="T53" s="204">
        <f t="shared" si="51"/>
        <v>0</v>
      </c>
      <c r="U53" s="229" t="str">
        <f t="shared" si="52"/>
        <v>---</v>
      </c>
      <c r="V53" s="231">
        <f t="shared" si="53"/>
        <v>0</v>
      </c>
    </row>
    <row r="54" spans="1:22" x14ac:dyDescent="0.25">
      <c r="A54" s="333" t="s">
        <v>557</v>
      </c>
      <c r="B54" s="252">
        <f>SUMIFS('Diags Raw Data'!$L$6:$L$4825,'Diags Raw Data'!$D$6:$D$4825,$A54,'Diags Raw Data'!$M$6:$M$4825,"Legacy")</f>
        <v>73</v>
      </c>
      <c r="C54" s="242">
        <f>SUMIFS('Diags Raw Data'!$R$6:$R$4825,'Diags Raw Data'!$D$6:$D$4825,$A54,'Diags Raw Data'!$M$6:$M$4825,"Legacy")</f>
        <v>79</v>
      </c>
      <c r="D54" s="242">
        <f>SUMIFS('Diags Raw Data'!$K$6:$K$4825,'Diags Raw Data'!$D$6:$D$4825,$A54,'Diags Raw Data'!$M$6:$M$4825,"Legacy")</f>
        <v>6</v>
      </c>
      <c r="E54" s="242">
        <f>SUMIFS('Diags Raw Data'!$O$6:$O$4825,'Diags Raw Data'!$D$6:$D$4825,$A54,'Diags Raw Data'!$M$6:$M$4825,"Legacy")</f>
        <v>73</v>
      </c>
      <c r="F54" s="248">
        <f t="shared" si="47"/>
        <v>1</v>
      </c>
      <c r="G54" s="230">
        <f>SUMIFS('Diags Raw Data'!$S$6:$S$4825,'Diags Raw Data'!$D$6:$D$4825,$A54,'Diags Raw Data'!$M$6:$M$4825,"Legacy")</f>
        <v>0</v>
      </c>
      <c r="H54" s="226">
        <f>SUMIFS('Diags Raw Data'!$T$6:$T$4825,'Diags Raw Data'!$D$6:$D$4825,$A54,'Diags Raw Data'!$M$6:$M$4825,"Legacy")</f>
        <v>0</v>
      </c>
      <c r="I54" s="227">
        <f>SUMIFS('Diags Raw Data'!$U$6:$U$4825,'Diags Raw Data'!$D$6:$D$4825,$A54,'Diags Raw Data'!$M$6:$M$4825,"Legacy")</f>
        <v>0</v>
      </c>
      <c r="J54" s="226">
        <f>SUMIFS('Diags Raw Data'!$V$6:$V$4825,'Diags Raw Data'!$D$6:$D$4825,$A54,'Diags Raw Data'!$M$6:$M$4825,"Legacy")</f>
        <v>0</v>
      </c>
      <c r="K54" s="227">
        <f>SUMIFS('Diags Raw Data'!$W$6:$W$4825,'Diags Raw Data'!$D$6:$D$4825,$A54,'Diags Raw Data'!$M$6:$M$4825,"Legacy")</f>
        <v>0</v>
      </c>
      <c r="L54" s="243">
        <f t="shared" si="48"/>
        <v>0</v>
      </c>
      <c r="M54" s="228" t="str">
        <f t="shared" si="49"/>
        <v>---</v>
      </c>
      <c r="N54" s="237">
        <f t="shared" si="50"/>
        <v>0</v>
      </c>
      <c r="O54" s="213">
        <v>0</v>
      </c>
      <c r="P54" s="203">
        <f>SUMIFS('Diags Raw Data'!$AA$6:$AA$4825,'Diags Raw Data'!$D$6:$D$4825,$A54,'Diags Raw Data'!$M$6:$M$4825,"Legacy")</f>
        <v>0</v>
      </c>
      <c r="Q54" s="205">
        <f>SUMIFS('Diags Raw Data'!$AB$6:$AB$4825,'Diags Raw Data'!$D$6:$D$4825,$A54,'Diags Raw Data'!$M$6:$M$4825,"Legacy")</f>
        <v>0</v>
      </c>
      <c r="R54" s="203">
        <f>SUMIFS('Diags Raw Data'!$AC$6:$AC$4825,'Diags Raw Data'!$D$6:$D$4825,$A54,'Diags Raw Data'!$M$6:$M$4825,"Legacy")</f>
        <v>0</v>
      </c>
      <c r="S54" s="205">
        <f>SUMIFS('Diags Raw Data'!$AD$6:$AD$4825,'Diags Raw Data'!$D$6:$D$4825,$A54,'Diags Raw Data'!$M$6:$M$4825,"Legacy")</f>
        <v>0</v>
      </c>
      <c r="T54" s="204">
        <f t="shared" si="51"/>
        <v>0</v>
      </c>
      <c r="U54" s="229" t="str">
        <f t="shared" si="52"/>
        <v>---</v>
      </c>
      <c r="V54" s="231">
        <f t="shared" si="53"/>
        <v>0</v>
      </c>
    </row>
    <row r="55" spans="1:22" x14ac:dyDescent="0.25">
      <c r="A55" s="333" t="s">
        <v>916</v>
      </c>
      <c r="B55" s="252">
        <f>SUMIFS('Diags Raw Data'!$L$6:$L$4825,'Diags Raw Data'!$D$6:$D$4825,$A55,'Diags Raw Data'!$M$6:$M$4825,"Legacy")</f>
        <v>0</v>
      </c>
      <c r="C55" s="242">
        <f>SUMIFS('Diags Raw Data'!$R$6:$R$4825,'Diags Raw Data'!$D$6:$D$4825,$A55,'Diags Raw Data'!$M$6:$M$4825,"Legacy")</f>
        <v>0</v>
      </c>
      <c r="D55" s="242">
        <f>SUMIFS('Diags Raw Data'!$K$6:$K$4825,'Diags Raw Data'!$D$6:$D$4825,$A55,'Diags Raw Data'!$M$6:$M$4825,"Legacy")</f>
        <v>0</v>
      </c>
      <c r="E55" s="242">
        <f>SUMIFS('Diags Raw Data'!$O$6:$O$4825,'Diags Raw Data'!$D$6:$D$4825,$A55,'Diags Raw Data'!$M$6:$M$4825,"Legacy")</f>
        <v>0</v>
      </c>
      <c r="F55" s="248" t="str">
        <f t="shared" ref="F55" si="61">IF(NOT($B55=0), E55/$B55, "---")</f>
        <v>---</v>
      </c>
      <c r="G55" s="230">
        <f>SUMIFS('Diags Raw Data'!$S$6:$S$4825,'Diags Raw Data'!$D$6:$D$4825,$A55,'Diags Raw Data'!$M$6:$M$4825,"Legacy")</f>
        <v>0</v>
      </c>
      <c r="H55" s="226">
        <f>SUMIFS('Diags Raw Data'!$T$6:$T$4825,'Diags Raw Data'!$D$6:$D$4825,$A55,'Diags Raw Data'!$M$6:$M$4825,"Legacy")</f>
        <v>0</v>
      </c>
      <c r="I55" s="227">
        <f>SUMIFS('Diags Raw Data'!$U$6:$U$4825,'Diags Raw Data'!$D$6:$D$4825,$A55,'Diags Raw Data'!$M$6:$M$4825,"Legacy")</f>
        <v>0</v>
      </c>
      <c r="J55" s="226">
        <f>SUMIFS('Diags Raw Data'!$V$6:$V$4825,'Diags Raw Data'!$D$6:$D$4825,$A55,'Diags Raw Data'!$M$6:$M$4825,"Legacy")</f>
        <v>0</v>
      </c>
      <c r="K55" s="227">
        <f>SUMIFS('Diags Raw Data'!$W$6:$W$4825,'Diags Raw Data'!$D$6:$D$4825,$A55,'Diags Raw Data'!$M$6:$M$4825,"Legacy")</f>
        <v>0</v>
      </c>
      <c r="L55" s="243" t="str">
        <f t="shared" ref="L55" si="62">IF(NOT($C55=0), G55/$C55, "---")</f>
        <v>---</v>
      </c>
      <c r="M55" s="228" t="str">
        <f t="shared" ref="M55" si="63">IF(NOT($G55=0), (H55+I55)/$G55, "---")</f>
        <v>---</v>
      </c>
      <c r="N55" s="237" t="str">
        <f t="shared" ref="N55" si="64">IF(NOT($C55=0), (H55+I55)/$C55, "---")</f>
        <v>---</v>
      </c>
      <c r="O55" s="213">
        <v>0</v>
      </c>
      <c r="P55" s="203">
        <f>SUMIFS('Diags Raw Data'!$AA$6:$AA$4825,'Diags Raw Data'!$D$6:$D$4825,$A55,'Diags Raw Data'!$M$6:$M$4825,"Legacy")</f>
        <v>0</v>
      </c>
      <c r="Q55" s="205">
        <f>SUMIFS('Diags Raw Data'!$AB$6:$AB$4825,'Diags Raw Data'!$D$6:$D$4825,$A55,'Diags Raw Data'!$M$6:$M$4825,"Legacy")</f>
        <v>0</v>
      </c>
      <c r="R55" s="203">
        <f>SUMIFS('Diags Raw Data'!$AC$6:$AC$4825,'Diags Raw Data'!$D$6:$D$4825,$A55,'Diags Raw Data'!$M$6:$M$4825,"Legacy")</f>
        <v>0</v>
      </c>
      <c r="S55" s="205">
        <f>SUMIFS('Diags Raw Data'!$AD$6:$AD$4825,'Diags Raw Data'!$D$6:$D$4825,$A55,'Diags Raw Data'!$M$6:$M$4825,"Legacy")</f>
        <v>0</v>
      </c>
      <c r="T55" s="204" t="str">
        <f t="shared" ref="T55" si="65">IF(NOT($B55=0), O55/$B55, "---")</f>
        <v>---</v>
      </c>
      <c r="U55" s="229" t="str">
        <f t="shared" ref="U55" si="66">IF(NOT($O55=0), (P55+Q55)/$O55, "---")</f>
        <v>---</v>
      </c>
      <c r="V55" s="231" t="str">
        <f t="shared" ref="V55" si="67">IF(NOT($B55=0), (P55+Q55)/$B55, "---")</f>
        <v>---</v>
      </c>
    </row>
    <row r="56" spans="1:22" ht="15.75" thickBot="1" x14ac:dyDescent="0.3">
      <c r="A56" s="334" t="s">
        <v>572</v>
      </c>
      <c r="B56" s="253">
        <f>SUMIFS('Diags Raw Data'!$L$6:$L$4825,'Diags Raw Data'!$D$6:$D$4825,$A56,'Diags Raw Data'!$M$6:$M$4825,"Legacy")</f>
        <v>892</v>
      </c>
      <c r="C56" s="244">
        <f>SUMIFS('Diags Raw Data'!$R$6:$R$4825,'Diags Raw Data'!$D$6:$D$4825,$A56,'Diags Raw Data'!$M$6:$M$4825,"Legacy")</f>
        <v>892</v>
      </c>
      <c r="D56" s="244">
        <f>SUMIFS('Diags Raw Data'!$K$6:$K$4825,'Diags Raw Data'!$D$6:$D$4825,$A56,'Diags Raw Data'!$M$6:$M$4825,"Legacy")</f>
        <v>19</v>
      </c>
      <c r="E56" s="244">
        <f>SUMIFS('Diags Raw Data'!$O$6:$O$4825,'Diags Raw Data'!$D$6:$D$4825,$A56,'Diags Raw Data'!$M$6:$M$4825,"Legacy")</f>
        <v>892</v>
      </c>
      <c r="F56" s="249">
        <f t="shared" si="47"/>
        <v>1</v>
      </c>
      <c r="G56" s="232">
        <f>SUMIFS('Diags Raw Data'!$S$6:$S$4825,'Diags Raw Data'!$D$6:$D$4825,$A56,'Diags Raw Data'!$M$6:$M$4825,"Legacy")</f>
        <v>0</v>
      </c>
      <c r="H56" s="233">
        <f>SUMIFS('Diags Raw Data'!$T$6:$T$4825,'Diags Raw Data'!$D$6:$D$4825,$A56,'Diags Raw Data'!$M$6:$M$4825,"Legacy")</f>
        <v>0</v>
      </c>
      <c r="I56" s="234">
        <f>SUMIFS('Diags Raw Data'!$U$6:$U$4825,'Diags Raw Data'!$D$6:$D$4825,$A56,'Diags Raw Data'!$M$6:$M$4825,"Legacy")</f>
        <v>0</v>
      </c>
      <c r="J56" s="233">
        <f>SUMIFS('Diags Raw Data'!$V$6:$V$4825,'Diags Raw Data'!$D$6:$D$4825,$A56,'Diags Raw Data'!$M$6:$M$4825,"Legacy")</f>
        <v>0</v>
      </c>
      <c r="K56" s="234">
        <f>SUMIFS('Diags Raw Data'!$W$6:$W$4825,'Diags Raw Data'!$D$6:$D$4825,$A56,'Diags Raw Data'!$M$6:$M$4825,"Legacy")</f>
        <v>0</v>
      </c>
      <c r="L56" s="245">
        <f t="shared" si="48"/>
        <v>0</v>
      </c>
      <c r="M56" s="235" t="str">
        <f t="shared" si="49"/>
        <v>---</v>
      </c>
      <c r="N56" s="238">
        <f t="shared" si="50"/>
        <v>0</v>
      </c>
      <c r="O56" s="213">
        <v>0</v>
      </c>
      <c r="P56" s="206">
        <f>SUMIFS('Diags Raw Data'!$AA$6:$AA$4825,'Diags Raw Data'!$D$6:$D$4825,$A56,'Diags Raw Data'!$M$6:$M$4825,"Legacy")</f>
        <v>0</v>
      </c>
      <c r="Q56" s="208">
        <f>SUMIFS('Diags Raw Data'!$AB$6:$AB$4825,'Diags Raw Data'!$D$6:$D$4825,$A56,'Diags Raw Data'!$M$6:$M$4825,"Legacy")</f>
        <v>0</v>
      </c>
      <c r="R56" s="206">
        <f>SUMIFS('Diags Raw Data'!$AC$6:$AC$4825,'Diags Raw Data'!$D$6:$D$4825,$A56,'Diags Raw Data'!$M$6:$M$4825,"Legacy")</f>
        <v>0</v>
      </c>
      <c r="S56" s="208">
        <f>SUMIFS('Diags Raw Data'!$AD$6:$AD$4825,'Diags Raw Data'!$D$6:$D$4825,$A56,'Diags Raw Data'!$M$6:$M$4825,"Legacy")</f>
        <v>0</v>
      </c>
      <c r="T56" s="207">
        <f t="shared" si="51"/>
        <v>0</v>
      </c>
      <c r="U56" s="239" t="str">
        <f t="shared" si="52"/>
        <v>---</v>
      </c>
      <c r="V56" s="236">
        <f t="shared" si="53"/>
        <v>0</v>
      </c>
    </row>
    <row r="57" spans="1:22" ht="16.5" thickBot="1" x14ac:dyDescent="0.3">
      <c r="A57" s="271" t="s">
        <v>1132</v>
      </c>
      <c r="B57" s="256">
        <f>SUM(B42:B56)</f>
        <v>3201</v>
      </c>
      <c r="C57" s="257">
        <f>SUM(C42:C56)</f>
        <v>2952</v>
      </c>
      <c r="D57" s="257">
        <f>SUM(D42:D56)</f>
        <v>265</v>
      </c>
      <c r="E57" s="257">
        <f>SUM(E42:E56)</f>
        <v>3201</v>
      </c>
      <c r="F57" s="258" cm="1">
        <f t="array" ref="F57">SUMPRODUCT(--(ISNUMBER(SEARCH("Legacy",'Diags Raw Data'!$M$6:$M$4825))),'Diags Raw Data'!$K$6:$K$4825,'Diags Raw Data'!$P$6:$P$4825)/D57</f>
        <v>1</v>
      </c>
      <c r="G57" s="259">
        <f>SUM(G42:G56)</f>
        <v>0</v>
      </c>
      <c r="H57" s="260">
        <f>SUM(H42:H56)</f>
        <v>0</v>
      </c>
      <c r="I57" s="261">
        <f>SUM(I42:I56)</f>
        <v>0</v>
      </c>
      <c r="J57" s="260">
        <f>SUM(J42:J56)</f>
        <v>0</v>
      </c>
      <c r="K57" s="261">
        <f>SUM(K42:K56)</f>
        <v>0</v>
      </c>
      <c r="L57" s="262">
        <f>IF(NOT($C57=0), G57/$C57, "---")</f>
        <v>0</v>
      </c>
      <c r="M57" s="263" t="str">
        <f t="shared" si="49"/>
        <v>---</v>
      </c>
      <c r="N57" s="264">
        <f t="shared" si="50"/>
        <v>0</v>
      </c>
      <c r="O57" s="265">
        <f>SUM(O42:O56)</f>
        <v>0</v>
      </c>
      <c r="P57" s="266">
        <f>SUM(P42:P56)</f>
        <v>0</v>
      </c>
      <c r="Q57" s="267">
        <f>SUM(Q42:Q56)</f>
        <v>0</v>
      </c>
      <c r="R57" s="266">
        <f>SUM(R42:R56)</f>
        <v>0</v>
      </c>
      <c r="S57" s="267">
        <f>SUM(S42:S56)</f>
        <v>0</v>
      </c>
      <c r="T57" s="268">
        <f>IF(NOT($B57=0), O57/$B57, "---")</f>
        <v>0</v>
      </c>
      <c r="U57" s="269" t="str">
        <f t="shared" si="52"/>
        <v>---</v>
      </c>
      <c r="V57" s="270">
        <f>IF(NOT($B57=0), (P57+Q57)/$B57, "---")</f>
        <v>0</v>
      </c>
    </row>
    <row r="58" spans="1:22" x14ac:dyDescent="0.25">
      <c r="A58" s="246"/>
      <c r="B58" s="246"/>
      <c r="C58" s="246"/>
      <c r="D58" s="246"/>
      <c r="E58" s="246"/>
      <c r="F58" s="246"/>
      <c r="G58" s="246"/>
      <c r="H58" s="246"/>
      <c r="I58" s="246"/>
      <c r="J58" s="246"/>
      <c r="K58" s="246"/>
      <c r="L58" s="246"/>
      <c r="M58" s="246"/>
      <c r="N58" s="246"/>
      <c r="O58" s="246"/>
      <c r="P58" s="246"/>
      <c r="Q58" s="246"/>
      <c r="R58" s="246"/>
      <c r="S58" s="246"/>
      <c r="T58" s="246"/>
      <c r="U58" s="246"/>
      <c r="V58" s="246"/>
    </row>
    <row r="60" spans="1:22" x14ac:dyDescent="0.25">
      <c r="F60" s="130"/>
    </row>
    <row r="63" spans="1:22" x14ac:dyDescent="0.25">
      <c r="F63" s="410"/>
    </row>
    <row r="64" spans="1:22" x14ac:dyDescent="0.25">
      <c r="F64" s="409"/>
    </row>
    <row r="65" spans="6:6" x14ac:dyDescent="0.25">
      <c r="F65" s="409"/>
    </row>
  </sheetData>
  <mergeCells count="10">
    <mergeCell ref="A1:V1"/>
    <mergeCell ref="B21:F21"/>
    <mergeCell ref="B40:F40"/>
    <mergeCell ref="G40:N40"/>
    <mergeCell ref="O40:V40"/>
    <mergeCell ref="G21:N21"/>
    <mergeCell ref="O21:V21"/>
    <mergeCell ref="B2:F2"/>
    <mergeCell ref="G2:N2"/>
    <mergeCell ref="O2:V2"/>
  </mergeCells>
  <phoneticPr fontId="30" type="noConversion"/>
  <conditionalFormatting sqref="F4:F18">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3:F3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42:F56">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8">
    <cfRule type="colorScale" priority="10">
      <colorScale>
        <cfvo type="percent" val="0"/>
        <cfvo type="percent" val="50"/>
        <cfvo type="percent" val="100"/>
        <color rgb="FFF8696B"/>
        <color rgb="FFFFEB84"/>
        <color rgb="FF63BE7B"/>
      </colorScale>
    </cfRule>
  </conditionalFormatting>
  <conditionalFormatting sqref="L23:L37 N23:N3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42:L56">
    <cfRule type="colorScale" priority="49">
      <colorScale>
        <cfvo type="percent" val="0"/>
        <cfvo type="percent" val="50"/>
        <cfvo type="percent" val="100"/>
        <color rgb="FFF8696B"/>
        <color rgb="FFFFEB84"/>
        <color rgb="FF63BE7B"/>
      </colorScale>
    </cfRule>
  </conditionalFormatting>
  <conditionalFormatting sqref="L4:N18">
    <cfRule type="colorScale" priority="2">
      <colorScale>
        <cfvo type="percent" val="0"/>
        <cfvo type="percent" val="50"/>
        <cfvo type="percent" val="100"/>
        <color rgb="FFF8696B"/>
        <color rgb="FFFFEB84"/>
        <color rgb="FF63BE7B"/>
      </colorScale>
    </cfRule>
  </conditionalFormatting>
  <conditionalFormatting sqref="L23:N37">
    <cfRule type="colorScale" priority="23">
      <colorScale>
        <cfvo type="percent" val="0"/>
        <cfvo type="percentile" val="50"/>
        <cfvo type="percent" val="100"/>
        <color rgb="FFF8696B"/>
        <color rgb="FFFFEB84"/>
        <color rgb="FF63BE7B"/>
      </colorScale>
    </cfRule>
  </conditionalFormatting>
  <conditionalFormatting sqref="L42:N56">
    <cfRule type="colorScale" priority="21">
      <colorScale>
        <cfvo type="percent" val="0"/>
        <cfvo type="percent" val="50"/>
        <cfvo type="percent" val="100"/>
        <color rgb="FFF8696B"/>
        <color rgb="FFFFEB84"/>
        <color rgb="FF63BE7B"/>
      </colorScale>
    </cfRule>
  </conditionalFormatting>
  <conditionalFormatting sqref="M4:M18">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23:M3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2:M56">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8">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42:N56">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8">
    <cfRule type="colorScale" priority="9">
      <colorScale>
        <cfvo type="percent" val="0"/>
        <cfvo type="percent" val="50"/>
        <cfvo type="percent" val="100"/>
        <color rgb="FFF8696B"/>
        <color rgb="FFFFEB84"/>
        <color rgb="FF63BE7B"/>
      </colorScale>
    </cfRule>
  </conditionalFormatting>
  <conditionalFormatting sqref="T23:T37 V23:V37">
    <cfRule type="colorScale" priority="50">
      <colorScale>
        <cfvo type="percent" val="0"/>
        <cfvo type="percent" val="50"/>
        <cfvo type="percent" val="100"/>
        <color rgb="FFF8696B"/>
        <color rgb="FFFFEB84"/>
        <color rgb="FF63BE7B"/>
      </colorScale>
    </cfRule>
  </conditionalFormatting>
  <conditionalFormatting sqref="T42:T56">
    <cfRule type="colorScale" priority="48">
      <colorScale>
        <cfvo type="percent" val="0"/>
        <cfvo type="percent" val="50"/>
        <cfvo type="percent" val="100"/>
        <color rgb="FFF8696B"/>
        <color rgb="FFFFEB84"/>
        <color rgb="FF63BE7B"/>
      </colorScale>
    </cfRule>
  </conditionalFormatting>
  <conditionalFormatting sqref="T4:V18">
    <cfRule type="colorScale" priority="1">
      <colorScale>
        <cfvo type="percent" val="0"/>
        <cfvo type="percent" val="50"/>
        <cfvo type="percent" val="100"/>
        <color rgb="FFF8696B"/>
        <color rgb="FFFFEB84"/>
        <color rgb="FF63BE7B"/>
      </colorScale>
    </cfRule>
  </conditionalFormatting>
  <conditionalFormatting sqref="T23:V37">
    <cfRule type="colorScale" priority="22">
      <colorScale>
        <cfvo type="percent" val="0"/>
        <cfvo type="percent" val="50"/>
        <cfvo type="percent" val="100"/>
        <color rgb="FFF8696B"/>
        <color rgb="FFFFEB84"/>
        <color rgb="FF63BE7B"/>
      </colorScale>
    </cfRule>
  </conditionalFormatting>
  <conditionalFormatting sqref="T42:V56">
    <cfRule type="colorScale" priority="20">
      <colorScale>
        <cfvo type="percent" val="0"/>
        <cfvo type="percent" val="50"/>
        <cfvo type="percent" val="100"/>
        <color rgb="FFF8696B"/>
        <color rgb="FFFFEB84"/>
        <color rgb="FF63BE7B"/>
      </colorScale>
    </cfRule>
  </conditionalFormatting>
  <conditionalFormatting sqref="U4:U18">
    <cfRule type="colorScale" priority="6">
      <colorScale>
        <cfvo type="percent" val="0"/>
        <cfvo type="percent" val="50"/>
        <cfvo type="percent" val="100"/>
        <color rgb="FFF8696B"/>
        <color rgb="FFFFEB84"/>
        <color rgb="FF63BE7B"/>
      </colorScale>
    </cfRule>
  </conditionalFormatting>
  <conditionalFormatting sqref="U23:U37">
    <cfRule type="colorScale" priority="40">
      <colorScale>
        <cfvo type="percent" val="0"/>
        <cfvo type="percent" val="50"/>
        <cfvo type="percent" val="100"/>
        <color rgb="FFF8696B"/>
        <color rgb="FFFFEB84"/>
        <color rgb="FF63BE7B"/>
      </colorScale>
    </cfRule>
  </conditionalFormatting>
  <conditionalFormatting sqref="U42:U56">
    <cfRule type="colorScale" priority="31">
      <colorScale>
        <cfvo type="percent" val="0"/>
        <cfvo type="percent" val="50"/>
        <cfvo type="percent" val="100"/>
        <color rgb="FFF8696B"/>
        <color rgb="FFFFEB84"/>
        <color rgb="FF63BE7B"/>
      </colorScale>
    </cfRule>
  </conditionalFormatting>
  <conditionalFormatting sqref="V4:V18">
    <cfRule type="colorScale" priority="3">
      <colorScale>
        <cfvo type="percent" val="0"/>
        <cfvo type="percent" val="50"/>
        <cfvo type="percent" val="100"/>
        <color rgb="FFF8696B"/>
        <color rgb="FFFFEB84"/>
        <color rgb="FF63BE7B"/>
      </colorScale>
    </cfRule>
  </conditionalFormatting>
  <conditionalFormatting sqref="V42:V56">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filterMode="1"/>
  <dimension ref="A1:I141"/>
  <sheetViews>
    <sheetView workbookViewId="0">
      <pane ySplit="2" topLeftCell="A50" activePane="bottomLeft" state="frozen"/>
      <selection pane="bottomLeft" activeCell="A68" sqref="A68:XFD68"/>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784" t="s">
        <v>1133</v>
      </c>
      <c r="B1" s="785"/>
      <c r="C1" s="785"/>
      <c r="D1" s="785"/>
      <c r="E1" s="785"/>
      <c r="F1" s="785"/>
      <c r="G1" s="785"/>
      <c r="H1" s="785"/>
      <c r="I1" s="786"/>
    </row>
    <row r="2" spans="1:9" s="79" customFormat="1" ht="15.75" thickBot="1" x14ac:dyDescent="0.3">
      <c r="A2" s="404" t="s">
        <v>77</v>
      </c>
      <c r="B2" s="405" t="s">
        <v>81</v>
      </c>
      <c r="C2" s="406" t="s">
        <v>96</v>
      </c>
      <c r="D2" s="406" t="s">
        <v>202</v>
      </c>
      <c r="E2" s="407" t="s">
        <v>1</v>
      </c>
    </row>
    <row r="3" spans="1:9" ht="15.75" thickBot="1" x14ac:dyDescent="0.3">
      <c r="A3" s="335" t="s">
        <v>932</v>
      </c>
      <c r="B3" s="336" t="s">
        <v>933</v>
      </c>
      <c r="C3" s="522" t="s">
        <v>280</v>
      </c>
      <c r="D3" s="522" t="s">
        <v>34</v>
      </c>
      <c r="E3" s="525" t="s">
        <v>44</v>
      </c>
      <c r="G3" s="289" t="s">
        <v>77</v>
      </c>
      <c r="H3" s="290" t="s">
        <v>1134</v>
      </c>
      <c r="I3" s="518">
        <f>COUNTA(A3:A3998)</f>
        <v>139</v>
      </c>
    </row>
    <row r="4" spans="1:9" ht="15.75" thickBot="1" x14ac:dyDescent="0.3">
      <c r="A4" s="337" t="s">
        <v>935</v>
      </c>
      <c r="B4" s="338" t="s">
        <v>936</v>
      </c>
      <c r="C4" s="523" t="s">
        <v>280</v>
      </c>
      <c r="D4" s="522" t="s">
        <v>34</v>
      </c>
      <c r="E4" s="526" t="s">
        <v>44</v>
      </c>
      <c r="G4" s="776" t="s">
        <v>96</v>
      </c>
      <c r="H4" s="291" t="s">
        <v>1135</v>
      </c>
      <c r="I4" s="519">
        <f>COUNTIFS($C3:$C3998,"P1")</f>
        <v>1</v>
      </c>
    </row>
    <row r="5" spans="1:9" ht="15.75" thickBot="1" x14ac:dyDescent="0.3">
      <c r="A5" s="337" t="s">
        <v>937</v>
      </c>
      <c r="B5" s="338" t="s">
        <v>938</v>
      </c>
      <c r="C5" s="523" t="s">
        <v>280</v>
      </c>
      <c r="D5" s="522" t="s">
        <v>34</v>
      </c>
      <c r="E5" s="526" t="s">
        <v>39</v>
      </c>
      <c r="G5" s="777"/>
      <c r="H5" s="292" t="s">
        <v>1136</v>
      </c>
      <c r="I5" s="520">
        <f>COUNTIFS($C3:$C3998,"P2")</f>
        <v>138</v>
      </c>
    </row>
    <row r="6" spans="1:9" ht="15.75" thickBot="1" x14ac:dyDescent="0.3">
      <c r="A6" s="337" t="s">
        <v>940</v>
      </c>
      <c r="B6" s="338" t="s">
        <v>941</v>
      </c>
      <c r="C6" s="523" t="s">
        <v>280</v>
      </c>
      <c r="D6" s="522" t="s">
        <v>34</v>
      </c>
      <c r="E6" s="526" t="s">
        <v>39</v>
      </c>
      <c r="G6" s="778"/>
      <c r="H6" s="293" t="s">
        <v>1137</v>
      </c>
      <c r="I6" s="521">
        <f>COUNTIFS($C3:$C3998,"P3")</f>
        <v>0</v>
      </c>
    </row>
    <row r="7" spans="1:9" ht="15.75" thickBot="1" x14ac:dyDescent="0.3">
      <c r="A7" s="337" t="s">
        <v>942</v>
      </c>
      <c r="B7" s="338" t="s">
        <v>943</v>
      </c>
      <c r="C7" s="523" t="s">
        <v>280</v>
      </c>
      <c r="D7" s="522" t="s">
        <v>34</v>
      </c>
      <c r="E7" s="526" t="s">
        <v>39</v>
      </c>
      <c r="G7" s="779" t="s">
        <v>202</v>
      </c>
      <c r="H7" s="291" t="s">
        <v>1138</v>
      </c>
      <c r="I7" s="519">
        <f>COUNTIFS($D3:$D3998,"Diagnostics")</f>
        <v>121</v>
      </c>
    </row>
    <row r="8" spans="1:9" x14ac:dyDescent="0.25">
      <c r="A8" s="337" t="s">
        <v>945</v>
      </c>
      <c r="B8" s="338" t="s">
        <v>946</v>
      </c>
      <c r="C8" s="523" t="s">
        <v>280</v>
      </c>
      <c r="D8" s="522" t="s">
        <v>34</v>
      </c>
      <c r="E8" s="526" t="s">
        <v>44</v>
      </c>
      <c r="G8" s="780"/>
      <c r="H8" s="292" t="s">
        <v>1139</v>
      </c>
      <c r="I8" s="520">
        <f>COUNTIFS($D3:$D3998,"Driver")</f>
        <v>10</v>
      </c>
    </row>
    <row r="9" spans="1:9" x14ac:dyDescent="0.25">
      <c r="A9" s="337" t="s">
        <v>1140</v>
      </c>
      <c r="B9" s="338" t="s">
        <v>1141</v>
      </c>
      <c r="C9" s="523" t="s">
        <v>280</v>
      </c>
      <c r="D9" s="523" t="s">
        <v>45</v>
      </c>
      <c r="E9" s="526" t="s">
        <v>33</v>
      </c>
      <c r="G9" s="780"/>
      <c r="H9" s="292" t="s">
        <v>1142</v>
      </c>
      <c r="I9" s="520">
        <f>COUNTIFS($D3:$D3998,"IPSE")</f>
        <v>7</v>
      </c>
    </row>
    <row r="10" spans="1:9" ht="15.75" thickBot="1" x14ac:dyDescent="0.3">
      <c r="A10" s="337" t="s">
        <v>1143</v>
      </c>
      <c r="B10" s="338" t="s">
        <v>1144</v>
      </c>
      <c r="C10" s="523" t="s">
        <v>280</v>
      </c>
      <c r="D10" s="523" t="s">
        <v>45</v>
      </c>
      <c r="E10" s="526" t="s">
        <v>33</v>
      </c>
      <c r="G10" s="781"/>
      <c r="H10" s="293" t="s">
        <v>1145</v>
      </c>
      <c r="I10" s="521">
        <f>COUNTIFS($D3:$D3998,"N/A")</f>
        <v>1</v>
      </c>
    </row>
    <row r="11" spans="1:9" x14ac:dyDescent="0.25">
      <c r="A11" s="337" t="s">
        <v>340</v>
      </c>
      <c r="B11" s="338" t="s">
        <v>947</v>
      </c>
      <c r="C11" s="523" t="s">
        <v>280</v>
      </c>
      <c r="D11" s="523" t="s">
        <v>34</v>
      </c>
      <c r="E11" s="526" t="s">
        <v>33</v>
      </c>
      <c r="G11" s="779" t="s">
        <v>1</v>
      </c>
      <c r="H11" s="291" t="s">
        <v>1146</v>
      </c>
      <c r="I11" s="519">
        <f>COUNTIFS($E3:$E3998,"Legacy")</f>
        <v>130</v>
      </c>
    </row>
    <row r="12" spans="1:9" x14ac:dyDescent="0.25">
      <c r="A12" s="337" t="s">
        <v>506</v>
      </c>
      <c r="B12" s="338" t="s">
        <v>508</v>
      </c>
      <c r="C12" s="523" t="s">
        <v>280</v>
      </c>
      <c r="D12" s="523" t="s">
        <v>40</v>
      </c>
      <c r="E12" s="526" t="s">
        <v>33</v>
      </c>
      <c r="G12" s="780"/>
      <c r="H12" s="292" t="s">
        <v>1147</v>
      </c>
      <c r="I12" s="520">
        <f>COUNTIFS($E3:$E3998,"Delta")</f>
        <v>6</v>
      </c>
    </row>
    <row r="13" spans="1:9" ht="15.75" thickBot="1" x14ac:dyDescent="0.3">
      <c r="A13" s="337" t="s">
        <v>1148</v>
      </c>
      <c r="B13" s="338" t="s">
        <v>1149</v>
      </c>
      <c r="C13" s="523" t="s">
        <v>280</v>
      </c>
      <c r="D13" s="523" t="s">
        <v>40</v>
      </c>
      <c r="E13" s="526" t="s">
        <v>33</v>
      </c>
      <c r="G13" s="781"/>
      <c r="H13" s="293" t="s">
        <v>1150</v>
      </c>
      <c r="I13" s="521">
        <f>COUNTIFS($E3:$E3998,"New")</f>
        <v>3</v>
      </c>
    </row>
    <row r="14" spans="1:9" ht="15.75" thickBot="1" x14ac:dyDescent="0.3">
      <c r="A14" s="337" t="s">
        <v>1151</v>
      </c>
      <c r="B14" s="338" t="s">
        <v>1152</v>
      </c>
      <c r="C14" s="523" t="s">
        <v>280</v>
      </c>
      <c r="D14" s="523" t="s">
        <v>40</v>
      </c>
      <c r="E14" s="526" t="s">
        <v>33</v>
      </c>
      <c r="G14" s="408" t="s">
        <v>207</v>
      </c>
      <c r="H14" s="782"/>
      <c r="I14" s="783"/>
    </row>
    <row r="15" spans="1:9" x14ac:dyDescent="0.25">
      <c r="A15" s="337" t="s">
        <v>1153</v>
      </c>
      <c r="B15" s="338" t="s">
        <v>1154</v>
      </c>
      <c r="C15" s="523" t="s">
        <v>280</v>
      </c>
      <c r="D15" s="523" t="s">
        <v>40</v>
      </c>
      <c r="E15" s="526" t="s">
        <v>33</v>
      </c>
    </row>
    <row r="16" spans="1:9" x14ac:dyDescent="0.25">
      <c r="A16" s="337" t="s">
        <v>949</v>
      </c>
      <c r="B16" s="338" t="s">
        <v>950</v>
      </c>
      <c r="C16" s="523" t="s">
        <v>280</v>
      </c>
      <c r="D16" s="523" t="s">
        <v>45</v>
      </c>
      <c r="E16" s="526" t="s">
        <v>33</v>
      </c>
    </row>
    <row r="17" spans="1:5" x14ac:dyDescent="0.25">
      <c r="A17" s="337" t="s">
        <v>951</v>
      </c>
      <c r="B17" s="338" t="s">
        <v>952</v>
      </c>
      <c r="C17" s="523" t="s">
        <v>280</v>
      </c>
      <c r="D17" s="523" t="s">
        <v>40</v>
      </c>
      <c r="E17" s="526" t="s">
        <v>33</v>
      </c>
    </row>
    <row r="18" spans="1:5" x14ac:dyDescent="0.25">
      <c r="A18" s="337" t="s">
        <v>953</v>
      </c>
      <c r="B18" s="338" t="s">
        <v>954</v>
      </c>
      <c r="C18" s="523" t="s">
        <v>280</v>
      </c>
      <c r="D18" s="523" t="s">
        <v>45</v>
      </c>
      <c r="E18" s="526" t="s">
        <v>33</v>
      </c>
    </row>
    <row r="19" spans="1:5" x14ac:dyDescent="0.25">
      <c r="A19" s="337" t="s">
        <v>1155</v>
      </c>
      <c r="B19" s="338" t="s">
        <v>1156</v>
      </c>
      <c r="C19" s="523" t="s">
        <v>280</v>
      </c>
      <c r="D19" s="523" t="s">
        <v>45</v>
      </c>
      <c r="E19" s="526" t="s">
        <v>33</v>
      </c>
    </row>
    <row r="20" spans="1:5" x14ac:dyDescent="0.25">
      <c r="A20" s="337" t="s">
        <v>712</v>
      </c>
      <c r="B20" s="338" t="s">
        <v>955</v>
      </c>
      <c r="C20" s="523" t="s">
        <v>280</v>
      </c>
      <c r="D20" s="523" t="s">
        <v>45</v>
      </c>
      <c r="E20" s="526" t="s">
        <v>33</v>
      </c>
    </row>
    <row r="21" spans="1:5" x14ac:dyDescent="0.25">
      <c r="A21" s="337" t="s">
        <v>359</v>
      </c>
      <c r="B21" s="338" t="s">
        <v>957</v>
      </c>
      <c r="C21" s="523" t="s">
        <v>280</v>
      </c>
      <c r="D21" s="523" t="s">
        <v>34</v>
      </c>
      <c r="E21" s="526" t="s">
        <v>33</v>
      </c>
    </row>
    <row r="22" spans="1:5" x14ac:dyDescent="0.25">
      <c r="A22" s="337" t="s">
        <v>363</v>
      </c>
      <c r="B22" s="338" t="s">
        <v>958</v>
      </c>
      <c r="C22" s="523" t="s">
        <v>280</v>
      </c>
      <c r="D22" s="523" t="s">
        <v>34</v>
      </c>
      <c r="E22" s="526" t="s">
        <v>33</v>
      </c>
    </row>
    <row r="23" spans="1:5" x14ac:dyDescent="0.25">
      <c r="A23" s="337" t="s">
        <v>959</v>
      </c>
      <c r="B23" s="338" t="s">
        <v>960</v>
      </c>
      <c r="C23" s="523" t="s">
        <v>280</v>
      </c>
      <c r="D23" s="523" t="s">
        <v>34</v>
      </c>
      <c r="E23" s="526" t="s">
        <v>33</v>
      </c>
    </row>
    <row r="24" spans="1:5" x14ac:dyDescent="0.25">
      <c r="A24" s="337" t="s">
        <v>962</v>
      </c>
      <c r="B24" s="338" t="s">
        <v>963</v>
      </c>
      <c r="C24" s="523" t="s">
        <v>280</v>
      </c>
      <c r="D24" s="523" t="s">
        <v>34</v>
      </c>
      <c r="E24" s="526" t="s">
        <v>33</v>
      </c>
    </row>
    <row r="25" spans="1:5" x14ac:dyDescent="0.25">
      <c r="A25" s="337" t="s">
        <v>965</v>
      </c>
      <c r="B25" s="338" t="s">
        <v>966</v>
      </c>
      <c r="C25" s="523" t="s">
        <v>280</v>
      </c>
      <c r="D25" s="523" t="s">
        <v>34</v>
      </c>
      <c r="E25" s="526" t="s">
        <v>33</v>
      </c>
    </row>
    <row r="26" spans="1:5" x14ac:dyDescent="0.25">
      <c r="A26" s="337" t="s">
        <v>332</v>
      </c>
      <c r="B26" s="338" t="s">
        <v>967</v>
      </c>
      <c r="C26" s="523" t="s">
        <v>280</v>
      </c>
      <c r="D26" s="523" t="s">
        <v>34</v>
      </c>
      <c r="E26" s="526" t="s">
        <v>33</v>
      </c>
    </row>
    <row r="27" spans="1:5" x14ac:dyDescent="0.25">
      <c r="A27" s="337" t="s">
        <v>969</v>
      </c>
      <c r="B27" s="338" t="s">
        <v>970</v>
      </c>
      <c r="C27" s="523" t="s">
        <v>280</v>
      </c>
      <c r="D27" s="523" t="s">
        <v>34</v>
      </c>
      <c r="E27" s="526" t="s">
        <v>33</v>
      </c>
    </row>
    <row r="28" spans="1:5" x14ac:dyDescent="0.25">
      <c r="A28" s="337" t="s">
        <v>971</v>
      </c>
      <c r="B28" s="338" t="s">
        <v>972</v>
      </c>
      <c r="C28" s="523" t="s">
        <v>280</v>
      </c>
      <c r="D28" s="523" t="s">
        <v>34</v>
      </c>
      <c r="E28" s="526" t="s">
        <v>33</v>
      </c>
    </row>
    <row r="29" spans="1:5" x14ac:dyDescent="0.25">
      <c r="A29" s="337" t="s">
        <v>353</v>
      </c>
      <c r="B29" s="338" t="s">
        <v>973</v>
      </c>
      <c r="C29" s="523" t="s">
        <v>280</v>
      </c>
      <c r="D29" s="523" t="s">
        <v>47</v>
      </c>
      <c r="E29" s="526" t="s">
        <v>33</v>
      </c>
    </row>
    <row r="30" spans="1:5" x14ac:dyDescent="0.25">
      <c r="A30" s="337" t="s">
        <v>974</v>
      </c>
      <c r="B30" s="338" t="s">
        <v>975</v>
      </c>
      <c r="C30" s="523" t="s">
        <v>280</v>
      </c>
      <c r="D30" s="523" t="s">
        <v>34</v>
      </c>
      <c r="E30" s="526" t="s">
        <v>33</v>
      </c>
    </row>
    <row r="31" spans="1:5" x14ac:dyDescent="0.25">
      <c r="A31" s="337" t="s">
        <v>336</v>
      </c>
      <c r="B31" s="338" t="s">
        <v>976</v>
      </c>
      <c r="C31" s="523" t="s">
        <v>280</v>
      </c>
      <c r="D31" s="523" t="s">
        <v>34</v>
      </c>
      <c r="E31" s="526" t="s">
        <v>33</v>
      </c>
    </row>
    <row r="32" spans="1:5" x14ac:dyDescent="0.25">
      <c r="A32" s="337" t="s">
        <v>375</v>
      </c>
      <c r="B32" s="338" t="s">
        <v>977</v>
      </c>
      <c r="C32" s="523" t="s">
        <v>280</v>
      </c>
      <c r="D32" s="523" t="s">
        <v>34</v>
      </c>
      <c r="E32" s="526" t="s">
        <v>33</v>
      </c>
    </row>
    <row r="33" spans="1:5" x14ac:dyDescent="0.25">
      <c r="A33" s="337" t="s">
        <v>380</v>
      </c>
      <c r="B33" s="338" t="s">
        <v>978</v>
      </c>
      <c r="C33" s="523" t="s">
        <v>280</v>
      </c>
      <c r="D33" s="523" t="s">
        <v>34</v>
      </c>
      <c r="E33" s="526" t="s">
        <v>33</v>
      </c>
    </row>
    <row r="34" spans="1:5" x14ac:dyDescent="0.25">
      <c r="A34" s="337" t="s">
        <v>430</v>
      </c>
      <c r="B34" s="338" t="s">
        <v>979</v>
      </c>
      <c r="C34" s="523" t="s">
        <v>280</v>
      </c>
      <c r="D34" s="523" t="s">
        <v>34</v>
      </c>
      <c r="E34" s="526" t="s">
        <v>33</v>
      </c>
    </row>
    <row r="35" spans="1:5" x14ac:dyDescent="0.25">
      <c r="A35" s="337" t="s">
        <v>410</v>
      </c>
      <c r="B35" s="338" t="s">
        <v>980</v>
      </c>
      <c r="C35" s="523" t="s">
        <v>280</v>
      </c>
      <c r="D35" s="523" t="s">
        <v>34</v>
      </c>
      <c r="E35" s="526" t="s">
        <v>33</v>
      </c>
    </row>
    <row r="36" spans="1:5" x14ac:dyDescent="0.25">
      <c r="A36" s="337" t="s">
        <v>459</v>
      </c>
      <c r="B36" s="338" t="s">
        <v>981</v>
      </c>
      <c r="C36" s="523" t="s">
        <v>280</v>
      </c>
      <c r="D36" s="523" t="s">
        <v>34</v>
      </c>
      <c r="E36" s="526" t="s">
        <v>33</v>
      </c>
    </row>
    <row r="37" spans="1:5" x14ac:dyDescent="0.25">
      <c r="A37" s="337" t="s">
        <v>406</v>
      </c>
      <c r="B37" s="338" t="s">
        <v>982</v>
      </c>
      <c r="C37" s="523" t="s">
        <v>280</v>
      </c>
      <c r="D37" s="523" t="s">
        <v>34</v>
      </c>
      <c r="E37" s="526" t="s">
        <v>33</v>
      </c>
    </row>
    <row r="38" spans="1:5" x14ac:dyDescent="0.25">
      <c r="A38" s="337" t="s">
        <v>402</v>
      </c>
      <c r="B38" s="338" t="s">
        <v>983</v>
      </c>
      <c r="C38" s="523" t="s">
        <v>280</v>
      </c>
      <c r="D38" s="523" t="s">
        <v>34</v>
      </c>
      <c r="E38" s="526" t="s">
        <v>33</v>
      </c>
    </row>
    <row r="39" spans="1:5" x14ac:dyDescent="0.25">
      <c r="A39" s="337" t="s">
        <v>984</v>
      </c>
      <c r="B39" s="338" t="s">
        <v>985</v>
      </c>
      <c r="C39" s="523" t="s">
        <v>280</v>
      </c>
      <c r="D39" s="523" t="s">
        <v>34</v>
      </c>
      <c r="E39" s="526" t="s">
        <v>33</v>
      </c>
    </row>
    <row r="40" spans="1:5" x14ac:dyDescent="0.25">
      <c r="A40" s="337" t="s">
        <v>986</v>
      </c>
      <c r="B40" s="338" t="s">
        <v>987</v>
      </c>
      <c r="C40" s="523" t="s">
        <v>280</v>
      </c>
      <c r="D40" s="523" t="s">
        <v>34</v>
      </c>
      <c r="E40" s="526" t="s">
        <v>33</v>
      </c>
    </row>
    <row r="41" spans="1:5" x14ac:dyDescent="0.25">
      <c r="A41" s="337" t="s">
        <v>988</v>
      </c>
      <c r="B41" s="338" t="s">
        <v>989</v>
      </c>
      <c r="C41" s="523" t="s">
        <v>280</v>
      </c>
      <c r="D41" s="523" t="s">
        <v>34</v>
      </c>
      <c r="E41" s="526" t="s">
        <v>33</v>
      </c>
    </row>
    <row r="42" spans="1:5" x14ac:dyDescent="0.25">
      <c r="A42" s="337" t="s">
        <v>990</v>
      </c>
      <c r="B42" s="338" t="s">
        <v>991</v>
      </c>
      <c r="C42" s="523" t="s">
        <v>280</v>
      </c>
      <c r="D42" s="523" t="s">
        <v>34</v>
      </c>
      <c r="E42" s="526" t="s">
        <v>33</v>
      </c>
    </row>
    <row r="43" spans="1:5" x14ac:dyDescent="0.25">
      <c r="A43" s="337" t="s">
        <v>390</v>
      </c>
      <c r="B43" s="338" t="s">
        <v>992</v>
      </c>
      <c r="C43" s="523" t="s">
        <v>280</v>
      </c>
      <c r="D43" s="523" t="s">
        <v>34</v>
      </c>
      <c r="E43" s="526" t="s">
        <v>33</v>
      </c>
    </row>
    <row r="44" spans="1:5" x14ac:dyDescent="0.25">
      <c r="A44" s="337" t="s">
        <v>384</v>
      </c>
      <c r="B44" s="338" t="s">
        <v>993</v>
      </c>
      <c r="C44" s="523" t="s">
        <v>280</v>
      </c>
      <c r="D44" s="523" t="s">
        <v>34</v>
      </c>
      <c r="E44" s="526" t="s">
        <v>33</v>
      </c>
    </row>
    <row r="45" spans="1:5" x14ac:dyDescent="0.25">
      <c r="A45" s="337" t="s">
        <v>994</v>
      </c>
      <c r="B45" s="338" t="s">
        <v>995</v>
      </c>
      <c r="C45" s="523" t="s">
        <v>280</v>
      </c>
      <c r="D45" s="523" t="s">
        <v>34</v>
      </c>
      <c r="E45" s="526" t="s">
        <v>33</v>
      </c>
    </row>
    <row r="46" spans="1:5" x14ac:dyDescent="0.25">
      <c r="A46" s="337" t="s">
        <v>426</v>
      </c>
      <c r="B46" s="338" t="s">
        <v>996</v>
      </c>
      <c r="C46" s="523" t="s">
        <v>280</v>
      </c>
      <c r="D46" s="523" t="s">
        <v>34</v>
      </c>
      <c r="E46" s="526" t="s">
        <v>33</v>
      </c>
    </row>
    <row r="47" spans="1:5" x14ac:dyDescent="0.25">
      <c r="A47" s="337" t="s">
        <v>997</v>
      </c>
      <c r="B47" s="338" t="s">
        <v>998</v>
      </c>
      <c r="C47" s="523" t="s">
        <v>280</v>
      </c>
      <c r="D47" s="523" t="s">
        <v>34</v>
      </c>
      <c r="E47" s="526" t="s">
        <v>33</v>
      </c>
    </row>
    <row r="48" spans="1:5" x14ac:dyDescent="0.25">
      <c r="A48" s="337" t="s">
        <v>398</v>
      </c>
      <c r="B48" s="338" t="s">
        <v>999</v>
      </c>
      <c r="C48" s="523" t="s">
        <v>280</v>
      </c>
      <c r="D48" s="523" t="s">
        <v>34</v>
      </c>
      <c r="E48" s="526" t="s">
        <v>33</v>
      </c>
    </row>
    <row r="49" spans="1:5" x14ac:dyDescent="0.25">
      <c r="A49" s="337" t="s">
        <v>1000</v>
      </c>
      <c r="B49" s="338" t="s">
        <v>1001</v>
      </c>
      <c r="C49" s="523" t="s">
        <v>280</v>
      </c>
      <c r="D49" s="523" t="s">
        <v>34</v>
      </c>
      <c r="E49" s="526" t="s">
        <v>33</v>
      </c>
    </row>
    <row r="50" spans="1:5" x14ac:dyDescent="0.25">
      <c r="A50" s="337" t="s">
        <v>1002</v>
      </c>
      <c r="B50" s="338" t="s">
        <v>1003</v>
      </c>
      <c r="C50" s="523" t="s">
        <v>280</v>
      </c>
      <c r="D50" s="523" t="s">
        <v>34</v>
      </c>
      <c r="E50" s="526" t="s">
        <v>33</v>
      </c>
    </row>
    <row r="51" spans="1:5" x14ac:dyDescent="0.25">
      <c r="A51" s="337" t="s">
        <v>1004</v>
      </c>
      <c r="B51" s="338" t="s">
        <v>1005</v>
      </c>
      <c r="C51" s="523" t="s">
        <v>280</v>
      </c>
      <c r="D51" s="523" t="s">
        <v>34</v>
      </c>
      <c r="E51" s="526" t="s">
        <v>33</v>
      </c>
    </row>
    <row r="52" spans="1:5" x14ac:dyDescent="0.25">
      <c r="A52" s="337" t="s">
        <v>1006</v>
      </c>
      <c r="B52" s="338" t="s">
        <v>1007</v>
      </c>
      <c r="C52" s="523" t="s">
        <v>280</v>
      </c>
      <c r="D52" s="523" t="s">
        <v>34</v>
      </c>
      <c r="E52" s="526" t="s">
        <v>33</v>
      </c>
    </row>
    <row r="53" spans="1:5" x14ac:dyDescent="0.25">
      <c r="A53" s="337" t="s">
        <v>476</v>
      </c>
      <c r="B53" s="338" t="s">
        <v>1008</v>
      </c>
      <c r="C53" s="523" t="s">
        <v>280</v>
      </c>
      <c r="D53" s="523" t="s">
        <v>34</v>
      </c>
      <c r="E53" s="526" t="s">
        <v>33</v>
      </c>
    </row>
    <row r="54" spans="1:5" x14ac:dyDescent="0.25">
      <c r="A54" s="337" t="s">
        <v>1009</v>
      </c>
      <c r="B54" s="338" t="s">
        <v>1010</v>
      </c>
      <c r="C54" s="523" t="s">
        <v>280</v>
      </c>
      <c r="D54" s="523" t="s">
        <v>34</v>
      </c>
      <c r="E54" s="526" t="s">
        <v>33</v>
      </c>
    </row>
    <row r="55" spans="1:5" x14ac:dyDescent="0.25">
      <c r="A55" s="337" t="s">
        <v>484</v>
      </c>
      <c r="B55" s="338" t="s">
        <v>1011</v>
      </c>
      <c r="C55" s="523" t="s">
        <v>280</v>
      </c>
      <c r="D55" s="523" t="s">
        <v>34</v>
      </c>
      <c r="E55" s="526" t="s">
        <v>33</v>
      </c>
    </row>
    <row r="56" spans="1:5" x14ac:dyDescent="0.25">
      <c r="A56" s="337" t="s">
        <v>488</v>
      </c>
      <c r="B56" s="338" t="s">
        <v>1012</v>
      </c>
      <c r="C56" s="523" t="s">
        <v>280</v>
      </c>
      <c r="D56" s="523" t="s">
        <v>34</v>
      </c>
      <c r="E56" s="526" t="s">
        <v>33</v>
      </c>
    </row>
    <row r="57" spans="1:5" x14ac:dyDescent="0.25">
      <c r="A57" s="337" t="s">
        <v>764</v>
      </c>
      <c r="B57" s="338" t="s">
        <v>1013</v>
      </c>
      <c r="C57" s="523" t="s">
        <v>280</v>
      </c>
      <c r="D57" s="523" t="s">
        <v>34</v>
      </c>
      <c r="E57" s="526" t="s">
        <v>33</v>
      </c>
    </row>
    <row r="58" spans="1:5" x14ac:dyDescent="0.25">
      <c r="A58" s="337" t="s">
        <v>614</v>
      </c>
      <c r="B58" s="338" t="s">
        <v>1014</v>
      </c>
      <c r="C58" s="523" t="s">
        <v>280</v>
      </c>
      <c r="D58" s="523" t="s">
        <v>34</v>
      </c>
      <c r="E58" s="526" t="s">
        <v>33</v>
      </c>
    </row>
    <row r="59" spans="1:5" x14ac:dyDescent="0.25">
      <c r="A59" s="337" t="s">
        <v>513</v>
      </c>
      <c r="B59" s="338" t="s">
        <v>1015</v>
      </c>
      <c r="C59" s="523" t="s">
        <v>280</v>
      </c>
      <c r="D59" s="523" t="s">
        <v>34</v>
      </c>
      <c r="E59" s="526" t="s">
        <v>33</v>
      </c>
    </row>
    <row r="60" spans="1:5" x14ac:dyDescent="0.25">
      <c r="A60" s="337" t="s">
        <v>528</v>
      </c>
      <c r="B60" s="338" t="s">
        <v>1016</v>
      </c>
      <c r="C60" s="523" t="s">
        <v>280</v>
      </c>
      <c r="D60" s="523" t="s">
        <v>34</v>
      </c>
      <c r="E60" s="526" t="s">
        <v>33</v>
      </c>
    </row>
    <row r="61" spans="1:5" x14ac:dyDescent="0.25">
      <c r="A61" s="337" t="s">
        <v>534</v>
      </c>
      <c r="B61" s="338" t="s">
        <v>1017</v>
      </c>
      <c r="C61" s="523" t="s">
        <v>280</v>
      </c>
      <c r="D61" s="523" t="s">
        <v>34</v>
      </c>
      <c r="E61" s="526" t="s">
        <v>33</v>
      </c>
    </row>
    <row r="62" spans="1:5" x14ac:dyDescent="0.25">
      <c r="A62" s="337" t="s">
        <v>542</v>
      </c>
      <c r="B62" s="338" t="s">
        <v>1018</v>
      </c>
      <c r="C62" s="523" t="s">
        <v>280</v>
      </c>
      <c r="D62" s="523" t="s">
        <v>34</v>
      </c>
      <c r="E62" s="526" t="s">
        <v>33</v>
      </c>
    </row>
    <row r="63" spans="1:5" x14ac:dyDescent="0.25">
      <c r="A63" s="337" t="s">
        <v>1019</v>
      </c>
      <c r="B63" s="338" t="s">
        <v>1020</v>
      </c>
      <c r="C63" s="523" t="s">
        <v>280</v>
      </c>
      <c r="D63" s="523" t="s">
        <v>34</v>
      </c>
      <c r="E63" s="526" t="s">
        <v>33</v>
      </c>
    </row>
    <row r="64" spans="1:5" x14ac:dyDescent="0.25">
      <c r="A64" s="337" t="s">
        <v>1021</v>
      </c>
      <c r="B64" s="338" t="s">
        <v>1022</v>
      </c>
      <c r="C64" s="523" t="s">
        <v>280</v>
      </c>
      <c r="D64" s="523" t="s">
        <v>34</v>
      </c>
      <c r="E64" s="526" t="s">
        <v>33</v>
      </c>
    </row>
    <row r="65" spans="1:5" x14ac:dyDescent="0.25">
      <c r="A65" s="337" t="s">
        <v>1023</v>
      </c>
      <c r="B65" s="338" t="s">
        <v>1024</v>
      </c>
      <c r="C65" s="523" t="s">
        <v>280</v>
      </c>
      <c r="D65" s="523" t="s">
        <v>45</v>
      </c>
      <c r="E65" s="526" t="s">
        <v>33</v>
      </c>
    </row>
    <row r="66" spans="1:5" x14ac:dyDescent="0.25">
      <c r="A66" s="337" t="s">
        <v>1025</v>
      </c>
      <c r="B66" s="338" t="s">
        <v>1026</v>
      </c>
      <c r="C66" s="523" t="s">
        <v>280</v>
      </c>
      <c r="D66" s="523" t="s">
        <v>34</v>
      </c>
      <c r="E66" s="526" t="s">
        <v>33</v>
      </c>
    </row>
    <row r="67" spans="1:5" x14ac:dyDescent="0.25">
      <c r="A67" s="337" t="s">
        <v>1027</v>
      </c>
      <c r="B67" s="338" t="s">
        <v>1028</v>
      </c>
      <c r="C67" s="523" t="s">
        <v>280</v>
      </c>
      <c r="D67" s="523" t="s">
        <v>34</v>
      </c>
      <c r="E67" s="526" t="s">
        <v>33</v>
      </c>
    </row>
    <row r="68" spans="1:5" x14ac:dyDescent="0.25">
      <c r="A68" s="337" t="s">
        <v>1157</v>
      </c>
      <c r="B68" s="338" t="s">
        <v>1158</v>
      </c>
      <c r="C68" s="523" t="s">
        <v>280</v>
      </c>
      <c r="D68" s="523" t="s">
        <v>34</v>
      </c>
      <c r="E68" s="526" t="s">
        <v>33</v>
      </c>
    </row>
    <row r="69" spans="1:5" x14ac:dyDescent="0.25">
      <c r="A69" s="337" t="s">
        <v>555</v>
      </c>
      <c r="B69" s="338" t="s">
        <v>1029</v>
      </c>
      <c r="C69" s="523" t="s">
        <v>280</v>
      </c>
      <c r="D69" s="523" t="s">
        <v>34</v>
      </c>
      <c r="E69" s="526" t="s">
        <v>33</v>
      </c>
    </row>
    <row r="70" spans="1:5" x14ac:dyDescent="0.25">
      <c r="A70" s="337" t="s">
        <v>1030</v>
      </c>
      <c r="B70" s="338" t="s">
        <v>1031</v>
      </c>
      <c r="C70" s="523" t="s">
        <v>280</v>
      </c>
      <c r="D70" s="523" t="s">
        <v>34</v>
      </c>
      <c r="E70" s="526" t="s">
        <v>33</v>
      </c>
    </row>
    <row r="71" spans="1:5" x14ac:dyDescent="0.25">
      <c r="A71" s="337" t="s">
        <v>583</v>
      </c>
      <c r="B71" s="338" t="s">
        <v>1032</v>
      </c>
      <c r="C71" s="523" t="s">
        <v>280</v>
      </c>
      <c r="D71" s="523" t="s">
        <v>34</v>
      </c>
      <c r="E71" s="526" t="s">
        <v>33</v>
      </c>
    </row>
    <row r="72" spans="1:5" x14ac:dyDescent="0.25">
      <c r="A72" s="337" t="s">
        <v>720</v>
      </c>
      <c r="B72" s="338" t="s">
        <v>1033</v>
      </c>
      <c r="C72" s="523" t="s">
        <v>280</v>
      </c>
      <c r="D72" s="523" t="s">
        <v>34</v>
      </c>
      <c r="E72" s="526" t="s">
        <v>33</v>
      </c>
    </row>
    <row r="73" spans="1:5" x14ac:dyDescent="0.25">
      <c r="A73" s="337" t="s">
        <v>602</v>
      </c>
      <c r="B73" s="338" t="s">
        <v>1034</v>
      </c>
      <c r="C73" s="523" t="s">
        <v>280</v>
      </c>
      <c r="D73" s="523" t="s">
        <v>34</v>
      </c>
      <c r="E73" s="526" t="s">
        <v>33</v>
      </c>
    </row>
    <row r="74" spans="1:5" x14ac:dyDescent="0.25">
      <c r="A74" s="337" t="s">
        <v>1035</v>
      </c>
      <c r="B74" s="338" t="s">
        <v>1036</v>
      </c>
      <c r="C74" s="523" t="s">
        <v>280</v>
      </c>
      <c r="D74" s="523" t="s">
        <v>34</v>
      </c>
      <c r="E74" s="526" t="s">
        <v>33</v>
      </c>
    </row>
    <row r="75" spans="1:5" x14ac:dyDescent="0.25">
      <c r="A75" s="337" t="s">
        <v>587</v>
      </c>
      <c r="B75" s="338" t="s">
        <v>1037</v>
      </c>
      <c r="C75" s="523" t="s">
        <v>280</v>
      </c>
      <c r="D75" s="523" t="s">
        <v>34</v>
      </c>
      <c r="E75" s="526" t="s">
        <v>33</v>
      </c>
    </row>
    <row r="76" spans="1:5" x14ac:dyDescent="0.25">
      <c r="A76" s="337" t="s">
        <v>575</v>
      </c>
      <c r="B76" s="338" t="s">
        <v>1038</v>
      </c>
      <c r="C76" s="523" t="s">
        <v>280</v>
      </c>
      <c r="D76" s="523" t="s">
        <v>34</v>
      </c>
      <c r="E76" s="526" t="s">
        <v>33</v>
      </c>
    </row>
    <row r="77" spans="1:5" x14ac:dyDescent="0.25">
      <c r="A77" s="337" t="s">
        <v>579</v>
      </c>
      <c r="B77" s="338" t="s">
        <v>1039</v>
      </c>
      <c r="C77" s="523" t="s">
        <v>280</v>
      </c>
      <c r="D77" s="523" t="s">
        <v>34</v>
      </c>
      <c r="E77" s="526" t="s">
        <v>33</v>
      </c>
    </row>
    <row r="78" spans="1:5" x14ac:dyDescent="0.25">
      <c r="A78" s="337" t="s">
        <v>591</v>
      </c>
      <c r="B78" s="338" t="s">
        <v>1040</v>
      </c>
      <c r="C78" s="523" t="s">
        <v>280</v>
      </c>
      <c r="D78" s="523" t="s">
        <v>34</v>
      </c>
      <c r="E78" s="526" t="s">
        <v>33</v>
      </c>
    </row>
    <row r="79" spans="1:5" x14ac:dyDescent="0.25">
      <c r="A79" s="337" t="s">
        <v>634</v>
      </c>
      <c r="B79" s="338" t="s">
        <v>1041</v>
      </c>
      <c r="C79" s="523" t="s">
        <v>280</v>
      </c>
      <c r="D79" s="523" t="s">
        <v>34</v>
      </c>
      <c r="E79" s="526" t="s">
        <v>33</v>
      </c>
    </row>
    <row r="80" spans="1:5" x14ac:dyDescent="0.25">
      <c r="A80" s="337" t="s">
        <v>606</v>
      </c>
      <c r="B80" s="338" t="s">
        <v>1042</v>
      </c>
      <c r="C80" s="523" t="s">
        <v>280</v>
      </c>
      <c r="D80" s="523" t="s">
        <v>34</v>
      </c>
      <c r="E80" s="526" t="s">
        <v>33</v>
      </c>
    </row>
    <row r="81" spans="1:5" x14ac:dyDescent="0.25">
      <c r="A81" s="337" t="s">
        <v>1043</v>
      </c>
      <c r="B81" s="338" t="s">
        <v>1044</v>
      </c>
      <c r="C81" s="523" t="s">
        <v>280</v>
      </c>
      <c r="D81" s="523" t="s">
        <v>34</v>
      </c>
      <c r="E81" s="526" t="s">
        <v>33</v>
      </c>
    </row>
    <row r="82" spans="1:5" x14ac:dyDescent="0.25">
      <c r="A82" s="337" t="s">
        <v>595</v>
      </c>
      <c r="B82" s="338" t="s">
        <v>1045</v>
      </c>
      <c r="C82" s="523" t="s">
        <v>280</v>
      </c>
      <c r="D82" s="523" t="s">
        <v>34</v>
      </c>
      <c r="E82" s="526" t="s">
        <v>33</v>
      </c>
    </row>
    <row r="83" spans="1:5" x14ac:dyDescent="0.25">
      <c r="A83" s="337" t="s">
        <v>652</v>
      </c>
      <c r="B83" s="338" t="s">
        <v>705</v>
      </c>
      <c r="C83" s="523" t="s">
        <v>280</v>
      </c>
      <c r="D83" s="523" t="s">
        <v>34</v>
      </c>
      <c r="E83" s="526" t="s">
        <v>33</v>
      </c>
    </row>
    <row r="84" spans="1:5" x14ac:dyDescent="0.25">
      <c r="A84" s="337" t="s">
        <v>1046</v>
      </c>
      <c r="B84" s="338" t="s">
        <v>1047</v>
      </c>
      <c r="C84" s="523" t="s">
        <v>280</v>
      </c>
      <c r="D84" s="523" t="s">
        <v>34</v>
      </c>
      <c r="E84" s="526" t="s">
        <v>33</v>
      </c>
    </row>
    <row r="85" spans="1:5" x14ac:dyDescent="0.25">
      <c r="A85" s="337" t="s">
        <v>1048</v>
      </c>
      <c r="B85" s="338" t="s">
        <v>1049</v>
      </c>
      <c r="C85" s="523" t="s">
        <v>280</v>
      </c>
      <c r="D85" s="523" t="s">
        <v>34</v>
      </c>
      <c r="E85" s="526" t="s">
        <v>33</v>
      </c>
    </row>
    <row r="86" spans="1:5" x14ac:dyDescent="0.25">
      <c r="A86" s="337" t="s">
        <v>660</v>
      </c>
      <c r="B86" s="338" t="s">
        <v>1050</v>
      </c>
      <c r="C86" s="523" t="s">
        <v>280</v>
      </c>
      <c r="D86" s="523" t="s">
        <v>34</v>
      </c>
      <c r="E86" s="526" t="s">
        <v>33</v>
      </c>
    </row>
    <row r="87" spans="1:5" x14ac:dyDescent="0.25">
      <c r="A87" s="337" t="s">
        <v>708</v>
      </c>
      <c r="B87" s="338" t="s">
        <v>1051</v>
      </c>
      <c r="C87" s="523" t="s">
        <v>280</v>
      </c>
      <c r="D87" s="523" t="s">
        <v>34</v>
      </c>
      <c r="E87" s="526" t="s">
        <v>33</v>
      </c>
    </row>
    <row r="88" spans="1:5" x14ac:dyDescent="0.25">
      <c r="A88" s="337" t="s">
        <v>753</v>
      </c>
      <c r="B88" s="338" t="s">
        <v>1052</v>
      </c>
      <c r="C88" s="523" t="s">
        <v>280</v>
      </c>
      <c r="D88" s="523" t="s">
        <v>34</v>
      </c>
      <c r="E88" s="526" t="s">
        <v>33</v>
      </c>
    </row>
    <row r="89" spans="1:5" x14ac:dyDescent="0.25">
      <c r="A89" s="337" t="s">
        <v>1053</v>
      </c>
      <c r="B89" s="338" t="s">
        <v>1054</v>
      </c>
      <c r="C89" s="523" t="s">
        <v>280</v>
      </c>
      <c r="D89" s="523" t="s">
        <v>34</v>
      </c>
      <c r="E89" s="526" t="s">
        <v>33</v>
      </c>
    </row>
    <row r="90" spans="1:5" x14ac:dyDescent="0.25">
      <c r="A90" s="337" t="s">
        <v>1055</v>
      </c>
      <c r="B90" s="338" t="s">
        <v>1056</v>
      </c>
      <c r="C90" s="523" t="s">
        <v>280</v>
      </c>
      <c r="D90" s="523" t="s">
        <v>34</v>
      </c>
      <c r="E90" s="526" t="s">
        <v>33</v>
      </c>
    </row>
    <row r="91" spans="1:5" x14ac:dyDescent="0.25">
      <c r="A91" s="337" t="s">
        <v>640</v>
      </c>
      <c r="B91" s="338" t="s">
        <v>1057</v>
      </c>
      <c r="C91" s="523" t="s">
        <v>280</v>
      </c>
      <c r="D91" s="523" t="s">
        <v>34</v>
      </c>
      <c r="E91" s="526" t="s">
        <v>33</v>
      </c>
    </row>
    <row r="92" spans="1:5" x14ac:dyDescent="0.25">
      <c r="A92" s="337" t="s">
        <v>1058</v>
      </c>
      <c r="B92" s="338" t="s">
        <v>1059</v>
      </c>
      <c r="C92" s="523" t="s">
        <v>280</v>
      </c>
      <c r="D92" s="523" t="s">
        <v>34</v>
      </c>
      <c r="E92" s="526" t="s">
        <v>33</v>
      </c>
    </row>
    <row r="93" spans="1:5" x14ac:dyDescent="0.25">
      <c r="A93" s="337" t="s">
        <v>1060</v>
      </c>
      <c r="B93" s="338" t="s">
        <v>1061</v>
      </c>
      <c r="C93" s="523" t="s">
        <v>280</v>
      </c>
      <c r="D93" s="523" t="s">
        <v>34</v>
      </c>
      <c r="E93" s="526" t="s">
        <v>33</v>
      </c>
    </row>
    <row r="94" spans="1:5" x14ac:dyDescent="0.25">
      <c r="A94" s="337" t="s">
        <v>849</v>
      </c>
      <c r="B94" s="338" t="s">
        <v>1062</v>
      </c>
      <c r="C94" s="523" t="s">
        <v>280</v>
      </c>
      <c r="D94" s="523" t="s">
        <v>34</v>
      </c>
      <c r="E94" s="526" t="s">
        <v>39</v>
      </c>
    </row>
    <row r="95" spans="1:5" x14ac:dyDescent="0.25">
      <c r="A95" s="337" t="s">
        <v>863</v>
      </c>
      <c r="B95" s="338" t="s">
        <v>1063</v>
      </c>
      <c r="C95" s="523" t="s">
        <v>280</v>
      </c>
      <c r="D95" s="523" t="s">
        <v>34</v>
      </c>
      <c r="E95" s="526" t="s">
        <v>39</v>
      </c>
    </row>
    <row r="96" spans="1:5" x14ac:dyDescent="0.25">
      <c r="A96" s="337" t="s">
        <v>1064</v>
      </c>
      <c r="B96" s="338" t="s">
        <v>1065</v>
      </c>
      <c r="C96" s="523" t="s">
        <v>280</v>
      </c>
      <c r="D96" s="523" t="s">
        <v>34</v>
      </c>
      <c r="E96" s="526" t="s">
        <v>33</v>
      </c>
    </row>
    <row r="97" spans="1:5" x14ac:dyDescent="0.25">
      <c r="A97" s="337" t="s">
        <v>867</v>
      </c>
      <c r="B97" s="338" t="s">
        <v>1066</v>
      </c>
      <c r="C97" s="523" t="s">
        <v>280</v>
      </c>
      <c r="D97" s="523" t="s">
        <v>34</v>
      </c>
      <c r="E97" s="526" t="s">
        <v>33</v>
      </c>
    </row>
    <row r="98" spans="1:5" x14ac:dyDescent="0.25">
      <c r="A98" s="337" t="s">
        <v>780</v>
      </c>
      <c r="B98" s="338" t="s">
        <v>1067</v>
      </c>
      <c r="C98" s="523" t="s">
        <v>280</v>
      </c>
      <c r="D98" s="523" t="s">
        <v>34</v>
      </c>
      <c r="E98" s="526" t="s">
        <v>33</v>
      </c>
    </row>
    <row r="99" spans="1:5" x14ac:dyDescent="0.25">
      <c r="A99" s="337" t="s">
        <v>1159</v>
      </c>
      <c r="B99" s="338" t="s">
        <v>1160</v>
      </c>
      <c r="C99" s="523" t="s">
        <v>280</v>
      </c>
      <c r="D99" s="523" t="s">
        <v>34</v>
      </c>
      <c r="E99" s="526" t="s">
        <v>33</v>
      </c>
    </row>
    <row r="100" spans="1:5" x14ac:dyDescent="0.25">
      <c r="A100" s="337" t="s">
        <v>1161</v>
      </c>
      <c r="B100" s="338" t="s">
        <v>1162</v>
      </c>
      <c r="C100" s="523" t="s">
        <v>280</v>
      </c>
      <c r="D100" s="523" t="s">
        <v>34</v>
      </c>
      <c r="E100" s="526" t="s">
        <v>33</v>
      </c>
    </row>
    <row r="101" spans="1:5" ht="15.75" thickBot="1" x14ac:dyDescent="0.3">
      <c r="A101" s="339" t="s">
        <v>872</v>
      </c>
      <c r="B101" s="340" t="s">
        <v>1068</v>
      </c>
      <c r="C101" s="524" t="s">
        <v>280</v>
      </c>
      <c r="D101" s="523" t="s">
        <v>34</v>
      </c>
      <c r="E101" s="526" t="s">
        <v>33</v>
      </c>
    </row>
    <row r="102" spans="1:5" ht="15.75" thickBot="1" x14ac:dyDescent="0.3">
      <c r="A102" s="339" t="s">
        <v>876</v>
      </c>
      <c r="B102" s="340" t="s">
        <v>1069</v>
      </c>
      <c r="C102" s="524" t="s">
        <v>280</v>
      </c>
      <c r="D102" s="523" t="s">
        <v>34</v>
      </c>
      <c r="E102" s="526" t="s">
        <v>33</v>
      </c>
    </row>
    <row r="103" spans="1:5" ht="15.75" thickBot="1" x14ac:dyDescent="0.3">
      <c r="A103" s="339" t="s">
        <v>840</v>
      </c>
      <c r="B103" s="340" t="s">
        <v>1070</v>
      </c>
      <c r="C103" s="524" t="s">
        <v>280</v>
      </c>
      <c r="D103" s="523" t="s">
        <v>34</v>
      </c>
      <c r="E103" s="526" t="s">
        <v>33</v>
      </c>
    </row>
    <row r="104" spans="1:5" ht="15.75" thickBot="1" x14ac:dyDescent="0.3">
      <c r="A104" s="339" t="s">
        <v>1163</v>
      </c>
      <c r="B104" s="340" t="s">
        <v>1164</v>
      </c>
      <c r="C104" s="524" t="s">
        <v>280</v>
      </c>
      <c r="D104" s="523" t="s">
        <v>34</v>
      </c>
      <c r="E104" s="526" t="s">
        <v>33</v>
      </c>
    </row>
    <row r="105" spans="1:5" ht="15.75" thickBot="1" x14ac:dyDescent="0.3">
      <c r="A105" s="339" t="s">
        <v>1071</v>
      </c>
      <c r="B105" s="340" t="s">
        <v>1072</v>
      </c>
      <c r="C105" s="524" t="s">
        <v>280</v>
      </c>
      <c r="D105" s="523" t="s">
        <v>34</v>
      </c>
      <c r="E105" s="526" t="s">
        <v>33</v>
      </c>
    </row>
    <row r="106" spans="1:5" ht="15.75" thickBot="1" x14ac:dyDescent="0.3">
      <c r="A106" s="339" t="s">
        <v>1073</v>
      </c>
      <c r="B106" s="340" t="s">
        <v>1074</v>
      </c>
      <c r="C106" s="524" t="s">
        <v>280</v>
      </c>
      <c r="D106" s="523" t="s">
        <v>34</v>
      </c>
      <c r="E106" s="526" t="s">
        <v>33</v>
      </c>
    </row>
    <row r="107" spans="1:5" ht="15.75" thickBot="1" x14ac:dyDescent="0.3">
      <c r="A107" s="339" t="s">
        <v>1075</v>
      </c>
      <c r="B107" s="340" t="s">
        <v>1076</v>
      </c>
      <c r="C107" s="524" t="s">
        <v>280</v>
      </c>
      <c r="D107" s="523" t="s">
        <v>34</v>
      </c>
      <c r="E107" s="526" t="s">
        <v>33</v>
      </c>
    </row>
    <row r="108" spans="1:5" ht="15.75" thickBot="1" x14ac:dyDescent="0.3">
      <c r="A108" s="339" t="s">
        <v>885</v>
      </c>
      <c r="B108" s="340" t="s">
        <v>1077</v>
      </c>
      <c r="C108" s="524" t="s">
        <v>280</v>
      </c>
      <c r="D108" s="523" t="s">
        <v>34</v>
      </c>
      <c r="E108" s="526" t="s">
        <v>33</v>
      </c>
    </row>
    <row r="109" spans="1:5" ht="15.75" thickBot="1" x14ac:dyDescent="0.3">
      <c r="A109" s="339" t="s">
        <v>898</v>
      </c>
      <c r="B109" s="340" t="s">
        <v>1078</v>
      </c>
      <c r="C109" s="524" t="s">
        <v>280</v>
      </c>
      <c r="D109" s="523" t="s">
        <v>34</v>
      </c>
      <c r="E109" s="526" t="s">
        <v>33</v>
      </c>
    </row>
    <row r="110" spans="1:5" ht="15.75" thickBot="1" x14ac:dyDescent="0.3">
      <c r="A110" s="339" t="s">
        <v>902</v>
      </c>
      <c r="B110" s="340" t="s">
        <v>1079</v>
      </c>
      <c r="C110" s="524" t="s">
        <v>280</v>
      </c>
      <c r="D110" s="523" t="s">
        <v>34</v>
      </c>
      <c r="E110" s="526" t="s">
        <v>33</v>
      </c>
    </row>
    <row r="111" spans="1:5" ht="15.75" thickBot="1" x14ac:dyDescent="0.3">
      <c r="A111" s="339" t="s">
        <v>1080</v>
      </c>
      <c r="B111" s="340" t="s">
        <v>1081</v>
      </c>
      <c r="C111" s="524" t="s">
        <v>280</v>
      </c>
      <c r="D111" s="523" t="s">
        <v>34</v>
      </c>
      <c r="E111" s="526" t="s">
        <v>33</v>
      </c>
    </row>
    <row r="112" spans="1:5" ht="15.75" thickBot="1" x14ac:dyDescent="0.3">
      <c r="A112" s="339" t="s">
        <v>1165</v>
      </c>
      <c r="B112" s="340" t="s">
        <v>1166</v>
      </c>
      <c r="C112" s="524" t="s">
        <v>280</v>
      </c>
      <c r="D112" s="524" t="s">
        <v>40</v>
      </c>
      <c r="E112" s="526" t="s">
        <v>33</v>
      </c>
    </row>
    <row r="113" spans="1:5" ht="15.75" thickBot="1" x14ac:dyDescent="0.3">
      <c r="A113" s="339" t="s">
        <v>1082</v>
      </c>
      <c r="B113" s="340" t="s">
        <v>1083</v>
      </c>
      <c r="C113" s="524" t="s">
        <v>280</v>
      </c>
      <c r="D113" s="524" t="s">
        <v>40</v>
      </c>
      <c r="E113" s="526" t="s">
        <v>33</v>
      </c>
    </row>
    <row r="114" spans="1:5" ht="15.75" thickBot="1" x14ac:dyDescent="0.3">
      <c r="A114" s="339" t="s">
        <v>814</v>
      </c>
      <c r="B114" s="340" t="s">
        <v>1084</v>
      </c>
      <c r="C114" s="524" t="s">
        <v>280</v>
      </c>
      <c r="D114" s="524" t="s">
        <v>34</v>
      </c>
      <c r="E114" s="526" t="s">
        <v>39</v>
      </c>
    </row>
    <row r="115" spans="1:5" ht="15.75" thickBot="1" x14ac:dyDescent="0.3">
      <c r="A115" s="339" t="s">
        <v>1167</v>
      </c>
      <c r="B115" s="340" t="s">
        <v>1168</v>
      </c>
      <c r="C115" s="524" t="s">
        <v>280</v>
      </c>
      <c r="D115" s="524" t="s">
        <v>40</v>
      </c>
      <c r="E115" s="526" t="s">
        <v>33</v>
      </c>
    </row>
    <row r="116" spans="1:5" ht="15.75" thickBot="1" x14ac:dyDescent="0.3">
      <c r="A116" s="339" t="s">
        <v>1086</v>
      </c>
      <c r="B116" s="340" t="s">
        <v>1087</v>
      </c>
      <c r="C116" s="524" t="s">
        <v>280</v>
      </c>
      <c r="D116" s="524" t="s">
        <v>34</v>
      </c>
      <c r="E116" s="526" t="s">
        <v>33</v>
      </c>
    </row>
    <row r="117" spans="1:5" ht="15.75" thickBot="1" x14ac:dyDescent="0.3">
      <c r="A117" s="339" t="s">
        <v>1169</v>
      </c>
      <c r="B117" s="340" t="s">
        <v>1170</v>
      </c>
      <c r="C117" s="524" t="s">
        <v>280</v>
      </c>
      <c r="D117" s="524" t="s">
        <v>40</v>
      </c>
      <c r="E117" s="526" t="s">
        <v>33</v>
      </c>
    </row>
    <row r="118" spans="1:5" ht="15.75" thickBot="1" x14ac:dyDescent="0.3">
      <c r="A118" s="339" t="s">
        <v>1171</v>
      </c>
      <c r="B118" s="340" t="s">
        <v>1172</v>
      </c>
      <c r="C118" s="524" t="s">
        <v>280</v>
      </c>
      <c r="D118" s="524" t="s">
        <v>40</v>
      </c>
      <c r="E118" s="526" t="s">
        <v>33</v>
      </c>
    </row>
    <row r="119" spans="1:5" ht="15.75" thickBot="1" x14ac:dyDescent="0.3">
      <c r="A119" s="339" t="s">
        <v>1088</v>
      </c>
      <c r="B119" s="340" t="s">
        <v>1089</v>
      </c>
      <c r="C119" s="524" t="s">
        <v>280</v>
      </c>
      <c r="D119" s="524" t="s">
        <v>34</v>
      </c>
      <c r="E119" s="526" t="s">
        <v>33</v>
      </c>
    </row>
    <row r="120" spans="1:5" ht="15.75" thickBot="1" x14ac:dyDescent="0.3">
      <c r="A120" s="339" t="s">
        <v>1091</v>
      </c>
      <c r="B120" s="340" t="s">
        <v>1092</v>
      </c>
      <c r="C120" s="524" t="s">
        <v>280</v>
      </c>
      <c r="D120" s="524" t="s">
        <v>34</v>
      </c>
      <c r="E120" s="526" t="s">
        <v>33</v>
      </c>
    </row>
    <row r="121" spans="1:5" ht="15.75" thickBot="1" x14ac:dyDescent="0.3">
      <c r="A121" s="339" t="s">
        <v>1093</v>
      </c>
      <c r="B121" s="340" t="s">
        <v>1094</v>
      </c>
      <c r="C121" s="524" t="s">
        <v>280</v>
      </c>
      <c r="D121" s="524" t="s">
        <v>34</v>
      </c>
      <c r="E121" s="526" t="s">
        <v>33</v>
      </c>
    </row>
    <row r="122" spans="1:5" ht="15.75" thickBot="1" x14ac:dyDescent="0.3">
      <c r="A122" s="339" t="s">
        <v>792</v>
      </c>
      <c r="B122" s="340" t="s">
        <v>1095</v>
      </c>
      <c r="C122" s="524" t="s">
        <v>280</v>
      </c>
      <c r="D122" s="524" t="s">
        <v>34</v>
      </c>
      <c r="E122" s="526" t="s">
        <v>33</v>
      </c>
    </row>
    <row r="123" spans="1:5" ht="15.75" thickBot="1" x14ac:dyDescent="0.3">
      <c r="A123" s="339" t="s">
        <v>800</v>
      </c>
      <c r="B123" s="340" t="s">
        <v>1096</v>
      </c>
      <c r="C123" s="524" t="s">
        <v>280</v>
      </c>
      <c r="D123" s="524" t="s">
        <v>34</v>
      </c>
      <c r="E123" s="526" t="s">
        <v>33</v>
      </c>
    </row>
    <row r="124" spans="1:5" ht="15.75" thickBot="1" x14ac:dyDescent="0.3">
      <c r="A124" s="339" t="s">
        <v>804</v>
      </c>
      <c r="B124" s="340" t="s">
        <v>1097</v>
      </c>
      <c r="C124" s="524" t="s">
        <v>280</v>
      </c>
      <c r="D124" s="524" t="s">
        <v>34</v>
      </c>
      <c r="E124" s="526" t="s">
        <v>33</v>
      </c>
    </row>
    <row r="125" spans="1:5" ht="15.75" thickBot="1" x14ac:dyDescent="0.3">
      <c r="A125" s="339" t="s">
        <v>810</v>
      </c>
      <c r="B125" s="340" t="s">
        <v>1098</v>
      </c>
      <c r="C125" s="524" t="s">
        <v>280</v>
      </c>
      <c r="D125" s="524" t="s">
        <v>34</v>
      </c>
      <c r="E125" s="526" t="s">
        <v>33</v>
      </c>
    </row>
    <row r="126" spans="1:5" ht="15.75" thickBot="1" x14ac:dyDescent="0.3">
      <c r="A126" s="339" t="s">
        <v>492</v>
      </c>
      <c r="B126" s="340" t="s">
        <v>1099</v>
      </c>
      <c r="C126" s="524" t="s">
        <v>280</v>
      </c>
      <c r="D126" s="524" t="s">
        <v>34</v>
      </c>
      <c r="E126" s="526" t="s">
        <v>33</v>
      </c>
    </row>
    <row r="127" spans="1:5" ht="15.75" thickBot="1" x14ac:dyDescent="0.3">
      <c r="A127" s="339" t="s">
        <v>496</v>
      </c>
      <c r="B127" s="340" t="s">
        <v>1100</v>
      </c>
      <c r="C127" s="524" t="s">
        <v>280</v>
      </c>
      <c r="D127" s="524" t="s">
        <v>34</v>
      </c>
      <c r="E127" s="526" t="s">
        <v>33</v>
      </c>
    </row>
    <row r="128" spans="1:5" ht="15.75" thickBot="1" x14ac:dyDescent="0.3">
      <c r="A128" s="339" t="s">
        <v>444</v>
      </c>
      <c r="B128" s="340" t="s">
        <v>1101</v>
      </c>
      <c r="C128" s="524" t="s">
        <v>280</v>
      </c>
      <c r="D128" s="524" t="s">
        <v>34</v>
      </c>
      <c r="E128" s="526" t="s">
        <v>33</v>
      </c>
    </row>
    <row r="129" spans="1:5" ht="15.75" thickBot="1" x14ac:dyDescent="0.3">
      <c r="A129" s="339" t="s">
        <v>453</v>
      </c>
      <c r="B129" s="340" t="s">
        <v>1102</v>
      </c>
      <c r="C129" s="524" t="s">
        <v>280</v>
      </c>
      <c r="D129" s="524" t="s">
        <v>34</v>
      </c>
      <c r="E129" s="526" t="s">
        <v>33</v>
      </c>
    </row>
    <row r="130" spans="1:5" ht="15.75" thickBot="1" x14ac:dyDescent="0.3">
      <c r="A130" s="339" t="s">
        <v>1103</v>
      </c>
      <c r="B130" s="340" t="s">
        <v>1104</v>
      </c>
      <c r="C130" s="524" t="s">
        <v>280</v>
      </c>
      <c r="D130" s="524" t="s">
        <v>34</v>
      </c>
      <c r="E130" s="526" t="s">
        <v>33</v>
      </c>
    </row>
    <row r="131" spans="1:5" ht="15.75" thickBot="1" x14ac:dyDescent="0.3">
      <c r="A131" s="339" t="s">
        <v>467</v>
      </c>
      <c r="B131" s="340" t="s">
        <v>1105</v>
      </c>
      <c r="C131" s="524" t="s">
        <v>280</v>
      </c>
      <c r="D131" s="524" t="s">
        <v>34</v>
      </c>
      <c r="E131" s="526" t="s">
        <v>33</v>
      </c>
    </row>
    <row r="132" spans="1:5" ht="15.75" thickBot="1" x14ac:dyDescent="0.3">
      <c r="A132" s="339" t="s">
        <v>1106</v>
      </c>
      <c r="B132" s="340" t="s">
        <v>1107</v>
      </c>
      <c r="C132" s="524" t="s">
        <v>280</v>
      </c>
      <c r="D132" s="524" t="s">
        <v>34</v>
      </c>
      <c r="E132" s="526" t="s">
        <v>33</v>
      </c>
    </row>
    <row r="133" spans="1:5" ht="15.75" thickBot="1" x14ac:dyDescent="0.3">
      <c r="A133" s="339" t="s">
        <v>1108</v>
      </c>
      <c r="B133" s="340" t="s">
        <v>1109</v>
      </c>
      <c r="C133" s="524" t="s">
        <v>280</v>
      </c>
      <c r="D133" s="524" t="s">
        <v>34</v>
      </c>
      <c r="E133" s="526" t="s">
        <v>33</v>
      </c>
    </row>
    <row r="134" spans="1:5" ht="15.75" thickBot="1" x14ac:dyDescent="0.3">
      <c r="A134" s="339" t="s">
        <v>1110</v>
      </c>
      <c r="B134" s="340" t="s">
        <v>1111</v>
      </c>
      <c r="C134" s="524" t="s">
        <v>280</v>
      </c>
      <c r="D134" s="524" t="s">
        <v>34</v>
      </c>
      <c r="E134" s="526" t="s">
        <v>33</v>
      </c>
    </row>
    <row r="135" spans="1:5" ht="15.75" thickBot="1" x14ac:dyDescent="0.3">
      <c r="A135" s="339" t="s">
        <v>1112</v>
      </c>
      <c r="B135" s="340" t="s">
        <v>1113</v>
      </c>
      <c r="C135" s="524" t="s">
        <v>280</v>
      </c>
      <c r="D135" s="524" t="s">
        <v>34</v>
      </c>
      <c r="E135" s="526" t="s">
        <v>33</v>
      </c>
    </row>
    <row r="136" spans="1:5" ht="15.75" thickBot="1" x14ac:dyDescent="0.3">
      <c r="A136" s="339" t="s">
        <v>1114</v>
      </c>
      <c r="B136" s="340" t="s">
        <v>1115</v>
      </c>
      <c r="C136" s="524" t="s">
        <v>280</v>
      </c>
      <c r="D136" s="524" t="s">
        <v>34</v>
      </c>
      <c r="E136" s="526" t="s">
        <v>33</v>
      </c>
    </row>
    <row r="137" spans="1:5" ht="15.75" thickBot="1" x14ac:dyDescent="0.3">
      <c r="A137" s="339" t="s">
        <v>1116</v>
      </c>
      <c r="B137" s="340" t="s">
        <v>1117</v>
      </c>
      <c r="C137" s="524" t="s">
        <v>280</v>
      </c>
      <c r="D137" s="524" t="s">
        <v>34</v>
      </c>
      <c r="E137" s="526" t="s">
        <v>33</v>
      </c>
    </row>
    <row r="138" spans="1:5" ht="15.75" thickBot="1" x14ac:dyDescent="0.3">
      <c r="A138" s="339" t="s">
        <v>1118</v>
      </c>
      <c r="B138" s="340" t="s">
        <v>1119</v>
      </c>
      <c r="C138" s="524" t="s">
        <v>280</v>
      </c>
      <c r="D138" s="524" t="s">
        <v>34</v>
      </c>
      <c r="E138" s="526" t="s">
        <v>33</v>
      </c>
    </row>
    <row r="139" spans="1:5" ht="15.75" thickBot="1" x14ac:dyDescent="0.3">
      <c r="A139" s="339" t="s">
        <v>1120</v>
      </c>
      <c r="B139" s="340" t="s">
        <v>1121</v>
      </c>
      <c r="C139" s="524" t="s">
        <v>280</v>
      </c>
      <c r="D139" s="524" t="s">
        <v>34</v>
      </c>
      <c r="E139" s="526" t="s">
        <v>33</v>
      </c>
    </row>
    <row r="140" spans="1:5" ht="15.75" thickBot="1" x14ac:dyDescent="0.3">
      <c r="A140" s="339" t="s">
        <v>1122</v>
      </c>
      <c r="B140" s="340" t="s">
        <v>1123</v>
      </c>
      <c r="C140" s="524" t="s">
        <v>280</v>
      </c>
      <c r="D140" s="524" t="s">
        <v>34</v>
      </c>
      <c r="E140" s="526" t="s">
        <v>33</v>
      </c>
    </row>
    <row r="141" spans="1:5" x14ac:dyDescent="0.25">
      <c r="A141" s="339" t="s">
        <v>1124</v>
      </c>
      <c r="B141" s="340" t="s">
        <v>1125</v>
      </c>
      <c r="C141" s="524" t="s">
        <v>259</v>
      </c>
      <c r="D141" s="524" t="s">
        <v>34</v>
      </c>
      <c r="E141" s="526" t="s">
        <v>33</v>
      </c>
    </row>
  </sheetData>
  <autoFilter ref="A2:E141" xr:uid="{2E753270-8E41-4CC5-97C2-EE4540C41FD1}">
    <filterColumn colId="4">
      <filters>
        <filter val="Delta"/>
        <filter val="New"/>
      </filters>
    </filterColumn>
  </autoFilter>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D3:D141</xm:sqref>
        </x14:dataValidation>
        <x14:dataValidation type="list" allowBlank="1" showInputMessage="1" showErrorMessage="1" xr:uid="{AA1AC074-A7B7-4C8D-9132-118B458773B2}">
          <x14:formula1>
            <xm:f>'List Options'!$G$1:$G$3</xm:f>
          </x14:formula1>
          <xm:sqref>E3:E141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1173</v>
      </c>
      <c r="C1" s="36" t="s">
        <v>1174</v>
      </c>
      <c r="D1" s="36" t="s">
        <v>1175</v>
      </c>
      <c r="E1" s="36" t="s">
        <v>1176</v>
      </c>
      <c r="F1" s="36" t="s">
        <v>1177</v>
      </c>
      <c r="G1" s="37" t="s">
        <v>1178</v>
      </c>
      <c r="H1" s="12"/>
      <c r="I1" s="12"/>
      <c r="J1" s="12"/>
      <c r="K1" s="12"/>
      <c r="L1" s="13"/>
      <c r="M1" s="1"/>
      <c r="N1" s="11"/>
      <c r="X1" s="11"/>
      <c r="AB1" s="787" t="s">
        <v>1179</v>
      </c>
      <c r="AM1" s="787" t="s">
        <v>1180</v>
      </c>
    </row>
    <row r="2" spans="1:40" s="14" customFormat="1" ht="12" x14ac:dyDescent="0.2">
      <c r="A2" s="35" t="s">
        <v>1181</v>
      </c>
      <c r="B2" s="15">
        <v>42994</v>
      </c>
      <c r="C2" s="15">
        <v>43190</v>
      </c>
      <c r="D2" s="16" t="e">
        <f>#REF!</f>
        <v>#REF!</v>
      </c>
      <c r="E2" s="16" t="e">
        <f>#REF!</f>
        <v>#REF!</v>
      </c>
      <c r="F2" s="16">
        <f>(C2-B2)/7</f>
        <v>28</v>
      </c>
      <c r="G2" s="17" t="e">
        <f>E2/F2</f>
        <v>#REF!</v>
      </c>
      <c r="H2" s="18"/>
      <c r="I2" s="18"/>
      <c r="J2" s="18"/>
      <c r="K2" s="18"/>
      <c r="L2" s="19"/>
      <c r="M2" s="20"/>
      <c r="N2" s="21"/>
      <c r="X2" s="21"/>
      <c r="AB2" s="788"/>
      <c r="AM2" s="78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89" t="s">
        <v>1182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90"/>
      <c r="B5" s="47" t="s">
        <v>1183</v>
      </c>
      <c r="C5" s="47" t="s">
        <v>1184</v>
      </c>
      <c r="D5" s="47" t="s">
        <v>1185</v>
      </c>
      <c r="E5" s="47" t="s">
        <v>1186</v>
      </c>
      <c r="F5" s="47" t="s">
        <v>1187</v>
      </c>
      <c r="G5" s="47" t="s">
        <v>1188</v>
      </c>
      <c r="H5" s="47" t="s">
        <v>1189</v>
      </c>
      <c r="I5" s="47" t="s">
        <v>1190</v>
      </c>
      <c r="J5" s="47" t="s">
        <v>1191</v>
      </c>
      <c r="K5" s="47" t="s">
        <v>1192</v>
      </c>
      <c r="L5" s="47" t="s">
        <v>1193</v>
      </c>
      <c r="M5" s="47" t="s">
        <v>1194</v>
      </c>
      <c r="N5" s="47" t="s">
        <v>1195</v>
      </c>
      <c r="O5" s="47" t="s">
        <v>1196</v>
      </c>
      <c r="P5" s="47" t="s">
        <v>1197</v>
      </c>
      <c r="Q5" s="47" t="s">
        <v>1198</v>
      </c>
      <c r="R5" s="47" t="s">
        <v>1199</v>
      </c>
      <c r="S5" s="47" t="s">
        <v>1200</v>
      </c>
      <c r="T5" s="47" t="s">
        <v>1201</v>
      </c>
      <c r="U5" s="47" t="s">
        <v>1202</v>
      </c>
      <c r="V5" s="47" t="s">
        <v>1203</v>
      </c>
      <c r="W5" s="47" t="s">
        <v>1204</v>
      </c>
      <c r="X5" s="47" t="s">
        <v>1205</v>
      </c>
      <c r="Y5" s="47" t="s">
        <v>1206</v>
      </c>
      <c r="Z5" s="47" t="s">
        <v>1207</v>
      </c>
      <c r="AA5" s="47" t="s">
        <v>1208</v>
      </c>
      <c r="AB5" s="47" t="s">
        <v>1209</v>
      </c>
      <c r="AC5" s="47" t="s">
        <v>1210</v>
      </c>
      <c r="AD5" s="47" t="s">
        <v>1211</v>
      </c>
      <c r="AE5" s="47" t="s">
        <v>1212</v>
      </c>
      <c r="AF5" s="47" t="s">
        <v>1213</v>
      </c>
      <c r="AG5" s="47" t="s">
        <v>1214</v>
      </c>
      <c r="AH5" s="47" t="s">
        <v>1215</v>
      </c>
      <c r="AI5" s="47" t="s">
        <v>1216</v>
      </c>
      <c r="AJ5" s="47" t="s">
        <v>1217</v>
      </c>
      <c r="AK5" s="47" t="s">
        <v>1218</v>
      </c>
      <c r="AL5" s="66" t="s">
        <v>1219</v>
      </c>
      <c r="AM5" s="65" t="s">
        <v>1220</v>
      </c>
      <c r="AN5" s="50"/>
    </row>
    <row r="6" spans="1:40" ht="12" x14ac:dyDescent="0.2">
      <c r="A6" s="48" t="s">
        <v>1221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1222</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89" t="s">
        <v>1223</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91"/>
      <c r="B10" s="32" t="s">
        <v>1183</v>
      </c>
      <c r="C10" s="32" t="s">
        <v>1184</v>
      </c>
      <c r="D10" s="32" t="s">
        <v>1185</v>
      </c>
      <c r="E10" s="32" t="s">
        <v>1186</v>
      </c>
      <c r="F10" s="32" t="s">
        <v>1187</v>
      </c>
      <c r="G10" s="32" t="s">
        <v>1188</v>
      </c>
      <c r="H10" s="32" t="s">
        <v>1189</v>
      </c>
      <c r="I10" s="32" t="s">
        <v>1190</v>
      </c>
      <c r="J10" s="32" t="s">
        <v>1191</v>
      </c>
      <c r="K10" s="32" t="s">
        <v>1192</v>
      </c>
      <c r="L10" s="32" t="s">
        <v>1193</v>
      </c>
      <c r="M10" s="32" t="s">
        <v>1194</v>
      </c>
      <c r="N10" s="32" t="s">
        <v>1195</v>
      </c>
      <c r="O10" s="32" t="s">
        <v>1196</v>
      </c>
      <c r="P10" s="32" t="s">
        <v>1197</v>
      </c>
      <c r="Q10" s="32" t="s">
        <v>1198</v>
      </c>
      <c r="R10" s="32" t="s">
        <v>1199</v>
      </c>
      <c r="S10" s="32" t="s">
        <v>1200</v>
      </c>
      <c r="T10" s="32" t="s">
        <v>1201</v>
      </c>
      <c r="U10" s="32" t="s">
        <v>1202</v>
      </c>
      <c r="V10" s="32" t="s">
        <v>1203</v>
      </c>
      <c r="W10" s="32" t="s">
        <v>1204</v>
      </c>
      <c r="X10" s="32" t="s">
        <v>1205</v>
      </c>
      <c r="Y10" s="32" t="s">
        <v>1206</v>
      </c>
      <c r="Z10" s="32" t="s">
        <v>1207</v>
      </c>
      <c r="AA10" s="32" t="s">
        <v>1208</v>
      </c>
      <c r="AB10" s="32" t="s">
        <v>1209</v>
      </c>
      <c r="AC10" s="32" t="s">
        <v>1210</v>
      </c>
      <c r="AD10" s="32" t="s">
        <v>1211</v>
      </c>
      <c r="AE10" s="32" t="s">
        <v>1212</v>
      </c>
      <c r="AF10" s="32" t="s">
        <v>1213</v>
      </c>
      <c r="AG10" s="32" t="s">
        <v>1214</v>
      </c>
      <c r="AH10" s="32" t="s">
        <v>1215</v>
      </c>
      <c r="AI10" s="32" t="s">
        <v>1216</v>
      </c>
      <c r="AJ10" s="64" t="s">
        <v>1217</v>
      </c>
      <c r="AK10" s="63" t="s">
        <v>1218</v>
      </c>
      <c r="AL10" s="47" t="s">
        <v>1219</v>
      </c>
      <c r="AM10" s="72" t="s">
        <v>1220</v>
      </c>
      <c r="AN10" s="68"/>
    </row>
    <row r="11" spans="1:40" x14ac:dyDescent="0.25">
      <c r="A11" s="42" t="s">
        <v>1221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1222</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1224</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1225</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1226</v>
      </c>
      <c r="B3" s="129" t="s">
        <v>1227</v>
      </c>
      <c r="C3" s="129"/>
      <c r="D3" s="218"/>
      <c r="E3" s="129"/>
    </row>
    <row r="4" spans="1:5" x14ac:dyDescent="0.25">
      <c r="A4" s="79" t="s">
        <v>47</v>
      </c>
      <c r="B4">
        <v>0</v>
      </c>
    </row>
    <row r="5" spans="1:5" x14ac:dyDescent="0.25">
      <c r="A5" s="79" t="s">
        <v>939</v>
      </c>
      <c r="B5">
        <v>85</v>
      </c>
      <c r="D5" s="130">
        <f>GETPIVOTDATA("#Tests",$A$3,"ETA","wk-1")/GETPIVOTDATA("#Tests",$A$3)</f>
        <v>0.17</v>
      </c>
      <c r="E5" s="131">
        <f>D5</f>
        <v>0.17</v>
      </c>
    </row>
    <row r="6" spans="1:5" x14ac:dyDescent="0.25">
      <c r="A6" s="79" t="s">
        <v>948</v>
      </c>
      <c r="B6">
        <v>48</v>
      </c>
      <c r="D6" s="130">
        <f>GETPIVOTDATA("#Tests",$A$3,"ETA","wk-2")/GETPIVOTDATA("#Tests",$A$3)</f>
        <v>9.6000000000000002E-2</v>
      </c>
      <c r="E6" s="131">
        <f t="shared" ref="E6:E12" si="0">E5+D6</f>
        <v>0.26600000000000001</v>
      </c>
    </row>
    <row r="7" spans="1:5" x14ac:dyDescent="0.25">
      <c r="A7" s="79" t="s">
        <v>964</v>
      </c>
      <c r="B7">
        <v>96</v>
      </c>
      <c r="D7" s="130">
        <f>GETPIVOTDATA("#Tests",$A$3,"ETA","wk-3")/GETPIVOTDATA("#Tests",$A$3)</f>
        <v>0.192</v>
      </c>
      <c r="E7" s="131">
        <f t="shared" si="0"/>
        <v>0.45800000000000002</v>
      </c>
    </row>
    <row r="8" spans="1:5" x14ac:dyDescent="0.25">
      <c r="A8" s="79" t="s">
        <v>961</v>
      </c>
      <c r="B8">
        <v>79</v>
      </c>
      <c r="D8" s="130">
        <f>GETPIVOTDATA("#Tests",$A$3,"ETA","wk-4")/GETPIVOTDATA("#Tests",$A$3)</f>
        <v>0.158</v>
      </c>
      <c r="E8" s="131">
        <f t="shared" si="0"/>
        <v>0.61599999999999999</v>
      </c>
    </row>
    <row r="9" spans="1:5" x14ac:dyDescent="0.25">
      <c r="A9" s="79" t="s">
        <v>968</v>
      </c>
      <c r="B9">
        <v>82</v>
      </c>
      <c r="D9" s="130">
        <f>GETPIVOTDATA("#Tests",$A$3,"ETA","wk-5")/GETPIVOTDATA("#Tests",$A$3)</f>
        <v>0.16400000000000001</v>
      </c>
      <c r="E9" s="131">
        <f t="shared" si="0"/>
        <v>0.78</v>
      </c>
    </row>
    <row r="10" spans="1:5" x14ac:dyDescent="0.25">
      <c r="A10" s="79" t="s">
        <v>956</v>
      </c>
      <c r="B10">
        <v>60</v>
      </c>
      <c r="D10" s="130">
        <f>GETPIVOTDATA("#Tests",$A$3,"ETA","wk-6")/GETPIVOTDATA("#Tests",$A$3)</f>
        <v>0.12</v>
      </c>
      <c r="E10" s="131">
        <f t="shared" si="0"/>
        <v>0.9</v>
      </c>
    </row>
    <row r="11" spans="1:5" x14ac:dyDescent="0.25">
      <c r="A11" s="79" t="s">
        <v>934</v>
      </c>
      <c r="B11">
        <v>30</v>
      </c>
      <c r="D11" s="130">
        <f>GETPIVOTDATA("#Tests",$A$3,"ETA","wk-7")/GETPIVOTDATA("#Tests",$A$3)</f>
        <v>0.06</v>
      </c>
      <c r="E11" s="131">
        <f t="shared" si="0"/>
        <v>0.96</v>
      </c>
    </row>
    <row r="12" spans="1:5" x14ac:dyDescent="0.25">
      <c r="A12" s="79" t="s">
        <v>944</v>
      </c>
      <c r="B12">
        <v>20</v>
      </c>
      <c r="D12" s="130">
        <f>GETPIVOTDATA("#Tests",$A$3,"ETA","wk-8")/GETPIVOTDATA("#Tests",$A$3)</f>
        <v>0.04</v>
      </c>
      <c r="E12" s="131">
        <f t="shared" si="0"/>
        <v>1</v>
      </c>
    </row>
    <row r="13" spans="1:5" x14ac:dyDescent="0.25">
      <c r="A13" s="79" t="s">
        <v>1129</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B16"/>
  <sheetViews>
    <sheetView topLeftCell="AS1" workbookViewId="0">
      <selection activeCell="BD8" sqref="BD8"/>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1228</v>
      </c>
      <c r="B1" s="157" t="s">
        <v>1229</v>
      </c>
      <c r="C1" s="158" t="s">
        <v>1230</v>
      </c>
      <c r="D1" s="158" t="s">
        <v>1231</v>
      </c>
      <c r="E1" s="158" t="s">
        <v>1232</v>
      </c>
      <c r="F1" s="158" t="s">
        <v>1233</v>
      </c>
      <c r="G1" s="158" t="s">
        <v>1234</v>
      </c>
      <c r="H1" s="158" t="s">
        <v>1235</v>
      </c>
      <c r="I1" s="158" t="s">
        <v>1236</v>
      </c>
      <c r="J1" s="158" t="s">
        <v>1237</v>
      </c>
      <c r="K1" s="158" t="s">
        <v>1238</v>
      </c>
      <c r="L1" s="158" t="s">
        <v>1239</v>
      </c>
      <c r="M1" s="158" t="s">
        <v>1240</v>
      </c>
      <c r="N1" s="158" t="s">
        <v>1241</v>
      </c>
      <c r="O1" s="158" t="s">
        <v>1242</v>
      </c>
      <c r="P1" s="158" t="s">
        <v>1243</v>
      </c>
      <c r="Q1" s="158" t="s">
        <v>1244</v>
      </c>
      <c r="R1" s="158" t="s">
        <v>1245</v>
      </c>
      <c r="S1" s="158" t="s">
        <v>1246</v>
      </c>
      <c r="T1" s="158" t="s">
        <v>1247</v>
      </c>
      <c r="U1" s="158" t="s">
        <v>1248</v>
      </c>
      <c r="V1" s="158" t="s">
        <v>1249</v>
      </c>
      <c r="W1" s="158" t="s">
        <v>1250</v>
      </c>
      <c r="X1" s="158" t="s">
        <v>1251</v>
      </c>
      <c r="Y1" s="158" t="s">
        <v>1252</v>
      </c>
      <c r="Z1" s="158" t="s">
        <v>1253</v>
      </c>
      <c r="AA1" s="158" t="s">
        <v>1254</v>
      </c>
      <c r="AB1" s="158" t="s">
        <v>1255</v>
      </c>
      <c r="AC1" s="158" t="s">
        <v>1256</v>
      </c>
      <c r="AD1" s="158" t="s">
        <v>1257</v>
      </c>
      <c r="AE1" s="158" t="s">
        <v>1258</v>
      </c>
      <c r="AF1" s="158" t="s">
        <v>1259</v>
      </c>
      <c r="AG1" s="158" t="s">
        <v>1260</v>
      </c>
      <c r="AH1" s="158" t="s">
        <v>1261</v>
      </c>
      <c r="AI1" s="158" t="s">
        <v>1262</v>
      </c>
      <c r="AJ1" s="158" t="s">
        <v>1263</v>
      </c>
      <c r="AK1" s="158" t="s">
        <v>1264</v>
      </c>
      <c r="AL1" s="158" t="s">
        <v>1265</v>
      </c>
      <c r="AM1" s="158" t="s">
        <v>1266</v>
      </c>
      <c r="AN1" s="158" t="s">
        <v>1267</v>
      </c>
      <c r="AO1" s="158" t="s">
        <v>1268</v>
      </c>
      <c r="AP1" s="158" t="s">
        <v>1269</v>
      </c>
      <c r="AQ1" s="158" t="s">
        <v>1270</v>
      </c>
      <c r="AR1" s="158" t="s">
        <v>1271</v>
      </c>
      <c r="AS1" s="158" t="s">
        <v>1272</v>
      </c>
      <c r="AT1" s="158" t="s">
        <v>1273</v>
      </c>
      <c r="AU1" s="158" t="s">
        <v>1274</v>
      </c>
      <c r="AV1" s="158" t="s">
        <v>1275</v>
      </c>
      <c r="AW1" s="158" t="s">
        <v>1276</v>
      </c>
      <c r="AX1" s="158" t="s">
        <v>1277</v>
      </c>
      <c r="AY1" s="158" t="s">
        <v>1278</v>
      </c>
      <c r="AZ1" s="158" t="s">
        <v>1279</v>
      </c>
      <c r="BA1" s="158" t="s">
        <v>1280</v>
      </c>
      <c r="BB1" s="159" t="s">
        <v>1281</v>
      </c>
    </row>
    <row r="2" spans="1:54" s="135" customFormat="1" x14ac:dyDescent="0.2">
      <c r="A2" s="151" t="s">
        <v>1222</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1225</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1223</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1222</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1224</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Yang, Eric</DisplayName>
        <AccountId>5509</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2.xml><?xml version="1.0" encoding="utf-8"?>
<ds:datastoreItem xmlns:ds="http://schemas.openxmlformats.org/officeDocument/2006/customXml" ds:itemID="{B92F90DD-8A63-4584-ADBE-B306F81BAE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Feature Summary</vt:lpstr>
      <vt:lpstr>Sub-IP Block Summary</vt:lpstr>
      <vt:lpstr>Feature Raw Data</vt:lpstr>
      <vt:lpstr>Progress (WIP)</vt:lpstr>
      <vt:lpstr>Coverage Plan</vt:lpstr>
      <vt:lpstr>Progress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2024-03-25T19:46:31Z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