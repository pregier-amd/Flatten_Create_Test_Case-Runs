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8_{B782D317-EC05-49A6-8ED5-0B6C5BBA6958}" xr6:coauthVersionLast="36" xr6:coauthVersionMax="47" xr10:uidLastSave="{00000000-0000-0000-0000-000000000000}"/>
  <bookViews>
    <workbookView xWindow="-108" yWindow="-108" windowWidth="23256" windowHeight="14016" firstSheet="4" activeTab="7"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Data'!$A$5:$AH$5</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8"/>
  <pivotCaches>
    <pivotCache cacheId="6667" r:id="rId12"/>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8" i="53" l="1"/>
  <c r="Z8" i="53"/>
  <c r="AE8" i="53"/>
  <c r="S8" i="53"/>
  <c r="X8" i="53"/>
  <c r="P8" i="53"/>
  <c r="C9" i="55"/>
  <c r="G8" i="53"/>
  <c r="R41" i="53"/>
  <c r="I30" i="55"/>
  <c r="I31" i="55"/>
  <c r="I32" i="55"/>
  <c r="I33" i="55"/>
  <c r="I34" i="55"/>
  <c r="I35" i="55"/>
  <c r="I36" i="55"/>
  <c r="I37" i="55"/>
  <c r="D30" i="55" a="1"/>
  <c r="D30" i="55"/>
  <c r="G30" i="55"/>
  <c r="D37" i="55" a="1"/>
  <c r="D37" i="55"/>
  <c r="G37" i="55"/>
  <c r="F37" i="55"/>
  <c r="E37" i="55"/>
  <c r="C37" i="55"/>
  <c r="B37" i="55"/>
  <c r="F36" i="55"/>
  <c r="AG30" i="53"/>
  <c r="Z30" i="53"/>
  <c r="AE30" i="53"/>
  <c r="S30" i="53"/>
  <c r="X30" i="53"/>
  <c r="P30" i="53"/>
  <c r="C27" i="55"/>
  <c r="I10" i="52"/>
  <c r="I11" i="52"/>
  <c r="I12" i="52"/>
  <c r="I13" i="52"/>
  <c r="Z34" i="53"/>
  <c r="P34" i="55"/>
  <c r="S34" i="55"/>
  <c r="Q34" i="55"/>
  <c r="J34" i="55"/>
  <c r="R34" i="55"/>
  <c r="P35" i="55"/>
  <c r="Q35" i="55"/>
  <c r="J35" i="55"/>
  <c r="R35" i="55"/>
  <c r="S35" i="55"/>
  <c r="T35" i="55"/>
  <c r="P36" i="55"/>
  <c r="S36" i="55"/>
  <c r="Q36" i="55"/>
  <c r="J36" i="55"/>
  <c r="R36" i="55"/>
  <c r="P38" i="55"/>
  <c r="S38" i="55"/>
  <c r="Q38" i="55"/>
  <c r="J38" i="55"/>
  <c r="R38" i="55"/>
  <c r="T41" i="53"/>
  <c r="U41" i="53"/>
  <c r="N38" i="55" a="1"/>
  <c r="N38" i="55"/>
  <c r="P7" i="53"/>
  <c r="P10" i="53"/>
  <c r="P12" i="53"/>
  <c r="P15" i="53"/>
  <c r="P18" i="53"/>
  <c r="P19" i="53"/>
  <c r="P20" i="53"/>
  <c r="P22" i="53"/>
  <c r="P34" i="53"/>
  <c r="K41" i="53"/>
  <c r="P6" i="53"/>
  <c r="P11" i="53"/>
  <c r="P14" i="53"/>
  <c r="P16" i="53"/>
  <c r="P33" i="53"/>
  <c r="P13" i="53"/>
  <c r="P21" i="53"/>
  <c r="P28" i="53"/>
  <c r="P32" i="53"/>
  <c r="P9" i="53"/>
  <c r="P17" i="53"/>
  <c r="P23" i="53"/>
  <c r="P24" i="53"/>
  <c r="P25" i="53"/>
  <c r="P26" i="53"/>
  <c r="P27" i="53"/>
  <c r="P29" i="53"/>
  <c r="P31" i="53"/>
  <c r="P41" i="53"/>
  <c r="L41" i="55"/>
  <c r="D34" i="55" a="1"/>
  <c r="D34" i="55"/>
  <c r="L41" i="53"/>
  <c r="D35" i="55" a="1"/>
  <c r="D35" i="55"/>
  <c r="D36" i="55" a="1"/>
  <c r="D36" i="55"/>
  <c r="D38" i="55" a="1"/>
  <c r="D38" i="55"/>
  <c r="G38" i="55"/>
  <c r="C34" i="55"/>
  <c r="G34" i="53"/>
  <c r="C35" i="55"/>
  <c r="G35" i="53"/>
  <c r="C36" i="55"/>
  <c r="G36" i="53"/>
  <c r="C38" i="55"/>
  <c r="G38" i="53"/>
  <c r="I38" i="55"/>
  <c r="G36" i="55"/>
  <c r="F34" i="55"/>
  <c r="F35" i="55"/>
  <c r="F38" i="55"/>
  <c r="E30" i="55"/>
  <c r="E31" i="55"/>
  <c r="E32" i="55"/>
  <c r="E34" i="55"/>
  <c r="E35" i="55"/>
  <c r="E36" i="55"/>
  <c r="E38" i="55"/>
  <c r="B34" i="55"/>
  <c r="B35" i="55"/>
  <c r="B36" i="55"/>
  <c r="B38" i="55"/>
  <c r="G37" i="53"/>
  <c r="C33" i="55"/>
  <c r="S34" i="53"/>
  <c r="AG33" i="53"/>
  <c r="Z33" i="53"/>
  <c r="AE33" i="53"/>
  <c r="S33" i="53"/>
  <c r="X33" i="53"/>
  <c r="C29" i="55"/>
  <c r="C30" i="55"/>
  <c r="G33" i="53"/>
  <c r="J33" i="55"/>
  <c r="R33" i="55"/>
  <c r="P33" i="55"/>
  <c r="S33" i="55"/>
  <c r="Q33" i="55"/>
  <c r="D33" i="55" a="1"/>
  <c r="D33" i="55"/>
  <c r="L33" i="55" a="1"/>
  <c r="L33" i="55"/>
  <c r="N41" i="53"/>
  <c r="G33" i="55"/>
  <c r="F33" i="55"/>
  <c r="E33" i="55"/>
  <c r="B33" i="55"/>
  <c r="J32" i="55"/>
  <c r="R32" i="55"/>
  <c r="P32" i="55"/>
  <c r="S32" i="55"/>
  <c r="Q32" i="55"/>
  <c r="D32" i="55" a="1"/>
  <c r="D32" i="55"/>
  <c r="F32" i="55"/>
  <c r="C32" i="55"/>
  <c r="B32" i="55"/>
  <c r="J31" i="55"/>
  <c r="R31" i="55"/>
  <c r="P31" i="55"/>
  <c r="S31" i="55"/>
  <c r="T31" i="55"/>
  <c r="Q31" i="55"/>
  <c r="M31" i="55" a="1"/>
  <c r="M31" i="55"/>
  <c r="O31" i="55"/>
  <c r="D31" i="55" a="1"/>
  <c r="D31" i="55"/>
  <c r="F31" i="55"/>
  <c r="C31" i="55"/>
  <c r="B31" i="55"/>
  <c r="J30" i="55"/>
  <c r="R30" i="55"/>
  <c r="P30" i="55"/>
  <c r="S30" i="55"/>
  <c r="Q30" i="55"/>
  <c r="F30" i="55"/>
  <c r="B30" i="55"/>
  <c r="J29" i="55"/>
  <c r="Z32" i="53"/>
  <c r="P29" i="55"/>
  <c r="Q29" i="55"/>
  <c r="S29" i="55"/>
  <c r="D29" i="55" a="1"/>
  <c r="D29" i="55"/>
  <c r="K29" i="55" a="1"/>
  <c r="K29" i="55"/>
  <c r="I29" i="55"/>
  <c r="F29" i="55"/>
  <c r="E29" i="55"/>
  <c r="B29" i="55"/>
  <c r="Z7" i="53"/>
  <c r="Z9" i="53"/>
  <c r="P9" i="55"/>
  <c r="AE9" i="53"/>
  <c r="Z10" i="53"/>
  <c r="AE10" i="53"/>
  <c r="Z11" i="53"/>
  <c r="P11" i="55"/>
  <c r="Z12" i="53"/>
  <c r="P12" i="55"/>
  <c r="S12" i="55"/>
  <c r="Z13" i="53"/>
  <c r="AE13" i="53"/>
  <c r="Z14" i="53"/>
  <c r="AE14" i="53"/>
  <c r="Z15" i="53"/>
  <c r="AE15" i="53"/>
  <c r="Z16" i="53"/>
  <c r="AE16" i="53"/>
  <c r="Z17" i="53"/>
  <c r="AE17" i="53"/>
  <c r="Z18" i="53"/>
  <c r="AE18" i="53"/>
  <c r="Z19" i="53"/>
  <c r="P18" i="55"/>
  <c r="S18" i="55"/>
  <c r="Z20" i="53"/>
  <c r="AE20" i="53"/>
  <c r="P19" i="55"/>
  <c r="Z21" i="53"/>
  <c r="AE21" i="53"/>
  <c r="Z22" i="53"/>
  <c r="AE22" i="53"/>
  <c r="Z23" i="53"/>
  <c r="AE23" i="53"/>
  <c r="Z24" i="53"/>
  <c r="AE24" i="53"/>
  <c r="Z25" i="53"/>
  <c r="AE25" i="53"/>
  <c r="Z26" i="53"/>
  <c r="AE26" i="53"/>
  <c r="Z27" i="53"/>
  <c r="AE27" i="53"/>
  <c r="Z28" i="53"/>
  <c r="P24" i="55"/>
  <c r="Z29" i="53"/>
  <c r="P26" i="55"/>
  <c r="J26" i="55"/>
  <c r="Z31" i="53"/>
  <c r="AE31" i="53"/>
  <c r="AE34" i="53"/>
  <c r="S13" i="53"/>
  <c r="X13" i="53"/>
  <c r="S16" i="53"/>
  <c r="X16" i="53"/>
  <c r="S7" i="53"/>
  <c r="X7" i="53"/>
  <c r="S9" i="53"/>
  <c r="X9" i="53"/>
  <c r="S10" i="53"/>
  <c r="X10" i="53"/>
  <c r="S11" i="53"/>
  <c r="X11" i="53"/>
  <c r="S12" i="53"/>
  <c r="X12" i="53"/>
  <c r="S14" i="53"/>
  <c r="X14" i="53"/>
  <c r="S15" i="53"/>
  <c r="X15" i="53"/>
  <c r="S17" i="53"/>
  <c r="X17" i="53"/>
  <c r="S18" i="53"/>
  <c r="X18" i="53"/>
  <c r="S19" i="53"/>
  <c r="X19" i="53"/>
  <c r="S20" i="53"/>
  <c r="X20" i="53"/>
  <c r="S21" i="53"/>
  <c r="X21" i="53"/>
  <c r="S22" i="53"/>
  <c r="X22" i="53"/>
  <c r="S23" i="53"/>
  <c r="X23" i="53"/>
  <c r="S24" i="53"/>
  <c r="X24" i="53"/>
  <c r="S25" i="53"/>
  <c r="X25" i="53"/>
  <c r="S26" i="53"/>
  <c r="X26" i="53"/>
  <c r="S27" i="53"/>
  <c r="X27" i="53"/>
  <c r="S28" i="53"/>
  <c r="X28" i="53"/>
  <c r="S29" i="53"/>
  <c r="X29" i="53"/>
  <c r="S31" i="53"/>
  <c r="X31" i="53"/>
  <c r="S32" i="53"/>
  <c r="X32" i="53"/>
  <c r="X34" i="53"/>
  <c r="Q28" i="55"/>
  <c r="J28" i="55"/>
  <c r="I28" i="55"/>
  <c r="F28" i="55"/>
  <c r="E28" i="55"/>
  <c r="D28" i="55" a="1"/>
  <c r="D28" i="55"/>
  <c r="C28" i="55"/>
  <c r="G32" i="53"/>
  <c r="B27" i="55"/>
  <c r="B28" i="55"/>
  <c r="Q27" i="55"/>
  <c r="P27" i="55"/>
  <c r="S27" i="55"/>
  <c r="R27" i="55"/>
  <c r="T27" i="55"/>
  <c r="J27" i="55"/>
  <c r="I27" i="55"/>
  <c r="F27" i="55"/>
  <c r="E27" i="55"/>
  <c r="D27" i="55" a="1"/>
  <c r="D27" i="55"/>
  <c r="G31" i="53"/>
  <c r="AG31" i="53"/>
  <c r="O2" i="53"/>
  <c r="AA41" i="53"/>
  <c r="AA2" i="53"/>
  <c r="Z6" i="53"/>
  <c r="AE6" i="53"/>
  <c r="S6" i="53"/>
  <c r="Q10" i="55"/>
  <c r="Q12" i="55"/>
  <c r="Q13" i="55"/>
  <c r="Q14" i="55"/>
  <c r="Q7" i="55"/>
  <c r="Q8" i="55"/>
  <c r="Q9" i="55"/>
  <c r="Q11" i="55"/>
  <c r="Q15" i="55"/>
  <c r="Q16" i="55"/>
  <c r="Q17" i="55"/>
  <c r="Q18" i="55"/>
  <c r="Q19" i="55"/>
  <c r="Q20" i="55"/>
  <c r="Q21" i="55"/>
  <c r="Q22" i="55"/>
  <c r="Q23" i="55"/>
  <c r="Q24" i="55"/>
  <c r="Q25" i="55"/>
  <c r="Q26" i="55"/>
  <c r="C7" i="55"/>
  <c r="AB4" i="55"/>
  <c r="C8" i="55"/>
  <c r="G7" i="53"/>
  <c r="G9" i="53"/>
  <c r="C10" i="55"/>
  <c r="G10" i="53"/>
  <c r="C11" i="55"/>
  <c r="C12" i="55"/>
  <c r="G13" i="53"/>
  <c r="C13" i="55"/>
  <c r="C14" i="55"/>
  <c r="C15" i="55"/>
  <c r="C16" i="55"/>
  <c r="C17" i="55"/>
  <c r="C18" i="55"/>
  <c r="C19" i="55"/>
  <c r="C20" i="55"/>
  <c r="G21" i="53"/>
  <c r="C21" i="55"/>
  <c r="G22" i="53"/>
  <c r="C22" i="55"/>
  <c r="G24" i="53"/>
  <c r="C23" i="55"/>
  <c r="G25" i="53"/>
  <c r="C24" i="55"/>
  <c r="G28" i="53"/>
  <c r="C25" i="55"/>
  <c r="G29" i="53"/>
  <c r="C26" i="55"/>
  <c r="G30" i="53"/>
  <c r="P16" i="55"/>
  <c r="S16" i="55"/>
  <c r="J23" i="55"/>
  <c r="P25" i="55"/>
  <c r="J10" i="55"/>
  <c r="J12" i="55"/>
  <c r="J13" i="55"/>
  <c r="J14" i="55"/>
  <c r="J7" i="55"/>
  <c r="J8" i="55"/>
  <c r="P8" i="55"/>
  <c r="R8" i="55"/>
  <c r="S8" i="55"/>
  <c r="T8" i="55"/>
  <c r="J9" i="55"/>
  <c r="J11" i="55"/>
  <c r="R11" i="55"/>
  <c r="J15" i="55"/>
  <c r="J16" i="55"/>
  <c r="J17" i="55"/>
  <c r="J18" i="55"/>
  <c r="J19" i="55"/>
  <c r="J20" i="55"/>
  <c r="P20" i="55"/>
  <c r="R20" i="55"/>
  <c r="S20" i="55"/>
  <c r="T20" i="55"/>
  <c r="J21" i="55"/>
  <c r="J22" i="55"/>
  <c r="J24" i="55"/>
  <c r="J25" i="55"/>
  <c r="K2" i="53"/>
  <c r="H6" i="59"/>
  <c r="V41" i="53"/>
  <c r="D8" i="55" a="1"/>
  <c r="D8" i="55"/>
  <c r="G8" i="55"/>
  <c r="D9" i="55" a="1"/>
  <c r="D9" i="55"/>
  <c r="D10" i="55" a="1"/>
  <c r="D10" i="55"/>
  <c r="D11" i="55" a="1"/>
  <c r="D11" i="55"/>
  <c r="D12" i="55" a="1"/>
  <c r="D12" i="55"/>
  <c r="D13" i="55" a="1"/>
  <c r="D13" i="55"/>
  <c r="H13" i="55"/>
  <c r="D14" i="55" a="1"/>
  <c r="D14" i="55"/>
  <c r="D15" i="55" a="1"/>
  <c r="D15" i="55"/>
  <c r="G15" i="55"/>
  <c r="D16" i="55" a="1"/>
  <c r="D16" i="55"/>
  <c r="D17" i="55" a="1"/>
  <c r="D17" i="55"/>
  <c r="D18" i="55" a="1"/>
  <c r="D18" i="55"/>
  <c r="G18" i="55"/>
  <c r="D19" i="55" a="1"/>
  <c r="D19" i="55"/>
  <c r="L19" i="55" a="1"/>
  <c r="L19" i="55"/>
  <c r="D20" i="55" a="1"/>
  <c r="D20" i="55"/>
  <c r="D21" i="55" a="1"/>
  <c r="D21" i="55"/>
  <c r="D22" i="55" a="1"/>
  <c r="D22" i="55"/>
  <c r="L22" i="55" a="1"/>
  <c r="L22" i="55"/>
  <c r="D23" i="55" a="1"/>
  <c r="D23" i="55"/>
  <c r="D24" i="55" a="1"/>
  <c r="D24" i="55"/>
  <c r="G24" i="55"/>
  <c r="D25" i="55" a="1"/>
  <c r="D25" i="55"/>
  <c r="D26" i="55" a="1"/>
  <c r="D26" i="55"/>
  <c r="G26" i="55"/>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41" i="53"/>
  <c r="B8" i="55"/>
  <c r="B9" i="55"/>
  <c r="B10" i="55"/>
  <c r="B11" i="55"/>
  <c r="B12" i="55"/>
  <c r="B13" i="55"/>
  <c r="B14" i="55"/>
  <c r="B15" i="55"/>
  <c r="B16" i="55"/>
  <c r="B17" i="55"/>
  <c r="B18" i="55"/>
  <c r="B19" i="55"/>
  <c r="B20" i="55"/>
  <c r="B21" i="55"/>
  <c r="B22" i="55"/>
  <c r="B23" i="55"/>
  <c r="B24" i="55"/>
  <c r="B25" i="55"/>
  <c r="B26" i="55"/>
  <c r="T2" i="53"/>
  <c r="R2" i="53"/>
  <c r="D7" i="55" a="1"/>
  <c r="D7" i="55"/>
  <c r="AC41" i="53"/>
  <c r="AB41" i="53"/>
  <c r="Q41" i="55"/>
  <c r="AD41" i="53"/>
  <c r="AB2" i="53"/>
  <c r="AD2" i="53"/>
  <c r="AC2" i="53"/>
  <c r="AG34" i="53"/>
  <c r="I6" i="52"/>
  <c r="S21" i="59"/>
  <c r="R21" i="59"/>
  <c r="Q21" i="59"/>
  <c r="P21" i="59"/>
  <c r="K21" i="59"/>
  <c r="J21" i="59"/>
  <c r="I21" i="59"/>
  <c r="H21" i="59"/>
  <c r="E21" i="59"/>
  <c r="D21" i="59"/>
  <c r="C21" i="59"/>
  <c r="N21" i="59"/>
  <c r="B21" i="59"/>
  <c r="F21" i="59"/>
  <c r="S20" i="59"/>
  <c r="R20" i="59"/>
  <c r="Q20" i="59"/>
  <c r="P20" i="59"/>
  <c r="P15" i="59"/>
  <c r="P16" i="59"/>
  <c r="P17" i="59"/>
  <c r="P18" i="59"/>
  <c r="P19" i="59"/>
  <c r="P22" i="59"/>
  <c r="K20" i="59"/>
  <c r="J20" i="59"/>
  <c r="I20" i="59"/>
  <c r="H20" i="59"/>
  <c r="E20" i="59"/>
  <c r="E15" i="59"/>
  <c r="E16" i="59"/>
  <c r="E17" i="59"/>
  <c r="E18" i="59"/>
  <c r="E19" i="59"/>
  <c r="D20" i="59"/>
  <c r="C20" i="59"/>
  <c r="L20" i="59"/>
  <c r="B20" i="59"/>
  <c r="T20" i="59"/>
  <c r="S19" i="59"/>
  <c r="R19" i="59"/>
  <c r="Q19" i="59"/>
  <c r="B16" i="59"/>
  <c r="T16" i="59"/>
  <c r="K19" i="59"/>
  <c r="J19" i="59"/>
  <c r="I19" i="59"/>
  <c r="H19" i="59"/>
  <c r="D19" i="59"/>
  <c r="C19" i="59"/>
  <c r="N19" i="59"/>
  <c r="L19" i="59"/>
  <c r="B19" i="59"/>
  <c r="T19" i="59"/>
  <c r="S18" i="59"/>
  <c r="R18" i="59"/>
  <c r="Q18" i="59"/>
  <c r="Q15" i="59"/>
  <c r="Q22" i="59"/>
  <c r="Q16" i="59"/>
  <c r="Q17" i="59"/>
  <c r="O18" i="59"/>
  <c r="U18" i="59"/>
  <c r="K18" i="59"/>
  <c r="J18" i="59"/>
  <c r="I18" i="59"/>
  <c r="H18" i="59"/>
  <c r="H15" i="59"/>
  <c r="H16" i="59"/>
  <c r="H17" i="59"/>
  <c r="G18" i="59"/>
  <c r="M18" i="59"/>
  <c r="D18" i="59"/>
  <c r="C18" i="59"/>
  <c r="L18" i="59"/>
  <c r="N18" i="59"/>
  <c r="B18" i="59"/>
  <c r="T18" i="59"/>
  <c r="F18" i="59"/>
  <c r="S17" i="59"/>
  <c r="R17" i="59"/>
  <c r="B17" i="59"/>
  <c r="F17" i="59"/>
  <c r="K17" i="59"/>
  <c r="J17" i="59"/>
  <c r="I17" i="59"/>
  <c r="D17" i="59"/>
  <c r="C17" i="59"/>
  <c r="N17" i="59"/>
  <c r="S16" i="59"/>
  <c r="S22" i="59"/>
  <c r="R16" i="59"/>
  <c r="K16" i="59"/>
  <c r="J16" i="59"/>
  <c r="J22" i="59"/>
  <c r="J15" i="59"/>
  <c r="I16" i="59"/>
  <c r="D16" i="59"/>
  <c r="D15" i="59"/>
  <c r="C16" i="59"/>
  <c r="L16" i="59"/>
  <c r="S15" i="59"/>
  <c r="R15" i="59"/>
  <c r="K15" i="59"/>
  <c r="I15" i="59"/>
  <c r="C15" i="59"/>
  <c r="L15" i="59"/>
  <c r="B15" i="59"/>
  <c r="F15" i="59"/>
  <c r="S28" i="59"/>
  <c r="R28" i="59"/>
  <c r="Q28" i="59"/>
  <c r="P28" i="59"/>
  <c r="B28" i="59"/>
  <c r="K28" i="59"/>
  <c r="J28" i="59"/>
  <c r="I28" i="59"/>
  <c r="C28" i="59"/>
  <c r="H28" i="59"/>
  <c r="N28" i="59"/>
  <c r="E28" i="59"/>
  <c r="D28" i="59"/>
  <c r="S27" i="59"/>
  <c r="R27" i="59"/>
  <c r="R26" i="59"/>
  <c r="R29" i="59"/>
  <c r="R30" i="59"/>
  <c r="R31" i="59"/>
  <c r="R32" i="59"/>
  <c r="Q27" i="59"/>
  <c r="P27" i="59"/>
  <c r="K27" i="59"/>
  <c r="J27" i="59"/>
  <c r="I27" i="59"/>
  <c r="H27" i="59"/>
  <c r="C27" i="59"/>
  <c r="N27" i="59"/>
  <c r="E27" i="59"/>
  <c r="B27" i="59"/>
  <c r="T27" i="59"/>
  <c r="O27" i="59"/>
  <c r="U27" i="59"/>
  <c r="D27" i="59"/>
  <c r="D26" i="59"/>
  <c r="D33" i="59"/>
  <c r="D29" i="59"/>
  <c r="D30" i="59"/>
  <c r="D31" i="59"/>
  <c r="D32" i="59"/>
  <c r="S31" i="59"/>
  <c r="Q31" i="59"/>
  <c r="P31" i="59"/>
  <c r="B31" i="59"/>
  <c r="F31" i="59"/>
  <c r="K31" i="59"/>
  <c r="K33" i="59"/>
  <c r="J31" i="59"/>
  <c r="J33" i="59"/>
  <c r="I31" i="59"/>
  <c r="H31" i="59"/>
  <c r="G31" i="59"/>
  <c r="M31" i="59"/>
  <c r="E31" i="59"/>
  <c r="C31" i="59"/>
  <c r="L31" i="59"/>
  <c r="S30" i="59"/>
  <c r="Q30" i="59"/>
  <c r="P30" i="59"/>
  <c r="B30" i="59"/>
  <c r="T30" i="59"/>
  <c r="K30" i="59"/>
  <c r="J30" i="59"/>
  <c r="I30" i="59"/>
  <c r="C30" i="59"/>
  <c r="N30" i="59"/>
  <c r="H30" i="59"/>
  <c r="G30" i="59"/>
  <c r="G26" i="59"/>
  <c r="G27" i="59"/>
  <c r="G28" i="59"/>
  <c r="G29" i="59"/>
  <c r="G32" i="59"/>
  <c r="G33" i="59"/>
  <c r="M30" i="59"/>
  <c r="E30" i="59"/>
  <c r="S29" i="59"/>
  <c r="Q29" i="59"/>
  <c r="P29" i="59"/>
  <c r="K29" i="59"/>
  <c r="K26" i="59"/>
  <c r="K32" i="59"/>
  <c r="J29" i="59"/>
  <c r="I29" i="59"/>
  <c r="H29" i="59"/>
  <c r="E29" i="59"/>
  <c r="C29" i="59"/>
  <c r="N29" i="59"/>
  <c r="L29" i="59"/>
  <c r="M29" i="59"/>
  <c r="B29" i="59"/>
  <c r="V29" i="59"/>
  <c r="F29" i="59"/>
  <c r="S26" i="59"/>
  <c r="Q26" i="59"/>
  <c r="Q32" i="59"/>
  <c r="P26" i="59"/>
  <c r="J26" i="59"/>
  <c r="J32" i="59"/>
  <c r="I26" i="59"/>
  <c r="I32" i="59"/>
  <c r="H26" i="59"/>
  <c r="C26" i="59"/>
  <c r="L26" i="59"/>
  <c r="E26" i="59"/>
  <c r="C32" i="59"/>
  <c r="N32" i="59"/>
  <c r="M32" i="59"/>
  <c r="B26" i="59"/>
  <c r="T26" i="59"/>
  <c r="F26" i="59"/>
  <c r="S32" i="59"/>
  <c r="P32" i="59"/>
  <c r="H32" i="59"/>
  <c r="E32" i="59"/>
  <c r="B32" i="59"/>
  <c r="F32" i="59"/>
  <c r="S8" i="59"/>
  <c r="R8" i="59"/>
  <c r="Q8" i="59"/>
  <c r="P8" i="59"/>
  <c r="B8" i="59"/>
  <c r="V8" i="59"/>
  <c r="K8" i="59"/>
  <c r="J8" i="59"/>
  <c r="I8" i="59"/>
  <c r="G8" i="59"/>
  <c r="M8" i="59"/>
  <c r="H8" i="59"/>
  <c r="C8" i="59"/>
  <c r="L8" i="59"/>
  <c r="E8" i="59"/>
  <c r="E4" i="59"/>
  <c r="E5" i="59"/>
  <c r="E6" i="59"/>
  <c r="E7" i="59"/>
  <c r="E9" i="59"/>
  <c r="E10" i="59"/>
  <c r="D8" i="59"/>
  <c r="S7" i="59"/>
  <c r="R7" i="59"/>
  <c r="R4" i="59"/>
  <c r="R11" i="59"/>
  <c r="R5" i="59"/>
  <c r="R6" i="59"/>
  <c r="R9" i="59"/>
  <c r="R10" i="59"/>
  <c r="Q7" i="59"/>
  <c r="P7" i="59"/>
  <c r="P4" i="59"/>
  <c r="P5" i="59"/>
  <c r="P6" i="59"/>
  <c r="P9" i="59"/>
  <c r="P10" i="59"/>
  <c r="P11" i="59"/>
  <c r="K7" i="59"/>
  <c r="J7" i="59"/>
  <c r="I7" i="59"/>
  <c r="C7" i="59"/>
  <c r="L7" i="59"/>
  <c r="H7" i="59"/>
  <c r="D7" i="59"/>
  <c r="B7" i="59"/>
  <c r="F7" i="59"/>
  <c r="O7" i="59"/>
  <c r="U7" i="59"/>
  <c r="S6" i="59"/>
  <c r="Q6" i="59"/>
  <c r="Q4" i="59"/>
  <c r="Q5" i="59"/>
  <c r="Q9" i="59"/>
  <c r="Q10" i="59"/>
  <c r="K6" i="59"/>
  <c r="J6" i="59"/>
  <c r="I6" i="59"/>
  <c r="B4" i="59"/>
  <c r="F4" i="59"/>
  <c r="B10" i="59"/>
  <c r="V10" i="59"/>
  <c r="D6" i="59"/>
  <c r="C6" i="59"/>
  <c r="N6" i="59"/>
  <c r="B6" i="59"/>
  <c r="S5" i="59"/>
  <c r="B9" i="59"/>
  <c r="K5" i="59"/>
  <c r="J5" i="59"/>
  <c r="I5" i="59"/>
  <c r="H5" i="59"/>
  <c r="C5" i="59"/>
  <c r="L5" i="59"/>
  <c r="C4" i="59"/>
  <c r="L4" i="59"/>
  <c r="C9" i="59"/>
  <c r="L9" i="59"/>
  <c r="H9" i="59"/>
  <c r="C10" i="59"/>
  <c r="N10" i="59"/>
  <c r="L10" i="59"/>
  <c r="D5" i="59"/>
  <c r="D4" i="59"/>
  <c r="D11" i="59"/>
  <c r="D9" i="59"/>
  <c r="D10" i="59"/>
  <c r="B5" i="59"/>
  <c r="T5" i="59"/>
  <c r="S4" i="59"/>
  <c r="S9" i="59"/>
  <c r="S10" i="59"/>
  <c r="K4" i="59"/>
  <c r="J4" i="59"/>
  <c r="I4" i="59"/>
  <c r="H4" i="59"/>
  <c r="H10" i="59"/>
  <c r="H11" i="59"/>
  <c r="C11" i="59"/>
  <c r="N11" i="59"/>
  <c r="K9" i="59"/>
  <c r="J9" i="59"/>
  <c r="I9" i="59"/>
  <c r="I11" i="59"/>
  <c r="G9" i="59"/>
  <c r="M9" i="59"/>
  <c r="AG9" i="53"/>
  <c r="AG7" i="53"/>
  <c r="G19" i="59"/>
  <c r="M19" i="59"/>
  <c r="AG32" i="53"/>
  <c r="AG29" i="53"/>
  <c r="AG23" i="53"/>
  <c r="AG22" i="53"/>
  <c r="AG21" i="53"/>
  <c r="AG20" i="53"/>
  <c r="AG19" i="53"/>
  <c r="AG18" i="53"/>
  <c r="AG17" i="53"/>
  <c r="AG16" i="53"/>
  <c r="AG15" i="53"/>
  <c r="AG14" i="53"/>
  <c r="AG12" i="53"/>
  <c r="AG11" i="53"/>
  <c r="AG10" i="53"/>
  <c r="B7" i="55"/>
  <c r="I7" i="55"/>
  <c r="W2" i="53"/>
  <c r="V2" i="53"/>
  <c r="U2" i="53"/>
  <c r="K10" i="59"/>
  <c r="J10" i="59"/>
  <c r="I10" i="59"/>
  <c r="G10" i="59"/>
  <c r="M10" i="59"/>
  <c r="AG6" i="53"/>
  <c r="E7" i="55"/>
  <c r="I3" i="52"/>
  <c r="I9" i="52"/>
  <c r="I8" i="52"/>
  <c r="I7" i="52"/>
  <c r="I5" i="52"/>
  <c r="I4" i="52"/>
  <c r="W41" i="53"/>
  <c r="C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G12" i="26"/>
  <c r="Y14" i="26"/>
  <c r="F7" i="55"/>
  <c r="O30" i="59"/>
  <c r="U30" i="59"/>
  <c r="G20" i="59"/>
  <c r="M20" i="59"/>
  <c r="O20" i="59"/>
  <c r="U20" i="59"/>
  <c r="M41" i="55"/>
  <c r="N41" i="55"/>
  <c r="O2" i="55"/>
  <c r="O19" i="59"/>
  <c r="U19" i="59"/>
  <c r="G15" i="59"/>
  <c r="M15" i="59"/>
  <c r="O15" i="59"/>
  <c r="U15" i="59"/>
  <c r="G21" i="59"/>
  <c r="M21" i="59"/>
  <c r="O21" i="59"/>
  <c r="U21" i="59"/>
  <c r="O9" i="59"/>
  <c r="U9" i="59"/>
  <c r="G16" i="59"/>
  <c r="M16" i="59"/>
  <c r="O29" i="59"/>
  <c r="O16" i="59"/>
  <c r="U16" i="59"/>
  <c r="O31" i="59"/>
  <c r="U31" i="59"/>
  <c r="X6" i="53"/>
  <c r="G7" i="59"/>
  <c r="M7" i="59"/>
  <c r="O8" i="59"/>
  <c r="U8" i="59"/>
  <c r="O26" i="59"/>
  <c r="U26" i="59"/>
  <c r="O4" i="59"/>
  <c r="U4" i="59"/>
  <c r="O10" i="59"/>
  <c r="M27" i="59"/>
  <c r="G5" i="59"/>
  <c r="M5" i="59"/>
  <c r="O32" i="59"/>
  <c r="U32" i="59"/>
  <c r="O5" i="59"/>
  <c r="U5" i="59"/>
  <c r="G4" i="59"/>
  <c r="N26" i="55" a="1"/>
  <c r="N26" i="55"/>
  <c r="N11" i="55" a="1"/>
  <c r="N11" i="55"/>
  <c r="N19" i="55" a="1"/>
  <c r="N19" i="55"/>
  <c r="AB12" i="26"/>
  <c r="I14" i="26"/>
  <c r="F14" i="26"/>
  <c r="E12" i="26"/>
  <c r="B12" i="26"/>
  <c r="AH14" i="26"/>
  <c r="P14" i="26"/>
  <c r="K14" i="26"/>
  <c r="AA12" i="26"/>
  <c r="N12" i="26"/>
  <c r="V12" i="26"/>
  <c r="R14" i="26"/>
  <c r="M9" i="55" a="1"/>
  <c r="M9" i="55"/>
  <c r="M16" i="55" a="1"/>
  <c r="M16" i="55"/>
  <c r="O16" i="55"/>
  <c r="M12" i="55" a="1"/>
  <c r="M12" i="55"/>
  <c r="N12" i="55" a="1"/>
  <c r="N12" i="55"/>
  <c r="S11" i="55"/>
  <c r="D12" i="26"/>
  <c r="G2" i="26"/>
  <c r="AH12" i="26"/>
  <c r="M22" i="55" a="1"/>
  <c r="M22" i="55"/>
  <c r="N22" i="55" a="1"/>
  <c r="N22" i="55"/>
  <c r="N10" i="55" a="1"/>
  <c r="N10" i="55"/>
  <c r="M23" i="55" a="1"/>
  <c r="M23" i="55"/>
  <c r="N23" i="55" a="1"/>
  <c r="N23" i="55"/>
  <c r="AK12" i="26"/>
  <c r="W14" i="26"/>
  <c r="T14" i="26"/>
  <c r="K12" i="26"/>
  <c r="AL12" i="26"/>
  <c r="N27" i="55" a="1"/>
  <c r="N27" i="55"/>
  <c r="P15" i="55"/>
  <c r="S15" i="55"/>
  <c r="P14" i="55"/>
  <c r="R14" i="55"/>
  <c r="P13" i="55"/>
  <c r="AE29" i="53"/>
  <c r="N13" i="55" a="1"/>
  <c r="N13" i="55"/>
  <c r="P22" i="55"/>
  <c r="S22" i="55"/>
  <c r="R22" i="55"/>
  <c r="T22" i="55"/>
  <c r="N28" i="55" a="1"/>
  <c r="N28" i="55"/>
  <c r="O6" i="59"/>
  <c r="U6" i="59"/>
  <c r="M28" i="55" a="1"/>
  <c r="M28" i="55"/>
  <c r="O17" i="59"/>
  <c r="T17" i="59"/>
  <c r="U17" i="59"/>
  <c r="P21" i="55"/>
  <c r="S21" i="55"/>
  <c r="R21" i="55"/>
  <c r="T21" i="55"/>
  <c r="H22" i="59"/>
  <c r="I22" i="59"/>
  <c r="H33" i="59"/>
  <c r="F28" i="59"/>
  <c r="V18" i="59"/>
  <c r="G16" i="53"/>
  <c r="G15" i="53"/>
  <c r="G14" i="53"/>
  <c r="G20" i="53"/>
  <c r="G19" i="53"/>
  <c r="G18" i="53"/>
  <c r="G17" i="53"/>
  <c r="N16" i="59"/>
  <c r="V5" i="59"/>
  <c r="V4" i="59"/>
  <c r="N4" i="59"/>
  <c r="T4" i="59"/>
  <c r="N7" i="59"/>
  <c r="L28" i="59"/>
  <c r="F19" i="59"/>
  <c r="T32" i="59"/>
  <c r="L27" i="59"/>
  <c r="T31" i="59"/>
  <c r="V32" i="59"/>
  <c r="V7" i="59"/>
  <c r="R22" i="59"/>
  <c r="M25" i="55" a="1"/>
  <c r="M25" i="55"/>
  <c r="O25" i="55"/>
  <c r="V19" i="59"/>
  <c r="N24" i="55" a="1"/>
  <c r="N24" i="55"/>
  <c r="N15" i="55" a="1"/>
  <c r="N15" i="55"/>
  <c r="R33" i="59"/>
  <c r="O41" i="55"/>
  <c r="N8" i="55" a="1"/>
  <c r="N8" i="55"/>
  <c r="L24" i="55" a="1"/>
  <c r="L24" i="55"/>
  <c r="N17" i="55" a="1"/>
  <c r="N17" i="55"/>
  <c r="M26" i="55" a="1"/>
  <c r="M26" i="55"/>
  <c r="O26" i="55"/>
  <c r="I2" i="55"/>
  <c r="M21" i="55" a="1"/>
  <c r="M21" i="55"/>
  <c r="N20" i="59"/>
  <c r="M20" i="55" a="1"/>
  <c r="M20" i="55"/>
  <c r="I41" i="55"/>
  <c r="M15" i="55" a="1"/>
  <c r="M15" i="55"/>
  <c r="E33" i="59"/>
  <c r="P33" i="59"/>
  <c r="N2" i="53"/>
  <c r="S41" i="53"/>
  <c r="X41" i="53"/>
  <c r="V16" i="59"/>
  <c r="M26" i="59"/>
  <c r="V31" i="59"/>
  <c r="N9" i="59"/>
  <c r="V15" i="59"/>
  <c r="U10" i="59"/>
  <c r="N8" i="59"/>
  <c r="U29" i="59"/>
  <c r="F16" i="59"/>
  <c r="M4" i="59"/>
  <c r="N31" i="59"/>
  <c r="G11" i="53"/>
  <c r="T21" i="59"/>
  <c r="V21" i="59"/>
  <c r="T7" i="59"/>
  <c r="N5" i="59"/>
  <c r="H15" i="55"/>
  <c r="F9" i="59"/>
  <c r="K24" i="55" a="1"/>
  <c r="K24" i="55"/>
  <c r="S11" i="59"/>
  <c r="F5" i="59"/>
  <c r="B11" i="59"/>
  <c r="H26" i="55"/>
  <c r="H14" i="55"/>
  <c r="K14" i="55" a="1"/>
  <c r="K14" i="55"/>
  <c r="G14" i="55"/>
  <c r="H21" i="55"/>
  <c r="G21" i="55"/>
  <c r="L21" i="55" a="1"/>
  <c r="L21" i="55"/>
  <c r="K8" i="55" a="1"/>
  <c r="K8" i="55"/>
  <c r="H7" i="55"/>
  <c r="K7" i="55" a="1"/>
  <c r="K7" i="55"/>
  <c r="Q2" i="55"/>
  <c r="O14" i="26"/>
  <c r="J14" i="26"/>
  <c r="D7" i="26"/>
  <c r="M14" i="26"/>
  <c r="Z14" i="26"/>
  <c r="AI12" i="26"/>
  <c r="AD14" i="26"/>
  <c r="V30" i="59"/>
  <c r="L2" i="55"/>
  <c r="V20" i="59"/>
  <c r="R13" i="55"/>
  <c r="S13" i="55"/>
  <c r="S12" i="26"/>
  <c r="AJ12" i="26"/>
  <c r="H14" i="26"/>
  <c r="L12" i="26"/>
  <c r="W12" i="26"/>
  <c r="Z12" i="26"/>
  <c r="H12" i="26"/>
  <c r="AB14" i="26"/>
  <c r="U14" i="26"/>
  <c r="F20" i="59"/>
  <c r="AE12" i="26"/>
  <c r="S14" i="26"/>
  <c r="AE14" i="26"/>
  <c r="N14" i="26"/>
  <c r="AF12" i="26"/>
  <c r="M28" i="59"/>
  <c r="T12" i="26"/>
  <c r="AL14" i="26"/>
  <c r="AI14" i="26"/>
  <c r="X14" i="26"/>
  <c r="G14" i="26"/>
  <c r="L32" i="59"/>
  <c r="AA14" i="26"/>
  <c r="AC14" i="26"/>
  <c r="AG12" i="26"/>
  <c r="V26" i="59"/>
  <c r="V14" i="26"/>
  <c r="Y12" i="26"/>
  <c r="Q14" i="26"/>
  <c r="AK14" i="26"/>
  <c r="J12" i="26"/>
  <c r="M12" i="26"/>
  <c r="U12" i="26"/>
  <c r="F12" i="26"/>
  <c r="AJ14" i="26"/>
  <c r="AD12" i="26"/>
  <c r="C12" i="26"/>
  <c r="E7" i="26"/>
  <c r="F7" i="26"/>
  <c r="D6" i="26"/>
  <c r="R24" i="55"/>
  <c r="S24" i="55"/>
  <c r="E6" i="26"/>
  <c r="D5" i="57"/>
  <c r="D6" i="57"/>
  <c r="D7" i="57"/>
  <c r="D8" i="57"/>
  <c r="D12" i="57"/>
  <c r="D11" i="57"/>
  <c r="D9" i="57"/>
  <c r="D10" i="57"/>
  <c r="H11" i="55"/>
  <c r="G11" i="55"/>
  <c r="K11" i="55" a="1"/>
  <c r="K11" i="55"/>
  <c r="H20" i="55"/>
  <c r="L20" i="55" a="1"/>
  <c r="L20" i="55"/>
  <c r="G20" i="55"/>
  <c r="G17" i="55"/>
  <c r="H17" i="55"/>
  <c r="T13" i="55"/>
  <c r="T38" i="55"/>
  <c r="K22" i="55" a="1"/>
  <c r="K22" i="55"/>
  <c r="G26" i="53"/>
  <c r="G27" i="53"/>
  <c r="R15" i="55"/>
  <c r="T15" i="55"/>
  <c r="T33" i="55"/>
  <c r="L13" i="55" a="1"/>
  <c r="L13" i="55"/>
  <c r="L25" i="55" a="1"/>
  <c r="L25" i="55"/>
  <c r="O12" i="55"/>
  <c r="H18" i="55"/>
  <c r="R26" i="55"/>
  <c r="R19" i="55"/>
  <c r="T30" i="55"/>
  <c r="T34" i="55"/>
  <c r="R16" i="55"/>
  <c r="T16" i="55"/>
  <c r="Z4" i="55"/>
  <c r="L29" i="55" a="1"/>
  <c r="L29" i="55"/>
  <c r="G12" i="53"/>
  <c r="T24" i="55"/>
  <c r="O23" i="55"/>
  <c r="L28" i="55" a="1"/>
  <c r="L28" i="55"/>
  <c r="E5" i="57"/>
  <c r="E6" i="57"/>
  <c r="E7" i="57"/>
  <c r="E8" i="57"/>
  <c r="E9" i="57"/>
  <c r="E10" i="57"/>
  <c r="E11" i="57"/>
  <c r="E12" i="57"/>
  <c r="D13" i="57"/>
  <c r="L23" i="55" a="1"/>
  <c r="L23" i="55"/>
  <c r="G23" i="55"/>
  <c r="K23" i="55" a="1"/>
  <c r="K23" i="55"/>
  <c r="H23" i="55"/>
  <c r="L27" i="55" a="1"/>
  <c r="L27" i="55"/>
  <c r="H27" i="55"/>
  <c r="G27" i="55"/>
  <c r="K27" i="55" a="1"/>
  <c r="K27" i="55"/>
  <c r="O22" i="55"/>
  <c r="G9" i="55"/>
  <c r="L9" i="55" a="1"/>
  <c r="L9" i="55"/>
  <c r="K9" i="55" a="1"/>
  <c r="K9" i="55"/>
  <c r="H9" i="55"/>
  <c r="F6" i="26"/>
  <c r="G7" i="26"/>
  <c r="K32" i="55" a="1"/>
  <c r="K32" i="55"/>
  <c r="H32" i="55"/>
  <c r="G32" i="55"/>
  <c r="L32" i="55" a="1"/>
  <c r="L32" i="55"/>
  <c r="K10" i="55" a="1"/>
  <c r="K10" i="55"/>
  <c r="L10" i="55" a="1"/>
  <c r="L10" i="55"/>
  <c r="H10" i="55"/>
  <c r="G10" i="55"/>
  <c r="K16" i="55" a="1"/>
  <c r="K16" i="55"/>
  <c r="L16" i="55" a="1"/>
  <c r="L16" i="55"/>
  <c r="G16" i="55"/>
  <c r="H16" i="55"/>
  <c r="F8" i="59"/>
  <c r="E11" i="59"/>
  <c r="L12" i="55" a="1"/>
  <c r="L12" i="55"/>
  <c r="K12" i="55" a="1"/>
  <c r="K12" i="55"/>
  <c r="G12" i="55"/>
  <c r="T6" i="59"/>
  <c r="F6" i="59"/>
  <c r="V6" i="59"/>
  <c r="H28" i="55"/>
  <c r="G28" i="55"/>
  <c r="K28" i="55" a="1"/>
  <c r="K28" i="55"/>
  <c r="K34" i="55" a="1"/>
  <c r="K34" i="55"/>
  <c r="L30" i="55" a="1"/>
  <c r="L30" i="55"/>
  <c r="K30" i="55" a="1"/>
  <c r="K30" i="55"/>
  <c r="H30" i="55"/>
  <c r="S19" i="55"/>
  <c r="T19" i="55"/>
  <c r="K18" i="55" a="1"/>
  <c r="K18" i="55"/>
  <c r="K41" i="55"/>
  <c r="P2" i="53"/>
  <c r="K2" i="55"/>
  <c r="R12" i="55"/>
  <c r="T12" i="55"/>
  <c r="V28" i="59"/>
  <c r="Q33" i="59"/>
  <c r="R18" i="55"/>
  <c r="T18" i="55"/>
  <c r="L31" i="55" a="1"/>
  <c r="L31" i="55"/>
  <c r="H31" i="55"/>
  <c r="G31" i="55"/>
  <c r="K31" i="55" a="1"/>
  <c r="K31" i="55"/>
  <c r="H19" i="55"/>
  <c r="K19" i="55" a="1"/>
  <c r="K19" i="55"/>
  <c r="G19" i="55"/>
  <c r="AE12" i="53"/>
  <c r="H29" i="55"/>
  <c r="G29" i="55"/>
  <c r="T32" i="55"/>
  <c r="T36" i="55"/>
  <c r="L7" i="55" a="1"/>
  <c r="L7" i="55"/>
  <c r="G7" i="55"/>
  <c r="L38" i="55" a="1"/>
  <c r="L38" i="55"/>
  <c r="K20" i="55" a="1"/>
  <c r="K20" i="55"/>
  <c r="O15" i="55"/>
  <c r="S2" i="53"/>
  <c r="S33" i="59"/>
  <c r="K22" i="59"/>
  <c r="AE11" i="53"/>
  <c r="T15" i="59"/>
  <c r="B22" i="59"/>
  <c r="T11" i="55"/>
  <c r="AE32" i="53"/>
  <c r="P28" i="55"/>
  <c r="S28" i="55"/>
  <c r="L36" i="55" a="1"/>
  <c r="L36" i="55"/>
  <c r="AE28" i="53"/>
  <c r="R29" i="55"/>
  <c r="T29" i="55"/>
  <c r="L35" i="55" a="1"/>
  <c r="L35" i="55"/>
  <c r="AE19" i="53"/>
  <c r="J41" i="55"/>
  <c r="L18" i="55" a="1"/>
  <c r="L18" i="55"/>
  <c r="K38" i="55" a="1"/>
  <c r="K38" i="55"/>
  <c r="K35" i="55" a="1"/>
  <c r="K35" i="55"/>
  <c r="K33" i="55" a="1"/>
  <c r="K33" i="55"/>
  <c r="J2" i="55"/>
  <c r="F33" i="59" a="1"/>
  <c r="F33" i="59"/>
  <c r="K17" i="55" a="1"/>
  <c r="K17" i="55"/>
  <c r="C22" i="59"/>
  <c r="N15" i="59"/>
  <c r="L8" i="55" a="1"/>
  <c r="L8" i="55"/>
  <c r="O11" i="59"/>
  <c r="U11" i="59"/>
  <c r="T8" i="59"/>
  <c r="B33" i="59"/>
  <c r="V27" i="59"/>
  <c r="F27" i="59"/>
  <c r="Z3" i="55"/>
  <c r="S9" i="55"/>
  <c r="R9" i="55"/>
  <c r="G34" i="55"/>
  <c r="L34" i="55" a="1"/>
  <c r="L34" i="55"/>
  <c r="AB3" i="55"/>
  <c r="O28" i="59"/>
  <c r="O33" i="59"/>
  <c r="U33" i="59"/>
  <c r="M29" i="55" a="1"/>
  <c r="M29" i="55"/>
  <c r="M2" i="55"/>
  <c r="M36" i="55" a="1"/>
  <c r="M36" i="55"/>
  <c r="O36" i="55"/>
  <c r="M32" i="55" a="1"/>
  <c r="M32" i="55"/>
  <c r="O32" i="55"/>
  <c r="M27" i="55" a="1"/>
  <c r="M27" i="55"/>
  <c r="O27" i="55"/>
  <c r="M13" i="55" a="1"/>
  <c r="M13" i="55"/>
  <c r="O13" i="55"/>
  <c r="M11" i="55" a="1"/>
  <c r="M11" i="55"/>
  <c r="O11" i="55"/>
  <c r="M34" i="55" a="1"/>
  <c r="M34" i="55"/>
  <c r="O34" i="55"/>
  <c r="M38" i="55" a="1"/>
  <c r="M38" i="55"/>
  <c r="O38" i="55"/>
  <c r="M10" i="55" a="1"/>
  <c r="M10" i="55"/>
  <c r="O10" i="55"/>
  <c r="M7" i="55" a="1"/>
  <c r="M7" i="55"/>
  <c r="M35" i="55" a="1"/>
  <c r="M35" i="55"/>
  <c r="O35" i="55"/>
  <c r="M18" i="55" a="1"/>
  <c r="M18" i="55"/>
  <c r="M19" i="55" a="1"/>
  <c r="M19" i="55"/>
  <c r="O19" i="55"/>
  <c r="M17" i="55" a="1"/>
  <c r="M17" i="55"/>
  <c r="O17" i="55"/>
  <c r="M14" i="55" a="1"/>
  <c r="M14" i="55"/>
  <c r="N14" i="55" a="1"/>
  <c r="N14" i="55"/>
  <c r="O14" i="55"/>
  <c r="M8" i="55" a="1"/>
  <c r="M8" i="55"/>
  <c r="O8" i="55"/>
  <c r="M33" i="55" a="1"/>
  <c r="M33" i="55"/>
  <c r="O33" i="55"/>
  <c r="M30" i="55" a="1"/>
  <c r="M30" i="55"/>
  <c r="O30" i="55"/>
  <c r="M24" i="55" a="1"/>
  <c r="M24" i="55"/>
  <c r="O24" i="55"/>
  <c r="N26" i="59"/>
  <c r="C33" i="59"/>
  <c r="L15" i="55" a="1"/>
  <c r="L15" i="55"/>
  <c r="K15" i="55" a="1"/>
  <c r="K15" i="55"/>
  <c r="G6" i="59"/>
  <c r="G35" i="55"/>
  <c r="S14" i="55"/>
  <c r="T14" i="55"/>
  <c r="H8" i="55"/>
  <c r="L17" i="55" a="1"/>
  <c r="L17" i="55"/>
  <c r="L30" i="59"/>
  <c r="AB2" i="55"/>
  <c r="O22" i="59"/>
  <c r="U22" i="59"/>
  <c r="G23" i="53"/>
  <c r="O28" i="55"/>
  <c r="F11" i="59" a="1"/>
  <c r="F11" i="59"/>
  <c r="J11" i="59"/>
  <c r="H22" i="55"/>
  <c r="G22" i="55"/>
  <c r="L14" i="55" a="1"/>
  <c r="L14" i="55"/>
  <c r="I33" i="59"/>
  <c r="M33" i="59"/>
  <c r="H25" i="55"/>
  <c r="L11" i="55" a="1"/>
  <c r="L11" i="55"/>
  <c r="K25" i="55" a="1"/>
  <c r="K25" i="55"/>
  <c r="K11" i="59"/>
  <c r="Q11" i="59"/>
  <c r="V11" i="59"/>
  <c r="E22" i="59"/>
  <c r="R25" i="55"/>
  <c r="S25" i="55"/>
  <c r="P23" i="55"/>
  <c r="N21" i="55" a="1"/>
  <c r="N21" i="55"/>
  <c r="O21" i="55"/>
  <c r="N30" i="55" a="1"/>
  <c r="N30" i="55"/>
  <c r="N33" i="55" a="1"/>
  <c r="N33" i="55"/>
  <c r="N29" i="55" a="1"/>
  <c r="N29" i="55"/>
  <c r="N25" i="55" a="1"/>
  <c r="N25" i="55"/>
  <c r="N2" i="55"/>
  <c r="N36" i="55" a="1"/>
  <c r="N36" i="55"/>
  <c r="N9" i="55" a="1"/>
  <c r="N9" i="55"/>
  <c r="O9" i="55"/>
  <c r="N32" i="55" a="1"/>
  <c r="N32" i="55"/>
  <c r="N34" i="55" a="1"/>
  <c r="N34" i="55"/>
  <c r="N31" i="55" a="1"/>
  <c r="N31" i="55"/>
  <c r="N16" i="55" a="1"/>
  <c r="N16" i="55"/>
  <c r="N18" i="55" a="1"/>
  <c r="N18" i="55"/>
  <c r="N7" i="55" a="1"/>
  <c r="N7" i="55"/>
  <c r="N35" i="55" a="1"/>
  <c r="N35" i="55"/>
  <c r="N20" i="55" a="1"/>
  <c r="N20" i="55"/>
  <c r="O20" i="55"/>
  <c r="T11" i="59"/>
  <c r="H12" i="55"/>
  <c r="X2" i="53"/>
  <c r="T29" i="59"/>
  <c r="L21" i="59"/>
  <c r="V9" i="59"/>
  <c r="T9" i="59"/>
  <c r="D22" i="59"/>
  <c r="F22" i="59" a="1"/>
  <c r="F22" i="59"/>
  <c r="K21" i="55" a="1"/>
  <c r="K21" i="55"/>
  <c r="G17" i="59"/>
  <c r="K36" i="55" a="1"/>
  <c r="K36" i="55"/>
  <c r="G13" i="55"/>
  <c r="Z2" i="53"/>
  <c r="S26" i="55"/>
  <c r="T26" i="55"/>
  <c r="K13" i="55" a="1"/>
  <c r="K13" i="55"/>
  <c r="K26" i="55" a="1"/>
  <c r="K26" i="55"/>
  <c r="F10" i="59"/>
  <c r="F30" i="59"/>
  <c r="V17" i="59"/>
  <c r="Q12" i="26"/>
  <c r="P10" i="55"/>
  <c r="L26" i="55" a="1"/>
  <c r="L26" i="55"/>
  <c r="B6" i="26"/>
  <c r="G6" i="53"/>
  <c r="P17" i="55"/>
  <c r="S17" i="55"/>
  <c r="O12" i="26"/>
  <c r="I12" i="26"/>
  <c r="P12" i="26"/>
  <c r="Z2" i="55"/>
  <c r="AC12" i="26"/>
  <c r="X12" i="26"/>
  <c r="T10" i="59"/>
  <c r="Z41" i="53"/>
  <c r="AF14" i="26"/>
  <c r="R12" i="26"/>
  <c r="L14" i="26"/>
  <c r="AE7" i="53"/>
  <c r="AG14" i="26"/>
  <c r="P7" i="55"/>
  <c r="H41" i="55"/>
  <c r="O18" i="55"/>
  <c r="T9" i="55"/>
  <c r="H2" i="55"/>
  <c r="AA3" i="55"/>
  <c r="AD3" i="55"/>
  <c r="M17" i="59"/>
  <c r="G22" i="59"/>
  <c r="M22" i="59"/>
  <c r="R7" i="55"/>
  <c r="S7" i="55"/>
  <c r="T7" i="55"/>
  <c r="AA4" i="55"/>
  <c r="P2" i="55"/>
  <c r="AE2" i="53"/>
  <c r="AE41" i="53"/>
  <c r="P41" i="55"/>
  <c r="T33" i="59"/>
  <c r="V33" i="59"/>
  <c r="R41" i="55"/>
  <c r="R2" i="55"/>
  <c r="T25" i="55"/>
  <c r="O29" i="55"/>
  <c r="G42" i="55"/>
  <c r="G41" i="55"/>
  <c r="G2" i="55"/>
  <c r="G3" i="55"/>
  <c r="S23" i="55"/>
  <c r="R23" i="55"/>
  <c r="V22" i="59"/>
  <c r="T22" i="59"/>
  <c r="O7" i="55"/>
  <c r="AA2" i="55"/>
  <c r="AD2" i="55"/>
  <c r="S10" i="55"/>
  <c r="R10" i="55"/>
  <c r="R17" i="55"/>
  <c r="T17" i="55"/>
  <c r="U28" i="59"/>
  <c r="T28" i="59"/>
  <c r="L22" i="59"/>
  <c r="N22" i="59"/>
  <c r="G11" i="59"/>
  <c r="M6" i="59"/>
  <c r="G6" i="26"/>
  <c r="H7" i="26"/>
  <c r="L17" i="59"/>
  <c r="R28" i="55"/>
  <c r="T28" i="55"/>
  <c r="L33" i="59"/>
  <c r="N33" i="59"/>
  <c r="L6" i="59"/>
  <c r="T10" i="55"/>
  <c r="AC3" i="55"/>
  <c r="AE3" i="55"/>
  <c r="H6" i="26"/>
  <c r="I7" i="26"/>
  <c r="T23" i="55"/>
  <c r="AC2" i="55"/>
  <c r="AE2" i="55"/>
  <c r="AD4" i="55"/>
  <c r="AC4" i="55"/>
  <c r="AE4" i="55"/>
  <c r="S2" i="55"/>
  <c r="S41" i="55"/>
  <c r="T41" i="55"/>
  <c r="M11" i="59"/>
  <c r="L11" i="59"/>
  <c r="H3" i="55"/>
  <c r="H42" i="55"/>
  <c r="T2" i="55"/>
  <c r="J7" i="26"/>
  <c r="I6" i="26"/>
  <c r="J6" i="26"/>
  <c r="K7" i="26"/>
  <c r="K6" i="26"/>
  <c r="L7" i="26"/>
  <c r="M7" i="26"/>
  <c r="L6" i="26"/>
  <c r="M6" i="26"/>
  <c r="N7" i="26"/>
  <c r="O7" i="26"/>
  <c r="N6" i="26"/>
  <c r="O6" i="26"/>
  <c r="P7" i="26"/>
  <c r="P6" i="26"/>
  <c r="Q7" i="26"/>
  <c r="R7" i="26"/>
  <c r="Q6" i="26"/>
  <c r="S7" i="26"/>
  <c r="R6" i="26"/>
  <c r="T7" i="26"/>
  <c r="S6" i="26"/>
  <c r="U7" i="26"/>
  <c r="T6" i="26"/>
  <c r="V7" i="26"/>
  <c r="U6" i="26"/>
  <c r="W7" i="26"/>
  <c r="V6" i="26"/>
  <c r="X7" i="26"/>
  <c r="W6" i="26"/>
  <c r="Y7" i="26"/>
  <c r="X6" i="26"/>
  <c r="Z7" i="26"/>
  <c r="Y6" i="26"/>
  <c r="Z6" i="26"/>
  <c r="AA7" i="26"/>
  <c r="AA6" i="26"/>
  <c r="AB7" i="26"/>
  <c r="AC7" i="26"/>
  <c r="AB6" i="26"/>
  <c r="AD7" i="26"/>
  <c r="AC6" i="26"/>
  <c r="AE7" i="26"/>
  <c r="AD6" i="26"/>
  <c r="AE6" i="26"/>
  <c r="AF7" i="26"/>
  <c r="AF6" i="26"/>
  <c r="AG7" i="26"/>
  <c r="AG6" i="26"/>
  <c r="AH7" i="26"/>
  <c r="AI7" i="26"/>
  <c r="AH6" i="26"/>
  <c r="AJ7" i="26"/>
  <c r="AI6"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<sst xmlns="http://schemas.openxmlformats.org/spreadsheetml/2006/main" count="1436" uniqueCount="557">
  <si>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</si>
  <si>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</si>
  <si>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</si>
  <si>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</si>
  <si>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</si>
  <si>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</si>
  <si>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</si>
  <si>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</si>
  <si>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</si>
  <si>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</si>
  <si>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</si>
  <si>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</si>
  <si>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</si>
  <si>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</si>
  <si>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</si>
  <si>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</si>
  <si>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</si>
  <si>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</si>
  <si>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</si>
  <si>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</si>
  <si>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</si>
  <si>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</si>
  <si>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</si>
  <si>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</si>
  <si>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</si>
  <si>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</si>
  <si>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</si>
  <si>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</si>
  <si>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</si>
  <si>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</si>
  <si>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</si>
  <si>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</si>
  <si>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</si>
  <si>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</si>
  <si>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</si>
  <si>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</si>
  <si>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</si>
  <si>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</si>
  <si>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</si>
  <si>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</si>
  <si>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</si>
  <si>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</si>
  <si>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</si>
  <si>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</si>
  <si>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</si>
  <si>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</si>
  <si>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</si>
  <si>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</si>
  <si>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</si>
  <si>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</si>
  <si>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</si>
  <si>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</si>
  <si>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</si>
  <si>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</si>
  <si>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</si>
  <si>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</si>
  <si>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</si>
  <si>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</si>
  <si>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</si>
  <si>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</si>
  <si>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</si>
  <si>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</si>
  <si>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</si>
  <si>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</si>
  <si>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</si>
  <si>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</si>
  <si>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</si>
  <si>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</si>
  <si>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</si>
  <si>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</si>
  <si>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</si>
  <si>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</si>
  <si>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</si>
  <si>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</si>
  <si>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</si>
  <si>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</si>
  <si>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</si>
  <si>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</si>
  <si>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</si>
  <si>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</si>
  <si>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</si>
  <si>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</si>
  <si>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</si>
  <si>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</si>
  <si>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</si>
  <si>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</si>
  <si>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</si>
  <si>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</si>
  <si>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</si>
  <si>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</si>
  <si>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</si>
  <si>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</si>
  <si>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</si>
  <si>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</si>
  <si>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</si>
  <si>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</si>
  <si>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</si>
  <si>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</si>
  <si>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</si>
  <si>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</si>
  <si>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</si>
  <si>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</si>
  <si>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</si>
  <si>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</si>
  <si>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</si>
  <si>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</si>
  <si>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</si>
  <si>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</si>
  <si>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</si>
  <si>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</si>
  <si>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</si>
  <si>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</si>
  <si>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</si>
  <si>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</si>
  <si>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</si>
  <si>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</si>
  <si>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</si>
  <si>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</si>
  <si>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</si>
  <si>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</si>
  <si>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</si>
  <si>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</si>
  <si>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</si>
  <si>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</si>
  <si>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</si>
  <si>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</si>
  <si>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</si>
  <si>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</si>
  <si>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</si>
  <si>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</si>
  <si>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</si>
  <si>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</si>
  <si>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</si>
  <si>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</si>
  <si>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</si>
  <si>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</si>
  <si>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</si>
  <si>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</si>
  <si>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</si>
  <si>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</si>
  <si>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</si>
  <si>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</si>
  <si>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</si>
  <si>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</si>
  <si>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</si>
  <si>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</si>
  <si>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</si>
  <si>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</si>
  <si>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</si>
  <si>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</si>
  <si>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</si>
  <si>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</si>
  <si>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</si>
  <si>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</si>
  <si>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</si>
  <si>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</si>
  <si>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</si>
  <si>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</si>
  <si>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</si>
  <si>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</si>
  <si>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</si>
  <si>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</si>
  <si>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</si>
  <si>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</si>
  <si>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</si>
  <si>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</si>
  <si>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</si>
  <si>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</si>
  <si>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</si>
  <si>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</si>
  <si>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</si>
  <si>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</si>
  <si>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</si>
  <si>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</si>
  <si>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</si>
  <si>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</si>
  <si>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</si>
  <si>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</si>
  <si>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</si>
  <si>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</si>
  <si>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</si>
  <si>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</si>
  <si>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</si>
  <si>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</si>
  <si>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</si>
  <si>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</si>
  <si>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</si>
  <si>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</si>
  <si>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</si>
  <si>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</si>
  <si>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</si>
  <si>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</si>
  <si>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</si>
  <si>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</si>
  <si>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</si>
  <si>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</si>
  <si>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</si>
  <si>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</si>
  <si>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</si>
  <si>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</si>
  <si>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</si>
  <si>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</si>
  <si>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</si>
  <si>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</si>
  <si>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</si>
  <si>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</si>
  <si>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</si>
  <si>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</si>
  <si>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</si>
  <si>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</si>
  <si>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</si>
  <si>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</si>
  <si>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</si>
  <si>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</si>
  <si>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</si>
  <si>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</si>
  <si>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</si>
  <si>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</si>
  <si>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</si>
  <si>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</si>
  <si>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</si>
  <si>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</si>
  <si>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</si>
  <si>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</si>
  <si>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</si>
  <si>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</si>
  <si>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</si>
  <si>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</si>
  <si>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</si>
  <si>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</si>
  <si>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</si>
  <si>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</si>
  <si>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</si>
  <si>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</si>
  <si>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</si>
  <si>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</si>
  <si>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</si>
  <si>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</si>
  <si>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</si>
  <si>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</si>
  <si>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</si>
  <si>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</si>
  <si>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</si>
  <si>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</si>
  <si>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</si>
  <si>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</si>
  <si>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</si>
  <si>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</si>
  <si>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</si>
  <si>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</si>
  <si>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</si>
  <si>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</si>
  <si>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</si>
  <si>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</si>
  <si>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</si>
  <si>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</si>
  <si>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Byte Enable Writes</t>
  </si>
  <si>
    <t>sbalabat</t>
  </si>
  <si>
    <t>DF</t>
  </si>
  <si>
    <t>HDP,CPDMA Byte Enable Write</t>
  </si>
  <si>
    <t>FEAT-1</t>
  </si>
  <si>
    <t>Tserver</t>
  </si>
  <si>
    <t>NV48-DF-002</t>
  </si>
  <si>
    <t xml:space="preserve">Coherency </t>
  </si>
  <si>
    <t>DF Coherency Test</t>
  </si>
  <si>
    <t>FEAT-2</t>
  </si>
  <si>
    <t>NV48-DF-003</t>
  </si>
  <si>
    <t>I/O and Graphics Atomic , CS and ATHUB needs to support Atomic commands</t>
  </si>
  <si>
    <t>DF Atomic Test</t>
  </si>
  <si>
    <t>FEAT-3</t>
  </si>
  <si>
    <t>TNG</t>
  </si>
  <si>
    <t>NV48-DF-004</t>
  </si>
  <si>
    <t>DF Pstate with Memory Traffic</t>
  </si>
  <si>
    <t>DF Pstate Test</t>
  </si>
  <si>
    <t>FEAT-5</t>
  </si>
  <si>
    <t>NV48-DF-005</t>
  </si>
  <si>
    <t>DF Cstate</t>
  </si>
  <si>
    <t>DF Cstate Test</t>
  </si>
  <si>
    <t>FEAT-6</t>
  </si>
  <si>
    <t>NV48-DF-006</t>
  </si>
  <si>
    <t>Display and Stutter Mode</t>
  </si>
  <si>
    <t>DF Cstate Stutter Test</t>
  </si>
  <si>
    <t>FEAT-7</t>
  </si>
  <si>
    <t>ULV during display stutter</t>
  </si>
  <si>
    <t>FEAT-8</t>
  </si>
  <si>
    <t>NV48-DF-007</t>
  </si>
  <si>
    <t>128B Gfx Large Reads to Mall</t>
  </si>
  <si>
    <t>DF large read test</t>
  </si>
  <si>
    <t>FEAT-9</t>
  </si>
  <si>
    <t>NV48-DF-008</t>
  </si>
  <si>
    <t>Performance Monitors</t>
  </si>
  <si>
    <t>FEAT-10</t>
  </si>
  <si>
    <t>NV48-DF-009</t>
  </si>
  <si>
    <t>Power Gate During DF C-State</t>
  </si>
  <si>
    <t>FEAT-11</t>
  </si>
  <si>
    <t>NV48-DF-010</t>
  </si>
  <si>
    <t>Unified Memory Fencing</t>
  </si>
  <si>
    <t>DF UMF test</t>
  </si>
  <si>
    <t>FEAT-12</t>
  </si>
  <si>
    <t>NV48-DF-011</t>
  </si>
  <si>
    <t>MALL Alloc / NoAlloc for GFX</t>
  </si>
  <si>
    <t>DF GFX No-Alloc Mall diag</t>
  </si>
  <si>
    <t>FEAT-13</t>
  </si>
  <si>
    <t>NV48-DF-012</t>
  </si>
  <si>
    <t>MALL NoAlloc override for HDP</t>
  </si>
  <si>
    <t>DF NCM No-Alloc Mall diag</t>
  </si>
  <si>
    <t>FEAT-14</t>
  </si>
  <si>
    <t>NV48-DF-013</t>
  </si>
  <si>
    <t>Streaming performance Monitor</t>
  </si>
  <si>
    <t>DF SPM diag</t>
  </si>
  <si>
    <t>FEAT-15</t>
  </si>
  <si>
    <t>Considering KMD teams result on NV48 emulator. Basic functionality of SPM feature verified, aligned with IPSE</t>
  </si>
  <si>
    <t>NV48-DF-014</t>
  </si>
  <si>
    <t>Mall Hashing Support in NV4x</t>
  </si>
  <si>
    <t>DF EL3 diag</t>
  </si>
  <si>
    <t>FEAT-16</t>
  </si>
  <si>
    <t>NV48-DF-015</t>
  </si>
  <si>
    <t>MALL support for UMC Perfmon event propagation</t>
  </si>
  <si>
    <t>FEAT-17</t>
  </si>
  <si>
    <t>NV48-DF-016</t>
  </si>
  <si>
    <t>Dual Edge Synchronous Buses (Double Pumping)</t>
  </si>
  <si>
    <t>Traffic</t>
  </si>
  <si>
    <t>DF stress traffic diag</t>
  </si>
  <si>
    <t>FEAT-18</t>
  </si>
  <si>
    <t>DBI support for double pumping</t>
  </si>
  <si>
    <t>FEAT-19</t>
  </si>
  <si>
    <t>Partial coverage is done, low risk. Aligned with IPSE</t>
  </si>
  <si>
    <t>NV48-DF-017</t>
  </si>
  <si>
    <t>GCM/NCM Large Write</t>
  </si>
  <si>
    <t>Large Write</t>
  </si>
  <si>
    <t>DF Large write diag</t>
  </si>
  <si>
    <t>FEAT-21</t>
  </si>
  <si>
    <t>wk-6</t>
  </si>
  <si>
    <t>Single VC for GFX IO</t>
  </si>
  <si>
    <t>FEAT-22</t>
  </si>
  <si>
    <t>QOS throttle changes</t>
  </si>
  <si>
    <t>FEAT-23</t>
  </si>
  <si>
    <t>NV48-DF-018</t>
  </si>
  <si>
    <t>Distributed Compression Logic in DF</t>
  </si>
  <si>
    <t>FEAT-24</t>
  </si>
  <si>
    <t>wk-2</t>
  </si>
  <si>
    <t>NV48-DF-019</t>
  </si>
  <si>
    <t>NCM Subtype for CPWD</t>
  </si>
  <si>
    <t>FEAT-25</t>
  </si>
  <si>
    <t>NV48-DF-020</t>
  </si>
  <si>
    <t>2 PG Domain</t>
  </si>
  <si>
    <t>FEAT-26</t>
  </si>
  <si>
    <t>NV48-DF-021</t>
  </si>
  <si>
    <t>TCDX traffic Stress case</t>
  </si>
  <si>
    <t>NV48-DF-022</t>
  </si>
  <si>
    <t>DF Tserverlite Lib</t>
  </si>
  <si>
    <t>DF library in Tserverlite</t>
  </si>
  <si>
    <t>FEAT-27</t>
  </si>
  <si>
    <t>NV48-DF-023</t>
  </si>
  <si>
    <t>DF TNG Lib</t>
  </si>
  <si>
    <t>DF library in TNG</t>
  </si>
  <si>
    <t>FEAT-28</t>
  </si>
  <si>
    <t>NV48-DF-028</t>
  </si>
  <si>
    <t>DF Clock Boost Support</t>
  </si>
  <si>
    <t>FEAT-29</t>
  </si>
  <si>
    <t>NV48-DF-029</t>
  </si>
  <si>
    <t>Driver Reset Mode 1 Support </t>
  </si>
  <si>
    <t>FEAT-30</t>
  </si>
  <si>
    <t>NV48-DF-030</t>
  </si>
  <si>
    <t>Driver Reset Mode 2 Support</t>
  </si>
  <si>
    <t>FEAT-31</t>
  </si>
  <si>
    <t>NV48-DF-031</t>
  </si>
  <si>
    <t>Fatal Error Handling (mode 1 reset)</t>
  </si>
  <si>
    <t>FEAT-32</t>
  </si>
  <si>
    <t>NV48-DF-032</t>
  </si>
  <si>
    <t>DF Cac manager events</t>
  </si>
  <si>
    <t>FEAT-33</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</si>
  <si>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</si>
  <si>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</si>
  <si>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</si>
  <si>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</si>
  <si>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</si>
  <si>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</si>
  <si>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</si>
  <si>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</si>
  <si>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</si>
  <si>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</si>
  <si>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</si>
  <si>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</si>
  <si>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</si>
  <si>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</si>
  <si>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</si>
  <si>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</si>
  <si>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</si>
  <si>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</si>
  <si>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</si>
  <si>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</si>
  <si>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</si>
  <si>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</si>
  <si>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</si>
  <si>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</si>
  <si>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</si>
  <si>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</si>
  <si>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</si>
  <si>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</si>
  <si>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</si>
  <si>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</si>
  <si>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</si>
  <si>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</si>
  <si>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</si>
  <si>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</si>
  <si>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</si>
  <si>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</si>
  <si>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</si>
  <si>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</si>
  <si>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</si>
  <si>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</si>
  <si>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</si>
  <si>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</si>
  <si>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</si>
  <si>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</si>
  <si>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</si>
  <si>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</si>
  <si>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</si>
  <si>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NV48 DF BU exit, Working on AFE execution</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</si>
  <si>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</si>
  <si>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</si>
  <si>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</si>
  <si>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</si>
  <si>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</si>
  <si>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</si>
  <si>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</si>
  <si>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WK3</t>
  </si>
  <si>
    <t>WK2</t>
  </si>
  <si>
    <t>WK10</t>
  </si>
  <si>
    <t>WK8</t>
  </si>
  <si>
    <t>WK9</t>
  </si>
  <si>
    <t>WK6</t>
  </si>
  <si>
    <t>WK5</t>
  </si>
  <si>
    <t>WK7</t>
  </si>
  <si>
    <t>WK11</t>
  </si>
  <si>
    <t>WK4</t>
  </si>
  <si>
    <t>Covered by other IP teams</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</si>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</sst>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7">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2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 fontId="18" fillId="52" borderId="14"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0" fontId="46" fillId="52" borderId="14" xfId="44" applyFill="1" applyBorder="1" applyAlignment="1" applyProtection="1">
      <alignment vertical="center" wrapText="1"/>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0" fillId="52" borderId="19" xfId="0" applyFill="1"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66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8.9">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45" activePane="bottomRight" state="frozen"/>
      <selection pane="bottomRight" activeCell="D20" sqref="D20"/>
      <selection pane="bottomLeft" activeCell="A9" sqref="A9"/>
      <selection pane="topRight" activeCell="D1" sqref="D1"/>
    </sheetView>
  </sheetViews>
  <sheetFormatPr defaultColWidth="26.42578125" defaultRowHeight="14.4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15" thickBot="1">
      <c r="A1" s="115" t="s">
        <v>48</v>
      </c>
      <c r="B1" s="481" t="s">
        <v>49</v>
      </c>
      <c r="C1" s="482"/>
      <c r="D1" s="482"/>
      <c r="E1" s="156" t="s">
        <v>50</v>
      </c>
      <c r="F1" s="156" t="s">
        <v>51</v>
      </c>
      <c r="G1" s="110" t="s">
        <v>52</v>
      </c>
    </row>
    <row r="2" spans="1:7">
      <c r="A2" s="116" t="s">
        <v>53</v>
      </c>
      <c r="B2" s="483" t="s">
        <v>54</v>
      </c>
      <c r="C2" s="484"/>
      <c r="D2" s="484"/>
      <c r="E2" s="252" t="s">
        <v>55</v>
      </c>
      <c r="F2" s="252" t="s">
        <v>56</v>
      </c>
      <c r="G2" s="280" t="s">
        <v>57</v>
      </c>
    </row>
    <row r="3" spans="1:7" s="81" customFormat="1">
      <c r="A3" s="189" t="s">
        <v>58</v>
      </c>
      <c r="B3" s="490" t="s">
        <v>59</v>
      </c>
      <c r="C3" s="491"/>
      <c r="D3" s="492"/>
      <c r="E3" s="80" t="s">
        <v>55</v>
      </c>
      <c r="F3" s="80" t="s">
        <v>56</v>
      </c>
      <c r="G3" s="281" t="s">
        <v>57</v>
      </c>
    </row>
    <row r="4" spans="1:7">
      <c r="A4" s="189" t="s">
        <v>60</v>
      </c>
      <c r="B4" s="487" t="s">
        <v>61</v>
      </c>
      <c r="C4" s="488"/>
      <c r="D4" s="489"/>
      <c r="E4" s="80" t="s">
        <v>62</v>
      </c>
      <c r="F4" s="80" t="s">
        <v>56</v>
      </c>
      <c r="G4" s="281" t="s">
        <v>57</v>
      </c>
    </row>
    <row r="5" spans="1:7">
      <c r="A5" s="117" t="s">
        <v>63</v>
      </c>
      <c r="B5" s="487" t="s">
        <v>64</v>
      </c>
      <c r="C5" s="488"/>
      <c r="D5" s="489"/>
      <c r="E5" s="80" t="s">
        <v>62</v>
      </c>
      <c r="F5" s="80" t="s">
        <v>56</v>
      </c>
      <c r="G5" s="281" t="s">
        <v>57</v>
      </c>
    </row>
    <row r="6" spans="1:7">
      <c r="A6" s="117" t="s">
        <v>65</v>
      </c>
      <c r="B6" s="487" t="s">
        <v>66</v>
      </c>
      <c r="C6" s="488"/>
      <c r="D6" s="489"/>
      <c r="E6" s="80" t="s">
        <v>67</v>
      </c>
      <c r="F6" s="80" t="s">
        <v>56</v>
      </c>
      <c r="G6" s="85"/>
    </row>
    <row r="7" spans="1:7" ht="15" thickBot="1">
      <c r="A7" s="118" t="s">
        <v>68</v>
      </c>
      <c r="B7" s="485" t="s">
        <v>69</v>
      </c>
      <c r="C7" s="486"/>
      <c r="D7" s="486"/>
      <c r="E7" s="86" t="s">
        <v>67</v>
      </c>
      <c r="F7" s="86"/>
      <c r="G7" s="87"/>
    </row>
    <row r="8" spans="1:7" s="84" customFormat="1" ht="15" thickBot="1">
      <c r="A8" s="115" t="s">
        <v>48</v>
      </c>
      <c r="B8" s="327" t="s">
        <v>1</v>
      </c>
      <c r="C8" s="156" t="s">
        <v>70</v>
      </c>
      <c r="D8" s="156" t="s">
        <v>49</v>
      </c>
      <c r="E8" s="156" t="s">
        <v>50</v>
      </c>
      <c r="F8" s="156" t="s">
        <v>51</v>
      </c>
      <c r="G8" s="110" t="s">
        <v>52</v>
      </c>
    </row>
    <row r="9" spans="1:7" ht="100.9">
      <c r="A9" s="467" t="s">
        <v>53</v>
      </c>
      <c r="B9" s="470" t="s">
        <v>71</v>
      </c>
      <c r="C9" s="287" t="s">
        <v>72</v>
      </c>
      <c r="D9" s="94" t="s">
        <v>73</v>
      </c>
      <c r="E9" s="94" t="s">
        <v>55</v>
      </c>
      <c r="F9" s="94" t="s">
        <v>74</v>
      </c>
      <c r="G9" s="328" t="s">
        <v>75</v>
      </c>
    </row>
    <row r="10" spans="1:7" ht="57.6">
      <c r="A10" s="468"/>
      <c r="B10" s="471"/>
      <c r="C10" s="283" t="s">
        <v>76</v>
      </c>
      <c r="D10" s="82" t="s">
        <v>77</v>
      </c>
      <c r="E10" s="82" t="s">
        <v>55</v>
      </c>
      <c r="F10" s="82" t="s">
        <v>74</v>
      </c>
      <c r="G10" s="279" t="s">
        <v>78</v>
      </c>
    </row>
    <row r="11" spans="1:7" ht="43.15">
      <c r="A11" s="468"/>
      <c r="B11" s="471"/>
      <c r="C11" s="283" t="s">
        <v>79</v>
      </c>
      <c r="D11" s="82" t="s">
        <v>80</v>
      </c>
      <c r="E11" s="82" t="s">
        <v>81</v>
      </c>
      <c r="F11" s="82" t="s">
        <v>74</v>
      </c>
      <c r="G11" s="95" t="s">
        <v>82</v>
      </c>
    </row>
    <row r="12" spans="1:7" ht="115.15">
      <c r="A12" s="468"/>
      <c r="B12" s="471"/>
      <c r="C12" s="283" t="s">
        <v>83</v>
      </c>
      <c r="D12" s="293" t="s">
        <v>84</v>
      </c>
      <c r="E12" s="82" t="s">
        <v>81</v>
      </c>
      <c r="F12" s="82" t="s">
        <v>74</v>
      </c>
      <c r="G12" s="279" t="s">
        <v>85</v>
      </c>
    </row>
    <row r="13" spans="1:7" ht="28.9">
      <c r="A13" s="468"/>
      <c r="B13" s="471"/>
      <c r="C13" s="283" t="s">
        <v>86</v>
      </c>
      <c r="D13" s="82" t="s">
        <v>87</v>
      </c>
      <c r="E13" s="82" t="s">
        <v>81</v>
      </c>
      <c r="F13" s="82" t="s">
        <v>74</v>
      </c>
      <c r="G13" s="95" t="s">
        <v>88</v>
      </c>
    </row>
    <row r="14" spans="1:7" ht="28.9">
      <c r="A14" s="468"/>
      <c r="B14" s="471"/>
      <c r="C14" s="283" t="s">
        <v>89</v>
      </c>
      <c r="D14" s="82" t="s">
        <v>90</v>
      </c>
      <c r="E14" s="82" t="s">
        <v>81</v>
      </c>
      <c r="F14" s="82" t="s">
        <v>74</v>
      </c>
      <c r="G14" s="95" t="s">
        <v>88</v>
      </c>
    </row>
    <row r="15" spans="1:7">
      <c r="A15" s="468"/>
      <c r="B15" s="471"/>
      <c r="C15" s="121" t="s">
        <v>91</v>
      </c>
      <c r="D15" s="82" t="s">
        <v>92</v>
      </c>
      <c r="E15" s="82" t="s">
        <v>55</v>
      </c>
      <c r="F15" s="82" t="s">
        <v>74</v>
      </c>
      <c r="G15" s="95" t="s">
        <v>93</v>
      </c>
    </row>
    <row r="16" spans="1:7" ht="57.6">
      <c r="A16" s="468"/>
      <c r="B16" s="471"/>
      <c r="C16" s="283" t="s">
        <v>94</v>
      </c>
      <c r="D16" s="293" t="s">
        <v>95</v>
      </c>
      <c r="E16" s="82" t="s">
        <v>81</v>
      </c>
      <c r="F16" s="82" t="s">
        <v>74</v>
      </c>
      <c r="G16" s="279" t="s">
        <v>96</v>
      </c>
    </row>
    <row r="17" spans="1:7" ht="28.9">
      <c r="A17" s="468"/>
      <c r="B17" s="471"/>
      <c r="C17" s="283" t="s">
        <v>97</v>
      </c>
      <c r="D17" s="82" t="s">
        <v>98</v>
      </c>
      <c r="E17" s="82" t="s">
        <v>81</v>
      </c>
      <c r="F17" s="82" t="s">
        <v>74</v>
      </c>
      <c r="G17" s="95" t="s">
        <v>99</v>
      </c>
    </row>
    <row r="18" spans="1:7" ht="43.15">
      <c r="A18" s="468"/>
      <c r="B18" s="471"/>
      <c r="C18" s="283" t="s">
        <v>100</v>
      </c>
      <c r="D18" s="82" t="s">
        <v>101</v>
      </c>
      <c r="E18" s="82" t="s">
        <v>81</v>
      </c>
      <c r="F18" s="82" t="s">
        <v>74</v>
      </c>
      <c r="G18" s="95" t="s">
        <v>102</v>
      </c>
    </row>
    <row r="19" spans="1:7">
      <c r="A19" s="468"/>
      <c r="B19" s="471"/>
      <c r="C19" s="283" t="s">
        <v>103</v>
      </c>
      <c r="D19" s="82" t="s">
        <v>104</v>
      </c>
      <c r="E19" s="82" t="s">
        <v>81</v>
      </c>
      <c r="F19" s="82" t="s">
        <v>74</v>
      </c>
      <c r="G19" s="95" t="s">
        <v>105</v>
      </c>
    </row>
    <row r="20" spans="1:7" ht="101.45" thickBot="1">
      <c r="A20" s="468"/>
      <c r="B20" s="472"/>
      <c r="C20" s="329" t="s">
        <v>1</v>
      </c>
      <c r="D20" s="438" t="s">
        <v>106</v>
      </c>
      <c r="E20" s="330" t="s">
        <v>81</v>
      </c>
      <c r="F20" s="330" t="s">
        <v>74</v>
      </c>
      <c r="G20" s="331" t="s">
        <v>107</v>
      </c>
    </row>
    <row r="21" spans="1:7" ht="43.15">
      <c r="A21" s="468"/>
      <c r="B21" s="504" t="s">
        <v>108</v>
      </c>
      <c r="C21" s="284" t="s">
        <v>109</v>
      </c>
      <c r="D21" s="105" t="s">
        <v>110</v>
      </c>
      <c r="E21" s="105" t="s">
        <v>81</v>
      </c>
      <c r="F21" s="105" t="s">
        <v>111</v>
      </c>
      <c r="G21" s="157" t="s">
        <v>112</v>
      </c>
    </row>
    <row r="22" spans="1:7" ht="28.9">
      <c r="A22" s="468"/>
      <c r="B22" s="505"/>
      <c r="C22" s="285" t="s">
        <v>113</v>
      </c>
      <c r="D22" s="335" t="s">
        <v>114</v>
      </c>
      <c r="E22" s="335" t="s">
        <v>81</v>
      </c>
      <c r="F22" s="335" t="s">
        <v>111</v>
      </c>
      <c r="G22" s="336" t="s">
        <v>115</v>
      </c>
    </row>
    <row r="23" spans="1:7" ht="15" thickBot="1">
      <c r="A23" s="468"/>
      <c r="B23" s="506"/>
      <c r="C23" s="337" t="s">
        <v>116</v>
      </c>
      <c r="D23" s="107" t="s">
        <v>117</v>
      </c>
      <c r="E23" s="107" t="s">
        <v>81</v>
      </c>
      <c r="F23" s="107" t="s">
        <v>111</v>
      </c>
      <c r="G23" s="108" t="s">
        <v>118</v>
      </c>
    </row>
    <row r="24" spans="1:7" ht="30" customHeight="1">
      <c r="A24" s="468"/>
      <c r="B24" s="507" t="s">
        <v>119</v>
      </c>
      <c r="C24" s="332" t="s">
        <v>120</v>
      </c>
      <c r="D24" s="333" t="s">
        <v>121</v>
      </c>
      <c r="E24" s="333" t="s">
        <v>81</v>
      </c>
      <c r="F24" s="333" t="s">
        <v>74</v>
      </c>
      <c r="G24" s="334" t="s">
        <v>122</v>
      </c>
    </row>
    <row r="25" spans="1:7" ht="30" customHeight="1">
      <c r="A25" s="468"/>
      <c r="B25" s="508"/>
      <c r="C25" s="285" t="s">
        <v>123</v>
      </c>
      <c r="D25" s="109" t="s">
        <v>124</v>
      </c>
      <c r="E25" s="109" t="s">
        <v>81</v>
      </c>
      <c r="F25" s="109" t="s">
        <v>125</v>
      </c>
      <c r="G25" s="461" t="s">
        <v>126</v>
      </c>
    </row>
    <row r="26" spans="1:7" ht="28.9">
      <c r="A26" s="468"/>
      <c r="B26" s="508"/>
      <c r="C26" s="233" t="s">
        <v>127</v>
      </c>
      <c r="D26" s="109" t="s">
        <v>128</v>
      </c>
      <c r="E26" s="109" t="s">
        <v>81</v>
      </c>
      <c r="F26" s="109" t="s">
        <v>125</v>
      </c>
      <c r="G26" s="462"/>
    </row>
    <row r="27" spans="1:7">
      <c r="A27" s="468"/>
      <c r="B27" s="508"/>
      <c r="C27" s="285" t="s">
        <v>30</v>
      </c>
      <c r="D27" s="109" t="s">
        <v>129</v>
      </c>
      <c r="E27" s="109" t="s">
        <v>81</v>
      </c>
      <c r="F27" s="109" t="s">
        <v>125</v>
      </c>
      <c r="G27" s="462"/>
    </row>
    <row r="28" spans="1:7">
      <c r="A28" s="468"/>
      <c r="B28" s="508"/>
      <c r="C28" s="285" t="s">
        <v>130</v>
      </c>
      <c r="D28" s="109" t="s">
        <v>131</v>
      </c>
      <c r="E28" s="109" t="s">
        <v>81</v>
      </c>
      <c r="F28" s="109" t="s">
        <v>125</v>
      </c>
      <c r="G28" s="462"/>
    </row>
    <row r="29" spans="1:7">
      <c r="A29" s="468"/>
      <c r="B29" s="508"/>
      <c r="C29" s="285" t="s">
        <v>35</v>
      </c>
      <c r="D29" s="109" t="s">
        <v>132</v>
      </c>
      <c r="E29" s="109" t="s">
        <v>81</v>
      </c>
      <c r="F29" s="109" t="s">
        <v>125</v>
      </c>
      <c r="G29" s="462"/>
    </row>
    <row r="30" spans="1:7">
      <c r="A30" s="468"/>
      <c r="B30" s="508"/>
      <c r="C30" s="285" t="s">
        <v>133</v>
      </c>
      <c r="D30" s="109" t="s">
        <v>134</v>
      </c>
      <c r="E30" s="109" t="s">
        <v>81</v>
      </c>
      <c r="F30" s="109" t="s">
        <v>125</v>
      </c>
      <c r="G30" s="462"/>
    </row>
    <row r="31" spans="1:7">
      <c r="A31" s="468"/>
      <c r="B31" s="508"/>
      <c r="C31" s="233" t="s">
        <v>135</v>
      </c>
      <c r="D31" s="109" t="s">
        <v>136</v>
      </c>
      <c r="E31" s="109" t="s">
        <v>81</v>
      </c>
      <c r="F31" s="109" t="s">
        <v>125</v>
      </c>
      <c r="G31" s="462"/>
    </row>
    <row r="32" spans="1:7" ht="29.45" thickBot="1">
      <c r="A32" s="468"/>
      <c r="B32" s="509"/>
      <c r="C32" s="286" t="s">
        <v>137</v>
      </c>
      <c r="D32" s="104" t="s">
        <v>138</v>
      </c>
      <c r="E32" s="104" t="s">
        <v>81</v>
      </c>
      <c r="F32" s="104" t="s">
        <v>125</v>
      </c>
      <c r="G32" s="463"/>
    </row>
    <row r="33" spans="1:7">
      <c r="A33" s="468"/>
      <c r="B33" s="510" t="s">
        <v>139</v>
      </c>
      <c r="C33" s="268" t="s">
        <v>127</v>
      </c>
      <c r="D33" s="231" t="s">
        <v>140</v>
      </c>
      <c r="E33" s="231" t="s">
        <v>81</v>
      </c>
      <c r="F33" s="231" t="s">
        <v>141</v>
      </c>
      <c r="G33" s="232" t="s">
        <v>142</v>
      </c>
    </row>
    <row r="34" spans="1:7">
      <c r="A34" s="468"/>
      <c r="B34" s="511"/>
      <c r="C34" s="283" t="s">
        <v>30</v>
      </c>
      <c r="D34" s="83" t="s">
        <v>143</v>
      </c>
      <c r="E34" s="83" t="s">
        <v>81</v>
      </c>
      <c r="F34" s="83" t="s">
        <v>141</v>
      </c>
      <c r="G34" s="99"/>
    </row>
    <row r="35" spans="1:7">
      <c r="A35" s="468"/>
      <c r="B35" s="511"/>
      <c r="C35" s="283" t="s">
        <v>130</v>
      </c>
      <c r="D35" s="83" t="s">
        <v>144</v>
      </c>
      <c r="E35" s="83" t="s">
        <v>81</v>
      </c>
      <c r="F35" s="83" t="s">
        <v>141</v>
      </c>
      <c r="G35" s="99" t="s">
        <v>145</v>
      </c>
    </row>
    <row r="36" spans="1:7">
      <c r="A36" s="468"/>
      <c r="B36" s="511"/>
      <c r="C36" s="283" t="s">
        <v>35</v>
      </c>
      <c r="D36" s="83" t="s">
        <v>146</v>
      </c>
      <c r="E36" s="83" t="s">
        <v>81</v>
      </c>
      <c r="F36" s="83" t="s">
        <v>141</v>
      </c>
      <c r="G36" s="113"/>
    </row>
    <row r="37" spans="1:7">
      <c r="A37" s="468"/>
      <c r="B37" s="511"/>
      <c r="C37" s="283" t="s">
        <v>133</v>
      </c>
      <c r="D37" s="83" t="s">
        <v>147</v>
      </c>
      <c r="E37" s="83" t="s">
        <v>81</v>
      </c>
      <c r="F37" s="83" t="s">
        <v>141</v>
      </c>
      <c r="G37" s="99" t="s">
        <v>148</v>
      </c>
    </row>
    <row r="38" spans="1:7">
      <c r="A38" s="468"/>
      <c r="B38" s="511"/>
      <c r="C38" s="234" t="s">
        <v>135</v>
      </c>
      <c r="D38" s="83" t="s">
        <v>149</v>
      </c>
      <c r="E38" s="83" t="s">
        <v>81</v>
      </c>
      <c r="F38" s="83" t="s">
        <v>141</v>
      </c>
      <c r="G38" s="99"/>
    </row>
    <row r="39" spans="1:7" ht="28.9">
      <c r="A39" s="468"/>
      <c r="B39" s="511"/>
      <c r="C39" s="285" t="s">
        <v>150</v>
      </c>
      <c r="D39" s="83" t="s">
        <v>151</v>
      </c>
      <c r="E39" s="83" t="s">
        <v>81</v>
      </c>
      <c r="F39" s="83" t="s">
        <v>141</v>
      </c>
      <c r="G39" s="99"/>
    </row>
    <row r="40" spans="1:7" ht="28.9">
      <c r="A40" s="468"/>
      <c r="B40" s="511"/>
      <c r="C40" s="234" t="s">
        <v>152</v>
      </c>
      <c r="D40" s="83" t="s">
        <v>153</v>
      </c>
      <c r="E40" s="83" t="s">
        <v>55</v>
      </c>
      <c r="F40" s="83" t="s">
        <v>141</v>
      </c>
      <c r="G40" s="99" t="s">
        <v>154</v>
      </c>
    </row>
    <row r="41" spans="1:7" ht="29.45" thickBot="1">
      <c r="A41" s="468"/>
      <c r="B41" s="512"/>
      <c r="C41" s="282" t="s">
        <v>155</v>
      </c>
      <c r="D41" s="100" t="s">
        <v>156</v>
      </c>
      <c r="E41" s="100" t="s">
        <v>81</v>
      </c>
      <c r="F41" s="100" t="s">
        <v>141</v>
      </c>
      <c r="G41" s="101" t="s">
        <v>157</v>
      </c>
    </row>
    <row r="42" spans="1:7" ht="130.15" thickBot="1">
      <c r="A42" s="467" t="s">
        <v>58</v>
      </c>
      <c r="B42" s="338" t="s">
        <v>158</v>
      </c>
      <c r="C42" s="287" t="s">
        <v>83</v>
      </c>
      <c r="D42" s="339" t="s">
        <v>159</v>
      </c>
      <c r="E42" s="339" t="s">
        <v>81</v>
      </c>
      <c r="F42" s="339" t="s">
        <v>74</v>
      </c>
      <c r="G42" s="340" t="s">
        <v>160</v>
      </c>
    </row>
    <row r="43" spans="1:7" ht="15" customHeight="1">
      <c r="A43" s="468"/>
      <c r="B43" s="496" t="s">
        <v>161</v>
      </c>
      <c r="C43" s="265" t="s">
        <v>162</v>
      </c>
      <c r="D43" s="253" t="s">
        <v>163</v>
      </c>
      <c r="E43" s="253" t="s">
        <v>62</v>
      </c>
      <c r="F43" s="253" t="s">
        <v>74</v>
      </c>
      <c r="G43" s="236" t="s">
        <v>164</v>
      </c>
    </row>
    <row r="44" spans="1:7" ht="28.9">
      <c r="A44" s="468"/>
      <c r="B44" s="497"/>
      <c r="C44" s="266" t="s">
        <v>123</v>
      </c>
      <c r="D44" s="254" t="s">
        <v>165</v>
      </c>
      <c r="E44" s="254" t="s">
        <v>62</v>
      </c>
      <c r="F44" s="254" t="s">
        <v>74</v>
      </c>
      <c r="G44" s="237" t="s">
        <v>164</v>
      </c>
    </row>
    <row r="45" spans="1:7" ht="28.9">
      <c r="A45" s="468"/>
      <c r="B45" s="497"/>
      <c r="C45" s="266" t="s">
        <v>100</v>
      </c>
      <c r="D45" s="254" t="s">
        <v>166</v>
      </c>
      <c r="E45" s="254" t="s">
        <v>62</v>
      </c>
      <c r="F45" s="254" t="s">
        <v>74</v>
      </c>
      <c r="G45" s="237" t="s">
        <v>167</v>
      </c>
    </row>
    <row r="46" spans="1:7">
      <c r="A46" s="468"/>
      <c r="B46" s="497"/>
      <c r="C46" s="266" t="s">
        <v>168</v>
      </c>
      <c r="D46" s="254" t="s">
        <v>169</v>
      </c>
      <c r="E46" s="254" t="s">
        <v>62</v>
      </c>
      <c r="F46" s="254" t="s">
        <v>74</v>
      </c>
      <c r="G46" s="237" t="s">
        <v>164</v>
      </c>
    </row>
    <row r="47" spans="1:7" ht="15" thickBot="1">
      <c r="A47" s="468"/>
      <c r="B47" s="498"/>
      <c r="C47" s="267" t="s">
        <v>170</v>
      </c>
      <c r="D47" s="255" t="s">
        <v>171</v>
      </c>
      <c r="E47" s="254" t="s">
        <v>62</v>
      </c>
      <c r="F47" s="255" t="s">
        <v>74</v>
      </c>
      <c r="G47" s="238" t="s">
        <v>164</v>
      </c>
    </row>
    <row r="48" spans="1:7" ht="28.9">
      <c r="A48" s="468"/>
      <c r="B48" s="499" t="s">
        <v>172</v>
      </c>
      <c r="C48" s="262" t="s">
        <v>127</v>
      </c>
      <c r="D48" s="256" t="s">
        <v>173</v>
      </c>
      <c r="E48" s="256" t="s">
        <v>62</v>
      </c>
      <c r="F48" s="256" t="s">
        <v>125</v>
      </c>
      <c r="G48" s="464" t="s">
        <v>174</v>
      </c>
    </row>
    <row r="49" spans="1:7" ht="28.9">
      <c r="A49" s="468"/>
      <c r="B49" s="499"/>
      <c r="C49" s="263" t="s">
        <v>30</v>
      </c>
      <c r="D49" s="239" t="s">
        <v>175</v>
      </c>
      <c r="E49" s="239" t="s">
        <v>62</v>
      </c>
      <c r="F49" s="239" t="s">
        <v>125</v>
      </c>
      <c r="G49" s="465"/>
    </row>
    <row r="50" spans="1:7" ht="28.9">
      <c r="A50" s="468"/>
      <c r="B50" s="499"/>
      <c r="C50" s="263" t="s">
        <v>130</v>
      </c>
      <c r="D50" s="239" t="s">
        <v>176</v>
      </c>
      <c r="E50" s="239" t="s">
        <v>62</v>
      </c>
      <c r="F50" s="239" t="s">
        <v>125</v>
      </c>
      <c r="G50" s="465"/>
    </row>
    <row r="51" spans="1:7">
      <c r="A51" s="468"/>
      <c r="B51" s="499"/>
      <c r="C51" s="263" t="s">
        <v>35</v>
      </c>
      <c r="D51" s="239" t="s">
        <v>177</v>
      </c>
      <c r="E51" s="239" t="s">
        <v>62</v>
      </c>
      <c r="F51" s="239" t="s">
        <v>125</v>
      </c>
      <c r="G51" s="465"/>
    </row>
    <row r="52" spans="1:7">
      <c r="A52" s="468"/>
      <c r="B52" s="499"/>
      <c r="C52" s="263" t="s">
        <v>133</v>
      </c>
      <c r="D52" s="239" t="s">
        <v>178</v>
      </c>
      <c r="E52" s="239" t="s">
        <v>62</v>
      </c>
      <c r="F52" s="239" t="s">
        <v>125</v>
      </c>
      <c r="G52" s="465"/>
    </row>
    <row r="53" spans="1:7">
      <c r="A53" s="468"/>
      <c r="B53" s="499"/>
      <c r="C53" s="263" t="s">
        <v>179</v>
      </c>
      <c r="D53" s="239" t="s">
        <v>180</v>
      </c>
      <c r="E53" s="239" t="s">
        <v>62</v>
      </c>
      <c r="F53" s="239" t="s">
        <v>125</v>
      </c>
      <c r="G53" s="465"/>
    </row>
    <row r="54" spans="1:7">
      <c r="A54" s="468"/>
      <c r="B54" s="499"/>
      <c r="C54" s="263" t="s">
        <v>135</v>
      </c>
      <c r="D54" s="239" t="s">
        <v>181</v>
      </c>
      <c r="E54" s="239" t="s">
        <v>62</v>
      </c>
      <c r="F54" s="239" t="s">
        <v>125</v>
      </c>
      <c r="G54" s="465"/>
    </row>
    <row r="55" spans="1:7" ht="29.45" thickBot="1">
      <c r="A55" s="468"/>
      <c r="B55" s="500"/>
      <c r="C55" s="264" t="s">
        <v>182</v>
      </c>
      <c r="D55" s="257" t="s">
        <v>183</v>
      </c>
      <c r="E55" s="257" t="s">
        <v>62</v>
      </c>
      <c r="F55" s="257" t="s">
        <v>125</v>
      </c>
      <c r="G55" s="466"/>
    </row>
    <row r="56" spans="1:7" ht="28.9">
      <c r="A56" s="468"/>
      <c r="B56" s="501" t="s">
        <v>139</v>
      </c>
      <c r="C56" s="324" t="s">
        <v>127</v>
      </c>
      <c r="D56" s="325" t="s">
        <v>184</v>
      </c>
      <c r="E56" s="325" t="s">
        <v>62</v>
      </c>
      <c r="F56" s="325" t="s">
        <v>141</v>
      </c>
      <c r="G56" s="326" t="s">
        <v>164</v>
      </c>
    </row>
    <row r="57" spans="1:7">
      <c r="A57" s="468"/>
      <c r="B57" s="502"/>
      <c r="C57" s="260" t="s">
        <v>30</v>
      </c>
      <c r="D57" s="258" t="s">
        <v>185</v>
      </c>
      <c r="E57" s="258" t="s">
        <v>62</v>
      </c>
      <c r="F57" s="258" t="s">
        <v>141</v>
      </c>
      <c r="G57" s="235" t="s">
        <v>164</v>
      </c>
    </row>
    <row r="58" spans="1:7" ht="28.9">
      <c r="A58" s="468"/>
      <c r="B58" s="502"/>
      <c r="C58" s="260" t="s">
        <v>130</v>
      </c>
      <c r="D58" s="258" t="s">
        <v>186</v>
      </c>
      <c r="E58" s="258" t="s">
        <v>62</v>
      </c>
      <c r="F58" s="258" t="s">
        <v>141</v>
      </c>
      <c r="G58" s="235" t="s">
        <v>164</v>
      </c>
    </row>
    <row r="59" spans="1:7">
      <c r="A59" s="468"/>
      <c r="B59" s="502"/>
      <c r="C59" s="260" t="s">
        <v>35</v>
      </c>
      <c r="D59" s="258" t="s">
        <v>187</v>
      </c>
      <c r="E59" s="258" t="s">
        <v>62</v>
      </c>
      <c r="F59" s="258" t="s">
        <v>141</v>
      </c>
      <c r="G59" s="235" t="s">
        <v>164</v>
      </c>
    </row>
    <row r="60" spans="1:7">
      <c r="A60" s="468"/>
      <c r="B60" s="502"/>
      <c r="C60" s="260" t="s">
        <v>133</v>
      </c>
      <c r="D60" s="258" t="s">
        <v>188</v>
      </c>
      <c r="E60" s="258" t="s">
        <v>62</v>
      </c>
      <c r="F60" s="258" t="s">
        <v>141</v>
      </c>
      <c r="G60" s="235" t="s">
        <v>164</v>
      </c>
    </row>
    <row r="61" spans="1:7">
      <c r="A61" s="468"/>
      <c r="B61" s="502"/>
      <c r="C61" s="260" t="s">
        <v>179</v>
      </c>
      <c r="D61" s="258" t="s">
        <v>189</v>
      </c>
      <c r="E61" s="258" t="s">
        <v>62</v>
      </c>
      <c r="F61" s="258" t="s">
        <v>141</v>
      </c>
      <c r="G61" s="235" t="s">
        <v>164</v>
      </c>
    </row>
    <row r="62" spans="1:7">
      <c r="A62" s="468"/>
      <c r="B62" s="502"/>
      <c r="C62" s="260" t="s">
        <v>135</v>
      </c>
      <c r="D62" s="258" t="s">
        <v>190</v>
      </c>
      <c r="E62" s="258" t="s">
        <v>62</v>
      </c>
      <c r="F62" s="258" t="s">
        <v>141</v>
      </c>
      <c r="G62" s="235" t="s">
        <v>164</v>
      </c>
    </row>
    <row r="63" spans="1:7" ht="15" thickBot="1">
      <c r="A63" s="469"/>
      <c r="B63" s="503"/>
      <c r="C63" s="261" t="s">
        <v>182</v>
      </c>
      <c r="D63" s="259" t="s">
        <v>191</v>
      </c>
      <c r="E63" s="259" t="s">
        <v>62</v>
      </c>
      <c r="F63" s="259" t="s">
        <v>141</v>
      </c>
      <c r="G63" s="240" t="s">
        <v>164</v>
      </c>
    </row>
    <row r="64" spans="1:7" ht="115.15">
      <c r="A64" s="468" t="s">
        <v>60</v>
      </c>
      <c r="B64" s="493" t="s">
        <v>192</v>
      </c>
      <c r="C64" s="284" t="s">
        <v>72</v>
      </c>
      <c r="D64" s="242" t="s">
        <v>193</v>
      </c>
      <c r="E64" s="242" t="s">
        <v>55</v>
      </c>
      <c r="F64" s="242" t="s">
        <v>74</v>
      </c>
      <c r="G64" s="341" t="s">
        <v>194</v>
      </c>
    </row>
    <row r="65" spans="1:7" ht="57.6">
      <c r="A65" s="468"/>
      <c r="B65" s="494"/>
      <c r="C65" s="285" t="s">
        <v>76</v>
      </c>
      <c r="D65" s="243" t="s">
        <v>77</v>
      </c>
      <c r="E65" s="243" t="s">
        <v>55</v>
      </c>
      <c r="F65" s="243" t="s">
        <v>74</v>
      </c>
      <c r="G65" s="343" t="s">
        <v>195</v>
      </c>
    </row>
    <row r="66" spans="1:7">
      <c r="A66" s="468"/>
      <c r="B66" s="494"/>
      <c r="C66" s="285" t="s">
        <v>91</v>
      </c>
      <c r="D66" s="243" t="s">
        <v>92</v>
      </c>
      <c r="E66" s="243" t="s">
        <v>55</v>
      </c>
      <c r="F66" s="243" t="s">
        <v>74</v>
      </c>
      <c r="G66" s="244" t="s">
        <v>196</v>
      </c>
    </row>
    <row r="67" spans="1:7">
      <c r="A67" s="468"/>
      <c r="B67" s="494"/>
      <c r="C67" s="285" t="s">
        <v>197</v>
      </c>
      <c r="D67" s="243" t="s">
        <v>198</v>
      </c>
      <c r="E67" s="243" t="s">
        <v>55</v>
      </c>
      <c r="F67" s="243" t="s">
        <v>74</v>
      </c>
      <c r="G67" s="244" t="s">
        <v>199</v>
      </c>
    </row>
    <row r="68" spans="1:7">
      <c r="A68" s="468"/>
      <c r="B68" s="494"/>
      <c r="C68" s="285" t="s">
        <v>1</v>
      </c>
      <c r="D68" s="243" t="s">
        <v>200</v>
      </c>
      <c r="E68" s="243" t="s">
        <v>55</v>
      </c>
      <c r="F68" s="243" t="s">
        <v>74</v>
      </c>
      <c r="G68" s="244" t="s">
        <v>201</v>
      </c>
    </row>
    <row r="69" spans="1:7" ht="15" thickBot="1">
      <c r="A69" s="468"/>
      <c r="B69" s="495"/>
      <c r="C69" s="286" t="s">
        <v>202</v>
      </c>
      <c r="D69" s="245" t="s">
        <v>203</v>
      </c>
      <c r="E69" s="245" t="s">
        <v>55</v>
      </c>
      <c r="F69" s="245" t="s">
        <v>74</v>
      </c>
      <c r="G69" s="246"/>
    </row>
    <row r="70" spans="1:7" ht="129.6">
      <c r="A70" s="467" t="s">
        <v>63</v>
      </c>
      <c r="B70" s="470" t="s">
        <v>71</v>
      </c>
      <c r="C70" s="289" t="s">
        <v>72</v>
      </c>
      <c r="D70" s="241" t="s">
        <v>204</v>
      </c>
      <c r="E70" s="241" t="s">
        <v>55</v>
      </c>
      <c r="F70" s="241" t="s">
        <v>74</v>
      </c>
      <c r="G70" s="342" t="s">
        <v>205</v>
      </c>
    </row>
    <row r="71" spans="1:7">
      <c r="A71" s="468"/>
      <c r="B71" s="471"/>
      <c r="C71" s="121" t="s">
        <v>76</v>
      </c>
      <c r="D71" s="82" t="s">
        <v>77</v>
      </c>
      <c r="E71" s="82" t="s">
        <v>55</v>
      </c>
      <c r="F71" s="82" t="s">
        <v>74</v>
      </c>
      <c r="G71" s="95" t="s">
        <v>164</v>
      </c>
    </row>
    <row r="72" spans="1:7">
      <c r="A72" s="468"/>
      <c r="B72" s="471"/>
      <c r="C72" s="121" t="s">
        <v>91</v>
      </c>
      <c r="D72" s="82" t="s">
        <v>92</v>
      </c>
      <c r="E72" s="82" t="s">
        <v>55</v>
      </c>
      <c r="F72" s="82" t="s">
        <v>74</v>
      </c>
      <c r="G72" s="95" t="s">
        <v>206</v>
      </c>
    </row>
    <row r="73" spans="1:7">
      <c r="A73" s="468"/>
      <c r="B73" s="471"/>
      <c r="C73" s="121" t="s">
        <v>207</v>
      </c>
      <c r="D73" s="82" t="s">
        <v>208</v>
      </c>
      <c r="E73" s="82" t="s">
        <v>81</v>
      </c>
      <c r="F73" s="82" t="s">
        <v>74</v>
      </c>
      <c r="G73" s="95" t="s">
        <v>164</v>
      </c>
    </row>
    <row r="74" spans="1:7" ht="60" customHeight="1">
      <c r="A74" s="468"/>
      <c r="B74" s="471"/>
      <c r="C74" s="121" t="s">
        <v>83</v>
      </c>
      <c r="D74" s="82" t="s">
        <v>209</v>
      </c>
      <c r="E74" s="82" t="s">
        <v>81</v>
      </c>
      <c r="F74" s="82" t="s">
        <v>74</v>
      </c>
      <c r="G74" s="95" t="s">
        <v>164</v>
      </c>
    </row>
    <row r="75" spans="1:7">
      <c r="A75" s="468"/>
      <c r="B75" s="471"/>
      <c r="C75" s="121" t="s">
        <v>1</v>
      </c>
      <c r="D75" s="82" t="s">
        <v>200</v>
      </c>
      <c r="E75" s="82" t="s">
        <v>81</v>
      </c>
      <c r="F75" s="82" t="s">
        <v>74</v>
      </c>
      <c r="G75" s="95" t="s">
        <v>164</v>
      </c>
    </row>
    <row r="76" spans="1:7" ht="86.45">
      <c r="A76" s="468"/>
      <c r="B76" s="471"/>
      <c r="C76" s="121" t="s">
        <v>210</v>
      </c>
      <c r="D76" s="82" t="s">
        <v>211</v>
      </c>
      <c r="E76" s="82" t="s">
        <v>55</v>
      </c>
      <c r="F76" s="82" t="s">
        <v>74</v>
      </c>
      <c r="G76" s="279" t="s">
        <v>212</v>
      </c>
    </row>
    <row r="77" spans="1:7" ht="86.45">
      <c r="A77" s="468"/>
      <c r="B77" s="471"/>
      <c r="C77" s="121" t="s">
        <v>213</v>
      </c>
      <c r="D77" s="82" t="s">
        <v>214</v>
      </c>
      <c r="E77" s="82" t="s">
        <v>55</v>
      </c>
      <c r="F77" s="82" t="s">
        <v>74</v>
      </c>
      <c r="G77" s="279" t="s">
        <v>215</v>
      </c>
    </row>
    <row r="78" spans="1:7" ht="28.9">
      <c r="A78" s="468"/>
      <c r="B78" s="471"/>
      <c r="C78" s="121" t="s">
        <v>100</v>
      </c>
      <c r="D78" s="82" t="s">
        <v>166</v>
      </c>
      <c r="E78" s="82" t="s">
        <v>81</v>
      </c>
      <c r="F78" s="82" t="s">
        <v>74</v>
      </c>
      <c r="G78" s="95" t="s">
        <v>167</v>
      </c>
    </row>
    <row r="79" spans="1:7" ht="29.45" thickBot="1">
      <c r="A79" s="468"/>
      <c r="B79" s="472"/>
      <c r="C79" s="122" t="s">
        <v>216</v>
      </c>
      <c r="D79" s="96" t="s">
        <v>217</v>
      </c>
      <c r="E79" s="96" t="s">
        <v>55</v>
      </c>
      <c r="F79" s="96" t="s">
        <v>74</v>
      </c>
      <c r="G79" s="97" t="s">
        <v>218</v>
      </c>
    </row>
    <row r="80" spans="1:7" ht="28.9">
      <c r="A80" s="468"/>
      <c r="B80" s="473" t="s">
        <v>108</v>
      </c>
      <c r="C80" s="123" t="s">
        <v>109</v>
      </c>
      <c r="D80" s="105" t="s">
        <v>219</v>
      </c>
      <c r="E80" s="105" t="s">
        <v>55</v>
      </c>
      <c r="F80" s="105" t="s">
        <v>220</v>
      </c>
      <c r="G80" s="106" t="s">
        <v>218</v>
      </c>
    </row>
    <row r="81" spans="1:7" ht="29.45" thickBot="1">
      <c r="A81" s="468"/>
      <c r="B81" s="474"/>
      <c r="C81" s="124" t="s">
        <v>116</v>
      </c>
      <c r="D81" s="107" t="s">
        <v>221</v>
      </c>
      <c r="E81" s="107" t="s">
        <v>55</v>
      </c>
      <c r="F81" s="107" t="s">
        <v>220</v>
      </c>
      <c r="G81" s="108" t="s">
        <v>218</v>
      </c>
    </row>
    <row r="82" spans="1:7" ht="28.9">
      <c r="A82" s="468"/>
      <c r="B82" s="475" t="s">
        <v>119</v>
      </c>
      <c r="C82" s="125" t="s">
        <v>222</v>
      </c>
      <c r="D82" s="102" t="s">
        <v>223</v>
      </c>
      <c r="E82" s="102" t="s">
        <v>55</v>
      </c>
      <c r="F82" s="102" t="s">
        <v>74</v>
      </c>
      <c r="G82" s="103" t="s">
        <v>218</v>
      </c>
    </row>
    <row r="83" spans="1:7" ht="28.9">
      <c r="A83" s="468"/>
      <c r="B83" s="476"/>
      <c r="C83" s="127" t="s">
        <v>224</v>
      </c>
      <c r="D83" s="109" t="s">
        <v>225</v>
      </c>
      <c r="E83" s="109" t="s">
        <v>55</v>
      </c>
      <c r="F83" s="109" t="s">
        <v>220</v>
      </c>
      <c r="G83" s="114" t="s">
        <v>218</v>
      </c>
    </row>
    <row r="84" spans="1:7" ht="29.45" thickBot="1">
      <c r="A84" s="468"/>
      <c r="B84" s="477"/>
      <c r="C84" s="128" t="s">
        <v>182</v>
      </c>
      <c r="D84" s="119" t="s">
        <v>226</v>
      </c>
      <c r="E84" s="119" t="s">
        <v>55</v>
      </c>
      <c r="F84" s="119" t="s">
        <v>220</v>
      </c>
      <c r="G84" s="120" t="s">
        <v>218</v>
      </c>
    </row>
    <row r="85" spans="1:7" ht="28.9">
      <c r="A85" s="468"/>
      <c r="B85" s="478" t="s">
        <v>139</v>
      </c>
      <c r="C85" s="126" t="s">
        <v>227</v>
      </c>
      <c r="D85" s="111" t="s">
        <v>228</v>
      </c>
      <c r="E85" s="111" t="s">
        <v>55</v>
      </c>
      <c r="F85" s="111" t="s">
        <v>220</v>
      </c>
      <c r="G85" s="112" t="s">
        <v>218</v>
      </c>
    </row>
    <row r="86" spans="1:7" ht="28.9">
      <c r="A86" s="468"/>
      <c r="B86" s="479"/>
      <c r="C86" s="98" t="s">
        <v>224</v>
      </c>
      <c r="D86" s="83" t="s">
        <v>229</v>
      </c>
      <c r="E86" s="83" t="s">
        <v>55</v>
      </c>
      <c r="F86" s="83" t="s">
        <v>220</v>
      </c>
      <c r="G86" s="99" t="s">
        <v>218</v>
      </c>
    </row>
    <row r="87" spans="1:7" ht="28.9">
      <c r="A87" s="468"/>
      <c r="B87" s="479"/>
      <c r="C87" s="98" t="s">
        <v>179</v>
      </c>
      <c r="D87" s="83" t="s">
        <v>230</v>
      </c>
      <c r="E87" s="83" t="s">
        <v>55</v>
      </c>
      <c r="F87" s="83" t="s">
        <v>220</v>
      </c>
      <c r="G87" s="99" t="s">
        <v>218</v>
      </c>
    </row>
    <row r="88" spans="1:7" ht="28.9">
      <c r="A88" s="468"/>
      <c r="B88" s="479"/>
      <c r="C88" s="98" t="s">
        <v>135</v>
      </c>
      <c r="D88" s="83" t="s">
        <v>231</v>
      </c>
      <c r="E88" s="83" t="s">
        <v>55</v>
      </c>
      <c r="F88" s="83" t="s">
        <v>220</v>
      </c>
      <c r="G88" s="99" t="s">
        <v>218</v>
      </c>
    </row>
    <row r="89" spans="1:7" ht="45" customHeight="1">
      <c r="A89" s="468"/>
      <c r="B89" s="479"/>
      <c r="C89" s="98" t="s">
        <v>182</v>
      </c>
      <c r="D89" s="83" t="s">
        <v>232</v>
      </c>
      <c r="E89" s="83" t="s">
        <v>55</v>
      </c>
      <c r="F89" s="83" t="s">
        <v>220</v>
      </c>
      <c r="G89" s="99" t="s">
        <v>218</v>
      </c>
    </row>
    <row r="90" spans="1:7" ht="29.45" thickBot="1">
      <c r="A90" s="469"/>
      <c r="B90" s="480"/>
      <c r="C90" s="282"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xr3:uid="{EAA6BE0F-A623-5FC0-AFD2-9CA7079ED315}">
      <pane xSplit="1" ySplit="1" topLeftCell="B2" activePane="bottomRight" state="frozen"/>
      <selection pane="bottomRight" activeCell="A11" sqref="A11"/>
      <selection pane="bottomLeft" activeCell="A2" sqref="A2"/>
      <selection pane="topRight" activeCell="B1" sqref="B1"/>
    </sheetView>
  </sheetViews>
  <sheetFormatPr defaultColWidth="9.140625" defaultRowHeight="14.45"/>
  <cols>
    <col min="1" max="1" width="9.5703125" style="158" bestFit="1" customWidth="1"/>
    <col min="2" max="2" width="123" style="81" bestFit="1" customWidth="1"/>
    <col min="3" max="3" width="7.140625" style="81" bestFit="1" customWidth="1"/>
    <col min="4" max="16384" width="9.140625" style="81"/>
  </cols>
  <sheetData>
    <row r="1" spans="1:3" ht="15" thickBot="1">
      <c r="A1" s="317" t="s">
        <v>0</v>
      </c>
      <c r="B1" s="320" t="s">
        <v>235</v>
      </c>
      <c r="C1" s="318" t="s">
        <v>236</v>
      </c>
    </row>
    <row r="2" spans="1:3">
      <c r="A2" s="319">
        <v>43807</v>
      </c>
      <c r="B2" s="321" t="s">
        <v>237</v>
      </c>
      <c r="C2" s="322" t="s">
        <v>11</v>
      </c>
    </row>
    <row r="3" spans="1:3" ht="28.9">
      <c r="A3" s="441">
        <v>43937</v>
      </c>
      <c r="B3" s="442" t="s">
        <v>238</v>
      </c>
      <c r="C3" s="443" t="s">
        <v>11</v>
      </c>
    </row>
    <row r="4" spans="1:3">
      <c r="A4" s="441">
        <v>43941</v>
      </c>
      <c r="B4" s="444" t="s">
        <v>239</v>
      </c>
      <c r="C4" s="443" t="s">
        <v>11</v>
      </c>
    </row>
    <row r="5" spans="1:3">
      <c r="A5" s="441">
        <v>43942</v>
      </c>
      <c r="B5" s="444" t="s">
        <v>240</v>
      </c>
      <c r="C5" s="443" t="s">
        <v>11</v>
      </c>
    </row>
    <row r="6" spans="1:3">
      <c r="A6" s="441">
        <v>43963</v>
      </c>
      <c r="B6" s="444" t="s">
        <v>241</v>
      </c>
      <c r="C6" s="443" t="s">
        <v>11</v>
      </c>
    </row>
    <row r="7" spans="1:3">
      <c r="A7" s="441">
        <v>43990</v>
      </c>
      <c r="B7" s="444" t="s">
        <v>242</v>
      </c>
      <c r="C7" s="443" t="s">
        <v>11</v>
      </c>
    </row>
    <row r="8" spans="1:3" ht="28.9">
      <c r="A8" s="441">
        <v>44104</v>
      </c>
      <c r="B8" s="442" t="s">
        <v>243</v>
      </c>
      <c r="C8" s="443" t="s">
        <v>244</v>
      </c>
    </row>
    <row r="9" spans="1:3" ht="144">
      <c r="A9" s="445">
        <v>44128</v>
      </c>
      <c r="B9" s="446" t="s">
        <v>245</v>
      </c>
      <c r="C9" s="447" t="s">
        <v>244</v>
      </c>
    </row>
    <row r="10" spans="1:3">
      <c r="A10" s="448">
        <v>45014</v>
      </c>
      <c r="B10" s="449" t="s">
        <v>246</v>
      </c>
      <c r="C10" s="449"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49"/>
  <sheetViews>
    <sheetView zoomScale="70" zoomScaleNormal="70" workbookViewId="0" xr3:uid="{842E5F09-E766-5B8D-85AF-A39847EA96FD}">
      <pane xSplit="2" ySplit="5" topLeftCell="U22" activePane="bottomRight" state="frozen"/>
      <selection pane="bottomRight" activeCell="AA42" sqref="AA42"/>
      <selection pane="bottomLeft" activeCell="A4" sqref="A4"/>
      <selection pane="topRight" activeCell="C1" sqref="C1"/>
    </sheetView>
  </sheetViews>
  <sheetFormatPr defaultColWidth="9.140625" defaultRowHeight="14.4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15.42578125" style="162" bestFit="1" customWidth="1"/>
    <col min="9" max="9" width="15.42578125" style="162" customWidth="1"/>
    <col min="10" max="10" width="36" style="159" hidden="1"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26.28515625" style="163" customWidth="1"/>
    <col min="21" max="21" width="15.42578125" style="163"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c r="A1" s="520" t="s">
        <v>248</v>
      </c>
      <c r="B1" s="521"/>
      <c r="C1" s="521"/>
      <c r="D1" s="521"/>
      <c r="E1" s="521"/>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2"/>
    </row>
    <row r="2" spans="1:34" ht="19.5" customHeight="1">
      <c r="A2" s="523" t="s">
        <v>249</v>
      </c>
      <c r="B2" s="524"/>
      <c r="C2" s="524"/>
      <c r="D2" s="524"/>
      <c r="E2" s="524"/>
      <c r="F2" s="524"/>
      <c r="G2" s="524"/>
      <c r="H2" s="524"/>
      <c r="I2" s="524"/>
      <c r="J2" s="525"/>
      <c r="K2" s="305">
        <f>SUM(K6:K38)</f>
        <v>27</v>
      </c>
      <c r="L2" s="305">
        <f>SUM(L6:L38)</f>
        <v>87</v>
      </c>
      <c r="M2" s="306"/>
      <c r="N2" s="344">
        <f>SUMPRODUCT(K6:K38,N6:N38)/K41</f>
        <v>1</v>
      </c>
      <c r="O2" s="345">
        <f>SUM(O6:O38)</f>
        <v>83.3</v>
      </c>
      <c r="P2" s="346">
        <f>SUMPRODUCT(K6:K38,P6:P38)/K41</f>
        <v>0.9462962962962963</v>
      </c>
      <c r="Q2" s="307"/>
      <c r="R2" s="308">
        <f t="shared" ref="R2:W2" si="0">SUM(R6:R38)</f>
        <v>72</v>
      </c>
      <c r="S2" s="347">
        <f t="shared" si="0"/>
        <v>72</v>
      </c>
      <c r="T2" s="347">
        <f t="shared" si="0"/>
        <v>72</v>
      </c>
      <c r="U2" s="347">
        <f t="shared" si="0"/>
        <v>0</v>
      </c>
      <c r="V2" s="347">
        <f t="shared" si="0"/>
        <v>0</v>
      </c>
      <c r="W2" s="347">
        <f t="shared" si="0"/>
        <v>0</v>
      </c>
      <c r="X2" s="348">
        <f>IF((S41=0),0,((T41+U41)/S41*100%))</f>
        <v>1</v>
      </c>
      <c r="Y2" s="309"/>
      <c r="Z2" s="349">
        <f>SUM(Z6:Z38)</f>
        <v>33</v>
      </c>
      <c r="AA2" s="350">
        <f>SUM(AA6:AA38)</f>
        <v>33</v>
      </c>
      <c r="AB2" s="350">
        <f>SUM(AB6:AB38)</f>
        <v>0</v>
      </c>
      <c r="AC2" s="350">
        <f>SUM(AC6:AC38)</f>
        <v>0</v>
      </c>
      <c r="AD2" s="350">
        <f>SUM(AD6:AD38)</f>
        <v>0</v>
      </c>
      <c r="AE2" s="351">
        <f>IF((Z41=0),0,((AA41+AB41)/Z41*100%))</f>
        <v>1</v>
      </c>
      <c r="AF2" s="310"/>
      <c r="AG2" s="310"/>
      <c r="AH2" s="311"/>
    </row>
    <row r="3" spans="1:34" ht="19.5" customHeight="1">
      <c r="A3" s="520" t="s">
        <v>250</v>
      </c>
      <c r="B3" s="521"/>
      <c r="C3" s="521"/>
      <c r="D3" s="521"/>
      <c r="E3" s="521"/>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2"/>
    </row>
    <row r="4" spans="1:34" ht="31.5" customHeight="1">
      <c r="A4" s="526" t="s">
        <v>71</v>
      </c>
      <c r="B4" s="527"/>
      <c r="C4" s="527"/>
      <c r="D4" s="527"/>
      <c r="E4" s="527"/>
      <c r="F4" s="527"/>
      <c r="G4" s="527"/>
      <c r="H4" s="527"/>
      <c r="I4" s="527"/>
      <c r="J4" s="527"/>
      <c r="K4" s="527"/>
      <c r="L4" s="527"/>
      <c r="M4" s="528"/>
      <c r="N4" s="529" t="s">
        <v>251</v>
      </c>
      <c r="O4" s="530"/>
      <c r="P4" s="531"/>
      <c r="Q4" s="535" t="s">
        <v>252</v>
      </c>
      <c r="R4" s="536"/>
      <c r="S4" s="536"/>
      <c r="T4" s="536"/>
      <c r="U4" s="536"/>
      <c r="V4" s="536"/>
      <c r="W4" s="536"/>
      <c r="X4" s="536"/>
      <c r="Y4" s="537"/>
      <c r="Z4" s="532" t="s">
        <v>253</v>
      </c>
      <c r="AA4" s="533"/>
      <c r="AB4" s="533"/>
      <c r="AC4" s="533"/>
      <c r="AD4" s="533"/>
      <c r="AE4" s="533"/>
      <c r="AF4" s="533"/>
      <c r="AG4" s="533"/>
      <c r="AH4" s="534"/>
    </row>
    <row r="5" spans="1:34" s="160" customFormat="1">
      <c r="A5" s="294" t="s">
        <v>72</v>
      </c>
      <c r="B5" s="418" t="s">
        <v>76</v>
      </c>
      <c r="C5" s="418" t="s">
        <v>79</v>
      </c>
      <c r="D5" s="419" t="s">
        <v>83</v>
      </c>
      <c r="E5" s="418" t="s">
        <v>86</v>
      </c>
      <c r="F5" s="418" t="s">
        <v>89</v>
      </c>
      <c r="G5" s="418" t="s">
        <v>91</v>
      </c>
      <c r="H5" s="418" t="s">
        <v>94</v>
      </c>
      <c r="I5" s="418" t="s">
        <v>254</v>
      </c>
      <c r="J5" s="418" t="s">
        <v>97</v>
      </c>
      <c r="K5" s="420" t="s">
        <v>100</v>
      </c>
      <c r="L5" s="420" t="s">
        <v>103</v>
      </c>
      <c r="M5" s="437" t="s">
        <v>1</v>
      </c>
      <c r="N5" s="376" t="s">
        <v>109</v>
      </c>
      <c r="O5" s="377" t="s">
        <v>113</v>
      </c>
      <c r="P5" s="378" t="s">
        <v>116</v>
      </c>
      <c r="Q5" s="379" t="s">
        <v>120</v>
      </c>
      <c r="R5" s="380" t="s">
        <v>123</v>
      </c>
      <c r="S5" s="380" t="s">
        <v>127</v>
      </c>
      <c r="T5" s="381" t="s">
        <v>30</v>
      </c>
      <c r="U5" s="381" t="s">
        <v>130</v>
      </c>
      <c r="V5" s="381" t="s">
        <v>35</v>
      </c>
      <c r="W5" s="381" t="s">
        <v>133</v>
      </c>
      <c r="X5" s="381" t="s">
        <v>135</v>
      </c>
      <c r="Y5" s="375" t="s">
        <v>137</v>
      </c>
      <c r="Z5" s="382" t="s">
        <v>127</v>
      </c>
      <c r="AA5" s="381" t="s">
        <v>30</v>
      </c>
      <c r="AB5" s="381" t="s">
        <v>130</v>
      </c>
      <c r="AC5" s="381" t="s">
        <v>35</v>
      </c>
      <c r="AD5" s="381" t="s">
        <v>133</v>
      </c>
      <c r="AE5" s="381" t="s">
        <v>135</v>
      </c>
      <c r="AF5" s="374" t="s">
        <v>150</v>
      </c>
      <c r="AG5" s="374" t="s">
        <v>152</v>
      </c>
      <c r="AH5" s="383" t="s">
        <v>155</v>
      </c>
    </row>
    <row r="6" spans="1:34">
      <c r="A6" s="421" t="s">
        <v>255</v>
      </c>
      <c r="B6" s="422" t="s">
        <v>256</v>
      </c>
      <c r="C6" s="423" t="s">
        <v>257</v>
      </c>
      <c r="D6" s="384" t="s">
        <v>258</v>
      </c>
      <c r="E6" s="424"/>
      <c r="F6" s="422" t="s">
        <v>259</v>
      </c>
      <c r="G6" s="205" t="str">
        <f>VLOOKUP(A6,'Feature Summary'!$A$7:$C$3934,3,FALSE)</f>
        <v>P3</v>
      </c>
      <c r="H6" s="426" t="s">
        <v>260</v>
      </c>
      <c r="I6" s="460" t="s">
        <v>261</v>
      </c>
      <c r="J6" s="427"/>
      <c r="K6" s="393">
        <v>1</v>
      </c>
      <c r="L6" s="384">
        <v>1</v>
      </c>
      <c r="M6" s="428" t="s">
        <v>33</v>
      </c>
      <c r="N6" s="401">
        <v>1</v>
      </c>
      <c r="O6" s="384">
        <v>1</v>
      </c>
      <c r="P6" s="352">
        <f>IF((O6=0),0,(O6/L6))</f>
        <v>1</v>
      </c>
      <c r="Q6" s="411" t="s">
        <v>45</v>
      </c>
      <c r="R6" s="384">
        <v>1</v>
      </c>
      <c r="S6" s="402">
        <f>SUM(T6:W6)</f>
        <v>1</v>
      </c>
      <c r="T6" s="384">
        <v>1</v>
      </c>
      <c r="U6" s="403"/>
      <c r="V6" s="403"/>
      <c r="W6" s="403"/>
      <c r="X6" s="404">
        <f t="shared" ref="X6:X32" si="1">IF((S6=0),0,((T6+U6)/S6*100%))</f>
        <v>1</v>
      </c>
      <c r="Y6" s="405"/>
      <c r="Z6" s="406">
        <f>SUM(AA6:AD6)</f>
        <v>1</v>
      </c>
      <c r="AA6" s="403">
        <v>1</v>
      </c>
      <c r="AB6" s="403"/>
      <c r="AC6" s="403"/>
      <c r="AD6" s="403"/>
      <c r="AE6" s="407">
        <f t="shared" ref="AE6:AE32" si="2">IF((Z6=0),0,((AA6+AB6)/Z6*100%))</f>
        <v>1</v>
      </c>
      <c r="AF6" s="408"/>
      <c r="AG6" s="409" t="str">
        <f>VLOOKUP(A6,'Feature Summary'!$A$7:$U$3934,21,FALSE)</f>
        <v>WK3</v>
      </c>
      <c r="AH6" s="410"/>
    </row>
    <row r="7" spans="1:34">
      <c r="A7" s="421" t="s">
        <v>262</v>
      </c>
      <c r="B7" s="359" t="s">
        <v>263</v>
      </c>
      <c r="C7" s="423" t="s">
        <v>257</v>
      </c>
      <c r="D7" s="384" t="s">
        <v>258</v>
      </c>
      <c r="E7" s="425"/>
      <c r="F7" s="359" t="s">
        <v>264</v>
      </c>
      <c r="G7" s="205" t="str">
        <f>VLOOKUP(A7,'Feature Summary'!$A$7:$C$3934,3,FALSE)</f>
        <v>P1</v>
      </c>
      <c r="H7" s="426" t="s">
        <v>265</v>
      </c>
      <c r="I7" s="460" t="s">
        <v>261</v>
      </c>
      <c r="J7" s="429"/>
      <c r="K7" s="393">
        <v>1</v>
      </c>
      <c r="L7" s="357">
        <v>1</v>
      </c>
      <c r="M7" s="358" t="s">
        <v>33</v>
      </c>
      <c r="N7" s="401">
        <v>1</v>
      </c>
      <c r="O7" s="357">
        <v>1</v>
      </c>
      <c r="P7" s="352">
        <f t="shared" ref="P7:P32" si="3">IF((O7=0),0,(O7/L7))</f>
        <v>1</v>
      </c>
      <c r="Q7" s="411" t="s">
        <v>46</v>
      </c>
      <c r="R7" s="357">
        <v>1</v>
      </c>
      <c r="S7" s="402">
        <f t="shared" ref="S7:S32" si="4">SUM(T7:W7)</f>
        <v>1</v>
      </c>
      <c r="T7" s="357">
        <v>1</v>
      </c>
      <c r="U7" s="396"/>
      <c r="V7" s="396"/>
      <c r="W7" s="396"/>
      <c r="X7" s="404">
        <f t="shared" si="1"/>
        <v>1</v>
      </c>
      <c r="Y7" s="397"/>
      <c r="Z7" s="406">
        <f t="shared" ref="Z7:Z32" si="5">SUM(AA7:AD7)</f>
        <v>1</v>
      </c>
      <c r="AA7" s="396">
        <v>1</v>
      </c>
      <c r="AB7" s="396"/>
      <c r="AC7" s="396"/>
      <c r="AD7" s="396"/>
      <c r="AE7" s="407">
        <f t="shared" si="2"/>
        <v>1</v>
      </c>
      <c r="AF7" s="398"/>
      <c r="AG7" s="399" t="str">
        <f>VLOOKUP(A7,'Feature Summary'!$A$7:$U$3934,21,FALSE)</f>
        <v>WK2</v>
      </c>
      <c r="AH7" s="400"/>
    </row>
    <row r="8" spans="1:34">
      <c r="A8" s="421" t="s">
        <v>266</v>
      </c>
      <c r="B8" s="359" t="s">
        <v>267</v>
      </c>
      <c r="C8" s="423" t="s">
        <v>257</v>
      </c>
      <c r="D8" s="384" t="s">
        <v>258</v>
      </c>
      <c r="E8" s="425"/>
      <c r="F8" s="359" t="s">
        <v>268</v>
      </c>
      <c r="G8" s="205" t="str">
        <f>VLOOKUP(A8,'Feature Summary'!$A$7:$C$3934,3,FALSE)</f>
        <v>P1</v>
      </c>
      <c r="H8" s="426" t="s">
        <v>269</v>
      </c>
      <c r="I8" s="460" t="s">
        <v>261</v>
      </c>
      <c r="J8" s="430"/>
      <c r="K8" s="393">
        <v>1</v>
      </c>
      <c r="L8" s="357">
        <v>12</v>
      </c>
      <c r="M8" s="358" t="s">
        <v>33</v>
      </c>
      <c r="N8" s="401">
        <v>1</v>
      </c>
      <c r="O8" s="357">
        <v>12</v>
      </c>
      <c r="P8" s="352">
        <f t="shared" ref="P8" si="6">IF((O8=0),0,(O8/L8))</f>
        <v>1</v>
      </c>
      <c r="Q8" s="411" t="s">
        <v>45</v>
      </c>
      <c r="R8" s="357">
        <v>12</v>
      </c>
      <c r="S8" s="402">
        <f t="shared" ref="S8" si="7">SUM(T8:W8)</f>
        <v>12</v>
      </c>
      <c r="T8" s="357">
        <v>12</v>
      </c>
      <c r="U8" s="396"/>
      <c r="V8" s="396"/>
      <c r="W8" s="396"/>
      <c r="X8" s="404">
        <f t="shared" ref="X8" si="8">IF((S8=0),0,((T8+U8)/S8*100%))</f>
        <v>1</v>
      </c>
      <c r="Y8" s="397"/>
      <c r="Z8" s="406">
        <f t="shared" ref="Z8" si="9">SUM(AA8:AD8)</f>
        <v>12</v>
      </c>
      <c r="AA8" s="396">
        <v>12</v>
      </c>
      <c r="AB8" s="396"/>
      <c r="AC8" s="396"/>
      <c r="AD8" s="396"/>
      <c r="AE8" s="407">
        <f t="shared" ref="AE8" si="10">IF((Z8=0),0,((AA8+AB8)/Z8*100%))</f>
        <v>1</v>
      </c>
      <c r="AF8" s="398"/>
      <c r="AG8" s="399" t="str">
        <f>VLOOKUP(A8,'Feature Summary'!$A$7:$U$3934,21,FALSE)</f>
        <v>WK2</v>
      </c>
      <c r="AH8" s="400"/>
    </row>
    <row r="9" spans="1:34">
      <c r="A9" s="421" t="s">
        <v>266</v>
      </c>
      <c r="B9" s="359" t="s">
        <v>267</v>
      </c>
      <c r="C9" s="423" t="s">
        <v>257</v>
      </c>
      <c r="D9" s="384" t="s">
        <v>258</v>
      </c>
      <c r="E9" s="425"/>
      <c r="F9" s="359" t="s">
        <v>268</v>
      </c>
      <c r="G9" s="205" t="str">
        <f>VLOOKUP(A9,'Feature Summary'!$A$7:$C$3934,3,FALSE)</f>
        <v>P1</v>
      </c>
      <c r="H9" s="426" t="s">
        <v>269</v>
      </c>
      <c r="I9" s="460" t="s">
        <v>270</v>
      </c>
      <c r="J9" s="430"/>
      <c r="K9" s="393">
        <v>1</v>
      </c>
      <c r="L9" s="357">
        <v>6</v>
      </c>
      <c r="M9" s="358" t="s">
        <v>33</v>
      </c>
      <c r="N9" s="401">
        <v>1</v>
      </c>
      <c r="O9" s="357">
        <v>6</v>
      </c>
      <c r="P9" s="352">
        <f t="shared" si="3"/>
        <v>1</v>
      </c>
      <c r="Q9" s="411" t="s">
        <v>46</v>
      </c>
      <c r="R9" s="357">
        <v>6</v>
      </c>
      <c r="S9" s="402">
        <f t="shared" si="4"/>
        <v>6</v>
      </c>
      <c r="T9" s="357">
        <v>6</v>
      </c>
      <c r="U9" s="396"/>
      <c r="V9" s="396"/>
      <c r="W9" s="396"/>
      <c r="X9" s="404">
        <f t="shared" si="1"/>
        <v>1</v>
      </c>
      <c r="Y9" s="397"/>
      <c r="Z9" s="406">
        <f t="shared" si="5"/>
        <v>6</v>
      </c>
      <c r="AA9" s="396">
        <v>6</v>
      </c>
      <c r="AB9" s="396"/>
      <c r="AC9" s="396"/>
      <c r="AD9" s="396"/>
      <c r="AE9" s="407">
        <f t="shared" si="2"/>
        <v>1</v>
      </c>
      <c r="AF9" s="398"/>
      <c r="AG9" s="399" t="str">
        <f>VLOOKUP(A9,'Feature Summary'!$A$7:$U$3934,21,FALSE)</f>
        <v>WK2</v>
      </c>
      <c r="AH9" s="400"/>
    </row>
    <row r="10" spans="1:34">
      <c r="A10" s="421" t="s">
        <v>271</v>
      </c>
      <c r="B10" s="359" t="s">
        <v>272</v>
      </c>
      <c r="C10" s="423" t="s">
        <v>257</v>
      </c>
      <c r="D10" s="384" t="s">
        <v>258</v>
      </c>
      <c r="E10" s="425"/>
      <c r="F10" s="359" t="s">
        <v>273</v>
      </c>
      <c r="G10" s="205" t="str">
        <f>VLOOKUP(A10,'Feature Summary'!$A$7:$C$3934,3,FALSE)</f>
        <v>P2</v>
      </c>
      <c r="H10" s="426" t="s">
        <v>274</v>
      </c>
      <c r="I10" s="460" t="s">
        <v>261</v>
      </c>
      <c r="J10" s="430"/>
      <c r="K10" s="393">
        <v>1</v>
      </c>
      <c r="L10" s="357">
        <v>1</v>
      </c>
      <c r="M10" s="358" t="s">
        <v>33</v>
      </c>
      <c r="N10" s="401">
        <v>1</v>
      </c>
      <c r="O10" s="357">
        <v>1</v>
      </c>
      <c r="P10" s="352">
        <f t="shared" si="3"/>
        <v>1</v>
      </c>
      <c r="Q10" s="411" t="s">
        <v>45</v>
      </c>
      <c r="R10" s="357">
        <v>1</v>
      </c>
      <c r="S10" s="402">
        <f t="shared" si="4"/>
        <v>1</v>
      </c>
      <c r="T10" s="357">
        <v>1</v>
      </c>
      <c r="U10" s="396"/>
      <c r="V10" s="396"/>
      <c r="W10" s="396"/>
      <c r="X10" s="404">
        <f t="shared" si="1"/>
        <v>1</v>
      </c>
      <c r="Y10" s="397"/>
      <c r="Z10" s="406">
        <f t="shared" si="5"/>
        <v>0</v>
      </c>
      <c r="AA10" s="396"/>
      <c r="AB10" s="396"/>
      <c r="AC10" s="396"/>
      <c r="AD10" s="396"/>
      <c r="AE10" s="407">
        <f t="shared" si="2"/>
        <v>0</v>
      </c>
      <c r="AF10" s="398"/>
      <c r="AG10" s="399" t="str">
        <f>VLOOKUP(A10,'Feature Summary'!$A$7:$U$3934,21,FALSE)</f>
        <v>WK10</v>
      </c>
      <c r="AH10" s="400"/>
    </row>
    <row r="11" spans="1:34">
      <c r="A11" s="421" t="s">
        <v>275</v>
      </c>
      <c r="B11" s="359" t="s">
        <v>276</v>
      </c>
      <c r="C11" s="423" t="s">
        <v>257</v>
      </c>
      <c r="D11" s="384" t="s">
        <v>258</v>
      </c>
      <c r="E11" s="425"/>
      <c r="F11" s="359" t="s">
        <v>277</v>
      </c>
      <c r="G11" s="205" t="str">
        <f>VLOOKUP(A11,'Feature Summary'!$A$7:$C$3934,3,FALSE)</f>
        <v>P1</v>
      </c>
      <c r="H11" s="426" t="s">
        <v>278</v>
      </c>
      <c r="I11" s="460" t="s">
        <v>270</v>
      </c>
      <c r="J11" s="430"/>
      <c r="K11" s="393">
        <v>1</v>
      </c>
      <c r="L11" s="357">
        <v>1</v>
      </c>
      <c r="M11" s="358" t="s">
        <v>33</v>
      </c>
      <c r="N11" s="401">
        <v>1</v>
      </c>
      <c r="O11" s="357">
        <v>1</v>
      </c>
      <c r="P11" s="352">
        <f t="shared" si="3"/>
        <v>1</v>
      </c>
      <c r="Q11" s="411" t="s">
        <v>45</v>
      </c>
      <c r="R11" s="357">
        <v>1</v>
      </c>
      <c r="S11" s="402">
        <f t="shared" si="4"/>
        <v>1</v>
      </c>
      <c r="T11" s="357">
        <v>1</v>
      </c>
      <c r="U11" s="396"/>
      <c r="V11" s="396"/>
      <c r="W11" s="396"/>
      <c r="X11" s="404">
        <f t="shared" si="1"/>
        <v>1</v>
      </c>
      <c r="Y11" s="397"/>
      <c r="Z11" s="406">
        <f t="shared" si="5"/>
        <v>0</v>
      </c>
      <c r="AA11" s="396"/>
      <c r="AB11" s="396"/>
      <c r="AC11" s="396"/>
      <c r="AD11" s="396"/>
      <c r="AE11" s="407">
        <f t="shared" si="2"/>
        <v>0</v>
      </c>
      <c r="AF11" s="398"/>
      <c r="AG11" s="399" t="str">
        <f>VLOOKUP(A11,'Feature Summary'!$A$7:$U$3934,21,FALSE)</f>
        <v>WK8</v>
      </c>
      <c r="AH11" s="400"/>
    </row>
    <row r="12" spans="1:34">
      <c r="A12" s="421" t="s">
        <v>279</v>
      </c>
      <c r="B12" s="359" t="s">
        <v>280</v>
      </c>
      <c r="C12" s="423" t="s">
        <v>257</v>
      </c>
      <c r="D12" s="384" t="s">
        <v>258</v>
      </c>
      <c r="E12" s="425"/>
      <c r="F12" s="359" t="s">
        <v>281</v>
      </c>
      <c r="G12" s="205" t="str">
        <f>VLOOKUP(A12,'Feature Summary'!$A$7:$C$3934,3,FALSE)</f>
        <v>P1</v>
      </c>
      <c r="H12" s="426" t="s">
        <v>282</v>
      </c>
      <c r="I12" s="460" t="s">
        <v>261</v>
      </c>
      <c r="J12" s="430"/>
      <c r="K12" s="393">
        <v>1</v>
      </c>
      <c r="L12" s="357">
        <v>1</v>
      </c>
      <c r="M12" s="358" t="s">
        <v>33</v>
      </c>
      <c r="N12" s="401">
        <v>1</v>
      </c>
      <c r="O12" s="357">
        <v>1</v>
      </c>
      <c r="P12" s="352">
        <f t="shared" si="3"/>
        <v>1</v>
      </c>
      <c r="Q12" s="411" t="s">
        <v>45</v>
      </c>
      <c r="R12" s="357">
        <v>1</v>
      </c>
      <c r="S12" s="402">
        <f t="shared" si="4"/>
        <v>1</v>
      </c>
      <c r="T12" s="357">
        <v>1</v>
      </c>
      <c r="U12" s="396"/>
      <c r="V12" s="396"/>
      <c r="W12" s="396"/>
      <c r="X12" s="404">
        <f t="shared" si="1"/>
        <v>1</v>
      </c>
      <c r="Y12" s="397"/>
      <c r="Z12" s="406">
        <f t="shared" si="5"/>
        <v>0</v>
      </c>
      <c r="AA12" s="396"/>
      <c r="AB12" s="396"/>
      <c r="AC12" s="396"/>
      <c r="AD12" s="396"/>
      <c r="AE12" s="407">
        <f t="shared" si="2"/>
        <v>0</v>
      </c>
      <c r="AF12" s="398"/>
      <c r="AG12" s="399" t="str">
        <f>VLOOKUP(A12,'Feature Summary'!$A$7:$U$3934,21,FALSE)</f>
        <v>WK9</v>
      </c>
      <c r="AH12" s="400"/>
    </row>
    <row r="13" spans="1:34">
      <c r="A13" s="421" t="s">
        <v>279</v>
      </c>
      <c r="B13" s="359" t="s">
        <v>283</v>
      </c>
      <c r="C13" s="423" t="s">
        <v>257</v>
      </c>
      <c r="D13" s="384" t="s">
        <v>258</v>
      </c>
      <c r="E13" s="425"/>
      <c r="F13" s="359" t="s">
        <v>281</v>
      </c>
      <c r="G13" s="205" t="str">
        <f>VLOOKUP(A13,'Feature Summary'!$A$7:$C$3934,3,FALSE)</f>
        <v>P1</v>
      </c>
      <c r="H13" s="426" t="s">
        <v>284</v>
      </c>
      <c r="I13" s="460" t="s">
        <v>261</v>
      </c>
      <c r="J13" s="430"/>
      <c r="K13" s="393">
        <v>1</v>
      </c>
      <c r="L13" s="357">
        <v>1</v>
      </c>
      <c r="M13" s="358" t="s">
        <v>33</v>
      </c>
      <c r="N13" s="401">
        <v>1</v>
      </c>
      <c r="O13" s="357">
        <v>1</v>
      </c>
      <c r="P13" s="352">
        <f t="shared" si="3"/>
        <v>1</v>
      </c>
      <c r="Q13" s="411" t="s">
        <v>45</v>
      </c>
      <c r="R13" s="357">
        <v>1</v>
      </c>
      <c r="S13" s="402">
        <f t="shared" si="4"/>
        <v>1</v>
      </c>
      <c r="T13" s="357">
        <v>1</v>
      </c>
      <c r="U13" s="396"/>
      <c r="V13" s="396"/>
      <c r="W13" s="396"/>
      <c r="X13" s="404">
        <f t="shared" si="1"/>
        <v>1</v>
      </c>
      <c r="Y13" s="397"/>
      <c r="Z13" s="406">
        <f t="shared" si="5"/>
        <v>0</v>
      </c>
      <c r="AA13" s="396"/>
      <c r="AB13" s="396"/>
      <c r="AC13" s="396"/>
      <c r="AD13" s="396"/>
      <c r="AE13" s="407">
        <f t="shared" si="2"/>
        <v>0</v>
      </c>
      <c r="AF13" s="398"/>
      <c r="AG13" s="399"/>
      <c r="AH13" s="400"/>
    </row>
    <row r="14" spans="1:34">
      <c r="A14" s="421" t="s">
        <v>285</v>
      </c>
      <c r="B14" s="359" t="s">
        <v>286</v>
      </c>
      <c r="C14" s="423" t="s">
        <v>257</v>
      </c>
      <c r="D14" s="384" t="s">
        <v>258</v>
      </c>
      <c r="E14" s="425"/>
      <c r="F14" s="359" t="s">
        <v>287</v>
      </c>
      <c r="G14" s="205" t="str">
        <f>VLOOKUP(A14,'Feature Summary'!$A$7:$C$3934,3,FALSE)</f>
        <v>P1</v>
      </c>
      <c r="H14" s="426" t="s">
        <v>288</v>
      </c>
      <c r="I14" s="460" t="s">
        <v>270</v>
      </c>
      <c r="J14" s="429"/>
      <c r="K14" s="393">
        <v>1</v>
      </c>
      <c r="L14" s="357">
        <v>1</v>
      </c>
      <c r="M14" s="358" t="s">
        <v>33</v>
      </c>
      <c r="N14" s="401">
        <v>1</v>
      </c>
      <c r="O14" s="357">
        <v>1</v>
      </c>
      <c r="P14" s="352">
        <f t="shared" si="3"/>
        <v>1</v>
      </c>
      <c r="Q14" s="411" t="s">
        <v>46</v>
      </c>
      <c r="R14" s="357">
        <v>1</v>
      </c>
      <c r="S14" s="402">
        <f t="shared" si="4"/>
        <v>1</v>
      </c>
      <c r="T14" s="357">
        <v>1</v>
      </c>
      <c r="U14" s="396"/>
      <c r="V14" s="396"/>
      <c r="W14" s="396"/>
      <c r="X14" s="404">
        <f t="shared" si="1"/>
        <v>1</v>
      </c>
      <c r="Y14" s="397"/>
      <c r="Z14" s="406">
        <f t="shared" si="5"/>
        <v>1</v>
      </c>
      <c r="AA14" s="396">
        <v>1</v>
      </c>
      <c r="AB14" s="396"/>
      <c r="AC14" s="396"/>
      <c r="AD14" s="396"/>
      <c r="AE14" s="407">
        <f t="shared" si="2"/>
        <v>1</v>
      </c>
      <c r="AF14" s="398"/>
      <c r="AG14" s="399" t="str">
        <f>VLOOKUP(A14,'Feature Summary'!$A$7:$U$3934,21,FALSE)</f>
        <v>WK2</v>
      </c>
      <c r="AH14" s="400"/>
    </row>
    <row r="15" spans="1:34">
      <c r="A15" s="421" t="s">
        <v>289</v>
      </c>
      <c r="B15" s="359" t="s">
        <v>290</v>
      </c>
      <c r="C15" s="423" t="s">
        <v>257</v>
      </c>
      <c r="D15" s="384" t="s">
        <v>258</v>
      </c>
      <c r="E15" s="425"/>
      <c r="F15" s="359" t="s">
        <v>287</v>
      </c>
      <c r="G15" s="205" t="str">
        <f>VLOOKUP(A15,'Feature Summary'!$A$7:$C$3934,3,FALSE)</f>
        <v>P1</v>
      </c>
      <c r="H15" s="426" t="s">
        <v>291</v>
      </c>
      <c r="I15" s="460" t="s">
        <v>261</v>
      </c>
      <c r="J15" s="429"/>
      <c r="K15" s="393">
        <v>1</v>
      </c>
      <c r="L15" s="357">
        <v>1</v>
      </c>
      <c r="M15" s="358" t="s">
        <v>33</v>
      </c>
      <c r="N15" s="401">
        <v>1</v>
      </c>
      <c r="O15" s="357">
        <v>1</v>
      </c>
      <c r="P15" s="352">
        <f t="shared" si="3"/>
        <v>1</v>
      </c>
      <c r="Q15" s="411" t="s">
        <v>45</v>
      </c>
      <c r="R15" s="357">
        <v>1</v>
      </c>
      <c r="S15" s="402">
        <f t="shared" si="4"/>
        <v>1</v>
      </c>
      <c r="T15" s="357">
        <v>1</v>
      </c>
      <c r="U15" s="396"/>
      <c r="V15" s="396"/>
      <c r="W15" s="396"/>
      <c r="X15" s="404">
        <f t="shared" si="1"/>
        <v>1</v>
      </c>
      <c r="Y15" s="397"/>
      <c r="Z15" s="406">
        <f t="shared" si="5"/>
        <v>1</v>
      </c>
      <c r="AA15" s="396">
        <v>1</v>
      </c>
      <c r="AB15" s="396"/>
      <c r="AC15" s="396"/>
      <c r="AD15" s="396"/>
      <c r="AE15" s="407">
        <f t="shared" si="2"/>
        <v>1</v>
      </c>
      <c r="AF15" s="398"/>
      <c r="AG15" s="399" t="str">
        <f>VLOOKUP(A15,'Feature Summary'!$A$7:$U$3934,21,FALSE)</f>
        <v>WK2</v>
      </c>
      <c r="AH15" s="439"/>
    </row>
    <row r="16" spans="1:34">
      <c r="A16" s="421" t="s">
        <v>292</v>
      </c>
      <c r="B16" s="359" t="s">
        <v>293</v>
      </c>
      <c r="C16" s="423" t="s">
        <v>257</v>
      </c>
      <c r="D16" s="384" t="s">
        <v>258</v>
      </c>
      <c r="E16" s="425"/>
      <c r="F16" s="359" t="s">
        <v>281</v>
      </c>
      <c r="G16" s="205" t="str">
        <f>VLOOKUP(A16,'Feature Summary'!$A$7:$C$3934,3,FALSE)</f>
        <v>P2</v>
      </c>
      <c r="H16" s="426" t="s">
        <v>294</v>
      </c>
      <c r="I16" s="460" t="s">
        <v>261</v>
      </c>
      <c r="J16" s="429"/>
      <c r="K16" s="393">
        <v>1</v>
      </c>
      <c r="L16" s="357">
        <v>1</v>
      </c>
      <c r="M16" s="358" t="s">
        <v>33</v>
      </c>
      <c r="N16" s="401">
        <v>1</v>
      </c>
      <c r="O16" s="357">
        <v>1</v>
      </c>
      <c r="P16" s="352">
        <f t="shared" si="3"/>
        <v>1</v>
      </c>
      <c r="Q16" s="411" t="s">
        <v>45</v>
      </c>
      <c r="R16" s="357">
        <v>1</v>
      </c>
      <c r="S16" s="402">
        <f t="shared" si="4"/>
        <v>1</v>
      </c>
      <c r="T16" s="357">
        <v>1</v>
      </c>
      <c r="U16" s="396"/>
      <c r="V16" s="396"/>
      <c r="W16" s="396"/>
      <c r="X16" s="404">
        <f t="shared" si="1"/>
        <v>1</v>
      </c>
      <c r="Y16" s="397"/>
      <c r="Z16" s="406">
        <f t="shared" si="5"/>
        <v>0</v>
      </c>
      <c r="AA16" s="396"/>
      <c r="AB16" s="396"/>
      <c r="AC16" s="396"/>
      <c r="AD16" s="396"/>
      <c r="AE16" s="407">
        <f t="shared" si="2"/>
        <v>0</v>
      </c>
      <c r="AF16" s="398"/>
      <c r="AG16" s="399" t="str">
        <f>VLOOKUP(A16,'Feature Summary'!$A$7:$U$3934,21,FALSE)</f>
        <v>WK9</v>
      </c>
      <c r="AH16" s="400"/>
    </row>
    <row r="17" spans="1:34">
      <c r="A17" s="421" t="s">
        <v>295</v>
      </c>
      <c r="B17" s="359" t="s">
        <v>296</v>
      </c>
      <c r="C17" s="423" t="s">
        <v>257</v>
      </c>
      <c r="D17" s="384" t="s">
        <v>258</v>
      </c>
      <c r="E17" s="425"/>
      <c r="F17" s="359" t="s">
        <v>297</v>
      </c>
      <c r="G17" s="205" t="str">
        <f>VLOOKUP(A17,'Feature Summary'!$A$7:$C$3934,3,FALSE)</f>
        <v>P1</v>
      </c>
      <c r="H17" s="426" t="s">
        <v>298</v>
      </c>
      <c r="I17" s="460" t="s">
        <v>261</v>
      </c>
      <c r="J17" s="429"/>
      <c r="K17" s="393">
        <v>1</v>
      </c>
      <c r="L17" s="357">
        <v>4</v>
      </c>
      <c r="M17" s="358" t="s">
        <v>42</v>
      </c>
      <c r="N17" s="401">
        <v>1</v>
      </c>
      <c r="O17" s="357">
        <v>1</v>
      </c>
      <c r="P17" s="352">
        <f t="shared" si="3"/>
        <v>0.25</v>
      </c>
      <c r="Q17" s="411" t="s">
        <v>44</v>
      </c>
      <c r="R17" s="357"/>
      <c r="S17" s="402">
        <f t="shared" si="4"/>
        <v>0</v>
      </c>
      <c r="T17" s="357"/>
      <c r="U17" s="396"/>
      <c r="V17" s="396"/>
      <c r="W17" s="396"/>
      <c r="X17" s="404">
        <f t="shared" si="1"/>
        <v>0</v>
      </c>
      <c r="Y17" s="397"/>
      <c r="Z17" s="406">
        <f t="shared" si="5"/>
        <v>0</v>
      </c>
      <c r="AA17" s="396"/>
      <c r="AB17" s="396"/>
      <c r="AC17" s="396"/>
      <c r="AD17" s="396"/>
      <c r="AE17" s="407">
        <f t="shared" si="2"/>
        <v>0</v>
      </c>
      <c r="AF17" s="398"/>
      <c r="AG17" s="399" t="str">
        <f>VLOOKUP(A17,'Feature Summary'!$A$7:$U$3934,21,FALSE)</f>
        <v>WK6</v>
      </c>
      <c r="AH17" s="400"/>
    </row>
    <row r="18" spans="1:34">
      <c r="A18" s="421" t="s">
        <v>299</v>
      </c>
      <c r="B18" s="359" t="s">
        <v>300</v>
      </c>
      <c r="C18" s="423" t="s">
        <v>257</v>
      </c>
      <c r="D18" s="384" t="s">
        <v>258</v>
      </c>
      <c r="E18" s="425"/>
      <c r="F18" s="359" t="s">
        <v>301</v>
      </c>
      <c r="G18" s="205" t="str">
        <f>VLOOKUP(A18,'Feature Summary'!$A$7:$C$3934,3,FALSE)</f>
        <v>P2</v>
      </c>
      <c r="H18" s="426" t="s">
        <v>302</v>
      </c>
      <c r="I18" s="460" t="s">
        <v>261</v>
      </c>
      <c r="J18" s="429"/>
      <c r="K18" s="393">
        <v>1</v>
      </c>
      <c r="L18" s="357">
        <v>16</v>
      </c>
      <c r="M18" s="358" t="s">
        <v>33</v>
      </c>
      <c r="N18" s="401">
        <v>1</v>
      </c>
      <c r="O18" s="357">
        <v>16</v>
      </c>
      <c r="P18" s="352">
        <f t="shared" si="3"/>
        <v>1</v>
      </c>
      <c r="Q18" s="411" t="s">
        <v>45</v>
      </c>
      <c r="R18" s="357">
        <v>14</v>
      </c>
      <c r="S18" s="402">
        <f t="shared" si="4"/>
        <v>14</v>
      </c>
      <c r="T18" s="357">
        <v>14</v>
      </c>
      <c r="U18" s="396"/>
      <c r="V18" s="396"/>
      <c r="W18" s="396"/>
      <c r="X18" s="404">
        <f t="shared" si="1"/>
        <v>1</v>
      </c>
      <c r="Y18" s="397"/>
      <c r="Z18" s="406">
        <f t="shared" si="5"/>
        <v>0</v>
      </c>
      <c r="AA18" s="396"/>
      <c r="AB18" s="396"/>
      <c r="AC18" s="396"/>
      <c r="AD18" s="396"/>
      <c r="AE18" s="407">
        <f t="shared" si="2"/>
        <v>0</v>
      </c>
      <c r="AF18" s="398"/>
      <c r="AG18" s="399" t="str">
        <f>VLOOKUP(A18,'Feature Summary'!$A$7:$U$3934,21,FALSE)</f>
        <v>WK5</v>
      </c>
      <c r="AH18" s="440"/>
    </row>
    <row r="19" spans="1:34">
      <c r="A19" s="421" t="s">
        <v>303</v>
      </c>
      <c r="B19" s="359" t="s">
        <v>304</v>
      </c>
      <c r="C19" s="423" t="s">
        <v>257</v>
      </c>
      <c r="D19" s="384" t="s">
        <v>258</v>
      </c>
      <c r="E19" s="425"/>
      <c r="F19" s="359" t="s">
        <v>305</v>
      </c>
      <c r="G19" s="205" t="str">
        <f>VLOOKUP(A19,'Feature Summary'!$A$7:$C$3934,3,FALSE)</f>
        <v>P2</v>
      </c>
      <c r="H19" s="426" t="s">
        <v>306</v>
      </c>
      <c r="I19" s="460" t="s">
        <v>261</v>
      </c>
      <c r="J19" s="429"/>
      <c r="K19" s="393">
        <v>1</v>
      </c>
      <c r="L19" s="357">
        <v>2</v>
      </c>
      <c r="M19" s="358" t="s">
        <v>33</v>
      </c>
      <c r="N19" s="401">
        <v>1</v>
      </c>
      <c r="O19" s="357">
        <v>2</v>
      </c>
      <c r="P19" s="352">
        <f t="shared" si="3"/>
        <v>1</v>
      </c>
      <c r="Q19" s="411" t="s">
        <v>45</v>
      </c>
      <c r="R19" s="357">
        <v>1</v>
      </c>
      <c r="S19" s="402">
        <f t="shared" si="4"/>
        <v>1</v>
      </c>
      <c r="T19" s="357">
        <v>1</v>
      </c>
      <c r="U19" s="396"/>
      <c r="V19" s="396"/>
      <c r="W19" s="396"/>
      <c r="X19" s="404">
        <f t="shared" si="1"/>
        <v>1</v>
      </c>
      <c r="Y19" s="397"/>
      <c r="Z19" s="406">
        <f t="shared" si="5"/>
        <v>0</v>
      </c>
      <c r="AA19" s="396"/>
      <c r="AB19" s="396"/>
      <c r="AC19" s="396"/>
      <c r="AD19" s="396"/>
      <c r="AE19" s="407">
        <f t="shared" si="2"/>
        <v>0</v>
      </c>
      <c r="AF19" s="398"/>
      <c r="AG19" s="399" t="str">
        <f>VLOOKUP(A19,'Feature Summary'!$A$7:$U$3934,21,FALSE)</f>
        <v>WK5</v>
      </c>
      <c r="AH19" s="439"/>
    </row>
    <row r="20" spans="1:34">
      <c r="A20" s="421" t="s">
        <v>307</v>
      </c>
      <c r="B20" s="359" t="s">
        <v>308</v>
      </c>
      <c r="C20" s="423" t="s">
        <v>257</v>
      </c>
      <c r="D20" s="384" t="s">
        <v>258</v>
      </c>
      <c r="E20" s="425"/>
      <c r="F20" s="359" t="s">
        <v>309</v>
      </c>
      <c r="G20" s="205" t="str">
        <f>VLOOKUP(A20,'Feature Summary'!$A$7:$C$3934,3,FALSE)</f>
        <v>P1</v>
      </c>
      <c r="H20" s="426" t="s">
        <v>310</v>
      </c>
      <c r="I20" s="460" t="s">
        <v>261</v>
      </c>
      <c r="J20" s="429"/>
      <c r="K20" s="393">
        <v>1</v>
      </c>
      <c r="L20" s="357">
        <v>4</v>
      </c>
      <c r="M20" s="358" t="s">
        <v>38</v>
      </c>
      <c r="N20" s="401">
        <v>1</v>
      </c>
      <c r="O20" s="357">
        <v>4</v>
      </c>
      <c r="P20" s="352">
        <f t="shared" si="3"/>
        <v>1</v>
      </c>
      <c r="Q20" s="411" t="s">
        <v>46</v>
      </c>
      <c r="R20" s="357">
        <v>4</v>
      </c>
      <c r="S20" s="402">
        <f t="shared" si="4"/>
        <v>4</v>
      </c>
      <c r="T20" s="357">
        <v>4</v>
      </c>
      <c r="U20" s="396"/>
      <c r="V20" s="396"/>
      <c r="W20" s="396"/>
      <c r="X20" s="404">
        <f t="shared" si="1"/>
        <v>1</v>
      </c>
      <c r="Y20" s="397" t="s">
        <v>311</v>
      </c>
      <c r="Z20" s="406">
        <f t="shared" si="5"/>
        <v>0</v>
      </c>
      <c r="AA20" s="396"/>
      <c r="AB20" s="396"/>
      <c r="AC20" s="396"/>
      <c r="AD20" s="396"/>
      <c r="AE20" s="407">
        <f t="shared" si="2"/>
        <v>0</v>
      </c>
      <c r="AF20" s="398"/>
      <c r="AG20" s="399" t="str">
        <f>VLOOKUP(A20,'Feature Summary'!$A$7:$U$3934,21,FALSE)</f>
        <v>WK7</v>
      </c>
      <c r="AH20" s="400"/>
    </row>
    <row r="21" spans="1:34">
      <c r="A21" s="421" t="s">
        <v>312</v>
      </c>
      <c r="B21" s="359" t="s">
        <v>313</v>
      </c>
      <c r="C21" s="423" t="s">
        <v>257</v>
      </c>
      <c r="D21" s="384" t="s">
        <v>258</v>
      </c>
      <c r="E21" s="425"/>
      <c r="F21" s="359" t="s">
        <v>314</v>
      </c>
      <c r="G21" s="205" t="str">
        <f>VLOOKUP(A21,'Feature Summary'!$A$7:$C$3934,3,FALSE)</f>
        <v>P2</v>
      </c>
      <c r="H21" s="426" t="s">
        <v>315</v>
      </c>
      <c r="I21" s="460" t="s">
        <v>261</v>
      </c>
      <c r="J21" s="429"/>
      <c r="K21" s="393">
        <v>1</v>
      </c>
      <c r="L21" s="357">
        <v>2</v>
      </c>
      <c r="M21" s="358" t="s">
        <v>38</v>
      </c>
      <c r="N21" s="401">
        <v>1</v>
      </c>
      <c r="O21" s="357">
        <v>2</v>
      </c>
      <c r="P21" s="352">
        <f t="shared" si="3"/>
        <v>1</v>
      </c>
      <c r="Q21" s="411" t="s">
        <v>45</v>
      </c>
      <c r="R21" s="357">
        <v>2</v>
      </c>
      <c r="S21" s="402">
        <f t="shared" si="4"/>
        <v>2</v>
      </c>
      <c r="T21" s="357">
        <v>2</v>
      </c>
      <c r="U21" s="396"/>
      <c r="V21" s="396"/>
      <c r="W21" s="396"/>
      <c r="X21" s="404">
        <f t="shared" si="1"/>
        <v>1</v>
      </c>
      <c r="Y21" s="397"/>
      <c r="Z21" s="406">
        <f t="shared" si="5"/>
        <v>0</v>
      </c>
      <c r="AA21" s="396"/>
      <c r="AB21" s="396"/>
      <c r="AC21" s="396"/>
      <c r="AD21" s="396"/>
      <c r="AE21" s="407">
        <f t="shared" si="2"/>
        <v>0</v>
      </c>
      <c r="AF21" s="398"/>
      <c r="AG21" s="399" t="str">
        <f>VLOOKUP(A21,'Feature Summary'!$A$7:$U$3934,21,FALSE)</f>
        <v>WK11</v>
      </c>
      <c r="AH21" s="439"/>
    </row>
    <row r="22" spans="1:34">
      <c r="A22" s="421" t="s">
        <v>316</v>
      </c>
      <c r="B22" s="359" t="s">
        <v>317</v>
      </c>
      <c r="C22" s="423" t="s">
        <v>257</v>
      </c>
      <c r="D22" s="384" t="s">
        <v>258</v>
      </c>
      <c r="E22" s="425"/>
      <c r="F22" s="359" t="s">
        <v>309</v>
      </c>
      <c r="G22" s="205" t="str">
        <f>VLOOKUP(A22,'Feature Summary'!$A$7:$C$3934,3,FALSE)</f>
        <v>P2</v>
      </c>
      <c r="H22" s="426" t="s">
        <v>318</v>
      </c>
      <c r="I22" s="460" t="s">
        <v>261</v>
      </c>
      <c r="J22" s="429"/>
      <c r="K22" s="393">
        <v>1</v>
      </c>
      <c r="L22" s="357">
        <v>4</v>
      </c>
      <c r="M22" s="358" t="s">
        <v>38</v>
      </c>
      <c r="N22" s="401">
        <v>1</v>
      </c>
      <c r="O22" s="357">
        <v>4</v>
      </c>
      <c r="P22" s="352">
        <f t="shared" si="3"/>
        <v>1</v>
      </c>
      <c r="Q22" s="411" t="s">
        <v>45</v>
      </c>
      <c r="R22" s="357">
        <v>4</v>
      </c>
      <c r="S22" s="402">
        <f t="shared" si="4"/>
        <v>4</v>
      </c>
      <c r="T22" s="357">
        <v>4</v>
      </c>
      <c r="U22" s="396"/>
      <c r="V22" s="396"/>
      <c r="W22" s="396"/>
      <c r="X22" s="404">
        <f t="shared" si="1"/>
        <v>1</v>
      </c>
      <c r="Y22" s="397"/>
      <c r="Z22" s="406">
        <f t="shared" si="5"/>
        <v>0</v>
      </c>
      <c r="AA22" s="396"/>
      <c r="AB22" s="396"/>
      <c r="AC22" s="396"/>
      <c r="AD22" s="396"/>
      <c r="AE22" s="407">
        <f t="shared" si="2"/>
        <v>0</v>
      </c>
      <c r="AF22" s="398"/>
      <c r="AG22" s="399" t="str">
        <f>VLOOKUP(A22,'Feature Summary'!$A$7:$U$3934,21,FALSE)</f>
        <v>WK8</v>
      </c>
      <c r="AH22" s="400"/>
    </row>
    <row r="23" spans="1:34">
      <c r="A23" s="421" t="s">
        <v>319</v>
      </c>
      <c r="B23" s="359" t="s">
        <v>320</v>
      </c>
      <c r="C23" s="423" t="s">
        <v>257</v>
      </c>
      <c r="D23" s="384" t="s">
        <v>258</v>
      </c>
      <c r="E23" s="425" t="s">
        <v>321</v>
      </c>
      <c r="F23" s="359" t="s">
        <v>322</v>
      </c>
      <c r="G23" s="205" t="str">
        <f>VLOOKUP(A23,'Feature Summary'!$A$7:$C$3934,3,FALSE)</f>
        <v>P1</v>
      </c>
      <c r="H23" s="426" t="s">
        <v>323</v>
      </c>
      <c r="I23" s="460" t="s">
        <v>261</v>
      </c>
      <c r="J23" s="429"/>
      <c r="K23" s="393">
        <v>1</v>
      </c>
      <c r="L23" s="357">
        <v>1</v>
      </c>
      <c r="M23" s="358" t="s">
        <v>42</v>
      </c>
      <c r="N23" s="401">
        <v>1</v>
      </c>
      <c r="O23" s="357">
        <v>1</v>
      </c>
      <c r="P23" s="352">
        <f t="shared" si="3"/>
        <v>1</v>
      </c>
      <c r="Q23" s="411" t="s">
        <v>44</v>
      </c>
      <c r="R23" s="357"/>
      <c r="S23" s="402">
        <f t="shared" si="4"/>
        <v>0</v>
      </c>
      <c r="T23" s="357"/>
      <c r="U23" s="396"/>
      <c r="V23" s="396"/>
      <c r="W23" s="396"/>
      <c r="X23" s="404">
        <f t="shared" si="1"/>
        <v>0</v>
      </c>
      <c r="Y23" s="397"/>
      <c r="Z23" s="406">
        <f t="shared" si="5"/>
        <v>0</v>
      </c>
      <c r="AA23" s="396"/>
      <c r="AB23" s="396"/>
      <c r="AC23" s="396"/>
      <c r="AD23" s="396"/>
      <c r="AE23" s="407">
        <f t="shared" si="2"/>
        <v>0</v>
      </c>
      <c r="AF23" s="398"/>
      <c r="AG23" s="399" t="str">
        <f>VLOOKUP(A23,'Feature Summary'!$A$7:$U$3934,21,FALSE)</f>
        <v>WK4</v>
      </c>
      <c r="AH23" s="400"/>
    </row>
    <row r="24" spans="1:34">
      <c r="A24" s="421" t="s">
        <v>319</v>
      </c>
      <c r="B24" s="359" t="s">
        <v>324</v>
      </c>
      <c r="C24" s="423" t="s">
        <v>257</v>
      </c>
      <c r="D24" s="384" t="s">
        <v>258</v>
      </c>
      <c r="E24" s="425" t="s">
        <v>321</v>
      </c>
      <c r="F24" s="359" t="s">
        <v>322</v>
      </c>
      <c r="G24" s="205" t="str">
        <f>VLOOKUP(A24,'Feature Summary'!$A$7:$C$3934,3,FALSE)</f>
        <v>P1</v>
      </c>
      <c r="H24" s="426" t="s">
        <v>325</v>
      </c>
      <c r="I24" s="460" t="s">
        <v>261</v>
      </c>
      <c r="J24" s="429"/>
      <c r="K24" s="393">
        <v>1</v>
      </c>
      <c r="L24" s="357">
        <v>1</v>
      </c>
      <c r="M24" s="358" t="s">
        <v>42</v>
      </c>
      <c r="N24" s="401">
        <v>1</v>
      </c>
      <c r="O24" s="357">
        <v>1</v>
      </c>
      <c r="P24" s="352">
        <f t="shared" si="3"/>
        <v>1</v>
      </c>
      <c r="Q24" s="411" t="s">
        <v>46</v>
      </c>
      <c r="R24" s="357">
        <v>1</v>
      </c>
      <c r="S24" s="402">
        <f t="shared" si="4"/>
        <v>1</v>
      </c>
      <c r="T24" s="357">
        <v>1</v>
      </c>
      <c r="U24" s="396"/>
      <c r="V24" s="396"/>
      <c r="W24" s="396"/>
      <c r="X24" s="404">
        <f t="shared" si="1"/>
        <v>1</v>
      </c>
      <c r="Y24" s="397" t="s">
        <v>326</v>
      </c>
      <c r="Z24" s="406">
        <f t="shared" si="5"/>
        <v>0</v>
      </c>
      <c r="AA24" s="396"/>
      <c r="AB24" s="396"/>
      <c r="AC24" s="396"/>
      <c r="AD24" s="396"/>
      <c r="AE24" s="407">
        <f t="shared" si="2"/>
        <v>0</v>
      </c>
      <c r="AF24" s="398"/>
      <c r="AG24" s="399"/>
      <c r="AH24" s="400"/>
    </row>
    <row r="25" spans="1:34">
      <c r="A25" s="421" t="s">
        <v>327</v>
      </c>
      <c r="B25" s="359" t="s">
        <v>328</v>
      </c>
      <c r="C25" s="423" t="s">
        <v>257</v>
      </c>
      <c r="D25" s="384" t="s">
        <v>258</v>
      </c>
      <c r="E25" s="425" t="s">
        <v>329</v>
      </c>
      <c r="F25" s="359" t="s">
        <v>330</v>
      </c>
      <c r="G25" s="205" t="str">
        <f>VLOOKUP(A25,'Feature Summary'!$A$7:$C$3934,3,FALSE)</f>
        <v>P1</v>
      </c>
      <c r="H25" s="426" t="s">
        <v>331</v>
      </c>
      <c r="I25" s="460" t="s">
        <v>261</v>
      </c>
      <c r="J25" s="429"/>
      <c r="K25" s="393">
        <v>1</v>
      </c>
      <c r="L25" s="357">
        <v>1</v>
      </c>
      <c r="M25" s="358" t="s">
        <v>42</v>
      </c>
      <c r="N25" s="401">
        <v>1</v>
      </c>
      <c r="O25" s="357">
        <v>1</v>
      </c>
      <c r="P25" s="352">
        <f t="shared" si="3"/>
        <v>1</v>
      </c>
      <c r="Q25" s="411" t="s">
        <v>46</v>
      </c>
      <c r="R25" s="357">
        <v>1</v>
      </c>
      <c r="S25" s="402">
        <f t="shared" si="4"/>
        <v>1</v>
      </c>
      <c r="T25" s="357">
        <v>1</v>
      </c>
      <c r="U25" s="396"/>
      <c r="V25" s="396"/>
      <c r="W25" s="396"/>
      <c r="X25" s="404">
        <f t="shared" si="1"/>
        <v>1</v>
      </c>
      <c r="Y25" s="397"/>
      <c r="Z25" s="406">
        <f t="shared" si="5"/>
        <v>1</v>
      </c>
      <c r="AA25" s="396">
        <v>1</v>
      </c>
      <c r="AB25" s="396"/>
      <c r="AC25" s="396"/>
      <c r="AD25" s="396"/>
      <c r="AE25" s="407">
        <f t="shared" si="2"/>
        <v>1</v>
      </c>
      <c r="AF25" s="398"/>
      <c r="AG25" s="399" t="s">
        <v>332</v>
      </c>
      <c r="AH25" s="439"/>
    </row>
    <row r="26" spans="1:34">
      <c r="A26" s="421" t="s">
        <v>327</v>
      </c>
      <c r="B26" s="359" t="s">
        <v>333</v>
      </c>
      <c r="C26" s="423" t="s">
        <v>257</v>
      </c>
      <c r="D26" s="384" t="s">
        <v>258</v>
      </c>
      <c r="E26" s="425" t="s">
        <v>329</v>
      </c>
      <c r="F26" s="359" t="s">
        <v>330</v>
      </c>
      <c r="G26" s="205" t="str">
        <f>VLOOKUP(A26,'Feature Summary'!$A$7:$C$3934,3,FALSE)</f>
        <v>P1</v>
      </c>
      <c r="H26" s="426" t="s">
        <v>334</v>
      </c>
      <c r="I26" s="460" t="s">
        <v>261</v>
      </c>
      <c r="J26" s="429"/>
      <c r="K26" s="393">
        <v>1</v>
      </c>
      <c r="L26" s="357">
        <v>1</v>
      </c>
      <c r="M26" s="358" t="s">
        <v>42</v>
      </c>
      <c r="N26" s="401">
        <v>1</v>
      </c>
      <c r="O26" s="357">
        <v>1</v>
      </c>
      <c r="P26" s="352">
        <f t="shared" si="3"/>
        <v>1</v>
      </c>
      <c r="Q26" s="411" t="s">
        <v>44</v>
      </c>
      <c r="R26" s="357"/>
      <c r="S26" s="402">
        <f t="shared" si="4"/>
        <v>0</v>
      </c>
      <c r="T26" s="357"/>
      <c r="U26" s="396"/>
      <c r="V26" s="396"/>
      <c r="W26" s="396"/>
      <c r="X26" s="404">
        <f t="shared" si="1"/>
        <v>0</v>
      </c>
      <c r="Y26" s="397"/>
      <c r="Z26" s="406">
        <f t="shared" si="5"/>
        <v>0</v>
      </c>
      <c r="AA26" s="396"/>
      <c r="AB26" s="396"/>
      <c r="AC26" s="396"/>
      <c r="AD26" s="396"/>
      <c r="AE26" s="407">
        <f t="shared" si="2"/>
        <v>0</v>
      </c>
      <c r="AF26" s="398"/>
      <c r="AG26" s="399"/>
      <c r="AH26" s="439"/>
    </row>
    <row r="27" spans="1:34">
      <c r="A27" s="421" t="s">
        <v>327</v>
      </c>
      <c r="B27" s="359" t="s">
        <v>335</v>
      </c>
      <c r="C27" s="423" t="s">
        <v>257</v>
      </c>
      <c r="D27" s="384" t="s">
        <v>258</v>
      </c>
      <c r="E27" s="425" t="s">
        <v>329</v>
      </c>
      <c r="F27" s="359" t="s">
        <v>330</v>
      </c>
      <c r="G27" s="205" t="str">
        <f>VLOOKUP(A27,'Feature Summary'!$A$7:$C$3934,3,FALSE)</f>
        <v>P1</v>
      </c>
      <c r="H27" s="426" t="s">
        <v>336</v>
      </c>
      <c r="I27" s="460" t="s">
        <v>261</v>
      </c>
      <c r="J27" s="429"/>
      <c r="K27" s="393">
        <v>1</v>
      </c>
      <c r="L27" s="357">
        <v>1</v>
      </c>
      <c r="M27" s="358" t="s">
        <v>42</v>
      </c>
      <c r="N27" s="401">
        <v>1</v>
      </c>
      <c r="O27" s="357">
        <v>0.5</v>
      </c>
      <c r="P27" s="352">
        <f t="shared" si="3"/>
        <v>0.5</v>
      </c>
      <c r="Q27" s="411" t="s">
        <v>44</v>
      </c>
      <c r="R27" s="357"/>
      <c r="S27" s="402">
        <f t="shared" si="4"/>
        <v>0</v>
      </c>
      <c r="T27" s="357"/>
      <c r="U27" s="396"/>
      <c r="V27" s="396"/>
      <c r="W27" s="396"/>
      <c r="X27" s="404">
        <f t="shared" si="1"/>
        <v>0</v>
      </c>
      <c r="Y27" s="397"/>
      <c r="Z27" s="406">
        <f t="shared" si="5"/>
        <v>0</v>
      </c>
      <c r="AA27" s="396"/>
      <c r="AB27" s="396"/>
      <c r="AC27" s="396"/>
      <c r="AD27" s="396"/>
      <c r="AE27" s="407">
        <f t="shared" si="2"/>
        <v>0</v>
      </c>
      <c r="AF27" s="398"/>
      <c r="AG27" s="399"/>
      <c r="AH27" s="439"/>
    </row>
    <row r="28" spans="1:34">
      <c r="A28" s="421" t="s">
        <v>337</v>
      </c>
      <c r="B28" s="359" t="s">
        <v>338</v>
      </c>
      <c r="C28" s="423" t="s">
        <v>257</v>
      </c>
      <c r="D28" s="384" t="s">
        <v>258</v>
      </c>
      <c r="E28" s="425"/>
      <c r="F28" s="359"/>
      <c r="G28" s="205" t="str">
        <f>VLOOKUP(A28,'Feature Summary'!$A$7:$C$3934,3,FALSE)</f>
        <v>P1</v>
      </c>
      <c r="H28" s="426" t="s">
        <v>339</v>
      </c>
      <c r="I28" s="460" t="s">
        <v>261</v>
      </c>
      <c r="J28" s="429"/>
      <c r="K28" s="393">
        <v>0</v>
      </c>
      <c r="L28" s="357">
        <v>0</v>
      </c>
      <c r="M28" s="358" t="s">
        <v>42</v>
      </c>
      <c r="N28" s="401">
        <v>1</v>
      </c>
      <c r="O28" s="357">
        <v>0</v>
      </c>
      <c r="P28" s="352">
        <f t="shared" si="3"/>
        <v>0</v>
      </c>
      <c r="Q28" s="411" t="s">
        <v>46</v>
      </c>
      <c r="R28" s="357"/>
      <c r="S28" s="402">
        <f t="shared" si="4"/>
        <v>0</v>
      </c>
      <c r="T28" s="357"/>
      <c r="U28" s="396"/>
      <c r="V28" s="396"/>
      <c r="W28" s="396"/>
      <c r="X28" s="404">
        <f t="shared" si="1"/>
        <v>0</v>
      </c>
      <c r="Y28" s="397"/>
      <c r="Z28" s="406">
        <f t="shared" si="5"/>
        <v>0</v>
      </c>
      <c r="AA28" s="396"/>
      <c r="AB28" s="396"/>
      <c r="AC28" s="396"/>
      <c r="AD28" s="396"/>
      <c r="AE28" s="407">
        <f t="shared" si="2"/>
        <v>0</v>
      </c>
      <c r="AF28" s="398"/>
      <c r="AG28" s="399" t="s">
        <v>340</v>
      </c>
      <c r="AH28" s="439"/>
    </row>
    <row r="29" spans="1:34">
      <c r="A29" s="421" t="s">
        <v>341</v>
      </c>
      <c r="B29" s="359" t="s">
        <v>342</v>
      </c>
      <c r="C29" s="423" t="s">
        <v>257</v>
      </c>
      <c r="D29" s="384" t="s">
        <v>258</v>
      </c>
      <c r="E29" s="425"/>
      <c r="F29" s="359" t="s">
        <v>322</v>
      </c>
      <c r="G29" s="205" t="str">
        <f>VLOOKUP(A29,'Feature Summary'!$A$7:$C$3934,3,FALSE)</f>
        <v>P1</v>
      </c>
      <c r="H29" s="426" t="s">
        <v>343</v>
      </c>
      <c r="I29" s="460" t="s">
        <v>261</v>
      </c>
      <c r="J29" s="429"/>
      <c r="K29" s="393">
        <v>1</v>
      </c>
      <c r="L29" s="357">
        <v>1</v>
      </c>
      <c r="M29" s="358" t="s">
        <v>42</v>
      </c>
      <c r="N29" s="401">
        <v>1</v>
      </c>
      <c r="O29" s="357">
        <v>1</v>
      </c>
      <c r="P29" s="352">
        <f t="shared" si="3"/>
        <v>1</v>
      </c>
      <c r="Q29" s="411" t="s">
        <v>44</v>
      </c>
      <c r="R29" s="357"/>
      <c r="S29" s="402">
        <f t="shared" si="4"/>
        <v>0</v>
      </c>
      <c r="T29" s="357"/>
      <c r="U29" s="396"/>
      <c r="V29" s="396"/>
      <c r="W29" s="396"/>
      <c r="X29" s="404">
        <f t="shared" si="1"/>
        <v>0</v>
      </c>
      <c r="Y29" s="397"/>
      <c r="Z29" s="406">
        <f t="shared" si="5"/>
        <v>0</v>
      </c>
      <c r="AA29" s="396"/>
      <c r="AB29" s="396"/>
      <c r="AC29" s="396"/>
      <c r="AD29" s="396"/>
      <c r="AE29" s="407">
        <f t="shared" si="2"/>
        <v>0</v>
      </c>
      <c r="AF29" s="398"/>
      <c r="AG29" s="399" t="str">
        <f>VLOOKUP(A29,'Feature Summary'!$A$7:$U$3934,21,FALSE)</f>
        <v>WK5</v>
      </c>
      <c r="AH29" s="439"/>
    </row>
    <row r="30" spans="1:34">
      <c r="A30" s="421" t="s">
        <v>344</v>
      </c>
      <c r="B30" s="359" t="s">
        <v>345</v>
      </c>
      <c r="C30" s="423" t="s">
        <v>257</v>
      </c>
      <c r="D30" s="384" t="s">
        <v>258</v>
      </c>
      <c r="E30" s="425"/>
      <c r="F30" s="359"/>
      <c r="G30" s="205" t="str">
        <f>VLOOKUP(A30,'Feature Summary'!$A$7:$C$3934,3,FALSE)</f>
        <v>P1</v>
      </c>
      <c r="H30" s="426" t="s">
        <v>346</v>
      </c>
      <c r="I30" s="460" t="s">
        <v>261</v>
      </c>
      <c r="J30" s="429"/>
      <c r="K30" s="393">
        <v>1</v>
      </c>
      <c r="L30" s="357">
        <v>1</v>
      </c>
      <c r="M30" s="358" t="s">
        <v>42</v>
      </c>
      <c r="N30" s="401">
        <v>1</v>
      </c>
      <c r="O30" s="357">
        <v>1</v>
      </c>
      <c r="P30" s="352">
        <f t="shared" ref="P30" si="11">IF((O30=0),0,(O30/L30))</f>
        <v>1</v>
      </c>
      <c r="Q30" s="411" t="s">
        <v>44</v>
      </c>
      <c r="R30" s="357"/>
      <c r="S30" s="402">
        <f t="shared" ref="S30" si="12">SUM(T30:W30)</f>
        <v>0</v>
      </c>
      <c r="T30" s="357"/>
      <c r="U30" s="396"/>
      <c r="V30" s="396"/>
      <c r="W30" s="396"/>
      <c r="X30" s="404">
        <f t="shared" ref="X30" si="13">IF((S30=0),0,((T30+U30)/S30*100%))</f>
        <v>0</v>
      </c>
      <c r="Y30" s="397"/>
      <c r="Z30" s="406">
        <f t="shared" ref="Z30" si="14">SUM(AA30:AD30)</f>
        <v>0</v>
      </c>
      <c r="AA30" s="396"/>
      <c r="AB30" s="396"/>
      <c r="AC30" s="396"/>
      <c r="AD30" s="396"/>
      <c r="AE30" s="407">
        <f t="shared" ref="AE30" si="15">IF((Z30=0),0,((AA30+AB30)/Z30*100%))</f>
        <v>0</v>
      </c>
      <c r="AF30" s="398"/>
      <c r="AG30" s="399" t="str">
        <f>VLOOKUP(A30,'Feature Summary'!$A$7:$U$3934,21,FALSE)</f>
        <v>WK9</v>
      </c>
      <c r="AH30" s="439"/>
    </row>
    <row r="31" spans="1:34">
      <c r="A31" s="421" t="s">
        <v>347</v>
      </c>
      <c r="B31" s="359" t="s">
        <v>348</v>
      </c>
      <c r="C31" s="423" t="s">
        <v>257</v>
      </c>
      <c r="D31" s="384" t="s">
        <v>258</v>
      </c>
      <c r="E31" s="425"/>
      <c r="F31" s="359" t="s">
        <v>322</v>
      </c>
      <c r="G31" s="205" t="str">
        <f>VLOOKUP(A31,'Feature Summary'!$A$7:$C$3934,3,FALSE)</f>
        <v>P1</v>
      </c>
      <c r="H31" s="426" t="s">
        <v>346</v>
      </c>
      <c r="I31" s="460" t="s">
        <v>261</v>
      </c>
      <c r="J31" s="429"/>
      <c r="K31" s="393">
        <v>1</v>
      </c>
      <c r="L31" s="357">
        <v>1</v>
      </c>
      <c r="M31" s="358" t="s">
        <v>42</v>
      </c>
      <c r="N31" s="401">
        <v>1</v>
      </c>
      <c r="O31" s="357">
        <v>0.8</v>
      </c>
      <c r="P31" s="352">
        <f t="shared" si="3"/>
        <v>0.8</v>
      </c>
      <c r="Q31" s="411" t="s">
        <v>44</v>
      </c>
      <c r="R31" s="357"/>
      <c r="S31" s="402">
        <f t="shared" si="4"/>
        <v>0</v>
      </c>
      <c r="T31" s="357"/>
      <c r="U31" s="396"/>
      <c r="V31" s="396"/>
      <c r="W31" s="396"/>
      <c r="X31" s="404">
        <f t="shared" si="1"/>
        <v>0</v>
      </c>
      <c r="Y31" s="397"/>
      <c r="Z31" s="406">
        <f t="shared" si="5"/>
        <v>1</v>
      </c>
      <c r="AA31" s="396">
        <v>1</v>
      </c>
      <c r="AB31" s="396"/>
      <c r="AC31" s="396"/>
      <c r="AD31" s="396"/>
      <c r="AE31" s="407">
        <f t="shared" si="2"/>
        <v>1</v>
      </c>
      <c r="AF31" s="398"/>
      <c r="AG31" s="399" t="str">
        <f>VLOOKUP(A31,'Feature Summary'!$A$7:$U$3934,21,FALSE)</f>
        <v>WK4</v>
      </c>
      <c r="AH31" s="439"/>
    </row>
    <row r="32" spans="1:34">
      <c r="A32" s="421" t="s">
        <v>349</v>
      </c>
      <c r="B32" s="359" t="s">
        <v>350</v>
      </c>
      <c r="C32" s="423" t="s">
        <v>257</v>
      </c>
      <c r="D32" s="384" t="s">
        <v>258</v>
      </c>
      <c r="E32" s="425"/>
      <c r="F32" s="359" t="s">
        <v>351</v>
      </c>
      <c r="G32" s="205" t="str">
        <f>VLOOKUP(A32,'Feature Summary'!$A$7:$C$3934,3,FALSE)</f>
        <v>P1</v>
      </c>
      <c r="H32" s="426" t="s">
        <v>352</v>
      </c>
      <c r="I32" s="460" t="s">
        <v>261</v>
      </c>
      <c r="J32" s="429"/>
      <c r="K32" s="393">
        <v>1</v>
      </c>
      <c r="L32" s="357">
        <v>10</v>
      </c>
      <c r="M32" s="358" t="s">
        <v>33</v>
      </c>
      <c r="N32" s="401">
        <v>1</v>
      </c>
      <c r="O32" s="357">
        <v>10</v>
      </c>
      <c r="P32" s="352">
        <f t="shared" si="3"/>
        <v>1</v>
      </c>
      <c r="Q32" s="411" t="s">
        <v>46</v>
      </c>
      <c r="R32" s="357">
        <v>10</v>
      </c>
      <c r="S32" s="402">
        <f t="shared" si="4"/>
        <v>10</v>
      </c>
      <c r="T32" s="357">
        <v>10</v>
      </c>
      <c r="U32" s="396"/>
      <c r="V32" s="396"/>
      <c r="W32" s="396"/>
      <c r="X32" s="404">
        <f t="shared" si="1"/>
        <v>1</v>
      </c>
      <c r="Y32" s="397"/>
      <c r="Z32" s="406">
        <f t="shared" si="5"/>
        <v>5</v>
      </c>
      <c r="AA32" s="396">
        <v>5</v>
      </c>
      <c r="AB32" s="396"/>
      <c r="AC32" s="396"/>
      <c r="AD32" s="396"/>
      <c r="AE32" s="407">
        <f t="shared" si="2"/>
        <v>1</v>
      </c>
      <c r="AF32" s="398"/>
      <c r="AG32" s="399" t="str">
        <f>VLOOKUP(A32,'Feature Summary'!$A$7:$U$3934,21,FALSE)</f>
        <v>WK3</v>
      </c>
      <c r="AH32" s="439"/>
    </row>
    <row r="33" spans="1:34" ht="15.75" customHeight="1">
      <c r="A33" s="421" t="s">
        <v>353</v>
      </c>
      <c r="B33" s="359" t="s">
        <v>354</v>
      </c>
      <c r="C33" s="423" t="s">
        <v>257</v>
      </c>
      <c r="D33" s="384" t="s">
        <v>258</v>
      </c>
      <c r="E33" s="425"/>
      <c r="F33" s="359" t="s">
        <v>355</v>
      </c>
      <c r="G33" s="205" t="str">
        <f>VLOOKUP(A33,'Feature Summary'!$A$7:$C$3934,3,FALSE)</f>
        <v>P1</v>
      </c>
      <c r="H33" s="426" t="s">
        <v>356</v>
      </c>
      <c r="I33" s="460" t="s">
        <v>270</v>
      </c>
      <c r="J33" s="429"/>
      <c r="K33" s="393">
        <v>1</v>
      </c>
      <c r="L33" s="357">
        <v>10</v>
      </c>
      <c r="M33" s="358" t="s">
        <v>42</v>
      </c>
      <c r="N33" s="401">
        <v>1</v>
      </c>
      <c r="O33" s="357">
        <v>10</v>
      </c>
      <c r="P33" s="352">
        <f t="shared" ref="P33" si="16">IF((O33=0),0,(O33/L33))</f>
        <v>1</v>
      </c>
      <c r="Q33" s="411" t="s">
        <v>45</v>
      </c>
      <c r="R33" s="357">
        <v>8</v>
      </c>
      <c r="S33" s="402">
        <f t="shared" ref="S33" si="17">SUM(T33:W33)</f>
        <v>8</v>
      </c>
      <c r="T33" s="357">
        <v>8</v>
      </c>
      <c r="U33" s="396"/>
      <c r="V33" s="396"/>
      <c r="W33" s="396"/>
      <c r="X33" s="404">
        <f t="shared" ref="X33" si="18">IF((S33=0),0,((T33+U33)/S33*100%))</f>
        <v>1</v>
      </c>
      <c r="Y33" s="397"/>
      <c r="Z33" s="406">
        <f t="shared" ref="Z33" si="19">SUM(AA33:AD33)</f>
        <v>4</v>
      </c>
      <c r="AA33" s="396">
        <v>4</v>
      </c>
      <c r="AB33" s="396"/>
      <c r="AC33" s="396"/>
      <c r="AD33" s="396"/>
      <c r="AE33" s="407">
        <f t="shared" ref="AE33" si="20">IF((Z33=0),0,((AA33+AB33)/Z33*100%))</f>
        <v>1</v>
      </c>
      <c r="AF33" s="398"/>
      <c r="AG33" s="399" t="str">
        <f>VLOOKUP(A33,'Feature Summary'!$A$7:$U$3934,21,FALSE)</f>
        <v>WK3</v>
      </c>
      <c r="AH33" s="439"/>
    </row>
    <row r="34" spans="1:34" ht="15.75" hidden="1" customHeight="1">
      <c r="A34" s="421" t="s">
        <v>357</v>
      </c>
      <c r="B34" s="359" t="s">
        <v>358</v>
      </c>
      <c r="C34" s="423" t="s">
        <v>257</v>
      </c>
      <c r="D34" s="384" t="s">
        <v>258</v>
      </c>
      <c r="E34" s="425"/>
      <c r="F34" s="359"/>
      <c r="G34" s="205" t="str">
        <f>VLOOKUP(A34,'Feature Summary'!$A$7:$C$3934,3,FALSE)</f>
        <v>P2</v>
      </c>
      <c r="H34" s="426" t="s">
        <v>359</v>
      </c>
      <c r="I34" s="460"/>
      <c r="J34" s="429"/>
      <c r="K34" s="393"/>
      <c r="L34" s="357"/>
      <c r="M34" s="358"/>
      <c r="N34" s="401">
        <v>0</v>
      </c>
      <c r="O34" s="357"/>
      <c r="P34" s="352">
        <f>IF((O34=0),0,(O34/L34))</f>
        <v>0</v>
      </c>
      <c r="Q34" s="411" t="s">
        <v>44</v>
      </c>
      <c r="R34" s="357"/>
      <c r="S34" s="402">
        <f>SUM(T34:W34)</f>
        <v>0</v>
      </c>
      <c r="T34" s="357"/>
      <c r="U34" s="396"/>
      <c r="V34" s="396"/>
      <c r="W34" s="396"/>
      <c r="X34" s="404">
        <f>IF((S34=0),0,((T34+U34)/S34*100%))</f>
        <v>0</v>
      </c>
      <c r="Y34" s="397"/>
      <c r="Z34" s="406">
        <f>SUM(AA34:AD34)</f>
        <v>0</v>
      </c>
      <c r="AA34" s="396"/>
      <c r="AB34" s="396"/>
      <c r="AC34" s="396"/>
      <c r="AD34" s="396"/>
      <c r="AE34" s="407">
        <f>IF((Z34=0),0,((AA34+AB34)/Z34*100%))</f>
        <v>0</v>
      </c>
      <c r="AF34" s="398"/>
      <c r="AG34" s="399" t="str">
        <f>VLOOKUP(A34,'Feature Summary'!$A$7:$U$3934,21,FALSE)</f>
        <v>N/A</v>
      </c>
      <c r="AH34" s="439"/>
    </row>
    <row r="35" spans="1:34" ht="15.75" hidden="1" customHeight="1">
      <c r="A35" s="421" t="s">
        <v>360</v>
      </c>
      <c r="B35" s="359" t="s">
        <v>361</v>
      </c>
      <c r="C35" s="423" t="s">
        <v>257</v>
      </c>
      <c r="D35" s="384" t="s">
        <v>258</v>
      </c>
      <c r="E35" s="425"/>
      <c r="F35" s="359"/>
      <c r="G35" s="205" t="str">
        <f>VLOOKUP(A35,'Feature Summary'!$A$7:$C$3934,3,FALSE)</f>
        <v>P2</v>
      </c>
      <c r="H35" s="426" t="s">
        <v>362</v>
      </c>
      <c r="I35" s="460"/>
      <c r="J35" s="429"/>
      <c r="K35" s="393"/>
      <c r="L35" s="357"/>
      <c r="M35" s="358"/>
      <c r="N35" s="401"/>
      <c r="O35" s="357"/>
      <c r="P35" s="352"/>
      <c r="Q35" s="411" t="s">
        <v>44</v>
      </c>
      <c r="R35" s="357"/>
      <c r="S35" s="402"/>
      <c r="T35" s="357"/>
      <c r="U35" s="396"/>
      <c r="V35" s="396"/>
      <c r="W35" s="396"/>
      <c r="X35" s="404"/>
      <c r="Y35" s="397"/>
      <c r="Z35" s="406"/>
      <c r="AA35" s="396"/>
      <c r="AB35" s="396"/>
      <c r="AC35" s="396"/>
      <c r="AD35" s="396"/>
      <c r="AE35" s="407"/>
      <c r="AF35" s="398"/>
      <c r="AG35" s="399"/>
      <c r="AH35" s="439"/>
    </row>
    <row r="36" spans="1:34" ht="15.75" hidden="1" customHeight="1">
      <c r="A36" s="421" t="s">
        <v>363</v>
      </c>
      <c r="B36" s="359" t="s">
        <v>364</v>
      </c>
      <c r="C36" s="423" t="s">
        <v>257</v>
      </c>
      <c r="D36" s="384" t="s">
        <v>258</v>
      </c>
      <c r="E36" s="425"/>
      <c r="F36" s="359"/>
      <c r="G36" s="205" t="str">
        <f>VLOOKUP(A36,'Feature Summary'!$A$7:$C$3934,3,FALSE)</f>
        <v>P2</v>
      </c>
      <c r="H36" s="426" t="s">
        <v>365</v>
      </c>
      <c r="I36" s="460"/>
      <c r="J36" s="429"/>
      <c r="K36" s="393"/>
      <c r="L36" s="357"/>
      <c r="M36" s="358"/>
      <c r="N36" s="401"/>
      <c r="O36" s="357"/>
      <c r="P36" s="352"/>
      <c r="Q36" s="411" t="s">
        <v>44</v>
      </c>
      <c r="R36" s="357"/>
      <c r="S36" s="402"/>
      <c r="T36" s="357"/>
      <c r="U36" s="396"/>
      <c r="V36" s="396"/>
      <c r="W36" s="396"/>
      <c r="X36" s="404"/>
      <c r="Y36" s="397"/>
      <c r="Z36" s="406"/>
      <c r="AA36" s="396"/>
      <c r="AB36" s="396"/>
      <c r="AC36" s="396"/>
      <c r="AD36" s="396"/>
      <c r="AE36" s="407"/>
      <c r="AF36" s="398"/>
      <c r="AG36" s="399"/>
      <c r="AH36" s="439"/>
    </row>
    <row r="37" spans="1:34" ht="15.75" hidden="1" customHeight="1">
      <c r="A37" s="421" t="s">
        <v>366</v>
      </c>
      <c r="B37" s="359" t="s">
        <v>367</v>
      </c>
      <c r="C37" s="423" t="s">
        <v>257</v>
      </c>
      <c r="D37" s="384" t="s">
        <v>258</v>
      </c>
      <c r="E37" s="425"/>
      <c r="F37" s="359"/>
      <c r="G37" s="205" t="str">
        <f>VLOOKUP(A37,'Feature Summary'!$A$7:$C$3934,3,FALSE)</f>
        <v>P2</v>
      </c>
      <c r="H37" s="426" t="s">
        <v>368</v>
      </c>
      <c r="I37" s="460"/>
      <c r="J37" s="429"/>
      <c r="K37" s="393"/>
      <c r="L37" s="357"/>
      <c r="M37" s="358"/>
      <c r="N37" s="401"/>
      <c r="O37" s="357"/>
      <c r="P37" s="352"/>
      <c r="Q37" s="411" t="s">
        <v>44</v>
      </c>
      <c r="R37" s="357"/>
      <c r="S37" s="402"/>
      <c r="T37" s="357"/>
      <c r="U37" s="396"/>
      <c r="V37" s="396"/>
      <c r="W37" s="396"/>
      <c r="X37" s="404"/>
      <c r="Y37" s="397"/>
      <c r="Z37" s="406"/>
      <c r="AA37" s="396"/>
      <c r="AB37" s="396"/>
      <c r="AC37" s="396"/>
      <c r="AD37" s="396"/>
      <c r="AE37" s="407"/>
      <c r="AF37" s="398"/>
      <c r="AG37" s="399"/>
      <c r="AH37" s="439"/>
    </row>
    <row r="38" spans="1:34" ht="15.75" hidden="1" customHeight="1">
      <c r="A38" s="421" t="s">
        <v>369</v>
      </c>
      <c r="B38" s="359" t="s">
        <v>370</v>
      </c>
      <c r="C38" s="423" t="s">
        <v>257</v>
      </c>
      <c r="D38" s="384" t="s">
        <v>258</v>
      </c>
      <c r="E38" s="425"/>
      <c r="F38" s="359"/>
      <c r="G38" s="205" t="str">
        <f>VLOOKUP(A38,'Feature Summary'!$A$7:$C$3934,3,FALSE)</f>
        <v>P2</v>
      </c>
      <c r="H38" s="426" t="s">
        <v>371</v>
      </c>
      <c r="I38" s="460"/>
      <c r="J38" s="429"/>
      <c r="K38" s="393"/>
      <c r="L38" s="357"/>
      <c r="M38" s="358"/>
      <c r="N38" s="401"/>
      <c r="O38" s="357"/>
      <c r="P38" s="352"/>
      <c r="Q38" s="411" t="s">
        <v>44</v>
      </c>
      <c r="R38" s="357"/>
      <c r="S38" s="402"/>
      <c r="T38" s="357"/>
      <c r="U38" s="396"/>
      <c r="V38" s="396"/>
      <c r="W38" s="396"/>
      <c r="X38" s="404"/>
      <c r="Y38" s="397"/>
      <c r="Z38" s="406"/>
      <c r="AA38" s="396"/>
      <c r="AB38" s="396"/>
      <c r="AC38" s="396"/>
      <c r="AD38" s="396"/>
      <c r="AE38" s="407"/>
      <c r="AF38" s="398"/>
      <c r="AG38" s="399"/>
      <c r="AH38" s="439"/>
    </row>
    <row r="39" spans="1:34" ht="15.75" hidden="1" customHeight="1">
      <c r="A39" s="513" t="s">
        <v>372</v>
      </c>
      <c r="B39" s="514"/>
      <c r="C39" s="514"/>
      <c r="D39" s="514"/>
      <c r="E39" s="514"/>
      <c r="F39" s="514"/>
      <c r="G39" s="514"/>
      <c r="H39" s="514"/>
      <c r="I39" s="514"/>
      <c r="J39" s="514"/>
      <c r="K39" s="514"/>
      <c r="L39" s="514"/>
      <c r="M39" s="514"/>
      <c r="N39" s="515"/>
      <c r="O39" s="515"/>
      <c r="P39" s="515"/>
      <c r="Q39" s="515"/>
      <c r="R39" s="515"/>
      <c r="S39" s="515"/>
      <c r="T39" s="515"/>
      <c r="U39" s="515"/>
      <c r="V39" s="515"/>
      <c r="W39" s="515"/>
      <c r="X39" s="515"/>
      <c r="Y39" s="515"/>
      <c r="Z39" s="515"/>
      <c r="AA39" s="515"/>
      <c r="AB39" s="515"/>
      <c r="AC39" s="515"/>
      <c r="AD39" s="515"/>
      <c r="AE39" s="515"/>
      <c r="AF39" s="515"/>
      <c r="AG39" s="515"/>
      <c r="AH39" s="516"/>
    </row>
    <row r="40" spans="1:34" ht="15.75" hidden="1" customHeight="1">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9"/>
    </row>
    <row r="41" spans="1:34" ht="15.75" hidden="1" customHeight="1">
      <c r="A41" s="523" t="s">
        <v>249</v>
      </c>
      <c r="B41" s="524"/>
      <c r="C41" s="524"/>
      <c r="D41" s="524"/>
      <c r="E41" s="524"/>
      <c r="F41" s="524"/>
      <c r="G41" s="524"/>
      <c r="H41" s="524"/>
      <c r="I41" s="524"/>
      <c r="J41" s="525"/>
      <c r="K41" s="305">
        <f>SUM(K6:K38)</f>
        <v>27</v>
      </c>
      <c r="L41" s="305">
        <f>SUM(L6:L38)</f>
        <v>87</v>
      </c>
      <c r="M41" s="306"/>
      <c r="N41" s="344">
        <f>SUMPRODUCT(K6:K38,N6:N38)/K41</f>
        <v>1</v>
      </c>
      <c r="O41" s="345">
        <f>SUM(O6:O38)</f>
        <v>83.3</v>
      </c>
      <c r="P41" s="346">
        <f>SUMPRODUCT(K6:K38,P6:P38)/K41</f>
        <v>0.9462962962962963</v>
      </c>
      <c r="Q41" s="307"/>
      <c r="R41" s="308">
        <f t="shared" ref="R41:W41" si="21">SUM(R6:R38)</f>
        <v>72</v>
      </c>
      <c r="S41" s="347">
        <f t="shared" si="21"/>
        <v>72</v>
      </c>
      <c r="T41" s="347">
        <f t="shared" si="21"/>
        <v>72</v>
      </c>
      <c r="U41" s="308">
        <f t="shared" si="21"/>
        <v>0</v>
      </c>
      <c r="V41" s="347">
        <f t="shared" si="21"/>
        <v>0</v>
      </c>
      <c r="W41" s="308">
        <f t="shared" si="21"/>
        <v>0</v>
      </c>
      <c r="X41" s="348">
        <f>IF((S41=0),0,((T41+U41)/S41*100%))</f>
        <v>1</v>
      </c>
      <c r="Y41" s="309"/>
      <c r="Z41" s="349">
        <f>SUM(Z6:Z38)</f>
        <v>33</v>
      </c>
      <c r="AA41" s="350">
        <f>SUM(AA6:AA38)</f>
        <v>33</v>
      </c>
      <c r="AB41" s="350">
        <f>SUM(AB6:AB38)</f>
        <v>0</v>
      </c>
      <c r="AC41" s="350">
        <f>SUM(AC6:AC38)</f>
        <v>0</v>
      </c>
      <c r="AD41" s="350">
        <f>SUM(AD6:AD38)</f>
        <v>0</v>
      </c>
      <c r="AE41" s="351">
        <f>IF((Z41=0),0,((AA41+AB41)/Z41*100%))</f>
        <v>1</v>
      </c>
      <c r="AF41" s="310"/>
      <c r="AG41" s="310"/>
      <c r="AH41" s="311"/>
    </row>
    <row r="42" spans="1:34" ht="15.75" customHeight="1"/>
    <row r="43" spans="1:34">
      <c r="J43" s="368"/>
      <c r="L43" s="159" t="s">
        <v>373</v>
      </c>
    </row>
    <row r="44" spans="1:34">
      <c r="J44" s="369"/>
    </row>
    <row r="45" spans="1:34">
      <c r="J45" s="369"/>
    </row>
    <row r="46" spans="1:34">
      <c r="J46" s="369"/>
    </row>
    <row r="47" spans="1:34">
      <c r="J47" s="369"/>
    </row>
    <row r="48" spans="1:34">
      <c r="J48" s="369"/>
    </row>
    <row r="49" spans="10:10">
      <c r="J49" s="369"/>
    </row>
  </sheetData>
  <sheetProtection insertColumns="0" insertRows="0" deleteRows="0" sort="0"/>
  <autoFilter ref="A5:AH41" xr:uid="{00000000-0001-0000-0200-000000000000}">
    <filterColumn colId="12">
      <filters>
        <filter val="Delta"/>
        <filter val="Legacy"/>
        <filter val="New"/>
      </filters>
    </filterColumn>
  </autoFilter>
  <mergeCells count="9">
    <mergeCell ref="A39:AH40"/>
    <mergeCell ref="A1:AH1"/>
    <mergeCell ref="A3:AH3"/>
    <mergeCell ref="A2:J2"/>
    <mergeCell ref="A41:J4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Q6:Q38</xm:sqref>
        </x14:dataValidation>
        <x14:dataValidation type="list" allowBlank="1" showInputMessage="1" showErrorMessage="1" xr:uid="{5513F172-4253-4807-A8CE-34D720193895}">
          <x14:formula1>
            <xm:f>'List Options'!$G$1:$G$3</xm:f>
          </x14:formula1>
          <xm:sqref>M6:M38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xr3:uid="{8A7DB9E6-5825-5B6E-8AE4-6B4DECE2D06B}">
      <pane xSplit="1" ySplit="3" topLeftCell="B19" activePane="bottomRight" state="frozen"/>
      <selection pane="bottomRight" activeCell="A5" sqref="A5"/>
      <selection pane="bottomLeft" activeCell="A4" sqref="A4"/>
      <selection pane="topRight" activeCell="B1" sqref="B1"/>
    </sheetView>
  </sheetViews>
  <sheetFormatPr defaultRowHeight="14.4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c r="A1" s="538" t="s">
        <v>374</v>
      </c>
      <c r="B1" s="539"/>
      <c r="C1" s="539"/>
      <c r="D1" s="539"/>
      <c r="E1" s="539"/>
      <c r="F1" s="539"/>
      <c r="G1" s="539"/>
      <c r="H1" s="539"/>
      <c r="I1" s="539"/>
      <c r="J1" s="539"/>
      <c r="K1" s="539"/>
      <c r="L1" s="539"/>
      <c r="M1" s="539"/>
      <c r="N1" s="539"/>
      <c r="O1" s="539"/>
      <c r="P1" s="539"/>
      <c r="Q1" s="539"/>
      <c r="R1" s="539"/>
      <c r="S1" s="539"/>
      <c r="T1" s="539"/>
      <c r="U1" s="539"/>
      <c r="V1" s="540"/>
    </row>
    <row r="2" spans="1:22" ht="15" thickBot="1">
      <c r="A2" s="196" t="s">
        <v>375</v>
      </c>
      <c r="B2" s="541" t="s">
        <v>161</v>
      </c>
      <c r="C2" s="541"/>
      <c r="D2" s="541"/>
      <c r="E2" s="541"/>
      <c r="F2" s="541"/>
      <c r="G2" s="542" t="s">
        <v>172</v>
      </c>
      <c r="H2" s="543"/>
      <c r="I2" s="543"/>
      <c r="J2" s="543"/>
      <c r="K2" s="543"/>
      <c r="L2" s="543"/>
      <c r="M2" s="543"/>
      <c r="N2" s="544"/>
      <c r="O2" s="545" t="s">
        <v>139</v>
      </c>
      <c r="P2" s="546"/>
      <c r="Q2" s="546"/>
      <c r="R2" s="546"/>
      <c r="S2" s="546"/>
      <c r="T2" s="546"/>
      <c r="U2" s="546"/>
      <c r="V2" s="547"/>
    </row>
    <row r="3" spans="1:22" s="210" customFormat="1" ht="15" thickBot="1">
      <c r="A3" s="212" t="s">
        <v>83</v>
      </c>
      <c r="B3" s="269" t="s">
        <v>162</v>
      </c>
      <c r="C3" s="270" t="s">
        <v>123</v>
      </c>
      <c r="D3" s="271" t="s">
        <v>100</v>
      </c>
      <c r="E3" s="271" t="s">
        <v>168</v>
      </c>
      <c r="F3" s="272" t="s">
        <v>170</v>
      </c>
      <c r="G3" s="273" t="s">
        <v>127</v>
      </c>
      <c r="H3" s="274" t="s">
        <v>30</v>
      </c>
      <c r="I3" s="274" t="s">
        <v>130</v>
      </c>
      <c r="J3" s="274" t="s">
        <v>35</v>
      </c>
      <c r="K3" s="274" t="s">
        <v>133</v>
      </c>
      <c r="L3" s="274" t="s">
        <v>179</v>
      </c>
      <c r="M3" s="274" t="s">
        <v>135</v>
      </c>
      <c r="N3" s="275" t="s">
        <v>182</v>
      </c>
      <c r="O3" s="276" t="s">
        <v>127</v>
      </c>
      <c r="P3" s="277" t="s">
        <v>30</v>
      </c>
      <c r="Q3" s="277" t="s">
        <v>130</v>
      </c>
      <c r="R3" s="277" t="s">
        <v>35</v>
      </c>
      <c r="S3" s="277" t="s">
        <v>133</v>
      </c>
      <c r="T3" s="277" t="s">
        <v>179</v>
      </c>
      <c r="U3" s="277" t="s">
        <v>135</v>
      </c>
      <c r="V3" s="278" t="s">
        <v>182</v>
      </c>
    </row>
    <row r="4" spans="1:22">
      <c r="A4" s="288" t="s">
        <v>376</v>
      </c>
      <c r="B4" s="211">
        <f>SUMIFS('Diags Raw Data'!$L$6:$L$4644,'Diags Raw Data'!$D$6:$D$4644,$A4)</f>
        <v>0</v>
      </c>
      <c r="C4" s="206">
        <f>SUMIFS('Diags Raw Data'!$R$6:$R$4644,'Diags Raw Data'!$D$6:$D$4644,$A4)</f>
        <v>0</v>
      </c>
      <c r="D4" s="206">
        <f>SUMIFS('Diags Raw Data'!$K$6:$K$4644,'Diags Raw Data'!$D$6:$D$4644,$A4)</f>
        <v>0</v>
      </c>
      <c r="E4" s="206">
        <f>SUMIFS('Diags Raw Data'!$O$6:$O$4644,'Diags Raw Data'!$D$6:$D$4644,$A4)</f>
        <v>0</v>
      </c>
      <c r="F4" s="209" t="str">
        <f t="shared" ref="F4:F8" si="0">IF(NOT($B4=0), E4/$B4, "---")</f>
        <v>---</v>
      </c>
      <c r="G4" s="202">
        <f>SUMIFS('Diags Raw Data'!$S$6:$S$4644,'Diags Raw Data'!$D$6:$D$4644,$A4)</f>
        <v>0</v>
      </c>
      <c r="H4" s="198">
        <f>SUMIFS('Diags Raw Data'!$T$6:$T$4644,'Diags Raw Data'!$D$6:$D$4644,$A4)</f>
        <v>0</v>
      </c>
      <c r="I4" s="199">
        <f>SUMIFS('Diags Raw Data'!$U$6:$U$4644,'Diags Raw Data'!$D$6:$D$4644,$A4)</f>
        <v>0</v>
      </c>
      <c r="J4" s="198">
        <f>SUMIFS('Diags Raw Data'!$V$6:$V$4644,'Diags Raw Data'!$D$6:$D$4644,$A4)</f>
        <v>0</v>
      </c>
      <c r="K4" s="199">
        <f>SUMIFS('Diags Raw Data'!$W$6:$W$4644,'Diags Raw Data'!$D$6:$D$4644,$A4)</f>
        <v>0</v>
      </c>
      <c r="L4" s="207" t="str">
        <f t="shared" ref="L4:L8" si="1">IF(NOT($C4=0), G4/$C4, "---")</f>
        <v>---</v>
      </c>
      <c r="M4" s="200" t="str">
        <f t="shared" ref="M4:M8" si="2">IF(NOT($G4=0), (H4+I4)/$G4, "---")</f>
        <v>---</v>
      </c>
      <c r="N4" s="204" t="str">
        <f t="shared" ref="N4:N8" si="3">IF(NOT($C4=0), (H4+I4)/$C4, "---")</f>
        <v>---</v>
      </c>
      <c r="O4" s="193">
        <f>SUMIFS('Diags Raw Data'!$Z$6:$Z$4644,'Diags Raw Data'!$D$6:$D$4644,$A4)</f>
        <v>0</v>
      </c>
      <c r="P4" s="190">
        <f>SUMIFS('Diags Raw Data'!$AA$6:$AA$4644,'Diags Raw Data'!$D$6:$D$4644,$A4)</f>
        <v>0</v>
      </c>
      <c r="Q4" s="192">
        <f>SUMIFS('Diags Raw Data'!$AB$6:$AB$4644,'Diags Raw Data'!$D$6:$D$4644,$A4)</f>
        <v>0</v>
      </c>
      <c r="R4" s="190">
        <f>SUMIFS('Diags Raw Data'!$AC$6:$AC$4644,'Diags Raw Data'!$D$6:$D$4644,$A4)</f>
        <v>0</v>
      </c>
      <c r="S4" s="192">
        <f>SUMIFS('Diags Raw Data'!$AD$6:$AD$4644,'Diags Raw Data'!$D$6:$D$4644,$A4)</f>
        <v>0</v>
      </c>
      <c r="T4" s="191" t="str">
        <f t="shared" ref="T4:T8" si="4">IF(NOT($B4=0), O4/$B4, "---")</f>
        <v>---</v>
      </c>
      <c r="U4" s="201" t="str">
        <f t="shared" ref="U4:U8" si="5">IF(NOT($O4=0), (P4+Q4)/$O4, "---")</f>
        <v>---</v>
      </c>
      <c r="V4" s="203" t="str">
        <f t="shared" ref="V4:V8" si="6">IF(NOT($B4=0), (P4+Q4)/$B4, "---")</f>
        <v>---</v>
      </c>
    </row>
    <row r="5" spans="1:22">
      <c r="A5" s="288" t="s">
        <v>377</v>
      </c>
      <c r="B5" s="211">
        <f>SUMIFS('Diags Raw Data'!$L$6:$L$4644,'Diags Raw Data'!$D$6:$D$4644,$A5)</f>
        <v>0</v>
      </c>
      <c r="C5" s="206">
        <f>SUMIFS('Diags Raw Data'!$R$6:$R$4644,'Diags Raw Data'!$D$6:$D$4644,$A5)</f>
        <v>0</v>
      </c>
      <c r="D5" s="206">
        <f>SUMIFS('Diags Raw Data'!$K$6:$K$4644,'Diags Raw Data'!$D$6:$D$4644,$A5)</f>
        <v>0</v>
      </c>
      <c r="E5" s="206">
        <f>SUMIFS('Diags Raw Data'!$O$6:$O$4644,'Diags Raw Data'!$D$6:$D$4644,$A5)</f>
        <v>0</v>
      </c>
      <c r="F5" s="209" t="str">
        <f t="shared" si="0"/>
        <v>---</v>
      </c>
      <c r="G5" s="202">
        <f>SUMIFS('Diags Raw Data'!$S$6:$S$4644,'Diags Raw Data'!$D$6:$D$4644,$A5)</f>
        <v>0</v>
      </c>
      <c r="H5" s="198">
        <f>SUMIFS('Diags Raw Data'!$T$6:$T$4644,'Diags Raw Data'!$D$6:$D$4644,$A5)</f>
        <v>0</v>
      </c>
      <c r="I5" s="199">
        <f>SUMIFS('Diags Raw Data'!$U$6:$U$4644,'Diags Raw Data'!$D$6:$D$4644,$A5)</f>
        <v>0</v>
      </c>
      <c r="J5" s="198">
        <f>SUMIFS('Diags Raw Data'!$V$6:$V$4644,'Diags Raw Data'!$D$6:$D$4644,$A5)</f>
        <v>0</v>
      </c>
      <c r="K5" s="199">
        <f>SUMIFS('Diags Raw Data'!$W$6:$W$4644,'Diags Raw Data'!$D$6:$D$4644,$A5)</f>
        <v>0</v>
      </c>
      <c r="L5" s="207" t="str">
        <f t="shared" si="1"/>
        <v>---</v>
      </c>
      <c r="M5" s="200" t="str">
        <f t="shared" si="2"/>
        <v>---</v>
      </c>
      <c r="N5" s="204" t="str">
        <f t="shared" si="3"/>
        <v>---</v>
      </c>
      <c r="O5" s="193">
        <f>SUMIFS('Diags Raw Data'!$Z$6:$Z$4644,'Diags Raw Data'!$D$6:$D$4644,$A5)</f>
        <v>0</v>
      </c>
      <c r="P5" s="190">
        <f>SUMIFS('Diags Raw Data'!$AA$6:$AA$4644,'Diags Raw Data'!$D$6:$D$4644,$A5)</f>
        <v>0</v>
      </c>
      <c r="Q5" s="192">
        <f>SUMIFS('Diags Raw Data'!$AB$6:$AB$4644,'Diags Raw Data'!$D$6:$D$4644,$A5)</f>
        <v>0</v>
      </c>
      <c r="R5" s="190">
        <f>SUMIFS('Diags Raw Data'!$AC$6:$AC$4644,'Diags Raw Data'!$D$6:$D$4644,$A5)</f>
        <v>0</v>
      </c>
      <c r="S5" s="192">
        <f>SUMIFS('Diags Raw Data'!$AD$6:$AD$4644,'Diags Raw Data'!$D$6:$D$4644,$A5)</f>
        <v>0</v>
      </c>
      <c r="T5" s="191" t="str">
        <f t="shared" si="4"/>
        <v>---</v>
      </c>
      <c r="U5" s="201" t="str">
        <f t="shared" si="5"/>
        <v>---</v>
      </c>
      <c r="V5" s="203" t="str">
        <f t="shared" si="6"/>
        <v>---</v>
      </c>
    </row>
    <row r="6" spans="1:22">
      <c r="A6" s="288" t="s">
        <v>258</v>
      </c>
      <c r="B6" s="211">
        <f>SUMIFS('Diags Raw Data'!$L$6:$L$4644,'Diags Raw Data'!$D$6:$D$4644,$A6)</f>
        <v>87</v>
      </c>
      <c r="C6" s="206">
        <f>SUMIFS('Diags Raw Data'!$R$6:$R$4644,'Diags Raw Data'!$D$6:$D$4644,$A6)</f>
        <v>72</v>
      </c>
      <c r="D6" s="206">
        <f>SUMIFS('Diags Raw Data'!$K$6:$K$4644,'Diags Raw Data'!$D$6:$D$4644,$A6)</f>
        <v>27</v>
      </c>
      <c r="E6" s="206">
        <f>SUMIFS('Diags Raw Data'!$O$6:$O$4644,'Diags Raw Data'!$D$6:$D$4644,$A6)</f>
        <v>83.3</v>
      </c>
      <c r="F6" s="209">
        <f t="shared" si="0"/>
        <v>0.95747126436781604</v>
      </c>
      <c r="G6" s="202">
        <f>SUMIFS('Diags Raw Data'!$S$6:$S$4644,'Diags Raw Data'!$D$6:$D$4644,$A6)</f>
        <v>72</v>
      </c>
      <c r="H6" s="198">
        <f>SUMIFS('Diags Raw Data'!$T$6:$T$4644,'Diags Raw Data'!$D$6:$D$4644,$A6)</f>
        <v>72</v>
      </c>
      <c r="I6" s="199">
        <f>SUMIFS('Diags Raw Data'!$U$6:$U$4644,'Diags Raw Data'!$D$6:$D$4644,$A6)</f>
        <v>0</v>
      </c>
      <c r="J6" s="198">
        <f>SUMIFS('Diags Raw Data'!$V$6:$V$4644,'Diags Raw Data'!$D$6:$D$4644,$A6)</f>
        <v>0</v>
      </c>
      <c r="K6" s="199">
        <f>SUMIFS('Diags Raw Data'!$W$6:$W$4644,'Diags Raw Data'!$D$6:$D$4644,$A6)</f>
        <v>0</v>
      </c>
      <c r="L6" s="207">
        <f t="shared" si="1"/>
        <v>1</v>
      </c>
      <c r="M6" s="200">
        <f t="shared" si="2"/>
        <v>1</v>
      </c>
      <c r="N6" s="204">
        <f t="shared" si="3"/>
        <v>1</v>
      </c>
      <c r="O6" s="193">
        <f>SUMIFS('Diags Raw Data'!$Z$6:$Z$4644,'Diags Raw Data'!$D$6:$D$4644,$A6)</f>
        <v>33</v>
      </c>
      <c r="P6" s="190">
        <f>SUMIFS('Diags Raw Data'!$AA$6:$AA$4644,'Diags Raw Data'!$D$6:$D$4644,$A6)</f>
        <v>33</v>
      </c>
      <c r="Q6" s="192">
        <f>SUMIFS('Diags Raw Data'!$AB$6:$AB$4644,'Diags Raw Data'!$D$6:$D$4644,$A6)</f>
        <v>0</v>
      </c>
      <c r="R6" s="190">
        <f>SUMIFS('Diags Raw Data'!$AC$6:$AC$4644,'Diags Raw Data'!$D$6:$D$4644,$A6)</f>
        <v>0</v>
      </c>
      <c r="S6" s="192">
        <f>SUMIFS('Diags Raw Data'!$AD$6:$AD$4644,'Diags Raw Data'!$D$6:$D$4644,$A6)</f>
        <v>0</v>
      </c>
      <c r="T6" s="191">
        <f t="shared" si="4"/>
        <v>0.37931034482758619</v>
      </c>
      <c r="U6" s="201">
        <f t="shared" si="5"/>
        <v>1</v>
      </c>
      <c r="V6" s="203">
        <f t="shared" si="6"/>
        <v>0.37931034482758619</v>
      </c>
    </row>
    <row r="7" spans="1:22">
      <c r="A7" s="288" t="s">
        <v>378</v>
      </c>
      <c r="B7" s="211">
        <f>SUMIFS('Diags Raw Data'!$L$6:$L$4644,'Diags Raw Data'!$D$6:$D$4644,$A7)</f>
        <v>0</v>
      </c>
      <c r="C7" s="206">
        <f>SUMIFS('Diags Raw Data'!$R$6:$R$4644,'Diags Raw Data'!$D$6:$D$4644,$A7)</f>
        <v>0</v>
      </c>
      <c r="D7" s="206">
        <f>SUMIFS('Diags Raw Data'!$K$6:$K$4644,'Diags Raw Data'!$D$6:$D$4644,$A7)</f>
        <v>0</v>
      </c>
      <c r="E7" s="206">
        <f>SUMIFS('Diags Raw Data'!$O$6:$O$4644,'Diags Raw Data'!$D$6:$D$4644,$A7)</f>
        <v>0</v>
      </c>
      <c r="F7" s="209" t="str">
        <f t="shared" si="0"/>
        <v>---</v>
      </c>
      <c r="G7" s="202">
        <f>SUMIFS('Diags Raw Data'!$S$6:$S$4644,'Diags Raw Data'!$D$6:$D$4644,$A7)</f>
        <v>0</v>
      </c>
      <c r="H7" s="198">
        <f>SUMIFS('Diags Raw Data'!$T$6:$T$4644,'Diags Raw Data'!$D$6:$D$4644,$A7)</f>
        <v>0</v>
      </c>
      <c r="I7" s="199">
        <f>SUMIFS('Diags Raw Data'!$U$6:$U$4644,'Diags Raw Data'!$D$6:$D$4644,$A7)</f>
        <v>0</v>
      </c>
      <c r="J7" s="198">
        <f>SUMIFS('Diags Raw Data'!$V$6:$V$4644,'Diags Raw Data'!$D$6:$D$4644,$A7)</f>
        <v>0</v>
      </c>
      <c r="K7" s="199">
        <f>SUMIFS('Diags Raw Data'!$W$6:$W$4644,'Diags Raw Data'!$D$6:$D$4644,$A7)</f>
        <v>0</v>
      </c>
      <c r="L7" s="207" t="str">
        <f t="shared" si="1"/>
        <v>---</v>
      </c>
      <c r="M7" s="200" t="str">
        <f t="shared" si="2"/>
        <v>---</v>
      </c>
      <c r="N7" s="204" t="str">
        <f t="shared" si="3"/>
        <v>---</v>
      </c>
      <c r="O7" s="193">
        <f>SUMIFS('Diags Raw Data'!$Z$6:$Z$4644,'Diags Raw Data'!$D$6:$D$4644,$A7)</f>
        <v>0</v>
      </c>
      <c r="P7" s="190">
        <f>SUMIFS('Diags Raw Data'!$AA$6:$AA$4644,'Diags Raw Data'!$D$6:$D$4644,$A7)</f>
        <v>0</v>
      </c>
      <c r="Q7" s="192">
        <f>SUMIFS('Diags Raw Data'!$AB$6:$AB$4644,'Diags Raw Data'!$D$6:$D$4644,$A7)</f>
        <v>0</v>
      </c>
      <c r="R7" s="190">
        <f>SUMIFS('Diags Raw Data'!$AC$6:$AC$4644,'Diags Raw Data'!$D$6:$D$4644,$A7)</f>
        <v>0</v>
      </c>
      <c r="S7" s="192">
        <f>SUMIFS('Diags Raw Data'!$AD$6:$AD$4644,'Diags Raw Data'!$D$6:$D$4644,$A7)</f>
        <v>0</v>
      </c>
      <c r="T7" s="191" t="str">
        <f t="shared" si="4"/>
        <v>---</v>
      </c>
      <c r="U7" s="201" t="str">
        <f t="shared" si="5"/>
        <v>---</v>
      </c>
      <c r="V7" s="203" t="str">
        <f t="shared" si="6"/>
        <v>---</v>
      </c>
    </row>
    <row r="8" spans="1:22">
      <c r="A8" s="288" t="s">
        <v>379</v>
      </c>
      <c r="B8" s="211">
        <f>SUMIFS('Diags Raw Data'!$L$6:$L$4644,'Diags Raw Data'!$D$6:$D$4644,$A8)</f>
        <v>0</v>
      </c>
      <c r="C8" s="206">
        <f>SUMIFS('Diags Raw Data'!$R$6:$R$4644,'Diags Raw Data'!$D$6:$D$4644,$A8)</f>
        <v>0</v>
      </c>
      <c r="D8" s="206">
        <f>SUMIFS('Diags Raw Data'!$K$6:$K$4644,'Diags Raw Data'!$D$6:$D$4644,$A8)</f>
        <v>0</v>
      </c>
      <c r="E8" s="206">
        <f>SUMIFS('Diags Raw Data'!$O$6:$O$4644,'Diags Raw Data'!$D$6:$D$4644,$A8)</f>
        <v>0</v>
      </c>
      <c r="F8" s="209" t="str">
        <f t="shared" si="0"/>
        <v>---</v>
      </c>
      <c r="G8" s="202">
        <f>SUMIFS('Diags Raw Data'!$S$6:$S$4644,'Diags Raw Data'!$D$6:$D$4644,$A8)</f>
        <v>0</v>
      </c>
      <c r="H8" s="198">
        <f>SUMIFS('Diags Raw Data'!$T$6:$T$4644,'Diags Raw Data'!$D$6:$D$4644,$A8)</f>
        <v>0</v>
      </c>
      <c r="I8" s="199">
        <f>SUMIFS('Diags Raw Data'!$U$6:$U$4644,'Diags Raw Data'!$D$6:$D$4644,$A8)</f>
        <v>0</v>
      </c>
      <c r="J8" s="198">
        <f>SUMIFS('Diags Raw Data'!$V$6:$V$4644,'Diags Raw Data'!$D$6:$D$4644,$A8)</f>
        <v>0</v>
      </c>
      <c r="K8" s="199">
        <f>SUMIFS('Diags Raw Data'!$W$6:$W$4644,'Diags Raw Data'!$D$6:$D$4644,$A8)</f>
        <v>0</v>
      </c>
      <c r="L8" s="207" t="str">
        <f t="shared" si="1"/>
        <v>---</v>
      </c>
      <c r="M8" s="200" t="str">
        <f t="shared" si="2"/>
        <v>---</v>
      </c>
      <c r="N8" s="204" t="str">
        <f t="shared" si="3"/>
        <v>---</v>
      </c>
      <c r="O8" s="193">
        <f>SUMIFS('Diags Raw Data'!$Z$6:$Z$4644,'Diags Raw Data'!$D$6:$D$4644,$A8)</f>
        <v>0</v>
      </c>
      <c r="P8" s="190">
        <f>SUMIFS('Diags Raw Data'!$AA$6:$AA$4644,'Diags Raw Data'!$D$6:$D$4644,$A8)</f>
        <v>0</v>
      </c>
      <c r="Q8" s="192">
        <f>SUMIFS('Diags Raw Data'!$AB$6:$AB$4644,'Diags Raw Data'!$D$6:$D$4644,$A8)</f>
        <v>0</v>
      </c>
      <c r="R8" s="190">
        <f>SUMIFS('Diags Raw Data'!$AC$6:$AC$4644,'Diags Raw Data'!$D$6:$D$4644,$A8)</f>
        <v>0</v>
      </c>
      <c r="S8" s="192">
        <f>SUMIFS('Diags Raw Data'!$AD$6:$AD$4644,'Diags Raw Data'!$D$6:$D$4644,$A8)</f>
        <v>0</v>
      </c>
      <c r="T8" s="191" t="str">
        <f t="shared" si="4"/>
        <v>---</v>
      </c>
      <c r="U8" s="201" t="str">
        <f t="shared" si="5"/>
        <v>---</v>
      </c>
      <c r="V8" s="203" t="str">
        <f t="shared" si="6"/>
        <v>---</v>
      </c>
    </row>
    <row r="9" spans="1:22">
      <c r="A9" s="288" t="s">
        <v>380</v>
      </c>
      <c r="B9" s="211">
        <f>SUMIFS('Diags Raw Data'!$L$6:$L$4644,'Diags Raw Data'!$D$6:$D$4644,$A9)</f>
        <v>0</v>
      </c>
      <c r="C9" s="206">
        <f>SUMIFS('Diags Raw Data'!$R$6:$R$4644,'Diags Raw Data'!$D$6:$D$4644,$A9)</f>
        <v>0</v>
      </c>
      <c r="D9" s="206">
        <f>SUMIFS('Diags Raw Data'!$K$6:$K$4644,'Diags Raw Data'!$D$6:$D$4644,$A9)</f>
        <v>0</v>
      </c>
      <c r="E9" s="206">
        <f>SUMIFS('Diags Raw Data'!$O$6:$O$4644,'Diags Raw Data'!$D$6:$D$4644,$A9)</f>
        <v>0</v>
      </c>
      <c r="F9" s="209" t="str">
        <f t="shared" ref="F9" si="7">IF(NOT($B9=0), E9/$B9, "---")</f>
        <v>---</v>
      </c>
      <c r="G9" s="202">
        <f>SUMIFS('Diags Raw Data'!$S$6:$S$4644,'Diags Raw Data'!$D$6:$D$4644,$A9)</f>
        <v>0</v>
      </c>
      <c r="H9" s="198">
        <f>SUMIFS('Diags Raw Data'!$T$6:$T$4644,'Diags Raw Data'!$D$6:$D$4644,$A9)</f>
        <v>0</v>
      </c>
      <c r="I9" s="199">
        <f>SUMIFS('Diags Raw Data'!$U$6:$U$4644,'Diags Raw Data'!$D$6:$D$4644,$A9)</f>
        <v>0</v>
      </c>
      <c r="J9" s="198">
        <f>SUMIFS('Diags Raw Data'!$V$6:$V$4644,'Diags Raw Data'!$D$6:$D$4644,$A9)</f>
        <v>0</v>
      </c>
      <c r="K9" s="199">
        <f>SUMIFS('Diags Raw Data'!$W$6:$W$4644,'Diags Raw Data'!$D$6:$D$4644,$A9)</f>
        <v>0</v>
      </c>
      <c r="L9" s="207" t="str">
        <f t="shared" ref="L9" si="8">IF(NOT($C9=0), G9/$C9, "---")</f>
        <v>---</v>
      </c>
      <c r="M9" s="200" t="str">
        <f t="shared" ref="M9" si="9">IF(NOT($G9=0), (H9+I9)/$G9, "---")</f>
        <v>---</v>
      </c>
      <c r="N9" s="204" t="str">
        <f t="shared" ref="N9" si="10">IF(NOT($C9=0), (H9+I9)/$C9, "---")</f>
        <v>---</v>
      </c>
      <c r="O9" s="193">
        <f>SUMIFS('Diags Raw Data'!$Z$6:$Z$4644,'Diags Raw Data'!$D$6:$D$4644,$A9)</f>
        <v>0</v>
      </c>
      <c r="P9" s="190">
        <f>SUMIFS('Diags Raw Data'!$AA$6:$AA$4644,'Diags Raw Data'!$D$6:$D$4644,$A9)</f>
        <v>0</v>
      </c>
      <c r="Q9" s="192">
        <f>SUMIFS('Diags Raw Data'!$AB$6:$AB$4644,'Diags Raw Data'!$D$6:$D$4644,$A9)</f>
        <v>0</v>
      </c>
      <c r="R9" s="190">
        <f>SUMIFS('Diags Raw Data'!$AC$6:$AC$4644,'Diags Raw Data'!$D$6:$D$4644,$A9)</f>
        <v>0</v>
      </c>
      <c r="S9" s="192">
        <f>SUMIFS('Diags Raw Data'!$AD$6:$AD$4644,'Diags Raw Data'!$D$6:$D$4644,$A9)</f>
        <v>0</v>
      </c>
      <c r="T9" s="191" t="str">
        <f t="shared" ref="T9" si="11">IF(NOT($B9=0), O9/$B9, "---")</f>
        <v>---</v>
      </c>
      <c r="U9" s="201" t="str">
        <f t="shared" ref="U9" si="12">IF(NOT($O9=0), (P9+Q9)/$O9, "---")</f>
        <v>---</v>
      </c>
      <c r="V9" s="203" t="str">
        <f t="shared" ref="V9" si="13">IF(NOT($B9=0), (P9+Q9)/$B9, "---")</f>
        <v>---</v>
      </c>
    </row>
    <row r="10" spans="1:22" ht="15" thickBot="1">
      <c r="A10" s="288" t="s">
        <v>381</v>
      </c>
      <c r="B10" s="211">
        <f>SUMIFS('Diags Raw Data'!$L$6:$L$4644,'Diags Raw Data'!$D$6:$D$4644,$A10)</f>
        <v>0</v>
      </c>
      <c r="C10" s="206">
        <f>SUMIFS('Diags Raw Data'!$R$6:$R$4644,'Diags Raw Data'!$D$6:$D$4644,$A10)</f>
        <v>0</v>
      </c>
      <c r="D10" s="206">
        <f>SUMIFS('Diags Raw Data'!$K$6:$K$4644,'Diags Raw Data'!$D$6:$D$4644,$A10)</f>
        <v>0</v>
      </c>
      <c r="E10" s="206">
        <f>SUMIFS('Diags Raw Data'!$O$6:$O$4644,'Diags Raw Data'!$D$6:$D$4644,$A10)</f>
        <v>0</v>
      </c>
      <c r="F10" s="209" t="str">
        <f t="shared" ref="F10" si="14">IF(NOT($B10=0), E10/$B10, "---")</f>
        <v>---</v>
      </c>
      <c r="G10" s="202">
        <f>SUMIFS('Diags Raw Data'!$S$6:$S$4644,'Diags Raw Data'!$D$6:$D$4644,$A10)</f>
        <v>0</v>
      </c>
      <c r="H10" s="198">
        <f>SUMIFS('Diags Raw Data'!$T$6:$T$4644,'Diags Raw Data'!$D$6:$D$4644,$A10)</f>
        <v>0</v>
      </c>
      <c r="I10" s="199">
        <f>SUMIFS('Diags Raw Data'!$U$6:$U$4644,'Diags Raw Data'!$D$6:$D$4644,$A10)</f>
        <v>0</v>
      </c>
      <c r="J10" s="198">
        <f>SUMIFS('Diags Raw Data'!$V$6:$V$4644,'Diags Raw Data'!$D$6:$D$4644,$A10)</f>
        <v>0</v>
      </c>
      <c r="K10" s="199">
        <f>SUMIFS('Diags Raw Data'!$W$6:$W$4644,'Diags Raw Data'!$D$6:$D$4644,$A10)</f>
        <v>0</v>
      </c>
      <c r="L10" s="207" t="str">
        <f t="shared" ref="L10" si="15">IF(NOT($C10=0), G10/$C10, "---")</f>
        <v>---</v>
      </c>
      <c r="M10" s="200" t="str">
        <f t="shared" ref="M10" si="16">IF(NOT($G10=0), (H10+I10)/$G10, "---")</f>
        <v>---</v>
      </c>
      <c r="N10" s="204" t="str">
        <f t="shared" ref="N10" si="17">IF(NOT($C10=0), (H10+I10)/$C10, "---")</f>
        <v>---</v>
      </c>
      <c r="O10" s="193">
        <f>SUMIFS('Diags Raw Data'!$Z$6:$Z$4644,'Diags Raw Data'!$D$6:$D$4644,$A10)</f>
        <v>0</v>
      </c>
      <c r="P10" s="190">
        <f>SUMIFS('Diags Raw Data'!$AA$6:$AA$4644,'Diags Raw Data'!$D$6:$D$4644,$A10)</f>
        <v>0</v>
      </c>
      <c r="Q10" s="192">
        <f>SUMIFS('Diags Raw Data'!$AB$6:$AB$4644,'Diags Raw Data'!$D$6:$D$4644,$A10)</f>
        <v>0</v>
      </c>
      <c r="R10" s="190">
        <f>SUMIFS('Diags Raw Data'!$AC$6:$AC$4644,'Diags Raw Data'!$D$6:$D$4644,$A10)</f>
        <v>0</v>
      </c>
      <c r="S10" s="192">
        <f>SUMIFS('Diags Raw Data'!$AD$6:$AD$4644,'Diags Raw Data'!$D$6:$D$4644,$A10)</f>
        <v>0</v>
      </c>
      <c r="T10" s="191" t="str">
        <f t="shared" ref="T10" si="18">IF(NOT($B10=0), O10/$B10, "---")</f>
        <v>---</v>
      </c>
      <c r="U10" s="201" t="str">
        <f t="shared" ref="U10" si="19">IF(NOT($O10=0), (P10+Q10)/$O10, "---")</f>
        <v>---</v>
      </c>
      <c r="V10" s="203" t="str">
        <f t="shared" ref="V10" si="20">IF(NOT($B10=0), (P10+Q10)/$B10, "---")</f>
        <v>---</v>
      </c>
    </row>
    <row r="11" spans="1:22" ht="16.149999999999999" thickBot="1">
      <c r="A11" s="230" t="s">
        <v>382</v>
      </c>
      <c r="B11" s="214">
        <f>SUM(B4:B10)</f>
        <v>87</v>
      </c>
      <c r="C11" s="215">
        <f>SUM(C4:C10)</f>
        <v>72</v>
      </c>
      <c r="D11" s="215">
        <f>SUM(D4:D10)</f>
        <v>27</v>
      </c>
      <c r="E11" s="215">
        <f>SUM(E4:E10)</f>
        <v>83.3</v>
      </c>
      <c r="F11" s="216" cm="1">
        <f t="array" ref="F11">SUMPRODUCT(--(ISNUMBER(SEARCH("New",'Diags Raw Data'!$M$6:$M$4644))),'Diags Raw Data'!$K$6:$K$4644,'Diags Raw Data'!$P$6:$P$4644)/D11+SUMPRODUCT(--(ISNUMBER(SEARCH("Delta",'Diags Raw Data'!$M$6:$M$4644))),'Diags Raw Data'!$K$6:$K$4644,'Diags Raw Data'!$P$6:$P$4644)/D11+SUMPRODUCT(--(ISNUMBER(SEARCH("Legacy",'Diags Raw Data'!$M$6:$M$4644))),'Diags Raw Data'!$K$6:$K$4644,'Diags Raw Data'!$P$6:$P$4644)/D11</f>
        <v>0.9462962962962963</v>
      </c>
      <c r="G11" s="217">
        <f>SUM(G4:G10)</f>
        <v>72</v>
      </c>
      <c r="H11" s="218">
        <f>SUM(H4:H10)</f>
        <v>72</v>
      </c>
      <c r="I11" s="219">
        <f>SUM(I4:I10)</f>
        <v>0</v>
      </c>
      <c r="J11" s="218">
        <f>SUM(J4:J10)</f>
        <v>0</v>
      </c>
      <c r="K11" s="219">
        <f>SUM(K4:K10)</f>
        <v>0</v>
      </c>
      <c r="L11" s="220">
        <f>IF(NOT($C11=0), G11/$C11, "---")</f>
        <v>1</v>
      </c>
      <c r="M11" s="221">
        <f>IF(NOT($G11=0), (H11+I11)/$G11, "---")</f>
        <v>1</v>
      </c>
      <c r="N11" s="222">
        <f>IF(NOT($C11=0), (H11+I11)/$C11, "---")</f>
        <v>1</v>
      </c>
      <c r="O11" s="223">
        <f>SUM(O4:O10)</f>
        <v>33</v>
      </c>
      <c r="P11" s="224">
        <f>SUM(P4:P10)</f>
        <v>33</v>
      </c>
      <c r="Q11" s="225">
        <f>SUM(Q4:Q10)</f>
        <v>0</v>
      </c>
      <c r="R11" s="224">
        <f>SUM(R4:R10)</f>
        <v>0</v>
      </c>
      <c r="S11" s="225">
        <f>SUM(S4:S10)</f>
        <v>0</v>
      </c>
      <c r="T11" s="226">
        <f>IF(NOT($B11=0), O11/$B11, "---")</f>
        <v>0.37931034482758619</v>
      </c>
      <c r="U11" s="227">
        <f>IF(NOT($O11=0), (P11+Q11)/$O11, "---")</f>
        <v>1</v>
      </c>
      <c r="V11" s="228">
        <f>IF(NOT($B11=0), (P11+Q11)/$B11, "---")</f>
        <v>0.37931034482758619</v>
      </c>
    </row>
    <row r="12" spans="1:22" ht="15" thickBot="1"/>
    <row r="13" spans="1:22" ht="15" thickBot="1">
      <c r="A13" s="194" t="s">
        <v>383</v>
      </c>
      <c r="B13" s="541" t="s">
        <v>161</v>
      </c>
      <c r="C13" s="541"/>
      <c r="D13" s="541"/>
      <c r="E13" s="541"/>
      <c r="F13" s="541"/>
      <c r="G13" s="542" t="s">
        <v>172</v>
      </c>
      <c r="H13" s="543"/>
      <c r="I13" s="543"/>
      <c r="J13" s="543"/>
      <c r="K13" s="543"/>
      <c r="L13" s="543"/>
      <c r="M13" s="543"/>
      <c r="N13" s="544"/>
      <c r="O13" s="545" t="s">
        <v>139</v>
      </c>
      <c r="P13" s="546"/>
      <c r="Q13" s="546"/>
      <c r="R13" s="546"/>
      <c r="S13" s="546"/>
      <c r="T13" s="546"/>
      <c r="U13" s="546"/>
      <c r="V13" s="547"/>
    </row>
    <row r="14" spans="1:22" s="210" customFormat="1" ht="15" thickBot="1">
      <c r="A14" s="212" t="s">
        <v>83</v>
      </c>
      <c r="B14" s="269" t="s">
        <v>162</v>
      </c>
      <c r="C14" s="270" t="s">
        <v>123</v>
      </c>
      <c r="D14" s="271" t="s">
        <v>100</v>
      </c>
      <c r="E14" s="271" t="s">
        <v>168</v>
      </c>
      <c r="F14" s="272" t="s">
        <v>170</v>
      </c>
      <c r="G14" s="273" t="s">
        <v>127</v>
      </c>
      <c r="H14" s="274" t="s">
        <v>30</v>
      </c>
      <c r="I14" s="274" t="s">
        <v>130</v>
      </c>
      <c r="J14" s="274" t="s">
        <v>35</v>
      </c>
      <c r="K14" s="274" t="s">
        <v>133</v>
      </c>
      <c r="L14" s="274" t="s">
        <v>179</v>
      </c>
      <c r="M14" s="274" t="s">
        <v>135</v>
      </c>
      <c r="N14" s="275" t="s">
        <v>182</v>
      </c>
      <c r="O14" s="276" t="s">
        <v>127</v>
      </c>
      <c r="P14" s="277" t="s">
        <v>30</v>
      </c>
      <c r="Q14" s="277" t="s">
        <v>130</v>
      </c>
      <c r="R14" s="277" t="s">
        <v>35</v>
      </c>
      <c r="S14" s="277" t="s">
        <v>133</v>
      </c>
      <c r="T14" s="277" t="s">
        <v>179</v>
      </c>
      <c r="U14" s="277" t="s">
        <v>135</v>
      </c>
      <c r="V14" s="278" t="s">
        <v>182</v>
      </c>
    </row>
    <row r="15" spans="1:22">
      <c r="A15" s="288" t="s">
        <v>376</v>
      </c>
      <c r="B15" s="211">
        <f>SUMIFS('Diags Raw Data'!$L$6:$L$4644,'Diags Raw Data'!$D$6:$D$4644,$A15,'Diags Raw Data'!$M$6:$M$4644,"New")+SUMIFS('Diags Raw Data'!$L$6:$L$4644,'Diags Raw Data'!$D$6:$D$4644,$A15,'Diags Raw Data'!$M$6:$M$4644,"Delta")</f>
        <v>0</v>
      </c>
      <c r="C15" s="206">
        <f>SUMIFS('Diags Raw Data'!$R$6:$R$4644,'Diags Raw Data'!$D$6:$D$4644,$A15,'Diags Raw Data'!$M$6:$M$4644,"New")+SUMIFS('Diags Raw Data'!$R$6:$R$4644,'Diags Raw Data'!$D$6:$D$4644,$A15,'Diags Raw Data'!$M$6:$M$4644,"Delta")</f>
        <v>0</v>
      </c>
      <c r="D15" s="206">
        <f>SUMIFS('Diags Raw Data'!$K$6:$K$4644,'Diags Raw Data'!$D$6:$D$4644,$A15,'Diags Raw Data'!$M$6:$M$4644,"New")+SUMIFS('Diags Raw Data'!$K$6:$K$4644,'Diags Raw Data'!$D$6:$D$4644,$A15,'Diags Raw Data'!$M$6:$M$4644,"Delta")</f>
        <v>0</v>
      </c>
      <c r="E15" s="206">
        <f>SUMIFS('Diags Raw Data'!$O$6:$O$4644,'Diags Raw Data'!$D$6:$D$4644,$A15,'Diags Raw Data'!$M$6:$M$4644,"New")+SUMIFS('Diags Raw Data'!$O$6:$O$4644,'Diags Raw Data'!$D$6:$D$4644,$A15,'Diags Raw Data'!$M$6:$M$4644,"Delta")</f>
        <v>0</v>
      </c>
      <c r="F15" s="209" t="str">
        <f t="shared" ref="F15" si="21">IF(NOT($B15=0), E15/$B15, "---")</f>
        <v>---</v>
      </c>
      <c r="G15" s="202">
        <f>SUMIFS('Diags Raw Data'!$S$6:$S$4644,'Diags Raw Data'!$D$6:$D$4644,$A15,'Diags Raw Data'!$M$6:$M$4644,"New")+SUMIFS('Diags Raw Data'!$S$6:$S$4644,'Diags Raw Data'!$D$6:$D$4644,$A15,'Diags Raw Data'!$M$6:$M$4644,"Delta")</f>
        <v>0</v>
      </c>
      <c r="H15" s="198">
        <f>SUMIFS('Diags Raw Data'!$T$6:$T$4644,'Diags Raw Data'!$D$6:$D$4644,$A15,'Diags Raw Data'!$M$6:$M$4644,"New")+SUMIFS('Diags Raw Data'!$T$6:$T$4644,'Diags Raw Data'!$D$6:$D$4644,$A15,'Diags Raw Data'!$M$6:$M$4644,"Delta")</f>
        <v>0</v>
      </c>
      <c r="I15" s="198">
        <f>SUMIFS('Diags Raw Data'!$U$6:$U$4644,'Diags Raw Data'!$D$6:$D$4644,$A15,'Diags Raw Data'!$M$6:$M$4644,"New")+SUMIFS('Diags Raw Data'!$U$6:$U$4644,'Diags Raw Data'!$D$6:$D$4644,$A15,'Diags Raw Data'!$M$6:$M$4644,"Delta")</f>
        <v>0</v>
      </c>
      <c r="J15" s="198">
        <f>SUMIFS('Diags Raw Data'!$V$6:$V$4644,'Diags Raw Data'!$D$6:$D$4644,$A15,'Diags Raw Data'!$M$6:$M$4644,"New")+SUMIFS('Diags Raw Data'!$V$6:$V$4644,'Diags Raw Data'!$D$6:$D$4644,$A15,'Diags Raw Data'!$M$6:$M$4644,"Delta")</f>
        <v>0</v>
      </c>
      <c r="K15" s="198">
        <f>SUMIFS('Diags Raw Data'!$W$6:$W$4644,'Diags Raw Data'!$D$6:$D$4644,$A15,'Diags Raw Data'!$M$6:$M$4644,"New")+SUMIFS('Diags Raw Data'!$W$6:$W$4644,'Diags Raw Data'!$D$6:$D$4644,$A15,'Diags Raw Data'!$M$6:$M$4644,"Delta")</f>
        <v>0</v>
      </c>
      <c r="L15" s="207" t="str">
        <f t="shared" ref="L15" si="22">IF(NOT($C15=0), G15/$C15, "---")</f>
        <v>---</v>
      </c>
      <c r="M15" s="200" t="str">
        <f t="shared" ref="M15" si="23">IF(NOT($G15=0), (H15+I15)/$G15, "---")</f>
        <v>---</v>
      </c>
      <c r="N15" s="204" t="str">
        <f t="shared" ref="N15" si="24">IF(NOT($C15=0), (H15+I15)/$C15, "---")</f>
        <v>---</v>
      </c>
      <c r="O15" s="193">
        <f>SUMIFS('Diags Raw Data'!$Z$6:$Z$4644,'Diags Raw Data'!$D$6:$D$4644,$A15,'Diags Raw Data'!$M$6:$M$4644,"New")+SUMIFS('Diags Raw Data'!$Z$6:$Z$4644,'Diags Raw Data'!$D$6:$D$4644,$A15,'Diags Raw Data'!$M$6:$M$4644,"Delta")</f>
        <v>0</v>
      </c>
      <c r="P15" s="190">
        <f>SUMIFS('Diags Raw Data'!$AA$6:$AA$4644,'Diags Raw Data'!$D$6:$D$4644,$A15,'Diags Raw Data'!$M$6:$M$4644,"New")+SUMIFS('Diags Raw Data'!$AA$6:$AA$4644,'Diags Raw Data'!$D$6:$D$4644,$A15,'Diags Raw Data'!$M$6:$M$4644,"Delta")</f>
        <v>0</v>
      </c>
      <c r="Q15" s="190">
        <f>SUMIFS('Diags Raw Data'!$AB$6:$AB$4644,'Diags Raw Data'!$D$6:$D$4644,$A15,'Diags Raw Data'!$M$6:$M$4644,"New")+SUMIFS('Diags Raw Data'!$AB$6:$AB$4644,'Diags Raw Data'!$D$6:$D$4644,$A15,'Diags Raw Data'!$M$6:$M$4644,"Delta")</f>
        <v>0</v>
      </c>
      <c r="R15" s="190">
        <f>SUMIFS('Diags Raw Data'!$AC$6:$AC$4644,'Diags Raw Data'!$D$6:$D$4644,$A15,'Diags Raw Data'!$M$6:$M$4644,"New")+SUMIFS('Diags Raw Data'!$AC$6:$AC$4644,'Diags Raw Data'!$D$6:$D$4644,$A15,'Diags Raw Data'!$M$6:$M$4644,"Delta")</f>
        <v>0</v>
      </c>
      <c r="S15" s="190">
        <f>SUMIFS('Diags Raw Data'!$AD$6:$AD$4644,'Diags Raw Data'!$D$6:$D$4644,$A15,'Diags Raw Data'!$M$6:$M$4644,"New")+SUMIFS('Diags Raw Data'!$AD$6:$AD$4644,'Diags Raw Data'!$D$6:$D$4644,$A15,'Diags Raw Data'!$M$6:$M$4644,"Delta")</f>
        <v>0</v>
      </c>
      <c r="T15" s="191" t="str">
        <f t="shared" ref="T15" si="25">IF(NOT($B15=0), O15/$B15, "---")</f>
        <v>---</v>
      </c>
      <c r="U15" s="201" t="str">
        <f t="shared" ref="U15" si="26">IF(NOT($O15=0), (P15+Q15)/$O15, "---")</f>
        <v>---</v>
      </c>
      <c r="V15" s="203" t="str">
        <f t="shared" ref="V15" si="27">IF(NOT($B15=0), (P15+Q15)/$B15, "---")</f>
        <v>---</v>
      </c>
    </row>
    <row r="16" spans="1:22">
      <c r="A16" s="288" t="s">
        <v>377</v>
      </c>
      <c r="B16" s="211">
        <f>SUMIFS('Diags Raw Data'!$L$6:$L$4644,'Diags Raw Data'!$D$6:$D$4644,$A16,'Diags Raw Data'!$M$6:$M$4644,"New")+SUMIFS('Diags Raw Data'!$L$6:$L$4644,'Diags Raw Data'!$D$6:$D$4644,$A16,'Diags Raw Data'!$M$6:$M$4644,"Delta")</f>
        <v>0</v>
      </c>
      <c r="C16" s="206">
        <f>SUMIFS('Diags Raw Data'!$R$6:$R$4644,'Diags Raw Data'!$D$6:$D$4644,$A16,'Diags Raw Data'!$M$6:$M$4644,"New")+SUMIFS('Diags Raw Data'!$R$6:$R$4644,'Diags Raw Data'!$D$6:$D$4644,$A16,'Diags Raw Data'!$M$6:$M$4644,"Delta")</f>
        <v>0</v>
      </c>
      <c r="D16" s="206">
        <f>SUMIFS('Diags Raw Data'!$K$6:$K$4644,'Diags Raw Data'!$D$6:$D$4644,$A16,'Diags Raw Data'!$M$6:$M$4644,"New")+SUMIFS('Diags Raw Data'!$K$6:$K$4644,'Diags Raw Data'!$D$6:$D$4644,$A16,'Diags Raw Data'!$M$6:$M$4644,"Delta")</f>
        <v>0</v>
      </c>
      <c r="E16" s="206">
        <f>SUMIFS('Diags Raw Data'!$O$6:$O$4644,'Diags Raw Data'!$D$6:$D$4644,$A16,'Diags Raw Data'!$M$6:$M$4644,"New")+SUMIFS('Diags Raw Data'!$O$6:$O$4644,'Diags Raw Data'!$D$6:$D$4644,$A16,'Diags Raw Data'!$M$6:$M$4644,"Delta")</f>
        <v>0</v>
      </c>
      <c r="F16" s="209" t="str">
        <f t="shared" ref="F16:F21" si="28">IF(NOT($B16=0), E16/$B16, "---")</f>
        <v>---</v>
      </c>
      <c r="G16" s="202">
        <f>SUMIFS('Diags Raw Data'!$S$6:$S$4644,'Diags Raw Data'!$D$6:$D$4644,$A16,'Diags Raw Data'!$M$6:$M$4644,"New")+SUMIFS('Diags Raw Data'!$S$6:$S$4644,'Diags Raw Data'!$D$6:$D$4644,$A16,'Diags Raw Data'!$M$6:$M$4644,"Delta")</f>
        <v>0</v>
      </c>
      <c r="H16" s="198">
        <f>SUMIFS('Diags Raw Data'!$T$6:$T$4644,'Diags Raw Data'!$D$6:$D$4644,$A16,'Diags Raw Data'!$M$6:$M$4644,"New")+SUMIFS('Diags Raw Data'!$T$6:$T$4644,'Diags Raw Data'!$D$6:$D$4644,$A16,'Diags Raw Data'!$M$6:$M$4644,"Delta")</f>
        <v>0</v>
      </c>
      <c r="I16" s="198">
        <f>SUMIFS('Diags Raw Data'!$U$6:$U$4644,'Diags Raw Data'!$D$6:$D$4644,$A16,'Diags Raw Data'!$M$6:$M$4644,"New")+SUMIFS('Diags Raw Data'!$U$6:$U$4644,'Diags Raw Data'!$D$6:$D$4644,$A16,'Diags Raw Data'!$M$6:$M$4644,"Delta")</f>
        <v>0</v>
      </c>
      <c r="J16" s="198">
        <f>SUMIFS('Diags Raw Data'!$V$6:$V$4644,'Diags Raw Data'!$D$6:$D$4644,$A16,'Diags Raw Data'!$M$6:$M$4644,"New")+SUMIFS('Diags Raw Data'!$V$6:$V$4644,'Diags Raw Data'!$D$6:$D$4644,$A16,'Diags Raw Data'!$M$6:$M$4644,"Delta")</f>
        <v>0</v>
      </c>
      <c r="K16" s="198">
        <f>SUMIFS('Diags Raw Data'!$W$6:$W$4644,'Diags Raw Data'!$D$6:$D$4644,$A16,'Diags Raw Data'!$M$6:$M$4644,"New")+SUMIFS('Diags Raw Data'!$W$6:$W$4644,'Diags Raw Data'!$D$6:$D$4644,$A16,'Diags Raw Data'!$M$6:$M$4644,"Delta")</f>
        <v>0</v>
      </c>
      <c r="L16" s="207" t="str">
        <f t="shared" ref="L16:L21" si="29">IF(NOT($C16=0), G16/$C16, "---")</f>
        <v>---</v>
      </c>
      <c r="M16" s="200" t="str">
        <f t="shared" ref="M16:M21" si="30">IF(NOT($G16=0), (H16+I16)/$G16, "---")</f>
        <v>---</v>
      </c>
      <c r="N16" s="204" t="str">
        <f t="shared" ref="N16:N21" si="31">IF(NOT($C16=0), (H16+I16)/$C16, "---")</f>
        <v>---</v>
      </c>
      <c r="O16" s="193">
        <f>SUMIFS('Diags Raw Data'!$Z$6:$Z$4644,'Diags Raw Data'!$D$6:$D$4644,$A16,'Diags Raw Data'!$M$6:$M$4644,"New")+SUMIFS('Diags Raw Data'!$Z$6:$Z$4644,'Diags Raw Data'!$D$6:$D$4644,$A16,'Diags Raw Data'!$M$6:$M$4644,"Delta")</f>
        <v>0</v>
      </c>
      <c r="P16" s="190">
        <f>SUMIFS('Diags Raw Data'!$AA$6:$AA$4644,'Diags Raw Data'!$D$6:$D$4644,$A16,'Diags Raw Data'!$M$6:$M$4644,"New")+SUMIFS('Diags Raw Data'!$AA$6:$AA$4644,'Diags Raw Data'!$D$6:$D$4644,$A16,'Diags Raw Data'!$M$6:$M$4644,"Delta")</f>
        <v>0</v>
      </c>
      <c r="Q16" s="190">
        <f>SUMIFS('Diags Raw Data'!$AB$6:$AB$4644,'Diags Raw Data'!$D$6:$D$4644,$A16,'Diags Raw Data'!$M$6:$M$4644,"New")+SUMIFS('Diags Raw Data'!$AB$6:$AB$4644,'Diags Raw Data'!$D$6:$D$4644,$A16,'Diags Raw Data'!$M$6:$M$4644,"Delta")</f>
        <v>0</v>
      </c>
      <c r="R16" s="190">
        <f>SUMIFS('Diags Raw Data'!$AC$6:$AC$4644,'Diags Raw Data'!$D$6:$D$4644,$A16,'Diags Raw Data'!$M$6:$M$4644,"New")+SUMIFS('Diags Raw Data'!$AC$6:$AC$4644,'Diags Raw Data'!$D$6:$D$4644,$A16,'Diags Raw Data'!$M$6:$M$4644,"Delta")</f>
        <v>0</v>
      </c>
      <c r="S16" s="190">
        <f>SUMIFS('Diags Raw Data'!$AD$6:$AD$4644,'Diags Raw Data'!$D$6:$D$4644,$A16,'Diags Raw Data'!$M$6:$M$4644,"New")+SUMIFS('Diags Raw Data'!$AD$6:$AD$4644,'Diags Raw Data'!$D$6:$D$4644,$A16,'Diags Raw Data'!$M$6:$M$4644,"Delta")</f>
        <v>0</v>
      </c>
      <c r="T16" s="191" t="str">
        <f t="shared" ref="T16:T21" si="32">IF(NOT($B16=0), O16/$B16, "---")</f>
        <v>---</v>
      </c>
      <c r="U16" s="201" t="str">
        <f t="shared" ref="U16:U21" si="33">IF(NOT($O16=0), (P16+Q16)/$O16, "---")</f>
        <v>---</v>
      </c>
      <c r="V16" s="203" t="str">
        <f t="shared" ref="V16:V21" si="34">IF(NOT($B16=0), (P16+Q16)/$B16, "---")</f>
        <v>---</v>
      </c>
    </row>
    <row r="17" spans="1:22">
      <c r="A17" s="288" t="s">
        <v>258</v>
      </c>
      <c r="B17" s="211">
        <f>SUMIFS('Diags Raw Data'!$L$6:$L$4644,'Diags Raw Data'!$D$6:$D$4644,$A17,'Diags Raw Data'!$M$6:$M$4644,"New")+SUMIFS('Diags Raw Data'!$L$6:$L$4644,'Diags Raw Data'!$D$6:$D$4644,$A17,'Diags Raw Data'!$M$6:$M$4644,"Delta")</f>
        <v>32</v>
      </c>
      <c r="C17" s="206">
        <f>SUMIFS('Diags Raw Data'!$R$6:$R$4644,'Diags Raw Data'!$D$6:$D$4644,$A17,'Diags Raw Data'!$M$6:$M$4644,"New")+SUMIFS('Diags Raw Data'!$R$6:$R$4644,'Diags Raw Data'!$D$6:$D$4644,$A17,'Diags Raw Data'!$M$6:$M$4644,"Delta")</f>
        <v>20</v>
      </c>
      <c r="D17" s="206">
        <f>SUMIFS('Diags Raw Data'!$K$6:$K$4644,'Diags Raw Data'!$D$6:$D$4644,$A17,'Diags Raw Data'!$M$6:$M$4644,"New")+SUMIFS('Diags Raw Data'!$K$6:$K$4644,'Diags Raw Data'!$D$6:$D$4644,$A17,'Diags Raw Data'!$M$6:$M$4644,"Delta")</f>
        <v>13</v>
      </c>
      <c r="E17" s="206">
        <f>SUMIFS('Diags Raw Data'!$O$6:$O$4644,'Diags Raw Data'!$D$6:$D$4644,$A17,'Diags Raw Data'!$M$6:$M$4644,"New")+SUMIFS('Diags Raw Data'!$O$6:$O$4644,'Diags Raw Data'!$D$6:$D$4644,$A17,'Diags Raw Data'!$M$6:$M$4644,"Delta")</f>
        <v>28.3</v>
      </c>
      <c r="F17" s="209">
        <f t="shared" si="28"/>
        <v>0.88437500000000002</v>
      </c>
      <c r="G17" s="202">
        <f>SUMIFS('Diags Raw Data'!$S$6:$S$4644,'Diags Raw Data'!$D$6:$D$4644,$A17,'Diags Raw Data'!$M$6:$M$4644,"New")+SUMIFS('Diags Raw Data'!$S$6:$S$4644,'Diags Raw Data'!$D$6:$D$4644,$A17,'Diags Raw Data'!$M$6:$M$4644,"Delta")</f>
        <v>20</v>
      </c>
      <c r="H17" s="198">
        <f>SUMIFS('Diags Raw Data'!$T$6:$T$4644,'Diags Raw Data'!$D$6:$D$4644,$A17,'Diags Raw Data'!$M$6:$M$4644,"New")+SUMIFS('Diags Raw Data'!$T$6:$T$4644,'Diags Raw Data'!$D$6:$D$4644,$A17,'Diags Raw Data'!$M$6:$M$4644,"Delta")</f>
        <v>20</v>
      </c>
      <c r="I17" s="198">
        <f>SUMIFS('Diags Raw Data'!$U$6:$U$4644,'Diags Raw Data'!$D$6:$D$4644,$A17,'Diags Raw Data'!$M$6:$M$4644,"New")+SUMIFS('Diags Raw Data'!$U$6:$U$4644,'Diags Raw Data'!$D$6:$D$4644,$A17,'Diags Raw Data'!$M$6:$M$4644,"Delta")</f>
        <v>0</v>
      </c>
      <c r="J17" s="198">
        <f>SUMIFS('Diags Raw Data'!$V$6:$V$4644,'Diags Raw Data'!$D$6:$D$4644,$A17,'Diags Raw Data'!$M$6:$M$4644,"New")+SUMIFS('Diags Raw Data'!$V$6:$V$4644,'Diags Raw Data'!$D$6:$D$4644,$A17,'Diags Raw Data'!$M$6:$M$4644,"Delta")</f>
        <v>0</v>
      </c>
      <c r="K17" s="198">
        <f>SUMIFS('Diags Raw Data'!$W$6:$W$4644,'Diags Raw Data'!$D$6:$D$4644,$A17,'Diags Raw Data'!$M$6:$M$4644,"New")+SUMIFS('Diags Raw Data'!$W$6:$W$4644,'Diags Raw Data'!$D$6:$D$4644,$A17,'Diags Raw Data'!$M$6:$M$4644,"Delta")</f>
        <v>0</v>
      </c>
      <c r="L17" s="207">
        <f t="shared" si="29"/>
        <v>1</v>
      </c>
      <c r="M17" s="200">
        <f t="shared" si="30"/>
        <v>1</v>
      </c>
      <c r="N17" s="204">
        <f t="shared" si="31"/>
        <v>1</v>
      </c>
      <c r="O17" s="193">
        <f>SUMIFS('Diags Raw Data'!$Z$6:$Z$4644,'Diags Raw Data'!$D$6:$D$4644,$A17,'Diags Raw Data'!$M$6:$M$4644,"New")+SUMIFS('Diags Raw Data'!$Z$6:$Z$4644,'Diags Raw Data'!$D$6:$D$4644,$A17,'Diags Raw Data'!$M$6:$M$4644,"Delta")</f>
        <v>6</v>
      </c>
      <c r="P17" s="190">
        <f>SUMIFS('Diags Raw Data'!$AA$6:$AA$4644,'Diags Raw Data'!$D$6:$D$4644,$A17,'Diags Raw Data'!$M$6:$M$4644,"New")+SUMIFS('Diags Raw Data'!$AA$6:$AA$4644,'Diags Raw Data'!$D$6:$D$4644,$A17,'Diags Raw Data'!$M$6:$M$4644,"Delta")</f>
        <v>6</v>
      </c>
      <c r="Q17" s="190">
        <f>SUMIFS('Diags Raw Data'!$AB$6:$AB$4644,'Diags Raw Data'!$D$6:$D$4644,$A17,'Diags Raw Data'!$M$6:$M$4644,"New")+SUMIFS('Diags Raw Data'!$AB$6:$AB$4644,'Diags Raw Data'!$D$6:$D$4644,$A17,'Diags Raw Data'!$M$6:$M$4644,"Delta")</f>
        <v>0</v>
      </c>
      <c r="R17" s="190">
        <f>SUMIFS('Diags Raw Data'!$AC$6:$AC$4644,'Diags Raw Data'!$D$6:$D$4644,$A17,'Diags Raw Data'!$M$6:$M$4644,"New")+SUMIFS('Diags Raw Data'!$AC$6:$AC$4644,'Diags Raw Data'!$D$6:$D$4644,$A17,'Diags Raw Data'!$M$6:$M$4644,"Delta")</f>
        <v>0</v>
      </c>
      <c r="S17" s="190">
        <f>SUMIFS('Diags Raw Data'!$AD$6:$AD$4644,'Diags Raw Data'!$D$6:$D$4644,$A17,'Diags Raw Data'!$M$6:$M$4644,"New")+SUMIFS('Diags Raw Data'!$AD$6:$AD$4644,'Diags Raw Data'!$D$6:$D$4644,$A17,'Diags Raw Data'!$M$6:$M$4644,"Delta")</f>
        <v>0</v>
      </c>
      <c r="T17" s="191">
        <f t="shared" si="32"/>
        <v>0.1875</v>
      </c>
      <c r="U17" s="201">
        <f t="shared" si="33"/>
        <v>1</v>
      </c>
      <c r="V17" s="203">
        <f t="shared" si="34"/>
        <v>0.1875</v>
      </c>
    </row>
    <row r="18" spans="1:22">
      <c r="A18" s="288" t="s">
        <v>378</v>
      </c>
      <c r="B18" s="211">
        <f>SUMIFS('Diags Raw Data'!$L$6:$L$4644,'Diags Raw Data'!$D$6:$D$4644,$A18,'Diags Raw Data'!$M$6:$M$4644,"New")+SUMIFS('Diags Raw Data'!$L$6:$L$4644,'Diags Raw Data'!$D$6:$D$4644,$A18,'Diags Raw Data'!$M$6:$M$4644,"Delta")</f>
        <v>0</v>
      </c>
      <c r="C18" s="206">
        <f>SUMIFS('Diags Raw Data'!$R$6:$R$4644,'Diags Raw Data'!$D$6:$D$4644,$A18,'Diags Raw Data'!$M$6:$M$4644,"New")+SUMIFS('Diags Raw Data'!$R$6:$R$4644,'Diags Raw Data'!$D$6:$D$4644,$A18,'Diags Raw Data'!$M$6:$M$4644,"Delta")</f>
        <v>0</v>
      </c>
      <c r="D18" s="206">
        <f>SUMIFS('Diags Raw Data'!$K$6:$K$4644,'Diags Raw Data'!$D$6:$D$4644,$A18,'Diags Raw Data'!$M$6:$M$4644,"New")+SUMIFS('Diags Raw Data'!$K$6:$K$4644,'Diags Raw Data'!$D$6:$D$4644,$A18,'Diags Raw Data'!$M$6:$M$4644,"Delta")</f>
        <v>0</v>
      </c>
      <c r="E18" s="206">
        <f>SUMIFS('Diags Raw Data'!$O$6:$O$4644,'Diags Raw Data'!$D$6:$D$4644,$A18,'Diags Raw Data'!$M$6:$M$4644,"New")+SUMIFS('Diags Raw Data'!$O$6:$O$4644,'Diags Raw Data'!$D$6:$D$4644,$A18,'Diags Raw Data'!$M$6:$M$4644,"Delta")</f>
        <v>0</v>
      </c>
      <c r="F18" s="209" t="str">
        <f t="shared" si="28"/>
        <v>---</v>
      </c>
      <c r="G18" s="202">
        <f>SUMIFS('Diags Raw Data'!$S$6:$S$4644,'Diags Raw Data'!$D$6:$D$4644,$A18,'Diags Raw Data'!$M$6:$M$4644,"New")+SUMIFS('Diags Raw Data'!$S$6:$S$4644,'Diags Raw Data'!$D$6:$D$4644,$A18,'Diags Raw Data'!$M$6:$M$4644,"Delta")</f>
        <v>0</v>
      </c>
      <c r="H18" s="198">
        <f>SUMIFS('Diags Raw Data'!$T$6:$T$4644,'Diags Raw Data'!$D$6:$D$4644,$A18,'Diags Raw Data'!$M$6:$M$4644,"New")+SUMIFS('Diags Raw Data'!$T$6:$T$4644,'Diags Raw Data'!$D$6:$D$4644,$A18,'Diags Raw Data'!$M$6:$M$4644,"Delta")</f>
        <v>0</v>
      </c>
      <c r="I18" s="198">
        <f>SUMIFS('Diags Raw Data'!$U$6:$U$4644,'Diags Raw Data'!$D$6:$D$4644,$A18,'Diags Raw Data'!$M$6:$M$4644,"New")+SUMIFS('Diags Raw Data'!$U$6:$U$4644,'Diags Raw Data'!$D$6:$D$4644,$A18,'Diags Raw Data'!$M$6:$M$4644,"Delta")</f>
        <v>0</v>
      </c>
      <c r="J18" s="198">
        <f>SUMIFS('Diags Raw Data'!$V$6:$V$4644,'Diags Raw Data'!$D$6:$D$4644,$A18,'Diags Raw Data'!$M$6:$M$4644,"New")+SUMIFS('Diags Raw Data'!$V$6:$V$4644,'Diags Raw Data'!$D$6:$D$4644,$A18,'Diags Raw Data'!$M$6:$M$4644,"Delta")</f>
        <v>0</v>
      </c>
      <c r="K18" s="198">
        <f>SUMIFS('Diags Raw Data'!$W$6:$W$4644,'Diags Raw Data'!$D$6:$D$4644,$A18,'Diags Raw Data'!$M$6:$M$4644,"New")+SUMIFS('Diags Raw Data'!$W$6:$W$4644,'Diags Raw Data'!$D$6:$D$4644,$A18,'Diags Raw Data'!$M$6:$M$4644,"Delta")</f>
        <v>0</v>
      </c>
      <c r="L18" s="207" t="str">
        <f t="shared" si="29"/>
        <v>---</v>
      </c>
      <c r="M18" s="200" t="str">
        <f t="shared" si="30"/>
        <v>---</v>
      </c>
      <c r="N18" s="204" t="str">
        <f t="shared" si="31"/>
        <v>---</v>
      </c>
      <c r="O18" s="193">
        <f>SUMIFS('Diags Raw Data'!$Z$6:$Z$4644,'Diags Raw Data'!$D$6:$D$4644,$A18,'Diags Raw Data'!$M$6:$M$4644,"New")+SUMIFS('Diags Raw Data'!$Z$6:$Z$4644,'Diags Raw Data'!$D$6:$D$4644,$A18,'Diags Raw Data'!$M$6:$M$4644,"Delta")</f>
        <v>0</v>
      </c>
      <c r="P18" s="190">
        <f>SUMIFS('Diags Raw Data'!$AA$6:$AA$4644,'Diags Raw Data'!$D$6:$D$4644,$A18,'Diags Raw Data'!$M$6:$M$4644,"New")+SUMIFS('Diags Raw Data'!$AA$6:$AA$4644,'Diags Raw Data'!$D$6:$D$4644,$A18,'Diags Raw Data'!$M$6:$M$4644,"Delta")</f>
        <v>0</v>
      </c>
      <c r="Q18" s="190">
        <f>SUMIFS('Diags Raw Data'!$AB$6:$AB$4644,'Diags Raw Data'!$D$6:$D$4644,$A18,'Diags Raw Data'!$M$6:$M$4644,"New")+SUMIFS('Diags Raw Data'!$AB$6:$AB$4644,'Diags Raw Data'!$D$6:$D$4644,$A18,'Diags Raw Data'!$M$6:$M$4644,"Delta")</f>
        <v>0</v>
      </c>
      <c r="R18" s="190">
        <f>SUMIFS('Diags Raw Data'!$AC$6:$AC$4644,'Diags Raw Data'!$D$6:$D$4644,$A18,'Diags Raw Data'!$M$6:$M$4644,"New")+SUMIFS('Diags Raw Data'!$AC$6:$AC$4644,'Diags Raw Data'!$D$6:$D$4644,$A18,'Diags Raw Data'!$M$6:$M$4644,"Delta")</f>
        <v>0</v>
      </c>
      <c r="S18" s="190">
        <f>SUMIFS('Diags Raw Data'!$AD$6:$AD$4644,'Diags Raw Data'!$D$6:$D$4644,$A18,'Diags Raw Data'!$M$6:$M$4644,"New")+SUMIFS('Diags Raw Data'!$AD$6:$AD$4644,'Diags Raw Data'!$D$6:$D$4644,$A18,'Diags Raw Data'!$M$6:$M$4644,"Delta")</f>
        <v>0</v>
      </c>
      <c r="T18" s="191" t="str">
        <f t="shared" si="32"/>
        <v>---</v>
      </c>
      <c r="U18" s="201" t="str">
        <f t="shared" si="33"/>
        <v>---</v>
      </c>
      <c r="V18" s="203" t="str">
        <f t="shared" si="34"/>
        <v>---</v>
      </c>
    </row>
    <row r="19" spans="1:22">
      <c r="A19" s="288" t="s">
        <v>379</v>
      </c>
      <c r="B19" s="211">
        <f>SUMIFS('Diags Raw Data'!$L$6:$L$4644,'Diags Raw Data'!$D$6:$D$4644,$A19,'Diags Raw Data'!$M$6:$M$4644,"New")+SUMIFS('Diags Raw Data'!$L$6:$L$4644,'Diags Raw Data'!$D$6:$D$4644,$A19,'Diags Raw Data'!$M$6:$M$4644,"Delta")</f>
        <v>0</v>
      </c>
      <c r="C19" s="206">
        <f>SUMIFS('Diags Raw Data'!$R$6:$R$4644,'Diags Raw Data'!$D$6:$D$4644,$A19,'Diags Raw Data'!$M$6:$M$4644,"New")+SUMIFS('Diags Raw Data'!$R$6:$R$4644,'Diags Raw Data'!$D$6:$D$4644,$A19,'Diags Raw Data'!$M$6:$M$4644,"Delta")</f>
        <v>0</v>
      </c>
      <c r="D19" s="206">
        <f>SUMIFS('Diags Raw Data'!$K$6:$K$4644,'Diags Raw Data'!$D$6:$D$4644,$A19,'Diags Raw Data'!$M$6:$M$4644,"New")+SUMIFS('Diags Raw Data'!$K$6:$K$4644,'Diags Raw Data'!$D$6:$D$4644,$A19,'Diags Raw Data'!$M$6:$M$4644,"Delta")</f>
        <v>0</v>
      </c>
      <c r="E19" s="206">
        <f>SUMIFS('Diags Raw Data'!$O$6:$O$4644,'Diags Raw Data'!$D$6:$D$4644,$A19,'Diags Raw Data'!$M$6:$M$4644,"New")+SUMIFS('Diags Raw Data'!$O$6:$O$4644,'Diags Raw Data'!$D$6:$D$4644,$A19,'Diags Raw Data'!$M$6:$M$4644,"Delta")</f>
        <v>0</v>
      </c>
      <c r="F19" s="209" t="str">
        <f t="shared" si="28"/>
        <v>---</v>
      </c>
      <c r="G19" s="202">
        <f>SUMIFS('Diags Raw Data'!$S$6:$S$4644,'Diags Raw Data'!$D$6:$D$4644,$A19,'Diags Raw Data'!$M$6:$M$4644,"New")+SUMIFS('Diags Raw Data'!$S$6:$S$4644,'Diags Raw Data'!$D$6:$D$4644,$A19,'Diags Raw Data'!$M$6:$M$4644,"Delta")</f>
        <v>0</v>
      </c>
      <c r="H19" s="198">
        <f>SUMIFS('Diags Raw Data'!$T$6:$T$4644,'Diags Raw Data'!$D$6:$D$4644,$A19,'Diags Raw Data'!$M$6:$M$4644,"New")+SUMIFS('Diags Raw Data'!$T$6:$T$4644,'Diags Raw Data'!$D$6:$D$4644,$A19,'Diags Raw Data'!$M$6:$M$4644,"Delta")</f>
        <v>0</v>
      </c>
      <c r="I19" s="198">
        <f>SUMIFS('Diags Raw Data'!$U$6:$U$4644,'Diags Raw Data'!$D$6:$D$4644,$A19,'Diags Raw Data'!$M$6:$M$4644,"New")+SUMIFS('Diags Raw Data'!$U$6:$U$4644,'Diags Raw Data'!$D$6:$D$4644,$A19,'Diags Raw Data'!$M$6:$M$4644,"Delta")</f>
        <v>0</v>
      </c>
      <c r="J19" s="198">
        <f>SUMIFS('Diags Raw Data'!$V$6:$V$4644,'Diags Raw Data'!$D$6:$D$4644,$A19,'Diags Raw Data'!$M$6:$M$4644,"New")+SUMIFS('Diags Raw Data'!$V$6:$V$4644,'Diags Raw Data'!$D$6:$D$4644,$A19,'Diags Raw Data'!$M$6:$M$4644,"Delta")</f>
        <v>0</v>
      </c>
      <c r="K19" s="198">
        <f>SUMIFS('Diags Raw Data'!$W$6:$W$4644,'Diags Raw Data'!$D$6:$D$4644,$A19,'Diags Raw Data'!$M$6:$M$4644,"New")+SUMIFS('Diags Raw Data'!$W$6:$W$4644,'Diags Raw Data'!$D$6:$D$4644,$A19,'Diags Raw Data'!$M$6:$M$4644,"Delta")</f>
        <v>0</v>
      </c>
      <c r="L19" s="207" t="str">
        <f t="shared" si="29"/>
        <v>---</v>
      </c>
      <c r="M19" s="200" t="str">
        <f t="shared" si="30"/>
        <v>---</v>
      </c>
      <c r="N19" s="204" t="str">
        <f t="shared" si="31"/>
        <v>---</v>
      </c>
      <c r="O19" s="193">
        <f>SUMIFS('Diags Raw Data'!$Z$6:$Z$4644,'Diags Raw Data'!$D$6:$D$4644,$A19,'Diags Raw Data'!$M$6:$M$4644,"New")+SUMIFS('Diags Raw Data'!$Z$6:$Z$4644,'Diags Raw Data'!$D$6:$D$4644,$A19,'Diags Raw Data'!$M$6:$M$4644,"Delta")</f>
        <v>0</v>
      </c>
      <c r="P19" s="190">
        <f>SUMIFS('Diags Raw Data'!$AA$6:$AA$4644,'Diags Raw Data'!$D$6:$D$4644,$A19,'Diags Raw Data'!$M$6:$M$4644,"New")+SUMIFS('Diags Raw Data'!$AA$6:$AA$4644,'Diags Raw Data'!$D$6:$D$4644,$A19,'Diags Raw Data'!$M$6:$M$4644,"Delta")</f>
        <v>0</v>
      </c>
      <c r="Q19" s="190">
        <f>SUMIFS('Diags Raw Data'!$AB$6:$AB$4644,'Diags Raw Data'!$D$6:$D$4644,$A19,'Diags Raw Data'!$M$6:$M$4644,"New")+SUMIFS('Diags Raw Data'!$AB$6:$AB$4644,'Diags Raw Data'!$D$6:$D$4644,$A19,'Diags Raw Data'!$M$6:$M$4644,"Delta")</f>
        <v>0</v>
      </c>
      <c r="R19" s="190">
        <f>SUMIFS('Diags Raw Data'!$AC$6:$AC$4644,'Diags Raw Data'!$D$6:$D$4644,$A19,'Diags Raw Data'!$M$6:$M$4644,"New")+SUMIFS('Diags Raw Data'!$AC$6:$AC$4644,'Diags Raw Data'!$D$6:$D$4644,$A19,'Diags Raw Data'!$M$6:$M$4644,"Delta")</f>
        <v>0</v>
      </c>
      <c r="S19" s="190">
        <f>SUMIFS('Diags Raw Data'!$AD$6:$AD$4644,'Diags Raw Data'!$D$6:$D$4644,$A19,'Diags Raw Data'!$M$6:$M$4644,"New")+SUMIFS('Diags Raw Data'!$AD$6:$AD$4644,'Diags Raw Data'!$D$6:$D$4644,$A19,'Diags Raw Data'!$M$6:$M$4644,"Delta")</f>
        <v>0</v>
      </c>
      <c r="T19" s="191" t="str">
        <f t="shared" si="32"/>
        <v>---</v>
      </c>
      <c r="U19" s="201" t="str">
        <f t="shared" si="33"/>
        <v>---</v>
      </c>
      <c r="V19" s="203" t="str">
        <f t="shared" si="34"/>
        <v>---</v>
      </c>
    </row>
    <row r="20" spans="1:22">
      <c r="A20" s="288" t="s">
        <v>380</v>
      </c>
      <c r="B20" s="211">
        <f>SUMIFS('Diags Raw Data'!$L$6:$L$4644,'Diags Raw Data'!$D$6:$D$4644,$A20,'Diags Raw Data'!$M$6:$M$4644,"New")+SUMIFS('Diags Raw Data'!$L$6:$L$4644,'Diags Raw Data'!$D$6:$D$4644,$A20,'Diags Raw Data'!$M$6:$M$4644,"Delta")</f>
        <v>0</v>
      </c>
      <c r="C20" s="206">
        <f>SUMIFS('Diags Raw Data'!$R$6:$R$4644,'Diags Raw Data'!$D$6:$D$4644,$A20,'Diags Raw Data'!$M$6:$M$4644,"New")+SUMIFS('Diags Raw Data'!$R$6:$R$4644,'Diags Raw Data'!$D$6:$D$4644,$A20,'Diags Raw Data'!$M$6:$M$4644,"Delta")</f>
        <v>0</v>
      </c>
      <c r="D20" s="206">
        <f>SUMIFS('Diags Raw Data'!$K$6:$K$4644,'Diags Raw Data'!$D$6:$D$4644,$A20,'Diags Raw Data'!$M$6:$M$4644,"New")+SUMIFS('Diags Raw Data'!$K$6:$K$4644,'Diags Raw Data'!$D$6:$D$4644,$A20,'Diags Raw Data'!$M$6:$M$4644,"Delta")</f>
        <v>0</v>
      </c>
      <c r="E20" s="206">
        <f>SUMIFS('Diags Raw Data'!$O$6:$O$4644,'Diags Raw Data'!$D$6:$D$4644,$A20,'Diags Raw Data'!$M$6:$M$4644,"New")+SUMIFS('Diags Raw Data'!$O$6:$O$4644,'Diags Raw Data'!$D$6:$D$4644,$A20,'Diags Raw Data'!$M$6:$M$4644,"Delta")</f>
        <v>0</v>
      </c>
      <c r="F20" s="209" t="str">
        <f t="shared" si="28"/>
        <v>---</v>
      </c>
      <c r="G20" s="202">
        <f>SUMIFS('Diags Raw Data'!$S$6:$S$4644,'Diags Raw Data'!$D$6:$D$4644,$A20,'Diags Raw Data'!$M$6:$M$4644,"New")+SUMIFS('Diags Raw Data'!$S$6:$S$4644,'Diags Raw Data'!$D$6:$D$4644,$A20,'Diags Raw Data'!$M$6:$M$4644,"Delta")</f>
        <v>0</v>
      </c>
      <c r="H20" s="198">
        <f>SUMIFS('Diags Raw Data'!$T$6:$T$4644,'Diags Raw Data'!$D$6:$D$4644,$A20,'Diags Raw Data'!$M$6:$M$4644,"New")+SUMIFS('Diags Raw Data'!$T$6:$T$4644,'Diags Raw Data'!$D$6:$D$4644,$A20,'Diags Raw Data'!$M$6:$M$4644,"Delta")</f>
        <v>0</v>
      </c>
      <c r="I20" s="198">
        <f>SUMIFS('Diags Raw Data'!$U$6:$U$4644,'Diags Raw Data'!$D$6:$D$4644,$A20,'Diags Raw Data'!$M$6:$M$4644,"New")+SUMIFS('Diags Raw Data'!$U$6:$U$4644,'Diags Raw Data'!$D$6:$D$4644,$A20,'Diags Raw Data'!$M$6:$M$4644,"Delta")</f>
        <v>0</v>
      </c>
      <c r="J20" s="198">
        <f>SUMIFS('Diags Raw Data'!$V$6:$V$4644,'Diags Raw Data'!$D$6:$D$4644,$A20,'Diags Raw Data'!$M$6:$M$4644,"New")+SUMIFS('Diags Raw Data'!$V$6:$V$4644,'Diags Raw Data'!$D$6:$D$4644,$A20,'Diags Raw Data'!$M$6:$M$4644,"Delta")</f>
        <v>0</v>
      </c>
      <c r="K20" s="198">
        <f>SUMIFS('Diags Raw Data'!$W$6:$W$4644,'Diags Raw Data'!$D$6:$D$4644,$A20,'Diags Raw Data'!$M$6:$M$4644,"New")+SUMIFS('Diags Raw Data'!$W$6:$W$4644,'Diags Raw Data'!$D$6:$D$4644,$A20,'Diags Raw Data'!$M$6:$M$4644,"Delta")</f>
        <v>0</v>
      </c>
      <c r="L20" s="207" t="str">
        <f t="shared" si="29"/>
        <v>---</v>
      </c>
      <c r="M20" s="200" t="str">
        <f t="shared" si="30"/>
        <v>---</v>
      </c>
      <c r="N20" s="204" t="str">
        <f t="shared" si="31"/>
        <v>---</v>
      </c>
      <c r="O20" s="193">
        <f>SUMIFS('Diags Raw Data'!$Z$6:$Z$4644,'Diags Raw Data'!$D$6:$D$4644,$A20,'Diags Raw Data'!$M$6:$M$4644,"New")+SUMIFS('Diags Raw Data'!$Z$6:$Z$4644,'Diags Raw Data'!$D$6:$D$4644,$A20,'Diags Raw Data'!$M$6:$M$4644,"Delta")</f>
        <v>0</v>
      </c>
      <c r="P20" s="190">
        <f>SUMIFS('Diags Raw Data'!$AA$6:$AA$4644,'Diags Raw Data'!$D$6:$D$4644,$A20,'Diags Raw Data'!$M$6:$M$4644,"New")+SUMIFS('Diags Raw Data'!$AA$6:$AA$4644,'Diags Raw Data'!$D$6:$D$4644,$A20,'Diags Raw Data'!$M$6:$M$4644,"Delta")</f>
        <v>0</v>
      </c>
      <c r="Q20" s="190">
        <f>SUMIFS('Diags Raw Data'!$AB$6:$AB$4644,'Diags Raw Data'!$D$6:$D$4644,$A20,'Diags Raw Data'!$M$6:$M$4644,"New")+SUMIFS('Diags Raw Data'!$AB$6:$AB$4644,'Diags Raw Data'!$D$6:$D$4644,$A20,'Diags Raw Data'!$M$6:$M$4644,"Delta")</f>
        <v>0</v>
      </c>
      <c r="R20" s="190">
        <f>SUMIFS('Diags Raw Data'!$AC$6:$AC$4644,'Diags Raw Data'!$D$6:$D$4644,$A20,'Diags Raw Data'!$M$6:$M$4644,"New")+SUMIFS('Diags Raw Data'!$AC$6:$AC$4644,'Diags Raw Data'!$D$6:$D$4644,$A20,'Diags Raw Data'!$M$6:$M$4644,"Delta")</f>
        <v>0</v>
      </c>
      <c r="S20" s="190">
        <f>SUMIFS('Diags Raw Data'!$AD$6:$AD$4644,'Diags Raw Data'!$D$6:$D$4644,$A20,'Diags Raw Data'!$M$6:$M$4644,"New")+SUMIFS('Diags Raw Data'!$AD$6:$AD$4644,'Diags Raw Data'!$D$6:$D$4644,$A20,'Diags Raw Data'!$M$6:$M$4644,"Delta")</f>
        <v>0</v>
      </c>
      <c r="T20" s="191" t="str">
        <f t="shared" si="32"/>
        <v>---</v>
      </c>
      <c r="U20" s="201" t="str">
        <f t="shared" si="33"/>
        <v>---</v>
      </c>
      <c r="V20" s="203" t="str">
        <f t="shared" si="34"/>
        <v>---</v>
      </c>
    </row>
    <row r="21" spans="1:22" ht="15" thickBot="1">
      <c r="A21" s="288" t="s">
        <v>381</v>
      </c>
      <c r="B21" s="211">
        <f>SUMIFS('Diags Raw Data'!$L$6:$L$4644,'Diags Raw Data'!$D$6:$D$4644,$A21,'Diags Raw Data'!$M$6:$M$4644,"New")+SUMIFS('Diags Raw Data'!$L$6:$L$4644,'Diags Raw Data'!$D$6:$D$4644,$A21,'Diags Raw Data'!$M$6:$M$4644,"Delta")</f>
        <v>0</v>
      </c>
      <c r="C21" s="206">
        <f>SUMIFS('Diags Raw Data'!$R$6:$R$4644,'Diags Raw Data'!$D$6:$D$4644,$A21,'Diags Raw Data'!$M$6:$M$4644,"New")+SUMIFS('Diags Raw Data'!$R$6:$R$4644,'Diags Raw Data'!$D$6:$D$4644,$A21,'Diags Raw Data'!$M$6:$M$4644,"Delta")</f>
        <v>0</v>
      </c>
      <c r="D21" s="206">
        <f>SUMIFS('Diags Raw Data'!$K$6:$K$4644,'Diags Raw Data'!$D$6:$D$4644,$A21,'Diags Raw Data'!$M$6:$M$4644,"New")+SUMIFS('Diags Raw Data'!$K$6:$K$4644,'Diags Raw Data'!$D$6:$D$4644,$A21,'Diags Raw Data'!$M$6:$M$4644,"Delta")</f>
        <v>0</v>
      </c>
      <c r="E21" s="206">
        <f>SUMIFS('Diags Raw Data'!$O$6:$O$4644,'Diags Raw Data'!$D$6:$D$4644,$A21,'Diags Raw Data'!$M$6:$M$4644,"New")+SUMIFS('Diags Raw Data'!$O$6:$O$4644,'Diags Raw Data'!$D$6:$D$4644,$A21,'Diags Raw Data'!$M$6:$M$4644,"Delta")</f>
        <v>0</v>
      </c>
      <c r="F21" s="209" t="str">
        <f t="shared" si="28"/>
        <v>---</v>
      </c>
      <c r="G21" s="202">
        <f>SUMIFS('Diags Raw Data'!$S$6:$S$4644,'Diags Raw Data'!$D$6:$D$4644,$A21,'Diags Raw Data'!$M$6:$M$4644,"New")+SUMIFS('Diags Raw Data'!$S$6:$S$4644,'Diags Raw Data'!$D$6:$D$4644,$A21,'Diags Raw Data'!$M$6:$M$4644,"Delta")</f>
        <v>0</v>
      </c>
      <c r="H21" s="198">
        <f>SUMIFS('Diags Raw Data'!$T$6:$T$4644,'Diags Raw Data'!$D$6:$D$4644,$A21,'Diags Raw Data'!$M$6:$M$4644,"New")+SUMIFS('Diags Raw Data'!$T$6:$T$4644,'Diags Raw Data'!$D$6:$D$4644,$A21,'Diags Raw Data'!$M$6:$M$4644,"Delta")</f>
        <v>0</v>
      </c>
      <c r="I21" s="198">
        <f>SUMIFS('Diags Raw Data'!$U$6:$U$4644,'Diags Raw Data'!$D$6:$D$4644,$A21,'Diags Raw Data'!$M$6:$M$4644,"New")+SUMIFS('Diags Raw Data'!$U$6:$U$4644,'Diags Raw Data'!$D$6:$D$4644,$A21,'Diags Raw Data'!$M$6:$M$4644,"Delta")</f>
        <v>0</v>
      </c>
      <c r="J21" s="198">
        <f>SUMIFS('Diags Raw Data'!$V$6:$V$4644,'Diags Raw Data'!$D$6:$D$4644,$A21,'Diags Raw Data'!$M$6:$M$4644,"New")+SUMIFS('Diags Raw Data'!$V$6:$V$4644,'Diags Raw Data'!$D$6:$D$4644,$A21,'Diags Raw Data'!$M$6:$M$4644,"Delta")</f>
        <v>0</v>
      </c>
      <c r="K21" s="198">
        <f>SUMIFS('Diags Raw Data'!$W$6:$W$4644,'Diags Raw Data'!$D$6:$D$4644,$A21,'Diags Raw Data'!$M$6:$M$4644,"New")+SUMIFS('Diags Raw Data'!$W$6:$W$4644,'Diags Raw Data'!$D$6:$D$4644,$A21,'Diags Raw Data'!$M$6:$M$4644,"Delta")</f>
        <v>0</v>
      </c>
      <c r="L21" s="207" t="str">
        <f t="shared" si="29"/>
        <v>---</v>
      </c>
      <c r="M21" s="200" t="str">
        <f t="shared" si="30"/>
        <v>---</v>
      </c>
      <c r="N21" s="204" t="str">
        <f t="shared" si="31"/>
        <v>---</v>
      </c>
      <c r="O21" s="193">
        <f>SUMIFS('Diags Raw Data'!$Z$6:$Z$4644,'Diags Raw Data'!$D$6:$D$4644,$A21,'Diags Raw Data'!$M$6:$M$4644,"New")+SUMIFS('Diags Raw Data'!$Z$6:$Z$4644,'Diags Raw Data'!$D$6:$D$4644,$A21,'Diags Raw Data'!$M$6:$M$4644,"Delta")</f>
        <v>0</v>
      </c>
      <c r="P21" s="190">
        <f>SUMIFS('Diags Raw Data'!$AA$6:$AA$4644,'Diags Raw Data'!$D$6:$D$4644,$A21,'Diags Raw Data'!$M$6:$M$4644,"New")+SUMIFS('Diags Raw Data'!$AA$6:$AA$4644,'Diags Raw Data'!$D$6:$D$4644,$A21,'Diags Raw Data'!$M$6:$M$4644,"Delta")</f>
        <v>0</v>
      </c>
      <c r="Q21" s="190">
        <f>SUMIFS('Diags Raw Data'!$AB$6:$AB$4644,'Diags Raw Data'!$D$6:$D$4644,$A21,'Diags Raw Data'!$M$6:$M$4644,"New")+SUMIFS('Diags Raw Data'!$AB$6:$AB$4644,'Diags Raw Data'!$D$6:$D$4644,$A21,'Diags Raw Data'!$M$6:$M$4644,"Delta")</f>
        <v>0</v>
      </c>
      <c r="R21" s="190">
        <f>SUMIFS('Diags Raw Data'!$AC$6:$AC$4644,'Diags Raw Data'!$D$6:$D$4644,$A21,'Diags Raw Data'!$M$6:$M$4644,"New")+SUMIFS('Diags Raw Data'!$AC$6:$AC$4644,'Diags Raw Data'!$D$6:$D$4644,$A21,'Diags Raw Data'!$M$6:$M$4644,"Delta")</f>
        <v>0</v>
      </c>
      <c r="S21" s="190">
        <f>SUMIFS('Diags Raw Data'!$AD$6:$AD$4644,'Diags Raw Data'!$D$6:$D$4644,$A21,'Diags Raw Data'!$M$6:$M$4644,"New")+SUMIFS('Diags Raw Data'!$AD$6:$AD$4644,'Diags Raw Data'!$D$6:$D$4644,$A21,'Diags Raw Data'!$M$6:$M$4644,"Delta")</f>
        <v>0</v>
      </c>
      <c r="T21" s="191" t="str">
        <f t="shared" si="32"/>
        <v>---</v>
      </c>
      <c r="U21" s="201" t="str">
        <f t="shared" si="33"/>
        <v>---</v>
      </c>
      <c r="V21" s="203" t="str">
        <f t="shared" si="34"/>
        <v>---</v>
      </c>
    </row>
    <row r="22" spans="1:22" ht="16.149999999999999" thickBot="1">
      <c r="A22" s="213" t="s">
        <v>384</v>
      </c>
      <c r="B22" s="214">
        <f>SUM(B15:B21)</f>
        <v>32</v>
      </c>
      <c r="C22" s="215">
        <f>SUM(C15:C21)</f>
        <v>20</v>
      </c>
      <c r="D22" s="215">
        <f>SUM(D15:D21)</f>
        <v>13</v>
      </c>
      <c r="E22" s="215">
        <f>SUM(E15:E21)</f>
        <v>28.3</v>
      </c>
      <c r="F22" s="216" cm="1">
        <f t="array" ref="F22">SUMPRODUCT(--(ISNUMBER(SEARCH("New",'Diags Raw Data'!$M$6:$M$4644))),'Diags Raw Data'!$K$6:$K$4644,'Diags Raw Data'!$P$6:$P$4644)/D22+SUMPRODUCT(--(ISNUMBER(SEARCH("Delta",'Diags Raw Data'!$M$6:$M$4644))),'Diags Raw Data'!$K$6:$K$4644,'Diags Raw Data'!$P$6:$P$4644)/D22</f>
        <v>0.88846153846153864</v>
      </c>
      <c r="G22" s="217">
        <f>SUM(G15:G21)</f>
        <v>20</v>
      </c>
      <c r="H22" s="218">
        <f>SUM(H15:H21)</f>
        <v>20</v>
      </c>
      <c r="I22" s="219">
        <f>SUM(I15:I21)</f>
        <v>0</v>
      </c>
      <c r="J22" s="218">
        <f>SUM(J15:J21)</f>
        <v>0</v>
      </c>
      <c r="K22" s="219">
        <f>SUM(K15:K21)</f>
        <v>0</v>
      </c>
      <c r="L22" s="220">
        <f>IF(NOT($C22=0), G22/$C22, "---")</f>
        <v>1</v>
      </c>
      <c r="M22" s="221">
        <f t="shared" ref="M22" si="35">IF(NOT($G22=0), (H22+I22)/$G22, "---")</f>
        <v>1</v>
      </c>
      <c r="N22" s="222">
        <f>IF(NOT($C22=0), (H22+I22)/$C22, "---")</f>
        <v>1</v>
      </c>
      <c r="O22" s="223">
        <f>SUM(O15:O21)</f>
        <v>6</v>
      </c>
      <c r="P22" s="224">
        <f>SUM(P15:P21)</f>
        <v>6</v>
      </c>
      <c r="Q22" s="225">
        <f>SUM(Q15:Q21)</f>
        <v>0</v>
      </c>
      <c r="R22" s="224">
        <f>SUM(R15:R21)</f>
        <v>0</v>
      </c>
      <c r="S22" s="225">
        <f>SUM(S15:S21)</f>
        <v>0</v>
      </c>
      <c r="T22" s="226">
        <f>IF(NOT($B22=0), O22/$B22, "---")</f>
        <v>0.1875</v>
      </c>
      <c r="U22" s="227">
        <f t="shared" ref="U22" si="36">IF(NOT($O22=0), (P22+Q22)/$O22, "---")</f>
        <v>1</v>
      </c>
      <c r="V22" s="228">
        <f t="shared" ref="V22" si="37">IF(NOT($B22=0), (P22+Q22)/$B22, "---")</f>
        <v>0.1875</v>
      </c>
    </row>
    <row r="23" spans="1:22" ht="15" thickBot="1">
      <c r="A23" s="208"/>
      <c r="B23" s="208"/>
      <c r="C23" s="208"/>
      <c r="D23" s="208"/>
      <c r="E23" s="208"/>
      <c r="F23" s="208"/>
      <c r="G23" s="208"/>
      <c r="H23" s="208"/>
      <c r="I23" s="208"/>
      <c r="J23" s="208"/>
      <c r="K23" s="208"/>
      <c r="L23" s="208"/>
      <c r="M23" s="208"/>
      <c r="N23" s="208"/>
      <c r="O23" s="208"/>
      <c r="P23" s="208"/>
      <c r="Q23" s="208"/>
      <c r="R23" s="208"/>
      <c r="S23" s="208"/>
      <c r="T23" s="208"/>
      <c r="U23" s="208"/>
      <c r="V23" s="208"/>
    </row>
    <row r="24" spans="1:22" ht="15" thickBot="1">
      <c r="A24" s="195" t="s">
        <v>33</v>
      </c>
      <c r="B24" s="541" t="s">
        <v>161</v>
      </c>
      <c r="C24" s="541"/>
      <c r="D24" s="541"/>
      <c r="E24" s="541"/>
      <c r="F24" s="541"/>
      <c r="G24" s="542" t="s">
        <v>172</v>
      </c>
      <c r="H24" s="543"/>
      <c r="I24" s="543"/>
      <c r="J24" s="543"/>
      <c r="K24" s="543"/>
      <c r="L24" s="543"/>
      <c r="M24" s="543"/>
      <c r="N24" s="544"/>
      <c r="O24" s="545" t="s">
        <v>139</v>
      </c>
      <c r="P24" s="546"/>
      <c r="Q24" s="546"/>
      <c r="R24" s="546"/>
      <c r="S24" s="546"/>
      <c r="T24" s="546"/>
      <c r="U24" s="546"/>
      <c r="V24" s="547"/>
    </row>
    <row r="25" spans="1:22" s="210" customFormat="1" ht="15" thickBot="1">
      <c r="A25" s="212" t="s">
        <v>83</v>
      </c>
      <c r="B25" s="269" t="s">
        <v>162</v>
      </c>
      <c r="C25" s="270" t="s">
        <v>123</v>
      </c>
      <c r="D25" s="271" t="s">
        <v>100</v>
      </c>
      <c r="E25" s="271" t="s">
        <v>168</v>
      </c>
      <c r="F25" s="272" t="s">
        <v>170</v>
      </c>
      <c r="G25" s="273" t="s">
        <v>127</v>
      </c>
      <c r="H25" s="274" t="s">
        <v>30</v>
      </c>
      <c r="I25" s="274" t="s">
        <v>130</v>
      </c>
      <c r="J25" s="274" t="s">
        <v>35</v>
      </c>
      <c r="K25" s="274" t="s">
        <v>133</v>
      </c>
      <c r="L25" s="274" t="s">
        <v>179</v>
      </c>
      <c r="M25" s="274" t="s">
        <v>135</v>
      </c>
      <c r="N25" s="275" t="s">
        <v>182</v>
      </c>
      <c r="O25" s="276" t="s">
        <v>127</v>
      </c>
      <c r="P25" s="277" t="s">
        <v>30</v>
      </c>
      <c r="Q25" s="277" t="s">
        <v>130</v>
      </c>
      <c r="R25" s="277" t="s">
        <v>35</v>
      </c>
      <c r="S25" s="277" t="s">
        <v>133</v>
      </c>
      <c r="T25" s="277" t="s">
        <v>179</v>
      </c>
      <c r="U25" s="277" t="s">
        <v>135</v>
      </c>
      <c r="V25" s="278" t="s">
        <v>182</v>
      </c>
    </row>
    <row r="26" spans="1:22">
      <c r="A26" s="288" t="s">
        <v>376</v>
      </c>
      <c r="B26" s="211">
        <f>SUMIFS('Diags Raw Data'!$L$6:$L$4644,'Diags Raw Data'!$D$6:$D$4644,$A26,'Diags Raw Data'!$M$6:$M$4644,"Legacy")</f>
        <v>0</v>
      </c>
      <c r="C26" s="206">
        <f>SUMIFS('Diags Raw Data'!$R$6:$R$4644,'Diags Raw Data'!$D$6:$D$4644,$A26,'Diags Raw Data'!$M$6:$M$4644,"Legacy")</f>
        <v>0</v>
      </c>
      <c r="D26" s="206">
        <f>SUMIFS('Diags Raw Data'!$K$6:$K$4644,'Diags Raw Data'!$D$6:$D$4644,$A26,'Diags Raw Data'!$M$6:$M$4644,"Legacy")</f>
        <v>0</v>
      </c>
      <c r="E26" s="206">
        <f>SUMIFS('Diags Raw Data'!$O$6:$O$4644,'Diags Raw Data'!$D$6:$D$4644,$A26,'Diags Raw Data'!$M$6:$M$4644,"Legacy")</f>
        <v>0</v>
      </c>
      <c r="F26" s="209" t="str">
        <f t="shared" ref="F26:F31" si="38">IF(NOT($B26=0), E26/$B26, "---")</f>
        <v>---</v>
      </c>
      <c r="G26" s="202">
        <f>SUMIFS('Diags Raw Data'!$S$6:$S$4644,'Diags Raw Data'!$D$6:$D$4644,$A26,'Diags Raw Data'!$M$6:$M$4644,"Legacy")</f>
        <v>0</v>
      </c>
      <c r="H26" s="198">
        <f>SUMIFS('Diags Raw Data'!$T$6:$T$4644,'Diags Raw Data'!$D$6:$D$4644,$A26,'Diags Raw Data'!$M$6:$M$4644,"Legacy")</f>
        <v>0</v>
      </c>
      <c r="I26" s="199">
        <f>SUMIFS('Diags Raw Data'!$U$6:$U$4644,'Diags Raw Data'!$D$6:$D$4644,$A26,'Diags Raw Data'!$M$6:$M$4644,"Legacy")</f>
        <v>0</v>
      </c>
      <c r="J26" s="198">
        <f>SUMIFS('Diags Raw Data'!$V$6:$V$4644,'Diags Raw Data'!$D$6:$D$4644,$A26,'Diags Raw Data'!$M$6:$M$4644,"Legacy")</f>
        <v>0</v>
      </c>
      <c r="K26" s="199">
        <f>SUMIFS('Diags Raw Data'!$W$6:$W$4644,'Diags Raw Data'!$D$6:$D$4644,$A26,'Diags Raw Data'!$M$6:$M$4644,"Legacy")</f>
        <v>0</v>
      </c>
      <c r="L26" s="207" t="str">
        <f t="shared" ref="L26:L31" si="39">IF(NOT($C26=0), G26/$C26, "---")</f>
        <v>---</v>
      </c>
      <c r="M26" s="200" t="str">
        <f t="shared" ref="M26:M31" si="40">IF(NOT($G26=0), (H26+I26)/$G26, "---")</f>
        <v>---</v>
      </c>
      <c r="N26" s="204" t="str">
        <f t="shared" ref="N26:N31" si="41">IF(NOT($C26=0), (H26+I26)/$C26, "---")</f>
        <v>---</v>
      </c>
      <c r="O26" s="193">
        <f>SUMIFS('Diags Raw Data'!$Z$6:$Z$4644,'Diags Raw Data'!$D$6:$D$4644,$A26,'Diags Raw Data'!$M$6:$M$4644,"Legacy")</f>
        <v>0</v>
      </c>
      <c r="P26" s="190">
        <f>SUMIFS('Diags Raw Data'!$AA$6:$AA$4644,'Diags Raw Data'!$D$6:$D$4644,$A26,'Diags Raw Data'!$M$6:$M$4644,"Legacy")</f>
        <v>0</v>
      </c>
      <c r="Q26" s="192">
        <f>SUMIFS('Diags Raw Data'!$AB$6:$AB$4644,'Diags Raw Data'!$D$6:$D$4644,$A26,'Diags Raw Data'!$M$6:$M$4644,"Legacy")</f>
        <v>0</v>
      </c>
      <c r="R26" s="190">
        <f>SUMIFS('Diags Raw Data'!$AC$6:$AC$4644,'Diags Raw Data'!$D$6:$D$4644,$A26,'Diags Raw Data'!$M$6:$M$4644,"Legacy")</f>
        <v>0</v>
      </c>
      <c r="S26" s="192">
        <f>SUMIFS('Diags Raw Data'!$AD$6:$AD$4644,'Diags Raw Data'!$D$6:$D$4644,$A26,'Diags Raw Data'!$M$6:$M$4644,"Legacy")</f>
        <v>0</v>
      </c>
      <c r="T26" s="191" t="str">
        <f t="shared" ref="T26:T31" si="42">IF(NOT($B26=0), O26/$B26, "---")</f>
        <v>---</v>
      </c>
      <c r="U26" s="201" t="str">
        <f t="shared" ref="U26:U31" si="43">IF(NOT($O26=0), (P26+Q26)/$O26, "---")</f>
        <v>---</v>
      </c>
      <c r="V26" s="203" t="str">
        <f t="shared" ref="V26:V31" si="44">IF(NOT($B26=0), (P26+Q26)/$B26, "---")</f>
        <v>---</v>
      </c>
    </row>
    <row r="27" spans="1:22">
      <c r="A27" s="288" t="s">
        <v>377</v>
      </c>
      <c r="B27" s="211">
        <f>SUMIFS('Diags Raw Data'!$L$6:$L$4644,'Diags Raw Data'!$D$6:$D$4644,$A27,'Diags Raw Data'!$M$6:$M$4644,"Legacy")</f>
        <v>0</v>
      </c>
      <c r="C27" s="206">
        <f>SUMIFS('Diags Raw Data'!$R$6:$R$4644,'Diags Raw Data'!$D$6:$D$4644,$A27,'Diags Raw Data'!$M$6:$M$4644,"Legacy")</f>
        <v>0</v>
      </c>
      <c r="D27" s="206">
        <f>SUMIFS('Diags Raw Data'!$K$6:$K$4644,'Diags Raw Data'!$D$6:$D$4644,$A27,'Diags Raw Data'!$M$6:$M$4644,"Legacy")</f>
        <v>0</v>
      </c>
      <c r="E27" s="206">
        <f>SUMIFS('Diags Raw Data'!$O$6:$O$4644,'Diags Raw Data'!$D$6:$D$4644,$A27,'Diags Raw Data'!$M$6:$M$4644,"Legacy")</f>
        <v>0</v>
      </c>
      <c r="F27" s="209" t="str">
        <f t="shared" ref="F27:F28" si="45">IF(NOT($B27=0), E27/$B27, "---")</f>
        <v>---</v>
      </c>
      <c r="G27" s="202">
        <f>SUMIFS('Diags Raw Data'!$S$6:$S$4644,'Diags Raw Data'!$D$6:$D$4644,$A27,'Diags Raw Data'!$M$6:$M$4644,"Legacy")</f>
        <v>0</v>
      </c>
      <c r="H27" s="198">
        <f>SUMIFS('Diags Raw Data'!$T$6:$T$4644,'Diags Raw Data'!$D$6:$D$4644,$A27,'Diags Raw Data'!$M$6:$M$4644,"Legacy")</f>
        <v>0</v>
      </c>
      <c r="I27" s="199">
        <f>SUMIFS('Diags Raw Data'!$U$6:$U$4644,'Diags Raw Data'!$D$6:$D$4644,$A27,'Diags Raw Data'!$M$6:$M$4644,"Legacy")</f>
        <v>0</v>
      </c>
      <c r="J27" s="198">
        <f>SUMIFS('Diags Raw Data'!$V$6:$V$4644,'Diags Raw Data'!$D$6:$D$4644,$A27,'Diags Raw Data'!$M$6:$M$4644,"Legacy")</f>
        <v>0</v>
      </c>
      <c r="K27" s="199">
        <f>SUMIFS('Diags Raw Data'!$W$6:$W$4644,'Diags Raw Data'!$D$6:$D$4644,$A27,'Diags Raw Data'!$M$6:$M$4644,"Legacy")</f>
        <v>0</v>
      </c>
      <c r="L27" s="207" t="str">
        <f t="shared" ref="L27:L28" si="46">IF(NOT($C27=0), G27/$C27, "---")</f>
        <v>---</v>
      </c>
      <c r="M27" s="200" t="str">
        <f t="shared" ref="M27:M28" si="47">IF(NOT($G27=0), (H27+I27)/$G27, "---")</f>
        <v>---</v>
      </c>
      <c r="N27" s="204" t="str">
        <f t="shared" ref="N27:N28" si="48">IF(NOT($C27=0), (H27+I27)/$C27, "---")</f>
        <v>---</v>
      </c>
      <c r="O27" s="193">
        <f>SUMIFS('Diags Raw Data'!$Z$6:$Z$4644,'Diags Raw Data'!$D$6:$D$4644,$A27,'Diags Raw Data'!$M$6:$M$4644,"Legacy")</f>
        <v>0</v>
      </c>
      <c r="P27" s="190">
        <f>SUMIFS('Diags Raw Data'!$AA$6:$AA$4644,'Diags Raw Data'!$D$6:$D$4644,$A27,'Diags Raw Data'!$M$6:$M$4644,"Legacy")</f>
        <v>0</v>
      </c>
      <c r="Q27" s="192">
        <f>SUMIFS('Diags Raw Data'!$AB$6:$AB$4644,'Diags Raw Data'!$D$6:$D$4644,$A27,'Diags Raw Data'!$M$6:$M$4644,"Legacy")</f>
        <v>0</v>
      </c>
      <c r="R27" s="190">
        <f>SUMIFS('Diags Raw Data'!$AC$6:$AC$4644,'Diags Raw Data'!$D$6:$D$4644,$A27,'Diags Raw Data'!$M$6:$M$4644,"Legacy")</f>
        <v>0</v>
      </c>
      <c r="S27" s="192">
        <f>SUMIFS('Diags Raw Data'!$AD$6:$AD$4644,'Diags Raw Data'!$D$6:$D$4644,$A27,'Diags Raw Data'!$M$6:$M$4644,"Legacy")</f>
        <v>0</v>
      </c>
      <c r="T27" s="191" t="str">
        <f t="shared" ref="T27:T28" si="49">IF(NOT($B27=0), O27/$B27, "---")</f>
        <v>---</v>
      </c>
      <c r="U27" s="201" t="str">
        <f t="shared" ref="U27:U28" si="50">IF(NOT($O27=0), (P27+Q27)/$O27, "---")</f>
        <v>---</v>
      </c>
      <c r="V27" s="203" t="str">
        <f t="shared" ref="V27:V28" si="51">IF(NOT($B27=0), (P27+Q27)/$B27, "---")</f>
        <v>---</v>
      </c>
    </row>
    <row r="28" spans="1:22">
      <c r="A28" s="288" t="s">
        <v>258</v>
      </c>
      <c r="B28" s="211">
        <f>SUMIFS('Diags Raw Data'!$L$6:$L$4644,'Diags Raw Data'!$D$6:$D$4644,$A28,'Diags Raw Data'!$M$6:$M$4644,"Legacy")</f>
        <v>55</v>
      </c>
      <c r="C28" s="206">
        <f>SUMIFS('Diags Raw Data'!$R$6:$R$4644,'Diags Raw Data'!$D$6:$D$4644,$A28,'Diags Raw Data'!$M$6:$M$4644,"Legacy")</f>
        <v>52</v>
      </c>
      <c r="D28" s="206">
        <f>SUMIFS('Diags Raw Data'!$K$6:$K$4644,'Diags Raw Data'!$D$6:$D$4644,$A28,'Diags Raw Data'!$M$6:$M$4644,"Legacy")</f>
        <v>14</v>
      </c>
      <c r="E28" s="206">
        <f>SUMIFS('Diags Raw Data'!$O$6:$O$4644,'Diags Raw Data'!$D$6:$D$4644,$A28,'Diags Raw Data'!$M$6:$M$4644,"Legacy")</f>
        <v>55</v>
      </c>
      <c r="F28" s="209">
        <f t="shared" si="45"/>
        <v>1</v>
      </c>
      <c r="G28" s="202">
        <f>SUMIFS('Diags Raw Data'!$S$6:$S$4644,'Diags Raw Data'!$D$6:$D$4644,$A28,'Diags Raw Data'!$M$6:$M$4644,"Legacy")</f>
        <v>52</v>
      </c>
      <c r="H28" s="198">
        <f>SUMIFS('Diags Raw Data'!$T$6:$T$4644,'Diags Raw Data'!$D$6:$D$4644,$A28,'Diags Raw Data'!$M$6:$M$4644,"Legacy")</f>
        <v>52</v>
      </c>
      <c r="I28" s="199">
        <f>SUMIFS('Diags Raw Data'!$U$6:$U$4644,'Diags Raw Data'!$D$6:$D$4644,$A28,'Diags Raw Data'!$M$6:$M$4644,"Legacy")</f>
        <v>0</v>
      </c>
      <c r="J28" s="198">
        <f>SUMIFS('Diags Raw Data'!$V$6:$V$4644,'Diags Raw Data'!$D$6:$D$4644,$A28,'Diags Raw Data'!$M$6:$M$4644,"Legacy")</f>
        <v>0</v>
      </c>
      <c r="K28" s="199">
        <f>SUMIFS('Diags Raw Data'!$W$6:$W$4644,'Diags Raw Data'!$D$6:$D$4644,$A28,'Diags Raw Data'!$M$6:$M$4644,"Legacy")</f>
        <v>0</v>
      </c>
      <c r="L28" s="207">
        <f t="shared" si="46"/>
        <v>1</v>
      </c>
      <c r="M28" s="200">
        <f t="shared" si="47"/>
        <v>1</v>
      </c>
      <c r="N28" s="204">
        <f t="shared" si="48"/>
        <v>1</v>
      </c>
      <c r="O28" s="193">
        <f>SUMIFS('Diags Raw Data'!$Z$6:$Z$4644,'Diags Raw Data'!$D$6:$D$4644,$A28,'Diags Raw Data'!$M$6:$M$4644,"Legacy")</f>
        <v>27</v>
      </c>
      <c r="P28" s="190">
        <f>SUMIFS('Diags Raw Data'!$AA$6:$AA$4644,'Diags Raw Data'!$D$6:$D$4644,$A28,'Diags Raw Data'!$M$6:$M$4644,"Legacy")</f>
        <v>27</v>
      </c>
      <c r="Q28" s="192">
        <f>SUMIFS('Diags Raw Data'!$AB$6:$AB$4644,'Diags Raw Data'!$D$6:$D$4644,$A28,'Diags Raw Data'!$M$6:$M$4644,"Legacy")</f>
        <v>0</v>
      </c>
      <c r="R28" s="190">
        <f>SUMIFS('Diags Raw Data'!$AC$6:$AC$4644,'Diags Raw Data'!$D$6:$D$4644,$A28,'Diags Raw Data'!$M$6:$M$4644,"Legacy")</f>
        <v>0</v>
      </c>
      <c r="S28" s="192">
        <f>SUMIFS('Diags Raw Data'!$AD$6:$AD$4644,'Diags Raw Data'!$D$6:$D$4644,$A28,'Diags Raw Data'!$M$6:$M$4644,"Legacy")</f>
        <v>0</v>
      </c>
      <c r="T28" s="191">
        <f t="shared" si="49"/>
        <v>0.49090909090909091</v>
      </c>
      <c r="U28" s="201">
        <f t="shared" si="50"/>
        <v>1</v>
      </c>
      <c r="V28" s="203">
        <f t="shared" si="51"/>
        <v>0.49090909090909091</v>
      </c>
    </row>
    <row r="29" spans="1:22">
      <c r="A29" s="288" t="s">
        <v>378</v>
      </c>
      <c r="B29" s="211">
        <f>SUMIFS('Diags Raw Data'!$L$6:$L$4644,'Diags Raw Data'!$D$6:$D$4644,$A29,'Diags Raw Data'!$M$6:$M$4644,"Legacy")</f>
        <v>0</v>
      </c>
      <c r="C29" s="206">
        <f>SUMIFS('Diags Raw Data'!$R$6:$R$4644,'Diags Raw Data'!$D$6:$D$4644,$A29,'Diags Raw Data'!$M$6:$M$4644,"Legacy")</f>
        <v>0</v>
      </c>
      <c r="D29" s="206">
        <f>SUMIFS('Diags Raw Data'!$K$6:$K$4644,'Diags Raw Data'!$D$6:$D$4644,$A29,'Diags Raw Data'!$M$6:$M$4644,"Legacy")</f>
        <v>0</v>
      </c>
      <c r="E29" s="206">
        <f>SUMIFS('Diags Raw Data'!$O$6:$O$4644,'Diags Raw Data'!$D$6:$D$4644,$A29,'Diags Raw Data'!$M$6:$M$4644,"Legacy")</f>
        <v>0</v>
      </c>
      <c r="F29" s="209" t="str">
        <f t="shared" si="38"/>
        <v>---</v>
      </c>
      <c r="G29" s="202">
        <f>SUMIFS('Diags Raw Data'!$S$6:$S$4644,'Diags Raw Data'!$D$6:$D$4644,$A29,'Diags Raw Data'!$M$6:$M$4644,"Legacy")</f>
        <v>0</v>
      </c>
      <c r="H29" s="198">
        <f>SUMIFS('Diags Raw Data'!$T$6:$T$4644,'Diags Raw Data'!$D$6:$D$4644,$A29,'Diags Raw Data'!$M$6:$M$4644,"Legacy")</f>
        <v>0</v>
      </c>
      <c r="I29" s="199">
        <f>SUMIFS('Diags Raw Data'!$U$6:$U$4644,'Diags Raw Data'!$D$6:$D$4644,$A29,'Diags Raw Data'!$M$6:$M$4644,"Legacy")</f>
        <v>0</v>
      </c>
      <c r="J29" s="198">
        <f>SUMIFS('Diags Raw Data'!$V$6:$V$4644,'Diags Raw Data'!$D$6:$D$4644,$A29,'Diags Raw Data'!$M$6:$M$4644,"Legacy")</f>
        <v>0</v>
      </c>
      <c r="K29" s="199">
        <f>SUMIFS('Diags Raw Data'!$W$6:$W$4644,'Diags Raw Data'!$D$6:$D$4644,$A29,'Diags Raw Data'!$M$6:$M$4644,"Legacy")</f>
        <v>0</v>
      </c>
      <c r="L29" s="207" t="str">
        <f t="shared" si="39"/>
        <v>---</v>
      </c>
      <c r="M29" s="200" t="str">
        <f t="shared" si="40"/>
        <v>---</v>
      </c>
      <c r="N29" s="204" t="str">
        <f t="shared" si="41"/>
        <v>---</v>
      </c>
      <c r="O29" s="193">
        <f>SUMIFS('Diags Raw Data'!$Z$6:$Z$4644,'Diags Raw Data'!$D$6:$D$4644,$A29,'Diags Raw Data'!$M$6:$M$4644,"Legacy")</f>
        <v>0</v>
      </c>
      <c r="P29" s="190">
        <f>SUMIFS('Diags Raw Data'!$AA$6:$AA$4644,'Diags Raw Data'!$D$6:$D$4644,$A29,'Diags Raw Data'!$M$6:$M$4644,"Legacy")</f>
        <v>0</v>
      </c>
      <c r="Q29" s="192">
        <f>SUMIFS('Diags Raw Data'!$AB$6:$AB$4644,'Diags Raw Data'!$D$6:$D$4644,$A29,'Diags Raw Data'!$M$6:$M$4644,"Legacy")</f>
        <v>0</v>
      </c>
      <c r="R29" s="190">
        <f>SUMIFS('Diags Raw Data'!$AC$6:$AC$4644,'Diags Raw Data'!$D$6:$D$4644,$A29,'Diags Raw Data'!$M$6:$M$4644,"Legacy")</f>
        <v>0</v>
      </c>
      <c r="S29" s="192">
        <f>SUMIFS('Diags Raw Data'!$AD$6:$AD$4644,'Diags Raw Data'!$D$6:$D$4644,$A29,'Diags Raw Data'!$M$6:$M$4644,"Legacy")</f>
        <v>0</v>
      </c>
      <c r="T29" s="191" t="str">
        <f t="shared" si="42"/>
        <v>---</v>
      </c>
      <c r="U29" s="201" t="str">
        <f t="shared" si="43"/>
        <v>---</v>
      </c>
      <c r="V29" s="203" t="str">
        <f t="shared" si="44"/>
        <v>---</v>
      </c>
    </row>
    <row r="30" spans="1:22">
      <c r="A30" s="288" t="s">
        <v>379</v>
      </c>
      <c r="B30" s="211">
        <f>SUMIFS('Diags Raw Data'!$L$6:$L$4644,'Diags Raw Data'!$D$6:$D$4644,$A30,'Diags Raw Data'!$M$6:$M$4644,"Legacy")</f>
        <v>0</v>
      </c>
      <c r="C30" s="206">
        <f>SUMIFS('Diags Raw Data'!$R$6:$R$4644,'Diags Raw Data'!$D$6:$D$4644,$A30,'Diags Raw Data'!$M$6:$M$4644,"Legacy")</f>
        <v>0</v>
      </c>
      <c r="D30" s="206">
        <f>SUMIFS('Diags Raw Data'!$K$6:$K$4644,'Diags Raw Data'!$D$6:$D$4644,$A30,'Diags Raw Data'!$M$6:$M$4644,"Legacy")</f>
        <v>0</v>
      </c>
      <c r="E30" s="206">
        <f>SUMIFS('Diags Raw Data'!$O$6:$O$4644,'Diags Raw Data'!$D$6:$D$4644,$A30,'Diags Raw Data'!$M$6:$M$4644,"Legacy")</f>
        <v>0</v>
      </c>
      <c r="F30" s="209" t="str">
        <f t="shared" si="38"/>
        <v>---</v>
      </c>
      <c r="G30" s="202">
        <f>SUMIFS('Diags Raw Data'!$S$6:$S$4644,'Diags Raw Data'!$D$6:$D$4644,$A30,'Diags Raw Data'!$M$6:$M$4644,"Legacy")</f>
        <v>0</v>
      </c>
      <c r="H30" s="198">
        <f>SUMIFS('Diags Raw Data'!$T$6:$T$4644,'Diags Raw Data'!$D$6:$D$4644,$A30,'Diags Raw Data'!$M$6:$M$4644,"Legacy")</f>
        <v>0</v>
      </c>
      <c r="I30" s="199">
        <f>SUMIFS('Diags Raw Data'!$U$6:$U$4644,'Diags Raw Data'!$D$6:$D$4644,$A30,'Diags Raw Data'!$M$6:$M$4644,"Legacy")</f>
        <v>0</v>
      </c>
      <c r="J30" s="198">
        <f>SUMIFS('Diags Raw Data'!$V$6:$V$4644,'Diags Raw Data'!$D$6:$D$4644,$A30,'Diags Raw Data'!$M$6:$M$4644,"Legacy")</f>
        <v>0</v>
      </c>
      <c r="K30" s="199">
        <f>SUMIFS('Diags Raw Data'!$W$6:$W$4644,'Diags Raw Data'!$D$6:$D$4644,$A30,'Diags Raw Data'!$M$6:$M$4644,"Legacy")</f>
        <v>0</v>
      </c>
      <c r="L30" s="207" t="str">
        <f t="shared" si="39"/>
        <v>---</v>
      </c>
      <c r="M30" s="200" t="str">
        <f t="shared" si="40"/>
        <v>---</v>
      </c>
      <c r="N30" s="204" t="str">
        <f t="shared" si="41"/>
        <v>---</v>
      </c>
      <c r="O30" s="193">
        <f>SUMIFS('Diags Raw Data'!$Z$6:$Z$4644,'Diags Raw Data'!$D$6:$D$4644,$A30,'Diags Raw Data'!$M$6:$M$4644,"Legacy")</f>
        <v>0</v>
      </c>
      <c r="P30" s="190">
        <f>SUMIFS('Diags Raw Data'!$AA$6:$AA$4644,'Diags Raw Data'!$D$6:$D$4644,$A30,'Diags Raw Data'!$M$6:$M$4644,"Legacy")</f>
        <v>0</v>
      </c>
      <c r="Q30" s="192">
        <f>SUMIFS('Diags Raw Data'!$AB$6:$AB$4644,'Diags Raw Data'!$D$6:$D$4644,$A30,'Diags Raw Data'!$M$6:$M$4644,"Legacy")</f>
        <v>0</v>
      </c>
      <c r="R30" s="190">
        <f>SUMIFS('Diags Raw Data'!$AC$6:$AC$4644,'Diags Raw Data'!$D$6:$D$4644,$A30,'Diags Raw Data'!$M$6:$M$4644,"Legacy")</f>
        <v>0</v>
      </c>
      <c r="S30" s="192">
        <f>SUMIFS('Diags Raw Data'!$AD$6:$AD$4644,'Diags Raw Data'!$D$6:$D$4644,$A30,'Diags Raw Data'!$M$6:$M$4644,"Legacy")</f>
        <v>0</v>
      </c>
      <c r="T30" s="191" t="str">
        <f t="shared" si="42"/>
        <v>---</v>
      </c>
      <c r="U30" s="201" t="str">
        <f t="shared" si="43"/>
        <v>---</v>
      </c>
      <c r="V30" s="203" t="str">
        <f t="shared" si="44"/>
        <v>---</v>
      </c>
    </row>
    <row r="31" spans="1:22">
      <c r="A31" s="288" t="s">
        <v>380</v>
      </c>
      <c r="B31" s="211">
        <f>SUMIFS('Diags Raw Data'!$L$6:$L$4644,'Diags Raw Data'!$D$6:$D$4644,$A31,'Diags Raw Data'!$M$6:$M$4644,"Legacy")</f>
        <v>0</v>
      </c>
      <c r="C31" s="206">
        <f>SUMIFS('Diags Raw Data'!$R$6:$R$4644,'Diags Raw Data'!$D$6:$D$4644,$A31,'Diags Raw Data'!$M$6:$M$4644,"Legacy")</f>
        <v>0</v>
      </c>
      <c r="D31" s="206">
        <f>SUMIFS('Diags Raw Data'!$K$6:$K$4644,'Diags Raw Data'!$D$6:$D$4644,$A31,'Diags Raw Data'!$M$6:$M$4644,"Legacy")</f>
        <v>0</v>
      </c>
      <c r="E31" s="206">
        <f>SUMIFS('Diags Raw Data'!$O$6:$O$4644,'Diags Raw Data'!$D$6:$D$4644,$A31,'Diags Raw Data'!$M$6:$M$4644,"Legacy")</f>
        <v>0</v>
      </c>
      <c r="F31" s="209" t="str">
        <f t="shared" si="38"/>
        <v>---</v>
      </c>
      <c r="G31" s="202">
        <f>SUMIFS('Diags Raw Data'!$S$6:$S$4644,'Diags Raw Data'!$D$6:$D$4644,$A31,'Diags Raw Data'!$M$6:$M$4644,"Legacy")</f>
        <v>0</v>
      </c>
      <c r="H31" s="198">
        <f>SUMIFS('Diags Raw Data'!$T$6:$T$4644,'Diags Raw Data'!$D$6:$D$4644,$A31,'Diags Raw Data'!$M$6:$M$4644,"Legacy")</f>
        <v>0</v>
      </c>
      <c r="I31" s="199">
        <f>SUMIFS('Diags Raw Data'!$U$6:$U$4644,'Diags Raw Data'!$D$6:$D$4644,$A31,'Diags Raw Data'!$M$6:$M$4644,"Legacy")</f>
        <v>0</v>
      </c>
      <c r="J31" s="198">
        <f>SUMIFS('Diags Raw Data'!$V$6:$V$4644,'Diags Raw Data'!$D$6:$D$4644,$A31,'Diags Raw Data'!$M$6:$M$4644,"Legacy")</f>
        <v>0</v>
      </c>
      <c r="K31" s="199">
        <f>SUMIFS('Diags Raw Data'!$W$6:$W$4644,'Diags Raw Data'!$D$6:$D$4644,$A31,'Diags Raw Data'!$M$6:$M$4644,"Legacy")</f>
        <v>0</v>
      </c>
      <c r="L31" s="207" t="str">
        <f t="shared" si="39"/>
        <v>---</v>
      </c>
      <c r="M31" s="200" t="str">
        <f t="shared" si="40"/>
        <v>---</v>
      </c>
      <c r="N31" s="204" t="str">
        <f t="shared" si="41"/>
        <v>---</v>
      </c>
      <c r="O31" s="193">
        <f>SUMIFS('Diags Raw Data'!$Z$6:$Z$4644,'Diags Raw Data'!$D$6:$D$4644,$A31,'Diags Raw Data'!$M$6:$M$4644,"Legacy")</f>
        <v>0</v>
      </c>
      <c r="P31" s="190">
        <f>SUMIFS('Diags Raw Data'!$AA$6:$AA$4644,'Diags Raw Data'!$D$6:$D$4644,$A31,'Diags Raw Data'!$M$6:$M$4644,"Legacy")</f>
        <v>0</v>
      </c>
      <c r="Q31" s="192">
        <f>SUMIFS('Diags Raw Data'!$AB$6:$AB$4644,'Diags Raw Data'!$D$6:$D$4644,$A31,'Diags Raw Data'!$M$6:$M$4644,"Legacy")</f>
        <v>0</v>
      </c>
      <c r="R31" s="190">
        <f>SUMIFS('Diags Raw Data'!$AC$6:$AC$4644,'Diags Raw Data'!$D$6:$D$4644,$A31,'Diags Raw Data'!$M$6:$M$4644,"Legacy")</f>
        <v>0</v>
      </c>
      <c r="S31" s="192">
        <f>SUMIFS('Diags Raw Data'!$AD$6:$AD$4644,'Diags Raw Data'!$D$6:$D$4644,$A31,'Diags Raw Data'!$M$6:$M$4644,"Legacy")</f>
        <v>0</v>
      </c>
      <c r="T31" s="191" t="str">
        <f t="shared" si="42"/>
        <v>---</v>
      </c>
      <c r="U31" s="201" t="str">
        <f t="shared" si="43"/>
        <v>---</v>
      </c>
      <c r="V31" s="203" t="str">
        <f t="shared" si="44"/>
        <v>---</v>
      </c>
    </row>
    <row r="32" spans="1:22" ht="15" thickBot="1">
      <c r="A32" s="288" t="s">
        <v>381</v>
      </c>
      <c r="B32" s="211">
        <f>SUMIFS('Diags Raw Data'!$L$6:$L$4644,'Diags Raw Data'!$D$6:$D$4644,$A32,'Diags Raw Data'!$M$6:$M$4644,"Legacy")</f>
        <v>0</v>
      </c>
      <c r="C32" s="206">
        <f>SUMIFS('Diags Raw Data'!$R$6:$R$4644,'Diags Raw Data'!$D$6:$D$4644,$A32,'Diags Raw Data'!$M$6:$M$4644,"Legacy")</f>
        <v>0</v>
      </c>
      <c r="D32" s="206">
        <f>SUMIFS('Diags Raw Data'!$K$6:$K$4644,'Diags Raw Data'!$D$6:$D$4644,$A32,'Diags Raw Data'!$M$6:$M$4644,"Legacy")</f>
        <v>0</v>
      </c>
      <c r="E32" s="206">
        <f>SUMIFS('Diags Raw Data'!$O$6:$O$4644,'Diags Raw Data'!$D$6:$D$4644,$A32,'Diags Raw Data'!$M$6:$M$4644,"Legacy")</f>
        <v>0</v>
      </c>
      <c r="F32" s="209" t="str">
        <f t="shared" ref="F32" si="52">IF(NOT($B32=0), E32/$B32, "---")</f>
        <v>---</v>
      </c>
      <c r="G32" s="202">
        <f>SUMIFS('Diags Raw Data'!$S$6:$S$4644,'Diags Raw Data'!$D$6:$D$4644,$A32,'Diags Raw Data'!$M$6:$M$4644,"Legacy")</f>
        <v>0</v>
      </c>
      <c r="H32" s="198">
        <f>SUMIFS('Diags Raw Data'!$T$6:$T$4644,'Diags Raw Data'!$D$6:$D$4644,$A32,'Diags Raw Data'!$M$6:$M$4644,"Legacy")</f>
        <v>0</v>
      </c>
      <c r="I32" s="199">
        <f>SUMIFS('Diags Raw Data'!$U$6:$U$4644,'Diags Raw Data'!$D$6:$D$4644,$A32,'Diags Raw Data'!$M$6:$M$4644,"Legacy")</f>
        <v>0</v>
      </c>
      <c r="J32" s="198">
        <f>SUMIFS('Diags Raw Data'!$V$6:$V$4644,'Diags Raw Data'!$D$6:$D$4644,$A32,'Diags Raw Data'!$M$6:$M$4644,"Legacy")</f>
        <v>0</v>
      </c>
      <c r="K32" s="199">
        <f>SUMIFS('Diags Raw Data'!$W$6:$W$4644,'Diags Raw Data'!$D$6:$D$4644,$A32,'Diags Raw Data'!$M$6:$M$4644,"Legacy")</f>
        <v>0</v>
      </c>
      <c r="L32" s="207" t="str">
        <f t="shared" ref="L32" si="53">IF(NOT($C32=0), G32/$C32, "---")</f>
        <v>---</v>
      </c>
      <c r="M32" s="200" t="str">
        <f t="shared" ref="M32" si="54">IF(NOT($G32=0), (H32+I32)/$G32, "---")</f>
        <v>---</v>
      </c>
      <c r="N32" s="204" t="str">
        <f t="shared" ref="N32" si="55">IF(NOT($C32=0), (H32+I32)/$C32, "---")</f>
        <v>---</v>
      </c>
      <c r="O32" s="193">
        <f>SUMIFS('Diags Raw Data'!$Z$6:$Z$4644,'Diags Raw Data'!$D$6:$D$4644,$A32,'Diags Raw Data'!$M$6:$M$4644,"Legacy")</f>
        <v>0</v>
      </c>
      <c r="P32" s="190">
        <f>SUMIFS('Diags Raw Data'!$AA$6:$AA$4644,'Diags Raw Data'!$D$6:$D$4644,$A32,'Diags Raw Data'!$M$6:$M$4644,"Legacy")</f>
        <v>0</v>
      </c>
      <c r="Q32" s="192">
        <f>SUMIFS('Diags Raw Data'!$AB$6:$AB$4644,'Diags Raw Data'!$D$6:$D$4644,$A32,'Diags Raw Data'!$M$6:$M$4644,"Legacy")</f>
        <v>0</v>
      </c>
      <c r="R32" s="190">
        <f>SUMIFS('Diags Raw Data'!$AC$6:$AC$4644,'Diags Raw Data'!$D$6:$D$4644,$A32,'Diags Raw Data'!$M$6:$M$4644,"Legacy")</f>
        <v>0</v>
      </c>
      <c r="S32" s="192">
        <f>SUMIFS('Diags Raw Data'!$AD$6:$AD$4644,'Diags Raw Data'!$D$6:$D$4644,$A32,'Diags Raw Data'!$M$6:$M$4644,"Legacy")</f>
        <v>0</v>
      </c>
      <c r="T32" s="191" t="str">
        <f t="shared" ref="T32" si="56">IF(NOT($B32=0), O32/$B32, "---")</f>
        <v>---</v>
      </c>
      <c r="U32" s="201" t="str">
        <f t="shared" ref="U32" si="57">IF(NOT($O32=0), (P32+Q32)/$O32, "---")</f>
        <v>---</v>
      </c>
      <c r="V32" s="203" t="str">
        <f t="shared" ref="V32" si="58">IF(NOT($B32=0), (P32+Q32)/$B32, "---")</f>
        <v>---</v>
      </c>
    </row>
    <row r="33" spans="1:22" ht="16.149999999999999" thickBot="1">
      <c r="A33" s="229" t="s">
        <v>385</v>
      </c>
      <c r="B33" s="214">
        <f>SUM(B26:B32)</f>
        <v>55</v>
      </c>
      <c r="C33" s="215">
        <f>SUM(C26:C32)</f>
        <v>52</v>
      </c>
      <c r="D33" s="215">
        <f>SUM(D26:D32)</f>
        <v>14</v>
      </c>
      <c r="E33" s="215">
        <f>SUM(E26:E32)</f>
        <v>55</v>
      </c>
      <c r="F33" s="216" cm="1">
        <f t="array" ref="F33">SUMPRODUCT(--(ISNUMBER(SEARCH("Legacy",'Diags Raw Data'!$M$6:$M$4644))),'Diags Raw Data'!$K$6:$K$4644,'Diags Raw Data'!$P$6:$P$4644)/D33</f>
        <v>1</v>
      </c>
      <c r="G33" s="217">
        <f>SUM(G26:G32)</f>
        <v>52</v>
      </c>
      <c r="H33" s="218">
        <f>SUM(H26:H32)</f>
        <v>52</v>
      </c>
      <c r="I33" s="219">
        <f>SUM(I26:I32)</f>
        <v>0</v>
      </c>
      <c r="J33" s="218">
        <f>SUM(J26:J32)</f>
        <v>0</v>
      </c>
      <c r="K33" s="219">
        <f>SUM(K26:K32)</f>
        <v>0</v>
      </c>
      <c r="L33" s="220">
        <f>IF(NOT($C33=0), G33/$C33, "---")</f>
        <v>1</v>
      </c>
      <c r="M33" s="221">
        <f t="shared" ref="M33" si="59">IF(NOT($G33=0), (H33+I33)/$G33, "---")</f>
        <v>1</v>
      </c>
      <c r="N33" s="222">
        <f t="shared" ref="N33" si="60">IF(NOT($C33=0), (H33+I33)/$C33, "---")</f>
        <v>1</v>
      </c>
      <c r="O33" s="223">
        <f>SUM(O26:O32)</f>
        <v>27</v>
      </c>
      <c r="P33" s="224">
        <f>SUM(P26:P32)</f>
        <v>27</v>
      </c>
      <c r="Q33" s="225">
        <f>SUM(Q26:Q32)</f>
        <v>0</v>
      </c>
      <c r="R33" s="224">
        <f>SUM(R26:R32)</f>
        <v>0</v>
      </c>
      <c r="S33" s="225">
        <f>SUM(S26:S32)</f>
        <v>0</v>
      </c>
      <c r="T33" s="226">
        <f>IF(NOT($B33=0), O33/$B33, "---")</f>
        <v>0.49090909090909091</v>
      </c>
      <c r="U33" s="227">
        <f t="shared" ref="U33" si="61">IF(NOT($O33=0), (P33+Q33)/$O33, "---")</f>
        <v>1</v>
      </c>
      <c r="V33" s="228">
        <f>IF(NOT($B33=0), (P33+Q33)/$B33, "---")</f>
        <v>0.49090909090909091</v>
      </c>
    </row>
    <row r="34" spans="1:22">
      <c r="A34" s="208"/>
      <c r="B34" s="208"/>
      <c r="C34" s="208"/>
      <c r="D34" s="208"/>
      <c r="E34" s="208"/>
      <c r="F34" s="208"/>
      <c r="G34" s="208"/>
      <c r="H34" s="208"/>
      <c r="I34" s="208"/>
      <c r="J34" s="208"/>
      <c r="K34" s="208"/>
      <c r="L34" s="208"/>
      <c r="M34" s="208"/>
      <c r="N34" s="208"/>
      <c r="O34" s="208"/>
      <c r="P34" s="208"/>
      <c r="Q34" s="208"/>
      <c r="R34" s="208"/>
      <c r="S34" s="208"/>
      <c r="T34" s="208"/>
      <c r="U34" s="208"/>
      <c r="V34" s="208"/>
    </row>
    <row r="36" spans="1:22">
      <c r="F36" s="130"/>
    </row>
    <row r="39" spans="1:22">
      <c r="F39" s="316"/>
    </row>
    <row r="40" spans="1:22">
      <c r="F40" s="315"/>
    </row>
    <row r="41" spans="1:22">
      <c r="F41" s="315"/>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9">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fRule type="colorScale" priority="985">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6">
      <colorScale>
        <cfvo type="percent" val="0"/>
        <cfvo type="percent" val="50"/>
        <cfvo type="percent" val="100"/>
        <color rgb="FFF8696B"/>
        <color rgb="FFFFEB84"/>
        <color rgb="FF63BE7B"/>
      </colorScale>
    </cfRule>
  </conditionalFormatting>
  <conditionalFormatting sqref="F5">
    <cfRule type="colorScale" priority="1038">
      <colorScale>
        <cfvo type="percentile" val="10"/>
        <cfvo type="percentile" val="50"/>
        <cfvo type="percentile" val="9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6">
      <colorScale>
        <cfvo type="percent" val="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onditionalFormatting>
  <conditionalFormatting sqref="F6">
    <cfRule type="colorScale" priority="1057">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3">
      <colorScale>
        <cfvo type="percent" val="0"/>
        <cfvo type="percent" val="50"/>
        <cfvo type="percent" val="100"/>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6">
      <colorScale>
        <cfvo type="min"/>
        <cfvo type="percentile" val="50"/>
        <cfvo type="max"/>
        <color rgb="FFF8696B"/>
        <color rgb="FFFFEB84"/>
        <color rgb="FF63BE7B"/>
      </colorScale>
    </cfRule>
    <cfRule type="colorScale" priority="1075">
      <colorScale>
        <cfvo type="percent" val="20"/>
        <cfvo type="percent" val="50"/>
        <cfvo type="percent" val="100"/>
        <color rgb="FFF8696B"/>
        <color rgb="FFFFEB84"/>
        <color rgb="FF63BE7B"/>
      </colorScale>
    </cfRule>
  </conditionalFormatting>
  <conditionalFormatting sqref="F8">
    <cfRule type="colorScale" priority="1093">
      <colorScale>
        <cfvo type="min"/>
        <cfvo type="percentile" val="50"/>
        <cfvo type="max"/>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onditionalFormatting>
  <conditionalFormatting sqref="F9">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1">
      <colorScale>
        <cfvo type="min"/>
        <cfvo type="percentile" val="50"/>
        <cfvo type="max"/>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55">
      <colorScale>
        <cfvo type="percent" val="0"/>
        <cfvo type="percent" val="50"/>
        <cfvo type="percent" val="100"/>
        <color rgb="FFF8696B"/>
        <color rgb="FFFFEB84"/>
        <color rgb="FF63BE7B"/>
      </colorScale>
    </cfRule>
  </conditionalFormatting>
  <conditionalFormatting sqref="F10">
    <cfRule type="colorScale" priority="1710">
      <colorScale>
        <cfvo type="percent" val="2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5">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2">
      <colorScale>
        <cfvo type="min"/>
        <cfvo type="percentile" val="50"/>
        <cfvo type="max"/>
        <color rgb="FFF8696B"/>
        <color rgb="FFFFEB84"/>
        <color rgb="FF63BE7B"/>
      </colorScale>
    </cfRule>
    <cfRule type="colorScale" priority="111">
      <colorScale>
        <cfvo type="percent" val="20"/>
        <cfvo type="percent" val="50"/>
        <cfvo type="percent" val="100"/>
        <color rgb="FFF8696B"/>
        <color rgb="FFFFEB84"/>
        <color rgb="FF63BE7B"/>
      </colorScale>
    </cfRule>
  </conditionalFormatting>
  <conditionalFormatting sqref="F16">
    <cfRule type="colorScale" priority="21">
      <colorScale>
        <cfvo type="percent" val="2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fRule type="colorScale" priority="18">
      <colorScale>
        <cfvo type="percentile" val="10"/>
        <cfvo type="percentile" val="50"/>
        <cfvo type="percentile" val="90"/>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fRule type="colorScale" priority="33">
      <colorScale>
        <cfvo type="percentile" val="10"/>
        <cfvo type="percentile" val="50"/>
        <cfvo type="percentile" val="90"/>
        <color rgb="FFF8696B"/>
        <color rgb="FFFFEB84"/>
        <color rgb="FF63BE7B"/>
      </colorScale>
    </cfRule>
  </conditionalFormatting>
  <conditionalFormatting sqref="F18">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F19">
    <cfRule type="colorScale" priority="62">
      <colorScale>
        <cfvo type="percent" val="0"/>
        <cfvo type="percent" val="50"/>
        <cfvo type="percent" val="100"/>
        <color rgb="FFF8696B"/>
        <color rgb="FFFFEB84"/>
        <color rgb="FF63BE7B"/>
      </colorScale>
    </cfRule>
    <cfRule type="colorScale" priority="61">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9">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82">
      <colorScale>
        <cfvo type="min"/>
        <cfvo type="percentile" val="50"/>
        <cfvo type="max"/>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onditionalFormatting>
  <conditionalFormatting sqref="F21">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onditionalFormatting>
  <conditionalFormatting sqref="F26">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80">
      <colorScale>
        <cfvo type="min"/>
        <cfvo type="percentile" val="50"/>
        <cfvo type="max"/>
        <color rgb="FFF8696B"/>
        <color rgb="FFFFEB84"/>
        <color rgb="FF63BE7B"/>
      </colorScale>
    </cfRule>
    <cfRule type="colorScale" priority="271">
      <colorScale>
        <cfvo type="percent" val="0"/>
        <cfvo type="percent" val="50"/>
        <cfvo type="percent" val="100"/>
        <color rgb="FFF8696B"/>
        <color rgb="FFFFEB84"/>
        <color rgb="FF63BE7B"/>
      </colorScale>
    </cfRule>
    <cfRule type="colorScale" priority="273">
      <colorScale>
        <cfvo type="percent" val="0"/>
        <cfvo type="percent" val="50"/>
        <cfvo type="percent" val="100"/>
        <color rgb="FFF8696B"/>
        <color rgb="FFFFEB84"/>
        <color rgb="FF63BE7B"/>
      </colorScale>
    </cfRule>
  </conditionalFormatting>
  <conditionalFormatting sqref="F27">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1">
      <colorScale>
        <cfvo type="percent" val="0"/>
        <cfvo type="percent" val="50"/>
        <cfvo type="percent" val="100"/>
        <color rgb="FFF8696B"/>
        <color rgb="FFFFEB84"/>
        <color rgb="FF63BE7B"/>
      </colorScale>
    </cfRule>
  </conditionalFormatting>
  <conditionalFormatting sqref="F28">
    <cfRule type="colorScale" priority="257">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1">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onditionalFormatting>
  <conditionalFormatting sqref="F29">
    <cfRule type="colorScale" priority="299">
      <colorScale>
        <cfvo type="percent" val="20"/>
        <cfvo type="percent" val="50"/>
        <cfvo type="percent" val="10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20">
      <colorScale>
        <cfvo type="min"/>
        <cfvo type="percentile" val="50"/>
        <cfvo type="max"/>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1">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F31">
    <cfRule type="colorScale" priority="340">
      <colorScale>
        <cfvo type="min"/>
        <cfvo type="percentile" val="50"/>
        <cfvo type="max"/>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1">
      <colorScale>
        <cfvo type="percent" val="0"/>
        <cfvo type="percent" val="50"/>
        <cfvo type="percent" val="100"/>
        <color rgb="FFF8696B"/>
        <color rgb="FFFFEB84"/>
        <color rgb="FF63BE7B"/>
      </colorScale>
    </cfRule>
  </conditionalFormatting>
  <conditionalFormatting sqref="F32">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5">
      <colorScale>
        <cfvo type="percent" val="0"/>
        <cfvo type="percent" val="50"/>
        <cfvo type="percent" val="100"/>
        <color rgb="FFF8696B"/>
        <color rgb="FFFFEB84"/>
        <color rgb="FF63BE7B"/>
      </colorScale>
    </cfRule>
    <cfRule type="colorScale" priority="994">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3">
      <colorScale>
        <cfvo type="percent" val="0"/>
        <cfvo type="percent" val="50"/>
        <cfvo type="percent" val="100"/>
        <color rgb="FFF8696B"/>
        <color rgb="FFFFEB84"/>
        <color rgb="FF63BE7B"/>
      </colorScale>
    </cfRule>
    <cfRule type="colorScale" priority="1062">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8">
      <colorScale>
        <cfvo type="percent" val="0"/>
        <cfvo type="percent" val="50"/>
        <cfvo type="percent" val="100"/>
        <color rgb="FFF8696B"/>
        <color rgb="FFFFEB84"/>
        <color rgb="FF63BE7B"/>
      </colorScale>
    </cfRule>
    <cfRule type="colorScale" priority="117">
      <colorScale>
        <cfvo type="percent" val="0"/>
        <cfvo type="percent" val="50"/>
        <cfvo type="percent" val="100"/>
        <color rgb="FFF8696B"/>
        <color rgb="FFFFEB84"/>
        <color rgb="FF63BE7B"/>
      </colorScale>
    </cfRule>
  </conditionalFormatting>
  <conditionalFormatting sqref="M16">
    <cfRule type="colorScale" priority="28">
      <colorScale>
        <cfvo type="percent" val="0"/>
        <cfvo type="percent" val="50"/>
        <cfvo type="percent" val="100"/>
        <color rgb="FFF8696B"/>
        <color rgb="FFFFEB84"/>
        <color rgb="FF63BE7B"/>
      </colorScale>
    </cfRule>
    <cfRule type="colorScale" priority="27">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8">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4">
      <colorScale>
        <cfvo type="percent" val="0"/>
        <cfvo type="percent" val="50"/>
        <cfvo type="percent" val="100"/>
        <color rgb="FFF8696B"/>
        <color rgb="FFFFEB84"/>
        <color rgb="FF63BE7B"/>
      </colorScale>
    </cfRule>
    <cfRule type="colorScale" priority="283">
      <colorScale>
        <cfvo type="percent" val="0"/>
        <cfvo type="percent" val="50"/>
        <cfvo type="percent" val="100"/>
        <color rgb="FFF8696B"/>
        <color rgb="FFFFEB84"/>
        <color rgb="FF63BE7B"/>
      </colorScale>
    </cfRule>
  </conditionalFormatting>
  <conditionalFormatting sqref="M27">
    <cfRule type="colorScale" priority="244">
      <colorScale>
        <cfvo type="percent" val="0"/>
        <cfvo type="percent" val="50"/>
        <cfvo type="percent" val="100"/>
        <color rgb="FFF8696B"/>
        <color rgb="FFFFEB84"/>
        <color rgb="FF63BE7B"/>
      </colorScale>
    </cfRule>
    <cfRule type="colorScale" priority="243">
      <colorScale>
        <cfvo type="percent" val="0"/>
        <cfvo type="percent" val="50"/>
        <cfvo type="percent" val="100"/>
        <color rgb="FFF8696B"/>
        <color rgb="FFFFEB84"/>
        <color rgb="FF63BE7B"/>
      </colorScale>
    </cfRule>
  </conditionalFormatting>
  <conditionalFormatting sqref="M28">
    <cfRule type="colorScale" priority="264">
      <colorScale>
        <cfvo type="percent" val="0"/>
        <cfvo type="percent" val="50"/>
        <cfvo type="percent" val="100"/>
        <color rgb="FFF8696B"/>
        <color rgb="FFFFEB84"/>
        <color rgb="FF63BE7B"/>
      </colorScale>
    </cfRule>
    <cfRule type="colorScale" priority="263">
      <colorScale>
        <cfvo type="percent" val="0"/>
        <cfvo type="percent" val="50"/>
        <cfvo type="percent" val="100"/>
        <color rgb="FFF8696B"/>
        <color rgb="FFFFEB84"/>
        <color rgb="FF63BE7B"/>
      </colorScale>
    </cfRule>
  </conditionalFormatting>
  <conditionalFormatting sqref="M29">
    <cfRule type="colorScale" priority="304">
      <colorScale>
        <cfvo type="percent" val="0"/>
        <cfvo type="percent" val="50"/>
        <cfvo type="percent" val="100"/>
        <color rgb="FFF8696B"/>
        <color rgb="FFFFEB84"/>
        <color rgb="FF63BE7B"/>
      </colorScale>
    </cfRule>
    <cfRule type="colorScale" priority="303">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3">
      <colorScale>
        <cfvo type="percent" val="0"/>
        <cfvo type="percent" val="50"/>
        <cfvo type="percent" val="100"/>
        <color rgb="FFF8696B"/>
        <color rgb="FFFFEB84"/>
        <color rgb="FF63BE7B"/>
      </colorScale>
    </cfRule>
    <cfRule type="colorScale" priority="1082">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8">
      <colorScale>
        <cfvo type="percent" val="0"/>
        <cfvo type="percent" val="50"/>
        <cfvo type="percent" val="100"/>
        <color rgb="FFF8696B"/>
        <color rgb="FFFFEB84"/>
        <color rgb="FF63BE7B"/>
      </colorScale>
    </cfRule>
    <cfRule type="colorScale" priority="1167">
      <colorScale>
        <cfvo type="percent" val="0"/>
        <cfvo type="percent" val="50"/>
        <cfvo type="percent" val="100"/>
        <color rgb="FFF8696B"/>
        <color rgb="FFFFEB84"/>
        <color rgb="FF63BE7B"/>
      </colorScale>
    </cfRule>
  </conditionalFormatting>
  <conditionalFormatting sqref="N10">
    <cfRule type="colorScale" priority="1730">
      <colorScale>
        <cfvo type="percent" val="0"/>
        <cfvo type="percent" val="50"/>
        <cfvo type="percent" val="100"/>
        <color rgb="FFF8696B"/>
        <color rgb="FFFFEB84"/>
        <color rgb="FF63BE7B"/>
      </colorScale>
    </cfRule>
    <cfRule type="colorScale" priority="1729">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9">
      <colorScale>
        <cfvo type="percent" val="0"/>
        <cfvo type="percent" val="50"/>
        <cfvo type="percent" val="100"/>
        <color rgb="FFF8696B"/>
        <color rgb="FFFFEB84"/>
        <color rgb="FF63BE7B"/>
      </colorScale>
    </cfRule>
    <cfRule type="colorScale" priority="38">
      <colorScale>
        <cfvo type="percent" val="0"/>
        <cfvo type="percent" val="50"/>
        <cfvo type="percent" val="100"/>
        <color rgb="FFF8696B"/>
        <color rgb="FFFFEB84"/>
        <color rgb="FF63BE7B"/>
      </colorScale>
    </cfRule>
  </conditionalFormatting>
  <conditionalFormatting sqref="N18 L18">
    <cfRule type="colorScale" priority="54">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N19 L19">
    <cfRule type="colorScale" priority="69">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N20 L20">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7">
      <colorScale>
        <cfvo type="percent" val="0"/>
        <cfvo type="percent" val="50"/>
        <cfvo type="percent" val="100"/>
        <color rgb="FFF8696B"/>
        <color rgb="FFFFEB84"/>
        <color rgb="FF63BE7B"/>
      </colorScale>
    </cfRule>
    <cfRule type="colorScale" priority="286">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7">
      <colorScale>
        <cfvo type="percent" val="0"/>
        <cfvo type="percent" val="50"/>
        <cfvo type="percent" val="100"/>
        <color rgb="FFF8696B"/>
        <color rgb="FFFFEB84"/>
        <color rgb="FF63BE7B"/>
      </colorScale>
    </cfRule>
    <cfRule type="colorScale" priority="266">
      <colorScale>
        <cfvo type="percent" val="0"/>
        <cfvo type="percent" val="50"/>
        <cfvo type="percent" val="100"/>
        <color rgb="FFF8696B"/>
        <color rgb="FFFFEB84"/>
        <color rgb="FF63BE7B"/>
      </colorScale>
    </cfRule>
  </conditionalFormatting>
  <conditionalFormatting sqref="N29">
    <cfRule type="colorScale" priority="307">
      <colorScale>
        <cfvo type="percent" val="0"/>
        <cfvo type="percent" val="50"/>
        <cfvo type="percent" val="100"/>
        <color rgb="FFF8696B"/>
        <color rgb="FFFFEB84"/>
        <color rgb="FF63BE7B"/>
      </colorScale>
    </cfRule>
    <cfRule type="colorScale" priority="306">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6">
      <colorScale>
        <cfvo type="percent" val="0"/>
        <cfvo type="percent" val="50"/>
        <cfvo type="percent" val="100"/>
        <color rgb="FFF8696B"/>
        <color rgb="FFFFEB84"/>
        <color rgb="FF63BE7B"/>
      </colorScale>
    </cfRule>
    <cfRule type="colorScale" priority="347">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T19 V19">
    <cfRule type="colorScale" priority="70">
      <colorScale>
        <cfvo type="percent" val="0"/>
        <cfvo type="percent" val="50"/>
        <cfvo type="percent" val="100"/>
        <color rgb="FFF8696B"/>
        <color rgb="FFFFEB84"/>
        <color rgb="FF63BE7B"/>
      </colorScale>
    </cfRule>
  </conditionalFormatting>
  <conditionalFormatting sqref="T20 V20">
    <cfRule type="colorScale" priority="85">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V15 T15">
    <cfRule type="colorScale" priority="115">
      <colorScale>
        <cfvo type="percent" val="0"/>
        <cfvo type="percent" val="50"/>
        <cfvo type="percent" val="100"/>
        <color rgb="FFF8696B"/>
        <color rgb="FFFFEB84"/>
        <color rgb="FF63BE7B"/>
      </colorScale>
    </cfRule>
  </conditionalFormatting>
  <conditionalFormatting sqref="V16 T16">
    <cfRule type="colorScale" priority="25">
      <colorScale>
        <cfvo type="percent" val="0"/>
        <cfvo type="percent" val="50"/>
        <cfvo type="percent" val="100"/>
        <color rgb="FFF8696B"/>
        <color rgb="FFFFEB84"/>
        <color rgb="FF63BE7B"/>
      </colorScale>
    </cfRule>
  </conditionalFormatting>
  <conditionalFormatting sqref="V17 T17">
    <cfRule type="colorScale" priority="40">
      <colorScale>
        <cfvo type="percent" val="0"/>
        <cfvo type="percent" val="50"/>
        <cfvo type="percent" val="100"/>
        <color rgb="FFF8696B"/>
        <color rgb="FFFFEB84"/>
        <color rgb="FF63BE7B"/>
      </colorScale>
    </cfRule>
  </conditionalFormatting>
  <conditionalFormatting sqref="V18 T18">
    <cfRule type="colorScale" priority="55">
      <colorScale>
        <cfvo type="percent" val="0"/>
        <cfvo type="percent" val="50"/>
        <cfvo type="percent" val="100"/>
        <color rgb="FFF8696B"/>
        <color rgb="FFFFEB84"/>
        <color rgb="FF63BE7B"/>
      </colorScale>
    </cfRule>
  </conditionalFormatting>
  <conditionalFormatting sqref="V21 T21">
    <cfRule type="colorScale" priority="100">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3"/>
  <sheetViews>
    <sheetView workbookViewId="0" xr3:uid="{51F8DEE0-4D01-5F28-A812-FC0BD7CAC4A5}">
      <pane ySplit="2" topLeftCell="A8" activePane="bottomLeft" state="frozen"/>
      <selection pane="bottomLeft" activeCell="E20" sqref="E20"/>
    </sheetView>
  </sheetViews>
  <sheetFormatPr defaultRowHeight="14.4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559" t="s">
        <v>386</v>
      </c>
      <c r="B1" s="560"/>
      <c r="C1" s="560"/>
      <c r="D1" s="560"/>
      <c r="E1" s="560"/>
      <c r="F1" s="560"/>
      <c r="G1" s="560"/>
      <c r="H1" s="560"/>
      <c r="I1" s="561"/>
    </row>
    <row r="2" spans="1:9" s="79" customFormat="1" ht="15" thickBot="1">
      <c r="A2" s="353" t="s">
        <v>72</v>
      </c>
      <c r="B2" s="354" t="s">
        <v>76</v>
      </c>
      <c r="C2" s="355" t="s">
        <v>91</v>
      </c>
      <c r="D2" s="355" t="s">
        <v>197</v>
      </c>
      <c r="E2" s="356" t="s">
        <v>1</v>
      </c>
    </row>
    <row r="3" spans="1:9" ht="15" thickBot="1">
      <c r="A3" s="421" t="s">
        <v>255</v>
      </c>
      <c r="B3" s="422" t="s">
        <v>387</v>
      </c>
      <c r="C3" s="384" t="s">
        <v>388</v>
      </c>
      <c r="D3" s="394" t="s">
        <v>34</v>
      </c>
      <c r="E3" s="395" t="s">
        <v>33</v>
      </c>
      <c r="G3" s="247" t="s">
        <v>72</v>
      </c>
      <c r="H3" s="248" t="s">
        <v>389</v>
      </c>
      <c r="I3" s="360">
        <f>COUNTA(A3:A3862)</f>
        <v>31</v>
      </c>
    </row>
    <row r="4" spans="1:9" ht="15" thickBot="1">
      <c r="A4" s="421" t="s">
        <v>262</v>
      </c>
      <c r="B4" s="359" t="s">
        <v>390</v>
      </c>
      <c r="C4" s="357" t="s">
        <v>391</v>
      </c>
      <c r="D4" s="394" t="s">
        <v>34</v>
      </c>
      <c r="E4" s="395" t="s">
        <v>33</v>
      </c>
      <c r="G4" s="548" t="s">
        <v>91</v>
      </c>
      <c r="H4" s="249" t="s">
        <v>392</v>
      </c>
      <c r="I4" s="361">
        <f>COUNTIFS($C3:$C3862,"P1")</f>
        <v>16</v>
      </c>
    </row>
    <row r="5" spans="1:9" ht="15" thickBot="1">
      <c r="A5" s="421" t="s">
        <v>266</v>
      </c>
      <c r="B5" s="359" t="s">
        <v>393</v>
      </c>
      <c r="C5" s="357" t="s">
        <v>391</v>
      </c>
      <c r="D5" s="394" t="s">
        <v>34</v>
      </c>
      <c r="E5" s="395" t="s">
        <v>33</v>
      </c>
      <c r="G5" s="549"/>
      <c r="H5" s="250" t="s">
        <v>394</v>
      </c>
      <c r="I5" s="362">
        <f>COUNTIFS($C3:$C3862,"P2")</f>
        <v>14</v>
      </c>
    </row>
    <row r="6" spans="1:9" ht="15" thickBot="1">
      <c r="A6" s="421" t="s">
        <v>271</v>
      </c>
      <c r="B6" s="359" t="s">
        <v>395</v>
      </c>
      <c r="C6" s="357" t="s">
        <v>396</v>
      </c>
      <c r="D6" s="394" t="s">
        <v>34</v>
      </c>
      <c r="E6" s="395" t="s">
        <v>33</v>
      </c>
      <c r="G6" s="550"/>
      <c r="H6" s="251" t="s">
        <v>397</v>
      </c>
      <c r="I6" s="363">
        <f>COUNTIFS($C3:$C3862,"P3")</f>
        <v>1</v>
      </c>
    </row>
    <row r="7" spans="1:9" ht="15" thickBot="1">
      <c r="A7" s="421" t="s">
        <v>275</v>
      </c>
      <c r="B7" s="359" t="s">
        <v>398</v>
      </c>
      <c r="C7" s="357" t="s">
        <v>391</v>
      </c>
      <c r="D7" s="394" t="s">
        <v>34</v>
      </c>
      <c r="E7" s="395" t="s">
        <v>33</v>
      </c>
      <c r="G7" s="551" t="s">
        <v>197</v>
      </c>
      <c r="H7" s="249" t="s">
        <v>399</v>
      </c>
      <c r="I7" s="361">
        <f>COUNTIFS($D3:$D3862,"Diagnostics")</f>
        <v>22</v>
      </c>
    </row>
    <row r="8" spans="1:9" ht="15" thickBot="1">
      <c r="A8" s="421" t="s">
        <v>279</v>
      </c>
      <c r="B8" s="359" t="s">
        <v>280</v>
      </c>
      <c r="C8" s="357" t="s">
        <v>391</v>
      </c>
      <c r="D8" s="394" t="s">
        <v>34</v>
      </c>
      <c r="E8" s="395" t="s">
        <v>38</v>
      </c>
      <c r="G8" s="552"/>
      <c r="H8" s="250" t="s">
        <v>400</v>
      </c>
      <c r="I8" s="362">
        <f>COUNTIFS($D3:$D3862,"Driver")</f>
        <v>0</v>
      </c>
    </row>
    <row r="9" spans="1:9">
      <c r="A9" s="421" t="s">
        <v>285</v>
      </c>
      <c r="B9" s="359" t="s">
        <v>286</v>
      </c>
      <c r="C9" s="357" t="s">
        <v>391</v>
      </c>
      <c r="D9" s="394" t="s">
        <v>34</v>
      </c>
      <c r="E9" s="395" t="s">
        <v>33</v>
      </c>
      <c r="G9" s="552"/>
      <c r="H9" s="250" t="s">
        <v>401</v>
      </c>
      <c r="I9" s="362">
        <f>COUNTIFS($D3:$D3862,"IPSE")</f>
        <v>0</v>
      </c>
    </row>
    <row r="10" spans="1:9">
      <c r="A10" s="421" t="s">
        <v>289</v>
      </c>
      <c r="B10" s="359" t="s">
        <v>290</v>
      </c>
      <c r="C10" s="357" t="s">
        <v>391</v>
      </c>
      <c r="D10" s="394" t="s">
        <v>34</v>
      </c>
      <c r="E10" s="395" t="s">
        <v>33</v>
      </c>
      <c r="G10" s="553"/>
      <c r="H10" s="251" t="s">
        <v>402</v>
      </c>
      <c r="I10" s="363">
        <f>COUNTIFS($D3:$D3862,"N/A")</f>
        <v>9</v>
      </c>
    </row>
    <row r="11" spans="1:9">
      <c r="A11" s="421" t="s">
        <v>292</v>
      </c>
      <c r="B11" s="359" t="s">
        <v>293</v>
      </c>
      <c r="C11" s="357" t="s">
        <v>396</v>
      </c>
      <c r="D11" s="394" t="s">
        <v>34</v>
      </c>
      <c r="E11" s="395" t="s">
        <v>33</v>
      </c>
      <c r="G11" s="554" t="s">
        <v>1</v>
      </c>
      <c r="H11" s="249" t="s">
        <v>403</v>
      </c>
      <c r="I11" s="361">
        <f>COUNTIFS($E3:$E3862,"Legacy")</f>
        <v>17</v>
      </c>
    </row>
    <row r="12" spans="1:9">
      <c r="A12" s="421" t="s">
        <v>295</v>
      </c>
      <c r="B12" s="359" t="s">
        <v>296</v>
      </c>
      <c r="C12" s="357" t="s">
        <v>391</v>
      </c>
      <c r="D12" s="394" t="s">
        <v>34</v>
      </c>
      <c r="E12" s="395" t="s">
        <v>42</v>
      </c>
      <c r="G12" s="555"/>
      <c r="H12" s="250" t="s">
        <v>404</v>
      </c>
      <c r="I12" s="362">
        <f>COUNTIFS($E3:$E3862,"Delta")</f>
        <v>3</v>
      </c>
    </row>
    <row r="13" spans="1:9">
      <c r="A13" s="421" t="s">
        <v>299</v>
      </c>
      <c r="B13" s="359" t="s">
        <v>300</v>
      </c>
      <c r="C13" s="357" t="s">
        <v>396</v>
      </c>
      <c r="D13" s="394" t="s">
        <v>34</v>
      </c>
      <c r="E13" s="395" t="s">
        <v>33</v>
      </c>
      <c r="G13" s="556"/>
      <c r="H13" s="251" t="s">
        <v>405</v>
      </c>
      <c r="I13" s="363">
        <f>COUNTIFS($E3:$E3862,"New")</f>
        <v>11</v>
      </c>
    </row>
    <row r="14" spans="1:9">
      <c r="A14" s="421" t="s">
        <v>303</v>
      </c>
      <c r="B14" s="359" t="s">
        <v>304</v>
      </c>
      <c r="C14" s="357" t="s">
        <v>396</v>
      </c>
      <c r="D14" s="394" t="s">
        <v>34</v>
      </c>
      <c r="E14" s="395" t="s">
        <v>33</v>
      </c>
      <c r="G14" s="314" t="s">
        <v>202</v>
      </c>
      <c r="H14" s="557"/>
      <c r="I14" s="558"/>
    </row>
    <row r="15" spans="1:9" ht="15" thickBot="1">
      <c r="A15" s="421" t="s">
        <v>307</v>
      </c>
      <c r="B15" s="359" t="s">
        <v>308</v>
      </c>
      <c r="C15" s="357" t="s">
        <v>391</v>
      </c>
      <c r="D15" s="394" t="s">
        <v>34</v>
      </c>
      <c r="E15" s="395" t="s">
        <v>38</v>
      </c>
    </row>
    <row r="16" spans="1:9" ht="15" thickBot="1">
      <c r="A16" s="421" t="s">
        <v>312</v>
      </c>
      <c r="B16" s="359" t="s">
        <v>313</v>
      </c>
      <c r="C16" s="357" t="s">
        <v>396</v>
      </c>
      <c r="D16" s="394" t="s">
        <v>34</v>
      </c>
      <c r="E16" s="395" t="s">
        <v>33</v>
      </c>
    </row>
    <row r="17" spans="1:5" ht="15" thickBot="1">
      <c r="A17" s="421" t="s">
        <v>316</v>
      </c>
      <c r="B17" s="359" t="s">
        <v>317</v>
      </c>
      <c r="C17" s="357" t="s">
        <v>396</v>
      </c>
      <c r="D17" s="394" t="s">
        <v>34</v>
      </c>
      <c r="E17" s="395" t="s">
        <v>33</v>
      </c>
    </row>
    <row r="18" spans="1:5" ht="15" thickBot="1">
      <c r="A18" s="421" t="s">
        <v>319</v>
      </c>
      <c r="B18" s="359" t="s">
        <v>320</v>
      </c>
      <c r="C18" s="357" t="s">
        <v>391</v>
      </c>
      <c r="D18" s="394" t="s">
        <v>34</v>
      </c>
      <c r="E18" s="395" t="s">
        <v>42</v>
      </c>
    </row>
    <row r="19" spans="1:5" ht="15" thickBot="1">
      <c r="A19" s="421" t="s">
        <v>327</v>
      </c>
      <c r="B19" s="359" t="s">
        <v>328</v>
      </c>
      <c r="C19" s="357" t="s">
        <v>391</v>
      </c>
      <c r="D19" s="394" t="s">
        <v>34</v>
      </c>
      <c r="E19" s="395" t="s">
        <v>42</v>
      </c>
    </row>
    <row r="20" spans="1:5" ht="15" thickBot="1">
      <c r="A20" s="421" t="s">
        <v>337</v>
      </c>
      <c r="B20" s="359" t="s">
        <v>338</v>
      </c>
      <c r="C20" s="357" t="s">
        <v>391</v>
      </c>
      <c r="D20" s="394" t="s">
        <v>44</v>
      </c>
      <c r="E20" s="395" t="s">
        <v>42</v>
      </c>
    </row>
    <row r="21" spans="1:5" ht="15" thickBot="1">
      <c r="A21" s="421" t="s">
        <v>341</v>
      </c>
      <c r="B21" s="359" t="s">
        <v>342</v>
      </c>
      <c r="C21" s="357" t="s">
        <v>391</v>
      </c>
      <c r="D21" s="394" t="s">
        <v>34</v>
      </c>
      <c r="E21" s="395" t="s">
        <v>42</v>
      </c>
    </row>
    <row r="22" spans="1:5">
      <c r="A22" s="421" t="s">
        <v>344</v>
      </c>
      <c r="B22" s="359" t="s">
        <v>345</v>
      </c>
      <c r="C22" s="357" t="s">
        <v>391</v>
      </c>
      <c r="D22" s="394" t="s">
        <v>34</v>
      </c>
      <c r="E22" s="395" t="s">
        <v>42</v>
      </c>
    </row>
    <row r="23" spans="1:5" ht="15" thickBot="1">
      <c r="A23" s="421" t="s">
        <v>347</v>
      </c>
      <c r="B23" s="359" t="s">
        <v>406</v>
      </c>
      <c r="C23" s="357" t="s">
        <v>391</v>
      </c>
      <c r="D23" s="394" t="s">
        <v>34</v>
      </c>
      <c r="E23" s="395" t="s">
        <v>42</v>
      </c>
    </row>
    <row r="24" spans="1:5" ht="15" thickBot="1">
      <c r="A24" s="421" t="s">
        <v>349</v>
      </c>
      <c r="B24" s="359" t="s">
        <v>350</v>
      </c>
      <c r="C24" s="357" t="s">
        <v>391</v>
      </c>
      <c r="D24" s="394" t="s">
        <v>34</v>
      </c>
      <c r="E24" s="395" t="s">
        <v>38</v>
      </c>
    </row>
    <row r="25" spans="1:5" ht="15" thickBot="1">
      <c r="A25" s="421" t="s">
        <v>353</v>
      </c>
      <c r="B25" s="359" t="s">
        <v>354</v>
      </c>
      <c r="C25" s="357" t="s">
        <v>391</v>
      </c>
      <c r="D25" s="394" t="s">
        <v>34</v>
      </c>
      <c r="E25" s="395" t="s">
        <v>42</v>
      </c>
    </row>
    <row r="26" spans="1:5">
      <c r="A26" s="421" t="s">
        <v>407</v>
      </c>
      <c r="B26" s="359" t="s">
        <v>408</v>
      </c>
      <c r="C26" s="357" t="s">
        <v>396</v>
      </c>
      <c r="D26" s="394" t="s">
        <v>44</v>
      </c>
      <c r="E26" s="395" t="s">
        <v>42</v>
      </c>
    </row>
    <row r="27" spans="1:5">
      <c r="A27" s="421" t="s">
        <v>409</v>
      </c>
      <c r="B27" s="359" t="s">
        <v>410</v>
      </c>
      <c r="C27" s="357" t="s">
        <v>396</v>
      </c>
      <c r="D27" s="394" t="s">
        <v>44</v>
      </c>
      <c r="E27" s="395" t="s">
        <v>42</v>
      </c>
    </row>
    <row r="28" spans="1:5">
      <c r="A28" s="421" t="s">
        <v>411</v>
      </c>
      <c r="B28" s="359" t="s">
        <v>412</v>
      </c>
      <c r="C28" s="357" t="s">
        <v>396</v>
      </c>
      <c r="D28" s="394" t="s">
        <v>44</v>
      </c>
      <c r="E28" s="395" t="s">
        <v>42</v>
      </c>
    </row>
    <row r="29" spans="1:5">
      <c r="A29" s="421" t="s">
        <v>413</v>
      </c>
      <c r="B29" s="359" t="s">
        <v>358</v>
      </c>
      <c r="C29" s="357" t="s">
        <v>396</v>
      </c>
      <c r="D29" s="394" t="s">
        <v>44</v>
      </c>
      <c r="E29" s="395" t="s">
        <v>33</v>
      </c>
    </row>
    <row r="30" spans="1:5">
      <c r="A30" s="421" t="s">
        <v>357</v>
      </c>
      <c r="B30" s="359" t="s">
        <v>414</v>
      </c>
      <c r="C30" s="357" t="s">
        <v>396</v>
      </c>
      <c r="D30" s="394" t="s">
        <v>44</v>
      </c>
      <c r="E30" s="395" t="s">
        <v>33</v>
      </c>
    </row>
    <row r="31" spans="1:5">
      <c r="A31" s="421" t="s">
        <v>360</v>
      </c>
      <c r="B31" s="359" t="s">
        <v>364</v>
      </c>
      <c r="C31" s="357" t="s">
        <v>396</v>
      </c>
      <c r="D31" s="394" t="s">
        <v>44</v>
      </c>
      <c r="E31" s="395" t="s">
        <v>33</v>
      </c>
    </row>
    <row r="32" spans="1:5">
      <c r="A32" s="421" t="s">
        <v>363</v>
      </c>
      <c r="B32" s="359" t="s">
        <v>367</v>
      </c>
      <c r="C32" s="357" t="s">
        <v>396</v>
      </c>
      <c r="D32" s="394" t="s">
        <v>44</v>
      </c>
      <c r="E32" s="395" t="s">
        <v>33</v>
      </c>
    </row>
    <row r="33" spans="1:5">
      <c r="A33" s="421" t="s">
        <v>366</v>
      </c>
      <c r="B33" s="359" t="s">
        <v>370</v>
      </c>
      <c r="C33" s="357" t="s">
        <v>396</v>
      </c>
      <c r="D33" s="394" t="s">
        <v>44</v>
      </c>
      <c r="E33" s="395" t="s">
        <v>33</v>
      </c>
    </row>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tabSelected="1" zoomScale="80" zoomScaleNormal="80" workbookViewId="0" xr3:uid="{F9CF3CF3-643B-5BE6-8B46-32C596A47465}">
      <pane xSplit="4" ySplit="6" topLeftCell="U7" activePane="bottomRight" state="frozen"/>
      <selection pane="bottomRight" activeCell="V2" sqref="V2:V3"/>
      <selection pane="bottomLeft" activeCell="A3" sqref="A3"/>
      <selection pane="topRight" activeCell="D1" sqref="D1"/>
    </sheetView>
  </sheetViews>
  <sheetFormatPr defaultColWidth="8.5703125" defaultRowHeight="14.4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3.9" thickBot="1">
      <c r="A1" s="607" t="s">
        <v>415</v>
      </c>
      <c r="B1" s="515"/>
      <c r="C1" s="515"/>
      <c r="D1" s="515"/>
      <c r="E1" s="515"/>
      <c r="F1" s="515"/>
      <c r="G1" s="515"/>
      <c r="H1" s="515"/>
      <c r="I1" s="515"/>
      <c r="J1" s="515"/>
      <c r="K1" s="515"/>
      <c r="L1" s="515"/>
      <c r="M1" s="515"/>
      <c r="N1" s="515"/>
      <c r="O1" s="515"/>
      <c r="P1" s="515"/>
      <c r="Q1" s="515"/>
      <c r="R1" s="515"/>
      <c r="S1" s="515"/>
      <c r="T1" s="515"/>
      <c r="U1" s="516"/>
      <c r="V1" s="450"/>
      <c r="Z1" s="166" t="s">
        <v>416</v>
      </c>
      <c r="AA1" s="166" t="s">
        <v>417</v>
      </c>
      <c r="AB1" s="166" t="s">
        <v>418</v>
      </c>
      <c r="AC1" s="452" t="s">
        <v>179</v>
      </c>
      <c r="AD1" s="452" t="s">
        <v>135</v>
      </c>
      <c r="AE1" s="453" t="s">
        <v>182</v>
      </c>
    </row>
    <row r="2" spans="1:31" s="175" customFormat="1" ht="18.75">
      <c r="A2" s="573" t="s">
        <v>249</v>
      </c>
      <c r="B2" s="574"/>
      <c r="C2" s="574"/>
      <c r="D2" s="574"/>
      <c r="E2" s="574"/>
      <c r="F2" s="575"/>
      <c r="G2" s="312">
        <f>COUNTIF(G7:G38,"Yes")</f>
        <v>28</v>
      </c>
      <c r="H2" s="312">
        <f>COUNTIF(H7:H38,"Yes")</f>
        <v>22</v>
      </c>
      <c r="I2" s="603">
        <f>'Diags Raw Data'!K41</f>
        <v>27</v>
      </c>
      <c r="J2" s="613">
        <f>'Diags Raw Data'!L41</f>
        <v>87</v>
      </c>
      <c r="K2" s="615">
        <f>'Diags Raw Data'!N41</f>
        <v>1</v>
      </c>
      <c r="L2" s="617">
        <f>'Diags Raw Data'!P41</f>
        <v>0.9462962962962963</v>
      </c>
      <c r="M2" s="619">
        <f>'Diags Raw Data'!R41</f>
        <v>72</v>
      </c>
      <c r="N2" s="587">
        <f>SUM('Diags Raw Data'!T41+'Diags Raw Data'!U41)</f>
        <v>72</v>
      </c>
      <c r="O2" s="608">
        <f>IF((M41=0),0,N41/M41)</f>
        <v>1</v>
      </c>
      <c r="P2" s="610">
        <f>'Diags Raw Data'!Z41</f>
        <v>33</v>
      </c>
      <c r="Q2" s="612">
        <f>SUM('Diags Raw Data'!AA41+'Diags Raw Data'!AB41)</f>
        <v>33</v>
      </c>
      <c r="R2" s="597">
        <f>IF((J41=0),0,P41/J41)</f>
        <v>0.37931034482758619</v>
      </c>
      <c r="S2" s="597">
        <f>IF((P41=0),0,Q41/P41)</f>
        <v>1</v>
      </c>
      <c r="T2" s="597">
        <f>R41*S41</f>
        <v>0.37931034482758619</v>
      </c>
      <c r="U2" s="599"/>
      <c r="V2" s="589" t="s">
        <v>419</v>
      </c>
      <c r="W2" s="174"/>
      <c r="Y2" s="168" t="s">
        <v>420</v>
      </c>
      <c r="Z2" s="168">
        <f>SUMIF('Feature Summary'!C:C,"P1",'Feature Summary'!J:J)</f>
        <v>60</v>
      </c>
      <c r="AA2" s="168">
        <f>SUMIF('Feature Summary'!$C:$C,"P1",'Feature Summary'!$P:$P)</f>
        <v>32</v>
      </c>
      <c r="AB2" s="168">
        <f>SUMIF('Feature Summary'!$C:$C,"P1",'Feature Summary'!$Q:$Q)</f>
        <v>32</v>
      </c>
      <c r="AC2" s="456">
        <f>IF(($Z2=0),0,AA2/$Z2)</f>
        <v>0.53333333333333333</v>
      </c>
      <c r="AD2" s="456">
        <f>IF((AA2=0),0,AB2/AA2)</f>
        <v>1</v>
      </c>
      <c r="AE2" s="457">
        <f>AC2*AD2</f>
        <v>0.53333333333333333</v>
      </c>
    </row>
    <row r="3" spans="1:31" ht="56.25" customHeight="1" thickBot="1">
      <c r="A3" s="576"/>
      <c r="B3" s="577"/>
      <c r="C3" s="577"/>
      <c r="D3" s="577"/>
      <c r="E3" s="577"/>
      <c r="F3" s="578"/>
      <c r="G3" s="313">
        <f>COUNTIF(G7:G38,"Yes")/COUNTA(A7:A36)</f>
        <v>0.93333333333333335</v>
      </c>
      <c r="H3" s="313">
        <f>(COUNTIF(H7:H38,"Yes")/G41)</f>
        <v>0.7857142857142857</v>
      </c>
      <c r="I3" s="604"/>
      <c r="J3" s="614"/>
      <c r="K3" s="616"/>
      <c r="L3" s="618"/>
      <c r="M3" s="620"/>
      <c r="N3" s="588"/>
      <c r="O3" s="609"/>
      <c r="P3" s="611"/>
      <c r="Q3" s="602"/>
      <c r="R3" s="598"/>
      <c r="S3" s="598"/>
      <c r="T3" s="598"/>
      <c r="U3" s="600"/>
      <c r="V3" s="590"/>
      <c r="W3" s="170"/>
      <c r="Y3" s="171" t="s">
        <v>421</v>
      </c>
      <c r="Z3" s="168">
        <f>SUMIF('Feature Summary'!$C:$C,"P2",'Feature Summary'!$J:$J)</f>
        <v>26</v>
      </c>
      <c r="AA3" s="168">
        <f>SUMIF('Feature Summary'!$C:$C,"P2",'Feature Summary'!$P:$P)</f>
        <v>0</v>
      </c>
      <c r="AB3" s="168">
        <f>SUMIF('Feature Summary'!$C:$C,"P2",'Feature Summary'!$Q:$Q)</f>
        <v>0</v>
      </c>
      <c r="AC3" s="454">
        <f>IF(($Z3=0),0,AA3/$Z3)</f>
        <v>0</v>
      </c>
      <c r="AD3" s="454">
        <f>IF((AA3=0),0,AB3/AA3)</f>
        <v>0</v>
      </c>
      <c r="AE3" s="455">
        <f>AC3*AD3</f>
        <v>0</v>
      </c>
    </row>
    <row r="4" spans="1:31" ht="18.600000000000001" thickBot="1">
      <c r="A4" s="517" t="s">
        <v>422</v>
      </c>
      <c r="B4" s="518"/>
      <c r="C4" s="518"/>
      <c r="D4" s="518"/>
      <c r="E4" s="518"/>
      <c r="F4" s="518"/>
      <c r="G4" s="518"/>
      <c r="H4" s="518"/>
      <c r="I4" s="518"/>
      <c r="J4" s="518"/>
      <c r="K4" s="518"/>
      <c r="L4" s="518"/>
      <c r="M4" s="518"/>
      <c r="N4" s="518"/>
      <c r="O4" s="518"/>
      <c r="P4" s="518"/>
      <c r="Q4" s="518"/>
      <c r="R4" s="518"/>
      <c r="S4" s="518"/>
      <c r="T4" s="518"/>
      <c r="U4" s="519"/>
      <c r="V4" s="451"/>
      <c r="Y4" s="171" t="s">
        <v>423</v>
      </c>
      <c r="Z4" s="168">
        <f>SUMIF('Feature Summary'!$C:$C,"P3",'Feature Summary'!$J:$J)</f>
        <v>1</v>
      </c>
      <c r="AA4" s="168">
        <f>SUMIF('Feature Summary'!$C:$C,"P3",'Feature Summary'!$P:$P)</f>
        <v>1</v>
      </c>
      <c r="AB4" s="168">
        <f>SUMIF('Feature Summary'!$C:$C,"P3",'Feature Summary'!$Q:$Q)</f>
        <v>1</v>
      </c>
      <c r="AC4" s="458">
        <f>IF(($Z4=0),0,AA4/$Z4)</f>
        <v>1</v>
      </c>
      <c r="AD4" s="458">
        <f>IF((AA4=0),0,AB4/AA4)</f>
        <v>1</v>
      </c>
      <c r="AE4" s="459">
        <f>AC4*AD4</f>
        <v>1</v>
      </c>
    </row>
    <row r="5" spans="1:31" s="166" customFormat="1" ht="31.5" customHeight="1" thickBot="1">
      <c r="A5" s="564" t="s">
        <v>71</v>
      </c>
      <c r="B5" s="565"/>
      <c r="C5" s="565"/>
      <c r="D5" s="565"/>
      <c r="E5" s="565"/>
      <c r="F5" s="565"/>
      <c r="G5" s="565"/>
      <c r="H5" s="565"/>
      <c r="I5" s="565"/>
      <c r="J5" s="566"/>
      <c r="K5" s="562" t="s">
        <v>108</v>
      </c>
      <c r="L5" s="563"/>
      <c r="M5" s="567" t="s">
        <v>119</v>
      </c>
      <c r="N5" s="568"/>
      <c r="O5" s="569"/>
      <c r="P5" s="570" t="s">
        <v>139</v>
      </c>
      <c r="Q5" s="571"/>
      <c r="R5" s="571"/>
      <c r="S5" s="571"/>
      <c r="T5" s="571"/>
      <c r="U5" s="572"/>
      <c r="V5" s="165"/>
    </row>
    <row r="6" spans="1:31" s="168" customFormat="1" ht="29.45" thickBot="1">
      <c r="A6" s="294" t="s">
        <v>72</v>
      </c>
      <c r="B6" s="301" t="s">
        <v>76</v>
      </c>
      <c r="C6" s="301" t="s">
        <v>91</v>
      </c>
      <c r="D6" s="301" t="s">
        <v>207</v>
      </c>
      <c r="E6" s="301" t="s">
        <v>83</v>
      </c>
      <c r="F6" s="301" t="s">
        <v>1</v>
      </c>
      <c r="G6" s="302" t="s">
        <v>210</v>
      </c>
      <c r="H6" s="302" t="s">
        <v>213</v>
      </c>
      <c r="I6" s="303" t="s">
        <v>100</v>
      </c>
      <c r="J6" s="303" t="s">
        <v>216</v>
      </c>
      <c r="K6" s="298" t="s">
        <v>109</v>
      </c>
      <c r="L6" s="299" t="s">
        <v>116</v>
      </c>
      <c r="M6" s="291" t="s">
        <v>222</v>
      </c>
      <c r="N6" s="292" t="s">
        <v>224</v>
      </c>
      <c r="O6" s="290" t="s">
        <v>182</v>
      </c>
      <c r="P6" s="432" t="s">
        <v>227</v>
      </c>
      <c r="Q6" s="433" t="s">
        <v>224</v>
      </c>
      <c r="R6" s="434" t="s">
        <v>179</v>
      </c>
      <c r="S6" s="434" t="s">
        <v>135</v>
      </c>
      <c r="T6" s="435" t="s">
        <v>182</v>
      </c>
      <c r="U6" s="436" t="s">
        <v>424</v>
      </c>
      <c r="V6" s="167" t="s">
        <v>425</v>
      </c>
      <c r="W6" s="168" t="s">
        <v>426</v>
      </c>
    </row>
    <row r="7" spans="1:31" ht="15" thickBot="1">
      <c r="A7" s="416" t="s">
        <v>255</v>
      </c>
      <c r="B7" s="323" t="str">
        <f>VLOOKUP(A7,'Feature Raw Data'!$A$3:$B$3862,2,FALSE)</f>
        <v xml:space="preserve">Byte Enable Writes </v>
      </c>
      <c r="C7" s="295" t="str">
        <f>VLOOKUP(A7,'Feature Raw Data'!$A$3:$C$3862,3,FALSE)</f>
        <v>P3</v>
      </c>
      <c r="D7" s="94" t="str" cm="1">
        <f t="array" ref="D7">_xlfn.TEXTJOIN("",TRUE,IF(ISNUMBER(SEARCH($A7,'Diags Raw Data'!$A$6:$A$3640)),CONCATENATE('Diags Raw Data'!$H$6:$H$3640,", "),""))</f>
        <v xml:space="preserve">FEAT-1, </v>
      </c>
      <c r="E7" s="296" t="str">
        <f>VLOOKUP(A7,'Diags Raw Data'!$A$6:$D$3640,4,FALSE)</f>
        <v>DF</v>
      </c>
      <c r="F7" s="296" t="str">
        <f>VLOOKUP(A7,'Feature Raw Data'!$A$3:$E$3862,5,FALSE)</f>
        <v>Legacy</v>
      </c>
      <c r="G7" s="296" t="str">
        <f t="shared" ref="G7:G26" si="0">IF(D7="","No","Yes")</f>
        <v>Yes</v>
      </c>
      <c r="H7" s="296" t="str">
        <f t="shared" ref="H7:H24" si="1">IF(D7="","No","Yes")</f>
        <v>Yes</v>
      </c>
      <c r="I7" s="295">
        <f>SUMIF('Diags Raw Data'!$A$6:$A$3640,"*"&amp;$A7&amp;"*",'Diags Raw Data'!$K$6:$K$3640)</f>
        <v>1</v>
      </c>
      <c r="J7" s="297">
        <f>SUMIF('Diags Raw Data'!$A$6:$A$3640,"*"&amp;$A7&amp;"*",'Diags Raw Data'!$L$6:$L$3640)</f>
        <v>1</v>
      </c>
      <c r="K7" s="364" cm="1">
        <f t="array" ref="K7">IF(D7="",0, SUMPRODUCT(--(ISNUMBER(SEARCH($A7,'Diags Raw Data'!$A$6:$A$3640))),'Diags Raw Data'!$L$6:$L$3640,'Diags Raw Data'!$N$6:$N$3640)/J7)</f>
        <v>1</v>
      </c>
      <c r="L7" s="365" cm="1">
        <f t="array" ref="L7">IF(D7="",0, SUMPRODUCT(--(ISNUMBER(SEARCH($A7,'Diags Raw Data'!$A$6:$A$3640))),'Diags Raw Data'!$L$6:$L$3640,'Diags Raw Data'!$P$6:$P$3640)/J7)</f>
        <v>1</v>
      </c>
      <c r="M7" s="366" cm="1">
        <f t="array" ref="M7">SUMPRODUCT(--(ISNUMBER(SEARCH($A7,'Diags Raw Data'!$A$6:$A$3640))),--('Diags Raw Data'!$Q$6:$Q$3640&lt;&gt;"N/A"),'Diags Raw Data'!$R$6:$R$3640)</f>
        <v>1</v>
      </c>
      <c r="N7" s="367" cm="1">
        <f t="array" ref="N7">SUMPRODUCT(--(ISNUMBER(SEARCH($A7,'Diags Raw Data'!$A$6:$A$3640))),--('Diags Raw Data'!$Q$6:$Q$3640&lt;&gt;"N/A"),'Diags Raw Data'!$T$6:$T$3640)+SUMPRODUCT(--(ISNUMBER(SEARCH($A7,'Diags Raw Data'!$A$6:$A$3640))),--('Diags Raw Data'!$Q$6:$Q$3640&lt;&gt;"N/A"),'Diags Raw Data'!$U$6:$U$3640)</f>
        <v>1</v>
      </c>
      <c r="O7" s="392">
        <f>IF((M7=0),0,N7/M7)</f>
        <v>1</v>
      </c>
      <c r="P7" s="412">
        <f>SUMIF('Diags Raw Data'!$A$6:$A$3640,"*"&amp;$A7&amp;"*",'Diags Raw Data'!$Z$6:$Z$3640)</f>
        <v>1</v>
      </c>
      <c r="Q7" s="413">
        <f>SUM(SUMIF('Diags Raw Data'!$A$6:$A$3640,"*"&amp;$A7&amp;"*",'Diags Raw Data'!$AA$6:$AA$3640),SUMIF('Diags Raw Data'!$A$6:$A$3640,"*"&amp;$A7&amp;"*",'Diags Raw Data'!$AB$6:$AB$3640))</f>
        <v>1</v>
      </c>
      <c r="R7" s="414">
        <f>IF((J7=0),0,P7/J7)</f>
        <v>1</v>
      </c>
      <c r="S7" s="414">
        <f>IF((P7=0),0,Q7/P7)</f>
        <v>1</v>
      </c>
      <c r="T7" s="415">
        <f>R7*S7</f>
        <v>1</v>
      </c>
      <c r="U7" s="431" t="s">
        <v>427</v>
      </c>
      <c r="V7" s="170"/>
    </row>
    <row r="8" spans="1:31" ht="15" thickBot="1">
      <c r="A8" s="416" t="s">
        <v>262</v>
      </c>
      <c r="B8" s="323" t="str">
        <f>VLOOKUP(A8,'Feature Raw Data'!$A$3:$B$3862,2,FALSE)</f>
        <v>Coherency</v>
      </c>
      <c r="C8" s="295" t="str">
        <f>VLOOKUP(A8,'Feature Raw Data'!$A$3:$C$3862,3,FALSE)</f>
        <v>P1</v>
      </c>
      <c r="D8" s="94" t="str" cm="1">
        <f t="array" ref="D8">_xlfn.TEXTJOIN("",TRUE,IF(ISNUMBER(SEARCH($A8,'Diags Raw Data'!$A$6:$A$3640)),CONCATENATE('Diags Raw Data'!$H$6:$H$3640,", "),""))</f>
        <v xml:space="preserve">FEAT-2, </v>
      </c>
      <c r="E8" s="296" t="str">
        <f>VLOOKUP(A8,'Diags Raw Data'!$A$6:$D$3640,4,FALSE)</f>
        <v>DF</v>
      </c>
      <c r="F8" s="296" t="str">
        <f>VLOOKUP(A8,'Feature Raw Data'!$A$3:$E$3862,5,FALSE)</f>
        <v>Legacy</v>
      </c>
      <c r="G8" s="296" t="str">
        <f t="shared" si="0"/>
        <v>Yes</v>
      </c>
      <c r="H8" s="169" t="str">
        <f>IF(D8="","No","Yes")</f>
        <v>Yes</v>
      </c>
      <c r="I8" s="295">
        <f>SUMIF('Diags Raw Data'!$A$6:$A$3640,"*"&amp;$A8&amp;"*",'Diags Raw Data'!$K$6:$K$3640)</f>
        <v>1</v>
      </c>
      <c r="J8" s="297">
        <f>SUMIF('Diags Raw Data'!$A$6:$A$3640,"*"&amp;$A8&amp;"*",'Diags Raw Data'!$L$6:$L$3640)</f>
        <v>1</v>
      </c>
      <c r="K8" s="364" cm="1">
        <f t="array" ref="K8">IF(D8="",0, SUMPRODUCT(--(ISNUMBER(SEARCH($A8,'Diags Raw Data'!$A$6:$A$3640))),'Diags Raw Data'!$L$6:$L$3640,'Diags Raw Data'!$N$6:$N$3640)/J8)</f>
        <v>1</v>
      </c>
      <c r="L8" s="365" cm="1">
        <f t="array" ref="L8">IF(D8="",0, SUMPRODUCT(--(ISNUMBER(SEARCH($A8,'Diags Raw Data'!$A$6:$A$3640))),'Diags Raw Data'!$L$6:$L$3640,'Diags Raw Data'!$P$6:$P$3640)/J8)</f>
        <v>1</v>
      </c>
      <c r="M8" s="366" cm="1">
        <f t="array" ref="M8">SUMPRODUCT(--(ISNUMBER(SEARCH($A8,'Diags Raw Data'!$A$6:$A$3640))),--('Diags Raw Data'!$Q$6:$Q$3640&lt;&gt;"N/A"),'Diags Raw Data'!$R$6:$R$3640)</f>
        <v>1</v>
      </c>
      <c r="N8" s="367" cm="1">
        <f t="array" ref="N8">SUMPRODUCT(--(ISNUMBER(SEARCH($A8,'Diags Raw Data'!$A$6:$A$3640))),--('Diags Raw Data'!$Q$6:$Q$3640&lt;&gt;"N/A"),'Diags Raw Data'!$T$6:$T$3640)+SUMPRODUCT(--(ISNUMBER(SEARCH($A8,'Diags Raw Data'!$A$6:$A$3640))),--('Diags Raw Data'!$Q$6:$Q$3640&lt;&gt;"N/A"),'Diags Raw Data'!$U$6:$U$3640)</f>
        <v>1</v>
      </c>
      <c r="O8" s="392">
        <f t="shared" ref="O8:O26" si="2">IF((M8=0),0,N8/M8)</f>
        <v>1</v>
      </c>
      <c r="P8" s="412">
        <f>SUMIF('Diags Raw Data'!$A$6:$A$3640,"*"&amp;$A8&amp;"*",'Diags Raw Data'!$Z$6:$Z$3640)</f>
        <v>1</v>
      </c>
      <c r="Q8" s="413">
        <f>SUM(SUMIF('Diags Raw Data'!$A$6:$A$3640,"*"&amp;$A8&amp;"*",'Diags Raw Data'!$AA$6:$AA$3640),SUMIF('Diags Raw Data'!$A$6:$A$3640,"*"&amp;$A8&amp;"*",'Diags Raw Data'!$AB$6:$AB$3640))</f>
        <v>1</v>
      </c>
      <c r="R8" s="414">
        <f t="shared" ref="R8:R26" si="3">IF((J8=0),0,P8/J8)</f>
        <v>1</v>
      </c>
      <c r="S8" s="414">
        <f t="shared" ref="S8:S26" si="4">IF((P8=0),0,Q8/P8)</f>
        <v>1</v>
      </c>
      <c r="T8" s="415">
        <f t="shared" ref="T8:T26" si="5">R8*S8</f>
        <v>1</v>
      </c>
      <c r="U8" s="417" t="s">
        <v>428</v>
      </c>
      <c r="V8" s="170"/>
    </row>
    <row r="9" spans="1:31" ht="15" thickBot="1">
      <c r="A9" s="416" t="s">
        <v>266</v>
      </c>
      <c r="B9" s="323" t="str">
        <f>VLOOKUP(A9,'Feature Raw Data'!$A$3:$B$3862,2,FALSE)</f>
        <v>I/O and Graphics Atomic</v>
      </c>
      <c r="C9" s="295" t="str">
        <f>VLOOKUP(A9,'Feature Raw Data'!$A$3:$C$3862,3,FALSE)</f>
        <v>P1</v>
      </c>
      <c r="D9" s="94" t="str" cm="1">
        <f t="array" ref="D9">_xlfn.TEXTJOIN("",TRUE,IF(ISNUMBER(SEARCH($A9,'Diags Raw Data'!$A$6:$A$3640)),CONCATENATE('Diags Raw Data'!$H$6:$H$3640,", "),""))</f>
        <v xml:space="preserve">FEAT-3, FEAT-3, </v>
      </c>
      <c r="E9" s="296" t="str">
        <f>VLOOKUP(A9,'Diags Raw Data'!$A$6:$D$3640,4,FALSE)</f>
        <v>DF</v>
      </c>
      <c r="F9" s="296" t="str">
        <f>VLOOKUP(A9,'Feature Raw Data'!$A$3:$E$3862,5,FALSE)</f>
        <v>Legacy</v>
      </c>
      <c r="G9" s="296" t="str">
        <f t="shared" si="0"/>
        <v>Yes</v>
      </c>
      <c r="H9" s="169" t="str">
        <f t="shared" ref="H9:H21" si="6">IF(D9="","No","Yes")</f>
        <v>Yes</v>
      </c>
      <c r="I9" s="295">
        <f>SUMIF('Diags Raw Data'!$A$6:$A$3640,"*"&amp;$A9&amp;"*",'Diags Raw Data'!$K$6:$K$3640)</f>
        <v>2</v>
      </c>
      <c r="J9" s="297">
        <f>SUMIF('Diags Raw Data'!$A$6:$A$3640,"*"&amp;$A9&amp;"*",'Diags Raw Data'!$L$6:$L$3640)</f>
        <v>18</v>
      </c>
      <c r="K9" s="364" cm="1">
        <f t="array" ref="K9">IF(D9="",0, SUMPRODUCT(--(ISNUMBER(SEARCH($A9,'Diags Raw Data'!$A$6:$A$3640))),'Diags Raw Data'!$L$6:$L$3640,'Diags Raw Data'!$N$6:$N$3640)/J9)</f>
        <v>1</v>
      </c>
      <c r="L9" s="365" cm="1">
        <f t="array" ref="L9">IF(D9="",0, SUMPRODUCT(--(ISNUMBER(SEARCH($A9,'Diags Raw Data'!$A$6:$A$3640))),'Diags Raw Data'!$L$6:$L$3640,'Diags Raw Data'!$P$6:$P$3640)/J9)</f>
        <v>1</v>
      </c>
      <c r="M9" s="366" cm="1">
        <f t="array" ref="M9">SUMPRODUCT(--(ISNUMBER(SEARCH($A9,'Diags Raw Data'!$A$6:$A$3640))),--('Diags Raw Data'!$Q$6:$Q$3640&lt;&gt;"N/A"),'Diags Raw Data'!$R$6:$R$3640)</f>
        <v>18</v>
      </c>
      <c r="N9" s="367" cm="1">
        <f t="array" ref="N9">SUMPRODUCT(--(ISNUMBER(SEARCH($A9,'Diags Raw Data'!$A$6:$A$3640))),--('Diags Raw Data'!$Q$6:$Q$3640&lt;&gt;"N/A"),'Diags Raw Data'!$T$6:$T$3640)+SUMPRODUCT(--(ISNUMBER(SEARCH($A9,'Diags Raw Data'!$A$6:$A$3640))),--('Diags Raw Data'!$Q$6:$Q$3640&lt;&gt;"N/A"),'Diags Raw Data'!$U$6:$U$3640)</f>
        <v>18</v>
      </c>
      <c r="O9" s="392">
        <f t="shared" si="2"/>
        <v>1</v>
      </c>
      <c r="P9" s="412">
        <f>SUMIF('Diags Raw Data'!$A$6:$A$3640,"*"&amp;$A9&amp;"*",'Diags Raw Data'!$Z$6:$Z$3640)</f>
        <v>18</v>
      </c>
      <c r="Q9" s="413">
        <f>SUM(SUMIF('Diags Raw Data'!$A$6:$A$3640,"*"&amp;$A9&amp;"*",'Diags Raw Data'!$AA$6:$AA$3640),SUMIF('Diags Raw Data'!$A$6:$A$3640,"*"&amp;$A9&amp;"*",'Diags Raw Data'!$AB$6:$AB$3640))</f>
        <v>18</v>
      </c>
      <c r="R9" s="414">
        <f t="shared" si="3"/>
        <v>1</v>
      </c>
      <c r="S9" s="414">
        <f t="shared" si="4"/>
        <v>1</v>
      </c>
      <c r="T9" s="415">
        <f t="shared" si="5"/>
        <v>1</v>
      </c>
      <c r="U9" s="417" t="s">
        <v>428</v>
      </c>
      <c r="V9" s="170"/>
    </row>
    <row r="10" spans="1:31" ht="15" thickBot="1">
      <c r="A10" s="416" t="s">
        <v>271</v>
      </c>
      <c r="B10" s="323" t="str">
        <f>VLOOKUP(A10,'Feature Raw Data'!$A$3:$B$3862,2,FALSE)</f>
        <v>DF P-states with Memory stress</v>
      </c>
      <c r="C10" s="295" t="str">
        <f>VLOOKUP(A10,'Feature Raw Data'!$A$3:$C$3862,3,FALSE)</f>
        <v>P2</v>
      </c>
      <c r="D10" s="94" t="str" cm="1">
        <f t="array" ref="D10">_xlfn.TEXTJOIN("",TRUE,IF(ISNUMBER(SEARCH($A10,'Diags Raw Data'!$A$6:$A$3640)),CONCATENATE('Diags Raw Data'!$H$6:$H$3640,", "),""))</f>
        <v xml:space="preserve">FEAT-5, </v>
      </c>
      <c r="E10" s="296" t="str">
        <f>VLOOKUP(A10,'Diags Raw Data'!$A$6:$D$3640,4,FALSE)</f>
        <v>DF</v>
      </c>
      <c r="F10" s="296" t="str">
        <f>VLOOKUP(A10,'Feature Raw Data'!$A$3:$E$3862,5,FALSE)</f>
        <v>Legacy</v>
      </c>
      <c r="G10" s="296" t="str">
        <f t="shared" si="0"/>
        <v>Yes</v>
      </c>
      <c r="H10" s="169" t="str">
        <f t="shared" si="6"/>
        <v>Yes</v>
      </c>
      <c r="I10" s="295">
        <f>SUMIF('Diags Raw Data'!$A$6:$A$3640,"*"&amp;$A10&amp;"*",'Diags Raw Data'!$K$6:$K$3640)</f>
        <v>1</v>
      </c>
      <c r="J10" s="297">
        <f>SUMIF('Diags Raw Data'!$A$6:$A$3640,"*"&amp;$A10&amp;"*",'Diags Raw Data'!$L$6:$L$3640)</f>
        <v>1</v>
      </c>
      <c r="K10" s="364" cm="1">
        <f t="array" ref="K10">IF(D10="",0, SUMPRODUCT(--(ISNUMBER(SEARCH($A10,'Diags Raw Data'!$A$6:$A$3640))),'Diags Raw Data'!$L$6:$L$3640,'Diags Raw Data'!$N$6:$N$3640)/J10)</f>
        <v>1</v>
      </c>
      <c r="L10" s="365" cm="1">
        <f t="array" ref="L10">IF(D10="",0, SUMPRODUCT(--(ISNUMBER(SEARCH($A10,'Diags Raw Data'!$A$6:$A$3640))),'Diags Raw Data'!$L$6:$L$3640,'Diags Raw Data'!$P$6:$P$3640)/J10)</f>
        <v>1</v>
      </c>
      <c r="M10" s="366" cm="1">
        <f t="array" ref="M10">SUMPRODUCT(--(ISNUMBER(SEARCH($A10,'Diags Raw Data'!$A$6:$A$3640))),--('Diags Raw Data'!$Q$6:$Q$3640&lt;&gt;"N/A"),'Diags Raw Data'!$R$6:$R$3640)</f>
        <v>1</v>
      </c>
      <c r="N10" s="367" cm="1">
        <f t="array" ref="N10">SUMPRODUCT(--(ISNUMBER(SEARCH($A10,'Diags Raw Data'!$A$6:$A$3640))),--('Diags Raw Data'!$Q$6:$Q$3640&lt;&gt;"N/A"),'Diags Raw Data'!$T$6:$T$3640)+SUMPRODUCT(--(ISNUMBER(SEARCH($A10,'Diags Raw Data'!$A$6:$A$3640))),--('Diags Raw Data'!$Q$6:$Q$3640&lt;&gt;"N/A"),'Diags Raw Data'!$U$6:$U$3640)</f>
        <v>1</v>
      </c>
      <c r="O10" s="392">
        <f t="shared" si="2"/>
        <v>1</v>
      </c>
      <c r="P10" s="412">
        <f>SUMIF('Diags Raw Data'!$A$6:$A$3640,"*"&amp;$A10&amp;"*",'Diags Raw Data'!$Z$6:$Z$3640)</f>
        <v>0</v>
      </c>
      <c r="Q10" s="413">
        <f>SUM(SUMIF('Diags Raw Data'!$A$6:$A$3640,"*"&amp;$A10&amp;"*",'Diags Raw Data'!$AA$6:$AA$3640),SUMIF('Diags Raw Data'!$A$6:$A$3640,"*"&amp;$A10&amp;"*",'Diags Raw Data'!$AB$6:$AB$3640))</f>
        <v>0</v>
      </c>
      <c r="R10" s="414">
        <f t="shared" si="3"/>
        <v>0</v>
      </c>
      <c r="S10" s="414">
        <f t="shared" si="4"/>
        <v>0</v>
      </c>
      <c r="T10" s="415">
        <f t="shared" si="5"/>
        <v>0</v>
      </c>
      <c r="U10" s="417" t="s">
        <v>429</v>
      </c>
      <c r="V10" s="170"/>
    </row>
    <row r="11" spans="1:31" ht="15" thickBot="1">
      <c r="A11" s="416" t="s">
        <v>275</v>
      </c>
      <c r="B11" s="323" t="str">
        <f>VLOOKUP(A11,'Feature Raw Data'!$A$3:$B$3862,2,FALSE)</f>
        <v>DF_C_State</v>
      </c>
      <c r="C11" s="295" t="str">
        <f>VLOOKUP(A11,'Feature Raw Data'!$A$3:$C$3862,3,FALSE)</f>
        <v>P1</v>
      </c>
      <c r="D11" s="94" t="str" cm="1">
        <f t="array" ref="D11">_xlfn.TEXTJOIN("",TRUE,IF(ISNUMBER(SEARCH($A11,'Diags Raw Data'!$A$6:$A$3640)),CONCATENATE('Diags Raw Data'!$H$6:$H$3640,", "),""))</f>
        <v xml:space="preserve">FEAT-6, </v>
      </c>
      <c r="E11" s="296" t="str">
        <f>VLOOKUP(A11,'Diags Raw Data'!$A$6:$D$3640,4,FALSE)</f>
        <v>DF</v>
      </c>
      <c r="F11" s="296" t="str">
        <f>VLOOKUP(A11,'Feature Raw Data'!$A$3:$E$3862,5,FALSE)</f>
        <v>Legacy</v>
      </c>
      <c r="G11" s="296" t="str">
        <f t="shared" si="0"/>
        <v>Yes</v>
      </c>
      <c r="H11" s="169" t="str">
        <f t="shared" si="6"/>
        <v>Yes</v>
      </c>
      <c r="I11" s="295">
        <f>SUMIF('Diags Raw Data'!$A$6:$A$3640,"*"&amp;$A11&amp;"*",'Diags Raw Data'!$K$6:$K$3640)</f>
        <v>1</v>
      </c>
      <c r="J11" s="297">
        <f>SUMIF('Diags Raw Data'!$A$6:$A$3640,"*"&amp;$A11&amp;"*",'Diags Raw Data'!$L$6:$L$3640)</f>
        <v>1</v>
      </c>
      <c r="K11" s="364" cm="1">
        <f t="array" ref="K11">IF(D11="",0, SUMPRODUCT(--(ISNUMBER(SEARCH($A11,'Diags Raw Data'!$A$6:$A$3640))),'Diags Raw Data'!$L$6:$L$3640,'Diags Raw Data'!$N$6:$N$3640)/J11)</f>
        <v>1</v>
      </c>
      <c r="L11" s="365" cm="1">
        <f t="array" ref="L11">IF(D11="",0, SUMPRODUCT(--(ISNUMBER(SEARCH($A11,'Diags Raw Data'!$A$6:$A$3640))),'Diags Raw Data'!$L$6:$L$3640,'Diags Raw Data'!$P$6:$P$3640)/J11)</f>
        <v>1</v>
      </c>
      <c r="M11" s="366" cm="1">
        <f t="array" ref="M11">SUMPRODUCT(--(ISNUMBER(SEARCH($A11,'Diags Raw Data'!$A$6:$A$3640))),--('Diags Raw Data'!$Q$6:$Q$3640&lt;&gt;"N/A"),'Diags Raw Data'!$R$6:$R$3640)</f>
        <v>1</v>
      </c>
      <c r="N11" s="367" cm="1">
        <f t="array" ref="N11">SUMPRODUCT(--(ISNUMBER(SEARCH($A11,'Diags Raw Data'!$A$6:$A$3640))),--('Diags Raw Data'!$Q$6:$Q$3640&lt;&gt;"N/A"),'Diags Raw Data'!$T$6:$T$3640)+SUMPRODUCT(--(ISNUMBER(SEARCH($A11,'Diags Raw Data'!$A$6:$A$3640))),--('Diags Raw Data'!$Q$6:$Q$3640&lt;&gt;"N/A"),'Diags Raw Data'!$U$6:$U$3640)</f>
        <v>1</v>
      </c>
      <c r="O11" s="392">
        <f t="shared" si="2"/>
        <v>1</v>
      </c>
      <c r="P11" s="412">
        <f>SUMIF('Diags Raw Data'!$A$6:$A$3640,"*"&amp;$A11&amp;"*",'Diags Raw Data'!$Z$6:$Z$3640)</f>
        <v>0</v>
      </c>
      <c r="Q11" s="413">
        <f>SUM(SUMIF('Diags Raw Data'!$A$6:$A$3640,"*"&amp;$A11&amp;"*",'Diags Raw Data'!$AA$6:$AA$3640),SUMIF('Diags Raw Data'!$A$6:$A$3640,"*"&amp;$A11&amp;"*",'Diags Raw Data'!$AB$6:$AB$3640))</f>
        <v>0</v>
      </c>
      <c r="R11" s="414">
        <f t="shared" si="3"/>
        <v>0</v>
      </c>
      <c r="S11" s="414">
        <f t="shared" si="4"/>
        <v>0</v>
      </c>
      <c r="T11" s="415">
        <f t="shared" si="5"/>
        <v>0</v>
      </c>
      <c r="U11" s="417" t="s">
        <v>430</v>
      </c>
      <c r="V11" s="170"/>
    </row>
    <row r="12" spans="1:31" ht="15" thickBot="1">
      <c r="A12" s="416" t="s">
        <v>279</v>
      </c>
      <c r="B12" s="323" t="str">
        <f>VLOOKUP(A12,'Feature Raw Data'!$A$3:$B$3862,2,FALSE)</f>
        <v>Display and Stutter Mode</v>
      </c>
      <c r="C12" s="295" t="str">
        <f>VLOOKUP(A12,'Feature Raw Data'!$A$3:$C$3862,3,FALSE)</f>
        <v>P1</v>
      </c>
      <c r="D12" s="94" t="str" cm="1">
        <f t="array" ref="D12">_xlfn.TEXTJOIN("",TRUE,IF(ISNUMBER(SEARCH($A12,'Diags Raw Data'!$A$6:$A$3640)),CONCATENATE('Diags Raw Data'!$H$6:$H$3640,", "),""))</f>
        <v xml:space="preserve">FEAT-7, FEAT-8, </v>
      </c>
      <c r="E12" s="296" t="str">
        <f>VLOOKUP(A12,'Diags Raw Data'!$A$6:$D$3640,4,FALSE)</f>
        <v>DF</v>
      </c>
      <c r="F12" s="296" t="str">
        <f>VLOOKUP(A12,'Feature Raw Data'!$A$3:$E$3862,5,FALSE)</f>
        <v>Delta</v>
      </c>
      <c r="G12" s="296" t="str">
        <f t="shared" si="0"/>
        <v>Yes</v>
      </c>
      <c r="H12" s="169" t="str">
        <f t="shared" si="6"/>
        <v>Yes</v>
      </c>
      <c r="I12" s="295">
        <f>SUMIF('Diags Raw Data'!$A$6:$A$3640,"*"&amp;$A12&amp;"*",'Diags Raw Data'!$K$6:$K$3640)</f>
        <v>2</v>
      </c>
      <c r="J12" s="297">
        <f>SUMIF('Diags Raw Data'!$A$6:$A$3640,"*"&amp;$A12&amp;"*",'Diags Raw Data'!$L$6:$L$3640)</f>
        <v>2</v>
      </c>
      <c r="K12" s="364" cm="1">
        <f t="array" ref="K12">IF(D12="",0, SUMPRODUCT(--(ISNUMBER(SEARCH($A12,'Diags Raw Data'!$A$6:$A$3640))),'Diags Raw Data'!$L$6:$L$3640,'Diags Raw Data'!$N$6:$N$3640)/J12)</f>
        <v>1</v>
      </c>
      <c r="L12" s="365" cm="1">
        <f t="array" ref="L12">IF(D12="",0, SUMPRODUCT(--(ISNUMBER(SEARCH($A12,'Diags Raw Data'!$A$6:$A$3640))),'Diags Raw Data'!$L$6:$L$3640,'Diags Raw Data'!$P$6:$P$3640)/J12)</f>
        <v>1</v>
      </c>
      <c r="M12" s="366" cm="1">
        <f t="array" ref="M12">SUMPRODUCT(--(ISNUMBER(SEARCH($A12,'Diags Raw Data'!$A$6:$A$3640))),--('Diags Raw Data'!$Q$6:$Q$3640&lt;&gt;"N/A"),'Diags Raw Data'!$R$6:$R$3640)</f>
        <v>2</v>
      </c>
      <c r="N12" s="367" cm="1">
        <f t="array" ref="N12">SUMPRODUCT(--(ISNUMBER(SEARCH($A12,'Diags Raw Data'!$A$6:$A$3640))),--('Diags Raw Data'!$Q$6:$Q$3640&lt;&gt;"N/A"),'Diags Raw Data'!$T$6:$T$3640)+SUMPRODUCT(--(ISNUMBER(SEARCH($A12,'Diags Raw Data'!$A$6:$A$3640))),--('Diags Raw Data'!$Q$6:$Q$3640&lt;&gt;"N/A"),'Diags Raw Data'!$U$6:$U$3640)</f>
        <v>2</v>
      </c>
      <c r="O12" s="392">
        <f t="shared" si="2"/>
        <v>1</v>
      </c>
      <c r="P12" s="412">
        <f>SUMIF('Diags Raw Data'!$A$6:$A$3640,"*"&amp;$A12&amp;"*",'Diags Raw Data'!$Z$6:$Z$3640)</f>
        <v>0</v>
      </c>
      <c r="Q12" s="413">
        <f>SUM(SUMIF('Diags Raw Data'!$A$6:$A$3640,"*"&amp;$A12&amp;"*",'Diags Raw Data'!$AA$6:$AA$3640),SUMIF('Diags Raw Data'!$A$6:$A$3640,"*"&amp;$A12&amp;"*",'Diags Raw Data'!$AB$6:$AB$3640))</f>
        <v>0</v>
      </c>
      <c r="R12" s="414">
        <f t="shared" si="3"/>
        <v>0</v>
      </c>
      <c r="S12" s="414">
        <f t="shared" si="4"/>
        <v>0</v>
      </c>
      <c r="T12" s="415">
        <f t="shared" si="5"/>
        <v>0</v>
      </c>
      <c r="U12" s="417" t="s">
        <v>431</v>
      </c>
      <c r="V12" s="170"/>
    </row>
    <row r="13" spans="1:31" ht="15" thickBot="1">
      <c r="A13" s="416" t="s">
        <v>285</v>
      </c>
      <c r="B13" s="323" t="str">
        <f>VLOOKUP(A13,'Feature Raw Data'!$A$3:$B$3862,2,FALSE)</f>
        <v>128B Gfx Large Reads to Mall</v>
      </c>
      <c r="C13" s="295" t="str">
        <f>VLOOKUP(A13,'Feature Raw Data'!$A$3:$C$3862,3,FALSE)</f>
        <v>P1</v>
      </c>
      <c r="D13" s="94" t="str" cm="1">
        <f t="array" ref="D13">_xlfn.TEXTJOIN("",TRUE,IF(ISNUMBER(SEARCH($A13,'Diags Raw Data'!$A$6:$A$3640)),CONCATENATE('Diags Raw Data'!$H$6:$H$3640,", "),""))</f>
        <v xml:space="preserve">FEAT-9, </v>
      </c>
      <c r="E13" s="296" t="str">
        <f>VLOOKUP(A13,'Diags Raw Data'!$A$6:$D$3640,4,FALSE)</f>
        <v>DF</v>
      </c>
      <c r="F13" s="296" t="str">
        <f>VLOOKUP(A13,'Feature Raw Data'!$A$3:$E$3862,5,FALSE)</f>
        <v>Legacy</v>
      </c>
      <c r="G13" s="296" t="str">
        <f t="shared" si="0"/>
        <v>Yes</v>
      </c>
      <c r="H13" s="169" t="str">
        <f t="shared" si="6"/>
        <v>Yes</v>
      </c>
      <c r="I13" s="295">
        <f>SUMIF('Diags Raw Data'!$A$6:$A$3640,"*"&amp;$A13&amp;"*",'Diags Raw Data'!$K$6:$K$3640)</f>
        <v>1</v>
      </c>
      <c r="J13" s="297">
        <f>SUMIF('Diags Raw Data'!$A$6:$A$3640,"*"&amp;$A13&amp;"*",'Diags Raw Data'!$L$6:$L$3640)</f>
        <v>1</v>
      </c>
      <c r="K13" s="364" cm="1">
        <f t="array" ref="K13">IF(D13="",0, SUMPRODUCT(--(ISNUMBER(SEARCH($A13,'Diags Raw Data'!$A$6:$A$3640))),'Diags Raw Data'!$L$6:$L$3640,'Diags Raw Data'!$N$6:$N$3640)/J13)</f>
        <v>1</v>
      </c>
      <c r="L13" s="365" cm="1">
        <f t="array" ref="L13">IF(D13="",0, SUMPRODUCT(--(ISNUMBER(SEARCH($A13,'Diags Raw Data'!$A$6:$A$3640))),'Diags Raw Data'!$L$6:$L$3640,'Diags Raw Data'!$P$6:$P$3640)/J13)</f>
        <v>1</v>
      </c>
      <c r="M13" s="366" cm="1">
        <f t="array" ref="M13">SUMPRODUCT(--(ISNUMBER(SEARCH($A13,'Diags Raw Data'!$A$6:$A$3640))),--('Diags Raw Data'!$Q$6:$Q$3640&lt;&gt;"N/A"),'Diags Raw Data'!$R$6:$R$3640)</f>
        <v>1</v>
      </c>
      <c r="N13" s="367" cm="1">
        <f t="array" ref="N13">SUMPRODUCT(--(ISNUMBER(SEARCH($A13,'Diags Raw Data'!$A$6:$A$3640))),--('Diags Raw Data'!$Q$6:$Q$3640&lt;&gt;"N/A"),'Diags Raw Data'!$T$6:$T$3640)+SUMPRODUCT(--(ISNUMBER(SEARCH($A13,'Diags Raw Data'!$A$6:$A$3640))),--('Diags Raw Data'!$Q$6:$Q$3640&lt;&gt;"N/A"),'Diags Raw Data'!$U$6:$U$3640)</f>
        <v>1</v>
      </c>
      <c r="O13" s="392">
        <f t="shared" si="2"/>
        <v>1</v>
      </c>
      <c r="P13" s="412">
        <f>SUMIF('Diags Raw Data'!$A$6:$A$3640,"*"&amp;$A13&amp;"*",'Diags Raw Data'!$Z$6:$Z$3640)</f>
        <v>1</v>
      </c>
      <c r="Q13" s="413">
        <f>SUM(SUMIF('Diags Raw Data'!$A$6:$A$3640,"*"&amp;$A13&amp;"*",'Diags Raw Data'!$AA$6:$AA$3640),SUMIF('Diags Raw Data'!$A$6:$A$3640,"*"&amp;$A13&amp;"*",'Diags Raw Data'!$AB$6:$AB$3640))</f>
        <v>1</v>
      </c>
      <c r="R13" s="414">
        <f t="shared" si="3"/>
        <v>1</v>
      </c>
      <c r="S13" s="414">
        <f t="shared" si="4"/>
        <v>1</v>
      </c>
      <c r="T13" s="415">
        <f t="shared" si="5"/>
        <v>1</v>
      </c>
      <c r="U13" s="417" t="s">
        <v>428</v>
      </c>
      <c r="V13" s="170"/>
    </row>
    <row r="14" spans="1:31" s="173" customFormat="1" ht="15" thickBot="1">
      <c r="A14" s="416" t="s">
        <v>289</v>
      </c>
      <c r="B14" s="323" t="str">
        <f>VLOOKUP(A14,'Feature Raw Data'!$A$3:$B$3862,2,FALSE)</f>
        <v>Performance Monitors</v>
      </c>
      <c r="C14" s="295" t="str">
        <f>VLOOKUP(A14,'Feature Raw Data'!$A$3:$C$3862,3,FALSE)</f>
        <v>P1</v>
      </c>
      <c r="D14" s="94" t="str" cm="1">
        <f t="array" ref="D14">_xlfn.TEXTJOIN("",TRUE,IF(ISNUMBER(SEARCH($A14,'Diags Raw Data'!$A$6:$A$3640)),CONCATENATE('Diags Raw Data'!$H$6:$H$3640,", "),""))</f>
        <v xml:space="preserve">FEAT-10, </v>
      </c>
      <c r="E14" s="296" t="str">
        <f>VLOOKUP(A14,'Diags Raw Data'!$A$6:$D$3640,4,FALSE)</f>
        <v>DF</v>
      </c>
      <c r="F14" s="296" t="str">
        <f>VLOOKUP(A14,'Feature Raw Data'!$A$3:$E$3862,5,FALSE)</f>
        <v>Legacy</v>
      </c>
      <c r="G14" s="296" t="str">
        <f t="shared" si="0"/>
        <v>Yes</v>
      </c>
      <c r="H14" s="169" t="str">
        <f t="shared" si="6"/>
        <v>Yes</v>
      </c>
      <c r="I14" s="295">
        <f>SUMIF('Diags Raw Data'!$A$6:$A$3640,"*"&amp;$A14&amp;"*",'Diags Raw Data'!$K$6:$K$3640)</f>
        <v>1</v>
      </c>
      <c r="J14" s="297">
        <f>SUMIF('Diags Raw Data'!$A$6:$A$3640,"*"&amp;$A14&amp;"*",'Diags Raw Data'!$L$6:$L$3640)</f>
        <v>1</v>
      </c>
      <c r="K14" s="364" cm="1">
        <f t="array" ref="K14">IF(D14="",0, SUMPRODUCT(--(ISNUMBER(SEARCH($A14,'Diags Raw Data'!$A$6:$A$3640))),'Diags Raw Data'!$L$6:$L$3640,'Diags Raw Data'!$N$6:$N$3640)/J14)</f>
        <v>1</v>
      </c>
      <c r="L14" s="365" cm="1">
        <f t="array" ref="L14">IF(D14="",0, SUMPRODUCT(--(ISNUMBER(SEARCH($A14,'Diags Raw Data'!$A$6:$A$3640))),'Diags Raw Data'!$L$6:$L$3640,'Diags Raw Data'!$P$6:$P$3640)/J14)</f>
        <v>1</v>
      </c>
      <c r="M14" s="366" cm="1">
        <f t="array" ref="M14">SUMPRODUCT(--(ISNUMBER(SEARCH($A14,'Diags Raw Data'!$A$6:$A$3640))),--('Diags Raw Data'!$Q$6:$Q$3640&lt;&gt;"N/A"),'Diags Raw Data'!$R$6:$R$3640)</f>
        <v>1</v>
      </c>
      <c r="N14" s="367" cm="1">
        <f t="array" ref="N14">SUMPRODUCT(--(ISNUMBER(SEARCH($A14,'Diags Raw Data'!$A$6:$A$3640))),--('Diags Raw Data'!$Q$6:$Q$3640&lt;&gt;"N/A"),'Diags Raw Data'!$T$6:$T$3640)+SUMPRODUCT(--(ISNUMBER(SEARCH($A14,'Diags Raw Data'!$A$6:$A$3640))),--('Diags Raw Data'!$Q$6:$Q$3640&lt;&gt;"N/A"),'Diags Raw Data'!$U$6:$U$3640)</f>
        <v>1</v>
      </c>
      <c r="O14" s="392">
        <f t="shared" si="2"/>
        <v>1</v>
      </c>
      <c r="P14" s="412">
        <f>SUMIF('Diags Raw Data'!$A$6:$A$3640,"*"&amp;$A14&amp;"*",'Diags Raw Data'!$Z$6:$Z$3640)</f>
        <v>1</v>
      </c>
      <c r="Q14" s="413">
        <f>SUM(SUMIF('Diags Raw Data'!$A$6:$A$3640,"*"&amp;$A14&amp;"*",'Diags Raw Data'!$AA$6:$AA$3640),SUMIF('Diags Raw Data'!$A$6:$A$3640,"*"&amp;$A14&amp;"*",'Diags Raw Data'!$AB$6:$AB$3640))</f>
        <v>1</v>
      </c>
      <c r="R14" s="414">
        <f t="shared" si="3"/>
        <v>1</v>
      </c>
      <c r="S14" s="414">
        <f t="shared" si="4"/>
        <v>1</v>
      </c>
      <c r="T14" s="415">
        <f t="shared" si="5"/>
        <v>1</v>
      </c>
      <c r="U14" s="417" t="s">
        <v>428</v>
      </c>
      <c r="V14" s="172"/>
    </row>
    <row r="15" spans="1:31" ht="15" thickBot="1">
      <c r="A15" s="416" t="s">
        <v>292</v>
      </c>
      <c r="B15" s="323" t="str">
        <f>VLOOKUP(A15,'Feature Raw Data'!$A$3:$B$3862,2,FALSE)</f>
        <v>Power Gate During DF C-State</v>
      </c>
      <c r="C15" s="295" t="str">
        <f>VLOOKUP(A15,'Feature Raw Data'!$A$3:$C$3862,3,FALSE)</f>
        <v>P2</v>
      </c>
      <c r="D15" s="94" t="str" cm="1">
        <f t="array" ref="D15">_xlfn.TEXTJOIN("",TRUE,IF(ISNUMBER(SEARCH($A15,'Diags Raw Data'!$A$6:$A$3640)),CONCATENATE('Diags Raw Data'!$H$6:$H$3640,", "),""))</f>
        <v xml:space="preserve">FEAT-11, </v>
      </c>
      <c r="E15" s="296" t="str">
        <f>VLOOKUP(A15,'Diags Raw Data'!$A$6:$D$3640,4,FALSE)</f>
        <v>DF</v>
      </c>
      <c r="F15" s="296" t="str">
        <f>VLOOKUP(A15,'Feature Raw Data'!$A$3:$E$3862,5,FALSE)</f>
        <v>Legacy</v>
      </c>
      <c r="G15" s="296" t="str">
        <f t="shared" si="0"/>
        <v>Yes</v>
      </c>
      <c r="H15" s="169" t="str">
        <f t="shared" si="6"/>
        <v>Yes</v>
      </c>
      <c r="I15" s="295">
        <f>SUMIF('Diags Raw Data'!$A$6:$A$3640,"*"&amp;$A15&amp;"*",'Diags Raw Data'!$K$6:$K$3640)</f>
        <v>1</v>
      </c>
      <c r="J15" s="297">
        <f>SUMIF('Diags Raw Data'!$A$6:$A$3640,"*"&amp;$A15&amp;"*",'Diags Raw Data'!$L$6:$L$3640)</f>
        <v>1</v>
      </c>
      <c r="K15" s="364" cm="1">
        <f t="array" ref="K15">IF(D15="",0, SUMPRODUCT(--(ISNUMBER(SEARCH($A15,'Diags Raw Data'!$A$6:$A$3640))),'Diags Raw Data'!$L$6:$L$3640,'Diags Raw Data'!$N$6:$N$3640)/J15)</f>
        <v>1</v>
      </c>
      <c r="L15" s="365" cm="1">
        <f t="array" ref="L15">IF(D15="",0, SUMPRODUCT(--(ISNUMBER(SEARCH($A15,'Diags Raw Data'!$A$6:$A$3640))),'Diags Raw Data'!$L$6:$L$3640,'Diags Raw Data'!$P$6:$P$3640)/J15)</f>
        <v>1</v>
      </c>
      <c r="M15" s="366" cm="1">
        <f t="array" ref="M15">SUMPRODUCT(--(ISNUMBER(SEARCH($A15,'Diags Raw Data'!$A$6:$A$3640))),--('Diags Raw Data'!$Q$6:$Q$3640&lt;&gt;"N/A"),'Diags Raw Data'!$R$6:$R$3640)</f>
        <v>1</v>
      </c>
      <c r="N15" s="367" cm="1">
        <f t="array" ref="N15">SUMPRODUCT(--(ISNUMBER(SEARCH($A15,'Diags Raw Data'!$A$6:$A$3640))),--('Diags Raw Data'!$Q$6:$Q$3640&lt;&gt;"N/A"),'Diags Raw Data'!$T$6:$T$3640)+SUMPRODUCT(--(ISNUMBER(SEARCH($A15,'Diags Raw Data'!$A$6:$A$3640))),--('Diags Raw Data'!$Q$6:$Q$3640&lt;&gt;"N/A"),'Diags Raw Data'!$U$6:$U$3640)</f>
        <v>1</v>
      </c>
      <c r="O15" s="392">
        <f t="shared" si="2"/>
        <v>1</v>
      </c>
      <c r="P15" s="412">
        <f>SUMIF('Diags Raw Data'!$A$6:$A$3640,"*"&amp;$A15&amp;"*",'Diags Raw Data'!$Z$6:$Z$3640)</f>
        <v>0</v>
      </c>
      <c r="Q15" s="413">
        <f>SUM(SUMIF('Diags Raw Data'!$A$6:$A$3640,"*"&amp;$A15&amp;"*",'Diags Raw Data'!$AA$6:$AA$3640),SUMIF('Diags Raw Data'!$A$6:$A$3640,"*"&amp;$A15&amp;"*",'Diags Raw Data'!$AB$6:$AB$3640))</f>
        <v>0</v>
      </c>
      <c r="R15" s="414">
        <f t="shared" si="3"/>
        <v>0</v>
      </c>
      <c r="S15" s="414">
        <f t="shared" si="4"/>
        <v>0</v>
      </c>
      <c r="T15" s="415">
        <f t="shared" si="5"/>
        <v>0</v>
      </c>
      <c r="U15" s="417" t="s">
        <v>431</v>
      </c>
      <c r="V15" s="170"/>
    </row>
    <row r="16" spans="1:31" ht="15" thickBot="1">
      <c r="A16" s="416" t="s">
        <v>295</v>
      </c>
      <c r="B16" s="323" t="str">
        <f>VLOOKUP(A16,'Feature Raw Data'!$A$3:$B$3862,2,FALSE)</f>
        <v>Unified Memory Fencing</v>
      </c>
      <c r="C16" s="295" t="str">
        <f>VLOOKUP(A16,'Feature Raw Data'!$A$3:$C$3862,3,FALSE)</f>
        <v>P1</v>
      </c>
      <c r="D16" s="94" t="str" cm="1">
        <f t="array" ref="D16">_xlfn.TEXTJOIN("",TRUE,IF(ISNUMBER(SEARCH($A16,'Diags Raw Data'!$A$6:$A$3640)),CONCATENATE('Diags Raw Data'!$H$6:$H$3640,", "),""))</f>
        <v xml:space="preserve">FEAT-12, </v>
      </c>
      <c r="E16" s="296" t="str">
        <f>VLOOKUP(A16,'Diags Raw Data'!$A$6:$D$3640,4,FALSE)</f>
        <v>DF</v>
      </c>
      <c r="F16" s="296" t="str">
        <f>VLOOKUP(A16,'Feature Raw Data'!$A$3:$E$3862,5,FALSE)</f>
        <v>New</v>
      </c>
      <c r="G16" s="296" t="str">
        <f t="shared" si="0"/>
        <v>Yes</v>
      </c>
      <c r="H16" s="169" t="str">
        <f t="shared" si="6"/>
        <v>Yes</v>
      </c>
      <c r="I16" s="295">
        <f>SUMIF('Diags Raw Data'!$A$6:$A$3640,"*"&amp;$A16&amp;"*",'Diags Raw Data'!$K$6:$K$3640)</f>
        <v>1</v>
      </c>
      <c r="J16" s="297">
        <f>SUMIF('Diags Raw Data'!$A$6:$A$3640,"*"&amp;$A16&amp;"*",'Diags Raw Data'!$L$6:$L$3640)</f>
        <v>4</v>
      </c>
      <c r="K16" s="364" cm="1">
        <f t="array" ref="K16">IF(D16="",0, SUMPRODUCT(--(ISNUMBER(SEARCH($A16,'Diags Raw Data'!$A$6:$A$3640))),'Diags Raw Data'!$L$6:$L$3640,'Diags Raw Data'!$N$6:$N$3640)/J16)</f>
        <v>1</v>
      </c>
      <c r="L16" s="365" cm="1">
        <f t="array" ref="L16">IF(D16="",0, SUMPRODUCT(--(ISNUMBER(SEARCH($A16,'Diags Raw Data'!$A$6:$A$3640))),'Diags Raw Data'!$L$6:$L$3640,'Diags Raw Data'!$P$6:$P$3640)/J16)</f>
        <v>0.25</v>
      </c>
      <c r="M16" s="366" cm="1">
        <f t="array" ref="M16">SUMPRODUCT(--(ISNUMBER(SEARCH($A16,'Diags Raw Data'!$A$6:$A$3640))),--('Diags Raw Data'!$Q$6:$Q$3640&lt;&gt;"N/A"),'Diags Raw Data'!$R$6:$R$3640)</f>
        <v>0</v>
      </c>
      <c r="N16" s="367" cm="1">
        <f t="array" ref="N16">SUMPRODUCT(--(ISNUMBER(SEARCH($A16,'Diags Raw Data'!$A$6:$A$3640))),--('Diags Raw Data'!$Q$6:$Q$3640&lt;&gt;"N/A"),'Diags Raw Data'!$T$6:$T$3640)+SUMPRODUCT(--(ISNUMBER(SEARCH($A16,'Diags Raw Data'!$A$6:$A$3640))),--('Diags Raw Data'!$Q$6:$Q$3640&lt;&gt;"N/A"),'Diags Raw Data'!$U$6:$U$3640)</f>
        <v>0</v>
      </c>
      <c r="O16" s="392">
        <f t="shared" si="2"/>
        <v>0</v>
      </c>
      <c r="P16" s="412">
        <f>SUMIF('Diags Raw Data'!$A$6:$A$3640,"*"&amp;$A16&amp;"*",'Diags Raw Data'!$Z$6:$Z$3640)</f>
        <v>0</v>
      </c>
      <c r="Q16" s="413">
        <f>SUM(SUMIF('Diags Raw Data'!$A$6:$A$3640,"*"&amp;$A16&amp;"*",'Diags Raw Data'!$AA$6:$AA$3640),SUMIF('Diags Raw Data'!$A$6:$A$3640,"*"&amp;$A16&amp;"*",'Diags Raw Data'!$AB$6:$AB$3640))</f>
        <v>0</v>
      </c>
      <c r="R16" s="414">
        <f t="shared" si="3"/>
        <v>0</v>
      </c>
      <c r="S16" s="414">
        <f t="shared" si="4"/>
        <v>0</v>
      </c>
      <c r="T16" s="415">
        <f t="shared" si="5"/>
        <v>0</v>
      </c>
      <c r="U16" s="417" t="s">
        <v>432</v>
      </c>
      <c r="V16" s="170"/>
    </row>
    <row r="17" spans="1:22" ht="15" thickBot="1">
      <c r="A17" s="416" t="s">
        <v>299</v>
      </c>
      <c r="B17" s="323" t="str">
        <f>VLOOKUP(A17,'Feature Raw Data'!$A$3:$B$3862,2,FALSE)</f>
        <v>MALL Alloc / NoAlloc for GFX</v>
      </c>
      <c r="C17" s="295" t="str">
        <f>VLOOKUP(A17,'Feature Raw Data'!$A$3:$C$3862,3,FALSE)</f>
        <v>P2</v>
      </c>
      <c r="D17" s="94" t="str" cm="1">
        <f t="array" ref="D17">_xlfn.TEXTJOIN("",TRUE,IF(ISNUMBER(SEARCH($A17,'Diags Raw Data'!$A$6:$A$3640)),CONCATENATE('Diags Raw Data'!$H$6:$H$3640,", "),""))</f>
        <v xml:space="preserve">FEAT-13, </v>
      </c>
      <c r="E17" s="296" t="str">
        <f>VLOOKUP(A17,'Diags Raw Data'!$A$6:$D$3640,4,FALSE)</f>
        <v>DF</v>
      </c>
      <c r="F17" s="296" t="str">
        <f>VLOOKUP(A17,'Feature Raw Data'!$A$3:$E$3862,5,FALSE)</f>
        <v>Legacy</v>
      </c>
      <c r="G17" s="296" t="str">
        <f t="shared" si="0"/>
        <v>Yes</v>
      </c>
      <c r="H17" s="169" t="str">
        <f t="shared" si="6"/>
        <v>Yes</v>
      </c>
      <c r="I17" s="295">
        <f>SUMIF('Diags Raw Data'!$A$6:$A$3640,"*"&amp;$A17&amp;"*",'Diags Raw Data'!$K$6:$K$3640)</f>
        <v>1</v>
      </c>
      <c r="J17" s="297">
        <f>SUMIF('Diags Raw Data'!$A$6:$A$3640,"*"&amp;$A17&amp;"*",'Diags Raw Data'!$L$6:$L$3640)</f>
        <v>16</v>
      </c>
      <c r="K17" s="364" cm="1">
        <f t="array" ref="K17">IF(D17="",0, SUMPRODUCT(--(ISNUMBER(SEARCH($A17,'Diags Raw Data'!$A$6:$A$3640))),'Diags Raw Data'!$L$6:$L$3640,'Diags Raw Data'!$N$6:$N$3640)/J17)</f>
        <v>1</v>
      </c>
      <c r="L17" s="365" cm="1">
        <f t="array" ref="L17">IF(D17="",0, SUMPRODUCT(--(ISNUMBER(SEARCH($A17,'Diags Raw Data'!$A$6:$A$3640))),'Diags Raw Data'!$L$6:$L$3640,'Diags Raw Data'!$P$6:$P$3640)/J17)</f>
        <v>1</v>
      </c>
      <c r="M17" s="366" cm="1">
        <f t="array" ref="M17">SUMPRODUCT(--(ISNUMBER(SEARCH($A17,'Diags Raw Data'!$A$6:$A$3640))),--('Diags Raw Data'!$Q$6:$Q$3640&lt;&gt;"N/A"),'Diags Raw Data'!$R$6:$R$3640)</f>
        <v>14</v>
      </c>
      <c r="N17" s="367" cm="1">
        <f t="array" ref="N17">SUMPRODUCT(--(ISNUMBER(SEARCH($A17,'Diags Raw Data'!$A$6:$A$3640))),--('Diags Raw Data'!$Q$6:$Q$3640&lt;&gt;"N/A"),'Diags Raw Data'!$T$6:$T$3640)+SUMPRODUCT(--(ISNUMBER(SEARCH($A17,'Diags Raw Data'!$A$6:$A$3640))),--('Diags Raw Data'!$Q$6:$Q$3640&lt;&gt;"N/A"),'Diags Raw Data'!$U$6:$U$3640)</f>
        <v>14</v>
      </c>
      <c r="O17" s="392">
        <f t="shared" si="2"/>
        <v>1</v>
      </c>
      <c r="P17" s="412">
        <f>SUMIF('Diags Raw Data'!$A$6:$A$3640,"*"&amp;$A17&amp;"*",'Diags Raw Data'!$Z$6:$Z$3640)</f>
        <v>0</v>
      </c>
      <c r="Q17" s="413">
        <f>SUM(SUMIF('Diags Raw Data'!$A$6:$A$3640,"*"&amp;$A17&amp;"*",'Diags Raw Data'!$AA$6:$AA$3640),SUMIF('Diags Raw Data'!$A$6:$A$3640,"*"&amp;$A17&amp;"*",'Diags Raw Data'!$AB$6:$AB$3640))</f>
        <v>0</v>
      </c>
      <c r="R17" s="414">
        <f t="shared" si="3"/>
        <v>0</v>
      </c>
      <c r="S17" s="414">
        <f t="shared" si="4"/>
        <v>0</v>
      </c>
      <c r="T17" s="415">
        <f t="shared" si="5"/>
        <v>0</v>
      </c>
      <c r="U17" s="417" t="s">
        <v>433</v>
      </c>
      <c r="V17" s="170"/>
    </row>
    <row r="18" spans="1:22" ht="15" thickBot="1">
      <c r="A18" s="416" t="s">
        <v>303</v>
      </c>
      <c r="B18" s="323" t="str">
        <f>VLOOKUP(A18,'Feature Raw Data'!$A$3:$B$3862,2,FALSE)</f>
        <v>MALL NoAlloc override for HDP</v>
      </c>
      <c r="C18" s="295" t="str">
        <f>VLOOKUP(A18,'Feature Raw Data'!$A$3:$C$3862,3,FALSE)</f>
        <v>P2</v>
      </c>
      <c r="D18" s="94" t="str" cm="1">
        <f t="array" ref="D18">_xlfn.TEXTJOIN("",TRUE,IF(ISNUMBER(SEARCH($A18,'Diags Raw Data'!$A$6:$A$3640)),CONCATENATE('Diags Raw Data'!$H$6:$H$3640,", "),""))</f>
        <v xml:space="preserve">FEAT-14, </v>
      </c>
      <c r="E18" s="296" t="str">
        <f>VLOOKUP(A18,'Diags Raw Data'!$A$6:$D$3640,4,FALSE)</f>
        <v>DF</v>
      </c>
      <c r="F18" s="296" t="str">
        <f>VLOOKUP(A18,'Feature Raw Data'!$A$3:$E$3862,5,FALSE)</f>
        <v>Legacy</v>
      </c>
      <c r="G18" s="296" t="str">
        <f t="shared" si="0"/>
        <v>Yes</v>
      </c>
      <c r="H18" s="169" t="str">
        <f t="shared" si="6"/>
        <v>Yes</v>
      </c>
      <c r="I18" s="295">
        <f>SUMIF('Diags Raw Data'!$A$6:$A$3640,"*"&amp;$A18&amp;"*",'Diags Raw Data'!$K$6:$K$3640)</f>
        <v>1</v>
      </c>
      <c r="J18" s="297">
        <f>SUMIF('Diags Raw Data'!$A$6:$A$3640,"*"&amp;$A18&amp;"*",'Diags Raw Data'!$L$6:$L$3640)</f>
        <v>2</v>
      </c>
      <c r="K18" s="364" cm="1">
        <f t="array" ref="K18">IF(D18="",0, SUMPRODUCT(--(ISNUMBER(SEARCH($A18,'Diags Raw Data'!$A$6:$A$3640))),'Diags Raw Data'!$L$6:$L$3640,'Diags Raw Data'!$N$6:$N$3640)/J18)</f>
        <v>1</v>
      </c>
      <c r="L18" s="365" cm="1">
        <f t="array" ref="L18">IF(D18="",0, SUMPRODUCT(--(ISNUMBER(SEARCH($A18,'Diags Raw Data'!$A$6:$A$3640))),'Diags Raw Data'!$L$6:$L$3640,'Diags Raw Data'!$P$6:$P$3640)/J18)</f>
        <v>1</v>
      </c>
      <c r="M18" s="366" cm="1">
        <f t="array" ref="M18">SUMPRODUCT(--(ISNUMBER(SEARCH($A18,'Diags Raw Data'!$A$6:$A$3640))),--('Diags Raw Data'!$Q$6:$Q$3640&lt;&gt;"N/A"),'Diags Raw Data'!$R$6:$R$3640)</f>
        <v>1</v>
      </c>
      <c r="N18" s="367" cm="1">
        <f t="array" ref="N18">SUMPRODUCT(--(ISNUMBER(SEARCH($A18,'Diags Raw Data'!$A$6:$A$3640))),--('Diags Raw Data'!$Q$6:$Q$3640&lt;&gt;"N/A"),'Diags Raw Data'!$T$6:$T$3640)+SUMPRODUCT(--(ISNUMBER(SEARCH($A18,'Diags Raw Data'!$A$6:$A$3640))),--('Diags Raw Data'!$Q$6:$Q$3640&lt;&gt;"N/A"),'Diags Raw Data'!$U$6:$U$3640)</f>
        <v>1</v>
      </c>
      <c r="O18" s="392">
        <f t="shared" si="2"/>
        <v>1</v>
      </c>
      <c r="P18" s="412">
        <f>SUMIF('Diags Raw Data'!$A$6:$A$3640,"*"&amp;$A18&amp;"*",'Diags Raw Data'!$Z$6:$Z$3640)</f>
        <v>0</v>
      </c>
      <c r="Q18" s="413">
        <f>SUM(SUMIF('Diags Raw Data'!$A$6:$A$3640,"*"&amp;$A18&amp;"*",'Diags Raw Data'!$AA$6:$AA$3640),SUMIF('Diags Raw Data'!$A$6:$A$3640,"*"&amp;$A18&amp;"*",'Diags Raw Data'!$AB$6:$AB$3640))</f>
        <v>0</v>
      </c>
      <c r="R18" s="414">
        <f t="shared" si="3"/>
        <v>0</v>
      </c>
      <c r="S18" s="414">
        <f t="shared" si="4"/>
        <v>0</v>
      </c>
      <c r="T18" s="415">
        <f t="shared" si="5"/>
        <v>0</v>
      </c>
      <c r="U18" s="417" t="s">
        <v>433</v>
      </c>
      <c r="V18" s="170"/>
    </row>
    <row r="19" spans="1:22" ht="15" thickBot="1">
      <c r="A19" s="416" t="s">
        <v>307</v>
      </c>
      <c r="B19" s="323" t="str">
        <f>VLOOKUP(A19,'Feature Raw Data'!$A$3:$B$3862,2,FALSE)</f>
        <v>Streaming performance Monitor</v>
      </c>
      <c r="C19" s="295" t="str">
        <f>VLOOKUP(A19,'Feature Raw Data'!$A$3:$C$3862,3,FALSE)</f>
        <v>P1</v>
      </c>
      <c r="D19" s="94" t="str" cm="1">
        <f t="array" ref="D19">_xlfn.TEXTJOIN("",TRUE,IF(ISNUMBER(SEARCH($A19,'Diags Raw Data'!$A$6:$A$3640)),CONCATENATE('Diags Raw Data'!$H$6:$H$3640,", "),""))</f>
        <v xml:space="preserve">FEAT-15, </v>
      </c>
      <c r="E19" s="296" t="str">
        <f>VLOOKUP(A19,'Diags Raw Data'!$A$6:$D$3640,4,FALSE)</f>
        <v>DF</v>
      </c>
      <c r="F19" s="296" t="str">
        <f>VLOOKUP(A19,'Feature Raw Data'!$A$3:$E$3862,5,FALSE)</f>
        <v>Delta</v>
      </c>
      <c r="G19" s="296" t="str">
        <f t="shared" si="0"/>
        <v>Yes</v>
      </c>
      <c r="H19" s="169" t="str">
        <f t="shared" si="6"/>
        <v>Yes</v>
      </c>
      <c r="I19" s="295">
        <f>SUMIF('Diags Raw Data'!$A$6:$A$3640,"*"&amp;$A19&amp;"*",'Diags Raw Data'!$K$6:$K$3640)</f>
        <v>1</v>
      </c>
      <c r="J19" s="297">
        <f>SUMIF('Diags Raw Data'!$A$6:$A$3640,"*"&amp;$A19&amp;"*",'Diags Raw Data'!$L$6:$L$3640)</f>
        <v>4</v>
      </c>
      <c r="K19" s="364" cm="1">
        <f t="array" ref="K19">IF(D19="",0, SUMPRODUCT(--(ISNUMBER(SEARCH($A19,'Diags Raw Data'!$A$6:$A$3640))),'Diags Raw Data'!$L$6:$L$3640,'Diags Raw Data'!$N$6:$N$3640)/J19)</f>
        <v>1</v>
      </c>
      <c r="L19" s="365" cm="1">
        <f t="array" ref="L19">IF(D19="",0, SUMPRODUCT(--(ISNUMBER(SEARCH($A19,'Diags Raw Data'!$A$6:$A$3640))),'Diags Raw Data'!$L$6:$L$3640,'Diags Raw Data'!$P$6:$P$3640)/J19)</f>
        <v>1</v>
      </c>
      <c r="M19" s="366" cm="1">
        <f t="array" ref="M19">SUMPRODUCT(--(ISNUMBER(SEARCH($A19,'Diags Raw Data'!$A$6:$A$3640))),--('Diags Raw Data'!$Q$6:$Q$3640&lt;&gt;"N/A"),'Diags Raw Data'!$R$6:$R$3640)</f>
        <v>4</v>
      </c>
      <c r="N19" s="367" cm="1">
        <f t="array" ref="N19">SUMPRODUCT(--(ISNUMBER(SEARCH($A19,'Diags Raw Data'!$A$6:$A$3640))),--('Diags Raw Data'!$Q$6:$Q$3640&lt;&gt;"N/A"),'Diags Raw Data'!$T$6:$T$3640)+SUMPRODUCT(--(ISNUMBER(SEARCH($A19,'Diags Raw Data'!$A$6:$A$3640))),--('Diags Raw Data'!$Q$6:$Q$3640&lt;&gt;"N/A"),'Diags Raw Data'!$U$6:$U$3640)</f>
        <v>4</v>
      </c>
      <c r="O19" s="392">
        <f t="shared" si="2"/>
        <v>1</v>
      </c>
      <c r="P19" s="412">
        <f>SUMIF('Diags Raw Data'!$A$6:$A$3640,"*"&amp;$A19&amp;"*",'Diags Raw Data'!$Z$6:$Z$3640)</f>
        <v>0</v>
      </c>
      <c r="Q19" s="413">
        <f>SUM(SUMIF('Diags Raw Data'!$A$6:$A$3640,"*"&amp;$A19&amp;"*",'Diags Raw Data'!$AA$6:$AA$3640),SUMIF('Diags Raw Data'!$A$6:$A$3640,"*"&amp;$A19&amp;"*",'Diags Raw Data'!$AB$6:$AB$3640))</f>
        <v>0</v>
      </c>
      <c r="R19" s="414">
        <f t="shared" si="3"/>
        <v>0</v>
      </c>
      <c r="S19" s="414">
        <f t="shared" si="4"/>
        <v>0</v>
      </c>
      <c r="T19" s="415">
        <f t="shared" si="5"/>
        <v>0</v>
      </c>
      <c r="U19" s="417" t="s">
        <v>434</v>
      </c>
      <c r="V19" s="170"/>
    </row>
    <row r="20" spans="1:22" ht="15" thickBot="1">
      <c r="A20" s="416" t="s">
        <v>312</v>
      </c>
      <c r="B20" s="323" t="str">
        <f>VLOOKUP(A20,'Feature Raw Data'!$A$3:$B$3862,2,FALSE)</f>
        <v>Mall Hashing Support in NV4x</v>
      </c>
      <c r="C20" s="295" t="str">
        <f>VLOOKUP(A20,'Feature Raw Data'!$A$3:$C$3862,3,FALSE)</f>
        <v>P2</v>
      </c>
      <c r="D20" s="94" t="str" cm="1">
        <f t="array" ref="D20">_xlfn.TEXTJOIN("",TRUE,IF(ISNUMBER(SEARCH($A20,'Diags Raw Data'!$A$6:$A$3640)),CONCATENATE('Diags Raw Data'!$H$6:$H$3640,", "),""))</f>
        <v xml:space="preserve">FEAT-16, </v>
      </c>
      <c r="E20" s="296" t="str">
        <f>VLOOKUP(A20,'Diags Raw Data'!$A$6:$D$3640,4,FALSE)</f>
        <v>DF</v>
      </c>
      <c r="F20" s="296" t="str">
        <f>VLOOKUP(A20,'Feature Raw Data'!$A$3:$E$3862,5,FALSE)</f>
        <v>Legacy</v>
      </c>
      <c r="G20" s="296" t="str">
        <f t="shared" si="0"/>
        <v>Yes</v>
      </c>
      <c r="H20" s="169" t="str">
        <f t="shared" si="6"/>
        <v>Yes</v>
      </c>
      <c r="I20" s="295">
        <f>SUMIF('Diags Raw Data'!$A$6:$A$3640,"*"&amp;$A20&amp;"*",'Diags Raw Data'!$K$6:$K$3640)</f>
        <v>1</v>
      </c>
      <c r="J20" s="297">
        <f>SUMIF('Diags Raw Data'!$A$6:$A$3640,"*"&amp;$A20&amp;"*",'Diags Raw Data'!$L$6:$L$3640)</f>
        <v>2</v>
      </c>
      <c r="K20" s="364" cm="1">
        <f t="array" ref="K20">IF(D20="",0, SUMPRODUCT(--(ISNUMBER(SEARCH($A20,'Diags Raw Data'!$A$6:$A$3640))),'Diags Raw Data'!$L$6:$L$3640,'Diags Raw Data'!$N$6:$N$3640)/J20)</f>
        <v>1</v>
      </c>
      <c r="L20" s="365" cm="1">
        <f t="array" ref="L20">IF(D20="",0, SUMPRODUCT(--(ISNUMBER(SEARCH($A20,'Diags Raw Data'!$A$6:$A$3640))),'Diags Raw Data'!$L$6:$L$3640,'Diags Raw Data'!$P$6:$P$3640)/J20)</f>
        <v>1</v>
      </c>
      <c r="M20" s="366" cm="1">
        <f t="array" ref="M20">SUMPRODUCT(--(ISNUMBER(SEARCH($A20,'Diags Raw Data'!$A$6:$A$3640))),--('Diags Raw Data'!$Q$6:$Q$3640&lt;&gt;"N/A"),'Diags Raw Data'!$R$6:$R$3640)</f>
        <v>2</v>
      </c>
      <c r="N20" s="367" cm="1">
        <f t="array" ref="N20">SUMPRODUCT(--(ISNUMBER(SEARCH($A20,'Diags Raw Data'!$A$6:$A$3640))),--('Diags Raw Data'!$Q$6:$Q$3640&lt;&gt;"N/A"),'Diags Raw Data'!$T$6:$T$3640)+SUMPRODUCT(--(ISNUMBER(SEARCH($A20,'Diags Raw Data'!$A$6:$A$3640))),--('Diags Raw Data'!$Q$6:$Q$3640&lt;&gt;"N/A"),'Diags Raw Data'!$U$6:$U$3640)</f>
        <v>2</v>
      </c>
      <c r="O20" s="392">
        <f t="shared" si="2"/>
        <v>1</v>
      </c>
      <c r="P20" s="412">
        <f>SUMIF('Diags Raw Data'!$A$6:$A$3640,"*"&amp;$A20&amp;"*",'Diags Raw Data'!$Z$6:$Z$3640)</f>
        <v>0</v>
      </c>
      <c r="Q20" s="413">
        <f>SUM(SUMIF('Diags Raw Data'!$A$6:$A$3640,"*"&amp;$A20&amp;"*",'Diags Raw Data'!$AA$6:$AA$3640),SUMIF('Diags Raw Data'!$A$6:$A$3640,"*"&amp;$A20&amp;"*",'Diags Raw Data'!$AB$6:$AB$3640))</f>
        <v>0</v>
      </c>
      <c r="R20" s="414">
        <f t="shared" si="3"/>
        <v>0</v>
      </c>
      <c r="S20" s="414">
        <f t="shared" si="4"/>
        <v>0</v>
      </c>
      <c r="T20" s="415">
        <f t="shared" si="5"/>
        <v>0</v>
      </c>
      <c r="U20" s="417" t="s">
        <v>435</v>
      </c>
      <c r="V20" s="170"/>
    </row>
    <row r="21" spans="1:22" ht="15" thickBot="1">
      <c r="A21" s="416" t="s">
        <v>316</v>
      </c>
      <c r="B21" s="323" t="str">
        <f>VLOOKUP(A21,'Feature Raw Data'!$A$3:$B$3862,2,FALSE)</f>
        <v>MALL support for UMC Perfmon event propagation</v>
      </c>
      <c r="C21" s="295" t="str">
        <f>VLOOKUP(A21,'Feature Raw Data'!$A$3:$C$3862,3,FALSE)</f>
        <v>P2</v>
      </c>
      <c r="D21" s="94" t="str" cm="1">
        <f t="array" ref="D21">_xlfn.TEXTJOIN("",TRUE,IF(ISNUMBER(SEARCH($A21,'Diags Raw Data'!$A$6:$A$3640)),CONCATENATE('Diags Raw Data'!$H$6:$H$3640,", "),""))</f>
        <v xml:space="preserve">FEAT-17, </v>
      </c>
      <c r="E21" s="296" t="str">
        <f>VLOOKUP(A21,'Diags Raw Data'!$A$6:$D$3640,4,FALSE)</f>
        <v>DF</v>
      </c>
      <c r="F21" s="296" t="str">
        <f>VLOOKUP(A21,'Feature Raw Data'!$A$3:$E$3862,5,FALSE)</f>
        <v>Legacy</v>
      </c>
      <c r="G21" s="296" t="str">
        <f t="shared" si="0"/>
        <v>Yes</v>
      </c>
      <c r="H21" s="169" t="str">
        <f t="shared" si="6"/>
        <v>Yes</v>
      </c>
      <c r="I21" s="295">
        <f>SUMIF('Diags Raw Data'!$A$6:$A$3640,"*"&amp;$A21&amp;"*",'Diags Raw Data'!$K$6:$K$3640)</f>
        <v>1</v>
      </c>
      <c r="J21" s="297">
        <f>SUMIF('Diags Raw Data'!$A$6:$A$3640,"*"&amp;$A21&amp;"*",'Diags Raw Data'!$L$6:$L$3640)</f>
        <v>4</v>
      </c>
      <c r="K21" s="364" cm="1">
        <f t="array" ref="K21">IF(D21="",0, SUMPRODUCT(--(ISNUMBER(SEARCH($A21,'Diags Raw Data'!$A$6:$A$3640))),'Diags Raw Data'!$L$6:$L$3640,'Diags Raw Data'!$N$6:$N$3640)/J21)</f>
        <v>1</v>
      </c>
      <c r="L21" s="365" cm="1">
        <f t="array" ref="L21">IF(D21="",0, SUMPRODUCT(--(ISNUMBER(SEARCH($A21,'Diags Raw Data'!$A$6:$A$3640))),'Diags Raw Data'!$L$6:$L$3640,'Diags Raw Data'!$P$6:$P$3640)/J21)</f>
        <v>1</v>
      </c>
      <c r="M21" s="366" cm="1">
        <f t="array" ref="M21">SUMPRODUCT(--(ISNUMBER(SEARCH($A21,'Diags Raw Data'!$A$6:$A$3640))),--('Diags Raw Data'!$Q$6:$Q$3640&lt;&gt;"N/A"),'Diags Raw Data'!$R$6:$R$3640)</f>
        <v>4</v>
      </c>
      <c r="N21" s="367" cm="1">
        <f t="array" ref="N21">SUMPRODUCT(--(ISNUMBER(SEARCH($A21,'Diags Raw Data'!$A$6:$A$3640))),--('Diags Raw Data'!$Q$6:$Q$3640&lt;&gt;"N/A"),'Diags Raw Data'!$T$6:$T$3640)+SUMPRODUCT(--(ISNUMBER(SEARCH($A21,'Diags Raw Data'!$A$6:$A$3640))),--('Diags Raw Data'!$Q$6:$Q$3640&lt;&gt;"N/A"),'Diags Raw Data'!$U$6:$U$3640)</f>
        <v>4</v>
      </c>
      <c r="O21" s="392">
        <f t="shared" si="2"/>
        <v>1</v>
      </c>
      <c r="P21" s="412">
        <f>SUMIF('Diags Raw Data'!$A$6:$A$3640,"*"&amp;$A21&amp;"*",'Diags Raw Data'!$Z$6:$Z$3640)</f>
        <v>0</v>
      </c>
      <c r="Q21" s="413">
        <f>SUM(SUMIF('Diags Raw Data'!$A$6:$A$3640,"*"&amp;$A21&amp;"*",'Diags Raw Data'!$AA$6:$AA$3640),SUMIF('Diags Raw Data'!$A$6:$A$3640,"*"&amp;$A21&amp;"*",'Diags Raw Data'!$AB$6:$AB$3640))</f>
        <v>0</v>
      </c>
      <c r="R21" s="414">
        <f t="shared" si="3"/>
        <v>0</v>
      </c>
      <c r="S21" s="414">
        <f t="shared" si="4"/>
        <v>0</v>
      </c>
      <c r="T21" s="415">
        <f t="shared" si="5"/>
        <v>0</v>
      </c>
      <c r="U21" s="417" t="s">
        <v>430</v>
      </c>
      <c r="V21" s="170"/>
    </row>
    <row r="22" spans="1:22" ht="15" thickBot="1">
      <c r="A22" s="416" t="s">
        <v>319</v>
      </c>
      <c r="B22" s="323" t="str">
        <f>VLOOKUP(A22,'Feature Raw Data'!$A$3:$B$3862,2,FALSE)</f>
        <v>Dual Edge Synchronous Buses (Double Pumping)</v>
      </c>
      <c r="C22" s="295" t="str">
        <f>VLOOKUP(A22,'Feature Raw Data'!$A$3:$C$3862,3,FALSE)</f>
        <v>P1</v>
      </c>
      <c r="D22" s="94" t="str" cm="1">
        <f t="array" ref="D22">_xlfn.TEXTJOIN("",TRUE,IF(ISNUMBER(SEARCH($A22,'Diags Raw Data'!$A$6:$A$3640)),CONCATENATE('Diags Raw Data'!$H$6:$H$3640,", "),""))</f>
        <v xml:space="preserve">FEAT-18, FEAT-19, </v>
      </c>
      <c r="E22" s="296" t="str">
        <f>VLOOKUP(A22,'Diags Raw Data'!$A$6:$D$3640,4,FALSE)</f>
        <v>DF</v>
      </c>
      <c r="F22" s="296" t="str">
        <f>VLOOKUP(A22,'Feature Raw Data'!$A$3:$E$3862,5,FALSE)</f>
        <v>New</v>
      </c>
      <c r="G22" s="296" t="str">
        <f t="shared" si="0"/>
        <v>Yes</v>
      </c>
      <c r="H22" s="169" t="str">
        <f t="shared" si="1"/>
        <v>Yes</v>
      </c>
      <c r="I22" s="295">
        <f>SUMIF('Diags Raw Data'!$A$6:$A$3640,"*"&amp;$A22&amp;"*",'Diags Raw Data'!$K$6:$K$3640)</f>
        <v>2</v>
      </c>
      <c r="J22" s="297">
        <f>SUMIF('Diags Raw Data'!$A$6:$A$3640,"*"&amp;$A22&amp;"*",'Diags Raw Data'!$L$6:$L$3640)</f>
        <v>2</v>
      </c>
      <c r="K22" s="364" cm="1">
        <f t="array" ref="K22">IF(D22="",0, SUMPRODUCT(--(ISNUMBER(SEARCH($A22,'Diags Raw Data'!$A$6:$A$3640))),'Diags Raw Data'!$L$6:$L$3640,'Diags Raw Data'!$N$6:$N$3640)/J22)</f>
        <v>1</v>
      </c>
      <c r="L22" s="365" cm="1">
        <f t="array" ref="L22">IF(D22="",0, SUMPRODUCT(--(ISNUMBER(SEARCH($A22,'Diags Raw Data'!$A$6:$A$3640))),'Diags Raw Data'!$L$6:$L$3640,'Diags Raw Data'!$P$6:$P$3640)/J22)</f>
        <v>1</v>
      </c>
      <c r="M22" s="366" cm="1">
        <f t="array" ref="M22">SUMPRODUCT(--(ISNUMBER(SEARCH($A22,'Diags Raw Data'!$A$6:$A$3640))),--('Diags Raw Data'!$Q$6:$Q$3640&lt;&gt;"N/A"),'Diags Raw Data'!$R$6:$R$3640)</f>
        <v>1</v>
      </c>
      <c r="N22" s="367" cm="1">
        <f t="array" ref="N22">SUMPRODUCT(--(ISNUMBER(SEARCH($A22,'Diags Raw Data'!$A$6:$A$3640))),--('Diags Raw Data'!$Q$6:$Q$3640&lt;&gt;"N/A"),'Diags Raw Data'!$T$6:$T$3640)+SUMPRODUCT(--(ISNUMBER(SEARCH($A22,'Diags Raw Data'!$A$6:$A$3640))),--('Diags Raw Data'!$Q$6:$Q$3640&lt;&gt;"N/A"),'Diags Raw Data'!$U$6:$U$3640)</f>
        <v>1</v>
      </c>
      <c r="O22" s="392">
        <f t="shared" si="2"/>
        <v>1</v>
      </c>
      <c r="P22" s="412">
        <f>SUMIF('Diags Raw Data'!$A$6:$A$3640,"*"&amp;$A22&amp;"*",'Diags Raw Data'!$Z$6:$Z$3640)</f>
        <v>0</v>
      </c>
      <c r="Q22" s="413">
        <f>SUM(SUMIF('Diags Raw Data'!$A$6:$A$3640,"*"&amp;$A22&amp;"*",'Diags Raw Data'!$AA$6:$AA$3640),SUMIF('Diags Raw Data'!$A$6:$A$3640,"*"&amp;$A22&amp;"*",'Diags Raw Data'!$AB$6:$AB$3640))</f>
        <v>0</v>
      </c>
      <c r="R22" s="414">
        <f t="shared" si="3"/>
        <v>0</v>
      </c>
      <c r="S22" s="414">
        <f t="shared" si="4"/>
        <v>0</v>
      </c>
      <c r="T22" s="415">
        <f t="shared" si="5"/>
        <v>0</v>
      </c>
      <c r="U22" s="417" t="s">
        <v>436</v>
      </c>
      <c r="V22" s="170"/>
    </row>
    <row r="23" spans="1:22" ht="15" thickBot="1">
      <c r="A23" s="416" t="s">
        <v>327</v>
      </c>
      <c r="B23" s="323" t="str">
        <f>VLOOKUP(A23,'Feature Raw Data'!$A$3:$B$3862,2,FALSE)</f>
        <v>GCM/NCM Large Write</v>
      </c>
      <c r="C23" s="295" t="str">
        <f>VLOOKUP(A23,'Feature Raw Data'!$A$3:$C$3862,3,FALSE)</f>
        <v>P1</v>
      </c>
      <c r="D23" s="94" t="str" cm="1">
        <f t="array" ref="D23">_xlfn.TEXTJOIN("",TRUE,IF(ISNUMBER(SEARCH($A23,'Diags Raw Data'!$A$6:$A$3640)),CONCATENATE('Diags Raw Data'!$H$6:$H$3640,", "),""))</f>
        <v xml:space="preserve">FEAT-21, FEAT-22, FEAT-23, </v>
      </c>
      <c r="E23" s="296" t="str">
        <f>VLOOKUP(A23,'Diags Raw Data'!$A$6:$D$3640,4,FALSE)</f>
        <v>DF</v>
      </c>
      <c r="F23" s="296" t="str">
        <f>VLOOKUP(A23,'Feature Raw Data'!$A$3:$E$3862,5,FALSE)</f>
        <v>New</v>
      </c>
      <c r="G23" s="296" t="str">
        <f t="shared" si="0"/>
        <v>Yes</v>
      </c>
      <c r="H23" s="169" t="str">
        <f t="shared" si="1"/>
        <v>Yes</v>
      </c>
      <c r="I23" s="295">
        <f>SUMIF('Diags Raw Data'!$A$6:$A$3640,"*"&amp;$A23&amp;"*",'Diags Raw Data'!$K$6:$K$3640)</f>
        <v>3</v>
      </c>
      <c r="J23" s="297">
        <f>SUMIF('Diags Raw Data'!$A$6:$A$3640,"*"&amp;$A23&amp;"*",'Diags Raw Data'!$L$6:$L$3640)</f>
        <v>3</v>
      </c>
      <c r="K23" s="364" cm="1">
        <f t="array" ref="K23">IF(D23="",0, SUMPRODUCT(--(ISNUMBER(SEARCH($A23,'Diags Raw Data'!$A$6:$A$3640))),'Diags Raw Data'!$L$6:$L$3640,'Diags Raw Data'!$N$6:$N$3640)/J23)</f>
        <v>1</v>
      </c>
      <c r="L23" s="365" cm="1">
        <f t="array" ref="L23">IF(D23="",0, SUMPRODUCT(--(ISNUMBER(SEARCH($A23,'Diags Raw Data'!$A$6:$A$3640))),'Diags Raw Data'!$L$6:$L$3640,'Diags Raw Data'!$P$6:$P$3640)/J23)</f>
        <v>0.83333333333333337</v>
      </c>
      <c r="M23" s="366" cm="1">
        <f t="array" ref="M23">SUMPRODUCT(--(ISNUMBER(SEARCH($A23,'Diags Raw Data'!$A$6:$A$3640))),--('Diags Raw Data'!$Q$6:$Q$3640&lt;&gt;"N/A"),'Diags Raw Data'!$R$6:$R$3640)</f>
        <v>1</v>
      </c>
      <c r="N23" s="367" cm="1">
        <f t="array" ref="N23">SUMPRODUCT(--(ISNUMBER(SEARCH($A23,'Diags Raw Data'!$A$6:$A$3640))),--('Diags Raw Data'!$Q$6:$Q$3640&lt;&gt;"N/A"),'Diags Raw Data'!$T$6:$T$3640)+SUMPRODUCT(--(ISNUMBER(SEARCH($A23,'Diags Raw Data'!$A$6:$A$3640))),--('Diags Raw Data'!$Q$6:$Q$3640&lt;&gt;"N/A"),'Diags Raw Data'!$U$6:$U$3640)</f>
        <v>1</v>
      </c>
      <c r="O23" s="392">
        <f t="shared" si="2"/>
        <v>1</v>
      </c>
      <c r="P23" s="412">
        <f>SUMIF('Diags Raw Data'!$A$6:$A$3640,"*"&amp;$A23&amp;"*",'Diags Raw Data'!$Z$6:$Z$3640)</f>
        <v>1</v>
      </c>
      <c r="Q23" s="413">
        <f>SUM(SUMIF('Diags Raw Data'!$A$6:$A$3640,"*"&amp;$A23&amp;"*",'Diags Raw Data'!$AA$6:$AA$3640),SUMIF('Diags Raw Data'!$A$6:$A$3640,"*"&amp;$A23&amp;"*",'Diags Raw Data'!$AB$6:$AB$3640))</f>
        <v>1</v>
      </c>
      <c r="R23" s="414">
        <f t="shared" si="3"/>
        <v>0.33333333333333331</v>
      </c>
      <c r="S23" s="414">
        <f t="shared" si="4"/>
        <v>1</v>
      </c>
      <c r="T23" s="415">
        <f t="shared" si="5"/>
        <v>0.33333333333333331</v>
      </c>
      <c r="U23" s="417" t="s">
        <v>428</v>
      </c>
      <c r="V23" s="170"/>
    </row>
    <row r="24" spans="1:22" ht="15" thickBot="1">
      <c r="A24" s="416" t="s">
        <v>337</v>
      </c>
      <c r="B24" s="323" t="str">
        <f>VLOOKUP(A24,'Feature Raw Data'!$A$3:$B$3862,2,FALSE)</f>
        <v>Distributed Compression Logic in DF</v>
      </c>
      <c r="C24" s="295" t="str">
        <f>VLOOKUP(A24,'Feature Raw Data'!$A$3:$C$3862,3,FALSE)</f>
        <v>P1</v>
      </c>
      <c r="D24" s="94" t="str" cm="1">
        <f t="array" ref="D24">_xlfn.TEXTJOIN("",TRUE,IF(ISNUMBER(SEARCH($A24,'Diags Raw Data'!$A$6:$A$3640)),CONCATENATE('Diags Raw Data'!$H$6:$H$3640,", "),""))</f>
        <v xml:space="preserve">FEAT-24, </v>
      </c>
      <c r="E24" s="296" t="str">
        <f>VLOOKUP(A24,'Diags Raw Data'!$A$6:$D$3640,4,FALSE)</f>
        <v>DF</v>
      </c>
      <c r="F24" s="296" t="str">
        <f>VLOOKUP(A24,'Feature Raw Data'!$A$3:$E$3862,5,FALSE)</f>
        <v>New</v>
      </c>
      <c r="G24" s="296" t="str">
        <f t="shared" si="0"/>
        <v>Yes</v>
      </c>
      <c r="H24" s="169" t="s">
        <v>36</v>
      </c>
      <c r="I24" s="295">
        <f>SUMIF('Diags Raw Data'!$A$6:$A$3640,"*"&amp;$A24&amp;"*",'Diags Raw Data'!$K$6:$K$3640)</f>
        <v>0</v>
      </c>
      <c r="J24" s="297">
        <f>SUMIF('Diags Raw Data'!$A$6:$A$3640,"*"&amp;$A24&amp;"*",'Diags Raw Data'!$L$6:$L$3640)</f>
        <v>0</v>
      </c>
      <c r="K24" s="364" t="e" cm="1">
        <f t="array" ref="K24">IF(D24="",0, SUMPRODUCT(--(ISNUMBER(SEARCH($A24,'Diags Raw Data'!$A$6:$A$3640))),'Diags Raw Data'!$L$6:$L$3640,'Diags Raw Data'!$N$6:$N$3640)/J24)</f>
        <v>#DIV/0!</v>
      </c>
      <c r="L24" s="365" t="e" cm="1">
        <f t="array" ref="L24">IF(D24="",0, SUMPRODUCT(--(ISNUMBER(SEARCH($A24,'Diags Raw Data'!$A$6:$A$3640))),'Diags Raw Data'!$L$6:$L$3640,'Diags Raw Data'!$P$6:$P$3640)/J24)</f>
        <v>#DIV/0!</v>
      </c>
      <c r="M24" s="366" cm="1">
        <f t="array" ref="M24">SUMPRODUCT(--(ISNUMBER(SEARCH($A24,'Diags Raw Data'!$A$6:$A$3640))),--('Diags Raw Data'!$Q$6:$Q$3640&lt;&gt;"N/A"),'Diags Raw Data'!$R$6:$R$3640)</f>
        <v>0</v>
      </c>
      <c r="N24" s="367" cm="1">
        <f t="array" ref="N24">SUMPRODUCT(--(ISNUMBER(SEARCH($A24,'Diags Raw Data'!$A$6:$A$3640))),--('Diags Raw Data'!$Q$6:$Q$3640&lt;&gt;"N/A"),'Diags Raw Data'!$T$6:$T$3640)+SUMPRODUCT(--(ISNUMBER(SEARCH($A24,'Diags Raw Data'!$A$6:$A$3640))),--('Diags Raw Data'!$Q$6:$Q$3640&lt;&gt;"N/A"),'Diags Raw Data'!$U$6:$U$3640)</f>
        <v>0</v>
      </c>
      <c r="O24" s="392">
        <f t="shared" si="2"/>
        <v>0</v>
      </c>
      <c r="P24" s="412">
        <f>SUMIF('Diags Raw Data'!$A$6:$A$3640,"*"&amp;$A24&amp;"*",'Diags Raw Data'!$Z$6:$Z$3640)</f>
        <v>0</v>
      </c>
      <c r="Q24" s="413">
        <f>SUM(SUMIF('Diags Raw Data'!$A$6:$A$3640,"*"&amp;$A24&amp;"*",'Diags Raw Data'!$AA$6:$AA$3640),SUMIF('Diags Raw Data'!$A$6:$A$3640,"*"&amp;$A24&amp;"*",'Diags Raw Data'!$AB$6:$AB$3640))</f>
        <v>0</v>
      </c>
      <c r="R24" s="414">
        <f t="shared" si="3"/>
        <v>0</v>
      </c>
      <c r="S24" s="414">
        <f t="shared" si="4"/>
        <v>0</v>
      </c>
      <c r="T24" s="415">
        <f t="shared" si="5"/>
        <v>0</v>
      </c>
      <c r="U24" s="417" t="s">
        <v>44</v>
      </c>
      <c r="V24" s="170" t="s">
        <v>437</v>
      </c>
    </row>
    <row r="25" spans="1:22" ht="15" thickBot="1">
      <c r="A25" s="416" t="s">
        <v>341</v>
      </c>
      <c r="B25" s="323" t="str">
        <f>VLOOKUP(A25,'Feature Raw Data'!$A$3:$B$3862,2,FALSE)</f>
        <v>NCM Subtype for CPWD</v>
      </c>
      <c r="C25" s="295" t="str">
        <f>VLOOKUP(A25,'Feature Raw Data'!$A$3:$C$3862,3,FALSE)</f>
        <v>P1</v>
      </c>
      <c r="D25" s="94" t="str" cm="1">
        <f t="array" ref="D25">_xlfn.TEXTJOIN("",TRUE,IF(ISNUMBER(SEARCH($A25,'Diags Raw Data'!$A$6:$A$3640)),CONCATENATE('Diags Raw Data'!$H$6:$H$3640,", "),""))</f>
        <v xml:space="preserve">FEAT-25, </v>
      </c>
      <c r="E25" s="296" t="str">
        <f>VLOOKUP(A25,'Diags Raw Data'!$A$6:$D$3640,4,FALSE)</f>
        <v>DF</v>
      </c>
      <c r="F25" s="296" t="str">
        <f>VLOOKUP(A25,'Feature Raw Data'!$A$3:$E$3862,5,FALSE)</f>
        <v>New</v>
      </c>
      <c r="G25" s="296" t="s">
        <v>31</v>
      </c>
      <c r="H25" s="169" t="str">
        <f t="shared" ref="H25:H26" si="7">IF(D25="","No","Yes")</f>
        <v>Yes</v>
      </c>
      <c r="I25" s="295">
        <f>SUMIF('Diags Raw Data'!$A$6:$A$3640,"*"&amp;$A25&amp;"*",'Diags Raw Data'!$K$6:$K$3640)</f>
        <v>1</v>
      </c>
      <c r="J25" s="297">
        <f>SUMIF('Diags Raw Data'!$A$6:$A$3640,"*"&amp;$A25&amp;"*",'Diags Raw Data'!$L$6:$L$3640)</f>
        <v>1</v>
      </c>
      <c r="K25" s="364" cm="1">
        <f t="array" ref="K25">IF(D25="",0, SUMPRODUCT(--(ISNUMBER(SEARCH($A25,'Diags Raw Data'!$A$6:$A$3640))),'Diags Raw Data'!$L$6:$L$3640,'Diags Raw Data'!$N$6:$N$3640)/J25)</f>
        <v>1</v>
      </c>
      <c r="L25" s="365" cm="1">
        <f t="array" ref="L25">IF(D25="",0, SUMPRODUCT(--(ISNUMBER(SEARCH($A25,'Diags Raw Data'!$A$6:$A$3640))),'Diags Raw Data'!$L$6:$L$3640,'Diags Raw Data'!$P$6:$P$3640)/J25)</f>
        <v>1</v>
      </c>
      <c r="M25" s="366" cm="1">
        <f t="array" ref="M25">SUMPRODUCT(--(ISNUMBER(SEARCH($A25,'Diags Raw Data'!$A$6:$A$3640))),--('Diags Raw Data'!$Q$6:$Q$3640&lt;&gt;"N/A"),'Diags Raw Data'!$R$6:$R$3640)</f>
        <v>0</v>
      </c>
      <c r="N25" s="367" cm="1">
        <f t="array" ref="N25">SUMPRODUCT(--(ISNUMBER(SEARCH($A25,'Diags Raw Data'!$A$6:$A$3640))),--('Diags Raw Data'!$Q$6:$Q$3640&lt;&gt;"N/A"),'Diags Raw Data'!$T$6:$T$3640)+SUMPRODUCT(--(ISNUMBER(SEARCH($A25,'Diags Raw Data'!$A$6:$A$3640))),--('Diags Raw Data'!$Q$6:$Q$3640&lt;&gt;"N/A"),'Diags Raw Data'!$U$6:$U$3640)</f>
        <v>0</v>
      </c>
      <c r="O25" s="392">
        <f t="shared" si="2"/>
        <v>0</v>
      </c>
      <c r="P25" s="412">
        <f>SUMIF('Diags Raw Data'!$A$6:$A$3640,"*"&amp;$A25&amp;"*",'Diags Raw Data'!$Z$6:$Z$3640)</f>
        <v>0</v>
      </c>
      <c r="Q25" s="413">
        <f>SUM(SUMIF('Diags Raw Data'!$A$6:$A$3640,"*"&amp;$A25&amp;"*",'Diags Raw Data'!$AA$6:$AA$3640),SUMIF('Diags Raw Data'!$A$6:$A$3640,"*"&amp;$A25&amp;"*",'Diags Raw Data'!$AB$6:$AB$3640))</f>
        <v>0</v>
      </c>
      <c r="R25" s="414">
        <f t="shared" si="3"/>
        <v>0</v>
      </c>
      <c r="S25" s="414">
        <f t="shared" si="4"/>
        <v>0</v>
      </c>
      <c r="T25" s="415">
        <f t="shared" si="5"/>
        <v>0</v>
      </c>
      <c r="U25" s="417" t="s">
        <v>433</v>
      </c>
      <c r="V25" s="170"/>
    </row>
    <row r="26" spans="1:22" ht="15" thickBot="1">
      <c r="A26" s="416" t="s">
        <v>344</v>
      </c>
      <c r="B26" s="323" t="str">
        <f>VLOOKUP(A26,'Feature Raw Data'!$A$3:$B$3862,2,FALSE)</f>
        <v>2 PG Domain</v>
      </c>
      <c r="C26" s="295" t="str">
        <f>VLOOKUP(A26,'Feature Raw Data'!$A$3:$C$3862,3,FALSE)</f>
        <v>P1</v>
      </c>
      <c r="D26" s="94" t="str" cm="1">
        <f t="array" ref="D26">_xlfn.TEXTJOIN("",TRUE,IF(ISNUMBER(SEARCH($A26,'Diags Raw Data'!$A$6:$A$3640)),CONCATENATE('Diags Raw Data'!$H$6:$H$3640,", "),""))</f>
        <v xml:space="preserve">FEAT-26, </v>
      </c>
      <c r="E26" s="296" t="str">
        <f>VLOOKUP(A26,'Diags Raw Data'!$A$6:$D$3640,4,FALSE)</f>
        <v>DF</v>
      </c>
      <c r="F26" s="296" t="str">
        <f>VLOOKUP(A26,'Feature Raw Data'!$A$3:$E$3862,5,FALSE)</f>
        <v>New</v>
      </c>
      <c r="G26" s="296" t="str">
        <f t="shared" si="0"/>
        <v>Yes</v>
      </c>
      <c r="H26" s="169" t="str">
        <f t="shared" si="7"/>
        <v>Yes</v>
      </c>
      <c r="I26" s="295">
        <f>SUMIF('Diags Raw Data'!$A$6:$A$3640,"*"&amp;$A26&amp;"*",'Diags Raw Data'!$K$6:$K$3640)</f>
        <v>1</v>
      </c>
      <c r="J26" s="297">
        <f>SUMIF('Diags Raw Data'!$A$6:$A$3640,"*"&amp;$A26&amp;"*",'Diags Raw Data'!$L$6:$L$3640)</f>
        <v>1</v>
      </c>
      <c r="K26" s="364" cm="1">
        <f t="array" ref="K26">IF(D26="",0, SUMPRODUCT(--(ISNUMBER(SEARCH($A26,'Diags Raw Data'!$A$6:$A$3640))),'Diags Raw Data'!$L$6:$L$3640,'Diags Raw Data'!$N$6:$N$3640)/J26)</f>
        <v>1</v>
      </c>
      <c r="L26" s="365" cm="1">
        <f t="array" ref="L26">IF(D26="",0, SUMPRODUCT(--(ISNUMBER(SEARCH($A26,'Diags Raw Data'!$A$6:$A$3640))),'Diags Raw Data'!$L$6:$L$3640,'Diags Raw Data'!$P$6:$P$3640)/J26)</f>
        <v>1</v>
      </c>
      <c r="M26" s="366" cm="1">
        <f t="array" ref="M26">SUMPRODUCT(--(ISNUMBER(SEARCH($A26,'Diags Raw Data'!$A$6:$A$3640))),--('Diags Raw Data'!$Q$6:$Q$3640&lt;&gt;"N/A"),'Diags Raw Data'!$R$6:$R$3640)</f>
        <v>0</v>
      </c>
      <c r="N26" s="367" cm="1">
        <f t="array" ref="N26">SUMPRODUCT(--(ISNUMBER(SEARCH($A26,'Diags Raw Data'!$A$6:$A$3640))),--('Diags Raw Data'!$Q$6:$Q$3640&lt;&gt;"N/A"),'Diags Raw Data'!$T$6:$T$3640)+SUMPRODUCT(--(ISNUMBER(SEARCH($A26,'Diags Raw Data'!$A$6:$A$3640))),--('Diags Raw Data'!$Q$6:$Q$3640&lt;&gt;"N/A"),'Diags Raw Data'!$U$6:$U$3640)</f>
        <v>0</v>
      </c>
      <c r="O26" s="392">
        <f t="shared" si="2"/>
        <v>0</v>
      </c>
      <c r="P26" s="412">
        <f>SUMIF('Diags Raw Data'!$A$6:$A$3640,"*"&amp;$A26&amp;"*",'Diags Raw Data'!$Z$6:$Z$3640)</f>
        <v>0</v>
      </c>
      <c r="Q26" s="413">
        <f>SUM(SUMIF('Diags Raw Data'!$A$6:$A$3640,"*"&amp;$A26&amp;"*",'Diags Raw Data'!$AA$6:$AA$3640),SUMIF('Diags Raw Data'!$A$6:$A$3640,"*"&amp;$A26&amp;"*",'Diags Raw Data'!$AB$6:$AB$3640))</f>
        <v>0</v>
      </c>
      <c r="R26" s="414">
        <f t="shared" si="3"/>
        <v>0</v>
      </c>
      <c r="S26" s="414">
        <f t="shared" si="4"/>
        <v>0</v>
      </c>
      <c r="T26" s="415">
        <f t="shared" si="5"/>
        <v>0</v>
      </c>
      <c r="U26" s="417" t="s">
        <v>431</v>
      </c>
      <c r="V26" s="170"/>
    </row>
    <row r="27" spans="1:22" ht="15" thickBot="1">
      <c r="A27" s="416" t="s">
        <v>347</v>
      </c>
      <c r="B27" s="323" t="str">
        <f>VLOOKUP(A27,'Feature Raw Data'!$A$3:$B$3862,2,FALSE)</f>
        <v>TCDX traffic stress case</v>
      </c>
      <c r="C27" s="295" t="str">
        <f>VLOOKUP(A27,'Feature Raw Data'!$A$3:$C$3862,3,FALSE)</f>
        <v>P1</v>
      </c>
      <c r="D27" s="94" t="str" cm="1">
        <f t="array" ref="D27">_xlfn.TEXTJOIN("",TRUE,IF(ISNUMBER(SEARCH($A27,'Diags Raw Data'!$A$6:$A$3640)),CONCATENATE('Diags Raw Data'!$H$6:$H$3640,", "),""))</f>
        <v xml:space="preserve">FEAT-26, </v>
      </c>
      <c r="E27" s="296" t="str">
        <f>VLOOKUP(A27,'Diags Raw Data'!$A$6:$D$3640,4,FALSE)</f>
        <v>DF</v>
      </c>
      <c r="F27" s="296" t="str">
        <f>VLOOKUP(A27,'Feature Raw Data'!$A$3:$E$3862,5,FALSE)</f>
        <v>New</v>
      </c>
      <c r="G27" s="296" t="str">
        <f t="shared" ref="G27:G33" si="8">IF(D27="","No","Yes")</f>
        <v>Yes</v>
      </c>
      <c r="H27" s="169" t="str">
        <f t="shared" ref="H27:H32" si="9">IF(D27="","No","Yes")</f>
        <v>Yes</v>
      </c>
      <c r="I27" s="295">
        <f>SUMIF('Diags Raw Data'!$A$6:$A$3640,"*"&amp;$A27&amp;"*",'Diags Raw Data'!$K$6:$K$3640)</f>
        <v>1</v>
      </c>
      <c r="J27" s="297">
        <f>SUMIF('Diags Raw Data'!$A$6:$A$3640,"*"&amp;$A27&amp;"*",'Diags Raw Data'!$L$6:$L$3640)</f>
        <v>1</v>
      </c>
      <c r="K27" s="364" cm="1">
        <f t="array" ref="K27">IF(D27="",0, SUMPRODUCT(--(ISNUMBER(SEARCH($A27,'Diags Raw Data'!$A$6:$A$3640))),'Diags Raw Data'!$L$6:$L$3640,'Diags Raw Data'!$N$6:$N$3640)/J27)</f>
        <v>1</v>
      </c>
      <c r="L27" s="365" cm="1">
        <f t="array" ref="L27">IF(D27="",0, SUMPRODUCT(--(ISNUMBER(SEARCH($A27,'Diags Raw Data'!$A$6:$A$3640))),'Diags Raw Data'!$L$6:$L$3640,'Diags Raw Data'!$P$6:$P$3640)/J27)</f>
        <v>0.8</v>
      </c>
      <c r="M27" s="366" cm="1">
        <f t="array" ref="M27">SUMPRODUCT(--(ISNUMBER(SEARCH($A27,'Diags Raw Data'!$A$6:$A$3640))),--('Diags Raw Data'!$Q$6:$Q$3640&lt;&gt;"N/A"),'Diags Raw Data'!$R$6:$R$3640)</f>
        <v>0</v>
      </c>
      <c r="N27" s="367" cm="1">
        <f t="array" ref="N27">SUMPRODUCT(--(ISNUMBER(SEARCH($A27,'Diags Raw Data'!$A$6:$A$3640))),--('Diags Raw Data'!$Q$6:$Q$3640&lt;&gt;"N/A"),'Diags Raw Data'!$T$6:$T$3640)+SUMPRODUCT(--(ISNUMBER(SEARCH($A27,'Diags Raw Data'!$A$6:$A$3640))),--('Diags Raw Data'!$Q$6:$Q$3640&lt;&gt;"N/A"),'Diags Raw Data'!$U$6:$U$3640)</f>
        <v>0</v>
      </c>
      <c r="O27" s="392">
        <f t="shared" ref="O27:O33" si="10">IF((M27=0),0,N27/M27)</f>
        <v>0</v>
      </c>
      <c r="P27" s="412">
        <f>SUMIF('Diags Raw Data'!$A$6:$A$3640,"*"&amp;$A27&amp;"*",'Diags Raw Data'!$Z$6:$Z$3640)</f>
        <v>1</v>
      </c>
      <c r="Q27" s="413">
        <f>SUM(SUMIF('Diags Raw Data'!$A$6:$A$3640,"*"&amp;$A27&amp;"*",'Diags Raw Data'!$AA$6:$AA$3640),SUMIF('Diags Raw Data'!$A$6:$A$3640,"*"&amp;$A27&amp;"*",'Diags Raw Data'!$AB$6:$AB$3640))</f>
        <v>1</v>
      </c>
      <c r="R27" s="414">
        <f t="shared" ref="R27:R33" si="11">IF((J27=0),0,P27/J27)</f>
        <v>1</v>
      </c>
      <c r="S27" s="414">
        <f t="shared" ref="S27:S33" si="12">IF((P27=0),0,Q27/P27)</f>
        <v>1</v>
      </c>
      <c r="T27" s="415">
        <f t="shared" ref="T27:T33" si="13">R27*S27</f>
        <v>1</v>
      </c>
      <c r="U27" s="417" t="s">
        <v>436</v>
      </c>
      <c r="V27" s="170"/>
    </row>
    <row r="28" spans="1:22" ht="15" thickBot="1">
      <c r="A28" s="416" t="s">
        <v>349</v>
      </c>
      <c r="B28" s="323" t="str">
        <f>VLOOKUP(A28,'Feature Raw Data'!$A$3:$B$3862,2,FALSE)</f>
        <v>DF Tserverlite Lib</v>
      </c>
      <c r="C28" s="295" t="str">
        <f>VLOOKUP(A28,'Feature Raw Data'!$A$3:$C$3862,3,FALSE)</f>
        <v>P1</v>
      </c>
      <c r="D28" s="94" t="str" cm="1">
        <f t="array" ref="D28">_xlfn.TEXTJOIN("",TRUE,IF(ISNUMBER(SEARCH($A28,'Diags Raw Data'!$A$6:$A$3640)),CONCATENATE('Diags Raw Data'!$H$6:$H$3640,", "),""))</f>
        <v xml:space="preserve">FEAT-27, </v>
      </c>
      <c r="E28" s="296" t="str">
        <f>VLOOKUP(A28,'Diags Raw Data'!$A$6:$D$3640,4,FALSE)</f>
        <v>DF</v>
      </c>
      <c r="F28" s="296" t="str">
        <f>VLOOKUP(A28,'Feature Raw Data'!$A$3:$E$3862,5,FALSE)</f>
        <v>Delta</v>
      </c>
      <c r="G28" s="296" t="str">
        <f t="shared" si="8"/>
        <v>Yes</v>
      </c>
      <c r="H28" s="169" t="str">
        <f t="shared" si="9"/>
        <v>Yes</v>
      </c>
      <c r="I28" s="295">
        <f>SUMIF('Diags Raw Data'!$A$6:$A$3640,"*"&amp;$A28&amp;"*",'Diags Raw Data'!$K$6:$K$3640)</f>
        <v>1</v>
      </c>
      <c r="J28" s="297">
        <f>SUMIF('Diags Raw Data'!$A$6:$A$3640,"*"&amp;$A28&amp;"*",'Diags Raw Data'!$L$6:$L$3640)</f>
        <v>10</v>
      </c>
      <c r="K28" s="364" cm="1">
        <f t="array" ref="K28">IF(D28="",0, SUMPRODUCT(--(ISNUMBER(SEARCH($A28,'Diags Raw Data'!$A$6:$A$3640))),'Diags Raw Data'!$L$6:$L$3640,'Diags Raw Data'!$N$6:$N$3640)/J28)</f>
        <v>1</v>
      </c>
      <c r="L28" s="365" cm="1">
        <f t="array" ref="L28">IF(D28="",0, SUMPRODUCT(--(ISNUMBER(SEARCH($A28,'Diags Raw Data'!$A$6:$A$3640))),'Diags Raw Data'!$L$6:$L$3640,'Diags Raw Data'!$P$6:$P$3640)/J28)</f>
        <v>1</v>
      </c>
      <c r="M28" s="366" cm="1">
        <f t="array" ref="M28">SUMPRODUCT(--(ISNUMBER(SEARCH($A28,'Diags Raw Data'!$A$6:$A$3640))),--('Diags Raw Data'!$Q$6:$Q$3640&lt;&gt;"N/A"),'Diags Raw Data'!$R$6:$R$3640)</f>
        <v>10</v>
      </c>
      <c r="N28" s="367" cm="1">
        <f t="array" ref="N28">SUMPRODUCT(--(ISNUMBER(SEARCH($A28,'Diags Raw Data'!$A$6:$A$3640))),--('Diags Raw Data'!$Q$6:$Q$3640&lt;&gt;"N/A"),'Diags Raw Data'!$T$6:$T$3640)+SUMPRODUCT(--(ISNUMBER(SEARCH($A28,'Diags Raw Data'!$A$6:$A$3640))),--('Diags Raw Data'!$Q$6:$Q$3640&lt;&gt;"N/A"),'Diags Raw Data'!$U$6:$U$3640)</f>
        <v>10</v>
      </c>
      <c r="O28" s="392">
        <f t="shared" si="10"/>
        <v>1</v>
      </c>
      <c r="P28" s="412">
        <f>SUMIF('Diags Raw Data'!$A$6:$A$3640,"*"&amp;$A28&amp;"*",'Diags Raw Data'!$Z$6:$Z$3640)</f>
        <v>5</v>
      </c>
      <c r="Q28" s="413">
        <f>SUM(SUMIF('Diags Raw Data'!$A$6:$A$3640,"*"&amp;$A28&amp;"*",'Diags Raw Data'!$AA$6:$AA$3640),SUMIF('Diags Raw Data'!$A$6:$A$3640,"*"&amp;$A28&amp;"*",'Diags Raw Data'!$AB$6:$AB$3640))</f>
        <v>5</v>
      </c>
      <c r="R28" s="414">
        <f t="shared" si="11"/>
        <v>0.5</v>
      </c>
      <c r="S28" s="414">
        <f t="shared" si="12"/>
        <v>1</v>
      </c>
      <c r="T28" s="415">
        <f t="shared" si="13"/>
        <v>0.5</v>
      </c>
      <c r="U28" s="417" t="s">
        <v>427</v>
      </c>
      <c r="V28" s="170"/>
    </row>
    <row r="29" spans="1:22" ht="15" thickBot="1">
      <c r="A29" s="416" t="s">
        <v>353</v>
      </c>
      <c r="B29" s="323" t="str">
        <f>VLOOKUP(A29,'Feature Raw Data'!$A$3:$B$3862,2,FALSE)</f>
        <v>DF TNG Lib</v>
      </c>
      <c r="C29" s="295" t="str">
        <f>VLOOKUP(A29,'Feature Raw Data'!$A$3:$C$3862,3,FALSE)</f>
        <v>P1</v>
      </c>
      <c r="D29" s="94" t="str" cm="1">
        <f t="array" ref="D29">_xlfn.TEXTJOIN("",TRUE,IF(ISNUMBER(SEARCH($A29,'Diags Raw Data'!$A$6:$A$3640)),CONCATENATE('Diags Raw Data'!$H$6:$H$3640,", "),""))</f>
        <v xml:space="preserve">FEAT-28, </v>
      </c>
      <c r="E29" s="296" t="str">
        <f>VLOOKUP(A29,'Diags Raw Data'!$A$6:$D$3640,4,FALSE)</f>
        <v>DF</v>
      </c>
      <c r="F29" s="296" t="str">
        <f>VLOOKUP(A29,'Feature Raw Data'!$A$3:$E$3862,5,FALSE)</f>
        <v>New</v>
      </c>
      <c r="G29" s="296" t="str">
        <f t="shared" si="8"/>
        <v>Yes</v>
      </c>
      <c r="H29" s="169" t="str">
        <f t="shared" si="9"/>
        <v>Yes</v>
      </c>
      <c r="I29" s="295">
        <f>SUMIF('Diags Raw Data'!$A$6:$A$3640,"*"&amp;$A29&amp;"*",'Diags Raw Data'!$K$6:$K$3640)</f>
        <v>1</v>
      </c>
      <c r="J29" s="297">
        <f>SUMIF('Diags Raw Data'!$A$6:$A$3640,"*"&amp;$A29&amp;"*",'Diags Raw Data'!$L$6:$L$3640)</f>
        <v>10</v>
      </c>
      <c r="K29" s="364" cm="1">
        <f t="array" ref="K29">IF(D29="",0, SUMPRODUCT(--(ISNUMBER(SEARCH($A29,'Diags Raw Data'!$A$6:$A$3640))),'Diags Raw Data'!$L$6:$L$3640,'Diags Raw Data'!$N$6:$N$3640)/J29)</f>
        <v>1</v>
      </c>
      <c r="L29" s="365" cm="1">
        <f t="array" ref="L29">IF(D29="",0, SUMPRODUCT(--(ISNUMBER(SEARCH($A29,'Diags Raw Data'!$A$6:$A$3640))),'Diags Raw Data'!$L$6:$L$3640,'Diags Raw Data'!$P$6:$P$3640)/J29)</f>
        <v>1</v>
      </c>
      <c r="M29" s="366" cm="1">
        <f t="array" ref="M29">SUMPRODUCT(--(ISNUMBER(SEARCH($A29,'Diags Raw Data'!$A$6:$A$3640))),--('Diags Raw Data'!$Q$6:$Q$3640&lt;&gt;"N/A"),'Diags Raw Data'!$R$6:$R$3640)</f>
        <v>8</v>
      </c>
      <c r="N29" s="367" cm="1">
        <f t="array" ref="N29">SUMPRODUCT(--(ISNUMBER(SEARCH($A29,'Diags Raw Data'!$A$6:$A$3640))),--('Diags Raw Data'!$Q$6:$Q$3640&lt;&gt;"N/A"),'Diags Raw Data'!$T$6:$T$3640)+SUMPRODUCT(--(ISNUMBER(SEARCH($A29,'Diags Raw Data'!$A$6:$A$3640))),--('Diags Raw Data'!$Q$6:$Q$3640&lt;&gt;"N/A"),'Diags Raw Data'!$U$6:$U$3640)</f>
        <v>8</v>
      </c>
      <c r="O29" s="392">
        <f t="shared" si="10"/>
        <v>1</v>
      </c>
      <c r="P29" s="412">
        <f>SUMIF('Diags Raw Data'!$A$6:$A$3640,"*"&amp;$A29&amp;"*",'Diags Raw Data'!$Z$6:$Z$3640)</f>
        <v>4</v>
      </c>
      <c r="Q29" s="413">
        <f>SUM(SUMIF('Diags Raw Data'!$A$6:$A$3640,"*"&amp;$A29&amp;"*",'Diags Raw Data'!$AA$6:$AA$3640),SUMIF('Diags Raw Data'!$A$6:$A$3640,"*"&amp;$A29&amp;"*",'Diags Raw Data'!$AB$6:$AB$3640))</f>
        <v>4</v>
      </c>
      <c r="R29" s="414">
        <f t="shared" si="11"/>
        <v>0.4</v>
      </c>
      <c r="S29" s="414">
        <f t="shared" si="12"/>
        <v>1</v>
      </c>
      <c r="T29" s="415">
        <f t="shared" si="13"/>
        <v>0.4</v>
      </c>
      <c r="U29" s="417" t="s">
        <v>427</v>
      </c>
      <c r="V29" s="170"/>
    </row>
    <row r="30" spans="1:22" ht="29.45" thickBot="1">
      <c r="A30" s="416" t="s">
        <v>407</v>
      </c>
      <c r="B30" s="323" t="str">
        <f>VLOOKUP(A30,'Feature Raw Data'!$A$3:$B$3862,2,FALSE)</f>
        <v>On-Die LDO for Small Rails</v>
      </c>
      <c r="C30" s="295" t="str">
        <f>VLOOKUP(A30,'Feature Raw Data'!$A$3:$C$3862,3,FALSE)</f>
        <v>P2</v>
      </c>
      <c r="D30" s="94" t="str" cm="1">
        <f t="array" ref="D30">_xlfn.TEXTJOIN("",TRUE,IF(ISNUMBER(SEARCH($A30,'Diags Raw Data'!$A$6:$A$3640)),CONCATENATE('Diags Raw Data'!$H$6:$H$3640,", "),""))</f>
        <v/>
      </c>
      <c r="E30" s="296" t="e">
        <f>VLOOKUP(A30,'Diags Raw Data'!$A$6:$D$3640,4,FALSE)</f>
        <v>#N/A</v>
      </c>
      <c r="F30" s="296" t="str">
        <f>VLOOKUP(A30,'Feature Raw Data'!$A$3:$E$3862,5,FALSE)</f>
        <v>New</v>
      </c>
      <c r="G30" s="296" t="str">
        <f t="shared" si="8"/>
        <v>No</v>
      </c>
      <c r="H30" s="169" t="str">
        <f t="shared" si="9"/>
        <v>No</v>
      </c>
      <c r="I30" s="295">
        <f>SUMIF('Diags Raw Data'!$A$6:$A$3640,"*"&amp;$A30&amp;"*",'Diags Raw Data'!$K$6:$K$3640)</f>
        <v>0</v>
      </c>
      <c r="J30" s="297">
        <f>SUMIF('Diags Raw Data'!$A$6:$A$3640,"*"&amp;$A30&amp;"*",'Diags Raw Data'!$L$6:$L$3640)</f>
        <v>0</v>
      </c>
      <c r="K30" s="364" cm="1">
        <f t="array" ref="K30">IF(D30="",0, SUMPRODUCT(--(ISNUMBER(SEARCH($A30,'Diags Raw Data'!$A$6:$A$3640))),'Diags Raw Data'!$L$6:$L$3640,'Diags Raw Data'!$N$6:$N$3640)/J30)</f>
        <v>0</v>
      </c>
      <c r="L30" s="365" cm="1">
        <f t="array" ref="L30">IF(D30="",0, SUMPRODUCT(--(ISNUMBER(SEARCH($A30,'Diags Raw Data'!$A$6:$A$3640))),'Diags Raw Data'!$L$6:$L$3640,'Diags Raw Data'!$P$6:$P$3640)/J30)</f>
        <v>0</v>
      </c>
      <c r="M30" s="366" cm="1">
        <f t="array" ref="M30">SUMPRODUCT(--(ISNUMBER(SEARCH($A30,'Diags Raw Data'!$A$6:$A$3640))),--('Diags Raw Data'!$Q$6:$Q$3640&lt;&gt;"N/A"),'Diags Raw Data'!$R$6:$R$3640)</f>
        <v>0</v>
      </c>
      <c r="N30" s="367" cm="1">
        <f t="array" ref="N30">SUMPRODUCT(--(ISNUMBER(SEARCH($A30,'Diags Raw Data'!$A$6:$A$3640))),--('Diags Raw Data'!$Q$6:$Q$3640&lt;&gt;"N/A"),'Diags Raw Data'!$T$6:$T$3640)+SUMPRODUCT(--(ISNUMBER(SEARCH($A30,'Diags Raw Data'!$A$6:$A$3640))),--('Diags Raw Data'!$Q$6:$Q$3640&lt;&gt;"N/A"),'Diags Raw Data'!$U$6:$U$3640)</f>
        <v>0</v>
      </c>
      <c r="O30" s="392">
        <f t="shared" si="10"/>
        <v>0</v>
      </c>
      <c r="P30" s="412">
        <f>SUMIF('Diags Raw Data'!$A$6:$A$3640,"*"&amp;$A30&amp;"*",'Diags Raw Data'!$Z$6:$Z$3640)</f>
        <v>0</v>
      </c>
      <c r="Q30" s="413">
        <f>SUM(SUMIF('Diags Raw Data'!$A$6:$A$3640,"*"&amp;$A30&amp;"*",'Diags Raw Data'!$AA$6:$AA$3640),SUMIF('Diags Raw Data'!$A$6:$A$3640,"*"&amp;$A30&amp;"*",'Diags Raw Data'!$AB$6:$AB$3640))</f>
        <v>0</v>
      </c>
      <c r="R30" s="414">
        <f t="shared" si="11"/>
        <v>0</v>
      </c>
      <c r="S30" s="414">
        <f t="shared" si="12"/>
        <v>0</v>
      </c>
      <c r="T30" s="415">
        <f t="shared" si="13"/>
        <v>0</v>
      </c>
      <c r="U30" s="417" t="s">
        <v>44</v>
      </c>
      <c r="V30" s="170" t="s">
        <v>438</v>
      </c>
    </row>
    <row r="31" spans="1:22" ht="29.45" thickBot="1">
      <c r="A31" s="416" t="s">
        <v>409</v>
      </c>
      <c r="B31" s="323" t="str">
        <f>VLOOKUP(A31,'Feature Raw Data'!$A$3:$B$3862,2,FALSE)</f>
        <v>eL3 VDDM Rail Management</v>
      </c>
      <c r="C31" s="295" t="str">
        <f>VLOOKUP(A31,'Feature Raw Data'!$A$3:$C$3862,3,FALSE)</f>
        <v>P2</v>
      </c>
      <c r="D31" s="94" t="str" cm="1">
        <f t="array" ref="D31">_xlfn.TEXTJOIN("",TRUE,IF(ISNUMBER(SEARCH($A31,'Diags Raw Data'!$A$6:$A$3640)),CONCATENATE('Diags Raw Data'!$H$6:$H$3640,", "),""))</f>
        <v/>
      </c>
      <c r="E31" s="296" t="e">
        <f>VLOOKUP(A31,'Diags Raw Data'!$A$6:$D$3640,4,FALSE)</f>
        <v>#N/A</v>
      </c>
      <c r="F31" s="296" t="str">
        <f>VLOOKUP(A31,'Feature Raw Data'!$A$3:$E$3862,5,FALSE)</f>
        <v>New</v>
      </c>
      <c r="G31" s="296" t="str">
        <f t="shared" si="8"/>
        <v>No</v>
      </c>
      <c r="H31" s="169" t="str">
        <f t="shared" si="9"/>
        <v>No</v>
      </c>
      <c r="I31" s="295">
        <f>SUMIF('Diags Raw Data'!$A$6:$A$3640,"*"&amp;$A31&amp;"*",'Diags Raw Data'!$K$6:$K$3640)</f>
        <v>0</v>
      </c>
      <c r="J31" s="297">
        <f>SUMIF('Diags Raw Data'!$A$6:$A$3640,"*"&amp;$A31&amp;"*",'Diags Raw Data'!$L$6:$L$3640)</f>
        <v>0</v>
      </c>
      <c r="K31" s="364" cm="1">
        <f t="array" ref="K31">IF(D31="",0, SUMPRODUCT(--(ISNUMBER(SEARCH($A31,'Diags Raw Data'!$A$6:$A$3640))),'Diags Raw Data'!$L$6:$L$3640,'Diags Raw Data'!$N$6:$N$3640)/J31)</f>
        <v>0</v>
      </c>
      <c r="L31" s="365" cm="1">
        <f t="array" ref="L31">IF(D31="",0, SUMPRODUCT(--(ISNUMBER(SEARCH($A31,'Diags Raw Data'!$A$6:$A$3640))),'Diags Raw Data'!$L$6:$L$3640,'Diags Raw Data'!$P$6:$P$3640)/J31)</f>
        <v>0</v>
      </c>
      <c r="M31" s="366" cm="1">
        <f t="array" ref="M31">SUMPRODUCT(--(ISNUMBER(SEARCH($A31,'Diags Raw Data'!$A$6:$A$3640))),--('Diags Raw Data'!$Q$6:$Q$3640&lt;&gt;"N/A"),'Diags Raw Data'!$R$6:$R$3640)</f>
        <v>0</v>
      </c>
      <c r="N31" s="367" cm="1">
        <f t="array" ref="N31">SUMPRODUCT(--(ISNUMBER(SEARCH($A31,'Diags Raw Data'!$A$6:$A$3640))),--('Diags Raw Data'!$Q$6:$Q$3640&lt;&gt;"N/A"),'Diags Raw Data'!$T$6:$T$3640)+SUMPRODUCT(--(ISNUMBER(SEARCH($A31,'Diags Raw Data'!$A$6:$A$3640))),--('Diags Raw Data'!$Q$6:$Q$3640&lt;&gt;"N/A"),'Diags Raw Data'!$U$6:$U$3640)</f>
        <v>0</v>
      </c>
      <c r="O31" s="392">
        <f t="shared" si="10"/>
        <v>0</v>
      </c>
      <c r="P31" s="412">
        <f>SUMIF('Diags Raw Data'!$A$6:$A$3640,"*"&amp;$A31&amp;"*",'Diags Raw Data'!$Z$6:$Z$3640)</f>
        <v>0</v>
      </c>
      <c r="Q31" s="413">
        <f>SUM(SUMIF('Diags Raw Data'!$A$6:$A$3640,"*"&amp;$A31&amp;"*",'Diags Raw Data'!$AA$6:$AA$3640),SUMIF('Diags Raw Data'!$A$6:$A$3640,"*"&amp;$A31&amp;"*",'Diags Raw Data'!$AB$6:$AB$3640))</f>
        <v>0</v>
      </c>
      <c r="R31" s="414">
        <f t="shared" si="11"/>
        <v>0</v>
      </c>
      <c r="S31" s="414">
        <f t="shared" si="12"/>
        <v>0</v>
      </c>
      <c r="T31" s="415">
        <f t="shared" si="13"/>
        <v>0</v>
      </c>
      <c r="U31" s="417" t="s">
        <v>44</v>
      </c>
      <c r="V31" s="170" t="s">
        <v>438</v>
      </c>
    </row>
    <row r="32" spans="1:22" ht="29.45" thickBot="1">
      <c r="A32" s="416" t="s">
        <v>411</v>
      </c>
      <c r="B32" s="323" t="str">
        <f>VLOOKUP(A32,'Feature Raw Data'!$A$3:$B$3862,2,FALSE)</f>
        <v>eL3 VDDM SuperVmin/SuperVmax Support</v>
      </c>
      <c r="C32" s="295" t="str">
        <f>VLOOKUP(A32,'Feature Raw Data'!$A$3:$C$3862,3,FALSE)</f>
        <v>P2</v>
      </c>
      <c r="D32" s="94" t="str" cm="1">
        <f t="array" ref="D32">_xlfn.TEXTJOIN("",TRUE,IF(ISNUMBER(SEARCH($A32,'Diags Raw Data'!$A$6:$A$3640)),CONCATENATE('Diags Raw Data'!$H$6:$H$3640,", "),""))</f>
        <v/>
      </c>
      <c r="E32" s="296" t="e">
        <f>VLOOKUP(A32,'Diags Raw Data'!$A$6:$D$3640,4,FALSE)</f>
        <v>#N/A</v>
      </c>
      <c r="F32" s="296" t="str">
        <f>VLOOKUP(A32,'Feature Raw Data'!$A$3:$E$3862,5,FALSE)</f>
        <v>New</v>
      </c>
      <c r="G32" s="296" t="str">
        <f t="shared" si="8"/>
        <v>No</v>
      </c>
      <c r="H32" s="169" t="str">
        <f t="shared" si="9"/>
        <v>No</v>
      </c>
      <c r="I32" s="295">
        <f>SUMIF('Diags Raw Data'!$A$6:$A$3640,"*"&amp;$A32&amp;"*",'Diags Raw Data'!$K$6:$K$3640)</f>
        <v>0</v>
      </c>
      <c r="J32" s="297">
        <f>SUMIF('Diags Raw Data'!$A$6:$A$3640,"*"&amp;$A32&amp;"*",'Diags Raw Data'!$L$6:$L$3640)</f>
        <v>0</v>
      </c>
      <c r="K32" s="364" cm="1">
        <f t="array" ref="K32">IF(D32="",0, SUMPRODUCT(--(ISNUMBER(SEARCH($A32,'Diags Raw Data'!$A$6:$A$3640))),'Diags Raw Data'!$L$6:$L$3640,'Diags Raw Data'!$N$6:$N$3640)/J32)</f>
        <v>0</v>
      </c>
      <c r="L32" s="365" cm="1">
        <f t="array" ref="L32">IF(D32="",0, SUMPRODUCT(--(ISNUMBER(SEARCH($A32,'Diags Raw Data'!$A$6:$A$3640))),'Diags Raw Data'!$L$6:$L$3640,'Diags Raw Data'!$P$6:$P$3640)/J32)</f>
        <v>0</v>
      </c>
      <c r="M32" s="366" cm="1">
        <f t="array" ref="M32">SUMPRODUCT(--(ISNUMBER(SEARCH($A32,'Diags Raw Data'!$A$6:$A$3640))),--('Diags Raw Data'!$Q$6:$Q$3640&lt;&gt;"N/A"),'Diags Raw Data'!$R$6:$R$3640)</f>
        <v>0</v>
      </c>
      <c r="N32" s="367" cm="1">
        <f t="array" ref="N32">SUMPRODUCT(--(ISNUMBER(SEARCH($A32,'Diags Raw Data'!$A$6:$A$3640))),--('Diags Raw Data'!$Q$6:$Q$3640&lt;&gt;"N/A"),'Diags Raw Data'!$T$6:$T$3640)+SUMPRODUCT(--(ISNUMBER(SEARCH($A32,'Diags Raw Data'!$A$6:$A$3640))),--('Diags Raw Data'!$Q$6:$Q$3640&lt;&gt;"N/A"),'Diags Raw Data'!$U$6:$U$3640)</f>
        <v>0</v>
      </c>
      <c r="O32" s="392">
        <f t="shared" si="10"/>
        <v>0</v>
      </c>
      <c r="P32" s="412">
        <f>SUMIF('Diags Raw Data'!$A$6:$A$3640,"*"&amp;$A32&amp;"*",'Diags Raw Data'!$Z$6:$Z$3640)</f>
        <v>0</v>
      </c>
      <c r="Q32" s="413">
        <f>SUM(SUMIF('Diags Raw Data'!$A$6:$A$3640,"*"&amp;$A32&amp;"*",'Diags Raw Data'!$AA$6:$AA$3640),SUMIF('Diags Raw Data'!$A$6:$A$3640,"*"&amp;$A32&amp;"*",'Diags Raw Data'!$AB$6:$AB$3640))</f>
        <v>0</v>
      </c>
      <c r="R32" s="414">
        <f t="shared" si="11"/>
        <v>0</v>
      </c>
      <c r="S32" s="414">
        <f t="shared" si="12"/>
        <v>0</v>
      </c>
      <c r="T32" s="415">
        <f t="shared" si="13"/>
        <v>0</v>
      </c>
      <c r="U32" s="417" t="s">
        <v>44</v>
      </c>
      <c r="V32" s="170" t="s">
        <v>438</v>
      </c>
    </row>
    <row r="33" spans="1:23" ht="43.9" thickBot="1">
      <c r="A33" s="416" t="s">
        <v>413</v>
      </c>
      <c r="B33" s="323" t="str">
        <f>VLOOKUP(A33,'Feature Raw Data'!$A$3:$B$3862,2,FALSE)</f>
        <v>DF Clock Boost Support</v>
      </c>
      <c r="C33" s="295" t="str">
        <f>VLOOKUP(A33,'Feature Raw Data'!$A$3:$C$3862,3,FALSE)</f>
        <v>P2</v>
      </c>
      <c r="D33" s="94" t="str" cm="1">
        <f t="array" ref="D33">_xlfn.TEXTJOIN("",TRUE,IF(ISNUMBER(SEARCH($A33,'Diags Raw Data'!$A$6:$A$3640)),CONCATENATE('Diags Raw Data'!$H$6:$H$3640,", "),""))</f>
        <v/>
      </c>
      <c r="E33" s="296" t="e">
        <f>VLOOKUP(A33,'Diags Raw Data'!$A$6:$D$3640,4,FALSE)</f>
        <v>#N/A</v>
      </c>
      <c r="F33" s="296" t="str">
        <f>VLOOKUP(A33,'Feature Raw Data'!$A$3:$E$3862,5,FALSE)</f>
        <v>Legacy</v>
      </c>
      <c r="G33" s="296" t="str">
        <f t="shared" si="8"/>
        <v>No</v>
      </c>
      <c r="H33" s="169" t="s">
        <v>36</v>
      </c>
      <c r="I33" s="295">
        <f>SUMIF('Diags Raw Data'!$A$6:$A$3640,"*"&amp;$A33&amp;"*",'Diags Raw Data'!$K$6:$K$3640)</f>
        <v>0</v>
      </c>
      <c r="J33" s="297">
        <f>SUMIF('Diags Raw Data'!$A$6:$A$3640,"*"&amp;$A33&amp;"*",'Diags Raw Data'!$L$6:$L$3640)</f>
        <v>0</v>
      </c>
      <c r="K33" s="365" t="e" cm="1">
        <f t="array" ref="K33">IF(C33="",0, SUMPRODUCT(--(ISNUMBER(SEARCH($A33,'Diags Raw Data'!$A$6:$A$3640))),'Diags Raw Data'!$L$6:$L$3640,'Diags Raw Data'!$P$6:$P$3640)/I33)</f>
        <v>#DIV/0!</v>
      </c>
      <c r="L33" s="365" cm="1">
        <f t="array" ref="L33">IF(D33="",0, SUMPRODUCT(--(ISNUMBER(SEARCH($A33,'Diags Raw Data'!$A$6:$A$3640))),'Diags Raw Data'!$L$6:$L$3640,'Diags Raw Data'!$P$6:$P$3640)/J33)</f>
        <v>0</v>
      </c>
      <c r="M33" s="366" cm="1">
        <f t="array" ref="M33">SUMPRODUCT(--(ISNUMBER(SEARCH($A33,'Diags Raw Data'!$A$6:$A$3640))),--('Diags Raw Data'!$Q$6:$Q$3640&lt;&gt;"N/A"),'Diags Raw Data'!$R$6:$R$3640)</f>
        <v>0</v>
      </c>
      <c r="N33" s="367" cm="1">
        <f t="array" ref="N33">SUMPRODUCT(--(ISNUMBER(SEARCH($A33,'Diags Raw Data'!$A$6:$A$3640))),--('Diags Raw Data'!$Q$6:$Q$3640&lt;&gt;"N/A"),'Diags Raw Data'!$T$6:$T$3640)+SUMPRODUCT(--(ISNUMBER(SEARCH($A33,'Diags Raw Data'!$A$6:$A$3640))),--('Diags Raw Data'!$Q$6:$Q$3640&lt;&gt;"N/A"),'Diags Raw Data'!$U$6:$U$3640)</f>
        <v>0</v>
      </c>
      <c r="O33" s="392">
        <f t="shared" si="10"/>
        <v>0</v>
      </c>
      <c r="P33" s="412">
        <f>SUMIF('Diags Raw Data'!$A$6:$A$3640,"*"&amp;$A33&amp;"*",'Diags Raw Data'!$Z$6:$Z$3640)</f>
        <v>0</v>
      </c>
      <c r="Q33" s="413">
        <f>SUM(SUMIF('Diags Raw Data'!$A$6:$A$3640,"*"&amp;$A33&amp;"*",'Diags Raw Data'!$AA$6:$AA$3640),SUMIF('Diags Raw Data'!$A$6:$A$3640,"*"&amp;$A33&amp;"*",'Diags Raw Data'!$AB$6:$AB$3640))</f>
        <v>0</v>
      </c>
      <c r="R33" s="414">
        <f t="shared" si="11"/>
        <v>0</v>
      </c>
      <c r="S33" s="414">
        <f t="shared" si="12"/>
        <v>0</v>
      </c>
      <c r="T33" s="415">
        <f t="shared" si="13"/>
        <v>0</v>
      </c>
      <c r="U33" s="417" t="s">
        <v>44</v>
      </c>
      <c r="V33" s="170"/>
      <c r="W33" s="171" t="s">
        <v>439</v>
      </c>
    </row>
    <row r="34" spans="1:23" ht="29.45" thickBot="1">
      <c r="A34" s="416" t="s">
        <v>357</v>
      </c>
      <c r="B34" s="323" t="str">
        <f>VLOOKUP(A34,'Feature Raw Data'!$A$3:$B$3862,2,FALSE)</f>
        <v xml:space="preserve">Driver Reset Mode 1 Support </v>
      </c>
      <c r="C34" s="295" t="str">
        <f>VLOOKUP(A31,'Feature Raw Data'!$A$3:$C$3862,3,FALSE)</f>
        <v>P2</v>
      </c>
      <c r="D34" s="94" t="str" cm="1">
        <f t="array" ref="D34">_xlfn.TEXTJOIN("",TRUE,IF(ISNUMBER(SEARCH($A34,'Diags Raw Data'!$A$6:$A$3640)),CONCATENATE('Diags Raw Data'!$H$6:$H$3640,", "),""))</f>
        <v xml:space="preserve">FEAT-29, </v>
      </c>
      <c r="E34" s="296" t="str">
        <f>VLOOKUP(A34,'Diags Raw Data'!$A$6:$D$3640,4,FALSE)</f>
        <v>DF</v>
      </c>
      <c r="F34" s="296" t="str">
        <f>VLOOKUP(A34,'Feature Raw Data'!$A$3:$E$3862,5,FALSE)</f>
        <v>Legacy</v>
      </c>
      <c r="G34" s="296" t="str">
        <f t="shared" ref="G34:G38" si="14">IF(D34="","No","Yes")</f>
        <v>Yes</v>
      </c>
      <c r="H34" s="169" t="s">
        <v>36</v>
      </c>
      <c r="I34" s="295">
        <f>SUMIF('Diags Raw Data'!$A$6:$A$3640,"*"&amp;$A34&amp;"*",'Diags Raw Data'!$K$6:$K$3640)</f>
        <v>0</v>
      </c>
      <c r="J34" s="297">
        <f>SUMIF('Diags Raw Data'!$A$6:$A$3640,"*"&amp;$A34&amp;"*",'Diags Raw Data'!$L$6:$L$3640)</f>
        <v>0</v>
      </c>
      <c r="K34" s="365" t="e" cm="1">
        <f t="array" ref="K34">IF(C34="",0, SUMPRODUCT(--(ISNUMBER(SEARCH($A34,'Diags Raw Data'!$A$6:$A$3640))),'Diags Raw Data'!$L$6:$L$3640,'Diags Raw Data'!$P$6:$P$3640)/I34)</f>
        <v>#DIV/0!</v>
      </c>
      <c r="L34" s="365" t="e" cm="1">
        <f t="array" ref="L34">IF(D34="",0, SUMPRODUCT(--(ISNUMBER(SEARCH($A34,'Diags Raw Data'!$A$6:$A$3640))),'Diags Raw Data'!$L$6:$L$3640,'Diags Raw Data'!$P$6:$P$3640)/J34)</f>
        <v>#DIV/0!</v>
      </c>
      <c r="M34" s="366" cm="1">
        <f t="array" ref="M34">SUMPRODUCT(--(ISNUMBER(SEARCH($A34,'Diags Raw Data'!$A$6:$A$3640))),--('Diags Raw Data'!$Q$6:$Q$3640&lt;&gt;"N/A"),'Diags Raw Data'!$R$6:$R$3640)</f>
        <v>0</v>
      </c>
      <c r="N34" s="367" cm="1">
        <f t="array" ref="N34">SUMPRODUCT(--(ISNUMBER(SEARCH($A34,'Diags Raw Data'!$A$6:$A$3640))),--('Diags Raw Data'!$Q$6:$Q$3640&lt;&gt;"N/A"),'Diags Raw Data'!$T$6:$T$3640)+SUMPRODUCT(--(ISNUMBER(SEARCH($A34,'Diags Raw Data'!$A$6:$A$3640))),--('Diags Raw Data'!$Q$6:$Q$3640&lt;&gt;"N/A"),'Diags Raw Data'!$U$6:$U$3640)</f>
        <v>0</v>
      </c>
      <c r="O34" s="392">
        <f t="shared" ref="O34:O38" si="15">IF((M34=0),0,N34/M34)</f>
        <v>0</v>
      </c>
      <c r="P34" s="412">
        <f>SUMIF('Diags Raw Data'!$A$6:$A$3640,"*"&amp;$A34&amp;"*",'Diags Raw Data'!$Z$6:$Z$3640)</f>
        <v>0</v>
      </c>
      <c r="Q34" s="413">
        <f>SUM(SUMIF('Diags Raw Data'!$A$6:$A$3640,"*"&amp;$A34&amp;"*",'Diags Raw Data'!$AA$6:$AA$3640),SUMIF('Diags Raw Data'!$A$6:$A$3640,"*"&amp;$A34&amp;"*",'Diags Raw Data'!$AB$6:$AB$3640))</f>
        <v>0</v>
      </c>
      <c r="R34" s="414">
        <f t="shared" ref="R34:R38" si="16">IF((J34=0),0,P34/J34)</f>
        <v>0</v>
      </c>
      <c r="S34" s="414">
        <f t="shared" ref="S34:S38" si="17">IF((P34=0),0,Q34/P34)</f>
        <v>0</v>
      </c>
      <c r="T34" s="415">
        <f t="shared" ref="T34:T38" si="18">R34*S34</f>
        <v>0</v>
      </c>
      <c r="U34" s="417" t="s">
        <v>44</v>
      </c>
      <c r="V34" s="170"/>
      <c r="W34" s="170" t="s">
        <v>440</v>
      </c>
    </row>
    <row r="35" spans="1:23" ht="29.45" thickBot="1">
      <c r="A35" s="416" t="s">
        <v>360</v>
      </c>
      <c r="B35" s="323" t="str">
        <f>VLOOKUP(A35,'Feature Raw Data'!$A$3:$B$3862,2,FALSE)</f>
        <v>Driver Reset Mode 2 Support</v>
      </c>
      <c r="C35" s="295" t="str">
        <f>VLOOKUP(A32,'Feature Raw Data'!$A$3:$C$3862,3,FALSE)</f>
        <v>P2</v>
      </c>
      <c r="D35" s="94" t="str" cm="1">
        <f t="array" ref="D35">_xlfn.TEXTJOIN("",TRUE,IF(ISNUMBER(SEARCH($A35,'Diags Raw Data'!$A$6:$A$3640)),CONCATENATE('Diags Raw Data'!$H$6:$H$3640,", "),""))</f>
        <v xml:space="preserve">FEAT-30, </v>
      </c>
      <c r="E35" s="296" t="str">
        <f>VLOOKUP(A35,'Diags Raw Data'!$A$6:$D$3640,4,FALSE)</f>
        <v>DF</v>
      </c>
      <c r="F35" s="296" t="str">
        <f>VLOOKUP(A35,'Feature Raw Data'!$A$3:$E$3862,5,FALSE)</f>
        <v>Legacy</v>
      </c>
      <c r="G35" s="296" t="str">
        <f t="shared" si="14"/>
        <v>Yes</v>
      </c>
      <c r="H35" s="169" t="s">
        <v>36</v>
      </c>
      <c r="I35" s="295">
        <f>SUMIF('Diags Raw Data'!$A$6:$A$3640,"*"&amp;$A35&amp;"*",'Diags Raw Data'!$K$6:$K$3640)</f>
        <v>0</v>
      </c>
      <c r="J35" s="297">
        <f>SUMIF('Diags Raw Data'!$A$6:$A$3640,"*"&amp;$A35&amp;"*",'Diags Raw Data'!$L$6:$L$3640)</f>
        <v>0</v>
      </c>
      <c r="K35" s="365" t="e" cm="1">
        <f t="array" ref="K35">IF(C35="",0, SUMPRODUCT(--(ISNUMBER(SEARCH($A35,'Diags Raw Data'!$A$6:$A$3640))),'Diags Raw Data'!$L$6:$L$3640,'Diags Raw Data'!$P$6:$P$3640)/I35)</f>
        <v>#DIV/0!</v>
      </c>
      <c r="L35" s="365" t="e" cm="1">
        <f t="array" ref="L35">IF(D35="",0, SUMPRODUCT(--(ISNUMBER(SEARCH($A35,'Diags Raw Data'!$A$6:$A$3640))),'Diags Raw Data'!$L$6:$L$3640,'Diags Raw Data'!$P$6:$P$3640)/J35)</f>
        <v>#DIV/0!</v>
      </c>
      <c r="M35" s="366" cm="1">
        <f t="array" ref="M35">SUMPRODUCT(--(ISNUMBER(SEARCH($A35,'Diags Raw Data'!$A$6:$A$3640))),--('Diags Raw Data'!$Q$6:$Q$3640&lt;&gt;"N/A"),'Diags Raw Data'!$R$6:$R$3640)</f>
        <v>0</v>
      </c>
      <c r="N35" s="367" cm="1">
        <f t="array" ref="N35">SUMPRODUCT(--(ISNUMBER(SEARCH($A35,'Diags Raw Data'!$A$6:$A$3640))),--('Diags Raw Data'!$Q$6:$Q$3640&lt;&gt;"N/A"),'Diags Raw Data'!$T$6:$T$3640)+SUMPRODUCT(--(ISNUMBER(SEARCH($A35,'Diags Raw Data'!$A$6:$A$3640))),--('Diags Raw Data'!$Q$6:$Q$3640&lt;&gt;"N/A"),'Diags Raw Data'!$U$6:$U$3640)</f>
        <v>0</v>
      </c>
      <c r="O35" s="392">
        <f t="shared" si="15"/>
        <v>0</v>
      </c>
      <c r="P35" s="412">
        <f>SUMIF('Diags Raw Data'!$A$6:$A$3640,"*"&amp;$A35&amp;"*",'Diags Raw Data'!$Z$6:$Z$3640)</f>
        <v>0</v>
      </c>
      <c r="Q35" s="413">
        <f>SUM(SUMIF('Diags Raw Data'!$A$6:$A$3640,"*"&amp;$A35&amp;"*",'Diags Raw Data'!$AA$6:$AA$3640),SUMIF('Diags Raw Data'!$A$6:$A$3640,"*"&amp;$A35&amp;"*",'Diags Raw Data'!$AB$6:$AB$3640))</f>
        <v>0</v>
      </c>
      <c r="R35" s="414">
        <f t="shared" si="16"/>
        <v>0</v>
      </c>
      <c r="S35" s="414">
        <f t="shared" si="17"/>
        <v>0</v>
      </c>
      <c r="T35" s="415">
        <f t="shared" si="18"/>
        <v>0</v>
      </c>
      <c r="U35" s="417" t="s">
        <v>44</v>
      </c>
      <c r="V35" s="170"/>
      <c r="W35" s="170" t="s">
        <v>440</v>
      </c>
    </row>
    <row r="36" spans="1:23" ht="29.45" thickBot="1">
      <c r="A36" s="416" t="s">
        <v>363</v>
      </c>
      <c r="B36" s="323" t="str">
        <f>VLOOKUP(A36,'Feature Raw Data'!$A$3:$B$3862,2,FALSE)</f>
        <v>Fatal Error Handling (mode 1 reset)</v>
      </c>
      <c r="C36" s="295" t="str">
        <f>VLOOKUP(A33,'Feature Raw Data'!$A$3:$C$3862,3,FALSE)</f>
        <v>P2</v>
      </c>
      <c r="D36" s="94" t="str" cm="1">
        <f t="array" ref="D36">_xlfn.TEXTJOIN("",TRUE,IF(ISNUMBER(SEARCH($A36,'Diags Raw Data'!$A$6:$A$3640)),CONCATENATE('Diags Raw Data'!$H$6:$H$3640,", "),""))</f>
        <v xml:space="preserve">FEAT-31, </v>
      </c>
      <c r="E36" s="296" t="str">
        <f>VLOOKUP(A36,'Diags Raw Data'!$A$6:$D$3640,4,FALSE)</f>
        <v>DF</v>
      </c>
      <c r="F36" s="296" t="str">
        <f>VLOOKUP(A36,'Feature Raw Data'!$A$3:$E$3862,5,FALSE)</f>
        <v>Legacy</v>
      </c>
      <c r="G36" s="296" t="str">
        <f t="shared" si="14"/>
        <v>Yes</v>
      </c>
      <c r="H36" s="169" t="s">
        <v>36</v>
      </c>
      <c r="I36" s="295">
        <f>SUMIF('Diags Raw Data'!$A$6:$A$3640,"*"&amp;$A36&amp;"*",'Diags Raw Data'!$K$6:$K$3640)</f>
        <v>0</v>
      </c>
      <c r="J36" s="297">
        <f>SUMIF('Diags Raw Data'!$A$6:$A$3640,"*"&amp;$A36&amp;"*",'Diags Raw Data'!$L$6:$L$3640)</f>
        <v>0</v>
      </c>
      <c r="K36" s="365" t="e" cm="1">
        <f t="array" ref="K36">IF(C36="",0, SUMPRODUCT(--(ISNUMBER(SEARCH($A36,'Diags Raw Data'!$A$6:$A$3640))),'Diags Raw Data'!$L$6:$L$3640,'Diags Raw Data'!$P$6:$P$3640)/I36)</f>
        <v>#DIV/0!</v>
      </c>
      <c r="L36" s="365" t="e" cm="1">
        <f t="array" ref="L36">IF(D36="",0, SUMPRODUCT(--(ISNUMBER(SEARCH($A36,'Diags Raw Data'!$A$6:$A$3640))),'Diags Raw Data'!$L$6:$L$3640,'Diags Raw Data'!$P$6:$P$3640)/J36)</f>
        <v>#DIV/0!</v>
      </c>
      <c r="M36" s="366" cm="1">
        <f t="array" ref="M36">SUMPRODUCT(--(ISNUMBER(SEARCH($A36,'Diags Raw Data'!$A$6:$A$3640))),--('Diags Raw Data'!$Q$6:$Q$3640&lt;&gt;"N/A"),'Diags Raw Data'!$R$6:$R$3640)</f>
        <v>0</v>
      </c>
      <c r="N36" s="367" cm="1">
        <f t="array" ref="N36">SUMPRODUCT(--(ISNUMBER(SEARCH($A36,'Diags Raw Data'!$A$6:$A$3640))),--('Diags Raw Data'!$Q$6:$Q$3640&lt;&gt;"N/A"),'Diags Raw Data'!$T$6:$T$3640)+SUMPRODUCT(--(ISNUMBER(SEARCH($A36,'Diags Raw Data'!$A$6:$A$3640))),--('Diags Raw Data'!$Q$6:$Q$3640&lt;&gt;"N/A"),'Diags Raw Data'!$U$6:$U$3640)</f>
        <v>0</v>
      </c>
      <c r="O36" s="392">
        <f t="shared" si="15"/>
        <v>0</v>
      </c>
      <c r="P36" s="412">
        <f>SUMIF('Diags Raw Data'!$A$6:$A$3640,"*"&amp;$A36&amp;"*",'Diags Raw Data'!$Z$6:$Z$3640)</f>
        <v>0</v>
      </c>
      <c r="Q36" s="413">
        <f>SUM(SUMIF('Diags Raw Data'!$A$6:$A$3640,"*"&amp;$A36&amp;"*",'Diags Raw Data'!$AA$6:$AA$3640),SUMIF('Diags Raw Data'!$A$6:$A$3640,"*"&amp;$A36&amp;"*",'Diags Raw Data'!$AB$6:$AB$3640))</f>
        <v>0</v>
      </c>
      <c r="R36" s="414">
        <f t="shared" si="16"/>
        <v>0</v>
      </c>
      <c r="S36" s="414">
        <f t="shared" si="17"/>
        <v>0</v>
      </c>
      <c r="T36" s="415">
        <f t="shared" si="18"/>
        <v>0</v>
      </c>
      <c r="U36" s="417" t="s">
        <v>44</v>
      </c>
      <c r="V36" s="170"/>
      <c r="W36" s="170" t="s">
        <v>440</v>
      </c>
    </row>
    <row r="37" spans="1:23" ht="15" thickBot="1">
      <c r="A37" s="416" t="s">
        <v>366</v>
      </c>
      <c r="B37" s="323" t="str">
        <f>VLOOKUP(A37,'Feature Raw Data'!$A$3:$B$3862,2,FALSE)</f>
        <v>DF Cac manager events</v>
      </c>
      <c r="C37" s="295" t="str">
        <f>VLOOKUP(A34,'Feature Raw Data'!$A$3:$C$3862,3,FALSE)</f>
        <v>P2</v>
      </c>
      <c r="D37" s="94" t="str" cm="1">
        <f t="array" ref="D37">_xlfn.TEXTJOIN("",TRUE,IF(ISNUMBER(SEARCH($A37,'Diags Raw Data'!$A$6:$A$3640)),CONCATENATE('Diags Raw Data'!$H$6:$H$3640,", "),""))</f>
        <v xml:space="preserve">FEAT-32, </v>
      </c>
      <c r="E37" s="296" t="str">
        <f>VLOOKUP(A37,'Diags Raw Data'!$A$6:$D$3640,4,FALSE)</f>
        <v>DF</v>
      </c>
      <c r="F37" s="296" t="str">
        <f>VLOOKUP(A37,'Feature Raw Data'!$A$3:$E$3862,5,FALSE)</f>
        <v>Legacy</v>
      </c>
      <c r="G37" s="296" t="str">
        <f t="shared" si="14"/>
        <v>Yes</v>
      </c>
      <c r="H37" s="169" t="s">
        <v>36</v>
      </c>
      <c r="I37" s="295">
        <f>SUMIF('Diags Raw Data'!$A$6:$A$3640,"*"&amp;$A37&amp;"*",'Diags Raw Data'!$K$6:$K$3640)</f>
        <v>0</v>
      </c>
      <c r="J37" s="297"/>
      <c r="K37" s="365"/>
      <c r="L37" s="365"/>
      <c r="M37" s="366"/>
      <c r="N37" s="367"/>
      <c r="O37" s="392"/>
      <c r="P37" s="412"/>
      <c r="Q37" s="413"/>
      <c r="R37" s="414"/>
      <c r="S37" s="414"/>
      <c r="T37" s="415"/>
      <c r="U37" s="417" t="s">
        <v>44</v>
      </c>
      <c r="V37" s="170"/>
      <c r="W37" s="170"/>
    </row>
    <row r="38" spans="1:23" ht="29.45" thickBot="1">
      <c r="A38" s="416" t="s">
        <v>369</v>
      </c>
      <c r="B38" s="323" t="e">
        <f>VLOOKUP(A38,'Feature Raw Data'!$A$3:$B$3862,2,FALSE)</f>
        <v>#N/A</v>
      </c>
      <c r="C38" s="295" t="str">
        <f>VLOOKUP(A34,'Feature Raw Data'!$A$3:$C$3862,3,FALSE)</f>
        <v>P2</v>
      </c>
      <c r="D38" s="94" t="str" cm="1">
        <f t="array" ref="D38">_xlfn.TEXTJOIN("",TRUE,IF(ISNUMBER(SEARCH($A38,'Diags Raw Data'!$A$6:$A$3640)),CONCATENATE('Diags Raw Data'!$H$6:$H$3640,", "),""))</f>
        <v xml:space="preserve">FEAT-33, </v>
      </c>
      <c r="E38" s="296" t="str">
        <f>VLOOKUP(A38,'Diags Raw Data'!$A$6:$D$3640,4,FALSE)</f>
        <v>DF</v>
      </c>
      <c r="F38" s="296" t="e">
        <f>VLOOKUP(A38,'Feature Raw Data'!$A$3:$E$3862,5,FALSE)</f>
        <v>#N/A</v>
      </c>
      <c r="G38" s="296" t="str">
        <f t="shared" si="14"/>
        <v>Yes</v>
      </c>
      <c r="H38" s="169" t="s">
        <v>36</v>
      </c>
      <c r="I38" s="295">
        <f>SUMIF('Diags Raw Data'!$A$6:$A$3640,"*"&amp;$A38&amp;"*",'Diags Raw Data'!$K$6:$K$3640)</f>
        <v>0</v>
      </c>
      <c r="J38" s="297">
        <f>SUMIF('Diags Raw Data'!$A$6:$A$3640,"*"&amp;$A38&amp;"*",'Diags Raw Data'!$L$6:$L$3640)</f>
        <v>0</v>
      </c>
      <c r="K38" s="365" t="e" cm="1">
        <f t="array" ref="K38">IF(C38="",0, SUMPRODUCT(--(ISNUMBER(SEARCH($A38,'Diags Raw Data'!$A$6:$A$3640))),'Diags Raw Data'!$L$6:$L$3640,'Diags Raw Data'!$P$6:$P$3640)/I38)</f>
        <v>#DIV/0!</v>
      </c>
      <c r="L38" s="365" t="e" cm="1">
        <f t="array" ref="L38">IF(D38="",0, SUMPRODUCT(--(ISNUMBER(SEARCH($A38,'Diags Raw Data'!$A$6:$A$3640))),'Diags Raw Data'!$L$6:$L$3640,'Diags Raw Data'!$P$6:$P$3640)/J38)</f>
        <v>#DIV/0!</v>
      </c>
      <c r="M38" s="366" cm="1">
        <f t="array" ref="M38">SUMPRODUCT(--(ISNUMBER(SEARCH($A38,'Diags Raw Data'!$A$6:$A$3640))),--('Diags Raw Data'!$Q$6:$Q$3640&lt;&gt;"N/A"),'Diags Raw Data'!$R$6:$R$3640)</f>
        <v>0</v>
      </c>
      <c r="N38" s="367" cm="1">
        <f t="array" ref="N38">SUMPRODUCT(--(ISNUMBER(SEARCH($A38,'Diags Raw Data'!$A$6:$A$3640))),--('Diags Raw Data'!$Q$6:$Q$3640&lt;&gt;"N/A"),'Diags Raw Data'!$T$6:$T$3640)+SUMPRODUCT(--(ISNUMBER(SEARCH($A38,'Diags Raw Data'!$A$6:$A$3640))),--('Diags Raw Data'!$Q$6:$Q$3640&lt;&gt;"N/A"),'Diags Raw Data'!$U$6:$U$3640)</f>
        <v>0</v>
      </c>
      <c r="O38" s="392">
        <f t="shared" si="15"/>
        <v>0</v>
      </c>
      <c r="P38" s="412">
        <f>SUMIF('Diags Raw Data'!$A$6:$A$3640,"*"&amp;$A38&amp;"*",'Diags Raw Data'!$Z$6:$Z$3640)</f>
        <v>0</v>
      </c>
      <c r="Q38" s="413">
        <f>SUM(SUMIF('Diags Raw Data'!$A$6:$A$3640,"*"&amp;$A38&amp;"*",'Diags Raw Data'!$AA$6:$AA$3640),SUMIF('Diags Raw Data'!$A$6:$A$3640,"*"&amp;$A38&amp;"*",'Diags Raw Data'!$AB$6:$AB$3640))</f>
        <v>0</v>
      </c>
      <c r="R38" s="414">
        <f t="shared" si="16"/>
        <v>0</v>
      </c>
      <c r="S38" s="414">
        <f t="shared" si="17"/>
        <v>0</v>
      </c>
      <c r="T38" s="415">
        <f t="shared" si="18"/>
        <v>0</v>
      </c>
      <c r="U38" s="417" t="s">
        <v>44</v>
      </c>
      <c r="W38" s="170" t="s">
        <v>440</v>
      </c>
    </row>
    <row r="39" spans="1:23">
      <c r="A39" s="513" t="s">
        <v>441</v>
      </c>
      <c r="B39" s="579"/>
      <c r="C39" s="579"/>
      <c r="D39" s="579"/>
      <c r="E39" s="579"/>
      <c r="F39" s="579"/>
      <c r="G39" s="579"/>
      <c r="H39" s="579"/>
      <c r="I39" s="579"/>
      <c r="J39" s="579"/>
      <c r="K39" s="580"/>
      <c r="L39" s="580"/>
      <c r="M39" s="580"/>
      <c r="N39" s="580"/>
      <c r="O39" s="580"/>
      <c r="P39" s="579"/>
      <c r="Q39" s="579"/>
      <c r="R39" s="579"/>
      <c r="S39" s="579"/>
      <c r="T39" s="579"/>
      <c r="U39" s="581"/>
      <c r="V39" s="170"/>
    </row>
    <row r="40" spans="1:23" ht="15" thickBot="1">
      <c r="A40" s="582"/>
      <c r="B40" s="579"/>
      <c r="C40" s="579"/>
      <c r="D40" s="579"/>
      <c r="E40" s="579"/>
      <c r="F40" s="579"/>
      <c r="G40" s="579"/>
      <c r="H40" s="579"/>
      <c r="I40" s="579"/>
      <c r="J40" s="579"/>
      <c r="K40" s="579"/>
      <c r="L40" s="579"/>
      <c r="M40" s="579"/>
      <c r="N40" s="579"/>
      <c r="O40" s="579"/>
      <c r="P40" s="579"/>
      <c r="Q40" s="579"/>
      <c r="R40" s="579"/>
      <c r="S40" s="579"/>
      <c r="T40" s="579"/>
      <c r="U40" s="581"/>
      <c r="V40" s="170"/>
    </row>
    <row r="41" spans="1:23" s="175" customFormat="1" ht="18">
      <c r="A41" s="573" t="s">
        <v>249</v>
      </c>
      <c r="B41" s="574"/>
      <c r="C41" s="574"/>
      <c r="D41" s="574"/>
      <c r="E41" s="574"/>
      <c r="F41" s="575"/>
      <c r="G41" s="312">
        <f>COUNTIF(G7:G38,"Yes")</f>
        <v>28</v>
      </c>
      <c r="H41" s="312">
        <f>COUNTIF(H7:H38,"Yes")</f>
        <v>22</v>
      </c>
      <c r="I41" s="603">
        <f>'Diags Raw Data'!K41</f>
        <v>27</v>
      </c>
      <c r="J41" s="605">
        <f>'Diags Raw Data'!L41</f>
        <v>87</v>
      </c>
      <c r="K41" s="591">
        <f>'Diags Raw Data'!N41</f>
        <v>1</v>
      </c>
      <c r="L41" s="593">
        <f>'Diags Raw Data'!P41</f>
        <v>0.9462962962962963</v>
      </c>
      <c r="M41" s="595">
        <f>'Diags Raw Data'!R41</f>
        <v>72</v>
      </c>
      <c r="N41" s="587">
        <f>SUM('Diags Raw Data'!T41+'Diags Raw Data'!U41)</f>
        <v>72</v>
      </c>
      <c r="O41" s="583">
        <f>IF((M41=0),0,N41/M41)</f>
        <v>1</v>
      </c>
      <c r="P41" s="585">
        <f>'Diags Raw Data'!Z41</f>
        <v>33</v>
      </c>
      <c r="Q41" s="601">
        <f>SUM('Diags Raw Data'!AA41+'Diags Raw Data'!AB41)</f>
        <v>33</v>
      </c>
      <c r="R41" s="597">
        <f>IF((J41=0),0,P41/J41)</f>
        <v>0.37931034482758619</v>
      </c>
      <c r="S41" s="597">
        <f>IF((P41=0),0,Q41/P41)</f>
        <v>1</v>
      </c>
      <c r="T41" s="597">
        <f>R41*S41</f>
        <v>0.37931034482758619</v>
      </c>
      <c r="U41" s="599"/>
      <c r="V41" s="174"/>
    </row>
    <row r="42" spans="1:23" ht="18.600000000000001" thickBot="1">
      <c r="A42" s="576"/>
      <c r="B42" s="577"/>
      <c r="C42" s="577"/>
      <c r="D42" s="577"/>
      <c r="E42" s="577"/>
      <c r="F42" s="578"/>
      <c r="G42" s="313">
        <f>COUNTIF(G7:G38,"Yes")/COUNTA(A7:A36)</f>
        <v>0.93333333333333335</v>
      </c>
      <c r="H42" s="313">
        <f>(COUNTIF(H7:H38,"Yes")/G41)</f>
        <v>0.7857142857142857</v>
      </c>
      <c r="I42" s="604"/>
      <c r="J42" s="606"/>
      <c r="K42" s="592"/>
      <c r="L42" s="594"/>
      <c r="M42" s="596"/>
      <c r="N42" s="588"/>
      <c r="O42" s="584"/>
      <c r="P42" s="586"/>
      <c r="Q42" s="602"/>
      <c r="R42" s="598"/>
      <c r="S42" s="598"/>
      <c r="T42" s="598"/>
      <c r="U42" s="600"/>
      <c r="V42" s="170"/>
    </row>
    <row r="43" spans="1:23">
      <c r="A43" s="176"/>
      <c r="B43" s="177"/>
      <c r="C43" s="177"/>
      <c r="D43" s="176"/>
      <c r="E43" s="177"/>
      <c r="F43" s="177"/>
      <c r="G43" s="300"/>
      <c r="H43" s="177"/>
      <c r="I43" s="304"/>
      <c r="J43" s="304"/>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K5:L5"/>
    <mergeCell ref="A5:J5"/>
    <mergeCell ref="M5:O5"/>
    <mergeCell ref="P5:U5"/>
    <mergeCell ref="A41:F42"/>
    <mergeCell ref="A39:U40"/>
    <mergeCell ref="O41:O42"/>
    <mergeCell ref="P41:P42"/>
    <mergeCell ref="N41:N42"/>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442</v>
      </c>
      <c r="C1" s="36" t="s">
        <v>443</v>
      </c>
      <c r="D1" s="36" t="s">
        <v>444</v>
      </c>
      <c r="E1" s="36" t="s">
        <v>445</v>
      </c>
      <c r="F1" s="36" t="s">
        <v>446</v>
      </c>
      <c r="G1" s="37" t="s">
        <v>447</v>
      </c>
      <c r="H1" s="12"/>
      <c r="I1" s="12"/>
      <c r="J1" s="12"/>
      <c r="K1" s="12"/>
      <c r="L1" s="13"/>
      <c r="M1" s="1"/>
      <c r="N1" s="11"/>
      <c r="X1" s="11"/>
      <c r="AB1" s="621" t="s">
        <v>448</v>
      </c>
      <c r="AM1" s="621" t="s">
        <v>449</v>
      </c>
    </row>
    <row r="2" spans="1:40" s="14" customFormat="1" ht="12">
      <c r="A2" s="35" t="s">
        <v>450</v>
      </c>
      <c r="B2" s="15">
        <v>42994</v>
      </c>
      <c r="C2" s="15">
        <v>43190</v>
      </c>
      <c r="D2" s="16" t="e">
        <f>#REF!</f>
        <v>#REF!</v>
      </c>
      <c r="E2" s="16" t="e">
        <f>#REF!</f>
        <v>#REF!</v>
      </c>
      <c r="F2" s="16">
        <f>(C2-B2)/7</f>
        <v>28</v>
      </c>
      <c r="G2" s="17" t="e">
        <f>E2/F2</f>
        <v>#REF!</v>
      </c>
      <c r="H2" s="18"/>
      <c r="I2" s="18"/>
      <c r="J2" s="18"/>
      <c r="K2" s="18"/>
      <c r="L2" s="19"/>
      <c r="M2" s="20"/>
      <c r="N2" s="21"/>
      <c r="X2" s="21"/>
      <c r="AB2" s="622"/>
      <c r="AM2" s="622"/>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23" t="s">
        <v>451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24"/>
      <c r="B5" s="47" t="s">
        <v>452</v>
      </c>
      <c r="C5" s="47" t="s">
        <v>453</v>
      </c>
      <c r="D5" s="47" t="s">
        <v>454</v>
      </c>
      <c r="E5" s="47" t="s">
        <v>455</v>
      </c>
      <c r="F5" s="47" t="s">
        <v>456</v>
      </c>
      <c r="G5" s="47" t="s">
        <v>457</v>
      </c>
      <c r="H5" s="47" t="s">
        <v>458</v>
      </c>
      <c r="I5" s="47" t="s">
        <v>459</v>
      </c>
      <c r="J5" s="47" t="s">
        <v>460</v>
      </c>
      <c r="K5" s="47" t="s">
        <v>461</v>
      </c>
      <c r="L5" s="47" t="s">
        <v>462</v>
      </c>
      <c r="M5" s="47" t="s">
        <v>463</v>
      </c>
      <c r="N5" s="47" t="s">
        <v>464</v>
      </c>
      <c r="O5" s="47" t="s">
        <v>465</v>
      </c>
      <c r="P5" s="47" t="s">
        <v>466</v>
      </c>
      <c r="Q5" s="47" t="s">
        <v>467</v>
      </c>
      <c r="R5" s="47" t="s">
        <v>468</v>
      </c>
      <c r="S5" s="47" t="s">
        <v>469</v>
      </c>
      <c r="T5" s="47" t="s">
        <v>470</v>
      </c>
      <c r="U5" s="47" t="s">
        <v>471</v>
      </c>
      <c r="V5" s="47" t="s">
        <v>472</v>
      </c>
      <c r="W5" s="47" t="s">
        <v>473</v>
      </c>
      <c r="X5" s="47" t="s">
        <v>474</v>
      </c>
      <c r="Y5" s="47" t="s">
        <v>475</v>
      </c>
      <c r="Z5" s="47" t="s">
        <v>476</v>
      </c>
      <c r="AA5" s="47" t="s">
        <v>477</v>
      </c>
      <c r="AB5" s="47" t="s">
        <v>478</v>
      </c>
      <c r="AC5" s="47" t="s">
        <v>479</v>
      </c>
      <c r="AD5" s="47" t="s">
        <v>480</v>
      </c>
      <c r="AE5" s="47" t="s">
        <v>481</v>
      </c>
      <c r="AF5" s="47" t="s">
        <v>482</v>
      </c>
      <c r="AG5" s="47" t="s">
        <v>483</v>
      </c>
      <c r="AH5" s="47" t="s">
        <v>484</v>
      </c>
      <c r="AI5" s="47" t="s">
        <v>485</v>
      </c>
      <c r="AJ5" s="47" t="s">
        <v>486</v>
      </c>
      <c r="AK5" s="47" t="s">
        <v>487</v>
      </c>
      <c r="AL5" s="66" t="s">
        <v>488</v>
      </c>
      <c r="AM5" s="65" t="s">
        <v>489</v>
      </c>
      <c r="AN5" s="50"/>
    </row>
    <row r="6" spans="1:40" ht="12">
      <c r="A6" s="48" t="s">
        <v>490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491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23" t="s">
        <v>492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25"/>
      <c r="B10" s="32" t="s">
        <v>452</v>
      </c>
      <c r="C10" s="32" t="s">
        <v>453</v>
      </c>
      <c r="D10" s="32" t="s">
        <v>454</v>
      </c>
      <c r="E10" s="32" t="s">
        <v>455</v>
      </c>
      <c r="F10" s="32" t="s">
        <v>456</v>
      </c>
      <c r="G10" s="32" t="s">
        <v>457</v>
      </c>
      <c r="H10" s="32" t="s">
        <v>458</v>
      </c>
      <c r="I10" s="32" t="s">
        <v>459</v>
      </c>
      <c r="J10" s="32" t="s">
        <v>460</v>
      </c>
      <c r="K10" s="32" t="s">
        <v>461</v>
      </c>
      <c r="L10" s="32" t="s">
        <v>462</v>
      </c>
      <c r="M10" s="32" t="s">
        <v>463</v>
      </c>
      <c r="N10" s="32" t="s">
        <v>464</v>
      </c>
      <c r="O10" s="32" t="s">
        <v>465</v>
      </c>
      <c r="P10" s="32" t="s">
        <v>466</v>
      </c>
      <c r="Q10" s="32" t="s">
        <v>467</v>
      </c>
      <c r="R10" s="32" t="s">
        <v>468</v>
      </c>
      <c r="S10" s="32" t="s">
        <v>469</v>
      </c>
      <c r="T10" s="32" t="s">
        <v>470</v>
      </c>
      <c r="U10" s="32" t="s">
        <v>471</v>
      </c>
      <c r="V10" s="32" t="s">
        <v>472</v>
      </c>
      <c r="W10" s="32" t="s">
        <v>473</v>
      </c>
      <c r="X10" s="32" t="s">
        <v>474</v>
      </c>
      <c r="Y10" s="32" t="s">
        <v>475</v>
      </c>
      <c r="Z10" s="32" t="s">
        <v>476</v>
      </c>
      <c r="AA10" s="32" t="s">
        <v>477</v>
      </c>
      <c r="AB10" s="32" t="s">
        <v>478</v>
      </c>
      <c r="AC10" s="32" t="s">
        <v>479</v>
      </c>
      <c r="AD10" s="32" t="s">
        <v>480</v>
      </c>
      <c r="AE10" s="32" t="s">
        <v>481</v>
      </c>
      <c r="AF10" s="32" t="s">
        <v>482</v>
      </c>
      <c r="AG10" s="32" t="s">
        <v>483</v>
      </c>
      <c r="AH10" s="32" t="s">
        <v>484</v>
      </c>
      <c r="AI10" s="32" t="s">
        <v>485</v>
      </c>
      <c r="AJ10" s="64" t="s">
        <v>486</v>
      </c>
      <c r="AK10" s="63" t="s">
        <v>487</v>
      </c>
      <c r="AL10" s="47" t="s">
        <v>488</v>
      </c>
      <c r="AM10" s="72" t="s">
        <v>489</v>
      </c>
      <c r="AN10" s="68"/>
    </row>
    <row r="11" spans="1:40">
      <c r="A11" s="42" t="s">
        <v>490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491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493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494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4" sqref="D4"/>
    </sheetView>
  </sheetViews>
  <sheetFormatPr defaultColWidth="15" defaultRowHeight="13.9"/>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4.45" thickBot="1">
      <c r="A1" s="149" t="s">
        <v>495</v>
      </c>
      <c r="B1" s="150" t="s">
        <v>496</v>
      </c>
      <c r="C1" s="151" t="s">
        <v>497</v>
      </c>
      <c r="D1" s="151" t="s">
        <v>498</v>
      </c>
      <c r="E1" s="151" t="s">
        <v>499</v>
      </c>
      <c r="F1" s="151" t="s">
        <v>500</v>
      </c>
      <c r="G1" s="151" t="s">
        <v>501</v>
      </c>
      <c r="H1" s="151" t="s">
        <v>502</v>
      </c>
      <c r="I1" s="151" t="s">
        <v>503</v>
      </c>
      <c r="J1" s="151" t="s">
        <v>504</v>
      </c>
      <c r="K1" s="151" t="s">
        <v>505</v>
      </c>
      <c r="L1" s="151" t="s">
        <v>506</v>
      </c>
      <c r="M1" s="151" t="s">
        <v>507</v>
      </c>
      <c r="N1" s="151" t="s">
        <v>508</v>
      </c>
      <c r="O1" s="151" t="s">
        <v>509</v>
      </c>
      <c r="P1" s="151" t="s">
        <v>510</v>
      </c>
      <c r="Q1" s="151" t="s">
        <v>511</v>
      </c>
      <c r="R1" s="151" t="s">
        <v>512</v>
      </c>
      <c r="S1" s="151" t="s">
        <v>513</v>
      </c>
      <c r="T1" s="151" t="s">
        <v>514</v>
      </c>
      <c r="U1" s="151" t="s">
        <v>515</v>
      </c>
      <c r="V1" s="151" t="s">
        <v>516</v>
      </c>
      <c r="W1" s="151" t="s">
        <v>517</v>
      </c>
      <c r="X1" s="151" t="s">
        <v>518</v>
      </c>
      <c r="Y1" s="151" t="s">
        <v>519</v>
      </c>
      <c r="Z1" s="151" t="s">
        <v>520</v>
      </c>
      <c r="AA1" s="151" t="s">
        <v>521</v>
      </c>
      <c r="AB1" s="151" t="s">
        <v>522</v>
      </c>
      <c r="AC1" s="151" t="s">
        <v>523</v>
      </c>
      <c r="AD1" s="151" t="s">
        <v>524</v>
      </c>
      <c r="AE1" s="151" t="s">
        <v>525</v>
      </c>
      <c r="AF1" s="151" t="s">
        <v>526</v>
      </c>
      <c r="AG1" s="151" t="s">
        <v>527</v>
      </c>
      <c r="AH1" s="151" t="s">
        <v>528</v>
      </c>
      <c r="AI1" s="151" t="s">
        <v>529</v>
      </c>
      <c r="AJ1" s="151" t="s">
        <v>530</v>
      </c>
      <c r="AK1" s="151" t="s">
        <v>531</v>
      </c>
      <c r="AL1" s="151" t="s">
        <v>532</v>
      </c>
      <c r="AM1" s="151" t="s">
        <v>533</v>
      </c>
      <c r="AN1" s="151" t="s">
        <v>534</v>
      </c>
      <c r="AO1" s="151" t="s">
        <v>535</v>
      </c>
      <c r="AP1" s="151" t="s">
        <v>536</v>
      </c>
      <c r="AQ1" s="151" t="s">
        <v>537</v>
      </c>
      <c r="AR1" s="151" t="s">
        <v>538</v>
      </c>
      <c r="AS1" s="151" t="s">
        <v>539</v>
      </c>
      <c r="AT1" s="151" t="s">
        <v>540</v>
      </c>
      <c r="AU1" s="151" t="s">
        <v>541</v>
      </c>
      <c r="AV1" s="151" t="s">
        <v>542</v>
      </c>
      <c r="AW1" s="151" t="s">
        <v>543</v>
      </c>
      <c r="AX1" s="151" t="s">
        <v>544</v>
      </c>
      <c r="AY1" s="151" t="s">
        <v>545</v>
      </c>
      <c r="AZ1" s="151" t="s">
        <v>546</v>
      </c>
      <c r="BA1" s="151" t="s">
        <v>547</v>
      </c>
      <c r="BB1" s="152" t="s">
        <v>548</v>
      </c>
    </row>
    <row r="2" spans="1:54" s="134" customFormat="1">
      <c r="A2" s="146" t="s">
        <v>491</v>
      </c>
      <c r="B2" s="385">
        <v>0.1</v>
      </c>
      <c r="C2" s="386">
        <v>0.15</v>
      </c>
      <c r="D2" s="386">
        <v>0.17</v>
      </c>
      <c r="E2" s="386">
        <v>0.23</v>
      </c>
      <c r="F2" s="386">
        <v>0.28000000000000003</v>
      </c>
      <c r="G2" s="386">
        <v>0.35</v>
      </c>
      <c r="H2" s="386">
        <v>0.4</v>
      </c>
      <c r="I2" s="386">
        <v>0.45</v>
      </c>
      <c r="J2" s="386">
        <v>0.5</v>
      </c>
      <c r="K2" s="386">
        <v>0.57999999999999996</v>
      </c>
      <c r="L2" s="386">
        <v>0.62</v>
      </c>
      <c r="M2" s="386">
        <v>0.68</v>
      </c>
      <c r="N2" s="386">
        <v>0.71000000000000008</v>
      </c>
      <c r="O2" s="386">
        <v>0.7400000000000001</v>
      </c>
      <c r="P2" s="386">
        <v>0.75000000000000011</v>
      </c>
      <c r="Q2" s="386">
        <v>0.76000000000000012</v>
      </c>
      <c r="R2" s="386">
        <v>0.79000000000000015</v>
      </c>
      <c r="S2" s="386">
        <v>0.82000000000000017</v>
      </c>
      <c r="T2" s="386">
        <v>0.8500000000000002</v>
      </c>
      <c r="U2" s="386">
        <v>0.88000000000000023</v>
      </c>
      <c r="V2" s="386">
        <v>0.91000000000000025</v>
      </c>
      <c r="W2" s="386">
        <v>0.94000000000000028</v>
      </c>
      <c r="X2" s="386">
        <v>0.97000000000000031</v>
      </c>
      <c r="Y2" s="386">
        <v>1.0000000000000002</v>
      </c>
      <c r="Z2" s="386"/>
      <c r="AA2" s="386"/>
      <c r="AB2" s="386"/>
      <c r="AC2" s="386"/>
      <c r="AD2" s="386"/>
      <c r="AE2" s="386"/>
      <c r="AF2" s="386"/>
      <c r="AG2" s="386"/>
      <c r="AH2" s="386"/>
      <c r="AI2" s="386"/>
      <c r="AJ2" s="386"/>
      <c r="AK2" s="386"/>
      <c r="AL2" s="386"/>
      <c r="AM2" s="147"/>
      <c r="AN2" s="147"/>
      <c r="AO2" s="147"/>
      <c r="AP2" s="147"/>
      <c r="AQ2" s="147"/>
      <c r="AR2" s="147"/>
      <c r="AS2" s="147"/>
      <c r="AT2" s="147"/>
      <c r="AU2" s="147"/>
      <c r="AV2" s="147"/>
      <c r="AW2" s="147"/>
      <c r="AX2" s="147"/>
      <c r="AY2" s="147"/>
      <c r="AZ2" s="147"/>
      <c r="BA2" s="147"/>
      <c r="BB2" s="148"/>
    </row>
    <row r="3" spans="1:54" s="134" customFormat="1">
      <c r="A3" s="143" t="s">
        <v>494</v>
      </c>
      <c r="B3" s="387"/>
      <c r="C3" s="388"/>
      <c r="D3" s="388"/>
      <c r="E3" s="388"/>
      <c r="F3" s="388"/>
      <c r="G3" s="388"/>
      <c r="H3" s="388"/>
      <c r="I3" s="388"/>
      <c r="J3" s="388"/>
      <c r="K3" s="388"/>
      <c r="L3" s="388">
        <v>0.1</v>
      </c>
      <c r="M3" s="388">
        <v>0.15</v>
      </c>
      <c r="N3" s="388">
        <v>0.2</v>
      </c>
      <c r="O3" s="388">
        <v>0.3</v>
      </c>
      <c r="P3" s="388">
        <v>0.35</v>
      </c>
      <c r="Q3" s="388">
        <v>0.4</v>
      </c>
      <c r="R3" s="388">
        <v>0.4</v>
      </c>
      <c r="S3" s="388">
        <v>0.4</v>
      </c>
      <c r="T3" s="388">
        <v>0.4</v>
      </c>
      <c r="U3" s="388">
        <v>0.4</v>
      </c>
      <c r="V3" s="388">
        <v>0.5</v>
      </c>
      <c r="W3" s="388">
        <v>0.6</v>
      </c>
      <c r="X3" s="388">
        <v>0.65</v>
      </c>
      <c r="Y3" s="388">
        <v>0.7</v>
      </c>
      <c r="Z3" s="388">
        <v>0.8</v>
      </c>
      <c r="AA3" s="388">
        <v>0.9</v>
      </c>
      <c r="AB3" s="388">
        <v>1</v>
      </c>
      <c r="AC3" s="388"/>
      <c r="AD3" s="388"/>
      <c r="AE3" s="388"/>
      <c r="AF3" s="388"/>
      <c r="AG3" s="388"/>
      <c r="AH3" s="388"/>
      <c r="AI3" s="388"/>
      <c r="AJ3" s="388"/>
      <c r="AK3" s="388"/>
      <c r="AL3" s="388"/>
      <c r="AM3" s="132"/>
      <c r="AN3" s="132"/>
      <c r="AO3" s="132"/>
      <c r="AP3" s="132"/>
      <c r="AQ3" s="132"/>
      <c r="AR3" s="132"/>
      <c r="AS3" s="132"/>
      <c r="AT3" s="132"/>
      <c r="AU3" s="132"/>
      <c r="AV3" s="132"/>
      <c r="AW3" s="132"/>
      <c r="AX3" s="132"/>
      <c r="AY3" s="132"/>
      <c r="AZ3" s="132"/>
      <c r="BA3" s="132"/>
      <c r="BB3" s="137"/>
    </row>
    <row r="4" spans="1:54" s="134" customFormat="1" ht="14.45" thickBot="1">
      <c r="A4" s="145" t="s">
        <v>182</v>
      </c>
      <c r="B4" s="389"/>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v>0.05</v>
      </c>
      <c r="AC4" s="390">
        <v>0.2</v>
      </c>
      <c r="AD4" s="390">
        <v>0.3</v>
      </c>
      <c r="AE4" s="390">
        <v>0.5</v>
      </c>
      <c r="AF4" s="390">
        <v>0.6</v>
      </c>
      <c r="AG4" s="390">
        <v>0.65</v>
      </c>
      <c r="AH4" s="390">
        <v>0.7</v>
      </c>
      <c r="AI4" s="390">
        <v>0.85</v>
      </c>
      <c r="AJ4" s="390">
        <v>0.9</v>
      </c>
      <c r="AK4" s="390">
        <v>0.95</v>
      </c>
      <c r="AL4" s="390">
        <v>1</v>
      </c>
      <c r="AM4" s="138"/>
      <c r="AN4" s="138"/>
      <c r="AO4" s="138"/>
      <c r="AP4" s="138"/>
      <c r="AQ4" s="138"/>
      <c r="AR4" s="138"/>
      <c r="AS4" s="138"/>
      <c r="AT4" s="138"/>
      <c r="AU4" s="138"/>
      <c r="AV4" s="138"/>
      <c r="AW4" s="138"/>
      <c r="AX4" s="138"/>
      <c r="AY4" s="138"/>
      <c r="AZ4" s="138"/>
      <c r="BA4" s="138"/>
      <c r="BB4" s="139"/>
    </row>
    <row r="5" spans="1:54">
      <c r="A5" s="153" t="s">
        <v>492</v>
      </c>
      <c r="B5" s="370">
        <v>5</v>
      </c>
      <c r="C5" s="371">
        <v>6</v>
      </c>
      <c r="D5" s="371">
        <v>7</v>
      </c>
      <c r="E5" s="371">
        <v>8</v>
      </c>
      <c r="F5" s="371">
        <v>9</v>
      </c>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2"/>
      <c r="AG5" s="373"/>
      <c r="AH5" s="372"/>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491</v>
      </c>
      <c r="B6" s="387">
        <v>0.08</v>
      </c>
      <c r="C6" s="388">
        <v>0.12</v>
      </c>
      <c r="D6" s="388">
        <v>0.15</v>
      </c>
      <c r="E6" s="388">
        <v>0.18</v>
      </c>
      <c r="F6" s="388">
        <v>0.24</v>
      </c>
      <c r="G6" s="388">
        <v>0.3</v>
      </c>
      <c r="H6" s="388">
        <v>0.35</v>
      </c>
      <c r="I6" s="388">
        <v>0.4</v>
      </c>
      <c r="J6" s="388">
        <v>0.45</v>
      </c>
      <c r="K6" s="388">
        <v>0.5</v>
      </c>
      <c r="L6" s="388">
        <v>0.57999999999999996</v>
      </c>
      <c r="M6" s="388">
        <v>0.59</v>
      </c>
      <c r="N6" s="388">
        <v>0.6</v>
      </c>
      <c r="O6" s="388">
        <v>0.65</v>
      </c>
      <c r="P6" s="388">
        <v>0.68</v>
      </c>
      <c r="Q6" s="388">
        <v>0.7</v>
      </c>
      <c r="R6" s="388">
        <v>0.72</v>
      </c>
      <c r="S6" s="388">
        <v>0.74</v>
      </c>
      <c r="T6" s="388">
        <v>0.76</v>
      </c>
      <c r="U6" s="388">
        <v>0.78</v>
      </c>
      <c r="V6" s="388">
        <v>0.8</v>
      </c>
      <c r="W6" s="388">
        <v>0.85</v>
      </c>
      <c r="X6" s="388">
        <v>0.88</v>
      </c>
      <c r="Y6" s="388">
        <v>0.9</v>
      </c>
      <c r="Z6" s="388"/>
      <c r="AA6" s="388"/>
      <c r="AB6" s="388"/>
      <c r="AC6" s="388"/>
      <c r="AD6" s="388"/>
      <c r="AE6" s="388"/>
      <c r="AF6" s="388"/>
      <c r="AG6" s="388"/>
      <c r="AH6" s="38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493</v>
      </c>
      <c r="B7" s="387"/>
      <c r="C7" s="388"/>
      <c r="D7" s="388"/>
      <c r="E7" s="388"/>
      <c r="F7" s="388"/>
      <c r="G7" s="388"/>
      <c r="H7" s="388"/>
      <c r="I7" s="388"/>
      <c r="J7" s="388"/>
      <c r="K7" s="388"/>
      <c r="L7" s="388"/>
      <c r="M7" s="388">
        <v>7.0000000000000007E-2</v>
      </c>
      <c r="N7" s="388">
        <v>0.12</v>
      </c>
      <c r="O7" s="388">
        <v>0.17</v>
      </c>
      <c r="P7" s="388">
        <v>0.27</v>
      </c>
      <c r="Q7" s="388">
        <v>0.31999999999999995</v>
      </c>
      <c r="R7" s="388">
        <v>0.37</v>
      </c>
      <c r="S7" s="388">
        <v>0.37</v>
      </c>
      <c r="T7" s="388">
        <v>0.37</v>
      </c>
      <c r="U7" s="388">
        <v>0.37</v>
      </c>
      <c r="V7" s="388">
        <v>0.37</v>
      </c>
      <c r="W7" s="388">
        <v>0.47</v>
      </c>
      <c r="X7" s="388">
        <v>0.56999999999999995</v>
      </c>
      <c r="Y7" s="388">
        <v>0.62</v>
      </c>
      <c r="Z7" s="388">
        <v>0.66999999999999993</v>
      </c>
      <c r="AA7" s="388">
        <v>0.77</v>
      </c>
      <c r="AB7" s="388">
        <v>0.87</v>
      </c>
      <c r="AC7" s="388">
        <v>0.97</v>
      </c>
      <c r="AD7" s="388"/>
      <c r="AE7" s="388"/>
      <c r="AF7" s="391"/>
      <c r="AG7" s="388"/>
      <c r="AH7" s="391"/>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4.45" thickBot="1">
      <c r="A8" s="145" t="s">
        <v>182</v>
      </c>
      <c r="B8" s="389"/>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v>0.08</v>
      </c>
      <c r="AC8" s="390">
        <v>0.15</v>
      </c>
      <c r="AD8" s="390">
        <v>0.26</v>
      </c>
      <c r="AE8" s="390">
        <v>0.4</v>
      </c>
      <c r="AF8" s="390">
        <v>0.5</v>
      </c>
      <c r="AG8" s="390">
        <v>0.55000000000000004</v>
      </c>
      <c r="AH8" s="39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42578125" bestFit="1" customWidth="1"/>
    <col min="4" max="4" width="9.140625" style="130"/>
  </cols>
  <sheetData>
    <row r="3" spans="1:5">
      <c r="A3" s="129" t="s">
        <v>549</v>
      </c>
      <c r="B3" s="129" t="s">
        <v>550</v>
      </c>
      <c r="C3" s="129"/>
      <c r="D3" s="197"/>
      <c r="E3" s="129"/>
    </row>
    <row r="4" spans="1:5">
      <c r="A4" s="79" t="s">
        <v>44</v>
      </c>
      <c r="B4">
        <v>0</v>
      </c>
    </row>
    <row r="5" spans="1:5">
      <c r="A5" s="79" t="s">
        <v>551</v>
      </c>
      <c r="B5">
        <v>85</v>
      </c>
      <c r="D5" s="130">
        <f>GETPIVOTDATA("#Tests",$A$3,"ETA","wk-1")/GETPIVOTDATA("#Tests",$A$3)</f>
        <v>0.17</v>
      </c>
      <c r="E5" s="131">
        <f>D5</f>
        <v>0.17</v>
      </c>
    </row>
    <row r="6" spans="1:5">
      <c r="A6" s="79" t="s">
        <v>340</v>
      </c>
      <c r="B6">
        <v>48</v>
      </c>
      <c r="D6" s="130">
        <f>GETPIVOTDATA("#Tests",$A$3,"ETA","wk-2")/GETPIVOTDATA("#Tests",$A$3)</f>
        <v>9.6000000000000002E-2</v>
      </c>
      <c r="E6" s="131">
        <f t="shared" ref="E6:E12" si="0">E5+D6</f>
        <v>0.26600000000000001</v>
      </c>
    </row>
    <row r="7" spans="1:5">
      <c r="A7" s="79" t="s">
        <v>552</v>
      </c>
      <c r="B7">
        <v>96</v>
      </c>
      <c r="D7" s="130">
        <f>GETPIVOTDATA("#Tests",$A$3,"ETA","wk-3")/GETPIVOTDATA("#Tests",$A$3)</f>
        <v>0.192</v>
      </c>
      <c r="E7" s="131">
        <f t="shared" si="0"/>
        <v>0.45800000000000002</v>
      </c>
    </row>
    <row r="8" spans="1:5">
      <c r="A8" s="79" t="s">
        <v>553</v>
      </c>
      <c r="B8">
        <v>79</v>
      </c>
      <c r="D8" s="130">
        <f>GETPIVOTDATA("#Tests",$A$3,"ETA","wk-4")/GETPIVOTDATA("#Tests",$A$3)</f>
        <v>0.158</v>
      </c>
      <c r="E8" s="131">
        <f t="shared" si="0"/>
        <v>0.61599999999999999</v>
      </c>
    </row>
    <row r="9" spans="1:5">
      <c r="A9" s="79" t="s">
        <v>554</v>
      </c>
      <c r="B9">
        <v>82</v>
      </c>
      <c r="D9" s="130">
        <f>GETPIVOTDATA("#Tests",$A$3,"ETA","wk-5")/GETPIVOTDATA("#Tests",$A$3)</f>
        <v>0.16400000000000001</v>
      </c>
      <c r="E9" s="131">
        <f t="shared" si="0"/>
        <v>0.78</v>
      </c>
    </row>
    <row r="10" spans="1:5">
      <c r="A10" s="79" t="s">
        <v>332</v>
      </c>
      <c r="B10">
        <v>60</v>
      </c>
      <c r="D10" s="130">
        <f>GETPIVOTDATA("#Tests",$A$3,"ETA","wk-6")/GETPIVOTDATA("#Tests",$A$3)</f>
        <v>0.12</v>
      </c>
      <c r="E10" s="131">
        <f t="shared" si="0"/>
        <v>0.9</v>
      </c>
    </row>
    <row r="11" spans="1:5">
      <c r="A11" s="79" t="s">
        <v>555</v>
      </c>
      <c r="B11">
        <v>30</v>
      </c>
      <c r="D11" s="130">
        <f>GETPIVOTDATA("#Tests",$A$3,"ETA","wk-7")/GETPIVOTDATA("#Tests",$A$3)</f>
        <v>0.06</v>
      </c>
      <c r="E11" s="131">
        <f t="shared" si="0"/>
        <v>0.96</v>
      </c>
    </row>
    <row r="12" spans="1:5">
      <c r="A12" s="79" t="s">
        <v>556</v>
      </c>
      <c r="B12">
        <v>20</v>
      </c>
      <c r="D12" s="130">
        <f>GETPIVOTDATA("#Tests",$A$3,"ETA","wk-8")/GETPIVOTDATA("#Tests",$A$3)</f>
        <v>0.04</v>
      </c>
      <c r="E12" s="131">
        <f t="shared" si="0"/>
        <v>1</v>
      </c>
    </row>
    <row r="13" spans="1:5">
      <c r="A13" s="79" t="s">
        <v>382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8AD0B30-8A56-4F8D-B9B8-642ECBE28550}"/>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Vijayan, Arun</cp:lastModifiedBy>
  <cp:revision/>
  <dcterms:created xsi:type="dcterms:W3CDTF">2013-03-11T21:33:52Z</dcterms:created>
  <dcterms:modified xsi:type="dcterms:W3CDTF">2024-03-11T07:28:49Z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